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sumen" sheetId="1" state="visible" r:id="rId3"/>
    <sheet name="Gerencia de Infraestructura" sheetId="2" state="visible" r:id="rId4"/>
    <sheet name="Gerencias y Oficinas" sheetId="3" state="visible" r:id="rId5"/>
    <sheet name="Sin clasificar" sheetId="4" state="visible" r:id="rId6"/>
    <sheet name="Base" sheetId="5" state="visible" r:id="rId7"/>
    <sheet name="Control" sheetId="6" state="visible" r:id="rId8"/>
    <sheet name="Regla modalidad" sheetId="7" state="visible" r:id="rId9"/>
  </sheets>
  <definedNames>
    <definedName function="false" hidden="true" localSheetId="4" name="_xlnm._FilterDatabase" vbProcedure="false">Base!$A$4:$V$440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<sst xmlns="http://schemas.openxmlformats.org/spreadsheetml/2006/main" count="3695" uniqueCount="1022">
  <si>
    <t xml:space="preserve">GORE Puno · UE 001 Sede Central · mapeo de disponibilidad por proyecto</t>
  </si>
  <si>
    <t xml:space="preserve">Al 06/10/2026. PIM por estado situacional (suma de PIM de los proyectos en cada estado). Fórmulas sobre la hoja Base.</t>
  </si>
  <si>
    <t xml:space="preserve">Gerencia / Oficina</t>
  </si>
  <si>
    <t xml:space="preserve">Proyectos (CUI-meta)</t>
  </si>
  <si>
    <t xml:space="preserve">PIM 2026</t>
  </si>
  <si>
    <t xml:space="preserve">Certificación</t>
  </si>
  <si>
    <t xml:space="preserve">Saldo sin certificar</t>
  </si>
  <si>
    <t xml:space="preserve">Devengado</t>
  </si>
  <si>
    <t xml:space="preserve">PIM · Sin certificar</t>
  </si>
  <si>
    <t xml:space="preserve">PIM · Solo certificado</t>
  </si>
  <si>
    <t xml:space="preserve">PIM · Comprometido</t>
  </si>
  <si>
    <t xml:space="preserve">PIM · Devengado total</t>
  </si>
  <si>
    <t xml:space="preserve">PIM · Sin PIM</t>
  </si>
  <si>
    <t xml:space="preserve">GERENCIA DE INFRAESTRUCTURA</t>
  </si>
  <si>
    <t xml:space="preserve">GERENCIA REGIONAL DE DESARROLLO ECONOMICO</t>
  </si>
  <si>
    <t xml:space="preserve">GERENCIA REGIONAL DE RECURSOS NATURALES Y GESTION AMBIENTAL</t>
  </si>
  <si>
    <t xml:space="preserve">PROYECTO ESPECIAL TRUCHAS TITICACA - PETT</t>
  </si>
  <si>
    <t xml:space="preserve">PROYECTO ESPECIAL CAMELIDOS SUDAMERICANOS</t>
  </si>
  <si>
    <t xml:space="preserve">GERENCIA REGIONAL DE DESARROLLO SOCIAL</t>
  </si>
  <si>
    <t xml:space="preserve">DIRECCIÓN DE ESTUDIOS DE PREINVERSIÓN</t>
  </si>
  <si>
    <t xml:space="preserve">SIN CLASIFICAR (pendiente de asignar gerencia)</t>
  </si>
  <si>
    <t xml:space="preserve">TOTAL UE 001</t>
  </si>
  <si>
    <t xml:space="preserve">Definición provisional de Estado situacional (sujeta a mejora):</t>
  </si>
  <si>
    <t xml:space="preserve">Sin certificar: PIM &gt; 0 y sin certificación → disponible.</t>
  </si>
  <si>
    <t xml:space="preserve">Solo certificado: con certificación y sin compromiso → posible.</t>
  </si>
  <si>
    <t xml:space="preserve">Comprometido: con compromiso anual → no disponible.</t>
  </si>
  <si>
    <t xml:space="preserve">Devengado total: devengado ≥ PIM.</t>
  </si>
  <si>
    <t xml:space="preserve">Sin PIM: PIM = 0 (categoría añadida para casos de borde).</t>
  </si>
  <si>
    <t xml:space="preserve">ANEXO N° 01</t>
  </si>
  <si>
    <t xml:space="preserve">COMPORTAMIENTO DE EJECUCIÓN DE PROYECTOS DE INVERSION PUBLICA DEL AÑO FISCAL 2026 DE GERENCIAS REGIONALES Y UNIDADES EJECUTORAS · UE 001 · AL 06/10/2026</t>
  </si>
  <si>
    <t xml:space="preserve">N°</t>
  </si>
  <si>
    <t xml:space="preserve">META</t>
  </si>
  <si>
    <t xml:space="preserve">PROYECTO</t>
  </si>
  <si>
    <t xml:space="preserve">PIM 2026
(A)</t>
  </si>
  <si>
    <t xml:space="preserve">CERTIFICACIÓN
(B)</t>
  </si>
  <si>
    <t xml:space="preserve">SALDO
(A-B)</t>
  </si>
  <si>
    <t xml:space="preserve">DEVENGADO
( C )</t>
  </si>
  <si>
    <t xml:space="preserve">SALDO
(A-C)</t>
  </si>
  <si>
    <t xml:space="preserve">DEVEN
%</t>
  </si>
  <si>
    <t xml:space="preserve">MODALIDAD
DE
EJECUCIÓN</t>
  </si>
  <si>
    <t xml:space="preserve">ESTADO
SITUACIONAL
PROYECTO</t>
  </si>
  <si>
    <t xml:space="preserve">Monto Año 2026 (S/)</t>
  </si>
  <si>
    <t xml:space="preserve">Monto Año 2027 (S/)</t>
  </si>
  <si>
    <t xml:space="preserve">Monto Año 2028 (S/)</t>
  </si>
  <si>
    <t xml:space="preserve">Monto Año 2029 (S/)</t>
  </si>
  <si>
    <t xml:space="preserve">BASE LEGAL</t>
  </si>
  <si>
    <t xml:space="preserve">EJECUCIÓN POR ADMINISTRACIÓN DIRECTA</t>
  </si>
  <si>
    <t xml:space="preserve">EJECUCIÓN POR ADMINISTRACIÓN DIRECTA - DIRECTIVA 10</t>
  </si>
  <si>
    <t xml:space="preserve">20. SALUD</t>
  </si>
  <si>
    <t xml:space="preserve">22. EDUCACION</t>
  </si>
  <si>
    <t xml:space="preserve">15. TRANSPORTE</t>
  </si>
  <si>
    <t xml:space="preserve">21. CULTURA Y DEPORTE</t>
  </si>
  <si>
    <t xml:space="preserve">03. PLANEAMIENTO, GESTION Y RESERVA DE CONTINGENCIA</t>
  </si>
  <si>
    <t xml:space="preserve">23. PROTECCION SOCIAL</t>
  </si>
  <si>
    <t xml:space="preserve">EJECUCIÓN POR ADMINISTRACIÓN DIRECTA - DIRECTIVA 17</t>
  </si>
  <si>
    <t xml:space="preserve">EJECUCIÓN POR ADMINISTRACIÓN INDIRECTA (CONTRATA)</t>
  </si>
  <si>
    <t xml:space="preserve">18. SANEAMIENTO</t>
  </si>
  <si>
    <t xml:space="preserve">SUB GERENCIA DE ESTUDIOS DEFINITIVOS</t>
  </si>
  <si>
    <t xml:space="preserve">06. JUSTICIA</t>
  </si>
  <si>
    <t xml:space="preserve">PROYECTOS SIN EXPEDIENTE TECNICO, QUE NO ESTA EJECUTANDO SUB GER EST DEFINITIVOS</t>
  </si>
  <si>
    <t xml:space="preserve">08. COMERCIO</t>
  </si>
  <si>
    <t xml:space="preserve">09. TURISMO</t>
  </si>
  <si>
    <t xml:space="preserve">17. AMBIENTE</t>
  </si>
  <si>
    <t xml:space="preserve">19. VIVIENDA Y DESARROLLO URBANO</t>
  </si>
  <si>
    <t xml:space="preserve">TOTAL GERENCIA DE INFRAESTRUCTURA</t>
  </si>
  <si>
    <t xml:space="preserve">ANEXO N° 02</t>
  </si>
  <si>
    <t xml:space="preserve">10. AGROPECUARIA</t>
  </si>
  <si>
    <t xml:space="preserve">11. PESCA</t>
  </si>
  <si>
    <t xml:space="preserve">14. INDUSTRIA</t>
  </si>
  <si>
    <t xml:space="preserve">05. ORDEN PUBLICO Y SEGURIDAD</t>
  </si>
  <si>
    <t xml:space="preserve">TOTAL GERENCIAS Y OFICINAS</t>
  </si>
  <si>
    <t xml:space="preserve">ANEXO N° 03 · PROYECTOS SIN GERENCIA ASIGNADA</t>
  </si>
  <si>
    <t xml:space="preserve">TOTAL SIN CLASIFICAR</t>
  </si>
  <si>
    <t xml:space="preserve">Base de datos por CUI-meta · UE 001 REGION PUNO-SEDE CENTRAL · al 06/10/2026</t>
  </si>
  <si>
    <t xml:space="preserve">Fuentes: SIAF reporte20261006085201.xls (cifras y modalidad), Cartera PMI 06/10/2026 (montos 2026-2029), Excel de Alex 16/09 (agrupación). Las hojas de anexo leen de aquí.</t>
  </si>
  <si>
    <t xml:space="preserve">Hoja</t>
  </si>
  <si>
    <t xml:space="preserve">Grupo (Alex)</t>
  </si>
  <si>
    <t xml:space="preserve">Función</t>
  </si>
  <si>
    <t xml:space="preserve">CUI</t>
  </si>
  <si>
    <t xml:space="preserve">Meta</t>
  </si>
  <si>
    <t xml:space="preserve">Proyecto</t>
  </si>
  <si>
    <t xml:space="preserve">Compromiso anual</t>
  </si>
  <si>
    <t xml:space="preserve">Saldo sin certificar (A-B)</t>
  </si>
  <si>
    <t xml:space="preserve">Saldo sin comprometer (A-comp)</t>
  </si>
  <si>
    <t xml:space="preserve">Saldo sin devengar (A-C)</t>
  </si>
  <si>
    <t xml:space="preserve">Modalidad de ejecución</t>
  </si>
  <si>
    <t xml:space="preserve">Estado situacional</t>
  </si>
  <si>
    <t xml:space="preserve">Base legal</t>
  </si>
  <si>
    <t xml:space="preserve">Observación de clasificación</t>
  </si>
  <si>
    <t xml:space="preserve">Gerencia de Infraestructura</t>
  </si>
  <si>
    <t xml:space="preserve">EJECUCIÓN POR ADMINISTRACIÓN DIRECTA &gt; EJECUCIÓN POR ADMINISTRACIÓN DIRECTA - DIRECTIVA 10</t>
  </si>
  <si>
    <t xml:space="preserve">2108576</t>
  </si>
  <si>
    <t xml:space="preserve">2108576: CONSTRUCCION DEL HOSPITAL MATERNO INFANTIL DEL CONO SUR JULIACA</t>
  </si>
  <si>
    <t xml:space="preserve">Administración directa / Laudos arbitrales</t>
  </si>
  <si>
    <t xml:space="preserve">2279375</t>
  </si>
  <si>
    <t xml:space="preserve">2279375: MEJORAMIENTO DE LOS SERVICIOS DE SALUD DEL HOSPITAL DE APOYO ILAVE, PROVINCIA DE EL COLLAO - REGION PUNO</t>
  </si>
  <si>
    <t xml:space="preserve">Contrata / Expediente técnico / Administración directa / Laudos arbitrales</t>
  </si>
  <si>
    <t xml:space="preserve">No registrado en cartera</t>
  </si>
  <si>
    <t xml:space="preserve">2323700</t>
  </si>
  <si>
    <t xml:space="preserve">2323700: MEJORAMIENTO DEL SERVICIO EDUCATIVO DE LAS CARRERAS DE PRODUCCION, AUTOMOTRIZ, MINERIA, CONTABILIDAD, COMPUTACION, SECRETARIADO, ENFERMERIA, LABORATORIO CLINICO Y PROTESIS DENTAL DEL IST MANUEL NUÑEZ BUTRON, JULIACA, SAN ROMAN - PUNO</t>
  </si>
  <si>
    <t xml:space="preserve">Administración directa / Contrata / Personal/bienes/servicios</t>
  </si>
  <si>
    <t xml:space="preserve">2335880</t>
  </si>
  <si>
    <t xml:space="preserve">2335880: MEJORAMIENTO DEL SERVICIO EDUCATIVO DE LAS CARRERAS DE CONTABILIDAD, ENFERMERIA TECNICA, COMPUTACION E INFORMATICA, INDUSTRIA ALIMENTARIA Y PRODUCCION AGROPECUARIA DEL ISEPA, PROVINCIA DE MELGAR - PUNO</t>
  </si>
  <si>
    <t xml:space="preserve">Administración directa / Equipamiento / Contrata / Personal/bienes/servicios</t>
  </si>
  <si>
    <t xml:space="preserve">2521936</t>
  </si>
  <si>
    <t xml:space="preserve">2521936: MEJORAMIENTO Y AMPLIACION DEL SERVICIO DE EDUCACION SUPERIOR TECNOLOGICA EN EL INSTITUTO SUPERIOR TECNOLOGICO PUBLICO DE MACUSANI DISTRITO DE MACUSANI - PROVINCIA DE CARABAYA - DEPARTAMENTO DE PUNO</t>
  </si>
  <si>
    <t xml:space="preserve">2344324</t>
  </si>
  <si>
    <t xml:space="preserve">2344324: MEJORAMIENTO DE LOS SERVICIOS EDUCATIVOS DE LA I.E.S. MANUEL GONZALES PRADA, CENTRO POBLADO DE ISANI - DISTRITO DE ZEPITA - PROVINCIA DE CHUCUITO - REGION PUNO</t>
  </si>
  <si>
    <t xml:space="preserve">2490075</t>
  </si>
  <si>
    <t xml:space="preserve">2490075: MEJORAMIENTO DEL SERVICIO EDUCATIVO DEL NIVEL SECUNDARIA DE LA I.E. AGROPECUARIO SAN JUAN DEL ORO EN EL DISTRITO DE SAN JUAN DEL ORO - PROVINCIA DE SANDIA - DEPARTAMENTO DE PUNO</t>
  </si>
  <si>
    <t xml:space="preserve">2570978</t>
  </si>
  <si>
    <t xml:space="preserve">2570978: MEJORAMIENTO DE LOS SERVICIOS DE EDUCACION SUPERIOR DEL INSTITUTO SUPERIOR TECNOLOGICO PUBLICA DE CABANILLAS DEL DISTRITO DE CABANILLAS - PROVINCIA DE SAN ROMAN - DEPARTAMENTO DE PUNO</t>
  </si>
  <si>
    <t xml:space="preserve">2591926</t>
  </si>
  <si>
    <t xml:space="preserve">2591926: MEJORAMIENTO SERVICIO DE EDUCACION SUPERIOR TECNOLOGICA EN EL INSTITUTO SUPERIOR TECNOLOGICO PUBLICO JOSE DOMINGO CHOQUEHUANCA DEL DISTRITO DE JOSE DOMINGO CHOQUEHUANCA DE LA PROVINCIA DE AZANGARO DEL DEPARTAMENTO DE PUNO</t>
  </si>
  <si>
    <t xml:space="preserve">Contrata / Personal/bienes/servicios</t>
  </si>
  <si>
    <t xml:space="preserve">2629119</t>
  </si>
  <si>
    <t xml:space="preserve">2629119.MEJORAMIENTO DEL SERVICIO DE EDUCACION SECUNDARIA EN I.E. ROSASPATA DE CENTRO POBLADO ROSASPATA DISTRITO DE ROSASPATA DE LA PROVINCIA DE HUANCANE DEL DEPARTAMENTO DE PUNO</t>
  </si>
  <si>
    <t xml:space="preserve">Administración directa / Contrata / Personal/bienes/servicios / Equipamiento</t>
  </si>
  <si>
    <t xml:space="preserve">2539673</t>
  </si>
  <si>
    <t xml:space="preserve">2539673: MEJORAMIENTO Y AMPLIACION DEL SERVICIO DE EDUCACION SUPERIOR TECNOLOGICA EN EL INSTITUTO SUPERIOR TECNOLOGICO PUBLICO DE JULI, DISTRITO DE JULI - PROVINCIA DE CHUCUITO - DEPARTAMENTO DE PUNO</t>
  </si>
  <si>
    <t xml:space="preserve">Contrata</t>
  </si>
  <si>
    <t xml:space="preserve">2637985</t>
  </si>
  <si>
    <t xml:space="preserve">2637985: MEJORAMIENTO DEL SERVICIO DE EDUCACION SECUNDARIA EN I.E. LLAULLI DE CENTRO POBLADO LLAULLI DISTRITO DE MOHO DE LA PROVINCIA DE MOHO DEL DEPARTAMENTO DE PUNO</t>
  </si>
  <si>
    <t xml:space="preserve">2664940</t>
  </si>
  <si>
    <t xml:space="preserve">2664940: MEJORAMIENTO DEL SERVICIO DE EDUCACION INICIAL EN I.E. 1099 INMACULADA DISTRITO DE PUTINA DE LA PROVINCIA DE SAN ANTONIO DE PUTINA DEL DEPARTAMENTO DE PUNO</t>
  </si>
  <si>
    <t xml:space="preserve">Administración directa / Contrata / Expediente técnico / Equipamiento / Personal/bienes/servicios</t>
  </si>
  <si>
    <t xml:space="preserve">2637997</t>
  </si>
  <si>
    <t xml:space="preserve">2637997: MEJORAMIENTO DEL SERVICIO DE EDUCACION SECUNDARIA EN I.E. UMUCHI DISTRITO DE MOHO DE LA PROVINCIA DE MOHO DEL DEPARTAMENTO DE PUNO</t>
  </si>
  <si>
    <t xml:space="preserve">2650476</t>
  </si>
  <si>
    <t xml:space="preserve">2650476.ADQUISICION DE EQUIPAMIENTO DE AMBIENTES COMPLEMENTARIOS Y MOBILIARIO DE AULA; EN EL(LA) I.E. EL CENTENARIO DISTRITO DE PUTINA, PROVINCIA SAN ANTONIO DE PUTINA, DEPARTAMENTO PUNO</t>
  </si>
  <si>
    <t xml:space="preserve">Equipamiento / Contrata / Administración directa / Personal/bienes/servicios</t>
  </si>
  <si>
    <t xml:space="preserve">2695845</t>
  </si>
  <si>
    <t xml:space="preserve">2695845.MEJORAMIENTO DEL SERVICIO DE EDUCACION SECUNDARIA EN I.E. SAN FRANCISCO DE BORJA DISTRITO DE TARACO DE LA PROVINCIA DE HUANCANE DEL DEPARTAMENTO DE PUNO</t>
  </si>
  <si>
    <t xml:space="preserve">Expediente técnico</t>
  </si>
  <si>
    <t xml:space="preserve">2196865</t>
  </si>
  <si>
    <t xml:space="preserve">2196865: MEJORAMIENTO DEL SERVICIO EDUCATIVO DE NIVEL INICIAL ESCOLARIZADO EN LA I.E.I. LLUNGO, DISTRITO DE ATUNCOLLA, PROVINCIA DE PUNO - PUNO.</t>
  </si>
  <si>
    <t xml:space="preserve">Contrata / Personal/bienes/servicios / Administración directa</t>
  </si>
  <si>
    <t xml:space="preserve">2301117</t>
  </si>
  <si>
    <t xml:space="preserve">2301117: MEJORAMIENTO DEL SERVICIO EDUCATIVO EN LAS INSTITUCIONES EDUCATIVAS PRIMARIAS N 70511, N 70815 Y N 72637, DISTRITO DE ORURILLO - MELGAR - PUNO</t>
  </si>
  <si>
    <t xml:space="preserve">Administración directa</t>
  </si>
  <si>
    <t xml:space="preserve">2623682</t>
  </si>
  <si>
    <t xml:space="preserve">2623682: RENOVACION DE AULA DE EDUCACION SUPERIOR PEDAGOGICA, LABORATORIO Y/O TALLER Y AMBIENTE COMPLEMENTARIO; REPARACION DE CERCO Y/O PORTADA; ADEMAS DE OTROS ACTIVOS EN EL(LA) INSTITUTO DE EDUCACION SUPERIOR PEDAGOGICO HUANCANE DEL DISTRITO DE HUANCANE, PROVINCIA HUANCANE, DEPARTAMENTO PUNO</t>
  </si>
  <si>
    <t xml:space="preserve">2196822</t>
  </si>
  <si>
    <t xml:space="preserve">2196822: INSTALACION DEL SERVICIO DE EDUCACION INICIAL DE LA I.E.I. NRO. 94 DEL CENTRO POBLADO DE UMUCHI, DISTRITO DE MOHO, PROVINCIA DE MOHO, DEPARTAMENTO DE PUNO.</t>
  </si>
  <si>
    <t xml:space="preserve">Contrata / Administración directa / Personal/bienes/servicios</t>
  </si>
  <si>
    <t xml:space="preserve">2194504</t>
  </si>
  <si>
    <t xml:space="preserve">2194504: INSTALACION DEL SERVICIO EDUCATIVO DEL NIVEL SECUNDARIO EN LA I.E.S. RODOLFO DIESEL, DISTRITO DE JULIACA, PROVINCIA SAN ROMAN - PUNO.</t>
  </si>
  <si>
    <t xml:space="preserve">2196834</t>
  </si>
  <si>
    <t xml:space="preserve">2196834: MEJORAMIENTO DE LOS SERVICIOS DE EDUCACION INICIAL EN LA I.E.I. CUCURAYA DE LA COMUNIDAD DE CUCURAYA, DISTRITO DE TILALI, PROVINCIA DE MOHO - PUNO.</t>
  </si>
  <si>
    <t xml:space="preserve">Administración directa / Contrata / Equipamiento / Personal/bienes/servicios</t>
  </si>
  <si>
    <t xml:space="preserve">2490131</t>
  </si>
  <si>
    <t xml:space="preserve">2490131: MEJORAMIENTO DEL SERVICIO DE EDUCACION SECUNDARIA DE LA IES CABANILLAS, DISTRITO DE CABANILLAS - PROVINCIA DE SAN ROMAN - DEPARTAMENTO DE PUNO</t>
  </si>
  <si>
    <t xml:space="preserve">Contrata / Personal/bienes/servicios / Laudos arbitrales</t>
  </si>
  <si>
    <t xml:space="preserve">2196857</t>
  </si>
  <si>
    <t xml:space="preserve">2196857: INSTALACION DEL SERVICIO EDUCATIVO EN LA INSTITUCION EDUCATIVA INICIAL N 986 SAN JUAN BAUTISTA DEL DISTRITO DE JULIACA, PROVINCIA DE SAN ROMAN - PUNO</t>
  </si>
  <si>
    <t xml:space="preserve">2194462</t>
  </si>
  <si>
    <t xml:space="preserve">2194462: INSTALACION DEL SERVICIO DE EDUCACION SECUNDARIA THOMAS ALVA EDISON EN LA URBANIZACION CHILLA - LOS ROSALES EN EL DISTRITO DE JULIACA, PROVINCIA DE SAN ROMAN.</t>
  </si>
  <si>
    <t xml:space="preserve">2467893</t>
  </si>
  <si>
    <t xml:space="preserve">2467893: MEJORAMIENTO DEL SERVICIO EDUCATIVO DEL NIVEL SECUNDARIA DE LA I.E.S. TARACO DEL DISTRITO DE TARACO - PROVINCIA DE HUANCANE - DEPARTAMENTO DE PUNO</t>
  </si>
  <si>
    <t xml:space="preserve">2194702</t>
  </si>
  <si>
    <t xml:space="preserve">2194702: MEJORAMIENTO DE LA CARRETERA (PU 675) POMATA - YOROHOCO, PROVINCIA DE CHUCUITO - PUNO</t>
  </si>
  <si>
    <t xml:space="preserve">2287700</t>
  </si>
  <si>
    <t xml:space="preserve">2287700: MEJORAMIENTO DE LA CARRETERA PU N-110: EMP. PE-34I ASIRUNI - ROSASPATA - HUAYRAPATA - EMP. PE-34I NINANTAYA, DISTRITOS DE VILQUECHICO-ROSASPATA-MOHO-HUAYRAPATA, PROVINCIA DE HUANCANE Y MOHO - PUNO</t>
  </si>
  <si>
    <t xml:space="preserve">2480499</t>
  </si>
  <si>
    <t xml:space="preserve">2480499: MEJORAMIENTO DE LA CARRETERA PU 146; EMP PE - 34 I (HUANCANE) - HUERTAPATA - VISCACHANI - QUELLAHUYO - EMP PE - 34 (CACUÑA), DISTRITO DE HUANCANE - PROVINCIA DE HUANCANE - DEPARTAMENTO DE PUNO</t>
  </si>
  <si>
    <t xml:space="preserve">Administración directa / Contrata</t>
  </si>
  <si>
    <t xml:space="preserve">2300575</t>
  </si>
  <si>
    <t xml:space="preserve">2300575: MEJORAMIENTO DE LA AVENIDA CIRCUNVALACION II (EMP. PE- 3S-AV. HUANCANE-CIRCUNVALACION ESTE-EMP PE-3S) DE LA CIUDAD DE JULIACA- EMPALME PU-3S INICIO CON CIRCUNVALACION II - DISTRITO DE SAN MIGUEL - EMPALME PU-3S FINAL CON CIRCUNVALACION II - DISTRITO DE CARACOTO - PROVINCIA DE SAN ROMAN - REGION PUNO</t>
  </si>
  <si>
    <t xml:space="preserve">2031310</t>
  </si>
  <si>
    <t xml:space="preserve">2031310: CONSTRUCCION Y MEJORAMIENTO DE LA CARRETERA SAN JOSE (EMP. R 100) VALLE GRANDE -ISILLUMA DEL DISTRITO DE ALTO INAMBARI</t>
  </si>
  <si>
    <t xml:space="preserve">2163760</t>
  </si>
  <si>
    <t xml:space="preserve">2163760: MEJORAMIENTO DE LA INFRAESTRUCTURA VIAL TURISTICO, TRAMO PHUTINI - JAYU JAYU, DISTRITO DE ACORA - PUNO - PUNO</t>
  </si>
  <si>
    <t xml:space="preserve">2375549</t>
  </si>
  <si>
    <t xml:space="preserve">2375549: CREACION DE LA INFRAESTRUCTURA DE INTEGRACION VIAL ENTRE SANDIA (CP. QUENEQUE) Y PATAMBUCO (C.P. TIRACA), DISTRITO DE SANDIA Y PATAMBUCO, PROVINCIA DE SANDIA - PUNO</t>
  </si>
  <si>
    <t xml:space="preserve">2321290</t>
  </si>
  <si>
    <t xml:space="preserve">2321290: MEJORAMIENTO DE LOS SERVICIOS DE TRANSITABILIDAD DE LA VIA VECINAL PU-595: DV. PAMPA BLANCA - RINCONADA - CERRO LUNAR, DISTRITO DE ANANEA, PROVINCIA DE SAN ANTONIO DE PUTINA - PUNO</t>
  </si>
  <si>
    <t xml:space="preserve">Contrata / Laudos arbitrales / Personal/bienes/servicios</t>
  </si>
  <si>
    <t xml:space="preserve">2475053</t>
  </si>
  <si>
    <t xml:space="preserve">2475053: MEJORAMIENTO DEL SERVICIO DE MOVILIDAD URBANA DE LA AV. ANDRES AVELINO CACERES (TRAMO: AV. TUPAC YUPANQUI - AV. AVIACION), AV. LOS GERANIOS DEL DISTRITO DE JULIACA - PROVINCIA DE SAN ROMAN - DEPARTAMENTO DE PUNO</t>
  </si>
  <si>
    <t xml:space="preserve">2131661</t>
  </si>
  <si>
    <t xml:space="preserve">2131661: CONSTRUCCION Y MEJORAMIENTO DE LA CARRETERA DESVIO VILQUECHICO-COJATA-SINA-YANAHUAYA</t>
  </si>
  <si>
    <t xml:space="preserve">Administración directa / Equipamiento</t>
  </si>
  <si>
    <t xml:space="preserve">2195487</t>
  </si>
  <si>
    <t xml:space="preserve">2195487: MEJORAMIENTO DEL CAMINO VECINAL (EMP. PE 3S) HUAQUINA ZAPIJICANE - PTO JULI - CHUCASUYO DEL DISTRITO DE JULI - PROVINCIA DE CHUCUITO - DEPARTAMENTO DE PUNO</t>
  </si>
  <si>
    <t xml:space="preserve">2514428</t>
  </si>
  <si>
    <t xml:space="preserve">2514428: CREACION DEL SERVICIO DE INTERCONEXION DE MOVILIDAD URBANA EN LA VIA TRONCAL DEL PUENTE YARAJA DISTRITO DE AZANGARO - PROVINCIA DE AZANGARO - DEPARTAMENTO DE PUNO</t>
  </si>
  <si>
    <t xml:space="preserve">2436247</t>
  </si>
  <si>
    <t xml:space="preserve">2436247.MEJORAMIENTO DEL CAMINO VECINAL RUTA PU-713, EMP. PE 3S (AYAVIRI - DESV. CALUYO - TINAJANI - L. PROV. LAMPA), DISTRITO DE AYAVIRI - PROVINCIA DE MELGAR - DEPARTAMENTO DE PUNO</t>
  </si>
  <si>
    <t xml:space="preserve">Contrata / Personal/bienes/servicios / Expediente técnico</t>
  </si>
  <si>
    <t xml:space="preserve">2603167</t>
  </si>
  <si>
    <t xml:space="preserve">2603167.MEJORAMIENTO DEL SERVICIO DE TRANSITABILIDAD VIAL INTERURBANA EN LA CARRETERA PU - 1233 (ILAVE) - ANOKARIRI (EMP. - 1234), ANOKARIRI - SACUYO - SECTOR NUEVA ALIANZA, PU 1103 (SECTOR NUEVA ALIANZA) - EMP. PE 36P (LARAQUERI PICHACANI) DISTRITOS DE I</t>
  </si>
  <si>
    <t xml:space="preserve">Administración directa / Contrata / Expediente técnico / Personal/bienes/servicios / Equipamiento</t>
  </si>
  <si>
    <t xml:space="preserve">2585540</t>
  </si>
  <si>
    <t xml:space="preserve">2585540: MEJORAMIENTO DEL SERVICIO DE TRANSITABILIDAD VIAL INTERURBANA EN LA CARRETERA PU-139 (HDA. POTONI) - SAN JOSE, - COLLANA - EMP. PU-111 - PUENTE YARAJA (AZANGARO) DISTRITOS DE POTONI, SAN JOSE DE LA PROVINCIA DE AZANGARO DEL DEPARTAMENTO DE PUNO</t>
  </si>
  <si>
    <t xml:space="preserve">Administración directa / Contrata / Expediente técnico / Personal/bienes/servicios</t>
  </si>
  <si>
    <t xml:space="preserve">2603165</t>
  </si>
  <si>
    <t xml:space="preserve">2603165: MEJORAMIENTO DEL SERVICIO DE TRANSITABILIDAD VIAL INTERURBANA EN LA CARRETERA TRAMO ACHAYA - EMP. PU 113(ARAPA), DE LOS DISTRITOS DE ACHAYA, ARAPA DE LA PROVINCIA DE AZANGARO DEL DEPARTAMENTO DE PUNO</t>
  </si>
  <si>
    <t xml:space="preserve">Administración directa / Contrata / Equipamiento / Personal/bienes/servicios / Expediente técnico</t>
  </si>
  <si>
    <t xml:space="preserve">2185578</t>
  </si>
  <si>
    <t xml:space="preserve">2185578: MEJORAMIENTO DE LA CARRETERA DV. DESAGUADERO (EMP PE 36A) - KELLUYO - PISACOMA, PROVINCIA DE CHUCUITO - PUNO</t>
  </si>
  <si>
    <t xml:space="preserve">2515272</t>
  </si>
  <si>
    <t xml:space="preserve">2515272: RECUPERACION DEL PUENTE COLGANTE PEATONAL SOBRE EL RIO INAMBARI EN LA LOCALIDAD SANTA ROSA YANAMAYO DEL DISTRITO DE ALTO INAMBARI - PROVINCIA DE SANDIA - DEPARTAMENTO DE PUNO</t>
  </si>
  <si>
    <t xml:space="preserve">2585540.MEJORAMIENTO DEL SERVICIO DE TRANSITABILIDAD VIAL INTERURBANA EN LA CARRETERA PU-139 (HDA. POTONI) - SAN JOSE, - COLLANA - EMP. PU-111 - PUENTE YARAJA (AZANGARO) DISTRITOS DE POTONI, SAN JOSE DE LA PROVINCIA DE AZANGARO DEL DEPARTAMENTO DE PUNO</t>
  </si>
  <si>
    <t xml:space="preserve">2440946</t>
  </si>
  <si>
    <t xml:space="preserve">2440946.MEJORAMIENTO DEL SERVICIO DE TRANSITABILIDAD VEHICULAR DE LA CARRETERA TRAMO ACHAYA (PU-140) - ESTRELLA (EMP. PE- 3S) DEL DISTRITO DE ACHAYA - PROVINCIA DE AZANGARO - DEPARTAMENTO DE PUNO</t>
  </si>
  <si>
    <t xml:space="preserve">2055915</t>
  </si>
  <si>
    <t xml:space="preserve">2055915: MEJORAMIENTO DE LA CARRETERA AZANGARO - SAYTOCOCHA - SANDIA - SAN JUAN DEL ORO</t>
  </si>
  <si>
    <t xml:space="preserve">Personal/bienes/servicios</t>
  </si>
  <si>
    <t xml:space="preserve">2131389</t>
  </si>
  <si>
    <t xml:space="preserve">2131389: MEJORAMIENTO DE LA INFRAESTRUCTURA VIAL DEL CIRCUITO TURISTICO LAGO SAGRADO DE LOS INCAS - DISTRITOS CAPACHICA, CHUCUITO, PLATERIA, ACORA, ILAVE</t>
  </si>
  <si>
    <t xml:space="preserve">2232371</t>
  </si>
  <si>
    <t xml:space="preserve">2232371: MEJORAMIENTO Y CONSTRUCCION DE LA CARRETERA PICHACANI - YURACMAYO DISTRITO DE PICHACANI Y SAN ANTONIO, PROVINCIA DE PUNO - PUNO</t>
  </si>
  <si>
    <t xml:space="preserve">2443679</t>
  </si>
  <si>
    <t xml:space="preserve">2443679: MEJORAMIENTO DEL SERVICIO DE TRANSITABILIDAD VEHICULAR DE LA CARRETERA TRAMO I: EMP- 34L (COJATA) - HUANCASAYA, TRAMO II: HUANCASAYA - TARUCANI-EMP-PU-115 (INCHUPALLA), DEL DISTRITO DE COJATA - PROVINCIA DE HUANCANE - DEPARTAMENTO DE PUNO</t>
  </si>
  <si>
    <t xml:space="preserve">2163853</t>
  </si>
  <si>
    <t xml:space="preserve">2163853: MEJORAMIENTO DEL ESTADIO MUNICIPAL CESAR RAUL CARRERA DEL DISTRITO DE AZANGARO, PROVINCIA DE AZANGARO - PUNO</t>
  </si>
  <si>
    <t xml:space="preserve">2188542</t>
  </si>
  <si>
    <t xml:space="preserve">2188542: MEJORAMIENTO DE LA CAPACIDAD DE PRESTACION DE SERVICIOS DEPORTIVOS EN EL ESTADIO GUILLERMO BRICEÑO ROSAMEDINA DE LA CIUDAD DE JULIACA, PROVINCIA DE SAN ROMAN - PUNO</t>
  </si>
  <si>
    <t xml:space="preserve">Administración directa / Equipamiento / Contrata / Laudos arbitrales / Personal/bienes/servicios</t>
  </si>
  <si>
    <t xml:space="preserve">2186641</t>
  </si>
  <si>
    <t xml:space="preserve">2186641: MEJORAMIENTO DEL SERVICIO DEPORTIVO, CULTURAL Y RECREACIONAL EN LA CAPITAL DE LA REGION PUNO</t>
  </si>
  <si>
    <t xml:space="preserve">2646100</t>
  </si>
  <si>
    <t xml:space="preserve">2646100: CONSTRUCCION DE CAMPO DEPORTIVO Y SERVICIOS HIGIENICOS Y/O VESTIDORES PARA PERSONAL; REPARACION DE TRIBUNA Y/O PALCO; EN EL(LA) ESTADIO MUNICIPAL DE SAN PEDRO DE PUTINA PUNCO DISTRITO DE SAN PEDRO DE PUTINA PUNCO, PROVINCIA SANDIA, DEPARTAMENTO PUNO</t>
  </si>
  <si>
    <t xml:space="preserve">2645380</t>
  </si>
  <si>
    <t xml:space="preserve">2645380: CONSTRUCCION DE TRIBUNA Y/O PALCO, CAMPO DEPORTIVO Y PISTA DE ATLETISMO (DEPORTE RECREATIVO); REPARACION DE SERVICIOS HIGIENICOS Y/O VESTIDORES; ADEMAS DE OTROS ACTIVOS EN EL(LA) ESTADIO MUNICIPAL FERNANDO ROMERO CARREON DISTRITO DE LAMPA, PROVINCIA LAMPA, DEPARTAMENTO PUNO</t>
  </si>
  <si>
    <t xml:space="preserve">2646096</t>
  </si>
  <si>
    <t xml:space="preserve">2646096: CONSTRUCCION DE TRIBUNA Y/O PALCO; REPARACION DE TRIBUNA Y/O PALCO Y CAMPO DEPORTIVO; EN EL(LA) ESTADIO JOSE CARLOS MARIATEGUI DISTRITO DE YUNGUYO, PROVINCIA YUNGUYO, DEPARTAMENTO PUNO</t>
  </si>
  <si>
    <t xml:space="preserve">2645340</t>
  </si>
  <si>
    <t xml:space="preserve">2645340: REPARACION DE TRIBUNA Y/O PALCO Y SERVICIOS HIGIENICOS Y/O VESTIDORES; CONSTRUCCION DE CAMPO DEPORTIVO; EN EL(LA) ESTADIO MUNICIPAL CRUCERO DISTRITO DE CRUCERO, PROVINCIA CARABAYA, DEPARTAMENTO PUNO</t>
  </si>
  <si>
    <t xml:space="preserve">2555837</t>
  </si>
  <si>
    <t xml:space="preserve">2555837: REPARACION DE CAMPO DEPORTIVO; ADQUISICION DE EQUIPO NO DEPORTIVO PARA INSTALACIONES DEPORTIVAS; EN EL(LA) ESTADIO ENRIQUE TORRES BELON DISTRITO DE PUNO, PROVINCIA PUNO, DEPARTAMENTO PUNO</t>
  </si>
  <si>
    <t xml:space="preserve">2593683</t>
  </si>
  <si>
    <t xml:space="preserve">2593683: REPARACION DE PISTA DE ATLETISMO (COMPETENCIA); ADQUISICION DE TORRE DE ILUMINACION; EN EL(LA) ESTADIO ENRIQUE TORRES BELON DEL DISTRITO DE PUNO, PROVINCIA PUNO, DEPARTAMENTO PUNO</t>
  </si>
  <si>
    <t xml:space="preserve">2592407</t>
  </si>
  <si>
    <t xml:space="preserve">2592407: MEJORAMIENTO DE LOS SERVICIOS OPERATIVOS O MISIONALES INSTITUCIONALES EN LA OFICINA DE EQUIPO MECANICO DEL GOBIERNO REGIONAL PUNO DISTRITO DE PUNO DE LA PROVINCIA DE PUNO DEL DEPARTAMENTO DE PUNO</t>
  </si>
  <si>
    <t xml:space="preserve">Equipamiento / Contrata / Personal/bienes/servicios</t>
  </si>
  <si>
    <t xml:space="preserve">2230752</t>
  </si>
  <si>
    <t xml:space="preserve">2230752: MEJORAMIENTO DE LOS SERVICIOS ASISTENCIALES DE LA ALDEA INFANTIL VIRGEN DE LA CANDELARIA EN EL BARRIO LA RINCONADA DEL CENTRO POBLADO DE SALCEDO, DISTRITO DE PUNO, PROVINCIA DE PUNO, REGION DE PUNO</t>
  </si>
  <si>
    <t xml:space="preserve">2194989</t>
  </si>
  <si>
    <t xml:space="preserve">2194989: MEJORAMIENTO DE LOS SERVICIOS EDUCATIVOS EN LA INSTITUCION EDUCATIVA SECUNDARIA DANTE NAVA DEL CENTRO POBLADO SANTA CRUZ DE PUNA AYLLU, DISTRITO DE PATAMBUCO, PROVINCIA DE SANDIA, REGION PUNO</t>
  </si>
  <si>
    <t xml:space="preserve">Meta sin número en Alex; asignado por CUI</t>
  </si>
  <si>
    <t xml:space="preserve">EJECUCIÓN POR ADMINISTRACIÓN DIRECTA &gt; EJECUCIÓN POR ADMINISTRACIÓN DIRECTA - DIRECTIVA 17</t>
  </si>
  <si>
    <t xml:space="preserve">2504553</t>
  </si>
  <si>
    <t xml:space="preserve">2504553: MEJORAMIENTO DEL SERVICIO DE SALUD EN EL CENTRO DE SALUD YANAPATA DE LA MICRO RED COPANI, RED DE SALUD YUNGUYO, DISTRITO DE YUNGUYO - PROVINCIA DE YUNGUYO - DEPARTAMENTO DE PUNO</t>
  </si>
  <si>
    <t xml:space="preserve">2470517</t>
  </si>
  <si>
    <t xml:space="preserve">2470517: MEJORAMIENTO DE LOS SERVICIOS DE SALUD DEL CENTRO DE SALUD COPANI DE LA MICRO RED COPANI, RED DE SALUD YUNGUYO, DISTRITO DE COPANI - PROVINCIA DE YUNGUYO - DEPARTAMENTO DE PUNO</t>
  </si>
  <si>
    <t xml:space="preserve">2357092</t>
  </si>
  <si>
    <t xml:space="preserve">2357092: MEJORAMIENTO DE LA CAPACIDAD RESOLUTIVA DEL CENTRO DE SALUD COJATA I-4, DE LA MICRO RED COJATA, RED DE SALUD HUANCANE, DIRESA PUNO, DISTRITO DE COJATA - PROVINCIA DE HUANCANE - DEPARTAMENTO DE PUNO</t>
  </si>
  <si>
    <t xml:space="preserve">2494039</t>
  </si>
  <si>
    <t xml:space="preserve">2494039: MEJORAMIENTO Y AMPLIACION DE LOS SERVICIOS DE SALUD EN EL ESTABLECIMIENTO DE SALUD UMACHIRI CATEGORIA I-2 DEL DISTRITO DE UMACHIRI - PROVINCIA DE MELGAR - DEPARTAMENTO DE PUNO</t>
  </si>
  <si>
    <t xml:space="preserve">2290342</t>
  </si>
  <si>
    <t xml:space="preserve">2290342: MEJORAMIENTO DE LA CAPACIDAD RESOLUTIVA DE LOS SERVICIOS DEL PUESTO DE SALUD I - 1 DEL CENTRO POBLADO DE CARI CARI DEL DISTRITO DE MAÑAZO - PROVINCIA DE PUNO - DEPARTAMENTO DE PUNO</t>
  </si>
  <si>
    <t xml:space="preserve">Administración directa / Equipamiento / Contrata / Expediente técnico / Personal/bienes/servicios</t>
  </si>
  <si>
    <t xml:space="preserve">2451529</t>
  </si>
  <si>
    <t xml:space="preserve">2451529: MEJORAMIENTO DEL SERVICIO DE SALUD EN EL CENTRO DE SALUD PILCUYO DE LA MICRORED PILCUYO, RED DE SALUD EL COLLAO, DEL DISTRITO DE PILCUYO - PROVINCIA DE EL COLLAO - DEPARTAMENTO DE PUNO</t>
  </si>
  <si>
    <t xml:space="preserve">2411336</t>
  </si>
  <si>
    <t xml:space="preserve">2411336: MEJORAMIENTO SERVICIO INTEGRAL DE LA INSTITUCION EDUCATIVA SECUNDARIA INDUSTRIAL PERU BIRF DISTRITO DE SAN MIGUEL - PROVINCIA DE SAN ROMAN - DEPARTAMENTO DE PUNO</t>
  </si>
  <si>
    <t xml:space="preserve">Administración directa / Equipamiento / Contrata / Personal/bienes/servicios / Laudos arbitrales</t>
  </si>
  <si>
    <t xml:space="preserve">2284935</t>
  </si>
  <si>
    <t xml:space="preserve">2284935: MEJORAMIENTO DEL SERVICIO EDUCATIVO EN LA IES POLITECNICO REGIONAL LOS ANDES, DISTRITO DE JULIACA, PROVINCIA DE SAN ROMAN - PUNO</t>
  </si>
  <si>
    <t xml:space="preserve">2357330</t>
  </si>
  <si>
    <t xml:space="preserve">2357330: MEJORAMIENTO DEL SERVICIO EDUCATIVO DE LAS CARRERAS DE PRODUCCION AGROPECUARIA, MECANICA DE PRODUCCION, COMPUTACION E INFORMATICA, ENFERMERIA TECNICA EN EL INSTITUTO SUPERIOR TECNOLOGICO PUBLICO DE HUANCANE DISTRITO DE HUANCANE - PROVINCIA DE HUANCANE - DEPARTAMENTO DE PUNO</t>
  </si>
  <si>
    <t xml:space="preserve">2357322</t>
  </si>
  <si>
    <t xml:space="preserve">2357322: MEJORAMIENTO SERVICIO EDUCATIVO EN LA IES. 32 MARIANO H. CORNEJO DE LA LOCALIDAD DE JULIACA - DISTRITO DE JULIACA - PROVINCIA DE SAN ROMAN - REGION PUNO</t>
  </si>
  <si>
    <t xml:space="preserve">2385673</t>
  </si>
  <si>
    <t xml:space="preserve">2385673: MEJORAMIENTO DEL SERVICIO EDUCATIVO DE LA I.E.S. LAS MERCEDES DE LA CIUDAD DE JULIACA - DISTRITO DE JULIACA - PROVINCIA DE SAN ROMAN - DEPARTAMENTO DE PUNO</t>
  </si>
  <si>
    <t xml:space="preserve">2585543</t>
  </si>
  <si>
    <t xml:space="preserve">2585543: MEJORAMIENTO Y AMPLIACION DEL SERVICIO DE EDUCACION SUPERIOR TECNOLOGICA EN EL INSTITUTO DE EDUCACION SUPERIOR TECNOLOGICO PUBLICO ACORA DEL DISTRITO DE ACORA DE LA PROVINCIA DE PUNO DEL DEPARTAMENTO DE PUNO</t>
  </si>
  <si>
    <t xml:space="preserve">2535611</t>
  </si>
  <si>
    <t xml:space="preserve">2535611: MEJORAMIENTO Y AMPLIACION DEL SERVICIO DE EDUCACION SUPERIOR TECNOLOGICO PUBLICO EN EL INSTITUTO ANDRES AVELINO CACERES DISTRITO DE PUTINA - PROVINCIA DE SAN ANTONIO DE PUTINA - DEPARTAMENTO DE PUNO</t>
  </si>
  <si>
    <t xml:space="preserve">2538950</t>
  </si>
  <si>
    <t xml:space="preserve">2538950: MEJORAMIENTO DEL SERVICIO EDUCATIVO DEL NIVEL PRIMARIO DE LA I.E. 71008 EN EL DISTRITO DE LAMPA - PROVINCIA DE LAMPA - DEPARTAMENTO DE PUNO</t>
  </si>
  <si>
    <t xml:space="preserve">2289661</t>
  </si>
  <si>
    <t xml:space="preserve">2289661: MEJORAMIENTO DE LOS SERVICIOS EDUCATIVOS EN LA I.E.S. DOS DE MAYO DE CARACOTO, DISTRITO DE CARACOTO - SAN ROMAN - PUNO</t>
  </si>
  <si>
    <t xml:space="preserve">2590087</t>
  </si>
  <si>
    <t xml:space="preserve">2590087: MEJORAMIENTO DEL SERVICIO DE EDUCACION SECUNDARIA EN I.E. JOSE MARIA ARGUEDAS DISTRITO DE LLALLI DE LA PROVINCIA DE MELGAR DEL DEPARTAMENTO DE PUNO</t>
  </si>
  <si>
    <t xml:space="preserve">2417765</t>
  </si>
  <si>
    <t xml:space="preserve">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</si>
  <si>
    <t xml:space="preserve">2606991</t>
  </si>
  <si>
    <t xml:space="preserve">2606991: MEJORAMIENTO DEL SERVICIO DE EDUCACION INICIAL EN I.E. 69 DISTRITO DE ANTAUTA DE LA PROVINCIA DE MELGAR DEL DEPARTAMENTO DE PUNO</t>
  </si>
  <si>
    <t xml:space="preserve">2649852</t>
  </si>
  <si>
    <t xml:space="preserve">2649852: MEJORAMIENTO DEL SERVICIO DE EDUCACION INICIAL EN I.E. 325 DISTRITO DE PUNO DE LA PROVINCIA DE PUNO DEL DEPARTAMENTO DE PUNO</t>
  </si>
  <si>
    <t xml:space="preserve">2649858</t>
  </si>
  <si>
    <t xml:space="preserve">2649858: MEJORAMIENTO DEL SERVICIO DE EDUCACION INICIAL EN I.E. EDUARDITOS DISTRITO DE PICHACANI DE LA PROVINCIA DE PUNO DEL DEPARTAMENTO DE PUNO</t>
  </si>
  <si>
    <t xml:space="preserve">2411335</t>
  </si>
  <si>
    <t xml:space="preserve">2411335: MEJORAMIENTO DEL SERVICIO EDUCATIVO EN LA I.E.S. SAN SALVADOR, - DISTRITO DE PUNO - PROVINCIA DE PUNO - DEPARTAMENTO DE PUNO</t>
  </si>
  <si>
    <t xml:space="preserve">2651383</t>
  </si>
  <si>
    <t xml:space="preserve">2651383.MEJORAMIENTO DEL SERVICIO DE EDUCACION INICIAL EN I.E. 941 DISTRITO DE CABANILLAS DE LA PROVINCIA DE SAN ROMAN DEL DEPARTAMENTO DE PUNO</t>
  </si>
  <si>
    <t xml:space="preserve">2250396</t>
  </si>
  <si>
    <t xml:space="preserve">2250396: INSTALACION DEL SERVICIO EDUCATIVO DEL NIVEL INICIAL ESCOLARIZADO CICLO II EN LA I.E.I N 707 DEL CENTRO POBLADO DE JACHOCCO HUARACO, DISTRITO ILAVE, PROVINCIA DE EL COLLAO - DEPARTAMENTO PUNO.</t>
  </si>
  <si>
    <t xml:space="preserve">2649805</t>
  </si>
  <si>
    <t xml:space="preserve">2649805: MEJORAMIENTO DEL SERVICIO DE EDUCACION INICIAL EN I.E. 881 DISTRITO DE CABANILLA DE LA PROVINCIA DE LAMPA DEL DEPARTAMENTO DE PUNO</t>
  </si>
  <si>
    <t xml:space="preserve">2627406</t>
  </si>
  <si>
    <t xml:space="preserve">2627406: RENOVACION DE AMBIENTE COMPLEMENTARIO, AULA DE EDUCACION SUPERIOR PEDAGOGICA Y CERCO PERIMETRICO; ADQUISICION DE MOBILIARIO DE AULA DE EDUCACION SUPERIOR PEDAGOGICA; ADEMAS DE OTROS ACTIVOS EN EL(LA) INSTITUTO DE EDUCACION SUPERIOR PEDAGOGICA PUBLICO JULI DEL DISTRITO DE JULI, PROVINCIA CHUCUITO, DEPARTAMENTO PUNO</t>
  </si>
  <si>
    <t xml:space="preserve">2456529</t>
  </si>
  <si>
    <t xml:space="preserve">2456529.MEJORAMIENTO DE LA CARRETERA PU 147, EMP. PE-34I JIPATA - EMP. PE-34I MOHO, DISTRITO DE MOHO - PROVINCIA DE MOHO - DEPARTAMENTO DE PUNO</t>
  </si>
  <si>
    <t xml:space="preserve">2343199</t>
  </si>
  <si>
    <t xml:space="preserve">2343199: MEJORAMIENTO DE LA CARRETERA (EMP 34B) AZANGARO - (EMP PU-102) JILA PURINA DE LOS DISTRITO DE AZANGARO - DISTRITO DE TIRAPATA - PROVINCIA DE AZANGARO - REGION PUNO</t>
  </si>
  <si>
    <t xml:space="preserve">2399543</t>
  </si>
  <si>
    <t xml:space="preserve">2399543: MEJORAMIENTO DEL CAMINO VECINAL EMP. R01 (DV. LOANI) - CAMICACHI - EMP. R12 (ROSACANI) DISTRITO DE ILAVE - PROVINCIA DE EL COLLAO - REGION PUNO</t>
  </si>
  <si>
    <t xml:space="preserve">2591951</t>
  </si>
  <si>
    <t xml:space="preserve">2591951: MEJORAMIENTO DEL SERVICIO DE TRANSITABILIDAD VIAL INTERURBANA EN EL CAMINO VECINAL DEL KM0+000 (DESVIO PUENTE OCRA CHUPA) AL KM 6+373 (C.P. PEDRO VILCAPAZA DE MORORCCO), DISTRITO DE MUÑANI DE LA PROVINCIA DE AZANGARO DEL DEPARTAMENTO DE PUNO</t>
  </si>
  <si>
    <t xml:space="preserve">2602163</t>
  </si>
  <si>
    <t xml:space="preserve">2602163: MEJORAMIENTO DEL SERVICIO DE TRANSITABILIDAD VIAL INTERURBANA EN LA CARRETERA PU 866 (EMP PE 34 I) - EMP PU 110 (SULLCA), PU 870 (DV TOTORANI: EMP PU 866) - EMP PU 872 (OCCOPAMPA), PU 872: EMP. PU - 866 (HUAYRAPATA) - OCCOPAMPA - EMP. PU - 870 DISTRITOS DE MOHO, HUAYRAPATA DE LA PROVINCIA DE MOHO DEL DEPARTAMENTO DE PUNO</t>
  </si>
  <si>
    <t xml:space="preserve">2511009</t>
  </si>
  <si>
    <t xml:space="preserve">2511009: MEJORAMIENTO DEL SERVICIO VIAL URBANO DE LA AVENIDA INDUSTRIAL DEL CENTRO POBLADO DE SALCEDO, DISTRITO DE PUNO - PROVINCIA DE PUNO - DEPARTAMENTO DE PUNO</t>
  </si>
  <si>
    <t xml:space="preserve">2634040</t>
  </si>
  <si>
    <t xml:space="preserve">2634040: MEJORAMIENTO DEL SERVICIO DE TRANSITABILIDAD VIAL INTERURBANA EN EL CAMINO VECINAL, TRAMO DESVIO PUCARA - POBLACION SALINAS - ASILLO SALINAS (KM 0+000 - 1+900) DEL DISTRITO DE SAN JUAN DE SALINAS DE LA PROVINCIA DE AZANGARO DEL DEPARTAMENTO DE PUNO</t>
  </si>
  <si>
    <t xml:space="preserve">2387422</t>
  </si>
  <si>
    <t xml:space="preserve">2387422: MEJORAMIENTO DE LA CARRETERA TRAMO II (PUENTE CULLCO) - PICHINCUTA - QUELCAHUECO - CORARACA DEL - DISTRITO DE ILAVE - PROVINCIA DE EL COLLAO - DEPARTAMENTO DE PUNO</t>
  </si>
  <si>
    <t xml:space="preserve">2527184</t>
  </si>
  <si>
    <t xml:space="preserve">2527184: MEJORAMIENTO DEL SERVICIO DE TRANSITABILIDAD VIAL DEL CAMINO VECINAL TRAMO VILLA PAXA A VENTILLA (PU- 1065) DEL DISTRITO DE PUNO - PROVINCIA DE PUNO - DEPARTAMENTO DE PUNO</t>
  </si>
  <si>
    <t xml:space="preserve">2519621</t>
  </si>
  <si>
    <t xml:space="preserve">2519621: CREACION DEL SERVICIO DE TRANSITABILIDAD VEHICULAR Y PEATONAL EN EL JR. 7 DE JUNIO Y JR. BOLOGNESI CUADRA 10 DE LA LOCALIDAD DE YUNGUYO DEL DISTRITO DE YUNGUYO - PROVINCIA DE YUNGUYO - DEPARTAMENTO DE PUNO</t>
  </si>
  <si>
    <t xml:space="preserve">2645446</t>
  </si>
  <si>
    <t xml:space="preserve">2645446: REPARACION DE TRIBUNA Y/O PALCO Y PISTA DE ATLETISMO (DEPORTE RECREATIVO); CONSTRUCCION DE CAMPO DEPORTIVO; EN EL(LA) ESTADIO DE LA GRAN UNIDAD SAN CARLOS DISTRITO DE PUNO, PROVINCIA PUNO, DEPARTAMENTO PUNO</t>
  </si>
  <si>
    <t xml:space="preserve">Contrata / Expediente técnico</t>
  </si>
  <si>
    <t xml:space="preserve">2646109</t>
  </si>
  <si>
    <t xml:space="preserve">2646109: REPARACION DE TRIBUNA Y/O PALCO; CONSTRUCCION DE CAMPO DEPORTIVO Y TRIBUNA Y/O PALCO; EN EL(LA) ESTADIO MUNICIPAL DE JULI DISTRITO DE JULI, PROVINCIA CHUCUITO, DEPARTAMENTO PUNO</t>
  </si>
  <si>
    <t xml:space="preserve">2630072</t>
  </si>
  <si>
    <t xml:space="preserve">2630072.CREACION DEL SERVICIO DE PRACTICA DEPORTIVA Y/O RECREATIVA EN COLISEO CERRADO DE AYAPATA DISTRITO DE AYAPATA DE LA PROVINCIA DE CARABAYA DEL DEPARTAMENTO DE PUNO</t>
  </si>
  <si>
    <t xml:space="preserve">2393398</t>
  </si>
  <si>
    <t xml:space="preserve">2393398: MEJORAMIENTO DEL SERVICIO EDUCATIVO DE NIVEL SECUNDARIO EN LA I.E. A - 28 PERU BIRF CENTRO POBLADO DE AZANGARO - DISTRITO DE AZANGARO - PROVINCIA DE AZANGARO - REGION PUNO</t>
  </si>
  <si>
    <t xml:space="preserve">Contrata / Personal/bienes/servicios / Equipamiento</t>
  </si>
  <si>
    <t xml:space="preserve">2500458</t>
  </si>
  <si>
    <t xml:space="preserve">2500458.MEJORAMIENTO DEL SERVICIO EDUCATIVO EN LA IEP N° 70477 SAGRADO CORAZON DE JESUS DEL DISTRITO DE AYAVIRI - PROVINCIA DE MELGAR - DEPARTAMENTO DE PUNO</t>
  </si>
  <si>
    <t xml:space="preserve">2453224</t>
  </si>
  <si>
    <t xml:space="preserve">2453224.MEJORAMIENTO DE LOS SERVICIOS DE EDUCACION SECUNDARIA DE LA INSTITUCION EDUCATIVA LIBERTADOR JOSE DE SAN MARTIN DE HUARISANI DEL DISTRITO DE HUANCANE - PROVINCIA DE HUANCANE - DEPARTAMENTO DE PUNO</t>
  </si>
  <si>
    <t xml:space="preserve">2250382</t>
  </si>
  <si>
    <t xml:space="preserve">2250382: INSTALACION DE LOS SERVICIOS DE EDUCACION INICIAL EN LA I.E.I. CHIA, DEL C.P. DE CHIA, DEL DISTRITO DE OLLACHEA - PROVINCIA CARABAYA - REGION PUNO</t>
  </si>
  <si>
    <t xml:space="preserve">2344253</t>
  </si>
  <si>
    <t xml:space="preserve">2344253: MEJORAMIENTO DEL SERVICIO EDUCATIVO EN LA I.E.S. JOSE ANTONIO ENCINAS FRANCO, CENTRO POBLADO DE LECHEMAYO DEL DISTRITO DE SAN GABAN - PROVINCIA DE CARABAYA - DEPARTAMENTO DE PUNO</t>
  </si>
  <si>
    <t xml:space="preserve">2385051</t>
  </si>
  <si>
    <t xml:space="preserve">2385051: MEJORAMIENTO DEL SERVICIO EDUCATIVO EN LA I.E.S. SAN JUAN BOSCO DE SALCEDO CON JORNADA ESCOLAR COMPLETA DISTRITO DE PUNO - PROVINCIA DE PUNO - REGION PUNO</t>
  </si>
  <si>
    <t xml:space="preserve">2566572</t>
  </si>
  <si>
    <t xml:space="preserve">2566572: MEJORAMIENTO Y AMPLIACION DE LOS SERVICIOS DE EDUCACION SUPERIOR DEL INSTITUTO SUPERIOR TECNOLOGICO PUBLICO DE NUÑOA DEL DISTRITO DE NUÑOA - PROVINCIA DE MELGAR - DEPARTAMENTO DE PUNO</t>
  </si>
  <si>
    <t xml:space="preserve">2501244</t>
  </si>
  <si>
    <t xml:space="preserve">2501244.MEJORAMIENTO DEL SERVICIO EDUCATIVO DEL NIVEL SECUNDARIA DE LA I.E. AGROPECUARIO PAMPA YANAMAYO DEL DISTRITO DE ALTO INAMBARI - PROVINCIA DE SANDIA - DEPARTAMENTO DE PUNO</t>
  </si>
  <si>
    <t xml:space="preserve">2194501</t>
  </si>
  <si>
    <t xml:space="preserve">2194501: INSTALACION DEL SERVICIO EDUCATIVO DE LA INSTITUCION EDUCATIVA SECUNDARIA SANTA MONICA EN EL DISTRITO DE JULIACA, PROVINCIA DE SAN ROMAN - PUNO.</t>
  </si>
  <si>
    <t xml:space="preserve">2251136</t>
  </si>
  <si>
    <t xml:space="preserve">2251136: MEJORAMIENTO DE LA CAPACIDAD RESOLUTIVA DEL HOSPITAL LUCIO ALDAZABAL PAUCA DE REDES HUANCANE, PROVINCIA DE HUANCANE - REGION PUNO</t>
  </si>
  <si>
    <t xml:space="preserve">2490087</t>
  </si>
  <si>
    <t xml:space="preserve">2490087: MEJORAMIENTO Y AMPLIACION DE LOS SERVICIOS DE SALUD DEL ESTABLECIMIENTO DE SALUD NIVEL I- 4 DE LA LOCALIDAD DE TARACO, DISTRITO DE TARACO - PROVINCIA DE HUANCANE - DEPARTAMENTO DE PUNO</t>
  </si>
  <si>
    <t xml:space="preserve">2357089</t>
  </si>
  <si>
    <t xml:space="preserve">2357089: MEJORAMIENTO DE LOS SERVICIOS DEL CENTRO DE SALUD ESTRATEGICO SIMON BOLIVAR CATEGORIA I-4 RED DE SALUD PUNO, DISTRITO PUNO - PROVINCIA DE PUNO - REGION PUNO DISTRITO DE PUNO - PROVINCIA DE PUNO - DEPARTAMENTO DE PUNO</t>
  </si>
  <si>
    <t xml:space="preserve">2435272</t>
  </si>
  <si>
    <t xml:space="preserve">2435272: MEJORAMIENTO Y AMPLIACION DE LOS SERVICIOS DE SALUD DEL CENTRO DE SALUD LA REVOLUCION (NIVEL I-4) DISTRITO DE SAN MIGUEL - PROVINCIA DE SAN ROMAN - DEPARTAMENTO DE PUNO</t>
  </si>
  <si>
    <t xml:space="preserve">2278822</t>
  </si>
  <si>
    <t xml:space="preserve">2278822: MEJORAMIENTO DE LOS SERVICIOS DE SALUD DEL HOSPITAL RAFAEL ORTIZ RAVINES DE JULI, PROVINCIA DE CHUCUITO - REGION PUNO</t>
  </si>
  <si>
    <t xml:space="preserve">2427364</t>
  </si>
  <si>
    <t xml:space="preserve">2427364: MEJORAMIENTO DE LOS SERVICIOS DE SALUD DEL HOSPITAL ANTONIO BARRIONUEVO DISTRITO DE LAMPA - PROVINCIA DE LAMPA - DEPARTAMENTO DE PUNO</t>
  </si>
  <si>
    <t xml:space="preserve">Contrata / Expediente técnico / Laudos arbitrales</t>
  </si>
  <si>
    <t xml:space="preserve">2227389</t>
  </si>
  <si>
    <t xml:space="preserve">2227389: AMPLIACION Y MEJORAMIENTO DE LA CAPACIDAD RESOLUTIVA DEL HOSPITAL DE APOYO SAN MARTIN DE PORRES DE MACUSANI, PROVINCIA DE CARABAYA - PUNO</t>
  </si>
  <si>
    <t xml:space="preserve">Contrata / Laudos arbitrales</t>
  </si>
  <si>
    <t xml:space="preserve">2657043</t>
  </si>
  <si>
    <t xml:space="preserve">2657043: MEJORAMIENTO Y AMPLIACION DEL SERVICIO DE ATENCION DE SALUD BASICOS EN MOHO DISTRITO DE MOHO DE LA PROVINCIA DE MOHO DEL DEPARTAMENTO DE PUNO</t>
  </si>
  <si>
    <t xml:space="preserve">Expediente técnico / Contrata</t>
  </si>
  <si>
    <t xml:space="preserve">2450812</t>
  </si>
  <si>
    <t xml:space="preserve">2450812: MEJORAMIENTO DE LOS SERVICIOS DE SALUD DEL CENTRO DE SALUD ZEPITA, MICRO RED ZEPITA, RED DE SALUD CHUCUITO, DEL DISTRITO DE ZEPITA - PROVINCIA DE CHUCUITO - DEPARTAMENTO DE PUNO</t>
  </si>
  <si>
    <t xml:space="preserve">2308220</t>
  </si>
  <si>
    <t xml:space="preserve">2308220: MEJORAMIENTO DE LA CAPACIDAD RESOLUTIVA DEL PUESTO DE SALUD DE AYMAÑA DEL CENTRO POBLADO DE AYMAÑA DEL DISTRITO DE CORANI - PROVINCIA DE CARABAYA - DEPARTAMENTO DE PUNO</t>
  </si>
  <si>
    <t xml:space="preserve">2447465</t>
  </si>
  <si>
    <t xml:space="preserve">2447465.MEJORAMIENTO DE LA INFRAESTRUCTURA VIAL EN LA AV. SACSAYHUAMAN TRAMO (JR. MIRAFLORES - AV. AVIACION), JR. AMANECER TRAMO (AV. INDEPENDENCIA - JR. MIRAFLORES) DE LA CIUDAD DE JULIACA, DISTRITO DE JULIACA - PROVINCIA DE SAN ROMAN - DEPARTAMENTO DE P</t>
  </si>
  <si>
    <t xml:space="preserve">2292669</t>
  </si>
  <si>
    <t xml:space="preserve">2292669: MEJORAMIENTO Y AMPLIACION DEL SERVICIO DEPORTIVO DEL ESTADIO MUNICIPAL DE LA LOCALIDAD DE AYAVIRI DEL DISTRITO DE AYAVIRI - PROVINCIA DE MELGAR - DEPARTAMENTO DE PUNO</t>
  </si>
  <si>
    <t xml:space="preserve">2645376</t>
  </si>
  <si>
    <t xml:space="preserve">2645376: REPARACION DE TRIBUNA Y/O PALCO Y CAMPO DEPORTIVO; CONSTRUCCION DE TRIBUNA Y/O PALCO Y PISTA DE ATLETISMO (DEPORTE RECREATIVO); ADEMAS DE OTROS ACTIVOS EN EL(LA) ESTADIO MUNICIPAL DE PUTINA DISTRITO DE PUTINA, PROVINCIA SAN ANTONIO DE PUTINA, DEPARTAMENTO PUNO</t>
  </si>
  <si>
    <t xml:space="preserve">2492442</t>
  </si>
  <si>
    <t xml:space="preserve">2492442.MEJORAMIENTO Y AMPLIACION DE LOS SERVICIOS DE AGUA POTABLE Y ALCANTARILLADO SANITARIO EN LA LOCALIDAD DE CARACOTO DEL DISTRITO DE CARACOTO - PROVINCIA DE SAN ROMAN - DEPARTAMENTO DE PUNO</t>
  </si>
  <si>
    <t xml:space="preserve">Contrata / Administración directa</t>
  </si>
  <si>
    <t xml:space="preserve">2699927</t>
  </si>
  <si>
    <t xml:space="preserve">2699927.CONSTRUCCION DE INSTALACIONES EXTERIORES DE SERVICIOS BASICOS Y CASA DE FUERZA; EN EL(LA) HOSPITAL SANDIA EN EL CENTRO POBLADO SANDIA, DISTRITO DE SANDIA, PROVINCIA SANDIA, DEPARTAMENTO PUNO</t>
  </si>
  <si>
    <t xml:space="preserve">2681074</t>
  </si>
  <si>
    <t xml:space="preserve">2681074.MEJORAMIENTO DEL SERVICIO DE ATENCION DE SALUD BASICOS EN ALTO PAVITA DISTRITO DE ZEPITA DE LA PROVINCIA DE CHUCUITO DEL DEPARTAMENTO DE PUNO</t>
  </si>
  <si>
    <t xml:space="preserve">2662467</t>
  </si>
  <si>
    <t xml:space="preserve">2662467: MEJORAMIENTO DEL SERVICIO DE EDUCACION SUPERIOR TECNOLOGICA EN EL INSTITUTO SUPERIOR TECNOLOGICO PUBLICA CHUPA DEL DISTRITO DE CHUPA DE LA PROVINCIA DE AZANGARO DEL DEPARTAMENTO DE PUNO</t>
  </si>
  <si>
    <t xml:space="preserve">2650268</t>
  </si>
  <si>
    <t xml:space="preserve">2650268: MEJORAMIENTO DEL SERVICIO DE EDUCACION INICIAL EN I.E. 1243 DISTRITO DE MAÑAZO DE LA PROVINCIA DE PUNO DEL DEPARTAMENTO DE PUNO</t>
  </si>
  <si>
    <t xml:space="preserve">2652473</t>
  </si>
  <si>
    <t xml:space="preserve">2652473: MEJORAMIENTO DEL SERVICIO DE EDUCACION INICIAL EN I.E. 944 DISTRITO DE JULIACA DE LA PROVINCIA DE SAN ROMAN DEL DEPARTAMENTO DE PUNO</t>
  </si>
  <si>
    <t xml:space="preserve">2681042</t>
  </si>
  <si>
    <t xml:space="preserve">2681042.MEJORAMIENTO DEL SERVICIO DE EDUCACION SUPERIOR TECNOLOGICA EN EL INSTITUTO SUPERIOR TECNOLOGICO PUBLICA MAÑAZO DEL DISTRITO DE MAÑAZO DE LA PROVINCIA DE PUNO DEL DEPARTAMENTO DE PUNO</t>
  </si>
  <si>
    <t xml:space="preserve">2659573</t>
  </si>
  <si>
    <t xml:space="preserve">2659573.MEJORAMIENTO DEL SERVICIO DE EDUCACION PRIMARIA EN I.E. 73003 DISTRITO DE HUANCANE DE LA PROVINCIA DE HUANCANE DEL DEPARTAMENTO DE PUNO</t>
  </si>
  <si>
    <t xml:space="preserve">2663002</t>
  </si>
  <si>
    <t xml:space="preserve">2663002.MEJORAMIENTO DEL SERVICIO DE EDUCACION SECUNDARIA EN I.E. HUAPACA SAN MIGUEL DE CENTRO POBLADO HUAPACA SAN MIGUEL DISTRITO DE POMATA DE LA PROVINCIA DE CHUCUITO DEL DEPARTAMENTO DE PUNO</t>
  </si>
  <si>
    <t xml:space="preserve">2681028</t>
  </si>
  <si>
    <t xml:space="preserve">2681028.MEJORAMIENTO DEL SERVICIO DE EDUCACION SECUNDARIA EN I.E. JOSE CARLOS MARIATEGUI DISTRITO DE ILAVE DE LA PROVINCIA DE EL COLLAO DEL DEPARTAMENTO DE PUNO</t>
  </si>
  <si>
    <t xml:space="preserve">2690009</t>
  </si>
  <si>
    <t xml:space="preserve">2690009.CONSTRUCCION DE LOSA DEPORTIVA; ADQUISICION DE EQUIPAMIENTO DE AULA DE INNOVACION PEDAGOGICA Y MOBILIARIO DE AULA DE INNOVACION PEDAGOGICA; EN EL(LA) I.E. 70064 SAN MARTIN DE PORRES DISTRITO DE PUNO, PROVINCIA PUNO, DEPARTAMENTO PUNO</t>
  </si>
  <si>
    <t xml:space="preserve">2624292</t>
  </si>
  <si>
    <t xml:space="preserve">2624292.MEJORAMIENTO DE LOS SERVICIOS EDUCACION SUPERIOR PEDAGOGICA EN EL INSTITUTO DE EDUCACION SUPERIOR PEDAGOGICO PUBLICO DE AYAVIRI DEL DISTRITO DE AYAVIRI DE LA PROVINCIA DE MELGAR DEL DEPARTAMENTO DE PUNO</t>
  </si>
  <si>
    <t xml:space="preserve">2492963</t>
  </si>
  <si>
    <t xml:space="preserve">2492963.MEJORAMIENTO DE LOS SERVICIO EDUCATIVOS EN LA INSTITUCION EDUCATIVA INICIAL N° 68 DE LA LOCALIDAD DE AYAVIRI DEL DISTRITO DE AYAVIRI - PROVINCIA DE MELGAR - DEPARTAMENTO DE PUNO</t>
  </si>
  <si>
    <t xml:space="preserve">2650271</t>
  </si>
  <si>
    <t xml:space="preserve">2650271.MEJORAMIENTO DEL SERVICIO DE EDUCACION INICIAL EN I.E. 335 DISTRITO DE MOHO DE LA PROVINCIA DE MOHO DEL DEPARTAMENTO DE PUNO</t>
  </si>
  <si>
    <t xml:space="preserve">2651636</t>
  </si>
  <si>
    <t xml:space="preserve">2651636.MEJORAMIENTO DEL SERVICIO DE EDUCACION INICIAL EN I.E. ARICATO DISTRITO DE PHARA DE LA PROVINCIA DE SANDIA DEL DEPARTAMENTO DE PUNO</t>
  </si>
  <si>
    <t xml:space="preserve">2670402</t>
  </si>
  <si>
    <t xml:space="preserve">2670402.MEJORAMIENTO DEL SERVICIO DE EDUCACION SECUNDARIA EN I.E. SAN AGUSTIN DISTRITO DE COATA DE LA PROVINCIA DE PUNO DEL DEPARTAMENTO DE PUNO</t>
  </si>
  <si>
    <t xml:space="preserve">2681029</t>
  </si>
  <si>
    <t xml:space="preserve">2681029.MEJORAMIENTO DEL SERVICIO DE EDUCACION SECUNDARIA EN I.E. CESAR VALLEJO DISTRITO DE HUANCANE DE LA PROVINCIA DE HUANCANE DEL DEPARTAMENTO DE PUNO</t>
  </si>
  <si>
    <t xml:space="preserve">2681019</t>
  </si>
  <si>
    <t xml:space="preserve">2681019.MEJORAMIENTO DEL SERVICIO DE EDUCACION SECUNDARIA EN I.E. JOSE OLAYA BALANDRA DISTRITO DE JULIACA DE LA PROVINCIA DE SAN ROMAN DEL DEPARTAMENTO DE PUNO</t>
  </si>
  <si>
    <t xml:space="preserve">2681037</t>
  </si>
  <si>
    <t xml:space="preserve">2681037.MEJORAMIENTO DEL SERVICIO DE EDUCACION SECUNDARIA EN I.E. CENTENARIO PATAMBUCO DISTRITO DE PATAMBUCO DE LA PROVINCIA DE SANDIA DEL DEPARTAMENTO DE PUNO</t>
  </si>
  <si>
    <t xml:space="preserve">2681054</t>
  </si>
  <si>
    <t xml:space="preserve">2681054.MEJORAMIENTO DEL SERVICIO DE EDUCACION PRIMARIA EN I.E. 70291 DISTRITO DE HUACULLANI DE LA PROVINCIA DE CHUCUITO DEL DEPARTAMENTO DE PUNO</t>
  </si>
  <si>
    <t xml:space="preserve">2700348</t>
  </si>
  <si>
    <t xml:space="preserve">2700348.MEJORAMIENTO DEL SERVICIO DE EDUCACION PRIMARIA EN I.E. 70288 DISTRITO DE DESAGUADERO DE LA PROVINCIA DE CHUCUITO DEL DEPARTAMENTO DE PUNO</t>
  </si>
  <si>
    <t xml:space="preserve">2650804</t>
  </si>
  <si>
    <t xml:space="preserve">2650804.MEJORAMIENTO DEL SERVICIO DE EDUCACION PRIMARIA EN I.E. 73010 DISTRITO DE SAN PEDRO DE PUTINA PUNCO DE LA PROVINCIA DE SANDIA DEL DEPARTAMENTO DE PUNO</t>
  </si>
  <si>
    <t xml:space="preserve">2681015</t>
  </si>
  <si>
    <t xml:space="preserve">2681015.CREACION DEL SERVICIO DE EDUCACION SUPERIOR TECNOLOGICA EN INSTITUTO SUPERIOR TECNOLOGICO MARIANO CHANCATUMA EN LA LOCALIDAD DE ASILLO DISTRITO DE ASILLO DE LA PROVINCIA DE AZANGARO DEL DEPARTAMENTO DE PUNO</t>
  </si>
  <si>
    <t xml:space="preserve">2539948</t>
  </si>
  <si>
    <t xml:space="preserve">2539948.MEJORAMIENTO DEL SERVICIO DE TRANSITABILIDAD VIAL INTERURBANA EN EL CAMINO VECINAL R2106057 - TRAMO DESVIO CHUQUIAGUILLO, CUYURAYA, CHICASCO, ISAÑCUYO, SINTICUYO Y HUANCARANI DEL DISTRITO DE VILQUE CHICO DE LA PROVINCIA DE HUANCANE DEL DEPARTAMENT</t>
  </si>
  <si>
    <t xml:space="preserve">2710291</t>
  </si>
  <si>
    <t xml:space="preserve">2710291.MEJORAMIENTO DEL SERVICIO DE TRANSITABILIDAD VIAL INTERURBANA EN LA CARRETERA SAMAN (EMP. PU 804) - JUCCHILLY (DV. CHUCARIPO),PESQUERIA (EMP. PU - 113), CHUCARIPO-TITIHUE (EMP. PU 154), DV. QUEJON MOCCO (EMP. PU - 804) - QUEJON MOCCO -HOCUATA DE L</t>
  </si>
  <si>
    <t xml:space="preserve">2682870</t>
  </si>
  <si>
    <t xml:space="preserve">2682870.MEJORAMIENTO DEL SERVICIO DE TRANSITABILIDAD VIAL INTERURBANA EN LA CARRETERA EMP. PE 34L (PUENTE ANTAJARANI) - C.P. MACHACAMARCA YAPUTIRA, - C.P. HALLA - ALTOGRANDE - EMP. PU-148 (C.C. UMABAMBA) DISTRITOS DE VILQUE CHICO, COJATA DE LA PROVINCIA D</t>
  </si>
  <si>
    <t xml:space="preserve">2681092</t>
  </si>
  <si>
    <t xml:space="preserve">2681092.MEJORAMIENTO DEL SERVICIO DE TRANSITABILIDAD VIAL INTERURBANA EN LA CARRETERA EMP. PU 115: VIZCACHANI, - TOQUEPANI - LLOCOLLOCO - EMP. PU 115: INCHUPALLA DISTRITOS DE HUATASANI, INCHUPALLA DE LA PROVINCIA DE HUANCANE DEL DEPARTAMENTO DE PUNO</t>
  </si>
  <si>
    <t xml:space="preserve">2575299</t>
  </si>
  <si>
    <t xml:space="preserve">2575299.MEJORAMIENTO DEL SERVICIO DE TRANSITABILIDAD VIAL INTERURBANA EN EL TRAMO TIQUILLACA - CONDORIRI DEL DISTRITO DE TIQUILLACA DE LA PROVINCIA DE PUNO DEL DEPARTAMENTO DE PUNO</t>
  </si>
  <si>
    <t xml:space="preserve">2642160</t>
  </si>
  <si>
    <t xml:space="preserve">2642160.MEJORAMIENTO DEL SERVICIO DE TRANSITABILIDAD VIAL INTERURBANA EN EN LA VIA VECINAL PU-713, L. PROV. LAMPA - QUISHUARANI - SALLAPATA - HUERTA -EMP. PU-124 (VILAVILA), DISTRITO DE VILAVILA DE LA PROVINCIA DE LAMPA DEL DEPARTAMENTO DE PUNO</t>
  </si>
  <si>
    <t xml:space="preserve">2669470</t>
  </si>
  <si>
    <t xml:space="preserve">2669470.MEJORAMIENTO DEL SERVICIO DE TRANSITABILIDAD VIAL INTERURBANA EN LA CARRETERA PU-617 (SAN JOSE - SAN ANTON), PU-624 (EMP. PE-34 B: SAN ANTON - EMP. PU-622: VILLAPAMPA) -PU-622 (EMP. PU-624: VILLAPAMPA - LARIMAYO) DE LOS DISTRITOS DE SAN JOSE, ANTA</t>
  </si>
  <si>
    <t xml:space="preserve">2681096</t>
  </si>
  <si>
    <t xml:space="preserve">2681096.MEJORAMIENTO DEL SERVICIO DE TRANSITABILIDAD VIAL INTERURBANA EN LA CARRETERA EMP. PE-3S (CHUA CHUA) - MOLINO - CHALLAPAMPA SANTA ROSA - EMP. PU-130 (TACAPISI), QUECCUANI - COPANI DE LOS DISTRITOS DE ZEPITA, COPANI DE LAS PROVINCIAS DE CHUCUITO, Y</t>
  </si>
  <si>
    <t xml:space="preserve">2692317</t>
  </si>
  <si>
    <t xml:space="preserve">2692317.CONSTRUCCION DE PLATAFORMA Y DRENAJE TRANSVERSAL; REPARACION DE PLATAFORMA; ADQUISICION DE DISPOSITIVO DE CONTROL DE TRANSITO; EN EL(LA) CARRETERA PU-111 (EMP. JR. SULLANA - EMP. JR. LIMA) DISTRITO DE AZANGARO, PROVINCIA AZANGARO, DEPARTAMENTO PUN</t>
  </si>
  <si>
    <t xml:space="preserve">2654204</t>
  </si>
  <si>
    <t xml:space="preserve">2654204.MEJORAMIENTO DEL SERVICIO DE TRANSITABILIDAD VIAL INTERURBANA EN LA CARRETERA PU - 1068 (CONDORIRI, - JUNCAL) DE LOS DISTRITOS DE TIQUILLACA, SAN ANTONIO DE LA PROVINCIA DE PUNO DEL DEPARTAMENTO DE PUNO</t>
  </si>
  <si>
    <t xml:space="preserve">2131661.CONSTRUCCION Y MEJORAMIENTO DE LA CARRETERA DESVIO VILQUECHICO-COJATA-SINA-YANAHUAYA</t>
  </si>
  <si>
    <t xml:space="preserve">2727133</t>
  </si>
  <si>
    <t xml:space="preserve">2727133.CONSTRUCCION DE PUENTE; EN EL(LA) CARRETERA PU 588 - ACCESO AL CENTRO POBLADO DE CURVA ALEGRE (PUENTE NUEVA ESPERANZA), DISTRITO DE SAN PEDRO DE PUTINA PUNCO, PROVINCIA SANDIA, DEPARTAMENTO PUNO</t>
  </si>
  <si>
    <t xml:space="preserve">2727299</t>
  </si>
  <si>
    <t xml:space="preserve">2727299.CONSTRUCCION DE PUENTE; EN EL(LA) CARRETERA R211223 EN ACCESO AL C.P. VICTORIA, DISTRITO DE SAN PEDRO DE PUTINA PUNCO, PROVINCIA SANDIA, DEPARTAMENTO PUNO</t>
  </si>
  <si>
    <t xml:space="preserve">2186641.MEJORAMIENTO DEL SERVICIO DEPORTIVO, CULTURAL Y RECREACIONAL EN LA CAPITAL DE LA REGION PUNO</t>
  </si>
  <si>
    <t xml:space="preserve">2714049</t>
  </si>
  <si>
    <t xml:space="preserve">2714049.REPARACION DE CAMPO DEPORTIVO; EN EL(LA) POLIDEPORTIVO AZANGARO DISTRITO DE AZANGARO, PROVINCIA AZANGARO, DEPARTAMENTO PUNO</t>
  </si>
  <si>
    <t xml:space="preserve">2518131</t>
  </si>
  <si>
    <t xml:space="preserve">2518131.AMPLIACION Y MEJORAMIENTO DE LOS SERVICIOS DE ADMINISTRACION DE JUSTICIA DE LOS ORGANOS JURISDICCIONALES DE LA SEDE CENTRAL DEL DISTRITO JUDICIAL DE PUNO, DISTRITO DE PUNO - PROVINCIA DE PUNO - DEPARTAMENTO DE PUNO</t>
  </si>
  <si>
    <t xml:space="preserve">2357091</t>
  </si>
  <si>
    <t xml:space="preserve">2357091: MEJORAMIENTO DE LA CAPACIDAD RESOLUTIVA DEL CENTRO DE SALUD COATA I-3 DE LA MICRORED JAE, RED DE SALUD PUNO - DIRESA PUNO, - DISTRITO DE COATA - PROVINCIA DE PUNO - REGION PUNO</t>
  </si>
  <si>
    <t xml:space="preserve">2380088</t>
  </si>
  <si>
    <t xml:space="preserve">2380088: MEJORAMIENTO Y AMPLIACION DE LOS SERVICIOS DE SALUD DEL HOSPITAL CARLOS CORNEJO ROSELLO VIZCARDO DE LA CIUDAD DE AZANGARO, DISTRITO Y PROVINCIA DE AZANGARO, DEPARTAMENTO DE PUNO</t>
  </si>
  <si>
    <t xml:space="preserve">2476464</t>
  </si>
  <si>
    <t xml:space="preserve">2476464: MEJORAMIENTO Y AMPLIACION DE LOS SERVICIOS DE SALUD DEL CENTRO DE SALUD KELLUYO DEL DISTRITO DE KELLUYO - PROVINCIA DE CHUCUITO - DEPARTAMENTO DE PUNO</t>
  </si>
  <si>
    <t xml:space="preserve">2517448</t>
  </si>
  <si>
    <t xml:space="preserve">2517448: MEJORAMIENTO DEL SERVICIO DE SALUD EN EL CENTRO DE SALUD SAN GABAN, DISTRITO DE SAN GABAN - PROVINCIA DE CARABAYA - DEPARTAMENTO DE PUNO</t>
  </si>
  <si>
    <t xml:space="preserve">2551456</t>
  </si>
  <si>
    <t xml:space="preserve">2551456: MEJORAMIENTO DE LOS SERVICIOS DE SALUD DEL CENTRO DE SALUD GUADALUPE, DISTRITO DE JULIACA - PROVINCIA DE SAN ROMAN - DEPARTAMENTO DE PUNO</t>
  </si>
  <si>
    <t xml:space="preserve">2570943</t>
  </si>
  <si>
    <t xml:space="preserve">2570943: MEJORAMIENTO Y AMPLIACION DE LOS SERVICIOS DE SALUD DEL ESTABLECIMIENTO DE SALUD OLLARAYA, DISTRITO DE OLLARAYA - PROVINCIA DE YUNGUYO - DEPARTAMENTO DE PUNO</t>
  </si>
  <si>
    <t xml:space="preserve">2578405</t>
  </si>
  <si>
    <t xml:space="preserve">2578405: MEJORAMIENTO Y AMPLIACION DEL SERVICIO DE ATENCION DE SALUD BASICOS EN CHUPA - CHUPA DISTRITO DE CHUPA DE LA PROVINCIA DE AZANGARO DEL DEPARTAMENTO DE PUNO</t>
  </si>
  <si>
    <t xml:space="preserve">2585395</t>
  </si>
  <si>
    <t xml:space="preserve">2585395: MEJORAMIENTO DEL SERVICIO DE ATENCION DE SALUD BASICOS EN CAPACHICA DISTRITO DE CAPACHICA DE LA PROVINCIA DE PUNO DEL DEPARTAMENTO DE PUNO</t>
  </si>
  <si>
    <t xml:space="preserve">2594994</t>
  </si>
  <si>
    <t xml:space="preserve">2594994: MEJORAMIENTO Y AMPLIACION DEL SERVICIO DE ATENCION DE SALUD BASICOS EN ASILLO DISTRITO DE ASILLO DE LA PROVINCIA DE AZANGARO DEL DEPARTAMENTO DE PUNO</t>
  </si>
  <si>
    <t xml:space="preserve">2599489</t>
  </si>
  <si>
    <t xml:space="preserve">2599489: CONSTRUCCION DE CONSULTORIO; ADQUISICION DE EQUIPOS BIOMEDICOS Y MOBILIARIO CLINICO; EN EL(LA) HOSPITAL SANDIA DISTRITO DE SANDIA, PROVINCIA SANDIA, DEPARTAMENTO PUNO</t>
  </si>
  <si>
    <t xml:space="preserve">2603161</t>
  </si>
  <si>
    <t xml:space="preserve">2603161: MEJORAMIENTO DEL SERVICIO DE ATENCION DE SALUD BASICOS EN MAÑAZO DISTRITO DE MAÑAZO DE LA PROVINCIA DE PUNO DEL DEPARTAMENTO DE PUNO</t>
  </si>
  <si>
    <t xml:space="preserve">2623878</t>
  </si>
  <si>
    <t xml:space="preserve">2623878: MEJORAMIENTO DEL SERVICIO DE ATENCION DE SALUD BASICOS EN CABANILLA DISTRITO DE CABANILLA DE LA PROVINCIA DE LAMPA DEL DEPARTAMENTO DE PUNO</t>
  </si>
  <si>
    <t xml:space="preserve">2623879</t>
  </si>
  <si>
    <t xml:space="preserve">2623879: MEJORAMIENTO DEL SERVICIO DE ATENCION DE SALUD BASICOS EN LARAQUERI DISTRITO DE PICHACANI DE LA PROVINCIA DE PUNO DEL DEPARTAMENTO DE PUNO</t>
  </si>
  <si>
    <t xml:space="preserve">2632832</t>
  </si>
  <si>
    <t xml:space="preserve">2632832: MEJORAMIENTO DEL SERVICIO DE ATENCION DE SALUD BASICOS EN VALLECITO DISTRITO DE PUNO DE LA PROVINCIA DE PUNO DEL DEPARTAMENTO DE PUNO</t>
  </si>
  <si>
    <t xml:space="preserve">2649778</t>
  </si>
  <si>
    <t xml:space="preserve">2649778: MEJORAMIENTO DEL SERVICIO DE ATENCION DE SALUD BASICOS EN CHIJNAYA DISTRITO DE PUCARA DE LA PROVINCIA DE LAMPA DEL DEPARTAMENTO DE PUNO</t>
  </si>
  <si>
    <t xml:space="preserve">2649779</t>
  </si>
  <si>
    <t xml:space="preserve">2649779: MEJORAMIENTO DEL SERVICIO DE ATENCION DE SALUD BASICOS EN HUAYCHO DISTRITO DE NUÑOA DE LA PROVINCIA DE MELGAR DEL DEPARTAMENTO DE PUNO</t>
  </si>
  <si>
    <t xml:space="preserve">2649780</t>
  </si>
  <si>
    <t xml:space="preserve">2649780: MEJORAMIENTO DEL SERVICIO DE ATENCION DE SALUD BASICOS EN ACOCOLLO DISTRITO DE HUANCANE DE LA PROVINCIA DE HUANCANE DEL DEPARTAMENTO DE PUNO</t>
  </si>
  <si>
    <t xml:space="preserve">2649782</t>
  </si>
  <si>
    <t xml:space="preserve">2649782: MEJORAMIENTO DEL SERVICIO DE ATENCION DE SALUD BASICOS EN CAYARANI DISTRITO DE ORURILLO DE LA PROVINCIA DE MELGAR DEL DEPARTAMENTO DE PUNO</t>
  </si>
  <si>
    <t xml:space="preserve">2649786</t>
  </si>
  <si>
    <t xml:space="preserve">2649786: MEJORAMIENTO DEL SERVICIO DE ATENCION DE SALUD BASICOS EN PASIRI DISTRITO DE JULI DE LA PROVINCIA DE CHUCUITO DEL DEPARTAMENTO DE PUNO</t>
  </si>
  <si>
    <t xml:space="preserve">2649788</t>
  </si>
  <si>
    <t xml:space="preserve">2649788: MEJORAMIENTO DEL SERVICIO DE ATENCION DE SALUD BASICOS EN CALLAZA DISTRITO DE HUACULLANI DE LA PROVINCIA DE CHUCUITO DEL DEPARTAMENTO DE PUNO</t>
  </si>
  <si>
    <t xml:space="preserve">2649789</t>
  </si>
  <si>
    <t xml:space="preserve">2649789: MEJORAMIENTO DEL SERVICIO DE ATENCION DE SALUD BASICOS EN CALLACAMI DISTRITO DE JULI DE LA PROVINCIA DE CHUCUITO DEL DEPARTAMENTO DE PUNO</t>
  </si>
  <si>
    <t xml:space="preserve">2649790</t>
  </si>
  <si>
    <t xml:space="preserve">2649790: MEJORAMIENTO DEL SERVICIO DE ATENCION DE SALUD BASICOS EN CHEJANI DISTRITO DE PHARA DE LA PROVINCIA DE SANDIA DEL DEPARTAMENTO DE PUNO</t>
  </si>
  <si>
    <t xml:space="preserve">2649793</t>
  </si>
  <si>
    <t xml:space="preserve">2649793: MEJORAMIENTO DEL SERVICIO DE ATENCION DE SALUD BASICOS EN NINANTAYA DISTRITO DE MOHO DE LA PROVINCIA DE MOHO DEL DEPARTAMENTO DE PUNO</t>
  </si>
  <si>
    <t xml:space="preserve">2649794</t>
  </si>
  <si>
    <t xml:space="preserve">2649794: MEJORAMIENTO DEL SERVICIO DE ATENCION DE SALUD BASICOS EN SACUYO RIO GRANDE DISTRITO DE ACORA DE LA PROVINCIA DE PUNO DEL DEPARTAMENTO DE PUNO</t>
  </si>
  <si>
    <t xml:space="preserve">2658003</t>
  </si>
  <si>
    <t xml:space="preserve">2658003: MEJORAMIENTO DEL SERVICIO DE ATENCION DE SALUD BASICOS EN ACCASO DISTRITO DE PILCUYO DE LA PROVINCIA DE EL COLLAO DEL DEPARTAMENTO DE PUNO</t>
  </si>
  <si>
    <t xml:space="preserve">2188379</t>
  </si>
  <si>
    <t xml:space="preserve">2188379: MEJORAMIENTO DEL SERVICIO EDUCATIVO DE LA INSTITUCION EDUCATIVA PRIMARIA N 70605 DOMINGO SAVIO DE JULIACA, DISTRITO DE JULIACA, PROVINCIA DE SAN ROMAN - PUNO</t>
  </si>
  <si>
    <t xml:space="preserve">2384978</t>
  </si>
  <si>
    <t xml:space="preserve">2384978: MEJORAMIENTO DE LOS SERVICIOS DE EDUCACION SECUNDARIA EN LA INSTITUCION EDUCATIVA PUBLICA MILITAR INCA MANCO CAPAC , CENTRO POBLADO DE TOTORANI - DISTRITO DE PUNO - PROVINCIA DE PUNO - REGION PUNO</t>
  </si>
  <si>
    <t xml:space="preserve">2525250</t>
  </si>
  <si>
    <t xml:space="preserve">2525250: MEJORAMIENTO Y AMPLIACION DEL SERVICIO EDUCATIVO DEL NIVEL PRIMARIA DE LA I.E. Nº 70316 SAGRADO CORAZON DE JESUS DISTRITO DE ILAVE - PROVINCIA DE EL COLLAO - DEPARTAMENTO DE PUNO</t>
  </si>
  <si>
    <t xml:space="preserve">2585923</t>
  </si>
  <si>
    <t xml:space="preserve">2585923: MEJORAMIENTO DEL SERVICIO DE EDUCACION PRIMARIA EN I.E. 71016 MARIA AUXILIADORA DISTRITO DE JULIACA DE LA PROVINCIA DE SAN ROMAN DEL DEPARTAMENTO DE PUNO</t>
  </si>
  <si>
    <t xml:space="preserve">2616445</t>
  </si>
  <si>
    <t xml:space="preserve">2616445: MEJORAMIENTO DEL SERVICIO DE EDUCACION SECUNDARIA EN I.E. CRFA LUPAKAS JULI DISTRITO DE JULI DE LA PROVINCIA DE CHUCUITO DEL DEPARTAMENTO DE PUNO</t>
  </si>
  <si>
    <t xml:space="preserve">2618450</t>
  </si>
  <si>
    <t xml:space="preserve">2618450: MEJORAMIENTO DEL SERVICIO DE EDUCACION PRIMARIA EN I.E. 70001 DISTRITO DE PUNO DE LA PROVINCIA DE PUNO DEL DEPARTAMENTO DE PUNO</t>
  </si>
  <si>
    <t xml:space="preserve">2638009</t>
  </si>
  <si>
    <t xml:space="preserve">2638009: MEJORAMIENTO DEL SERVICIO DE EDUCACION SECUNDARIA EN I.E. HUARAYA DE CENTRO POBLADO HUARAYA DISTRITO DE MOHO DE LA PROVINCIA DE MOHO DEL DEPARTAMENTO DE PUNO</t>
  </si>
  <si>
    <t xml:space="preserve">2652118</t>
  </si>
  <si>
    <t xml:space="preserve">2652118: MEJORAMIENTO DEL SERVICIO DE EDUCACION PRIMARIA EN I.E. 70726 DISTRITO DE PUNO DE LA PROVINCIA DE PUNO DEL DEPARTAMENTO DE PUNO</t>
  </si>
  <si>
    <t xml:space="preserve">2652119</t>
  </si>
  <si>
    <t xml:space="preserve">2652119: MEJORAMIENTO DEL SERVICIO DE EDUCACION PRIMARIA EN I.E. 70802 DISTRITO DE PUNO DE LA PROVINCIA DE PUNO DEL DEPARTAMENTO DE PUNO</t>
  </si>
  <si>
    <t xml:space="preserve">2652120</t>
  </si>
  <si>
    <t xml:space="preserve">2652120: MEJORAMIENTO DEL SERVICIO DE EDUCACION PRIMARIA EN I.E. 70682 DISTRITO DE PUNO DE LA PROVINCIA DE PUNO DEL DEPARTAMENTO DE PUNO</t>
  </si>
  <si>
    <t xml:space="preserve">2655774</t>
  </si>
  <si>
    <t xml:space="preserve">2655774: MEJORAMIENTO DEL SERVICIO DE EDUCACION SECUNDARIA EN I.E. SOLLOCOTA DE CENTRO POBLADO VIRGEN DEL ROSARIO SOLLOCOTA DISTRITO DE SAN JOSE DE LA PROVINCIA DE AZANGARO DEL DEPARTAMENTO DE PUNO</t>
  </si>
  <si>
    <t xml:space="preserve">2656882</t>
  </si>
  <si>
    <t xml:space="preserve">2656882: MEJORAMIENTO DEL SERVICIO DE EDUCACION SECUNDARIA EN I.E. AGROINDUSTRIAL MAXIMO SAN ROMAN CACERES DE AJJATIRA, DE CENTRO POBLADO SANTIAGO AJJATIRA DISTRITO DE PEDRO VILCA APAZA DE LA PROVINCIA DE SAN ANTONIO DE PUTINA DEL DEPARTAMENTO DE PUNO</t>
  </si>
  <si>
    <t xml:space="preserve">2659574</t>
  </si>
  <si>
    <t xml:space="preserve">2659574: MEJORAMIENTO DEL SERVICIO DE EDUCACION SECUNDARIA EN I.E. JOSE ABELARDO QUIÑONES GONZALES DISTRITO DE MOHO DE LA PROVINCIA DE MOHO DEL DEPARTAMENTO DE PUNO</t>
  </si>
  <si>
    <t xml:space="preserve">2660479</t>
  </si>
  <si>
    <t xml:space="preserve">2660479: MEJORAMIENTO DEL SERVICIO DE EDUCACION SECUNDARIA EN I.E. 20 DE ENERO DISTRITO DE JULIACA DE LA PROVINCIA DE SAN ROMAN DEL DEPARTAMENTO DE PUNO</t>
  </si>
  <si>
    <t xml:space="preserve">2662668</t>
  </si>
  <si>
    <t xml:space="preserve">2662668: MEJORAMIENTO DEL SERVICIO DE EDUCACION PRIMARIA EN I.E. 72060 DE CENTRO POBLADO YURAJCHUPA DISTRITO DE SAN JUAN DE SALINAS DE LA PROVINCIA DE AZANGARO DEL DEPARTAMENTO DE PUNO</t>
  </si>
  <si>
    <t xml:space="preserve">2662786</t>
  </si>
  <si>
    <t xml:space="preserve">2662786: MEJORAMIENTO DEL SERVICIO DE EDUCACION PRIMARIA EN I.E. 72662 DE CENTRO POBLADO CALLA DISTRITO DE SAN JUAN DE SALINAS DE LA PROVINCIA DE AZANGARO DEL DEPARTAMENTO DE PUNO</t>
  </si>
  <si>
    <t xml:space="preserve">2664647</t>
  </si>
  <si>
    <t xml:space="preserve">2664647: MEJORAMIENTO DEL SERVICIO DE EDUCACION SECUNDARIA EN I.E. JOSE CARLOS MARIATEGUI DISTRITO DE SAN JUAN DE SALINAS DE LA PROVINCIA DE AZANGARO DEL DEPARTAMENTO DE PUNO</t>
  </si>
  <si>
    <t xml:space="preserve">2673628</t>
  </si>
  <si>
    <t xml:space="preserve">2673628: MEJORAMIENTO DEL SERVICIO DE EDUCACION PRIMARIA EN I.E. 72289 DE CENTRO POBLADO HUARISANI DISTRITO DE HUANCANE DE LA PROVINCIA DE HUANCANE DEL DEPARTAMENTO DE PUNO</t>
  </si>
  <si>
    <t xml:space="preserve">2357337</t>
  </si>
  <si>
    <t xml:space="preserve">2357337: MEJORAMIENTO Y AMPLIACION DEL SERVICIO EDUCATIVO DE LA ESCUELA SUPERIOR DE FORMACION ARTISTICA PUBLICA (ESFAP - PUNO), DISTRITO DE PUNO - PROVINCIA DE PUNO - REGION PUNO</t>
  </si>
  <si>
    <t xml:space="preserve">2623873</t>
  </si>
  <si>
    <t xml:space="preserve">2623873: MEJORAMIENTO DE LOS SERVICIOS EDUCACION SUPERIOR PEDAGOGICA EN EL INSTITUTO DE EDUCACION SUPERIOR PEDAGOGICO DE EDUCACION FISICA DE LAMPA DEL DISTRITO DE LAMPA DE LA PROVINCIA DE LAMPA DEL DEPARTAMENTO DE PUNO</t>
  </si>
  <si>
    <t xml:space="preserve">2403888</t>
  </si>
  <si>
    <t xml:space="preserve">2403888: MEJORAMIENTO DE LOS SERVICIOS DE EDUCACION SUPERIOR DEL INSTITUTO DE EDUCACION SUPERIOR TECNOLOGICO PUBLICA DESAGUADERO DEL DISTRITO DE DESAGUADERO - PROVINCIA DE CHUCUITO - DEPARTAMENTO DE PUNO</t>
  </si>
  <si>
    <t xml:space="preserve">2570033</t>
  </si>
  <si>
    <t xml:space="preserve">2570033: MEJORAMIENTO DE LOS SERVICIOS DE EDUCACION SUPERIOR DEL INSTITUTO SUPERIOR TECNOLOGICO PUBLICA MUÑANI DEL DISTRITO DE MUÑANI - PROVINCIA DE AZANGARO - DEPARTAMENTO DE PUNO</t>
  </si>
  <si>
    <t xml:space="preserve">2570365</t>
  </si>
  <si>
    <t xml:space="preserve">2570365: MEJORAMIENTO DEL INSTITUTO DE EDUCACION SUPERIOR TECNOLOGICO PUBLICO SANTA LUCIA DEL DISTRITO DE SANTA LUCIA - PROVINCIA DE LAMPA - DEPARTAMENTO DE PUNO</t>
  </si>
  <si>
    <t xml:space="preserve">2570369</t>
  </si>
  <si>
    <t xml:space="preserve">2570369: MEJORAMIENTO DE LOS SERVICIOS DE EDUCACION SUPERIOR DEL INSTITUTO SUPERIOR TECNOLOGICO PUBLICA SAN JUAN DEL ORO DEL DISTRITO DE SAN JUAN DEL ORO - PROVINCIA DE SANDIA - DEPAR</t>
  </si>
  <si>
    <t xml:space="preserve">2623875</t>
  </si>
  <si>
    <t xml:space="preserve">2623875: MEJORAMIENTO DEL SERVICIO DE EDUCACION SUPERIOR TECNOLOGICA EN INSTITUTO DE EDUCACION SUPERIOR TECNOLOGICO PUBLICO SAN SALVADOR DE CAPACHICA DISTRITO DE CAPACHICA DE LA PROVINCIA DE PUNO DEL DEPARTAMENTO DE PUNO</t>
  </si>
  <si>
    <t xml:space="preserve">2623876</t>
  </si>
  <si>
    <t xml:space="preserve">2623876: MEJORAMIENTO DEL SERVICIO DE EDUCACION SUPERIOR TECNOLOGICA EN EL INSTITUTO SUPERIOR TECNOLOGICO PUBLICO SANTA ROSA DEL DISTRITO DE SANTA ROSA DE LA PROVINCIA DE MELGAR DEL DEPARTAMENTO DE PUNO</t>
  </si>
  <si>
    <t xml:space="preserve">2250307</t>
  </si>
  <si>
    <t xml:space="preserve">2250307: INSTALACION DEL SERVICIO EDUCATIVO ESCOLARIZADO DEL NIVEL INICIAL DE 3 A 5 AÑOS EN LA I.E.I. PICHACANI QUIRINI, DISTRITO DE MACARI, PROVINCIA MELGAR PUNO</t>
  </si>
  <si>
    <t xml:space="preserve">2250460</t>
  </si>
  <si>
    <t xml:space="preserve">2250460: INSTALACION DEL SERVICIO EDUCATIVO DE LA INSTITUCION EDUCATIVA INICIAL CICLO II NUEVA ESPERANZA, DISTRITO DE MACARI, PROVINCIA DE MELGAR - PUNO</t>
  </si>
  <si>
    <t xml:space="preserve">2649797</t>
  </si>
  <si>
    <t xml:space="preserve">2649797: MEJORAMIENTO DEL SERVICIO DE EDUCACION INICIAL EN I.E. 1450 HUELLITAS DE MONTESSORI MIRAMAR DISTRITO DE MOHO DE LA PROVINCIA DE MOHO DEL DEPARTAMENTO DE PUNO</t>
  </si>
  <si>
    <t xml:space="preserve">2649798</t>
  </si>
  <si>
    <t xml:space="preserve">2649798: MEJORAMIENTO DEL SERVICIO DE EDUCACION INICIAL EN I.E. 056 DISTRITO DE CRUCERO DE LA PROVINCIA DE CARABAYA DEL DEPARTAMENTO DE PUNO</t>
  </si>
  <si>
    <t xml:space="preserve">2649800</t>
  </si>
  <si>
    <t xml:space="preserve">2649800: MEJORAMIENTO DEL SERVICIO DE EDUCACION INICIAL EN I.E. 1337 VISTA ALEGRE DISTRITO DE JULIACA DE LA PROVINCIA DE SAN ROMAN DEL DEPARTAMENTO DE PUNO</t>
  </si>
  <si>
    <t xml:space="preserve">2649803</t>
  </si>
  <si>
    <t xml:space="preserve">2649803: MEJORAMIENTO DEL SERVICIO DE EDUCACION INICIAL EN I.E. 72 DISTRITO DE PEDRO VILCA APAZA DE LA PROVINCIA DE SAN ANTONIO DE PUTINA DEL DEPARTAMENTO DE PUNO</t>
  </si>
  <si>
    <t xml:space="preserve">2649804</t>
  </si>
  <si>
    <t xml:space="preserve">2649804: MEJORAMIENTO DEL SERVICIO DE EDUCACION INICIAL EN I.E. 50 DISTRITO DE ORURILLO DE LA PROVINCIA DE MELGAR DEL DEPARTAMENTO DE PUNO</t>
  </si>
  <si>
    <t xml:space="preserve">2649853</t>
  </si>
  <si>
    <t xml:space="preserve">2649853: MEJORAMIENTO DEL SERVICIO DE EDUCACION INICIAL EN I.E. 1240 NIÑO JESUS DISTRITO DE VILQUE DE LA PROVINCIA DE PUNO DEL DEPARTAMENTO DE PUNO</t>
  </si>
  <si>
    <t xml:space="preserve">2649854</t>
  </si>
  <si>
    <t xml:space="preserve">2649854: MEJORAMIENTO DEL SERVICIO DE EDUCACION INICIAL EN I.E. 1291 CORAZON DE JESUS DISTRITO DE ACORA DE LA PROVINCIA DE PUNO DEL DEPARTAMENTO DE PUNO</t>
  </si>
  <si>
    <t xml:space="preserve">2649855</t>
  </si>
  <si>
    <t xml:space="preserve">2649855: MEJORAMIENTO DEL SERVICIO DE EDUCACION INICIAL EN I.E. 258 DISTRITO DE ACORA DE LA PROVINCIA DE PUNO DEL DEPARTAMENTO DE PUNO</t>
  </si>
  <si>
    <t xml:space="preserve">2649856</t>
  </si>
  <si>
    <t xml:space="preserve">2649856: MEJORAMIENTO DEL SERVICIO DE EDUCACION INICIAL EN I.E. 312 DE CENTRO POBLADO JAYU JAYU DISTRITO DE ACORA DE LA PROVINCIA DE PUNO DEL DEPARTAMENTO DE PUNO</t>
  </si>
  <si>
    <t xml:space="preserve">2649857</t>
  </si>
  <si>
    <t xml:space="preserve">2649857: MEJORAMIENTO DEL SERVICIO DE EDUCACION INICIAL EN I.E. SAN JERONIMO DISTRITO DE ATUNCOLLA DE LA PROVINCIA DE PUNO DEL DEPARTAMENTO DE PUNO</t>
  </si>
  <si>
    <t xml:space="preserve">2651086</t>
  </si>
  <si>
    <t xml:space="preserve">2651086: MEJORAMIENTO DEL SERVICIO DE EDUCACION INICIAL EN I.E. 1226 DISTRITO DE MAÑAZO DE LA PROVINCIA DE PUNO DEL DEPARTAMENTO DE PUNO</t>
  </si>
  <si>
    <t xml:space="preserve">2652121</t>
  </si>
  <si>
    <t xml:space="preserve">2652121: MEJORAMIENTO DEL SERVICIO DE EDUCACION INICIAL EN I.E. 1205 DISTRITO DE PUNO DE LA PROVINCIA DE PUNO DEL DEPARTAMENTO DE PUNO</t>
  </si>
  <si>
    <t xml:space="preserve">2659575</t>
  </si>
  <si>
    <t xml:space="preserve">2659575: MEJORAMIENTO DEL SERVICIO DE EDUCACION INICIAL EN I.E. 1223 DIVINO NIÑO JESUS DISTRITO DE COATA DE LA PROVINCIA DE PUNO DEL DEPARTAMENTO DE PUNO</t>
  </si>
  <si>
    <t xml:space="preserve">2673614</t>
  </si>
  <si>
    <t xml:space="preserve">2673614: MEJORAMIENTO DEL SERVICIO DE EDUCACION INICIAL EN I.E. HUARISANI RENJACHI DE CENTRO POBLADO HUARISANI DISTRITO DE HUANCANE DE LA PROVINCIA DE HUANCANE DEL DEPARTAMENTO DE PUNO</t>
  </si>
  <si>
    <t xml:space="preserve">2506927</t>
  </si>
  <si>
    <t xml:space="preserve">2506927: MEJORAMIENTO DE LOS SERVICIOS DE EDUCACION SUPERIOR TECNOLOGICA DEL IESTP JOSE ANTONIO ENCINAS, DISTRITO DE PUNO - PROVINCIA DE PUNO - DEPARTAMENTO DE PUNO</t>
  </si>
  <si>
    <t xml:space="preserve">2650473</t>
  </si>
  <si>
    <t xml:space="preserve">2650473.CONSTRUCCION DE AULA DE EDUCACION SECUNDARIA, LABORATORIO Y/O TALLER, CERCO Y/O PORTADA Y SERVICIOS HIGIENICOS Y/O VESTIDORES; ADEMAS DE OTROS ACTIVOS EN EL(LA) I.E. AGROINDUSTRIAL DISTRITO DE PUTINA, PROVINCIA SAN ANTONIO DE PUTINA, DEPARTAMENTO</t>
  </si>
  <si>
    <t xml:space="preserve">2159836</t>
  </si>
  <si>
    <t xml:space="preserve">2159836: MEJORAMIENTO Y CREACION DEL CAMINO VECINAL SACO-HUANACURI, DISTRITO DE COASA - CARABAYA - PUNO</t>
  </si>
  <si>
    <t xml:space="preserve">2185111</t>
  </si>
  <si>
    <t xml:space="preserve">2185111: MEJORAMIENTO DE LA CARRETERA (PU 112) PUTINA - MUÑANI, DISTRITOS DE PUTINA Y MUÑANI, PROVINCIAS DE SAN ANTONIO DE PUTINA Y AZANGARO - PUNO</t>
  </si>
  <si>
    <t xml:space="preserve">2338085</t>
  </si>
  <si>
    <t xml:space="preserve">2338085: 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t>
  </si>
  <si>
    <t xml:space="preserve">2316291</t>
  </si>
  <si>
    <t xml:space="preserve">2316291: MEJORAMIENTO Y AMPLIACION DEL CIRCUITO VIAL ECO TURISTICO, CAPACHICA - SIALE - CCOTOS - PARAMIS, DISTRITOS DE CAPACHICA, AMANTANI, PROVINCIA DE PUNO - PUNO</t>
  </si>
  <si>
    <t xml:space="preserve">2470024</t>
  </si>
  <si>
    <t xml:space="preserve">2470024: MEJORAMIENTO DEL SERVICIO DE TRANSITABILIDAD VEHICULAR A TRAVES DE PUENTES CARROZABLES EN LAS PROVINCIAS DE CARABAYA Y SANDIA DEL DEPARTAMENTO DE PUNO</t>
  </si>
  <si>
    <t xml:space="preserve">2585398</t>
  </si>
  <si>
    <t xml:space="preserve">2585398: CREACION DEL SERVICIO DE TRANSITABILIDAD VIAL INTERURBANA EN EL PUENTE CARROZABLE CAMPUCO ENTRE EL DISTRITO SANTIAGO DE PUPUJA Y ARAPA DEL DISTRITO DE SANTIAGO DE PUPUJA DE LA PROVINCIA DE AZANGARO DEL DEPARTAMENTO DE PUNO</t>
  </si>
  <si>
    <t xml:space="preserve">2585541</t>
  </si>
  <si>
    <t xml:space="preserve">2585541: CREACION DEL SERVICIO DE TRANSITABILIDAD VIAL INTERURBANA EN EL PUENTE CARROZABLE SANTA ROSA DE HUAYLLATA ENTRE LOS DISTRITOS DE ILAVE Y PILCUYO DEL DISTRITO DE ILAVE DE LA PROVINCIA DE EL COLLAO DEL DEPARTAMENTO DE PUNO</t>
  </si>
  <si>
    <t xml:space="preserve">2591732</t>
  </si>
  <si>
    <t xml:space="preserve">2591732: MEJORAMIENTO DEL SERVICIO DE TRANSITABILIDAD VIAL INTERURBANA EN EL TRAMO DESAGUADERO (EMP PE-36C) - PUENTE CARANCAS - HUANOCOLLO DEL DISTRITO DE DESAGUADERO DE LA PROVINCIA DE CHUCUITO DEL DEPARTAMENTO DE PUNO</t>
  </si>
  <si>
    <t xml:space="preserve">2602159</t>
  </si>
  <si>
    <t xml:space="preserve">2602159: MEJORAMIENTO DEL SERVICIO DE TRANSITABILIDAD VIAL INTERURBANA EN PU-138: EMP PE-34 B - PASANOCOLLO, - PUCATILLANA - EMP PU-100 (NUÑOA) DISTRITOS DE ORURILLO, NUÑOA DE LA PROVINCIA DE MELGAR DEL DEPARTAMENTO DE PUNO</t>
  </si>
  <si>
    <t xml:space="preserve">2603164</t>
  </si>
  <si>
    <t xml:space="preserve">2603164: MEJORAMIENTO DEL SERVICIO DE TRANSITABILIDAD VIAL INTERURBANA EN LA CARRETERA EN EL TRAMO CHUPA (EMP. PU 114) - CALA CRUZ (EMP. PU - 811), PU 811 (CALA CRUZ)- AYRAMPUNI (EMP PU 807), PU 807 (AYRAMPUNI) - DV. AYRAMPUNI (EMP. 808), TRAMO PU 808 (DV. LLACHI: EMP. PE 34 H)-AJATIRA-CALA CALA - AZANGARO (EMP. PU 111) DISTRITOS DE CHUPA, PEDRO VILCA APAZA DE LAS PROVINCIAS DE AZANGARO, SAN ANTONIO DE PUTINA DEL DEPARTAMENTO DE PUNO</t>
  </si>
  <si>
    <t xml:space="preserve">2603281</t>
  </si>
  <si>
    <t xml:space="preserve">2603281: MEJORAMIENTO DEL SERVICIO DE TRANSITABILIDAD VIAL INTERURBANA EN LA CARRETERA PU 764: EMP PE-34B SAN SEBASTIAN - NICASIO - LARO, EMP PU 764 (LARO) - EMP PU-117 (SANTIAGO DE PUPUJA) DISTRITOS DE NICASIO, SANTIAGO DE PUPUJA DE LAS PROVINCIAS DE LAMPA, AZANGARO DEL DEPARTAMENTO DE PUNO</t>
  </si>
  <si>
    <t xml:space="preserve">2607527</t>
  </si>
  <si>
    <t xml:space="preserve">2607527: MEJORAMIENTO DEL SERVICIO DE TRANSITABILIDAD VIAL INTERURBANA EN LA CARRETERA PU - 985 (EMP. PE - 34A; DV. CHOROMA) - C.C. COARITA, PU - 992 (C.C. COARITA) - PALCA DISTRITOS DE PARATIA, PALCA DE LA PROVINCIA DE LAMPA DEL DEPARTAMENTO DE PUNO</t>
  </si>
  <si>
    <t xml:space="preserve">2614553</t>
  </si>
  <si>
    <t xml:space="preserve">2614553: MEJORAMIENTO DEL SERVICIO DE TRANSITABILIDAD VIAL INTERURBANA EN LA CARRETERA MAÑAZO PU 1077 - PU 1091, - EMP PE 34 C(LLAPAPATA - CABANILLAS) DISTRITOS DE MAÑAZO, CABANILLAS DE LAS PROVINCIAS DE PUNO, SAN ROMAN DEL DEPARTAMENTO DE PUNO</t>
  </si>
  <si>
    <t xml:space="preserve">2645503</t>
  </si>
  <si>
    <t xml:space="preserve">2645503: MEJORAMIENTO DEL SERVICIO DE TRANSITABILIDAD VIAL INTERURBANA EN LA CARRETERA PU-1040 EMP. PU 122 (VILQUE) - EMP. PU - 1039, - EMP. PU 1035 - EMP. PU 121 (CABANA) DISTRITOS DE VILQUE, CABANA DE LAS PROVINCIAS DE PUNO, SAN ROMAN DEL DEPARTAMENTO DE PUNO</t>
  </si>
  <si>
    <t xml:space="preserve">2646859</t>
  </si>
  <si>
    <t xml:space="preserve">2646859: MEJORAMIENTO DEL SERVICIO DE TRANSITABILIDAD VIAL INTERURBANA EN LA PU - 145 (EMP. PE - 34 I: HUANCANE, - EMP. PE - 34 H: HUATASANI) DE LOS DISTRITOS DE HUANCANE, HUATASANI DE LA PROVINCIA DE HUANCANE DEL DEPARTAMENTO DE PUNO</t>
  </si>
  <si>
    <t xml:space="preserve">2649221</t>
  </si>
  <si>
    <t xml:space="preserve">2649221: MEJORAMIENTO DEL SERVICIO DE TRANSITABILIDAD VIAL INTERURBANA EN POQUERA CHICO - QUIACA - HUERTAPATA EN EL DISTRITO DE QUIACA DE LA PROVINCIA DE SANDIA DEL DEPARTAMENTO DE PUNO</t>
  </si>
  <si>
    <t xml:space="preserve">2651270</t>
  </si>
  <si>
    <t xml:space="preserve">2651270: MEJORAMIENTO DEL SERVICIO DE TRANSITABILIDAD VIAL INTERURBANA EN EL TRAMO ALMOZANCHE (EMP. PU 118), - SAMUCHACA - SANTA CRUZ CAPARA -ESCALLANI (EMP. PU 118) DE LOS DISTRITOS DE COATA, PUSI DE LAS PROVINCIAS DE PUNO, HUANCANE DEL DEPARTAMENTO DE PUNO</t>
  </si>
  <si>
    <t xml:space="preserve">2651271</t>
  </si>
  <si>
    <t xml:space="preserve">2651271: MEJORAMIENTO DEL SERVICIO DE TRANSITABILIDAD VIAL INTERURBANA EN EL TRAMO ALMOZANCHE (EMP PU 118) - SUCASCO - SORAZA, - COYLATA URCUNIMUNI - HATUN AYLLU (EMP PU 118) DE LOS DISTRITOS DE COATA, PUSI DE LAS PROVINCIAS DE PUNO, HUANCANE DEL DEPARTAMENTO DE PUNO</t>
  </si>
  <si>
    <t xml:space="preserve">2652984</t>
  </si>
  <si>
    <t xml:space="preserve">2652984: MEJORAMIENTO DEL SERVICIO DE TRANSITABILIDAD VIAL INTERURBANA EN LA CARRETERA YOROHOCO (HUACULLANI), - KELLUYO - HITO 31 DISTRITO DE HUACULLANI DE LA PROVINCIA DE CHUCUITO DEL DEPARTAMENTO DE PUNO</t>
  </si>
  <si>
    <t xml:space="preserve">2653737</t>
  </si>
  <si>
    <t xml:space="preserve">2653737: MEJORAMIENTO DEL SERVICIO DE TRANSITABILIDAD VIAL INTERURBANA EN LA CARRETRA PU-144 (EMP. PE-34L: SOLITARIO, - EMP. PU-115: INCHUPALLA) DE LOS DISTRITOS DE VILQUE CHICO, INCHUPALLA DE LA PROVINCIA DE HUANCANE DEL DEPARTAMENTO DE PUNO</t>
  </si>
  <si>
    <t xml:space="preserve">2653926</t>
  </si>
  <si>
    <t xml:space="preserve">2653926: MEJORAMIENTO DEL SERVICIO DE TRANSITABILIDAD VIAL INTERURBANA EN LA CARRETERA PU 672 (EMP PE 3S-PTE. SANTA ROSA) - QUISHUARA - SANTA CRUZ- PU 673 (SANTA CRUZ-EMP. PU 680), PU 683 (MACARI, - LLALLI) DE LOS DISTRITOS DE MACARI, CUPI DE LA PROVINCIA DE MELGAR DEL DEPARTAMENTO DE PUNO</t>
  </si>
  <si>
    <t xml:space="preserve">2654509</t>
  </si>
  <si>
    <t xml:space="preserve">2654509: MEJORAMIENTO DEL SERVICIO DE TRANSITABILIDAD VIAL INTERURBANA EN LA CARRETERA PU 141: EMP. PU-111 (DV CAMBRIA) - CAMBRIA, - EMP PU - 112 (DV COLLPANI) DE LOS DISTRITOS DE PUTINA, MUÑANI DE LAS PROVINCIAS DE SAN ANTONIO DE PUTINA, AZANGARO DEL DEPARTAMENTO DE PUNO</t>
  </si>
  <si>
    <t xml:space="preserve">2654549</t>
  </si>
  <si>
    <t xml:space="preserve">2654549: MEJORAMIENTO DEL SERVICIO DE TRANSITABILIDAD VIAL INTERURBANA EN LA CARRETERA PU-1376 (EMP PE-38 - CUIPACUIPA) - CUIPACUIPA - EMP PU - 132 (FRONTERA CON TACNA) DEL DISTRITO DE SANTA ROSA DE LA PROVINCIA DE EL COLLAO DEL DEPARTAMENTO DE PUNO</t>
  </si>
  <si>
    <t xml:space="preserve">2655389</t>
  </si>
  <si>
    <t xml:space="preserve">2655389: CREACION DEL SERVICIO DE TRANSITABILIDAD VIAL INTERURBANA EN EL PUENTE CHOQUENASA DE LA CARRETERA PU-1243 DEL DISTRITO DE ILAVE DE LA PROVINCIA DE EL COLLAO DEL DEPARTAMENTO DE PUNO</t>
  </si>
  <si>
    <t xml:space="preserve">2656599</t>
  </si>
  <si>
    <t xml:space="preserve">2656599: MEJORAMIENTO DEL SERVICIO DE TRANSITABILIDAD VIAL INTERURBANA EN LA CARRETERA TRAMO I: PU-142 (EMP PE 34 H: DV ALBARIZANI - EMP PE 34 L: TRAPICHE), TRAMO II: PU 598 (EMP PE 34L: TRAPICHE-EMP PU 109: IZCAY CRUZ) DE LOS DISTRITOS DE QUILCAPUNCU, ANANEA DE LA PROVINCIA DE SAN ANTONIO DE PUTINA DEL DEPARTAMENTO DE PUNO</t>
  </si>
  <si>
    <t xml:space="preserve">2656878</t>
  </si>
  <si>
    <t xml:space="preserve">2656878: MEJORAMIENTO DEL SERVICIO DE TRANSITABILIDAD VIAL INTERURBANA EN LA CARRETERA PU 535(COASA - TAMBILLO), - PU 534 (EMP PU 100 -TAYACUCHO - TAMBILLO) DE LOS DISTRITOS DE COASA, ITUATA DE LA PROVINCIA DE CARABAYA DEL DEPARTAMENTO DE PUNO</t>
  </si>
  <si>
    <t xml:space="preserve">2657159</t>
  </si>
  <si>
    <t xml:space="preserve">2657159: MEJORAMIENTO DEL SERVICIO DE TRANSITABILIDAD VIAL INTERURBANA EN LA CARRETERA PU-1139 (EMP. PU-1138: ACORA - EMP. PU-1143), PU-1143 (EMP. PU-1139 - EMP. PU-1144), PU-1144 (EMP. PU-1143 - EMP. PU-1145), PU-1145 (EMP. PU-1144 - HUARICONSE), PU-1148 (HUARICONSE - ILAVE) DE LOS DISTRITOS DE ACORA, ILAVE DE LAS PROVINCIAS DE PUNO, EL COLLAO DEL DEPARTAMENTO DE PUNO</t>
  </si>
  <si>
    <t xml:space="preserve">2657484</t>
  </si>
  <si>
    <t xml:space="preserve">2657484: CONSTRUCCION DE PUENTE; EN EL(LA) CARRETERA PU-111 (PUENTE TINTIRI) DEL DISTRITO DE AZANGARO, PROVINCIA AZANGARO, DEPARTAMENTO PUNO</t>
  </si>
  <si>
    <t xml:space="preserve">2657867</t>
  </si>
  <si>
    <t xml:space="preserve">2657867: MEJORAMIENTO DEL SERVICIO DE TRANSITABILIDAD VIAL INTERURBANA EN LA CARRETERA PU-870(OCCOPAMPA - EMP. PU-873) - PU-873(EMP. PU-870 - EMP. PU-110: JACHA POMAOCA), PU-890(EMP. PU-110:POMAOCA - EMP. PU-889) - PU-889 (EMP.PU-890 - PACCHANI) - MUÑANI(LIMITE CON BOLIVIA) DISTRITO DE MOHO DE LA PROVINCIA DE MOHO DEL DEPARTAMENTO DE PUNO</t>
  </si>
  <si>
    <t xml:space="preserve">2657953</t>
  </si>
  <si>
    <t xml:space="preserve">2657953: MEJORAMIENTO DEL SERVICIO DE TRANSITABILIDAD VIAL INTERURBANA EN LA CARRETERA PU 1247 - PU 1244 (CHIJICHAYA - MULLA ANCARANI) - PU 1246 (MULLA ANCARANI - EMP. PU - 1250) - PU 1250 (CANGALLI - WENCASI), - PU 1251 (WENCASI - CONDURIRI) - PU 1260 (CONDURIRI - EMP. PE - 36 A) DE LOS DISTRITOS DE ILAVE, CONDURIRI DE LA PROVINCIA DE EL COLLAO DEL DEPARTAMENTO DE PUNO</t>
  </si>
  <si>
    <t xml:space="preserve">2661648</t>
  </si>
  <si>
    <t xml:space="preserve">2661648: CREACION DEL SERVICIO DE TRANSITABILIDAD VIAL INTERURBANA EN EL PUENTE COLGANTE PEATONAL DE CENTRO POBLADO COHASIA DISTRITO DE HUANCANE DE LA PROVINCIA DE HUANCANE DEL DEPARTAMENTO DE PUNO</t>
  </si>
  <si>
    <t xml:space="preserve">2661660</t>
  </si>
  <si>
    <t xml:space="preserve">2661660: MEJORAMIENTO DEL SERVICIO DE TRANSITABILIDAD VIAL INTERURBANA EN LA CARRETERA DESAGUADERO - LLALLAHUA, - VISTA ALEGRE - CHIMU - ANCOPUTO - ALTO PATACOLLO - HUAPACA SAN MIGUEL DE LOS DISTRITOS DE DESAGUADERO, ZEPITA DE LA PROVINCIA DE CHUCUITO DEL DEPARTAMENTO DE PUNO</t>
  </si>
  <si>
    <t xml:space="preserve">2666182</t>
  </si>
  <si>
    <t xml:space="preserve">2666182: 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</si>
  <si>
    <t xml:space="preserve">2670620</t>
  </si>
  <si>
    <t xml:space="preserve">2670620: MEJORAMIENTO DEL SERVICIO DE TRANSITABILIDAD VIAL INTERURBANA EN LA CARRETERA JOSE DOMINGO CHOQUEHUANCA - QUEQUERANA, - PRIMER CHIMPA JILAHUATA - DV CAYRAHUIRE DE LOS DISTRITOS DE JOSE DOMINGO CHOQUEHUANCA, AZANGARO DE LA PROVINCIA DE AZANGARO DEL DEPARTAMENTO DE PUNO</t>
  </si>
  <si>
    <t xml:space="preserve">2673441</t>
  </si>
  <si>
    <t xml:space="preserve">2673441: MEJORAMIENTO DEL SERVICIO DE TRANSITABILIDAD VIAL INTERURBANA EN LA CARRETERA PU-1115 (EMP. PE-3S: INGENIO - EMP. PU-1116: ICHU) - PU-1116 (EMP. PU-1115: ICHU - EMP. PE-3S: SALLIHUA CALLEJON) DEL DISTRITO DE PUNO DE LA PROVINCIA DE PUNO DEL DEPARTAMENTO DE PUNO</t>
  </si>
  <si>
    <t xml:space="preserve">2681264</t>
  </si>
  <si>
    <t xml:space="preserve">2681264: MEJORAMIENTO DEL SERVICIO DE TRANSITABILIDAD VIAL INTERURBANA EN LA CARRETERA PU-727 (PUCARA - CHIJNAYA) DEL DISTRITO DE PUCARA DE LA PROVINCIA DE LAMPA DEL DEPARTAMENTO DE PUNO</t>
  </si>
  <si>
    <t xml:space="preserve">2645444</t>
  </si>
  <si>
    <t xml:space="preserve">2645444: REPARACION DE TRIBUNA Y/O PALCO; CONSTRUCCION DE CAMPO DEPORTIVO; EN EL(LA) ESTADIO MUNICIPAL DE PILCUYO DISTRITO DE PILCUYO, PROVINCIA EL COLLAO, DEPARTAMENTO PUNO</t>
  </si>
  <si>
    <t xml:space="preserve">2646095</t>
  </si>
  <si>
    <t xml:space="preserve">2646095: CONSTRUCCION DE CAMPO DEPORTIVO Y SERVICIOS HIGIENICOS Y/O VESTIDORES; REPARACION DE SERVICIOS HIGIENICOS Y/O VESTIDORES Y TRIBUNA Y/O PALCO; ADEMAS DE OTROS ACTIVOS EN EL(LA) ESTADIO MUNICIPAL DE CONIMA DISTRITO DE CONIMA, PROVINCIA MOHO, DEPARTAMENTO PUNO</t>
  </si>
  <si>
    <t xml:space="preserve">2669946</t>
  </si>
  <si>
    <t xml:space="preserve">2669946: MEJORAMIENTO DEL SERVICIO DE PRACTICA DEPORTIVA Y/O RECREATIVA EN ESTADIO MUNICIPAL DE MOHO DISTRITO DE MOHO DE LA PROVINCIA DE MOHO DEL DEPARTAMENTO DE PUNO</t>
  </si>
  <si>
    <t xml:space="preserve">2527207</t>
  </si>
  <si>
    <t xml:space="preserve">2527207: RECUPERACION DEL PUENTE COLONIAL DE LAMPA, DISTRITO DE LAMPA - PROVINCIA DE LAMPA - DEPARTAMENTO DE PUNO</t>
  </si>
  <si>
    <t xml:space="preserve">2393101</t>
  </si>
  <si>
    <t xml:space="preserve">2393101: MEJORAMIENTO Y AMPLIACION DEL SERVICIO ADMINISTRATIVO DE LA UNIDAD DE GESTION EDUCATIVA LOCAL MELGAR EN EL DISTRITO DE AYAVIRI, PROVINCIA DE MELGAR, REGION PUNO</t>
  </si>
  <si>
    <t xml:space="preserve">2411317</t>
  </si>
  <si>
    <t xml:space="preserve">2411317: MEJORAMIENTO DE LOS SERVICIOS PUBLICOS DEL GOBIERNO REGIONAL PUNO - SEDE CENTRAL, DEL DISTRITO DE PUNO - PROVINCIA DE PUNO - DEPARTAMENTO DE PUNO</t>
  </si>
  <si>
    <t xml:space="preserve">2658446</t>
  </si>
  <si>
    <t xml:space="preserve">2658446.PROYECTOS PARA EL DESARROLLO LOCAL</t>
  </si>
  <si>
    <t xml:space="preserve">2343538</t>
  </si>
  <si>
    <t xml:space="preserve">2343538: CREACION DE LOS SERVICIOS DE PROMOCION DEL COMERCIO EXTERIOR EN LA ZEEDE PUNO - REGION DE PUNO</t>
  </si>
  <si>
    <t xml:space="preserve">2645524</t>
  </si>
  <si>
    <t xml:space="preserve">2645524: MEJORAMIENTO DE LOS SERVICIOS TURISTICOS PUBLICOS EN RECURSOS TURISTICOS EN 4 UNIDADES PRODUCTORAS 4 DISTRITOS DE 3 PROVINCIAS DEL DEPARTAMENTO DE PUNO</t>
  </si>
  <si>
    <t xml:space="preserve">2625216</t>
  </si>
  <si>
    <t xml:space="preserve">2625216: MEJORAMIENTO DE LOS SERVICIOS ECOSISTEMICOS EN EL RIO TOROCOCHA DE LA LOCALIDAD DE JULIACA DISTRITO DE JULIACA DE LA PROVINCIA DE SAN ROMAN DEL DEPARTAMENTO DE PUNO</t>
  </si>
  <si>
    <t xml:space="preserve">2462296</t>
  </si>
  <si>
    <t xml:space="preserve">2462296: CREACION DEL SERVICIO DE TRANSITABILIDAD A TRAVES DE LA INSTALACION DE PUENTES PEATONALES EN LAS PROVINCIAS DE CARABAYA Y SANDIA DEL DEPARTAMENTO DE PUNO</t>
  </si>
  <si>
    <t xml:space="preserve">Gerencias y Oficinas</t>
  </si>
  <si>
    <t xml:space="preserve">2526527</t>
  </si>
  <si>
    <t xml:space="preserve">2526527: MEJORAMIENTO DE LAS CAPACIDADES PARA LA PRODUCTIVIDAD Y LA COMPETITIVIDAD DE ARTESANIAS EN 13 PROVINCIAS DEL DEPARTAMENTO DE PUNO</t>
  </si>
  <si>
    <t xml:space="preserve">2717147</t>
  </si>
  <si>
    <t xml:space="preserve">2717147.MEJORAMIENTO DE LOS SERVICIOS TURISTICOS DE AVENTURA Y ALOJAMIENTO RURAL EN LA ASOCIACION DE TURISMO VIVENCIAL COMUNITARIO LUQUINA CHICO, DISTRITO CHUCUITO, PROVINCIA PUNO, REGION PUNO.</t>
  </si>
  <si>
    <t xml:space="preserve">Equipamiento / Contrata</t>
  </si>
  <si>
    <t xml:space="preserve">2723296</t>
  </si>
  <si>
    <t xml:space="preserve">2723296.MEJORAMIENTO DE LA PRODUCCION Y COMERCIALIZACION DE ARTESANIA DE FIBRA DE ALPACA Y LANA DE OVINO EN LA ASOCIACION DE ARTESANOS EMPRENDEDORES EN TEXTILERIA SAN JUAN BAUTISTA DE NAPA ROSASPATA, DISTRITO DE ROSASPATA, PROVINCIA DE HUANCANE, REGION PU</t>
  </si>
  <si>
    <t xml:space="preserve">2717175</t>
  </si>
  <si>
    <t xml:space="preserve">2717175.MEJORAMIENTO DE LOS SERVICIOS DE ALOJAMIENTO TURISTICO Y DEL TURISMO VIVENCIAL DE OBSERVACION ASTRONOMICA EN LA ASOCIACION DE TURISMO COMUNITARIO TIKA WASI LLACHON, DISTRITO DE CAPACHICA, PROVINCIA DE PUNO Y DEPARTAMENTO DE PUNO.</t>
  </si>
  <si>
    <t xml:space="preserve">2717164</t>
  </si>
  <si>
    <t xml:space="preserve">2717164.MEJORAMIENTO DE LA CAPACIDAD PRODUCTIVA Y DE COMERCIALIZACION DE MIEL MEDIANTE EL FORTALECIMIENTO DE PROCESOS PRODUCTIVOS APICOLAS EN LA ASOCIACION DE PRODUCTORES AGROPECUARIOS MONTE SILOE KOLLA MISKI DISTRITO PLATERIA, PROVINCIA DE PUNO, REGION P</t>
  </si>
  <si>
    <t xml:space="preserve">2676438</t>
  </si>
  <si>
    <t xml:space="preserve">2676438: MEJORAMIENTO DE LA PRODUCCION DE MIEL DE ABEJA DE LA ASOCIACION DE APICULTORES Y PRODUCTORES AGROPECUARIOS DEL VALLE YANAHUAYA, DEL DISTRITO DE YANAHUARA PROVINCIA DE SANDIA DEPARTAMENTO DE PUNO</t>
  </si>
  <si>
    <t xml:space="preserve">Equipamiento</t>
  </si>
  <si>
    <t xml:space="preserve">2016766</t>
  </si>
  <si>
    <t xml:space="preserve">2016766: INICIATIVA A LA COMPETITIVIDAD</t>
  </si>
  <si>
    <t xml:space="preserve">Estudio de preinversión</t>
  </si>
  <si>
    <t xml:space="preserve">2717186</t>
  </si>
  <si>
    <t xml:space="preserve">2717186.MEJORAMIENTO DE LA PLANTA DE TRANSFORMACION DE GRANOS ANDINOS DEL GRUPO TURISTICO GASTRONOMICO SAMKA S.A.C., DISTRITO PUNO, PROVINCIA PUNO, REGION PUNO.</t>
  </si>
  <si>
    <t xml:space="preserve">2717193</t>
  </si>
  <si>
    <t xml:space="preserve">2717193.AMPLIACION DE LA CAPACIDAD PRODUCCION DE QUESO PARIA  EN GRUPO NEBRASKA S.A.C. EN DISTRITO DE JULIACA PROVINCIA DE SAN ROMAN REGION PUNO</t>
  </si>
  <si>
    <t xml:space="preserve">2717178</t>
  </si>
  <si>
    <t xml:space="preserve">2717178.MEJORAMIENTO DEL CULTIVO DE HABAS EN CORPORACION PECUARIO AGRICOLA EMMANUEL S.A.C., DISTRITO DE ZEPITA, PROVINCIA DE CHUCUITO Y DEPARTAMENTO DE PUNO</t>
  </si>
  <si>
    <t xml:space="preserve">2717158</t>
  </si>
  <si>
    <t xml:space="preserve">2717158.MEJORAMIENTO DE LA PRODUCCION DE PACAS EN LA ASOCIACION DE PRODUCTORES AGROPECUARIOS Y FORESTALES SAN PEDRO DE FRAYLIMA, DISTRITO DE AZANGARO, PROVINCIA AZANGARO Y DEPARTAMENTO DE PUNO</t>
  </si>
  <si>
    <t xml:space="preserve">2717173</t>
  </si>
  <si>
    <t xml:space="preserve">2717173.MEJORAMIENTO DE LA PRODUCCION DE DERIVADOS DE QUINUA EN HARINA EXTRUIDA Y POP EXTRUIDO DE LA EMPRESA CORPORACION DALSAR SOCIEDAD ANONIMA CERRADA DEL DISTRITO DE PUNO, PROVINCIA PUNO, DEPARTAMENTO PUNO.</t>
  </si>
  <si>
    <t xml:space="preserve">2717189</t>
  </si>
  <si>
    <t xml:space="preserve">2717189.MEJORAMIENTO DE LA PRODUCCION DE YOGURT EN EL AEO AGROINDUSTRIA YOGULE S.A.C., DISTRITO DE CABANA, PROVINCIA SAN ROMAN, REGION PUNO</t>
  </si>
  <si>
    <t xml:space="preserve">2717151</t>
  </si>
  <si>
    <t xml:space="preserve">2717151.MEJORAMIENTO DE LA PRODUCCION DE LECHE FRESCA EN LA ASOCIACION DE PRODUCTORES AGROPECUARIOS SUMAC KANCHAY DE LA LIBERTAD NUNOA MELGAR PUNO, DISTRITO DE NUNOA, PROVINCIA DE MELGAR Y REGION PUNO</t>
  </si>
  <si>
    <t xml:space="preserve">2676440</t>
  </si>
  <si>
    <t xml:space="preserve">2676440: MEJORAMIENTO DE LA PRODUCCION Y LA PRODUCTIVIDAD DE QUESO TIPO PARIA PASTEURIZADO DE LA EMPRESA DE PRODUCCION AGROPECUARIA MICA ASUNCION SAC DEL, DISTRITO DE AZANGARO, PROVINCIA AZANGARO, DEPARTAMENTO PUNO.</t>
  </si>
  <si>
    <t xml:space="preserve">2717156</t>
  </si>
  <si>
    <t xml:space="preserve">2717156.MEJORAMIENTO DE LA PRODUCCION Y LA COMERCIALIZACION DE LECHE FRESCA EN LA ORGANIZACION DE PRODUCTORES SAN JUAN DE FAON DEL DISTRITO DE HUATA, PROVINCIA DE PUNO, DEPARTAMENTO DE PUNO.</t>
  </si>
  <si>
    <t xml:space="preserve">2717157</t>
  </si>
  <si>
    <t xml:space="preserve">2717157.MEJORAMIENTO DE LA PRODUCCION Y ENGORDE DE GANADO VACUNO  A  TRAVES DE LA OPTIMIZACION DE LA ALIMENTACION EN LA ASOCIACION DE PRODUCTORES AGROPECUARIOS EL TORITO BRAVO DEL DISTRITO DE QUILCAPUNCO, PROVINCIA DE SAN ANTONIO DE PUTINA, REGION PUNO.</t>
  </si>
  <si>
    <t xml:space="preserve">2717161</t>
  </si>
  <si>
    <t xml:space="preserve">2717161.MEJORAMIENTO DE LA CAPACIDAD DE TRANSFORMACION DE CHIPS DE PAPA NATIVA, EN LA AEO ASOCIACION DE PRODUCTORES MULTIPLES SAN ISIDRO DE TANTAMACO DEL DISTRITO DE MACUSANI, PROVINCIA DE CARABAYA, REGION DE PUNO</t>
  </si>
  <si>
    <t xml:space="preserve">2717169</t>
  </si>
  <si>
    <t xml:space="preserve">2717169.CREACION DE UNA PLANTA PROCESADORA DE QUINUA EN LA AEO ASOCIACION DE PRODUCTORES AGROPECUARIOS ROQUE APAZA PAMPA DEL DISTRITO DE PAUCARCOLLA, PROVINCIA DE PUNO, DEPARTAMENTO DE PUNO</t>
  </si>
  <si>
    <t xml:space="preserve">2717172</t>
  </si>
  <si>
    <t xml:space="preserve">2717172.MEJORAMIENTO DEL PROCESO DE PRODUCCION DE QUESO EN LA ASOCIACION DE PEQUENOS PRODUCTORES AGROPECUARIOS DE DERIVADOS LACTEOS SAN JOSE TATASQA, DISTRITO DE LAMPA, PROVINCIA DE LAMPA Y DEPARTAMENTO DE PUNO</t>
  </si>
  <si>
    <t xml:space="preserve">2717177</t>
  </si>
  <si>
    <t xml:space="preserve">2717177.MEJORAMIENTO TECNOLOGICO DE LA PRODUCCION Y COMPETITIVIDAD EN EL ENGORDE DE VACUNOS DE CARNE DE LA ASOCIACION DE PRODUCTORES AGROPECUARIOS Y OTROS GENERACION ACTIVA DE LA COMUNIDAD DE CHALLACOLLO, DISTRITO HUACULLANI, PROVINCIA CHUCUITO,REGION PUN</t>
  </si>
  <si>
    <t xml:space="preserve">2717188</t>
  </si>
  <si>
    <t xml:space="preserve">2717188.MEJORAMIENTO DE LA COMPETITIVIDAD DE LA PRODUCCION DE LECHE FRESCA EN LA COOPERATIVA AGROINDUSTRIAL SAGRADO CORAZON DE JESUS DE CCOTA  DISTRITO DE PLATERIA PROVINCIA DE PUNO  DEPARTAMENTO DE  PUNO</t>
  </si>
  <si>
    <t xml:space="preserve">2717192</t>
  </si>
  <si>
    <t xml:space="preserve">2717192.MEJORAMIENTO DE LA PRODUCCION Y PROCESAMIENTO DE CULTIVOS FORRAJEROS EN LA ASOCIACION DE PRODUCTORES AGROPECUARIOS ALIANZA RENOVADO CALLANCA, DISTRITO DE PLATERIA, PROVINCIA DE PUNO, DEPARTAMENTO DE PUNO</t>
  </si>
  <si>
    <t xml:space="preserve">2717194</t>
  </si>
  <si>
    <t xml:space="preserve">2717194.MEJORAMIENTO DEL CENTRO DE ENGORDE Y COMERCIALIZACION DE GANADO VACUNO EN LA ASOCIACION DE PRODUCTORES GANADERIA LA CANTUTA, DISTRITO DE VILQUE, PROVINCIA PUNO Y REGION PUNO</t>
  </si>
  <si>
    <t xml:space="preserve">2612522</t>
  </si>
  <si>
    <t xml:space="preserve">2612522: MEJORAMIENTO DE LA PRODUCCION Y TRANSFORMACION DE QUESOS EN LA ASOCIACION DE PRODUCTORES LACTI SUR DE HUAPACA SANTIAGO DEL DISTRITO DE POMATA, PROVINCIA DE CHUCUITO Y DEPARTAMENTO DE PUN</t>
  </si>
  <si>
    <t xml:space="preserve">2612541</t>
  </si>
  <si>
    <t xml:space="preserve">2612541: MEJORAMIENTO DE LA PRODUCCION Y COMERCIALIZACION DE DERIVADOS LACTEOS EN LA ASOCIACION DE PRODUCTORES AGROPECUARIOS EMPRENDEDORES LOS CLAVELES DE SAN SALVADOR HUATASANI, DEL DISTRITO DE HUATASANI, PROVINCIA DE HUANCANE Y REGION DE PUNO</t>
  </si>
  <si>
    <t xml:space="preserve">2680578</t>
  </si>
  <si>
    <t xml:space="preserve">2680578: MEJORAMIENTO DEL PROCESO Y CALIDAD DEL QUESO TIPO PARIA DE LA ASOCIACION LACTEOS LIKHA QUINSACHATA SOCIEDAD COMERCIAL DE RESPONSABILIDAD LIMITADA, DISTRITO CABANILLA, PROVINCIA LAMPA, REGION PUNO.</t>
  </si>
  <si>
    <t xml:space="preserve">2676418</t>
  </si>
  <si>
    <t xml:space="preserve">2676418: MEJORAMIENTO DE UNA PLANTA PROCESADORA DE LECHE PARA LA ELABORACION DE QUESOS FRESCOS TIPO PARIA DE LA ASOCIACION DE PRODUCTORES AGROPECUARIOS VILLA ACASSO APROAVA, DISTRITO DE PILCUYO, PROVINCIA DE EL COLLAO, REGION DE PUNO</t>
  </si>
  <si>
    <t xml:space="preserve">2681120</t>
  </si>
  <si>
    <t xml:space="preserve">2681120: MEJORAMIENTO TECNOLOGICO DEL VALOR AGREGADO DE HABAS EN LA ASOCIACION DE PRODUCTORES AGRARIOS Y PECUARIOS NUEVO PROGRESO TAUCAMAYA, DISTRITO DE COPANI, PROVINCIA DE YUNGUYO, REGION PUNO.</t>
  </si>
  <si>
    <t xml:space="preserve">2676423</t>
  </si>
  <si>
    <t xml:space="preserve">2676423: MEJORAMIENTO EN LA PRODUCCION DE QUESOS TIPO PARIA EN LA ASOCIACION DE PRODUCTORES DE LECHE Y SUS DERIVADOS PIAS MILAN DE LA COMUNIDAD DE HUAYTA, DISTRITO DE LAMPA, PROVINCIA DE LAMPA DEL DEPARTAMENTO DE PUNO.</t>
  </si>
  <si>
    <t xml:space="preserve">2676424</t>
  </si>
  <si>
    <t xml:space="preserve">2676424: MEJORAMIENTO DE LA PLANTA PROCESADORA DE CAFE PARA LA ELABORACION DE CAFE TOSTADO MOLIDO DE LA COOPERATIVA AGRARIA CAFETALERA SAN IGNACIO LTDA., DISTRITO DE SAN PEDRO DE PUTINA PUNCO, PROVINCIA DE SANDIA, REGION DE PUNO</t>
  </si>
  <si>
    <t xml:space="preserve">2681121</t>
  </si>
  <si>
    <t xml:space="preserve">2681121: MEJORAMIENTO DE LA PRODUCCION DE PRENDAS DE ARTESANIA TEXTIL EN LA ASOCIACION DE PRODUCTORES RITA POMA DEL TAWANTINSUYO PUNO, DISTRITO PUNO, PROVINCIA PUNO Y REGION PUNO</t>
  </si>
  <si>
    <t xml:space="preserve">2676426</t>
  </si>
  <si>
    <t xml:space="preserve">2676426: MEJORAMIENTO DE LA PRODUCTIVIDAD Y GENERACION DE VALOR AGREGADO DEL GRANO DE QUINUA PARA SU COMERCIALIZACION EN LA ASOCIACION DE PRODUCTORES AGROPECUARIOS AGROINDUSTRIALES KAPIA DEL DISTRITO DE YUNGUYO, PROVINCIA DE YUNGUYO, DEPARTAMENTO DE PUNO.</t>
  </si>
  <si>
    <t xml:space="preserve">2676427</t>
  </si>
  <si>
    <t xml:space="preserve">2676427: MEJORAMIENTO DE LA PRODUCCION DE LECHE FRESCA EN LA ASOCIACION DE PRODUCTORES AGROPECUARIOS, AGROINDUSTRIALES, ARTESANALES CCACCALLACTA AMPATUIRE ORURILLO, DISTRITO ORURILLO, PROVINCIA MELGAR, REGION PUNO</t>
  </si>
  <si>
    <t xml:space="preserve">2676430</t>
  </si>
  <si>
    <t xml:space="preserve">2676430: MEJORAMIENTO DEL PROCESO DE PANIFICACION DE GRANOS ANDINOS EN LA ASOCIACION DE PRODUCTORES AGROPECUARIOS AGROINDUSTRIALES Y SERVICIOS MULTIPLES JC3 APAASM JC3 EN EL DISTRITO DE ILAVE PROVINCIA EL COLLAO REGION PUNO</t>
  </si>
  <si>
    <t xml:space="preserve">2676431</t>
  </si>
  <si>
    <t xml:space="preserve">2676431: MEJORAMIENTO DE LA PRODUCCION TEXTIL DE FIBRA DE ALPACA EN LA ASOCIACION DE PRODUCTORES AGROPECUARIOS AGROINDUSTRIALES Y ARTESANOS HUAYLLAPUJO, DISTRITO DE SANTA ROSA, PROVINCIA DE EL COLLAO, REGION PUNO</t>
  </si>
  <si>
    <t xml:space="preserve">2676432</t>
  </si>
  <si>
    <t xml:space="preserve">2676432: CREACION DE LA PLANTA DE PROCESO DE ELABORACION DE PAN DE QUINUA DE LA ASOCIACION DE TRANSFORMADORES DE GRANOS ANDINOS EN PANADERIA Y PASTELERIA ARTESANAL EL SOL DE LAMPA, DEL DISTRITO DE LAMPA, PROVINCIA DE LAMPA, REGION PUNO.</t>
  </si>
  <si>
    <t xml:space="preserve">2681125</t>
  </si>
  <si>
    <t xml:space="preserve">2681125: MEJORAMIENTO DE LA PRODUCTIVIDAD Y CALIDAD DE LECHE FRESCA EN LA ASOCIACION DE PRODUCTORES AGROPECUARIOS DE GANADO VACUNO LECHERO ARTESANAL KANCHAQ WASI DE COMUNIDAD COLCA ATUNCOLLA, DISTRITO DE ATUNCOLLA, PROVINCIA DE PUNO, REGION PUNO</t>
  </si>
  <si>
    <t xml:space="preserve">2681128</t>
  </si>
  <si>
    <t xml:space="preserve">2681128: MEJORAMIENTO DE LA PRODUCCION DE QUESOS TIPO PARIA DE LA ASOCIACION DE PRODUCTORES ORGANICOS AGROPECUARIOS Y AGROINDUSTRIALES LA LIBERTAD NUNOA, DISTRITO DE NUNOA, PROVINCIA DE MELGAR, REGION PUNO</t>
  </si>
  <si>
    <t xml:space="preserve">2681129</t>
  </si>
  <si>
    <t xml:space="preserve">2681129: CREACION DE UN TALLER TEXTIL PARA LA ELABORACION DE PRENDAS DE VESTIR Y ARTICULOS DE FIBRA DE ALPACA, DE LA ASOCIACION 24 DE JUNIO CHAJANA EN EL DISTRITO DE COJATA, PROVINCIA DE HUANCANE, DEPARTAMENTO DE PUNO</t>
  </si>
  <si>
    <t xml:space="preserve">2676435</t>
  </si>
  <si>
    <t xml:space="preserve">2676435: MEJORAMIENTO DEL PROCESO DE ENGORDE Y COMERCIALIZACION DE GANADO VACUNO EN LA ASOCIACION DE PRODUCTORES AGROPECUARIOS STMA. TRINIDAD DE CCACCAPUNCO EN EL DISTRITO DE VILQUE, PROVINCIA PUNO Y REGION PUNO</t>
  </si>
  <si>
    <t xml:space="preserve">2676436</t>
  </si>
  <si>
    <t xml:space="preserve">2676436: AMPLIACION DE LA PLANTA PROCESADORA DE LECHE PARA LA ELABORACION DE QUESOS DE LA ASOCIACION DE PRODUCTORES DE LECHE Y DERIVADOS LACTEOS VIRGEN DE ASUNCION ROSASPATA, DISTRITO DE ROSASPATA, PROVINCIA DE HUANCANE, REGION PUNO</t>
  </si>
  <si>
    <t xml:space="preserve">2681276</t>
  </si>
  <si>
    <t xml:space="preserve">2681276: MEJORAMIENTO EN LA CAPACIDAD TECNICA DE PRODUCCION DE PRENDAS DE TEXTIL DE TEJIDO A MANO DE ALTO RELIEVE DE FIBRA DE ALPACA DE LA ASOCIACION DE MUJERES ARTESANAS VIRGEN DE CANDELARIA PICHACANI QUIRINE DISTRITO MACARI, PROVINCIA MELGAR, REGION PUNO</t>
  </si>
  <si>
    <t xml:space="preserve">2681132</t>
  </si>
  <si>
    <t xml:space="preserve">2681132: MEJORAMIENTO DE LA CAPACIDAD PRODUCTIVA DE CAFE TOSTADO Y MOLIDO EN LA COOPERATIVA AGRARIA EN INNOVACION TECNOLOGICA MONTANA AZUL LIMITADA, DISTRITO DE SAN PEDRO DE PUTINA PUNCO, PROVINCIA DE SANDIA, REGION PUNO.</t>
  </si>
  <si>
    <t xml:space="preserve">2676433</t>
  </si>
  <si>
    <t xml:space="preserve">2676433: MEJORAMIENTO DE LA CAPACIDAD PRODUCTIVA DE PRENDAS A BASE DE FIBRA DE ALPACA DE LA EMPRESA JOMATEX SRL, DISTRITO JULIACA, PROVINCIA SAN ROMAN, REGION PUNO.</t>
  </si>
  <si>
    <t xml:space="preserve">2717148</t>
  </si>
  <si>
    <t xml:space="preserve">2717148.MEJORAMIENTO DE LA PRODUCCION DE LECHE FRESCA EN LA ASOCIACION DE PRODUCTORES AGROPECUARIOS FORUNTANI SAMAN, DISTRITO DE SAMAN, PROVINCIA DE AZANGARO Y REGION DE PUNO</t>
  </si>
  <si>
    <t xml:space="preserve">2717149</t>
  </si>
  <si>
    <t xml:space="preserve">2717149.MEJORAMIENTO EN LA PRODUCCION DE HILOS ARTESANALES DE LA ASOCIACION DE PRODUCTORES DE CAMELIDOS SUDAMERICANOS, ARTESANAL Y AGRICOLA TIKARIY PAMPA DEL DIST,  DISTRITO MACUSANI, PROVINCIA CARABAYA, REGION PUNO</t>
  </si>
  <si>
    <t xml:space="preserve">2717152</t>
  </si>
  <si>
    <t xml:space="preserve">2717152.MEJORAMIENTO DE LA PRODUCCION DE LECHE EN LA ASOCIACION DE PRODUCTORES AGROPECUARIOS LUZ Y VIDA DE LA COMUNIDAD DE NAUPAPAMPA DE DISTRITO DE ASILLO, PROVINCIA DE AZANGARO, REGION PUNO.</t>
  </si>
  <si>
    <t xml:space="preserve">2717153</t>
  </si>
  <si>
    <t xml:space="preserve">2717153.MEJORAMIENTO Y AMPLIACION DE LA PRODUCCION Y COMERCIALIZACION DE CAFE TOSTADO MOLIDO Y FILTRANTE DE LA COOPERATIVA AGRARIA CAFETALERA SAN JORGE LTDA., DISTRITO DE SAN PEDRO DE PUTINA PUNCO, PROVINCIA DE SANDIA, REGION DE PUNO</t>
  </si>
  <si>
    <t xml:space="preserve">2717154</t>
  </si>
  <si>
    <t xml:space="preserve">2717154.MEJORAMIENTO DE LA CAPACIDAD PRODUCTIVA  DE QUESO PARIA PASTEURIZADO EN LA ASOCIACION DE PRODUCTORES AGROPECUARIOS  VIRGEN DEL CARMEN BALSAPATA, DISTRITO ORURILLO, PROVINCIA MELGAR, REGION PUNO</t>
  </si>
  <si>
    <t xml:space="preserve">2717155</t>
  </si>
  <si>
    <t xml:space="preserve">2717155.MEJORAMIENTO DE LA PRODUCCION DE LECHE FRESCA EN LA ASOCIACION DE PRODUCTORES AGROPECUARIOS Y AGROINDUSTRIALES SAN JUAN DE LA PROVINCIA DE MELGAR PUNO DE DISTRITO DE ORURILLO, PROVINCIA DE MELGAR, REGION PUNO.</t>
  </si>
  <si>
    <t xml:space="preserve">2717159</t>
  </si>
  <si>
    <t xml:space="preserve">2717159.MEJORAMIENTO DEL PROCESO DE PRODUCCION DE QUESO PARIA DE LA ASOCIACION DE PRODUCTORES AGROPECUARIOS DE DERIVADOS LACTEOS VILLA ORURILLO EN EL DISTRITO DE ORURILLO, PROVINCIA DE MELGAR, REGION DE PUNO.</t>
  </si>
  <si>
    <t xml:space="preserve">2717160</t>
  </si>
  <si>
    <t xml:space="preserve">2717160.MEJORAMIENTO DEL SISTEMA PRODUCTIVO DEL CULTIVO DE QUINUA EN LA ASOCIACION AGROPECUARIA ECOLOGICA SURPERU, DISTRITO DE PILCUYO, PROVINCIA DE EL COLLAO REGION PUNO</t>
  </si>
  <si>
    <t xml:space="preserve">2717162</t>
  </si>
  <si>
    <t xml:space="preserve">2717162.MEJORAMIENTO DE PRODUCCION DE LECHE FRESCA EN LA ASOCIACION DE PRODUCTORES VILLA PALCA, DISTRITO DE PAUCARCOLLA, PROVINCIA DE PUNO Y DEPARTAMENTO DE PUNO</t>
  </si>
  <si>
    <t xml:space="preserve">2717165</t>
  </si>
  <si>
    <t xml:space="preserve">2717165.AMPLIACION DE LA CAPACIDAD PRODUCTIVA DE QUESO PARIA EN LA ASOCIACION DE EMPRENDEDORES RURALES CORIFLOR COMUNIDAD LICAS ACHAYA, EN EL DISTRITO DE ACHAYA, PROVINCIA DE AZANGARO, REGION PUNO</t>
  </si>
  <si>
    <t xml:space="preserve">2717166</t>
  </si>
  <si>
    <t xml:space="preserve">2717166.MEJORAMIENTO DE LA PRODUCCION Y COMERCIALIZACION DE LECHE FRESCA CON INNOVACION TECNOLOGIA EN LA ASOCIACION DE PRODUCTORES AGROPECUARIOS Y CRIADORES DE OVINO BELLON DE ORO DEL DISTRITO DE AZANGARO, PROVINCIA DE AZANGARO, REGION PUNO</t>
  </si>
  <si>
    <t xml:space="preserve">2717167</t>
  </si>
  <si>
    <t xml:space="preserve">2717167.MEJORAMIENTO DEL CULTIVO DE HABAS EN LA ASOCIACION DE PRODUCTORES AGROPECUARIOS VALLECITO SECTOR CCORCORI, DEL DISTRITO DE COPANI, PROVINCIA DE YUNGUYO, REGION PUNO</t>
  </si>
  <si>
    <t xml:space="preserve">2717168</t>
  </si>
  <si>
    <t xml:space="preserve">2717168.MEJORAMIENTO DEL PROCESO DE PRODUCCION DE LECHE FRESCA DE LA ASOCIACION DE PRODUCTORES AGROPECUARIOS CORANI  CUPI APAC DEL DISTRITO DE CUPI, PROVINCIA DE MELGAR, REGION DE PUNO</t>
  </si>
  <si>
    <t xml:space="preserve">2717170</t>
  </si>
  <si>
    <t xml:space="preserve">2717170.MEJORAMIENTO DE LA PRODUCCION DE LECHE EN LA ASOCIACION DE PRODUCTORES AGROPECUARIOS Y ARTESANIA TOTORUMA PAMPA  LLAQUEPA, DEL DISTRITO DE POMATA, PROVINCIA DE CHUCUITO, DEPARTAMENTO DE PUNO.</t>
  </si>
  <si>
    <t xml:space="preserve">2717171</t>
  </si>
  <si>
    <t xml:space="preserve">2717171.MEJORAMIENTO DE LA PRODUCCION DE LECHE DE LA ASOCIACION DE PRODUCTORES AGROPECUARIOS SANTA ANA HUAYTA, DEL DISTRITO DE LAMPA, PROVINCIA DE LAMPA, DEPARTAMENTO DE PUNO</t>
  </si>
  <si>
    <t xml:space="preserve">2717174</t>
  </si>
  <si>
    <t xml:space="preserve">2717174.MEJORAMIENTO DEL ENGORDE DE GANADO VACUNO EN EL AEO ASOCIACION CAMPO VERDE TOTORALES ENGORDE AGRO Y AGROPECUARIO, DISTRITO DE ILAVE, PROVINCIA EL COLLAO, REGION PUNO</t>
  </si>
  <si>
    <t xml:space="preserve">2717176</t>
  </si>
  <si>
    <t xml:space="preserve">2717176.AMPLIACION DE LA CAPACIDAD PRODUCTIVA DE QUESOS PARIA DE LA ASOCIACION DE PRODUCTORES AGROPECUARIOS NUEVO AMANECER ALAYTIRA VILLA ORURILO, DISTRITO DE ORURILLO, PROVINCIA DE MELGAR, REGION PUNO.</t>
  </si>
  <si>
    <t xml:space="preserve">2717179</t>
  </si>
  <si>
    <t xml:space="preserve">2717179.MEJORAMIENTO DE LA PRODUCCION Y CALIDAD DE LECHE FRESCA EN LA ASOCIACION DE PRODUCTORES DE LECHE MOYANDINA, AYAVIRI, PUNO 2 DEL DISTRITO DE AYAVIRI, MELGAR, PUNO</t>
  </si>
  <si>
    <t xml:space="preserve">2717180</t>
  </si>
  <si>
    <t xml:space="preserve">2717180.MEJORAMIENTO DE LA PRODUCCION DE LECHE EN LA ASOCIACION DE PRODUCTORES AGROPECUARIOS E INDUSTRIALES ARACACHI JAHUERJALAC KELLUYO, DISTRITO DE KELLUYO, PROVINCIA DE CHUCUITO, REGION PUNO</t>
  </si>
  <si>
    <t xml:space="preserve">2717184</t>
  </si>
  <si>
    <t xml:space="preserve">2717184.MEJORAMIENTO DE LA PRODUCCION Y PRODUCTIVIDAD DE LA QUINUA EN LA ASOCIACION DE PRODUCTORES AGROPECUARIOS LA ESTANCIA SUMA MARKA, DISTRITO DE ACORA, PROVINCIA PUNO, REGION PUNO</t>
  </si>
  <si>
    <t xml:space="preserve">2717187</t>
  </si>
  <si>
    <t xml:space="preserve">2717187.MEJORAMIENTO DE LA PRODUCCION DE VACUNOS DE ENGORDE MEDIANTE TECNOLOGIAS SOSTENIBLES EN LA ASOCIACION DE EMPRENDEDORES AGROPECUARIOS TIERRA SANTA ROSASPATA DEL DISTRITO DE ROSASPATA, PROVINCIA DE HUANCANE, REGION PUNO</t>
  </si>
  <si>
    <t xml:space="preserve">2717190</t>
  </si>
  <si>
    <t xml:space="preserve">2717190.MEJORAMIENTO DE LA PRODUCCION DE QUESO TIPO PARIA EN LA ASOCIACION DE PRODUCTORES DE LECHE Y DERIVADOS LACTEOS RIDANI LLINQUICHUPA , DISTRITO DE LAMPA, PROVINCIA DE LAMPA Y DEPARTAMENTO DE PUNO</t>
  </si>
  <si>
    <t xml:space="preserve">2717191</t>
  </si>
  <si>
    <t xml:space="preserve">2717191.MEJORAMIENTO DE LA PRODUCTIVIDAD DE LECHE FRESCA EN LA ASOCIACION DE PRODUCTORES AGROPECUARIOS ESQUERICA DEL DISTRITO DE ROSASPATA, PROVINCIA DE HUANCANE, REGION PUNO</t>
  </si>
  <si>
    <t xml:space="preserve">2717181</t>
  </si>
  <si>
    <t xml:space="preserve">2717181.MEJORAMIENTO DE VACUNO EN PIE EN LA ASOCIACION DE PRODUCTORES AGROPECUARIOS FLORES ANDINOS ANCCACCA PICHACANI, LARAQUERI, DISTRITO PICHACANI, PROVINCIA PUNO Y DEPARTAMENTO PUNO</t>
  </si>
  <si>
    <t xml:space="preserve">2326588</t>
  </si>
  <si>
    <t xml:space="preserve">2326588.MEJORAMIENTO DE LOS SERVICIOS DE APOYO A LA CADENA PRODUCTIVA DE CAFES ESPECIALES EN LOS DISTRITOS DE COASA, ITUATA, OLLACHEA, USICAYOS, LIMBANI, PATAMBUCO Y PHARA DE LAS PROVINCIAS DE CARABAYA Y SANDIA - REGION PUNO</t>
  </si>
  <si>
    <t xml:space="preserve">2681133</t>
  </si>
  <si>
    <t xml:space="preserve">2681133.MEJORAMIENTO DE LA PRODUCCION DE QUESOS TIPO PARIA PASTEURIZADO DE LA CENTRAL DE ASOCIACIONES GANADEROS LECHEROS Y AGRARIOS DEL DISTRITO DE VILQUE, DISTRITO DE VILQUE, PROVINCIA DE PUNO, REGION PUNO</t>
  </si>
  <si>
    <t xml:space="preserve">2681278</t>
  </si>
  <si>
    <t xml:space="preserve">2681278: MEJORAMIENTO DEL PROCESO DE PRODUCCION DE SELECCIONADOR DE TRUCHAS EN MAQUINARIAS ACUITROUT SOCIEDAD COMERCIAL DE RESPONSABILIDAD DE LA COMUNIDAD DE KOLLPAJAHUIRA, DISTRITO DE JULI, PROVINCIA DE CHUCUITO, DEPARTAMENTO DE PUNO</t>
  </si>
  <si>
    <t xml:space="preserve">2681123</t>
  </si>
  <si>
    <t xml:space="preserve">2681123: MEJORAMIENTO EN EL PROCESO DE VALOR AGREGADO DE TRUCHAS EN LA EMPRESA AMERICAN TROUT FARO S.R.L. EN EL DISTRITO DE POMATA, PROVINCIA DE CHUCUITO Y DEPARTAMENTO DE PUNO.</t>
  </si>
  <si>
    <t xml:space="preserve">2717185</t>
  </si>
  <si>
    <t xml:space="preserve">2717185.MEJORAMIENTO DE VALOR AGREGADO DE LA TRUCHA EN AQUA INDUSTRIAS EL FARO SOCIEDAD COMERCIAL DE RESPONSABILIDAD LIMITADA, DISTRITO DE POMATA, PROVINCIA DE CHUCUITO Y DEPARTAMENTO DE PUNO</t>
  </si>
  <si>
    <t xml:space="preserve">2723300</t>
  </si>
  <si>
    <t xml:space="preserve">2723300.MEJORAMIENTO DE LA PRODUCCION Y TRANSFORMACION DE FILETE DE TRUCHA DE LA EMPRESA TITIKAKA TROUT PERU SOCIEDAD COMERCIAL DE RESPONSABILIDAD LIMITADA DEL DISTRITO DE POMATA, PROVINCIA DE CHUCUITO, REGION PUNO</t>
  </si>
  <si>
    <t xml:space="preserve">2676422</t>
  </si>
  <si>
    <t xml:space="preserve">2676422: MEJORAMIENTO DE LA COMPETITIVIDAD PRODUCTIVA DE LA CERAMICA TRADICIONAL DE CHECCA PUPUJA EN LA ASOCIACION CERAMICA TRADICIONAL ANCESTRAL CHACCA PUPUJA, DISTRITO DE JOSE DOMINGO CHOQUEHUANCA, PROVINCIA DE AZANGARO, REGION PUNO.</t>
  </si>
  <si>
    <t xml:space="preserve">2681274</t>
  </si>
  <si>
    <t xml:space="preserve">2681274: MEJORAMIENTO DEL PROCESO DE PRODUCCION DE ARTICULOS MECANICOS EN LA CORPORACION MARSAD S.A.C. DEL DISTRITO DE PUNO, PROVINCIA DE PUNO, REGION DE PUNO</t>
  </si>
  <si>
    <t xml:space="preserve">2681130</t>
  </si>
  <si>
    <t xml:space="preserve">2681130: MEJORAMIENTO DE LA PRODUCCION DEL ENVASADO DE AGUA DE MESA DE LA EMPRESA GRUPO ANCCASI SOCIEDAD ANONIMA CERRADA DEL DISTRITO DE CORANI, PROVINCIA CARABAYA, DEPARTAMENTO PUNO</t>
  </si>
  <si>
    <t xml:space="preserve">2717150</t>
  </si>
  <si>
    <t xml:space="preserve">2717150.MEJORAMIENTO DEL PROCESO PRODUCTIVO Y EL VALOR CULTURAL DE LAS CERAMICAS DE LA ASOCIACION DE ARTESANOS PRODUCTORES MUSUQ PAQARIY PUKARA, DEL DISTRITO DE PUCARA, PROVINCIA DE LAMPA, DEPARTAMENTO DE PUNO</t>
  </si>
  <si>
    <t xml:space="preserve">2723295</t>
  </si>
  <si>
    <t xml:space="preserve">2723295.MEJORAMIENTO DE LA PRODUCCION Y COMERCIALIZACION DE QUESOS TIPO PARIA DE LA ASOCIACION AGROINDUSTRIAL YURAQ WASI DE LA COMUNIDAD CAMPESINA PRIMER JILAHUATA, DISTRITO DE AZANGARO, PROVINCIA DE AZANGARO, REGION PUNO</t>
  </si>
  <si>
    <t xml:space="preserve">2723301</t>
  </si>
  <si>
    <t xml:space="preserve">2723301.MEJORAMIENTO DE LA TRANSFORMACION Y COMERCIALIZACION DE HILOS Y PRENDAS DE TONOS Y TENIDOS NATURALES DE FIBRA DE ALPACA EN LA ASOCIACION DE ARTESANAS KISWAR TIKA, DISTRITO DE OCUVIRI, PROVINCIA LAMPA, REGION PUNO</t>
  </si>
  <si>
    <t xml:space="preserve">2723299</t>
  </si>
  <si>
    <t xml:space="preserve">2723299.MEJORAMIENTO DE LA CAPACIDAD PRODUCTIVA DE HELADOS ARTESANALES A BASE DE GRANOS ANDINOS DEL GRUPO DE PRODUCTORES, COMERCIALIZACION Y TRANSFORMACION DE CEREALES ANDINOS SAN SANTIAGO S.A.C., DEL DISTRITO DE PUNO, PROVINCIA DE PUNO, REGION DE PUNO.</t>
  </si>
  <si>
    <t xml:space="preserve">2183634</t>
  </si>
  <si>
    <t xml:space="preserve">2183634: MEJORAMIENTO DE LA DEFENSA RIBEREÑA EN LAS MARGENES DERECHA E IZQUIERDA DEL RIO RAMIS EN LOS TRAMOS DE SACASCO, COLLANA, CHACAMARCA, PATASCACHI, YANAOCO, TUNI GRANDE, RAMIS Y BALSAPATA DE LAS PROVINCIAS DE HUANCANE Y AZANGARO - REGION PUNO</t>
  </si>
  <si>
    <t xml:space="preserve">2532916</t>
  </si>
  <si>
    <t xml:space="preserve">2532916: CREACION DEL SERVICIO DE PROTECCION EN RIBERAS DEL RIO LORIPONGO Y MOLLA AMBOS MARGENES VULNERABLES ANTE EL PELIGRO DE INUNDACION EN LA LOCALIDAD DE LARAQUERI Y CENTRO POBLADO DE HUARIJUYO DEL DISTRITO DE PICHACANI - PROVINCIA DE PUNO - DEPARTAMENTO DE PUNO</t>
  </si>
  <si>
    <t xml:space="preserve">2520451</t>
  </si>
  <si>
    <t xml:space="preserve">2520451: CREACION DEL SERVICIO DE PROTECCION EN RIBERAS DEL RIO QUELLOMAYO MARGEN DERECHO VULNERABLES ANTE EL PELIGRO DE INUNDACION EN LA LOCALIDAD DE SAN GABAN, DEL DISTRITO DE SAN GABAN - PROVINCIA DE CARABAYA - DEPARTAMENTO DE PUNO</t>
  </si>
  <si>
    <t xml:space="preserve">2474102</t>
  </si>
  <si>
    <t xml:space="preserve">2474102: MEJORAMIENTO DEL SERVICIO DE PROTECCION FRENTE A TORMENTAS ELECTRICAS EN 4 PROVINCIAS DEL DEPARTAMENTO DE PUNO</t>
  </si>
  <si>
    <t xml:space="preserve">Personal/bienes/servicios / Contrata / Equipamiento / Expediente técnico</t>
  </si>
  <si>
    <t xml:space="preserve">2533866</t>
  </si>
  <si>
    <t xml:space="preserve">2533866: RECUPERACION DE ECOSISTEMAS DEGRADADOS POR VERTIMIENTO DE AGUAS RESIDUALES Y RESIDUOS SOLIDOS EN LA DESEMBOCADURA DEL RIO COATA, EN LOS DISTRITOS DE HUATA, COATA, CAPACHICA, JULIACA Y SAN MIGUEL EN LAS PROVINCIAS DE PUNO Y SAN ROMAN DEL DEPARTAMENTO DE PUNO</t>
  </si>
  <si>
    <t xml:space="preserve">2250970</t>
  </si>
  <si>
    <t xml:space="preserve">2250970: MEJORAMIENTO DEL SERVICIO DE CONSERVACION DE LA DIVERSIDAD BIOLOGICA EN SELVA VERDE, SAN GABAN, PUNTA PERDIDA, COTACUCHO, PUNO, JUCUMARINI, CUSHINI, RIO CONDOR, RIO TAVARA, Y PACO PACUNI, DISTRITOS DE AYAPATA, SAN GABAN, SANTA ROSA, VILQUE CHICO-PUNO</t>
  </si>
  <si>
    <t xml:space="preserve">2631070</t>
  </si>
  <si>
    <t xml:space="preserve">2631070: RECUPERACION DE LOS SERVICIOS ECOSISTEMICOS EN 19 UNIDADES PRODUCTORAS 19 DISTRITOS DE 13 PROVINCIAS DEL DEPARTAMENTO DE PUNO</t>
  </si>
  <si>
    <t xml:space="preserve">2549395</t>
  </si>
  <si>
    <t xml:space="preserve">2549395: RECUPERACION DE ECOSISTEMAS DEGRADADOS EN LAS UNIDADES HIDROGRAFICAS: LLALLIMAYO DE LA UH 018 PUCARA Y UH 019 AZANGARO, DE LA CUENCA RAMIS DEL DEPARTAMENTO DE PUNO, REGION PUNO 5 PROVINCIAS DEL DEPARTAMENTO DE PUNO</t>
  </si>
  <si>
    <t xml:space="preserve">2566295</t>
  </si>
  <si>
    <t xml:space="preserve">2566295: RECUPERACION DE ECOSISTEMAS DEGRADADOS EN ZONAS ALTO ANDINAS EN CABECERA DE CUENCA DE LAS UH0172, UH0178 Y UH0171 CUENCA SUCHES EN 4 PROVINCIAS DEL DEPARTAMENTO DE PUNO</t>
  </si>
  <si>
    <t xml:space="preserve">2260735</t>
  </si>
  <si>
    <t xml:space="preserve">2260735: MEJORAMIENTO DE LA GESTION INTEGRADA DE LOS RECURSOS HIDRICOS EN CUENCAS DE LA REGION PUNO</t>
  </si>
  <si>
    <t xml:space="preserve">2684838</t>
  </si>
  <si>
    <t xml:space="preserve">2684838.MEJORAMIENTO Y AMPLIACION DEL SERVICIO DE LIMPIEZA PUBLICA EN 7 UNIDADES PRODUCTORAS 7 DISTRITOS DE LA PROVINCIA DE MELGAR DEL DEPARTAMENTO DE PUNO</t>
  </si>
  <si>
    <t xml:space="preserve">2324613</t>
  </si>
  <si>
    <t xml:space="preserve">2324613: MEJORAMIENTO DE LAS CAPACIDADES TECNOLOGICAS EN EL MANEJO DE CADENA PRODUCTIVA DE TRUCHA EN LA REGION PUNO</t>
  </si>
  <si>
    <t xml:space="preserve">Personal/bienes/servicios / Contrata</t>
  </si>
  <si>
    <t xml:space="preserve">2603148</t>
  </si>
  <si>
    <t xml:space="preserve">2603148: MEJORAMIENTO DE LOS SERVICIOS DE APOYO AL DESARROLLO PRODUCTIVO EN 19 UNIDADES PRODUCTORAS 19 DISTRITOS DE 7 PROVINCIAS DEL DEPARTAMENTO DE PUNO</t>
  </si>
  <si>
    <t xml:space="preserve">Administración directa / Personal/bienes/servicios / Contrata / Equipamiento</t>
  </si>
  <si>
    <t xml:space="preserve">2603160</t>
  </si>
  <si>
    <t xml:space="preserve">2603160: MEJORAMIENTO DE LOS SERVICIOS DE APOYO AL DESARROLLO PRODUCTIVO EN 4 UNIDADES PRODUCTORAS 4 DISTRITOS DE LAS PROVINCIAS DE SANDIA, CARABAYA DEL DEPARTAMENTO DE PUNO</t>
  </si>
  <si>
    <t xml:space="preserve">2187217</t>
  </si>
  <si>
    <t xml:space="preserve">2187217: MEJORAMIENTO DE LA CADENA DE VALOR DE LA FIBRA DE ALPACA EN LA REGION PUNO</t>
  </si>
  <si>
    <t xml:space="preserve">2603155</t>
  </si>
  <si>
    <t xml:space="preserve">2603155: MEJORAMIENTO DE LOS SERVICIOS DE APOYO AL DESARROLLO PRODUCTIVO EN 37 UNIDADES PRODUCTORAS 37 DISTRITOS DE 11 PROVINCIAS DEL DEPARTAMENTO DE PUNO</t>
  </si>
  <si>
    <t xml:space="preserve">Personal/bienes/servicios / Contrata / Equipamiento</t>
  </si>
  <si>
    <t xml:space="preserve">2154443</t>
  </si>
  <si>
    <t xml:space="preserve">2154443: MEJORAMIENTO DEL ESTADO NUTRICIONAL DEL NIÑO MENOR DE TRES AÑOS Y LA MADRE GESTANTE EN LAS PROVINCIAS DE AZANGARO, LAMPA Y SAN ROMAN DE LA REGION PUNO</t>
  </si>
  <si>
    <t xml:space="preserve">2159149</t>
  </si>
  <si>
    <t xml:space="preserve">2159149: MEJORAMIENTO DE LAS CAPACIDADES PARA PREVENIR LA DESNUTRICION CRONICA, EN MENORES DE 3 AÑOS EN LAS PROVINCIAS DE CARABAYA, MELGAR Y SANDIA DE LA REGION PUNO</t>
  </si>
  <si>
    <t xml:space="preserve">2488048</t>
  </si>
  <si>
    <t xml:space="preserve">2488048: CREACION DEL SERVICIO DE ANALISIS DE BIOLOGIA MOLECULAR DE DIAGNOSTICO COVID-19 EN EL LABORATORIO DE REFERENCIA REGIONAL DE LA DIRESA PUNO, DISTRITO DE PUNO - PROVINCIA DE PUNO - DEPARTAMENTO DE PUNO</t>
  </si>
  <si>
    <t xml:space="preserve">2544369</t>
  </si>
  <si>
    <t xml:space="preserve">2544369: ADQUISICION DE AMBULANCIA RURAL Y AMBULANCIA RURAL; EN CINCUENTA Y CINCO ESTABLECIMIENTOS DE SALUD I.4, ESTABLECIMIENTOS DE SALUD I.2, ESTABLECIMIENTOS DE SALUD I.3 A NIVEL DEPARTAMENTAL (PUNO)</t>
  </si>
  <si>
    <t xml:space="preserve">2567368</t>
  </si>
  <si>
    <t xml:space="preserve">2567368: ADQUISICION DE MAMOGRAFO; EN EL(LA) EESS SAN MARTIN DE P. (MACUSANI) - MACUSANI DISTRITO DE MACUSANI, PROVINCIA CARABAYA, DEPARTAMENTO PUNO</t>
  </si>
  <si>
    <t xml:space="preserve">2567375</t>
  </si>
  <si>
    <t xml:space="preserve">2567375: ADQUISICION DE TOMOGRAFO COMPUTARIZADO MULTICORTE; EN EL(LA) EESS SAN MARTIN DE P. (MACUSANI) - MACUSANI DISTRITO DE MACUSANI, PROVINCIA CARABAYA, DEPARTAMENTO PUNO</t>
  </si>
  <si>
    <t xml:space="preserve">2600443</t>
  </si>
  <si>
    <t xml:space="preserve">2600443: ADQUISICION DE SISTEMA DE CIRUGIA LAPAROSCOPICA, TOMOGRAFO, MESA DE OPERACIONES HIDRAULICA/ELECTRICA Y LAMPARA QUIRURGICA DE TECHO; ADEMAS DE OTROS ACTIVOS EN EL(LA) YUNGUYO DISTRITO DE YUNGUYO, PROVINCIA YUNGUYO, DEPARTAMENTO PUNO</t>
  </si>
  <si>
    <t xml:space="preserve">2650340</t>
  </si>
  <si>
    <t xml:space="preserve">2650340: ADQUISICION DE MESA DE OPERACIONES HIDRAULICA/ELECTRICA, ESTERILIZADOR CON GENERADOR ELECTRICO DE VAPOR (INS), EQUIPOS BIOMEDICOS Y COCHE DE PARO; ADEMAS DE OTROS ACTIVOS EN EL(LA) PUTINA DISTRITO DE PUTINA, PROVINCIA SAN ANTONIO DE PUTINA, DEPARTAMENTO PUNO</t>
  </si>
  <si>
    <t xml:space="preserve">2684028</t>
  </si>
  <si>
    <t xml:space="preserve">2684028: ADQUISICION DE AMBULANCIA URBANA; EN ONCE ESTABLECIMIENTOS DE SALUD II.1, ESTABLECIMIENTOS DE SALUD II.2 A NIVEL DEPARTAMENTAL (PUNO)</t>
  </si>
  <si>
    <t xml:space="preserve">2685776</t>
  </si>
  <si>
    <t xml:space="preserve">2685776: ADQUISICION DE ANALIZADOR DE GASES Y ELECTROLITOS, ESPECTROFOTOMETRO, EQUIPO DE RAYOS X DENTAL Y BIDESTILADOR DE AGUA; ADEMAS DE OTROS ACTIVOS EN EL(LA) MOHO DISTRITO DE MOHO, PROVINCIA MOHO, DEPARTAMENTO PUNO</t>
  </si>
  <si>
    <t xml:space="preserve">2694246</t>
  </si>
  <si>
    <t xml:space="preserve">2694246: ADQUISICION DE MAMOGRAFO, COLONOVIDEOENDOSCOPIO, MESA DE OPERACIONES HIDRAULICA/ELECTRICA Y CALDERO; ADEMAS DE OTROS ACTIVOS EN EL(LA) HOSPITAL REGIONAL MANUEL NUÑEZ BUTRON HOSPITAL REGIONAL MANUEL NUÑEZ BUTRON DISTRITO DE PUNO, PROVINCIA PUNO, DEPARTAMENTO PUNO</t>
  </si>
  <si>
    <t xml:space="preserve">2611144</t>
  </si>
  <si>
    <t xml:space="preserve">2611144: ADQUISICION DE ANALIZADOR DE GASES Y ELECTROLITOS, ASPIRADOR DE SECRECIONES, BOMBA DE INFUSION Y COCHE DE PARO EQUIPADO; ADEMAS DE OTROS ACTIVOS EN EL(LA) CARLOS MONJE MEDRANO DISTRITO DE JULIACA, PROVINCIA SAN ROMAN, DEPARTAMENTO PUNO</t>
  </si>
  <si>
    <t xml:space="preserve">2692290</t>
  </si>
  <si>
    <t xml:space="preserve">2692290: ADQUISICION DE EQUIPO DE ANESTESIA, VENTILADOR MECANICO, SISTEMA DE CIRUGIA LAPAROSCOPICA Y SISTEMA DE VIDEO GASTROENDOSCOPIA; ADEMAS DE OTROS ACTIVOS EN EL(LA) HOSPITAL SAN MARTIN DE PORRES DISTRITO DE MACUSANI, PROVINCIA CARABAYA, DEPARTAMENTO PUNO</t>
  </si>
  <si>
    <t xml:space="preserve">2668521</t>
  </si>
  <si>
    <t xml:space="preserve">2668521: ADQUISICION DE AMBULANCIA ACUATICA; EN DOS ESTABLECIMIENTOS DE SALUD I.2 A NIVEL PROVINCIAL (PUNO - YUNGUYO)</t>
  </si>
  <si>
    <t xml:space="preserve">2613817</t>
  </si>
  <si>
    <t xml:space="preserve">2613817: ADQUISICION DE ECOCARDIOGRAFO, ARCO EN C, BOMBA DE INFUSION Y EQUIPO ECOGRAFO; ADEMAS DE OTROS ACTIVOS EN SIETE ESTABLECIMIENTOS DE SALUD II.1 A NIVEL DEPARTAMENTAL (PUNO)</t>
  </si>
  <si>
    <t xml:space="preserve">Contrata / Equipamiento / Personal/bienes/servicios</t>
  </si>
  <si>
    <t xml:space="preserve">2692846</t>
  </si>
  <si>
    <t xml:space="preserve">2692846: ADQUISICION DE EQUIPO ECOGRAFO, MESA HIDRAULICA PARA OPERACION QUIRURGICA, LAVADORA SECADORA AUTOMATICA Y INCUBADORA DE TRANSPORTE (SAMU); ADEMAS DE OTROS ACTIVOS EN EL(LA) CARLOS CORNEJO ROSELLO DISTRITO DE AZANGARO, PROVINCIA AZANGARO, DEPARTAMENTO PUNO</t>
  </si>
  <si>
    <t xml:space="preserve">2691682</t>
  </si>
  <si>
    <t xml:space="preserve">2691682: ADQUISICION DE MESA DE OPERACIONES HIDRAULICA/ELECTRICA, EQUIPO ECOGRAFO - ULTRASONIDO, EQUIPO ECOGRAFO Y ELECTROENCEFALOGRAFO; ADEMAS DE OTROS ACTIVOS EN EL(LA) ANTONIO BARRIONUEVO (LAMPA) DISTRITO DE LAMPA, PROVINCIA LAMPA, DEPARTAMENTO PUNO</t>
  </si>
  <si>
    <t xml:space="preserve">2711034</t>
  </si>
  <si>
    <t xml:space="preserve">2711034: ADQUISICION DE ESTERILIZADOR; EN SIETE ESTABLECIMIENTOS DE SALUD II.1, ESTABLECIMIENTOS DE SALUD II.2 DISTRITO DE PUNO, PROVINCIA PUNO, DEPARTAMENTO PUNO</t>
  </si>
  <si>
    <t xml:space="preserve">Equipamiento / Contrata / Expediente técnico / Personal/bienes/servicios</t>
  </si>
  <si>
    <t xml:space="preserve">2693367</t>
  </si>
  <si>
    <t xml:space="preserve">2693367: ADQUISICION DE EQUIPO DE ANESTESIA, ELECTROBISTURI, ELECTROBISTURI Y ELECTROBISTURI; ADEMAS DE OTROS ACTIVOS EN EL(LA) SAN JUAN DE DIOS (AYAVIRI) JR SANTA ROSA DISTRITO DE AYAVIRI, PROVINCIA MELGAR, DEPARTAMENTO PUNO</t>
  </si>
  <si>
    <t xml:space="preserve">2707256</t>
  </si>
  <si>
    <t xml:space="preserve">2707256.ADQUISICION DE SISTEMA DE VIDEO GASTROENDOSCOPIA, GRUPO ELECTROGENO, EQUIPO ECOGRAFO - ULTRASONIDO Y LAVADORA SECADORA AUTOMATICA; ADEMAS DE OTROS ACTIVOS EN EL(LA) CARLOS MONJE MEDRANO DISTRITO DE JULIACA, PROVINCIA SAN ROMAN, DEPARTAMENTO PUNO</t>
  </si>
  <si>
    <t xml:space="preserve">2650340.ADQUISICION DE MESA DE OPERACIONES HIDRAULICA/ELECTRICA, ESTERILIZADOR CON GENERADOR ELECTRICO DE VAPOR (INS), EQUIPOS BIOMEDICOS Y COCHE DE PARO; ADEMAS DE OTROS ACTIVOS EN EL(LA) PUTINA DISTRITO DE PUTINA, PROVINCIA SAN ANTONIO DE PUTINA, DEPART</t>
  </si>
  <si>
    <t xml:space="preserve">2531093</t>
  </si>
  <si>
    <t xml:space="preserve">2531093.ADQUISICION DE INCUBADORA NEONATAL Y CUNA DE CALOR RADIANTE; EN EL(LA) EESS YUNGUYO - YUNGUYO EN LA LOCALIDAD YUNGUYO, DISTRITO DE YUNGUYO, PROVINCIA YUNGUYO, DEPARTAMENTO PUNO</t>
  </si>
  <si>
    <t xml:space="preserve">2639523</t>
  </si>
  <si>
    <t xml:space="preserve">2639523: ADQUISICION DE TOMOGRAFO COMPUTARIZADO MULTICORTE; EN EL(LA) CARLOS MONJE MEDRANO DISTRITO DE JULIACA, PROVINCIA SAN ROMAN, DEPARTAMENTO PUNO</t>
  </si>
  <si>
    <t xml:space="preserve">2695768</t>
  </si>
  <si>
    <t xml:space="preserve">2695768.REPARACION DE SALA DE CUIDADOS INTENSIVOS; EN EL(LA) CARLOS MONJE MEDRANO DISTRITO DE JULIACA, PROVINCIA SAN ROMAN, DEPARTAMENTO PUNO</t>
  </si>
  <si>
    <t xml:space="preserve">2694640</t>
  </si>
  <si>
    <t xml:space="preserve">2694640.ADQUISICION DE EQUIPO ECOGRAFO, EQUIPO ECOGRAFO, EQUIPO ECOGRAFO Y EQUIPO ECOGRAFO; ADEMAS DE OTROS ACTIVOS EN NUEVE ESTABLECIMIENTOS DE SALUD I.2, ESTABLECIMIENTOS DE SALUD I.3, ESTABLECIMIENTOS DE SALUD I.1 A NIVEL PROVINCIAL (PUNO - MELGAR)</t>
  </si>
  <si>
    <t xml:space="preserve">2694772</t>
  </si>
  <si>
    <t xml:space="preserve">2694772.ADQUISICION DE ANALIZADOR BIOQUIMICO SEMI AUTOMATICO, DETECTOR DE LATIDOS FETALES (TELEMEDICINA), ANALIZADOR BIOQUIMICO SEMI AUTOMATICO Y ANALIZADOR BIOQUIMICO SEMI AUTOMATICO; ADEMAS DE OTROS ACTIVOS EN CATORCE ESTABLECIMIENTOS DE SALUD I.2, ESTA</t>
  </si>
  <si>
    <t xml:space="preserve">2733644</t>
  </si>
  <si>
    <t xml:space="preserve">2733644.ADQUISICION DE PATRULLEROS Y PATRULLEROS; EN EL(LA) FRENTE POLICIAL PUNO - COMISARIAS EN LAS 13 PROVINCIAS DE LA REGION PUNO, DISTRITO DE PUNO, PROVINCIA PUNO, DEPARTAMENTO PUNO</t>
  </si>
  <si>
    <t xml:space="preserve">2721991</t>
  </si>
  <si>
    <t xml:space="preserve">2721991.RENOVACION DE AULA DE EDUCACION PRIMARIA, AMBIENTE ADMINISTRATIVO, SERVICIOS HIGIENICOS Y/O VESTIDORES Y AMBIENTE DE USOS MULTIPLES; ADEMAS DE OTROS ACTIVOS EN CUATRO II.EE. PRIMARIA A NIVEL DISTRITAL (PUNO - SANDIA - SAN PEDRO DE PUTINA PUNCO)</t>
  </si>
  <si>
    <t xml:space="preserve">Contrata / Expediente técnico / Personal/bienes/servicios</t>
  </si>
  <si>
    <t xml:space="preserve">2721892</t>
  </si>
  <si>
    <t xml:space="preserve">2721892.CONSTRUCCION DE AULA DE EDUCACION SECUNDARIA, AMBIENTE ADMINISTRATIVO Y SERVICIOS HIGIENICOS Y/O VESTIDORES; ADQUISICION DE MOBILIARIO DE AULA; EN EL(LA) IE PUERTO DE EDEN DISTRITO DE SAN PEDRO DE PUTINA PUNCO, PROVINCIA SANDIA, DEPARTAMENTO PUNO</t>
  </si>
  <si>
    <t xml:space="preserve">2719529</t>
  </si>
  <si>
    <t xml:space="preserve">2719529.RENOVACION DE AULA DE EDUCACION PRIMARIA, SERVICIOS HIGIENICOS Y/O VESTIDORES Y AMBIENTE DE USOS MULTIPLES; ADQUISICION DE MOBILIARIO DE AULA; EN TRES II.EE. PRIMARIA A NIVEL DISTRITAL (PUNO - SANDIA - ALTO INAMBARI)</t>
  </si>
  <si>
    <t xml:space="preserve">2723359</t>
  </si>
  <si>
    <t xml:space="preserve">2723359.CONSTRUCCION DE AULA DE EDUCACION SECUNDARIA; ADQUISICION DE MOBILIARIO DE AULA; EN EL(LA) IE SECUNDARIA SANTA ROSA DISTRITO DE ALTO INAMBARI, PROVINCIA SANDIA, DEPARTAMENTO PUNO</t>
  </si>
  <si>
    <t xml:space="preserve">2721888</t>
  </si>
  <si>
    <t xml:space="preserve">2721888.CONSTRUCCION DE AULA DE EDUCACION SECUNDARIA; ADQUISICION DE MOBILIARIO DE AULA; EN EL(LA) IE I.E. SECUNDARIA JOSE MARIA ARGUEDAS EN LA LOCALIDAD CCAPUNA, DISTRITO DE SANDIA, PROVINCIA SANDIA, DEPARTAMENTO PUNO</t>
  </si>
  <si>
    <t xml:space="preserve">2721886</t>
  </si>
  <si>
    <t xml:space="preserve">2721886.CONSTRUCCION DE AULA DE EDUCACION INICIAL; ADQUISICION DE MOBILIARIO DE AULA; EN EL(LA) IE INICIAL N° 1048 DE HUENCALLA DISTRITO DE SANDIA, PROVINCIA SANDIA, DEPARTAMENTO PUNO</t>
  </si>
  <si>
    <t xml:space="preserve">2721889</t>
  </si>
  <si>
    <t xml:space="preserve">2721889.CONSTRUCCION DE AULA DE EDUCACION INICIAL Y AMBIENTE ADMINISTRATIVO; ADQUISICION DE MOBILIARIO DE AULA Y EQUIPAMIENTO DE AULA; EN EL(LA) IE 1027 EN LA LOCALIDAD ISILLUMA, DISTRITO DE ALTO INAMBARI, PROVINCIA SANDIA, DEPARTAMENTO PUNO</t>
  </si>
  <si>
    <t xml:space="preserve">2729834</t>
  </si>
  <si>
    <t xml:space="preserve">2729834.CONSTRUCCION DE AULA DE EDUCACION PRIMARIA, SERVICIOS HIGIENICOS Y/O VESTIDORES PARA ESTUDIANTES Y AMBIENTE DE GESTION ADMINISTRATIVA Y DIRECCION; ADQUISICION DE MOBILIARIO DE AULA; EN EL(LA) I.E. 72544 DISTRITO DE ALTO INAMBARI, PROVINCIA SANDIA,</t>
  </si>
  <si>
    <t xml:space="preserve">2693441</t>
  </si>
  <si>
    <t xml:space="preserve">2693441: ADQUISICION DE EQUIPO DE AULA DE EDUCACION SECUNDARIA; EN EL(LA) I.E. GLORIOSO SAN CARLOS DISTRITO DE PUNO, PROVINCIA PUNO, DEPARTAMENTO PUNO</t>
  </si>
  <si>
    <t xml:space="preserve">Otro (SOFTWARES) / Contrata / Personal/bienes/servicios</t>
  </si>
  <si>
    <t xml:space="preserve">2692840</t>
  </si>
  <si>
    <t xml:space="preserve">2692840: ADQUISICION DE EQUIPO DE AULA DE EDUCACION PRIMARIA; EN EL(LA) I.E. GLORIOSO SAN CARLOS DISTRITO DE PUNO, PROVINCIA PUNO, DEPARTAMENTO PUNO</t>
  </si>
  <si>
    <t xml:space="preserve">Contrata / Otro (SOFTWARES) / Personal/bienes/servicios</t>
  </si>
  <si>
    <t xml:space="preserve">2699544</t>
  </si>
  <si>
    <t xml:space="preserve">2699544: ADQUISICION DE EQUIPAMIENTO DE AULA; EN SIETE II.EE. INICIAL DISTRITO DE SAN JUAN DE SALINAS, PROVINCIA AZANGARO, DEPARTAMENTO PUNO</t>
  </si>
  <si>
    <t xml:space="preserve">2683535</t>
  </si>
  <si>
    <t xml:space="preserve">2683535: MEJORAMIENTO DEL SERVICIO DE SEGURIDAD CIUDADANA LOCAL EN 73 UNIDADES PRODUCTORAS 73 DISTRITOS DE 11 PROVINCIAS DEL DEPARTAMENTO DE PUNO 11 PROVINCIAS DEL DEPARTAMENTO DE PUNO</t>
  </si>
  <si>
    <t xml:space="preserve">2685431</t>
  </si>
  <si>
    <t xml:space="preserve">2685431: ADQUISICION DE AMBULANCIA URBANA, CAMIONETA, CAMION PLATAFORMA Y CAMION CISTERNA; ADEMAS DE OTROS ACTIVOS EN CINCO COMPAÑIA DE BOMBEROS</t>
  </si>
  <si>
    <t xml:space="preserve">2608728</t>
  </si>
  <si>
    <t xml:space="preserve">2608728: REPARACION DE AMBIENTE DE RESIDENCIA; ADQUISICION DE EQUIPAMIENTO DE AMBIENTES DE BIENESTAR Y SERVICIOS GENERALES Y MOBILIARIO DE AMBIENTES DE BIENESTAR Y SERVICIOS GENERALES; EN EL(LA) ALDEA INFANTIL NIÑO SAN SALVADOR DEL DISTRITO DE CAPACHICA, PROVINCIA PUNO, DEPARTAMENTO PUNO</t>
  </si>
  <si>
    <t xml:space="preserve">2001621</t>
  </si>
  <si>
    <t xml:space="preserve">2001621: ESTUDIOS DE PRE-INVERSION</t>
  </si>
  <si>
    <t xml:space="preserve">Estudio de preinversión / Equipamiento</t>
  </si>
  <si>
    <t xml:space="preserve">Sin clasificar</t>
  </si>
  <si>
    <t xml:space="preserve">2662519</t>
  </si>
  <si>
    <t xml:space="preserve">2662519: MEJORAMIENTO DEL SERVICIO DE ATENCIÓN DE SALUD BÁSICOS EN C.S. CLAS PUSI   DISTRITO DE PUSI DE LA PROVINCIA DE HUANCANE DEL DEPARTAMENTO DE PUNO</t>
  </si>
  <si>
    <t xml:space="preserve">Sin clasificar: CUI no figura en el Excel de Alex (16/09)</t>
  </si>
  <si>
    <t xml:space="preserve">2699546</t>
  </si>
  <si>
    <t xml:space="preserve">2699546: ADQUISICION DE EQUIPAMIENTO DE AULA DE INNOVACION PEDAGOGICA; EN OCHO II.EE. PRIMARIA  DISTRITO DE SAN JUAN DE SALINAS, PROVINCIA AZANGARO, DEPARTAMENTO PUNO</t>
  </si>
  <si>
    <t xml:space="preserve">Equipamiento / Administración directa / Contrata / Personal/bienes/servicios</t>
  </si>
  <si>
    <t xml:space="preserve">2617364</t>
  </si>
  <si>
    <t xml:space="preserve">2617364: (MEJORAMIENTO DE INFRAESTRUCTURA DE EDUCACION BASICA REGULAR - nombre no disponible en fuentes)</t>
  </si>
  <si>
    <t xml:space="preserve">2681141</t>
  </si>
  <si>
    <t xml:space="preserve">2681141: MEJORAMIENTO DEL SERVICIO DE ATENCIÓN DE SALUD BÁSICOS EN HUACULLANI   DISTRITO DE HUACULLANI DE LA PROVINCIA DE CHUCUITO DEL DEPARTAMENTO DE PUNO</t>
  </si>
  <si>
    <t xml:space="preserve">2231037</t>
  </si>
  <si>
    <t xml:space="preserve">2231037:  MEJORAMIENTO DE LOS SERVICIOS EDUCATIVOS EN LA I.E.I. N 596 MUNAYPATA DEL CENTRO POBLADO DE MUNAYPATA, DISTRITO DE OLLACHEA  PROVINCIA DE CARABAYA  PUNO</t>
  </si>
  <si>
    <t xml:space="preserve">Control y conciliación</t>
  </si>
  <si>
    <t xml:space="preserve">Control</t>
  </si>
  <si>
    <t xml:space="preserve">Calculado (hoja Base)</t>
  </si>
  <si>
    <t xml:space="preserve">Referencia</t>
  </si>
  <si>
    <t xml:space="preserve">Diferencia</t>
  </si>
  <si>
    <t xml:space="preserve">Resultado</t>
  </si>
  <si>
    <t xml:space="preserve">PIM: Base vs TOTAL UE 001 del XLS SIAF</t>
  </si>
  <si>
    <t xml:space="preserve">Certificación: Base vs XLS</t>
  </si>
  <si>
    <t xml:space="preserve">Compromiso anual: Base vs XLS</t>
  </si>
  <si>
    <t xml:space="preserve">Devengado: Base vs XLS</t>
  </si>
  <si>
    <t xml:space="preserve">PIM hoja "Gerencia de Infraestructura" vs Base</t>
  </si>
  <si>
    <t xml:space="preserve">Devengado hoja "Gerencia de Infraestructura" vs Base</t>
  </si>
  <si>
    <t xml:space="preserve">PIM hoja "Gerencias y Oficinas" vs Base</t>
  </si>
  <si>
    <t xml:space="preserve">Devengado hoja "Gerencias y Oficinas" vs Base</t>
  </si>
  <si>
    <t xml:space="preserve">PIM hoja "Sin clasificar" vs Base</t>
  </si>
  <si>
    <t xml:space="preserve">Devengado hoja "Sin clasificar" vs Base</t>
  </si>
  <si>
    <t xml:space="preserve">Filas CUI-meta en Base vs metas en XLS</t>
  </si>
  <si>
    <t xml:space="preserve">Datos faltantes o por validar (informativo)</t>
  </si>
  <si>
    <t xml:space="preserve">Filas sin gerencia asignada (CUI no está en Alex 16/09)</t>
  </si>
  <si>
    <t xml:space="preserve">Filas sin datos en Cartera PMI (montos 2026-2029 = "No registrado en cartera")</t>
  </si>
  <si>
    <t xml:space="preserve">Filas con nota de clasificación (meta sin número, repetido, etc.)</t>
  </si>
  <si>
    <t xml:space="preserve">Filas con Base legal (sin fuente: en blanco)</t>
  </si>
  <si>
    <t xml:space="preserve">CUI sin clasificar:</t>
  </si>
  <si>
    <t xml:space="preserve">2662519 meta 0284 · PIM 282,553 · 2662519: MEJORAMIENTO DEL SERVICIO DE ATENCIÓN DE SALUD BÁSICOS EN C.S. CLAS PUSI   DISTRI</t>
  </si>
  <si>
    <t xml:space="preserve">2699546 meta 0345 · PIM 271,707 · 2699546: ADQUISICION DE EQUIPAMIENTO DE AULA DE INNOVACION PEDAGOGICA; EN OCHO II.EE. PRIM</t>
  </si>
  <si>
    <t xml:space="preserve">2617364 meta 0532 · PIM 218,556 · 2617364: (MEJORAMIENTO DE INFRAESTRUCTURA DE EDUCACION BASICA REGULAR - nombre no disponib</t>
  </si>
  <si>
    <t xml:space="preserve">2681141 meta 0533 · PIM 100,000 · 2681141: MEJORAMIENTO DEL SERVICIO DE ATENCIÓN DE SALUD BÁSICOS EN HUACULLANI   DISTRITO D</t>
  </si>
  <si>
    <t xml:space="preserve">2231037 meta 0499 · PIM 20,166 · 2231037:  MEJORAMIENTO DE LOS SERVICIOS EDUCATIVOS EN LA I.E.I. N 596 MUNAYPATA DEL CENTRO</t>
  </si>
  <si>
    <t xml:space="preserve">Regla de Modalidad de ejecución (derivada del SIAF, específica de gasto con PIM &gt; 0, ordenada por monto, separada por " / ")</t>
  </si>
  <si>
    <t xml:space="preserve">"COSTO DE CONSTRUCCION POR CONTRATA" (2.6.2x, 2.6.23)</t>
  </si>
  <si>
    <t xml:space="preserve">"COSTO DE CONSTRUCCION POR ADMINISTRACION DIRECTA - ..."</t>
  </si>
  <si>
    <t xml:space="preserve">"ELABORACION DE EXPEDIENTES TECNICOS" (2.6.81.3.1)</t>
  </si>
  <si>
    <t xml:space="preserve">"ESTUDIO DE PREINVERSION" (2.6.81.2.1)</t>
  </si>
  <si>
    <t xml:space="preserve">"GASTO POR LAUDOS ARBITRALES..." (2.6.81.4.4)</t>
  </si>
  <si>
    <t xml:space="preserve">Laudos arbitrales</t>
  </si>
  <si>
    <t xml:space="preserve">2.6.3.x (equipos, mobiliario, vehículos)</t>
  </si>
  <si>
    <t xml:space="preserve">2.6.81.4.1-3 y 2.6.71.6.1-3 (personal, bienes, servicios)</t>
  </si>
  <si>
    <t xml:space="preserve">Si no hay PIM en ninguna específica se usan las que tengan PIA, certificación, compromiso o devengado. "Personal/bienes/servicios" se rotula literal; confirmar con Alex si equivale a administración directa.</t>
  </si>
</sst>
</file>

<file path=xl/styles.xml><?xml version="1.0" encoding="utf-8"?>
<styleSheet xmlns="http://schemas.openxmlformats.org/spreadsheetml/2006/main">
  <numFmts count="4">
    <numFmt numFmtId="164" formatCode="General"/>
    <numFmt numFmtId="165" formatCode="#,##0;\(#,##0\);\-"/>
    <numFmt numFmtId="166" formatCode="0.0%"/>
    <numFmt numFmtId="167" formatCode="#,##0.00"/>
  </numFmts>
  <fonts count="14">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name val="Arial"/>
      <family val="0"/>
      <charset val="1"/>
    </font>
    <font>
      <b val="true"/>
      <sz val="9"/>
      <color rgb="FFFFFFFF"/>
      <name val="Arial"/>
      <family val="0"/>
      <charset val="1"/>
    </font>
    <font>
      <sz val="9"/>
      <name val="Arial"/>
      <family val="0"/>
      <charset val="1"/>
    </font>
    <font>
      <b val="true"/>
      <sz val="9"/>
      <name val="Arial"/>
      <family val="0"/>
      <charset val="1"/>
    </font>
    <font>
      <b val="true"/>
      <sz val="11"/>
      <name val="Arial"/>
      <family val="0"/>
      <charset val="1"/>
    </font>
    <font>
      <b val="true"/>
      <sz val="10"/>
      <color rgb="FFFFFFFF"/>
      <name val="Arial"/>
      <family val="0"/>
      <charset val="1"/>
    </font>
    <font>
      <b val="true"/>
      <sz val="9"/>
      <color rgb="FF000000"/>
      <name val="Arial"/>
      <family val="0"/>
      <charset val="1"/>
    </font>
    <font>
      <b val="true"/>
      <sz val="12"/>
      <name val="Arial"/>
      <family val="0"/>
      <charset val="1"/>
    </font>
    <font>
      <sz val="9"/>
      <color rgb="FF0000FF"/>
      <name val="Arial"/>
      <family val="0"/>
      <charset val="1"/>
    </font>
  </fonts>
  <fills count="7">
    <fill>
      <patternFill patternType="none"/>
    </fill>
    <fill>
      <patternFill patternType="gray125"/>
    </fill>
    <fill>
      <patternFill patternType="solid">
        <fgColor rgb="FF002060"/>
        <bgColor rgb="FF000080"/>
      </patternFill>
    </fill>
    <fill>
      <patternFill patternType="solid">
        <fgColor rgb="FFD9D9D9"/>
        <bgColor rgb="FFB4C6E7"/>
      </patternFill>
    </fill>
    <fill>
      <patternFill patternType="solid">
        <fgColor rgb="FFB4C6E7"/>
        <bgColor rgb="FF99CCFF"/>
      </patternFill>
    </fill>
    <fill>
      <patternFill patternType="solid">
        <fgColor rgb="FFFFFF00"/>
        <bgColor rgb="FFFFFF00"/>
      </patternFill>
    </fill>
    <fill>
      <patternFill patternType="solid">
        <fgColor rgb="FFF4B084"/>
        <bgColor rgb="FFFF99CC"/>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true" applyProtection="false">
      <alignment horizontal="center" vertical="bottom" textRotation="0" wrapText="false" indent="0" shrinkToFit="false"/>
      <protection locked="true" hidden="false"/>
    </xf>
    <xf numFmtId="166" fontId="8" fillId="3" borderId="1" xfId="0" applyFont="true" applyBorder="true" applyAlignment="true" applyProtection="false">
      <alignment horizontal="center"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5" fontId="8" fillId="6" borderId="1" xfId="0" applyFont="true" applyBorder="true" applyAlignment="false" applyProtection="false">
      <alignment horizontal="general" vertical="bottom" textRotation="0" wrapText="false" indent="0" shrinkToFit="false"/>
      <protection locked="true" hidden="false"/>
    </xf>
    <xf numFmtId="166" fontId="8" fillId="6"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5" fontId="6" fillId="2" borderId="1" xfId="0" applyFont="true" applyBorder="true" applyAlignment="false" applyProtection="false">
      <alignment horizontal="general" vertical="bottom" textRotation="0" wrapText="false" indent="0" shrinkToFit="false"/>
      <protection locked="true" hidden="false"/>
    </xf>
    <xf numFmtId="166" fontId="6"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02060"/>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6E7"/>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084"/>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2"/>
    <col collapsed="false" customWidth="true" hidden="false" outlineLevel="0" max="11" min="2" style="0" width="17"/>
  </cols>
  <sheetData>
    <row r="1" customFormat="false" ht="16.15" hidden="false" customHeight="false" outlineLevel="0" collapsed="false">
      <c r="A1" s="1" t="s">
        <v>0</v>
      </c>
    </row>
    <row r="2" customFormat="false" ht="15" hidden="false" customHeight="false" outlineLevel="0" collapsed="false">
      <c r="A2" s="2" t="s">
        <v>1</v>
      </c>
    </row>
    <row r="4" customFormat="false" ht="36" hidden="false" customHeight="true" outlineLevel="0" collapsed="false">
      <c r="A4" s="3" t="s">
        <v>2</v>
      </c>
      <c r="B4" s="3" t="s">
        <v>3</v>
      </c>
      <c r="C4" s="3" t="s">
        <v>4</v>
      </c>
      <c r="D4" s="3" t="s">
        <v>5</v>
      </c>
      <c r="E4" s="3" t="s">
        <v>6</v>
      </c>
      <c r="F4" s="3" t="s">
        <v>7</v>
      </c>
      <c r="G4" s="3" t="s">
        <v>8</v>
      </c>
      <c r="H4" s="3" t="s">
        <v>9</v>
      </c>
      <c r="I4" s="3" t="s">
        <v>10</v>
      </c>
      <c r="J4" s="3" t="s">
        <v>11</v>
      </c>
      <c r="K4" s="3" t="s">
        <v>12</v>
      </c>
    </row>
    <row r="5" customFormat="false" ht="15" hidden="false" customHeight="false" outlineLevel="0" collapsed="false">
      <c r="A5" s="4" t="s">
        <v>13</v>
      </c>
      <c r="B5" s="4" t="n">
        <f aca="false">COUNTIFS(Base!$B$5:$B$440,$A5)</f>
        <v>281</v>
      </c>
      <c r="C5" s="5" t="n">
        <f aca="false">SUMIFS(Base!$H$5:$H$440,Base!$B$5:$B$440,$A5)</f>
        <v>770204814</v>
      </c>
      <c r="D5" s="5" t="n">
        <f aca="false">SUMIFS(Base!$I$5:$I$440,Base!$B$5:$B$440,$A5)</f>
        <v>722649554.94</v>
      </c>
      <c r="E5" s="5" t="n">
        <f aca="false">C5-D5</f>
        <v>47555259.0599999</v>
      </c>
      <c r="F5" s="5" t="n">
        <f aca="false">SUMIFS(Base!$K$5:$K$440,Base!$B$5:$B$440,$A5)</f>
        <v>381727436.31</v>
      </c>
      <c r="G5" s="5" t="n">
        <f aca="false">SUMIFS(Base!$H$5:$H$440,Base!$B$5:$B$440,$A5,Base!$P$5:$P$440,"Sin certificar")</f>
        <v>11016473</v>
      </c>
      <c r="H5" s="5" t="n">
        <f aca="false">SUMIFS(Base!$H$5:$H$440,Base!$B$5:$B$440,$A5,Base!$P$5:$P$440,"Solo certificado")</f>
        <v>31515087</v>
      </c>
      <c r="I5" s="5" t="n">
        <f aca="false">SUMIFS(Base!$H$5:$H$440,Base!$B$5:$B$440,$A5,Base!$P$5:$P$440,"Comprometido")</f>
        <v>727673254</v>
      </c>
      <c r="J5" s="5" t="n">
        <f aca="false">SUMIFS(Base!$H$5:$H$440,Base!$B$5:$B$440,$A5,Base!$P$5:$P$440,"Devengado total")</f>
        <v>0</v>
      </c>
      <c r="K5" s="5" t="n">
        <f aca="false">SUMIFS(Base!$H$5:$H$440,Base!$B$5:$B$440,$A5,Base!$P$5:$P$440,"Sin PIM")</f>
        <v>0</v>
      </c>
    </row>
    <row r="6" customFormat="false" ht="15" hidden="false" customHeight="false" outlineLevel="0" collapsed="false">
      <c r="A6" s="4" t="s">
        <v>14</v>
      </c>
      <c r="B6" s="4" t="n">
        <f aca="false">COUNTIFS(Base!$B$5:$B$440,$A6)</f>
        <v>83</v>
      </c>
      <c r="C6" s="5" t="n">
        <f aca="false">SUMIFS(Base!$H$5:$H$440,Base!$B$5:$B$440,$A6)</f>
        <v>15438088</v>
      </c>
      <c r="D6" s="5" t="n">
        <f aca="false">SUMIFS(Base!$I$5:$I$440,Base!$B$5:$B$440,$A6)</f>
        <v>13246423.87</v>
      </c>
      <c r="E6" s="5" t="n">
        <f aca="false">C6-D6</f>
        <v>2191664.13</v>
      </c>
      <c r="F6" s="5" t="n">
        <f aca="false">SUMIFS(Base!$K$5:$K$440,Base!$B$5:$B$440,$A6)</f>
        <v>6937956.79</v>
      </c>
      <c r="G6" s="5" t="n">
        <f aca="false">SUMIFS(Base!$H$5:$H$440,Base!$B$5:$B$440,$A6,Base!$P$5:$P$440,"Sin certificar")</f>
        <v>160000</v>
      </c>
      <c r="H6" s="5" t="n">
        <f aca="false">SUMIFS(Base!$H$5:$H$440,Base!$B$5:$B$440,$A6,Base!$P$5:$P$440,"Solo certificado")</f>
        <v>891317</v>
      </c>
      <c r="I6" s="5" t="n">
        <f aca="false">SUMIFS(Base!$H$5:$H$440,Base!$B$5:$B$440,$A6,Base!$P$5:$P$440,"Comprometido")</f>
        <v>14139325</v>
      </c>
      <c r="J6" s="5" t="n">
        <f aca="false">SUMIFS(Base!$H$5:$H$440,Base!$B$5:$B$440,$A6,Base!$P$5:$P$440,"Devengado total")</f>
        <v>247446</v>
      </c>
      <c r="K6" s="5" t="n">
        <f aca="false">SUMIFS(Base!$H$5:$H$440,Base!$B$5:$B$440,$A6,Base!$P$5:$P$440,"Sin PIM")</f>
        <v>0</v>
      </c>
    </row>
    <row r="7" customFormat="false" ht="15" hidden="false" customHeight="false" outlineLevel="0" collapsed="false">
      <c r="A7" s="4" t="s">
        <v>15</v>
      </c>
      <c r="B7" s="4" t="n">
        <f aca="false">COUNTIFS(Base!$B$5:$B$440,$A7)</f>
        <v>11</v>
      </c>
      <c r="C7" s="5" t="n">
        <f aca="false">SUMIFS(Base!$H$5:$H$440,Base!$B$5:$B$440,$A7)</f>
        <v>18155027</v>
      </c>
      <c r="D7" s="5" t="n">
        <f aca="false">SUMIFS(Base!$I$5:$I$440,Base!$B$5:$B$440,$A7)</f>
        <v>15578094.31</v>
      </c>
      <c r="E7" s="5" t="n">
        <f aca="false">C7-D7</f>
        <v>2576932.69</v>
      </c>
      <c r="F7" s="5" t="n">
        <f aca="false">SUMIFS(Base!$K$5:$K$440,Base!$B$5:$B$440,$A7)</f>
        <v>8757642.46</v>
      </c>
      <c r="G7" s="5" t="n">
        <f aca="false">SUMIFS(Base!$H$5:$H$440,Base!$B$5:$B$440,$A7,Base!$P$5:$P$440,"Sin certificar")</f>
        <v>32099</v>
      </c>
      <c r="H7" s="5" t="n">
        <f aca="false">SUMIFS(Base!$H$5:$H$440,Base!$B$5:$B$440,$A7,Base!$P$5:$P$440,"Solo certificado")</f>
        <v>30658</v>
      </c>
      <c r="I7" s="5" t="n">
        <f aca="false">SUMIFS(Base!$H$5:$H$440,Base!$B$5:$B$440,$A7,Base!$P$5:$P$440,"Comprometido")</f>
        <v>18092270</v>
      </c>
      <c r="J7" s="5" t="n">
        <f aca="false">SUMIFS(Base!$H$5:$H$440,Base!$B$5:$B$440,$A7,Base!$P$5:$P$440,"Devengado total")</f>
        <v>0</v>
      </c>
      <c r="K7" s="5" t="n">
        <f aca="false">SUMIFS(Base!$H$5:$H$440,Base!$B$5:$B$440,$A7,Base!$P$5:$P$440,"Sin PIM")</f>
        <v>0</v>
      </c>
    </row>
    <row r="8" customFormat="false" ht="15" hidden="false" customHeight="false" outlineLevel="0" collapsed="false">
      <c r="A8" s="4" t="s">
        <v>16</v>
      </c>
      <c r="B8" s="4" t="n">
        <f aca="false">COUNTIFS(Base!$B$5:$B$440,$A8)</f>
        <v>3</v>
      </c>
      <c r="C8" s="5" t="n">
        <f aca="false">SUMIFS(Base!$H$5:$H$440,Base!$B$5:$B$440,$A8)</f>
        <v>13183082</v>
      </c>
      <c r="D8" s="5" t="n">
        <f aca="false">SUMIFS(Base!$I$5:$I$440,Base!$B$5:$B$440,$A8)</f>
        <v>12706540.85</v>
      </c>
      <c r="E8" s="5" t="n">
        <f aca="false">C8-D8</f>
        <v>476541.15</v>
      </c>
      <c r="F8" s="5" t="n">
        <f aca="false">SUMIFS(Base!$K$5:$K$440,Base!$B$5:$B$440,$A8)</f>
        <v>3714211.52</v>
      </c>
      <c r="G8" s="5" t="n">
        <f aca="false">SUMIFS(Base!$H$5:$H$440,Base!$B$5:$B$440,$A8,Base!$P$5:$P$440,"Sin certificar")</f>
        <v>100000</v>
      </c>
      <c r="H8" s="5" t="n">
        <f aca="false">SUMIFS(Base!$H$5:$H$440,Base!$B$5:$B$440,$A8,Base!$P$5:$P$440,"Solo certificado")</f>
        <v>0</v>
      </c>
      <c r="I8" s="5" t="n">
        <f aca="false">SUMIFS(Base!$H$5:$H$440,Base!$B$5:$B$440,$A8,Base!$P$5:$P$440,"Comprometido")</f>
        <v>13083082</v>
      </c>
      <c r="J8" s="5" t="n">
        <f aca="false">SUMIFS(Base!$H$5:$H$440,Base!$B$5:$B$440,$A8,Base!$P$5:$P$440,"Devengado total")</f>
        <v>0</v>
      </c>
      <c r="K8" s="5" t="n">
        <f aca="false">SUMIFS(Base!$H$5:$H$440,Base!$B$5:$B$440,$A8,Base!$P$5:$P$440,"Sin PIM")</f>
        <v>0</v>
      </c>
    </row>
    <row r="9" customFormat="false" ht="15" hidden="false" customHeight="false" outlineLevel="0" collapsed="false">
      <c r="A9" s="4" t="s">
        <v>17</v>
      </c>
      <c r="B9" s="4" t="n">
        <f aca="false">COUNTIFS(Base!$B$5:$B$440,$A9)</f>
        <v>2</v>
      </c>
      <c r="C9" s="5" t="n">
        <f aca="false">SUMIFS(Base!$H$5:$H$440,Base!$B$5:$B$440,$A9)</f>
        <v>5603985</v>
      </c>
      <c r="D9" s="5" t="n">
        <f aca="false">SUMIFS(Base!$I$5:$I$440,Base!$B$5:$B$440,$A9)</f>
        <v>5402769.95</v>
      </c>
      <c r="E9" s="5" t="n">
        <f aca="false">C9-D9</f>
        <v>201215.05</v>
      </c>
      <c r="F9" s="5" t="n">
        <f aca="false">SUMIFS(Base!$K$5:$K$440,Base!$B$5:$B$440,$A9)</f>
        <v>3499541.36</v>
      </c>
      <c r="G9" s="5" t="n">
        <f aca="false">SUMIFS(Base!$H$5:$H$440,Base!$B$5:$B$440,$A9,Base!$P$5:$P$440,"Sin certificar")</f>
        <v>0</v>
      </c>
      <c r="H9" s="5" t="n">
        <f aca="false">SUMIFS(Base!$H$5:$H$440,Base!$B$5:$B$440,$A9,Base!$P$5:$P$440,"Solo certificado")</f>
        <v>0</v>
      </c>
      <c r="I9" s="5" t="n">
        <f aca="false">SUMIFS(Base!$H$5:$H$440,Base!$B$5:$B$440,$A9,Base!$P$5:$P$440,"Comprometido")</f>
        <v>5603985</v>
      </c>
      <c r="J9" s="5" t="n">
        <f aca="false">SUMIFS(Base!$H$5:$H$440,Base!$B$5:$B$440,$A9,Base!$P$5:$P$440,"Devengado total")</f>
        <v>0</v>
      </c>
      <c r="K9" s="5" t="n">
        <f aca="false">SUMIFS(Base!$H$5:$H$440,Base!$B$5:$B$440,$A9,Base!$P$5:$P$440,"Sin PIM")</f>
        <v>0</v>
      </c>
    </row>
    <row r="10" customFormat="false" ht="15" hidden="false" customHeight="false" outlineLevel="0" collapsed="false">
      <c r="A10" s="4" t="s">
        <v>18</v>
      </c>
      <c r="B10" s="4" t="n">
        <f aca="false">COUNTIFS(Base!$B$5:$B$440,$A10)</f>
        <v>41</v>
      </c>
      <c r="C10" s="5" t="n">
        <f aca="false">SUMIFS(Base!$H$5:$H$440,Base!$B$5:$B$440,$A10)</f>
        <v>74397967</v>
      </c>
      <c r="D10" s="5" t="n">
        <f aca="false">SUMIFS(Base!$I$5:$I$440,Base!$B$5:$B$440,$A10)</f>
        <v>67208621.58</v>
      </c>
      <c r="E10" s="5" t="n">
        <f aca="false">C10-D10</f>
        <v>7189345.42</v>
      </c>
      <c r="F10" s="5" t="n">
        <f aca="false">SUMIFS(Base!$K$5:$K$440,Base!$B$5:$B$440,$A10)</f>
        <v>23249589.99</v>
      </c>
      <c r="G10" s="5" t="n">
        <f aca="false">SUMIFS(Base!$H$5:$H$440,Base!$B$5:$B$440,$A10,Base!$P$5:$P$440,"Sin certificar")</f>
        <v>1256414</v>
      </c>
      <c r="H10" s="5" t="n">
        <f aca="false">SUMIFS(Base!$H$5:$H$440,Base!$B$5:$B$440,$A10,Base!$P$5:$P$440,"Solo certificado")</f>
        <v>8232218</v>
      </c>
      <c r="I10" s="5" t="n">
        <f aca="false">SUMIFS(Base!$H$5:$H$440,Base!$B$5:$B$440,$A10,Base!$P$5:$P$440,"Comprometido")</f>
        <v>64909335</v>
      </c>
      <c r="J10" s="5" t="n">
        <f aca="false">SUMIFS(Base!$H$5:$H$440,Base!$B$5:$B$440,$A10,Base!$P$5:$P$440,"Devengado total")</f>
        <v>0</v>
      </c>
      <c r="K10" s="5" t="n">
        <f aca="false">SUMIFS(Base!$H$5:$H$440,Base!$B$5:$B$440,$A10,Base!$P$5:$P$440,"Sin PIM")</f>
        <v>0</v>
      </c>
    </row>
    <row r="11" customFormat="false" ht="15" hidden="false" customHeight="false" outlineLevel="0" collapsed="false">
      <c r="A11" s="4" t="s">
        <v>19</v>
      </c>
      <c r="B11" s="4" t="n">
        <f aca="false">COUNTIFS(Base!$B$5:$B$440,$A11)</f>
        <v>10</v>
      </c>
      <c r="C11" s="5" t="n">
        <f aca="false">SUMIFS(Base!$H$5:$H$440,Base!$B$5:$B$440,$A11)</f>
        <v>7151039</v>
      </c>
      <c r="D11" s="5" t="n">
        <f aca="false">SUMIFS(Base!$I$5:$I$440,Base!$B$5:$B$440,$A11)</f>
        <v>5777500.99</v>
      </c>
      <c r="E11" s="5" t="n">
        <f aca="false">C11-D11</f>
        <v>1373538.01</v>
      </c>
      <c r="F11" s="5" t="n">
        <f aca="false">SUMIFS(Base!$K$5:$K$440,Base!$B$5:$B$440,$A11)</f>
        <v>5400403.31</v>
      </c>
      <c r="G11" s="5" t="n">
        <f aca="false">SUMIFS(Base!$H$5:$H$440,Base!$B$5:$B$440,$A11,Base!$P$5:$P$440,"Sin certificar")</f>
        <v>224696</v>
      </c>
      <c r="H11" s="5" t="n">
        <f aca="false">SUMIFS(Base!$H$5:$H$440,Base!$B$5:$B$440,$A11,Base!$P$5:$P$440,"Solo certificado")</f>
        <v>0</v>
      </c>
      <c r="I11" s="5" t="n">
        <f aca="false">SUMIFS(Base!$H$5:$H$440,Base!$B$5:$B$440,$A11,Base!$P$5:$P$440,"Comprometido")</f>
        <v>6926343</v>
      </c>
      <c r="J11" s="5" t="n">
        <f aca="false">SUMIFS(Base!$H$5:$H$440,Base!$B$5:$B$440,$A11,Base!$P$5:$P$440,"Devengado total")</f>
        <v>0</v>
      </c>
      <c r="K11" s="5" t="n">
        <f aca="false">SUMIFS(Base!$H$5:$H$440,Base!$B$5:$B$440,$A11,Base!$P$5:$P$440,"Sin PIM")</f>
        <v>0</v>
      </c>
    </row>
    <row r="12" customFormat="false" ht="15" hidden="false" customHeight="false" outlineLevel="0" collapsed="false">
      <c r="A12" s="4" t="s">
        <v>20</v>
      </c>
      <c r="B12" s="4" t="n">
        <f aca="false">COUNTIFS(Base!$B$5:$B$440,$A12)</f>
        <v>5</v>
      </c>
      <c r="C12" s="5" t="n">
        <f aca="false">SUMIFS(Base!$H$5:$H$440,Base!$B$5:$B$440,$A12)</f>
        <v>892982</v>
      </c>
      <c r="D12" s="5" t="n">
        <f aca="false">SUMIFS(Base!$I$5:$I$440,Base!$B$5:$B$440,$A12)</f>
        <v>573620.69</v>
      </c>
      <c r="E12" s="5" t="n">
        <f aca="false">C12-D12</f>
        <v>319361.31</v>
      </c>
      <c r="F12" s="5" t="n">
        <f aca="false">SUMIFS(Base!$K$5:$K$440,Base!$B$5:$B$440,$A12)</f>
        <v>288990.91</v>
      </c>
      <c r="G12" s="5" t="n">
        <f aca="false">SUMIFS(Base!$H$5:$H$440,Base!$B$5:$B$440,$A12,Base!$P$5:$P$440,"Sin certificar")</f>
        <v>318556</v>
      </c>
      <c r="H12" s="5" t="n">
        <f aca="false">SUMIFS(Base!$H$5:$H$440,Base!$B$5:$B$440,$A12,Base!$P$5:$P$440,"Solo certificado")</f>
        <v>0</v>
      </c>
      <c r="I12" s="5" t="n">
        <f aca="false">SUMIFS(Base!$H$5:$H$440,Base!$B$5:$B$440,$A12,Base!$P$5:$P$440,"Comprometido")</f>
        <v>574426</v>
      </c>
      <c r="J12" s="5" t="n">
        <f aca="false">SUMIFS(Base!$H$5:$H$440,Base!$B$5:$B$440,$A12,Base!$P$5:$P$440,"Devengado total")</f>
        <v>0</v>
      </c>
      <c r="K12" s="5" t="n">
        <f aca="false">SUMIFS(Base!$H$5:$H$440,Base!$B$5:$B$440,$A12,Base!$P$5:$P$440,"Sin PIM")</f>
        <v>0</v>
      </c>
    </row>
    <row r="13" customFormat="false" ht="15" hidden="false" customHeight="false" outlineLevel="0" collapsed="false">
      <c r="A13" s="6" t="s">
        <v>21</v>
      </c>
      <c r="B13" s="6" t="n">
        <f aca="false">SUM(B5:B12)</f>
        <v>436</v>
      </c>
      <c r="C13" s="7" t="n">
        <f aca="false">SUM(C5:C12)</f>
        <v>905026984</v>
      </c>
      <c r="D13" s="7" t="n">
        <f aca="false">SUM(D5:D12)</f>
        <v>843143127.18</v>
      </c>
      <c r="E13" s="7" t="n">
        <f aca="false">SUM(E5:E12)</f>
        <v>61883856.82</v>
      </c>
      <c r="F13" s="7" t="n">
        <f aca="false">SUM(F5:F12)</f>
        <v>433575772.65</v>
      </c>
      <c r="G13" s="7" t="n">
        <f aca="false">SUM(G5:G12)</f>
        <v>13108238</v>
      </c>
      <c r="H13" s="7" t="n">
        <f aca="false">SUM(H5:H12)</f>
        <v>40669280</v>
      </c>
      <c r="I13" s="7" t="n">
        <f aca="false">SUM(I5:I12)</f>
        <v>851002020</v>
      </c>
      <c r="J13" s="7" t="n">
        <f aca="false">SUM(J5:J12)</f>
        <v>247446</v>
      </c>
      <c r="K13" s="7" t="n">
        <f aca="false">SUM(K5:K12)</f>
        <v>0</v>
      </c>
    </row>
    <row r="15" customFormat="false" ht="15" hidden="false" customHeight="false" outlineLevel="0" collapsed="false">
      <c r="A15" s="8" t="s">
        <v>22</v>
      </c>
    </row>
    <row r="16" customFormat="false" ht="15" hidden="false" customHeight="false" outlineLevel="0" collapsed="false">
      <c r="A16" s="9" t="s">
        <v>23</v>
      </c>
    </row>
    <row r="17" customFormat="false" ht="15" hidden="false" customHeight="false" outlineLevel="0" collapsed="false">
      <c r="A17" s="9" t="s">
        <v>24</v>
      </c>
    </row>
    <row r="18" customFormat="false" ht="15" hidden="false" customHeight="false" outlineLevel="0" collapsed="false">
      <c r="A18" s="9" t="s">
        <v>25</v>
      </c>
    </row>
    <row r="19" customFormat="false" ht="15" hidden="false" customHeight="false" outlineLevel="0" collapsed="false">
      <c r="A19" s="9" t="s">
        <v>26</v>
      </c>
    </row>
    <row r="20" customFormat="false" ht="15" hidden="false" customHeight="false" outlineLevel="0" collapsed="false">
      <c r="A20" s="9"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62"/>
    <col collapsed="false" customWidth="true" hidden="false" outlineLevel="0" max="5" min="4" style="0" width="15"/>
    <col collapsed="false" customWidth="true" hidden="false" outlineLevel="0" max="6" min="6" style="0" width="14"/>
    <col collapsed="false" customWidth="true" hidden="false" outlineLevel="0" max="8" min="7" style="0" width="15"/>
    <col collapsed="false" customWidth="true" hidden="false" outlineLevel="0" max="9" min="9" style="0" width="9"/>
    <col collapsed="false" customWidth="true" hidden="false" outlineLevel="0" max="10" min="10" style="0" width="26"/>
    <col collapsed="false" customWidth="true" hidden="false" outlineLevel="0" max="11" min="11" style="0" width="18"/>
    <col collapsed="false" customWidth="true" hidden="false" outlineLevel="0" max="15" min="12" style="0" width="15"/>
    <col collapsed="false" customWidth="true" hidden="false" outlineLevel="0" max="16" min="16" style="0" width="20"/>
  </cols>
  <sheetData>
    <row r="1" customFormat="false" ht="15" hidden="false" customHeight="false" outlineLevel="0" collapsed="false">
      <c r="C1" s="10" t="s">
        <v>28</v>
      </c>
    </row>
    <row r="2" customFormat="false" ht="15" hidden="false" customHeight="false" outlineLevel="0" collapsed="false">
      <c r="B2" s="8" t="s">
        <v>29</v>
      </c>
    </row>
    <row r="4" customFormat="false" ht="42" hidden="false" customHeight="true" outlineLevel="0" collapsed="false">
      <c r="A4" s="11" t="s">
        <v>30</v>
      </c>
      <c r="B4" s="11" t="s">
        <v>31</v>
      </c>
      <c r="C4" s="11" t="s">
        <v>32</v>
      </c>
      <c r="D4" s="11" t="s">
        <v>33</v>
      </c>
      <c r="E4" s="11" t="s">
        <v>34</v>
      </c>
      <c r="F4" s="11" t="s">
        <v>35</v>
      </c>
      <c r="G4" s="11" t="s">
        <v>36</v>
      </c>
      <c r="H4" s="11" t="s">
        <v>37</v>
      </c>
      <c r="I4" s="11" t="s">
        <v>38</v>
      </c>
      <c r="J4" s="12" t="s">
        <v>39</v>
      </c>
      <c r="K4" s="12" t="s">
        <v>40</v>
      </c>
      <c r="L4" s="12" t="s">
        <v>41</v>
      </c>
      <c r="M4" s="12" t="s">
        <v>42</v>
      </c>
      <c r="N4" s="12" t="s">
        <v>43</v>
      </c>
      <c r="O4" s="12" t="s">
        <v>44</v>
      </c>
      <c r="P4" s="12" t="s">
        <v>45</v>
      </c>
    </row>
    <row r="6" customFormat="false" ht="15" hidden="false" customHeight="false" outlineLevel="0" collapsed="false">
      <c r="A6" s="13" t="s">
        <v>13</v>
      </c>
      <c r="B6" s="13"/>
      <c r="C6" s="13"/>
      <c r="D6" s="14" t="n">
        <f aca="false">D7+D123+D152+D196</f>
        <v>770204814</v>
      </c>
      <c r="E6" s="14" t="n">
        <f aca="false">E7+E123+E152+E196</f>
        <v>722649554.94</v>
      </c>
      <c r="F6" s="14" t="n">
        <f aca="false">F7+F123+F152+F196</f>
        <v>47555259.06</v>
      </c>
      <c r="G6" s="14" t="n">
        <f aca="false">G7+G123+G152+G196</f>
        <v>381727436.31</v>
      </c>
      <c r="H6" s="14" t="n">
        <f aca="false">H7+H123+H152+H196</f>
        <v>388477377.69</v>
      </c>
      <c r="I6" s="15" t="n">
        <f aca="false">IF(D6=0,0,G6/D6)</f>
        <v>0.495618086736601</v>
      </c>
      <c r="J6" s="13"/>
      <c r="K6" s="13"/>
      <c r="L6" s="13"/>
      <c r="M6" s="13"/>
      <c r="N6" s="13"/>
      <c r="O6" s="13"/>
      <c r="P6" s="13"/>
    </row>
    <row r="7" customFormat="false" ht="15" hidden="false" customHeight="false" outlineLevel="0" collapsed="false">
      <c r="A7" s="6" t="s">
        <v>46</v>
      </c>
      <c r="B7" s="6"/>
      <c r="C7" s="6"/>
      <c r="D7" s="7" t="n">
        <f aca="false">D8+D79</f>
        <v>501856577</v>
      </c>
      <c r="E7" s="7" t="n">
        <f aca="false">E8+E79</f>
        <v>472582959.95</v>
      </c>
      <c r="F7" s="7" t="n">
        <f aca="false">F8+F79</f>
        <v>29273617.05</v>
      </c>
      <c r="G7" s="7" t="n">
        <f aca="false">G8+G79</f>
        <v>259074451.5</v>
      </c>
      <c r="H7" s="7" t="n">
        <f aca="false">H8+H79</f>
        <v>242782125.5</v>
      </c>
      <c r="I7" s="16" t="n">
        <f aca="false">IF(D7=0,0,G7/D7)</f>
        <v>0.516232053884192</v>
      </c>
      <c r="J7" s="6"/>
      <c r="K7" s="6"/>
      <c r="L7" s="6"/>
      <c r="M7" s="6"/>
      <c r="N7" s="6"/>
      <c r="O7" s="6"/>
      <c r="P7" s="6"/>
    </row>
    <row r="8" customFormat="false" ht="15" hidden="false" customHeight="false" outlineLevel="0" collapsed="false">
      <c r="A8" s="6" t="s">
        <v>47</v>
      </c>
      <c r="B8" s="6"/>
      <c r="C8" s="6"/>
      <c r="D8" s="7" t="n">
        <f aca="false">D9+D12+D39+D64+D74+D76</f>
        <v>234460254</v>
      </c>
      <c r="E8" s="7" t="n">
        <f aca="false">E9+E12+E39+E64+E74+E76</f>
        <v>223637170.79</v>
      </c>
      <c r="F8" s="7" t="n">
        <f aca="false">F9+F12+F39+F64+F74+F76</f>
        <v>10823083.21</v>
      </c>
      <c r="G8" s="7" t="n">
        <f aca="false">G9+G12+G39+G64+G74+G76</f>
        <v>99970240.23</v>
      </c>
      <c r="H8" s="7" t="n">
        <f aca="false">H9+H12+H39+H64+H74+H76</f>
        <v>134490013.77</v>
      </c>
      <c r="I8" s="16" t="n">
        <f aca="false">IF(D8=0,0,G8/D8)</f>
        <v>0.426384594081349</v>
      </c>
      <c r="J8" s="6"/>
      <c r="K8" s="6"/>
      <c r="L8" s="6"/>
      <c r="M8" s="6"/>
      <c r="N8" s="6"/>
      <c r="O8" s="6"/>
      <c r="P8" s="6"/>
    </row>
    <row r="9" customFormat="false" ht="15" hidden="false" customHeight="false" outlineLevel="0" collapsed="false">
      <c r="A9" s="17" t="s">
        <v>48</v>
      </c>
      <c r="B9" s="17"/>
      <c r="C9" s="17"/>
      <c r="D9" s="18" t="n">
        <f aca="false">SUM(D10:D11)</f>
        <v>53926751</v>
      </c>
      <c r="E9" s="18" t="n">
        <f aca="false">SUM(E10:E11)</f>
        <v>53909348.2</v>
      </c>
      <c r="F9" s="18" t="n">
        <f aca="false">SUM(F10:F11)</f>
        <v>17402.8000000015</v>
      </c>
      <c r="G9" s="18" t="n">
        <f aca="false">SUM(G10:G11)</f>
        <v>364124.26</v>
      </c>
      <c r="H9" s="18" t="n">
        <f aca="false">SUM(H10:H11)</f>
        <v>53562626.74</v>
      </c>
      <c r="I9" s="19" t="n">
        <f aca="false">IF(D9=0,0,G9/D9)</f>
        <v>0.0067522009623758</v>
      </c>
      <c r="J9" s="17"/>
      <c r="K9" s="17"/>
      <c r="L9" s="17"/>
      <c r="M9" s="17"/>
      <c r="N9" s="17"/>
      <c r="O9" s="17"/>
      <c r="P9" s="17"/>
    </row>
    <row r="10" customFormat="false" ht="22.35" hidden="false" customHeight="false" outlineLevel="0" collapsed="false">
      <c r="A10" s="20" t="n">
        <f aca="false">SUBTOTAL(103,$B$6:B10)</f>
        <v>1</v>
      </c>
      <c r="B10" s="20" t="n">
        <v>1</v>
      </c>
      <c r="C10" s="21" t="str">
        <f aca="false">Base!G5</f>
        <v>2108576: CONSTRUCCION DEL HOSPITAL MATERNO INFANTIL DEL CONO SUR JULIACA</v>
      </c>
      <c r="D10" s="22" t="n">
        <f aca="false">Base!H5</f>
        <v>167354</v>
      </c>
      <c r="E10" s="22" t="n">
        <f aca="false">Base!I5</f>
        <v>149951.3</v>
      </c>
      <c r="F10" s="22" t="n">
        <f aca="false">D10-E10</f>
        <v>17402.7</v>
      </c>
      <c r="G10" s="22" t="n">
        <f aca="false">Base!K5</f>
        <v>102781.21</v>
      </c>
      <c r="H10" s="22" t="n">
        <f aca="false">D10-G10</f>
        <v>64572.79</v>
      </c>
      <c r="I10" s="23" t="n">
        <f aca="false">IF(D10=0,0,G10/D10)</f>
        <v>0.614154486896041</v>
      </c>
      <c r="J10" s="21" t="str">
        <f aca="false">Base!O5</f>
        <v>Administración directa / Laudos arbitrales</v>
      </c>
      <c r="K10" s="21" t="str">
        <f aca="false">Base!P5</f>
        <v>Comprometido</v>
      </c>
      <c r="L10" s="22" t="n">
        <f aca="false">Base!Q5</f>
        <v>12460540</v>
      </c>
      <c r="M10" s="22" t="n">
        <f aca="false">Base!R5</f>
        <v>5731000</v>
      </c>
      <c r="N10" s="22" t="n">
        <f aca="false">Base!S5</f>
        <v>5000000</v>
      </c>
      <c r="O10" s="22" t="n">
        <f aca="false">Base!T5</f>
        <v>5000000</v>
      </c>
      <c r="P10" s="21" t="str">
        <f aca="false">IF(Base!U5="","",Base!U5)</f>
        <v/>
      </c>
    </row>
    <row r="11" customFormat="false" ht="32.8" hidden="false" customHeight="false" outlineLevel="0" collapsed="false">
      <c r="A11" s="20" t="n">
        <f aca="false">SUBTOTAL(103,$B$6:B11)</f>
        <v>2</v>
      </c>
      <c r="B11" s="20" t="n">
        <v>220</v>
      </c>
      <c r="C11" s="21" t="str">
        <f aca="false">Base!G6</f>
        <v>2279375: MEJORAMIENTO DE LOS SERVICIOS DE SALUD DEL HOSPITAL DE APOYO ILAVE, PROVINCIA DE EL COLLAO - REGION PUNO</v>
      </c>
      <c r="D11" s="22" t="n">
        <f aca="false">Base!H6</f>
        <v>53759397</v>
      </c>
      <c r="E11" s="22" t="n">
        <f aca="false">Base!I6</f>
        <v>53759396.9</v>
      </c>
      <c r="F11" s="22" t="n">
        <f aca="false">D11-E11</f>
        <v>0.100000001490116</v>
      </c>
      <c r="G11" s="22" t="n">
        <f aca="false">Base!K6</f>
        <v>261343.05</v>
      </c>
      <c r="H11" s="22" t="n">
        <f aca="false">D11-G11</f>
        <v>53498053.95</v>
      </c>
      <c r="I11" s="23" t="n">
        <f aca="false">IF(D11=0,0,G11/D11)</f>
        <v>0.00486134638005705</v>
      </c>
      <c r="J11" s="21" t="str">
        <f aca="false">Base!O6</f>
        <v>Contrata / Expediente técnico / Administración directa / Laudos arbitrales</v>
      </c>
      <c r="K11" s="21" t="str">
        <f aca="false">Base!P6</f>
        <v>Comprometido</v>
      </c>
      <c r="L11" s="22" t="str">
        <f aca="false">Base!Q6</f>
        <v>No registrado en cartera</v>
      </c>
      <c r="M11" s="22" t="str">
        <f aca="false">Base!R6</f>
        <v>No registrado en cartera</v>
      </c>
      <c r="N11" s="22" t="str">
        <f aca="false">Base!S6</f>
        <v>No registrado en cartera</v>
      </c>
      <c r="O11" s="22" t="str">
        <f aca="false">Base!T6</f>
        <v>No registrado en cartera</v>
      </c>
      <c r="P11" s="21" t="str">
        <f aca="false">IF(Base!U6="","",Base!U6)</f>
        <v/>
      </c>
    </row>
    <row r="12" customFormat="false" ht="15" hidden="false" customHeight="false" outlineLevel="0" collapsed="false">
      <c r="A12" s="17" t="s">
        <v>49</v>
      </c>
      <c r="B12" s="17"/>
      <c r="C12" s="17"/>
      <c r="D12" s="18" t="n">
        <f aca="false">SUM(D13:D38)</f>
        <v>60810433</v>
      </c>
      <c r="E12" s="18" t="n">
        <f aca="false">SUM(E13:E38)</f>
        <v>57496092.03</v>
      </c>
      <c r="F12" s="18" t="n">
        <f aca="false">SUM(F13:F38)</f>
        <v>3314340.97</v>
      </c>
      <c r="G12" s="18" t="n">
        <f aca="false">SUM(G13:G38)</f>
        <v>35508319.74</v>
      </c>
      <c r="H12" s="18" t="n">
        <f aca="false">SUM(H13:H38)</f>
        <v>25302113.26</v>
      </c>
      <c r="I12" s="19" t="n">
        <f aca="false">IF(D12=0,0,G12/D12)</f>
        <v>0.583918219099015</v>
      </c>
      <c r="J12" s="17"/>
      <c r="K12" s="17"/>
      <c r="L12" s="17"/>
      <c r="M12" s="17"/>
      <c r="N12" s="17"/>
      <c r="O12" s="17"/>
      <c r="P12" s="17"/>
    </row>
    <row r="13" customFormat="false" ht="43.25" hidden="false" customHeight="false" outlineLevel="0" collapsed="false">
      <c r="A13" s="20" t="n">
        <f aca="false">SUBTOTAL(103,$B$6:B13)</f>
        <v>3</v>
      </c>
      <c r="B13" s="20" t="n">
        <v>223</v>
      </c>
      <c r="C13" s="21" t="str">
        <f aca="false">Base!G7</f>
        <v>2323700: MEJORAMIENTO DEL SERVICIO EDUCATIVO DE LAS CARRERAS DE PRODUCCION, AUTOMOTRIZ, MINERIA, CONTABILIDAD, COMPUTACION, SECRETARIADO, ENFERMERIA, LABORATORIO CLINICO Y PROTESIS DENTAL DEL IST MANUEL NUÑEZ BUTRON, JULIACA, SAN ROMAN - PUNO</v>
      </c>
      <c r="D13" s="22" t="n">
        <f aca="false">Base!H7</f>
        <v>10519577</v>
      </c>
      <c r="E13" s="22" t="n">
        <f aca="false">Base!I7</f>
        <v>10386241.22</v>
      </c>
      <c r="F13" s="22" t="n">
        <f aca="false">D13-E13</f>
        <v>133335.779999999</v>
      </c>
      <c r="G13" s="22" t="n">
        <f aca="false">Base!K7</f>
        <v>7596372.68</v>
      </c>
      <c r="H13" s="22" t="n">
        <f aca="false">D13-G13</f>
        <v>2923204.32</v>
      </c>
      <c r="I13" s="23" t="n">
        <f aca="false">IF(D13=0,0,G13/D13)</f>
        <v>0.722117693515623</v>
      </c>
      <c r="J13" s="21" t="str">
        <f aca="false">Base!O7</f>
        <v>Administración directa / Contrata / Personal/bienes/servicios</v>
      </c>
      <c r="K13" s="21" t="str">
        <f aca="false">Base!P7</f>
        <v>Comprometido</v>
      </c>
      <c r="L13" s="22" t="n">
        <f aca="false">Base!Q7</f>
        <v>2546207</v>
      </c>
      <c r="M13" s="22" t="n">
        <f aca="false">Base!R7</f>
        <v>638376</v>
      </c>
      <c r="N13" s="22" t="n">
        <f aca="false">Base!S7</f>
        <v>2568939</v>
      </c>
      <c r="O13" s="22" t="n">
        <f aca="false">Base!T7</f>
        <v>0</v>
      </c>
      <c r="P13" s="21" t="str">
        <f aca="false">IF(Base!U7="","",Base!U7)</f>
        <v/>
      </c>
    </row>
    <row r="14" customFormat="false" ht="43.25" hidden="false" customHeight="false" outlineLevel="0" collapsed="false">
      <c r="A14" s="20" t="n">
        <f aca="false">SUBTOTAL(103,$B$6:B14)</f>
        <v>4</v>
      </c>
      <c r="B14" s="20" t="n">
        <v>224</v>
      </c>
      <c r="C14" s="21" t="str">
        <f aca="false">Base!G8</f>
        <v>2335880: MEJORAMIENTO DEL SERVICIO EDUCATIVO DE LAS CARRERAS DE CONTABILIDAD, ENFERMERIA TECNICA, COMPUTACION E INFORMATICA, INDUSTRIA ALIMENTARIA Y PRODUCCION AGROPECUARIA DEL ISEPA, PROVINCIA DE MELGAR - PUNO</v>
      </c>
      <c r="D14" s="22" t="n">
        <f aca="false">Base!H8</f>
        <v>10208307</v>
      </c>
      <c r="E14" s="22" t="n">
        <f aca="false">Base!I8</f>
        <v>9968469.62</v>
      </c>
      <c r="F14" s="22" t="n">
        <f aca="false">D14-E14</f>
        <v>239837.380000001</v>
      </c>
      <c r="G14" s="22" t="n">
        <f aca="false">Base!K8</f>
        <v>6440724.48</v>
      </c>
      <c r="H14" s="22" t="n">
        <f aca="false">D14-G14</f>
        <v>3767582.52</v>
      </c>
      <c r="I14" s="23" t="n">
        <f aca="false">IF(D14=0,0,G14/D14)</f>
        <v>0.630929739867737</v>
      </c>
      <c r="J14" s="21" t="str">
        <f aca="false">Base!O8</f>
        <v>Administración directa / Equipamiento / Contrata / Personal/bienes/servicios</v>
      </c>
      <c r="K14" s="21" t="str">
        <f aca="false">Base!P8</f>
        <v>Comprometido</v>
      </c>
      <c r="L14" s="22" t="n">
        <f aca="false">Base!Q8</f>
        <v>5597990</v>
      </c>
      <c r="M14" s="22" t="n">
        <f aca="false">Base!R8</f>
        <v>1254673</v>
      </c>
      <c r="N14" s="22" t="n">
        <f aca="false">Base!S8</f>
        <v>2493351</v>
      </c>
      <c r="O14" s="22" t="n">
        <f aca="false">Base!T8</f>
        <v>0</v>
      </c>
      <c r="P14" s="21" t="str">
        <f aca="false">IF(Base!U8="","",Base!U8)</f>
        <v/>
      </c>
    </row>
    <row r="15" customFormat="false" ht="43.25" hidden="false" customHeight="false" outlineLevel="0" collapsed="false">
      <c r="A15" s="20" t="n">
        <f aca="false">SUBTOTAL(103,$B$6:B15)</f>
        <v>5</v>
      </c>
      <c r="B15" s="20" t="n">
        <v>245</v>
      </c>
      <c r="C15" s="21" t="str">
        <f aca="false">Base!G9</f>
        <v>2521936: MEJORAMIENTO Y AMPLIACION DEL SERVICIO DE EDUCACION SUPERIOR TECNOLOGICA EN EL INSTITUTO SUPERIOR TECNOLOGICO PUBLICO DE MACUSANI DISTRITO DE MACUSANI - PROVINCIA DE CARABAYA - DEPARTAMENTO DE PUNO</v>
      </c>
      <c r="D15" s="22" t="n">
        <f aca="false">Base!H9</f>
        <v>11203165</v>
      </c>
      <c r="E15" s="22" t="n">
        <f aca="false">Base!I9</f>
        <v>10889668.59</v>
      </c>
      <c r="F15" s="22" t="n">
        <f aca="false">D15-E15</f>
        <v>313496.41</v>
      </c>
      <c r="G15" s="22" t="n">
        <f aca="false">Base!K9</f>
        <v>6395813.34</v>
      </c>
      <c r="H15" s="22" t="n">
        <f aca="false">D15-G15</f>
        <v>4807351.66</v>
      </c>
      <c r="I15" s="23" t="n">
        <f aca="false">IF(D15=0,0,G15/D15)</f>
        <v>0.57089343413223</v>
      </c>
      <c r="J15" s="21" t="str">
        <f aca="false">Base!O9</f>
        <v>Administración directa / Equipamiento / Contrata / Personal/bienes/servicios</v>
      </c>
      <c r="K15" s="21" t="str">
        <f aca="false">Base!P9</f>
        <v>Comprometido</v>
      </c>
      <c r="L15" s="22" t="n">
        <f aca="false">Base!Q9</f>
        <v>4902849</v>
      </c>
      <c r="M15" s="22" t="n">
        <f aca="false">Base!R9</f>
        <v>60001</v>
      </c>
      <c r="N15" s="22" t="n">
        <f aca="false">Base!S9</f>
        <v>2722594</v>
      </c>
      <c r="O15" s="22" t="n">
        <f aca="false">Base!T9</f>
        <v>0</v>
      </c>
      <c r="P15" s="21" t="str">
        <f aca="false">IF(Base!U9="","",Base!U9)</f>
        <v/>
      </c>
    </row>
    <row r="16" customFormat="false" ht="32.8" hidden="false" customHeight="false" outlineLevel="0" collapsed="false">
      <c r="A16" s="20" t="n">
        <f aca="false">SUBTOTAL(103,$B$6:B16)</f>
        <v>6</v>
      </c>
      <c r="B16" s="20" t="n">
        <v>29</v>
      </c>
      <c r="C16" s="21" t="str">
        <f aca="false">Base!G10</f>
        <v>2344324: MEJORAMIENTO DE LOS SERVICIOS EDUCATIVOS DE LA I.E.S. MANUEL GONZALES PRADA, CENTRO POBLADO DE ISANI - DISTRITO DE ZEPITA - PROVINCIA DE CHUCUITO - REGION PUNO</v>
      </c>
      <c r="D16" s="22" t="n">
        <f aca="false">Base!H10</f>
        <v>2079431</v>
      </c>
      <c r="E16" s="22" t="n">
        <f aca="false">Base!I10</f>
        <v>1994037.46</v>
      </c>
      <c r="F16" s="22" t="n">
        <f aca="false">D16-E16</f>
        <v>85393.54</v>
      </c>
      <c r="G16" s="22" t="n">
        <f aca="false">Base!K10</f>
        <v>1946470.94</v>
      </c>
      <c r="H16" s="22" t="n">
        <f aca="false">D16-G16</f>
        <v>132960.06</v>
      </c>
      <c r="I16" s="23" t="n">
        <f aca="false">IF(D16=0,0,G16/D16)</f>
        <v>0.936059402788551</v>
      </c>
      <c r="J16" s="21" t="str">
        <f aca="false">Base!O10</f>
        <v>Administración directa / Equipamiento / Contrata / Personal/bienes/servicios</v>
      </c>
      <c r="K16" s="21" t="str">
        <f aca="false">Base!P10</f>
        <v>Comprometido</v>
      </c>
      <c r="L16" s="22" t="n">
        <f aca="false">Base!Q10</f>
        <v>298669</v>
      </c>
      <c r="M16" s="22" t="n">
        <f aca="false">Base!R10</f>
        <v>349669</v>
      </c>
      <c r="N16" s="22" t="n">
        <f aca="false">Base!S10</f>
        <v>84977</v>
      </c>
      <c r="O16" s="22" t="n">
        <f aca="false">Base!T10</f>
        <v>0</v>
      </c>
      <c r="P16" s="21" t="str">
        <f aca="false">IF(Base!U10="","",Base!U10)</f>
        <v/>
      </c>
    </row>
    <row r="17" customFormat="false" ht="43.25" hidden="false" customHeight="false" outlineLevel="0" collapsed="false">
      <c r="A17" s="20" t="n">
        <f aca="false">SUBTOTAL(103,$B$6:B17)</f>
        <v>7</v>
      </c>
      <c r="B17" s="20" t="n">
        <v>315</v>
      </c>
      <c r="C17" s="21" t="str">
        <f aca="false">Base!G11</f>
        <v>2490075: MEJORAMIENTO DEL SERVICIO EDUCATIVO DEL NIVEL SECUNDARIA DE LA I.E. AGROPECUARIO SAN JUAN DEL ORO EN EL DISTRITO DE SAN JUAN DEL ORO - PROVINCIA DE SANDIA - DEPARTAMENTO DE PUNO</v>
      </c>
      <c r="D17" s="22" t="n">
        <f aca="false">Base!H11</f>
        <v>1425006</v>
      </c>
      <c r="E17" s="22" t="n">
        <f aca="false">Base!I11</f>
        <v>1239788.9</v>
      </c>
      <c r="F17" s="22" t="n">
        <f aca="false">D17-E17</f>
        <v>185217.1</v>
      </c>
      <c r="G17" s="22" t="n">
        <f aca="false">Base!K11</f>
        <v>1170436.98</v>
      </c>
      <c r="H17" s="22" t="n">
        <f aca="false">D17-G17</f>
        <v>254569.02</v>
      </c>
      <c r="I17" s="23" t="n">
        <f aca="false">IF(D17=0,0,G17/D17)</f>
        <v>0.821355825870207</v>
      </c>
      <c r="J17" s="21" t="str">
        <f aca="false">Base!O11</f>
        <v>Administración directa / Equipamiento / Contrata / Personal/bienes/servicios</v>
      </c>
      <c r="K17" s="21" t="str">
        <f aca="false">Base!P11</f>
        <v>Comprometido</v>
      </c>
      <c r="L17" s="22" t="n">
        <f aca="false">Base!Q11</f>
        <v>1122019</v>
      </c>
      <c r="M17" s="22" t="n">
        <f aca="false">Base!R11</f>
        <v>0</v>
      </c>
      <c r="N17" s="22" t="n">
        <f aca="false">Base!S11</f>
        <v>32869</v>
      </c>
      <c r="O17" s="22" t="n">
        <f aca="false">Base!T11</f>
        <v>0</v>
      </c>
      <c r="P17" s="21" t="str">
        <f aca="false">IF(Base!U11="","",Base!U11)</f>
        <v/>
      </c>
    </row>
    <row r="18" customFormat="false" ht="43.25" hidden="false" customHeight="false" outlineLevel="0" collapsed="false">
      <c r="A18" s="20" t="n">
        <f aca="false">SUBTOTAL(103,$B$6:B18)</f>
        <v>8</v>
      </c>
      <c r="B18" s="20" t="n">
        <v>160</v>
      </c>
      <c r="C18" s="21" t="str">
        <f aca="false">Base!G12</f>
        <v>2570978: MEJORAMIENTO DE LOS SERVICIOS DE EDUCACION SUPERIOR DEL INSTITUTO SUPERIOR TECNOLOGICO PUBLICA DE CABANILLAS DEL DISTRITO DE CABANILLAS - PROVINCIA DE SAN ROMAN - DEPARTAMENTO DE PUNO</v>
      </c>
      <c r="D18" s="22" t="n">
        <f aca="false">Base!H12</f>
        <v>9222405</v>
      </c>
      <c r="E18" s="22" t="n">
        <f aca="false">Base!I12</f>
        <v>9003232.53</v>
      </c>
      <c r="F18" s="22" t="n">
        <f aca="false">D18-E18</f>
        <v>219172.469999999</v>
      </c>
      <c r="G18" s="22" t="n">
        <f aca="false">Base!K12</f>
        <v>5421356.61</v>
      </c>
      <c r="H18" s="22" t="n">
        <f aca="false">D18-G18</f>
        <v>3801048.39</v>
      </c>
      <c r="I18" s="23" t="n">
        <f aca="false">IF(D18=0,0,G18/D18)</f>
        <v>0.587846294974033</v>
      </c>
      <c r="J18" s="21" t="str">
        <f aca="false">Base!O12</f>
        <v>Administración directa / Equipamiento / Contrata / Personal/bienes/servicios</v>
      </c>
      <c r="K18" s="21" t="str">
        <f aca="false">Base!P12</f>
        <v>Comprometido</v>
      </c>
      <c r="L18" s="22" t="n">
        <f aca="false">Base!Q12</f>
        <v>2595053</v>
      </c>
      <c r="M18" s="22" t="n">
        <f aca="false">Base!R12</f>
        <v>255676</v>
      </c>
      <c r="N18" s="22" t="n">
        <f aca="false">Base!S12</f>
        <v>1817178</v>
      </c>
      <c r="O18" s="22" t="n">
        <f aca="false">Base!T12</f>
        <v>0</v>
      </c>
      <c r="P18" s="21" t="str">
        <f aca="false">IF(Base!U12="","",Base!U12)</f>
        <v/>
      </c>
    </row>
    <row r="19" customFormat="false" ht="53.7" hidden="false" customHeight="false" outlineLevel="0" collapsed="false">
      <c r="A19" s="20" t="n">
        <f aca="false">SUBTOTAL(103,$B$6:B19)</f>
        <v>9</v>
      </c>
      <c r="B19" s="20" t="n">
        <v>162</v>
      </c>
      <c r="C19" s="21" t="str">
        <f aca="false">Base!G13</f>
        <v>2591926: MEJORAMIENTO SERVICIO DE EDUCACION SUPERIOR TECNOLOGICA EN EL INSTITUTO SUPERIOR TECNOLOGICO PUBLICO JOSE DOMINGO CHOQUEHUANCA DEL DISTRITO DE JOSE DOMINGO CHOQUEHUANCA DE LA PROVINCIA DE AZANGARO DEL DEPARTAMENTO DE PUNO</v>
      </c>
      <c r="D19" s="22" t="n">
        <f aca="false">Base!H13</f>
        <v>5194033</v>
      </c>
      <c r="E19" s="22" t="n">
        <f aca="false">Base!I13</f>
        <v>5106124.77</v>
      </c>
      <c r="F19" s="22" t="n">
        <f aca="false">D19-E19</f>
        <v>87908.2300000005</v>
      </c>
      <c r="G19" s="22" t="n">
        <f aca="false">Base!K13</f>
        <v>1941765.29</v>
      </c>
      <c r="H19" s="22" t="n">
        <f aca="false">D19-G19</f>
        <v>3252267.71</v>
      </c>
      <c r="I19" s="23" t="n">
        <f aca="false">IF(D19=0,0,G19/D19)</f>
        <v>0.373845389507537</v>
      </c>
      <c r="J19" s="21" t="str">
        <f aca="false">Base!O13</f>
        <v>Contrata / Personal/bienes/servicios</v>
      </c>
      <c r="K19" s="21" t="str">
        <f aca="false">Base!P13</f>
        <v>Comprometido</v>
      </c>
      <c r="L19" s="22" t="n">
        <f aca="false">Base!Q13</f>
        <v>5194033</v>
      </c>
      <c r="M19" s="22" t="n">
        <f aca="false">Base!R13</f>
        <v>6569076</v>
      </c>
      <c r="N19" s="22" t="n">
        <f aca="false">Base!S13</f>
        <v>1</v>
      </c>
      <c r="O19" s="22" t="n">
        <f aca="false">Base!T13</f>
        <v>0</v>
      </c>
      <c r="P19" s="21" t="str">
        <f aca="false">IF(Base!U13="","",Base!U13)</f>
        <v/>
      </c>
    </row>
    <row r="20" customFormat="false" ht="43.25" hidden="false" customHeight="false" outlineLevel="0" collapsed="false">
      <c r="A20" s="20" t="n">
        <f aca="false">SUBTOTAL(103,$B$6:B20)</f>
        <v>10</v>
      </c>
      <c r="B20" s="20" t="n">
        <v>44</v>
      </c>
      <c r="C20" s="21" t="str">
        <f aca="false">Base!G14</f>
        <v>2629119.MEJORAMIENTO DEL SERVICIO DE EDUCACION SECUNDARIA EN I.E. ROSASPATA DE CENTRO POBLADO ROSASPATA DISTRITO DE ROSASPATA DE LA PROVINCIA DE HUANCANE DEL DEPARTAMENTO DE PUNO</v>
      </c>
      <c r="D20" s="22" t="n">
        <f aca="false">Base!H14</f>
        <v>3656326</v>
      </c>
      <c r="E20" s="22" t="n">
        <f aca="false">Base!I14</f>
        <v>3383177.1</v>
      </c>
      <c r="F20" s="22" t="n">
        <f aca="false">D20-E20</f>
        <v>273148.9</v>
      </c>
      <c r="G20" s="22" t="n">
        <f aca="false">Base!K14</f>
        <v>2126125.38</v>
      </c>
      <c r="H20" s="22" t="n">
        <f aca="false">D20-G20</f>
        <v>1530200.62</v>
      </c>
      <c r="I20" s="23" t="n">
        <f aca="false">IF(D20=0,0,G20/D20)</f>
        <v>0.58149229034829</v>
      </c>
      <c r="J20" s="21" t="str">
        <f aca="false">Base!O14</f>
        <v>Administración directa / Contrata / Personal/bienes/servicios / Equipamiento</v>
      </c>
      <c r="K20" s="21" t="str">
        <f aca="false">Base!P14</f>
        <v>Comprometido</v>
      </c>
      <c r="L20" s="22" t="n">
        <f aca="false">Base!Q14</f>
        <v>2278000</v>
      </c>
      <c r="M20" s="22" t="n">
        <f aca="false">Base!R14</f>
        <v>1683936</v>
      </c>
      <c r="N20" s="22" t="n">
        <f aca="false">Base!S14</f>
        <v>1459275</v>
      </c>
      <c r="O20" s="22" t="n">
        <f aca="false">Base!T14</f>
        <v>0</v>
      </c>
      <c r="P20" s="21" t="str">
        <f aca="false">IF(Base!U14="","",Base!U14)</f>
        <v/>
      </c>
    </row>
    <row r="21" customFormat="false" ht="43.25" hidden="false" customHeight="false" outlineLevel="0" collapsed="false">
      <c r="A21" s="20" t="n">
        <f aca="false">SUBTOTAL(103,$B$6:B21)</f>
        <v>11</v>
      </c>
      <c r="B21" s="20" t="n">
        <v>248</v>
      </c>
      <c r="C21" s="21" t="str">
        <f aca="false">Base!G15</f>
        <v>2539673: MEJORAMIENTO Y AMPLIACION DEL SERVICIO DE EDUCACION SUPERIOR TECNOLOGICA EN EL INSTITUTO SUPERIOR TECNOLOGICO PUBLICO DE JULI, DISTRITO DE JULI - PROVINCIA DE CHUCUITO - DEPARTAMENTO DE PUNO</v>
      </c>
      <c r="D21" s="22" t="n">
        <f aca="false">Base!H15</f>
        <v>2000000</v>
      </c>
      <c r="E21" s="22" t="n">
        <f aca="false">Base!I15</f>
        <v>2000000</v>
      </c>
      <c r="F21" s="22" t="n">
        <f aca="false">D21-E21</f>
        <v>0</v>
      </c>
      <c r="G21" s="22" t="n">
        <f aca="false">Base!K15</f>
        <v>0</v>
      </c>
      <c r="H21" s="22" t="n">
        <f aca="false">D21-G21</f>
        <v>2000000</v>
      </c>
      <c r="I21" s="23" t="n">
        <f aca="false">IF(D21=0,0,G21/D21)</f>
        <v>0</v>
      </c>
      <c r="J21" s="21" t="str">
        <f aca="false">Base!O15</f>
        <v>Contrata</v>
      </c>
      <c r="K21" s="21" t="str">
        <f aca="false">Base!P15</f>
        <v>Solo certificado</v>
      </c>
      <c r="L21" s="22" t="n">
        <f aca="false">Base!Q15</f>
        <v>12000000</v>
      </c>
      <c r="M21" s="22" t="n">
        <f aca="false">Base!R15</f>
        <v>14558623</v>
      </c>
      <c r="N21" s="22" t="n">
        <f aca="false">Base!S15</f>
        <v>14894208</v>
      </c>
      <c r="O21" s="22" t="n">
        <f aca="false">Base!T15</f>
        <v>10928387</v>
      </c>
      <c r="P21" s="21" t="str">
        <f aca="false">IF(Base!U15="","",Base!U15)</f>
        <v/>
      </c>
    </row>
    <row r="22" customFormat="false" ht="32.8" hidden="false" customHeight="false" outlineLevel="0" collapsed="false">
      <c r="A22" s="20" t="n">
        <f aca="false">SUBTOTAL(103,$B$6:B22)</f>
        <v>12</v>
      </c>
      <c r="B22" s="20" t="n">
        <v>45</v>
      </c>
      <c r="C22" s="21" t="str">
        <f aca="false">Base!G16</f>
        <v>2637985: MEJORAMIENTO DEL SERVICIO DE EDUCACION SECUNDARIA EN I.E. LLAULLI DE CENTRO POBLADO LLAULLI DISTRITO DE MOHO DE LA PROVINCIA DE MOHO DEL DEPARTAMENTO DE PUNO</v>
      </c>
      <c r="D22" s="22" t="n">
        <f aca="false">Base!H16</f>
        <v>0</v>
      </c>
      <c r="E22" s="22" t="n">
        <f aca="false">Base!I16</f>
        <v>0</v>
      </c>
      <c r="F22" s="22" t="n">
        <f aca="false">D22-E22</f>
        <v>0</v>
      </c>
      <c r="G22" s="22" t="n">
        <f aca="false">Base!K16</f>
        <v>0</v>
      </c>
      <c r="H22" s="22" t="n">
        <f aca="false">D22-G22</f>
        <v>0</v>
      </c>
      <c r="I22" s="23" t="n">
        <f aca="false">IF(D22=0,0,G22/D22)</f>
        <v>0</v>
      </c>
      <c r="J22" s="21" t="str">
        <f aca="false">Base!O16</f>
        <v>Contrata</v>
      </c>
      <c r="K22" s="21" t="str">
        <f aca="false">Base!P16</f>
        <v>Sin PIM</v>
      </c>
      <c r="L22" s="22" t="n">
        <f aca="false">Base!Q16</f>
        <v>100000</v>
      </c>
      <c r="M22" s="22" t="n">
        <f aca="false">Base!R16</f>
        <v>1234564</v>
      </c>
      <c r="N22" s="22" t="n">
        <f aca="false">Base!S16</f>
        <v>0</v>
      </c>
      <c r="O22" s="22" t="n">
        <f aca="false">Base!T16</f>
        <v>3335545</v>
      </c>
      <c r="P22" s="21" t="str">
        <f aca="false">IF(Base!U16="","",Base!U16)</f>
        <v/>
      </c>
    </row>
    <row r="23" customFormat="false" ht="43.25" hidden="false" customHeight="false" outlineLevel="0" collapsed="false">
      <c r="A23" s="20" t="n">
        <f aca="false">SUBTOTAL(103,$B$6:B23)</f>
        <v>13</v>
      </c>
      <c r="B23" s="20" t="n">
        <v>193</v>
      </c>
      <c r="C23" s="21" t="str">
        <f aca="false">Base!G17</f>
        <v>2664940: MEJORAMIENTO DEL SERVICIO DE EDUCACION INICIAL EN I.E. 1099 INMACULADA DISTRITO DE PUTINA DE LA PROVINCIA DE SAN ANTONIO DE PUTINA DEL DEPARTAMENTO DE PUNO</v>
      </c>
      <c r="D23" s="22" t="n">
        <f aca="false">Base!H17</f>
        <v>1861270</v>
      </c>
      <c r="E23" s="22" t="n">
        <f aca="false">Base!I17</f>
        <v>1466941.41</v>
      </c>
      <c r="F23" s="22" t="n">
        <f aca="false">D23-E23</f>
        <v>394328.59</v>
      </c>
      <c r="G23" s="22" t="n">
        <f aca="false">Base!K17</f>
        <v>1164545.37</v>
      </c>
      <c r="H23" s="22" t="n">
        <f aca="false">D23-G23</f>
        <v>696724.63</v>
      </c>
      <c r="I23" s="23" t="n">
        <f aca="false">IF(D23=0,0,G23/D23)</f>
        <v>0.62567245482923</v>
      </c>
      <c r="J23" s="21" t="str">
        <f aca="false">Base!O17</f>
        <v>Administración directa / Contrata / Expediente técnico / Equipamiento / Personal/bienes/servicios</v>
      </c>
      <c r="K23" s="21" t="str">
        <f aca="false">Base!P17</f>
        <v>Comprometido</v>
      </c>
      <c r="L23" s="22" t="n">
        <f aca="false">Base!Q17</f>
        <v>1410000</v>
      </c>
      <c r="M23" s="22" t="n">
        <f aca="false">Base!R17</f>
        <v>833474</v>
      </c>
      <c r="N23" s="22" t="n">
        <f aca="false">Base!S17</f>
        <v>0</v>
      </c>
      <c r="O23" s="22" t="n">
        <f aca="false">Base!T17</f>
        <v>0</v>
      </c>
      <c r="P23" s="21" t="str">
        <f aca="false">IF(Base!U17="","",Base!U17)</f>
        <v/>
      </c>
    </row>
    <row r="24" customFormat="false" ht="32.8" hidden="false" customHeight="false" outlineLevel="0" collapsed="false">
      <c r="A24" s="20" t="n">
        <f aca="false">SUBTOTAL(103,$B$6:B24)</f>
        <v>14</v>
      </c>
      <c r="B24" s="20" t="n">
        <v>46</v>
      </c>
      <c r="C24" s="21" t="str">
        <f aca="false">Base!G18</f>
        <v>2637997: MEJORAMIENTO DEL SERVICIO DE EDUCACION SECUNDARIA EN I.E. UMUCHI DISTRITO DE MOHO DE LA PROVINCIA DE MOHO DEL DEPARTAMENTO DE PUNO</v>
      </c>
      <c r="D24" s="22" t="n">
        <f aca="false">Base!H18</f>
        <v>304829</v>
      </c>
      <c r="E24" s="22" t="n">
        <f aca="false">Base!I18</f>
        <v>0</v>
      </c>
      <c r="F24" s="22" t="n">
        <f aca="false">D24-E24</f>
        <v>304829</v>
      </c>
      <c r="G24" s="22" t="n">
        <f aca="false">Base!K18</f>
        <v>0</v>
      </c>
      <c r="H24" s="22" t="n">
        <f aca="false">D24-G24</f>
        <v>304829</v>
      </c>
      <c r="I24" s="23" t="n">
        <f aca="false">IF(D24=0,0,G24/D24)</f>
        <v>0</v>
      </c>
      <c r="J24" s="21" t="str">
        <f aca="false">Base!O18</f>
        <v>Contrata</v>
      </c>
      <c r="K24" s="21" t="str">
        <f aca="false">Base!P18</f>
        <v>Sin certificar</v>
      </c>
      <c r="L24" s="22" t="n">
        <f aca="false">Base!Q18</f>
        <v>100000</v>
      </c>
      <c r="M24" s="22" t="n">
        <f aca="false">Base!R18</f>
        <v>0</v>
      </c>
      <c r="N24" s="22" t="n">
        <f aca="false">Base!S18</f>
        <v>0</v>
      </c>
      <c r="O24" s="22" t="n">
        <f aca="false">Base!T18</f>
        <v>4317457</v>
      </c>
      <c r="P24" s="21" t="str">
        <f aca="false">IF(Base!U18="","",Base!U18)</f>
        <v/>
      </c>
    </row>
    <row r="25" customFormat="false" ht="43.25" hidden="false" customHeight="false" outlineLevel="0" collapsed="false">
      <c r="A25" s="20" t="n">
        <f aca="false">SUBTOTAL(103,$B$6:B25)</f>
        <v>15</v>
      </c>
      <c r="B25" s="20" t="n">
        <v>480</v>
      </c>
      <c r="C25" s="21" t="str">
        <f aca="false">Base!G19</f>
        <v>2650476.ADQUISICION DE EQUIPAMIENTO DE AMBIENTES COMPLEMENTARIOS Y MOBILIARIO DE AULA; EN EL(LA) I.E. EL CENTENARIO DISTRITO DE PUTINA, PROVINCIA SAN ANTONIO DE PUTINA, DEPARTAMENTO PUNO</v>
      </c>
      <c r="D25" s="22" t="n">
        <f aca="false">Base!H19</f>
        <v>677644</v>
      </c>
      <c r="E25" s="22" t="n">
        <f aca="false">Base!I19</f>
        <v>607692.88</v>
      </c>
      <c r="F25" s="22" t="n">
        <f aca="false">D25-E25</f>
        <v>69951.12</v>
      </c>
      <c r="G25" s="22" t="n">
        <f aca="false">Base!K19</f>
        <v>131223.38</v>
      </c>
      <c r="H25" s="22" t="n">
        <f aca="false">D25-G25</f>
        <v>546420.62</v>
      </c>
      <c r="I25" s="23" t="n">
        <f aca="false">IF(D25=0,0,G25/D25)</f>
        <v>0.193646486945948</v>
      </c>
      <c r="J25" s="21" t="str">
        <f aca="false">Base!O19</f>
        <v>Equipamiento / Contrata / Administración directa / Personal/bienes/servicios</v>
      </c>
      <c r="K25" s="21" t="str">
        <f aca="false">Base!P19</f>
        <v>Comprometido</v>
      </c>
      <c r="L25" s="22" t="str">
        <f aca="false">Base!Q19</f>
        <v>No registrado en cartera</v>
      </c>
      <c r="M25" s="22" t="str">
        <f aca="false">Base!R19</f>
        <v>No registrado en cartera</v>
      </c>
      <c r="N25" s="22" t="str">
        <f aca="false">Base!S19</f>
        <v>No registrado en cartera</v>
      </c>
      <c r="O25" s="22" t="str">
        <f aca="false">Base!T19</f>
        <v>No registrado en cartera</v>
      </c>
      <c r="P25" s="21" t="str">
        <f aca="false">IF(Base!U19="","",Base!U19)</f>
        <v/>
      </c>
    </row>
    <row r="26" customFormat="false" ht="32.8" hidden="false" customHeight="false" outlineLevel="0" collapsed="false">
      <c r="A26" s="20" t="n">
        <f aca="false">SUBTOTAL(103,$B$6:B26)</f>
        <v>16</v>
      </c>
      <c r="B26" s="20" t="n">
        <v>479</v>
      </c>
      <c r="C26" s="21" t="str">
        <f aca="false">Base!G20</f>
        <v>2695845.MEJORAMIENTO DEL SERVICIO DE EDUCACION SECUNDARIA EN I.E. SAN FRANCISCO DE BORJA DISTRITO DE TARACO DE LA PROVINCIA DE HUANCANE DEL DEPARTAMENTO DE PUNO</v>
      </c>
      <c r="D26" s="22" t="n">
        <f aca="false">Base!H20</f>
        <v>492669</v>
      </c>
      <c r="E26" s="22" t="n">
        <f aca="false">Base!I20</f>
        <v>464894</v>
      </c>
      <c r="F26" s="22" t="n">
        <f aca="false">D26-E26</f>
        <v>27775</v>
      </c>
      <c r="G26" s="22" t="n">
        <f aca="false">Base!K20</f>
        <v>211662.5</v>
      </c>
      <c r="H26" s="22" t="n">
        <f aca="false">D26-G26</f>
        <v>281006.5</v>
      </c>
      <c r="I26" s="23" t="n">
        <f aca="false">IF(D26=0,0,G26/D26)</f>
        <v>0.429624149276695</v>
      </c>
      <c r="J26" s="21" t="str">
        <f aca="false">Base!O20</f>
        <v>Expediente técnico</v>
      </c>
      <c r="K26" s="21" t="str">
        <f aca="false">Base!P20</f>
        <v>Comprometido</v>
      </c>
      <c r="L26" s="22" t="str">
        <f aca="false">Base!Q20</f>
        <v>No registrado en cartera</v>
      </c>
      <c r="M26" s="22" t="str">
        <f aca="false">Base!R20</f>
        <v>No registrado en cartera</v>
      </c>
      <c r="N26" s="22" t="str">
        <f aca="false">Base!S20</f>
        <v>No registrado en cartera</v>
      </c>
      <c r="O26" s="22" t="str">
        <f aca="false">Base!T20</f>
        <v>No registrado en cartera</v>
      </c>
      <c r="P26" s="21" t="str">
        <f aca="false">IF(Base!U20="","",Base!U20)</f>
        <v/>
      </c>
    </row>
    <row r="27" customFormat="false" ht="32.8" hidden="false" customHeight="false" outlineLevel="0" collapsed="false">
      <c r="A27" s="20" t="n">
        <f aca="false">SUBTOTAL(103,$B$6:B27)</f>
        <v>17</v>
      </c>
      <c r="B27" s="20" t="n">
        <v>170</v>
      </c>
      <c r="C27" s="21" t="str">
        <f aca="false">Base!G21</f>
        <v>2196865: MEJORAMIENTO DEL SERVICIO EDUCATIVO DE NIVEL INICIAL ESCOLARIZADO EN LA I.E.I. LLUNGO, DISTRITO DE ATUNCOLLA, PROVINCIA DE PUNO - PUNO.</v>
      </c>
      <c r="D27" s="22" t="n">
        <f aca="false">Base!H21</f>
        <v>118539</v>
      </c>
      <c r="E27" s="22" t="n">
        <f aca="false">Base!I21</f>
        <v>70562.13</v>
      </c>
      <c r="F27" s="22" t="n">
        <f aca="false">D27-E27</f>
        <v>47976.87</v>
      </c>
      <c r="G27" s="22" t="n">
        <f aca="false">Base!K21</f>
        <v>70562.13</v>
      </c>
      <c r="H27" s="22" t="n">
        <f aca="false">D27-G27</f>
        <v>47976.87</v>
      </c>
      <c r="I27" s="23" t="n">
        <f aca="false">IF(D27=0,0,G27/D27)</f>
        <v>0.595265102624453</v>
      </c>
      <c r="J27" s="21" t="str">
        <f aca="false">Base!O21</f>
        <v>Contrata / Personal/bienes/servicios / Administración directa</v>
      </c>
      <c r="K27" s="21" t="str">
        <f aca="false">Base!P21</f>
        <v>Comprometido</v>
      </c>
      <c r="L27" s="22" t="n">
        <f aca="false">Base!Q21</f>
        <v>159740</v>
      </c>
      <c r="M27" s="22" t="n">
        <f aca="false">Base!R21</f>
        <v>0</v>
      </c>
      <c r="N27" s="22" t="n">
        <f aca="false">Base!S21</f>
        <v>0</v>
      </c>
      <c r="O27" s="22" t="n">
        <f aca="false">Base!T21</f>
        <v>0</v>
      </c>
      <c r="P27" s="21" t="str">
        <f aca="false">IF(Base!U21="","",Base!U21)</f>
        <v/>
      </c>
    </row>
    <row r="28" customFormat="false" ht="32.8" hidden="false" customHeight="false" outlineLevel="0" collapsed="false">
      <c r="A28" s="20" t="n">
        <f aca="false">SUBTOTAL(103,$B$6:B28)</f>
        <v>18</v>
      </c>
      <c r="B28" s="20" t="n">
        <v>490</v>
      </c>
      <c r="C28" s="21" t="str">
        <f aca="false">Base!G22</f>
        <v>2301117: MEJORAMIENTO DEL SERVICIO EDUCATIVO EN LAS INSTITUCIONES EDUCATIVAS PRIMARIAS N 70511, N 70815 Y N 72637, DISTRITO DE ORURILLO - MELGAR - PUNO</v>
      </c>
      <c r="D28" s="22" t="n">
        <f aca="false">Base!H22</f>
        <v>28700</v>
      </c>
      <c r="E28" s="22" t="n">
        <f aca="false">Base!I22</f>
        <v>0</v>
      </c>
      <c r="F28" s="22" t="n">
        <f aca="false">D28-E28</f>
        <v>28700</v>
      </c>
      <c r="G28" s="22" t="n">
        <f aca="false">Base!K22</f>
        <v>0</v>
      </c>
      <c r="H28" s="22" t="n">
        <f aca="false">D28-G28</f>
        <v>28700</v>
      </c>
      <c r="I28" s="23" t="n">
        <f aca="false">IF(D28=0,0,G28/D28)</f>
        <v>0</v>
      </c>
      <c r="J28" s="21" t="str">
        <f aca="false">Base!O22</f>
        <v>Administración directa</v>
      </c>
      <c r="K28" s="21" t="str">
        <f aca="false">Base!P22</f>
        <v>Sin certificar</v>
      </c>
      <c r="L28" s="22" t="n">
        <f aca="false">Base!Q22</f>
        <v>539829</v>
      </c>
      <c r="M28" s="22" t="n">
        <f aca="false">Base!R22</f>
        <v>504509</v>
      </c>
      <c r="N28" s="22" t="n">
        <f aca="false">Base!S22</f>
        <v>0</v>
      </c>
      <c r="O28" s="22" t="n">
        <f aca="false">Base!T22</f>
        <v>0</v>
      </c>
      <c r="P28" s="21" t="str">
        <f aca="false">IF(Base!U22="","",Base!U22)</f>
        <v/>
      </c>
    </row>
    <row r="29" customFormat="false" ht="32.8" hidden="false" customHeight="false" outlineLevel="0" collapsed="false">
      <c r="A29" s="20" t="n">
        <f aca="false">SUBTOTAL(103,$B$6:B29)</f>
        <v>19</v>
      </c>
      <c r="B29" s="20" t="n">
        <v>489</v>
      </c>
      <c r="C29" s="21" t="str">
        <f aca="false">Base!G23</f>
        <v>2301117: MEJORAMIENTO DEL SERVICIO EDUCATIVO EN LAS INSTITUCIONES EDUCATIVAS PRIMARIAS N 70511, N 70815 Y N 72637, DISTRITO DE ORURILLO - MELGAR - PUNO</v>
      </c>
      <c r="D29" s="22" t="n">
        <f aca="false">Base!H23</f>
        <v>25000</v>
      </c>
      <c r="E29" s="22" t="n">
        <f aca="false">Base!I23</f>
        <v>0</v>
      </c>
      <c r="F29" s="22" t="n">
        <f aca="false">D29-E29</f>
        <v>25000</v>
      </c>
      <c r="G29" s="22" t="n">
        <f aca="false">Base!K23</f>
        <v>0</v>
      </c>
      <c r="H29" s="22" t="n">
        <f aca="false">D29-G29</f>
        <v>25000</v>
      </c>
      <c r="I29" s="23" t="n">
        <f aca="false">IF(D29=0,0,G29/D29)</f>
        <v>0</v>
      </c>
      <c r="J29" s="21" t="str">
        <f aca="false">Base!O23</f>
        <v>Administración directa</v>
      </c>
      <c r="K29" s="21" t="str">
        <f aca="false">Base!P23</f>
        <v>Sin certificar</v>
      </c>
      <c r="L29" s="22" t="n">
        <f aca="false">Base!Q23</f>
        <v>539829</v>
      </c>
      <c r="M29" s="22" t="n">
        <f aca="false">Base!R23</f>
        <v>504509</v>
      </c>
      <c r="N29" s="22" t="n">
        <f aca="false">Base!S23</f>
        <v>0</v>
      </c>
      <c r="O29" s="22" t="n">
        <f aca="false">Base!T23</f>
        <v>0</v>
      </c>
      <c r="P29" s="21" t="str">
        <f aca="false">IF(Base!U23="","",Base!U23)</f>
        <v/>
      </c>
    </row>
    <row r="30" customFormat="false" ht="53.7" hidden="false" customHeight="false" outlineLevel="0" collapsed="false">
      <c r="A30" s="20" t="n">
        <f aca="false">SUBTOTAL(103,$B$6:B30)</f>
        <v>20</v>
      </c>
      <c r="B30" s="20" t="n">
        <v>484</v>
      </c>
      <c r="C30" s="21" t="str">
        <f aca="false">Base!G24</f>
        <v>2623682: RENOVACION DE AULA DE EDUCACION SUPERIOR PEDAGOGICA, LABORATORIO Y/O TALLER Y AMBIENTE COMPLEMENTARIO; REPARACION DE CERCO Y/O PORTADA; ADEMAS DE OTROS ACTIVOS EN EL(LA) INSTITUTO DE EDUCACION SUPERIOR PEDAGOGICO HUANCANE DEL DISTRITO DE HUANCANE, PROVINCIA HUANCANE, DEPARTAMENTO PUNO</v>
      </c>
      <c r="D30" s="22" t="n">
        <f aca="false">Base!H24</f>
        <v>23560</v>
      </c>
      <c r="E30" s="22" t="n">
        <f aca="false">Base!I24</f>
        <v>22650</v>
      </c>
      <c r="F30" s="22" t="n">
        <f aca="false">D30-E30</f>
        <v>910</v>
      </c>
      <c r="G30" s="22" t="n">
        <f aca="false">Base!K24</f>
        <v>14282.09</v>
      </c>
      <c r="H30" s="22" t="n">
        <f aca="false">D30-G30</f>
        <v>9277.91</v>
      </c>
      <c r="I30" s="23" t="n">
        <f aca="false">IF(D30=0,0,G30/D30)</f>
        <v>0.606200764006791</v>
      </c>
      <c r="J30" s="21" t="str">
        <f aca="false">Base!O24</f>
        <v>Contrata / Personal/bienes/servicios</v>
      </c>
      <c r="K30" s="21" t="str">
        <f aca="false">Base!P24</f>
        <v>Comprometido</v>
      </c>
      <c r="L30" s="22" t="n">
        <f aca="false">Base!Q24</f>
        <v>23560</v>
      </c>
      <c r="M30" s="22" t="n">
        <f aca="false">Base!R24</f>
        <v>27080</v>
      </c>
      <c r="N30" s="22" t="n">
        <f aca="false">Base!S24</f>
        <v>0</v>
      </c>
      <c r="O30" s="22" t="n">
        <f aca="false">Base!T24</f>
        <v>0</v>
      </c>
      <c r="P30" s="21" t="str">
        <f aca="false">IF(Base!U24="","",Base!U24)</f>
        <v/>
      </c>
    </row>
    <row r="31" customFormat="false" ht="32.8" hidden="false" customHeight="false" outlineLevel="0" collapsed="false">
      <c r="A31" s="20" t="n">
        <f aca="false">SUBTOTAL(103,$B$6:B31)</f>
        <v>21</v>
      </c>
      <c r="B31" s="20" t="n">
        <v>453</v>
      </c>
      <c r="C31" s="21" t="str">
        <f aca="false">Base!G25</f>
        <v>2196822: INSTALACION DEL SERVICIO DE EDUCACION INICIAL DE LA I.E.I. NRO. 94 DEL CENTRO POBLADO DE UMUCHI, DISTRITO DE MOHO, PROVINCIA DE MOHO, DEPARTAMENTO DE PUNO.</v>
      </c>
      <c r="D31" s="22" t="n">
        <f aca="false">Base!H25</f>
        <v>17714</v>
      </c>
      <c r="E31" s="22" t="n">
        <f aca="false">Base!I25</f>
        <v>14228.68</v>
      </c>
      <c r="F31" s="22" t="n">
        <f aca="false">D31-E31</f>
        <v>3485.32</v>
      </c>
      <c r="G31" s="22" t="n">
        <f aca="false">Base!K25</f>
        <v>9749.8</v>
      </c>
      <c r="H31" s="22" t="n">
        <f aca="false">D31-G31</f>
        <v>7964.2</v>
      </c>
      <c r="I31" s="23" t="n">
        <f aca="false">IF(D31=0,0,G31/D31)</f>
        <v>0.550400812916337</v>
      </c>
      <c r="J31" s="21" t="str">
        <f aca="false">Base!O25</f>
        <v>Contrata / Administración directa / Personal/bienes/servicios</v>
      </c>
      <c r="K31" s="21" t="str">
        <f aca="false">Base!P25</f>
        <v>Comprometido</v>
      </c>
      <c r="L31" s="22" t="n">
        <f aca="false">Base!Q25</f>
        <v>13915</v>
      </c>
      <c r="M31" s="22" t="n">
        <f aca="false">Base!R25</f>
        <v>0</v>
      </c>
      <c r="N31" s="22" t="n">
        <f aca="false">Base!S25</f>
        <v>0</v>
      </c>
      <c r="O31" s="22" t="n">
        <f aca="false">Base!T25</f>
        <v>0</v>
      </c>
      <c r="P31" s="21" t="str">
        <f aca="false">IF(Base!U25="","",Base!U25)</f>
        <v/>
      </c>
    </row>
    <row r="32" customFormat="false" ht="32.8" hidden="false" customHeight="false" outlineLevel="0" collapsed="false">
      <c r="A32" s="20" t="n">
        <f aca="false">SUBTOTAL(103,$B$6:B32)</f>
        <v>22</v>
      </c>
      <c r="B32" s="20" t="n">
        <v>24</v>
      </c>
      <c r="C32" s="21" t="str">
        <f aca="false">Base!G26</f>
        <v>2194504: INSTALACION DEL SERVICIO EDUCATIVO DEL NIVEL SECUNDARIO EN LA I.E.S. RODOLFO DIESEL, DISTRITO DE JULIACA, PROVINCIA SAN ROMAN - PUNO.</v>
      </c>
      <c r="D32" s="22" t="n">
        <f aca="false">Base!H26</f>
        <v>0</v>
      </c>
      <c r="E32" s="22" t="n">
        <f aca="false">Base!I26</f>
        <v>0</v>
      </c>
      <c r="F32" s="22" t="n">
        <f aca="false">D32-E32</f>
        <v>0</v>
      </c>
      <c r="G32" s="22" t="n">
        <f aca="false">Base!K26</f>
        <v>0</v>
      </c>
      <c r="H32" s="22" t="n">
        <f aca="false">D32-G32</f>
        <v>0</v>
      </c>
      <c r="I32" s="23" t="n">
        <f aca="false">IF(D32=0,0,G32/D32)</f>
        <v>0</v>
      </c>
      <c r="J32" s="21" t="str">
        <f aca="false">Base!O26</f>
        <v>Contrata</v>
      </c>
      <c r="K32" s="21" t="str">
        <f aca="false">Base!P26</f>
        <v>Sin PIM</v>
      </c>
      <c r="L32" s="22" t="str">
        <f aca="false">Base!Q26</f>
        <v>No registrado en cartera</v>
      </c>
      <c r="M32" s="22" t="str">
        <f aca="false">Base!R26</f>
        <v>No registrado en cartera</v>
      </c>
      <c r="N32" s="22" t="str">
        <f aca="false">Base!S26</f>
        <v>No registrado en cartera</v>
      </c>
      <c r="O32" s="22" t="str">
        <f aca="false">Base!T26</f>
        <v>No registrado en cartera</v>
      </c>
      <c r="P32" s="21" t="str">
        <f aca="false">IF(Base!U26="","",Base!U26)</f>
        <v/>
      </c>
    </row>
    <row r="33" customFormat="false" ht="32.8" hidden="false" customHeight="false" outlineLevel="0" collapsed="false">
      <c r="A33" s="20" t="n">
        <f aca="false">SUBTOTAL(103,$B$6:B33)</f>
        <v>23</v>
      </c>
      <c r="B33" s="20" t="n">
        <v>168</v>
      </c>
      <c r="C33" s="21" t="str">
        <f aca="false">Base!G27</f>
        <v>2196834: MEJORAMIENTO DE LOS SERVICIOS DE EDUCACION INICIAL EN LA I.E.I. CUCURAYA DE LA COMUNIDAD DE CUCURAYA, DISTRITO DE TILALI, PROVINCIA DE MOHO - PUNO.</v>
      </c>
      <c r="D33" s="22" t="n">
        <f aca="false">Base!H27</f>
        <v>728529</v>
      </c>
      <c r="E33" s="22" t="n">
        <f aca="false">Base!I27</f>
        <v>0</v>
      </c>
      <c r="F33" s="22" t="n">
        <f aca="false">D33-E33</f>
        <v>728529</v>
      </c>
      <c r="G33" s="22" t="n">
        <f aca="false">Base!K27</f>
        <v>0</v>
      </c>
      <c r="H33" s="22" t="n">
        <f aca="false">D33-G33</f>
        <v>728529</v>
      </c>
      <c r="I33" s="23" t="n">
        <f aca="false">IF(D33=0,0,G33/D33)</f>
        <v>0</v>
      </c>
      <c r="J33" s="21" t="str">
        <f aca="false">Base!O27</f>
        <v>Administración directa / Contrata / Equipamiento / Personal/bienes/servicios</v>
      </c>
      <c r="K33" s="21" t="str">
        <f aca="false">Base!P27</f>
        <v>Sin certificar</v>
      </c>
      <c r="L33" s="22" t="n">
        <f aca="false">Base!Q27</f>
        <v>699403</v>
      </c>
      <c r="M33" s="22" t="n">
        <f aca="false">Base!R27</f>
        <v>0</v>
      </c>
      <c r="N33" s="22" t="n">
        <f aca="false">Base!S27</f>
        <v>0</v>
      </c>
      <c r="O33" s="22" t="n">
        <f aca="false">Base!T27</f>
        <v>0</v>
      </c>
      <c r="P33" s="21" t="str">
        <f aca="false">IF(Base!U27="","",Base!U27)</f>
        <v/>
      </c>
    </row>
    <row r="34" customFormat="false" ht="32.8" hidden="false" customHeight="false" outlineLevel="0" collapsed="false">
      <c r="A34" s="20" t="n">
        <f aca="false">SUBTOTAL(103,$B$6:B34)</f>
        <v>24</v>
      </c>
      <c r="B34" s="20" t="n">
        <v>464</v>
      </c>
      <c r="C34" s="21" t="str">
        <f aca="false">Base!G28</f>
        <v>2490131: MEJORAMIENTO DEL SERVICIO DE EDUCACION SECUNDARIA DE LA IES CABANILLAS, DISTRITO DE CABANILLAS - PROVINCIA DE SAN ROMAN - DEPARTAMENTO DE PUNO</v>
      </c>
      <c r="D34" s="22" t="n">
        <f aca="false">Base!H28</f>
        <v>40621</v>
      </c>
      <c r="E34" s="22" t="n">
        <f aca="false">Base!I28</f>
        <v>28914.4</v>
      </c>
      <c r="F34" s="22" t="n">
        <f aca="false">D34-E34</f>
        <v>11706.6</v>
      </c>
      <c r="G34" s="22" t="n">
        <f aca="false">Base!K28</f>
        <v>27953.93</v>
      </c>
      <c r="H34" s="22" t="n">
        <f aca="false">D34-G34</f>
        <v>12667.07</v>
      </c>
      <c r="I34" s="23" t="n">
        <f aca="false">IF(D34=0,0,G34/D34)</f>
        <v>0.688164496196549</v>
      </c>
      <c r="J34" s="21" t="str">
        <f aca="false">Base!O28</f>
        <v>Contrata / Personal/bienes/servicios / Laudos arbitrales</v>
      </c>
      <c r="K34" s="21" t="str">
        <f aca="false">Base!P28</f>
        <v>Comprometido</v>
      </c>
      <c r="L34" s="22" t="n">
        <f aca="false">Base!Q28</f>
        <v>2455</v>
      </c>
      <c r="M34" s="22" t="n">
        <f aca="false">Base!R28</f>
        <v>0</v>
      </c>
      <c r="N34" s="22" t="n">
        <f aca="false">Base!S28</f>
        <v>0</v>
      </c>
      <c r="O34" s="22" t="n">
        <f aca="false">Base!T28</f>
        <v>0</v>
      </c>
      <c r="P34" s="21" t="str">
        <f aca="false">IF(Base!U28="","",Base!U28)</f>
        <v/>
      </c>
    </row>
    <row r="35" customFormat="false" ht="32.8" hidden="false" customHeight="false" outlineLevel="0" collapsed="false">
      <c r="A35" s="20" t="n">
        <f aca="false">SUBTOTAL(103,$B$6:B35)</f>
        <v>25</v>
      </c>
      <c r="B35" s="20" t="n">
        <v>169</v>
      </c>
      <c r="C35" s="21" t="str">
        <f aca="false">Base!G29</f>
        <v>2196857: INSTALACION DEL SERVICIO EDUCATIVO EN LA INSTITUCION EDUCATIVA INICIAL N 986 SAN JUAN BAUTISTA DEL DISTRITO DE JULIACA, PROVINCIA DE SAN ROMAN - PUNO</v>
      </c>
      <c r="D35" s="22" t="n">
        <f aca="false">Base!H29</f>
        <v>0</v>
      </c>
      <c r="E35" s="22" t="n">
        <f aca="false">Base!I29</f>
        <v>0</v>
      </c>
      <c r="F35" s="22" t="n">
        <f aca="false">D35-E35</f>
        <v>0</v>
      </c>
      <c r="G35" s="22" t="n">
        <f aca="false">Base!K29</f>
        <v>0</v>
      </c>
      <c r="H35" s="22" t="n">
        <f aca="false">D35-G35</f>
        <v>0</v>
      </c>
      <c r="I35" s="23" t="n">
        <f aca="false">IF(D35=0,0,G35/D35)</f>
        <v>0</v>
      </c>
      <c r="J35" s="21" t="str">
        <f aca="false">Base!O29</f>
        <v>Contrata</v>
      </c>
      <c r="K35" s="21" t="str">
        <f aca="false">Base!P29</f>
        <v>Sin PIM</v>
      </c>
      <c r="L35" s="22" t="n">
        <f aca="false">Base!Q29</f>
        <v>2878733</v>
      </c>
      <c r="M35" s="22" t="n">
        <f aca="false">Base!R29</f>
        <v>0</v>
      </c>
      <c r="N35" s="22" t="n">
        <f aca="false">Base!S29</f>
        <v>0</v>
      </c>
      <c r="O35" s="22" t="n">
        <f aca="false">Base!T29</f>
        <v>0</v>
      </c>
      <c r="P35" s="21" t="str">
        <f aca="false">IF(Base!U29="","",Base!U29)</f>
        <v/>
      </c>
    </row>
    <row r="36" customFormat="false" ht="43.25" hidden="false" customHeight="false" outlineLevel="0" collapsed="false">
      <c r="A36" s="20" t="n">
        <f aca="false">SUBTOTAL(103,$B$6:B36)</f>
        <v>26</v>
      </c>
      <c r="B36" s="20" t="n">
        <v>27</v>
      </c>
      <c r="C36" s="21" t="str">
        <f aca="false">Base!G30</f>
        <v>2301117: MEJORAMIENTO DEL SERVICIO EDUCATIVO EN LAS INSTITUCIONES EDUCATIVAS PRIMARIAS N 70511, N 70815 Y N 72637, DISTRITO DE ORURILLO - MELGAR - PUNO</v>
      </c>
      <c r="D36" s="22" t="n">
        <f aca="false">Base!H30</f>
        <v>855386</v>
      </c>
      <c r="E36" s="22" t="n">
        <f aca="false">Base!I30</f>
        <v>725859.11</v>
      </c>
      <c r="F36" s="22" t="n">
        <f aca="false">D36-E36</f>
        <v>129526.89</v>
      </c>
      <c r="G36" s="22" t="n">
        <f aca="false">Base!K30</f>
        <v>715665.61</v>
      </c>
      <c r="H36" s="22" t="n">
        <f aca="false">D36-G36</f>
        <v>139720.39</v>
      </c>
      <c r="I36" s="23" t="n">
        <f aca="false">IF(D36=0,0,G36/D36)</f>
        <v>0.836658081848429</v>
      </c>
      <c r="J36" s="21" t="str">
        <f aca="false">Base!O30</f>
        <v>Administración directa / Contrata / Expediente técnico / Equipamiento / Personal/bienes/servicios</v>
      </c>
      <c r="K36" s="21" t="str">
        <f aca="false">Base!P30</f>
        <v>Comprometido</v>
      </c>
      <c r="L36" s="22" t="n">
        <f aca="false">Base!Q30</f>
        <v>539829</v>
      </c>
      <c r="M36" s="22" t="n">
        <f aca="false">Base!R30</f>
        <v>504509</v>
      </c>
      <c r="N36" s="22" t="n">
        <f aca="false">Base!S30</f>
        <v>0</v>
      </c>
      <c r="O36" s="22" t="n">
        <f aca="false">Base!T30</f>
        <v>0</v>
      </c>
      <c r="P36" s="21" t="str">
        <f aca="false">IF(Base!U30="","",Base!U30)</f>
        <v/>
      </c>
    </row>
    <row r="37" customFormat="false" ht="32.8" hidden="false" customHeight="false" outlineLevel="0" collapsed="false">
      <c r="A37" s="20" t="n">
        <f aca="false">SUBTOTAL(103,$B$6:B37)</f>
        <v>27</v>
      </c>
      <c r="B37" s="20" t="n">
        <v>22</v>
      </c>
      <c r="C37" s="21" t="str">
        <f aca="false">Base!G31</f>
        <v>2194462: INSTALACION DEL SERVICIO DE EDUCACION SECUNDARIA THOMAS ALVA EDISON EN LA URBANIZACION CHILLA - LOS ROSALES EN EL DISTRITO DE JULIACA, PROVINCIA DE SAN ROMAN.</v>
      </c>
      <c r="D37" s="22" t="n">
        <f aca="false">Base!H31</f>
        <v>77590</v>
      </c>
      <c r="E37" s="22" t="n">
        <f aca="false">Base!I31</f>
        <v>76159.18</v>
      </c>
      <c r="F37" s="22" t="n">
        <f aca="false">D37-E37</f>
        <v>1430.82000000001</v>
      </c>
      <c r="G37" s="22" t="n">
        <f aca="false">Base!K31</f>
        <v>76159.18</v>
      </c>
      <c r="H37" s="22" t="n">
        <f aca="false">D37-G37</f>
        <v>1430.82000000001</v>
      </c>
      <c r="I37" s="23" t="n">
        <f aca="false">IF(D37=0,0,G37/D37)</f>
        <v>0.981559221549169</v>
      </c>
      <c r="J37" s="21" t="str">
        <f aca="false">Base!O31</f>
        <v>Contrata / Personal/bienes/servicios</v>
      </c>
      <c r="K37" s="21" t="str">
        <f aca="false">Base!P31</f>
        <v>Comprometido</v>
      </c>
      <c r="L37" s="22" t="n">
        <f aca="false">Base!Q31</f>
        <v>357505</v>
      </c>
      <c r="M37" s="22" t="n">
        <f aca="false">Base!R31</f>
        <v>0</v>
      </c>
      <c r="N37" s="22" t="n">
        <f aca="false">Base!S31</f>
        <v>0</v>
      </c>
      <c r="O37" s="22" t="n">
        <f aca="false">Base!T31</f>
        <v>344884</v>
      </c>
      <c r="P37" s="21" t="str">
        <f aca="false">IF(Base!U31="","",Base!U31)</f>
        <v/>
      </c>
    </row>
    <row r="38" customFormat="false" ht="32.8" hidden="false" customHeight="false" outlineLevel="0" collapsed="false">
      <c r="A38" s="20" t="n">
        <f aca="false">SUBTOTAL(103,$B$6:B38)</f>
        <v>28</v>
      </c>
      <c r="B38" s="20" t="n">
        <v>37</v>
      </c>
      <c r="C38" s="21" t="str">
        <f aca="false">Base!G32</f>
        <v>2467893: MEJORAMIENTO DEL SERVICIO EDUCATIVO DEL NIVEL SECUNDARIA DE LA I.E.S. TARACO DEL DISTRITO DE TARACO - PROVINCIA DE HUANCANE - DEPARTAMENTO DE PUNO</v>
      </c>
      <c r="D38" s="22" t="n">
        <f aca="false">Base!H32</f>
        <v>50132</v>
      </c>
      <c r="E38" s="22" t="n">
        <f aca="false">Base!I32</f>
        <v>47450.05</v>
      </c>
      <c r="F38" s="22" t="n">
        <f aca="false">D38-E38</f>
        <v>2681.95</v>
      </c>
      <c r="G38" s="22" t="n">
        <f aca="false">Base!K32</f>
        <v>47450.05</v>
      </c>
      <c r="H38" s="22" t="n">
        <f aca="false">D38-G38</f>
        <v>2681.95</v>
      </c>
      <c r="I38" s="23" t="n">
        <f aca="false">IF(D38=0,0,G38/D38)</f>
        <v>0.946502234101971</v>
      </c>
      <c r="J38" s="21" t="str">
        <f aca="false">Base!O32</f>
        <v>Contrata</v>
      </c>
      <c r="K38" s="21" t="str">
        <f aca="false">Base!P32</f>
        <v>Comprometido</v>
      </c>
      <c r="L38" s="22" t="n">
        <f aca="false">Base!Q32</f>
        <v>175369</v>
      </c>
      <c r="M38" s="22" t="n">
        <f aca="false">Base!R32</f>
        <v>79091</v>
      </c>
      <c r="N38" s="22" t="n">
        <f aca="false">Base!S32</f>
        <v>583672</v>
      </c>
      <c r="O38" s="22" t="n">
        <f aca="false">Base!T32</f>
        <v>0</v>
      </c>
      <c r="P38" s="21" t="str">
        <f aca="false">IF(Base!U32="","",Base!U32)</f>
        <v/>
      </c>
    </row>
    <row r="39" customFormat="false" ht="15" hidden="false" customHeight="false" outlineLevel="0" collapsed="false">
      <c r="A39" s="17" t="s">
        <v>50</v>
      </c>
      <c r="B39" s="17"/>
      <c r="C39" s="17"/>
      <c r="D39" s="18" t="n">
        <f aca="false">SUM(D40:D63)</f>
        <v>87794613</v>
      </c>
      <c r="E39" s="18" t="n">
        <f aca="false">SUM(E40:E63)</f>
        <v>83882330.74</v>
      </c>
      <c r="F39" s="18" t="n">
        <f aca="false">SUM(F40:F63)</f>
        <v>3912282.26</v>
      </c>
      <c r="G39" s="18" t="n">
        <f aca="false">SUM(G40:G63)</f>
        <v>50834365.7</v>
      </c>
      <c r="H39" s="18" t="n">
        <f aca="false">SUM(H40:H63)</f>
        <v>36960247.3</v>
      </c>
      <c r="I39" s="19" t="n">
        <f aca="false">IF(D39=0,0,G39/D39)</f>
        <v>0.579014633847751</v>
      </c>
      <c r="J39" s="17"/>
      <c r="K39" s="17"/>
      <c r="L39" s="17"/>
      <c r="M39" s="17"/>
      <c r="N39" s="17"/>
      <c r="O39" s="17"/>
      <c r="P39" s="17"/>
    </row>
    <row r="40" customFormat="false" ht="22.35" hidden="false" customHeight="false" outlineLevel="0" collapsed="false">
      <c r="A40" s="20" t="n">
        <f aca="false">SUBTOTAL(103,$B$6:B40)</f>
        <v>29</v>
      </c>
      <c r="B40" s="20" t="n">
        <v>95</v>
      </c>
      <c r="C40" s="21" t="str">
        <f aca="false">Base!G33</f>
        <v>2194702: MEJORAMIENTO DE LA CARRETERA (PU 675) POMATA - YOROHOCO, PROVINCIA DE CHUCUITO - PUNO</v>
      </c>
      <c r="D40" s="22" t="n">
        <f aca="false">Base!H33</f>
        <v>18401182</v>
      </c>
      <c r="E40" s="22" t="n">
        <f aca="false">Base!I33</f>
        <v>17764557.93</v>
      </c>
      <c r="F40" s="22" t="n">
        <f aca="false">D40-E40</f>
        <v>636624.07</v>
      </c>
      <c r="G40" s="22" t="n">
        <f aca="false">Base!K33</f>
        <v>15484259.86</v>
      </c>
      <c r="H40" s="22" t="n">
        <f aca="false">D40-G40</f>
        <v>2916922.14</v>
      </c>
      <c r="I40" s="23" t="n">
        <f aca="false">IF(D40=0,0,G40/D40)</f>
        <v>0.841481805897034</v>
      </c>
      <c r="J40" s="21" t="str">
        <f aca="false">Base!O33</f>
        <v>Administración directa / Contrata / Personal/bienes/servicios</v>
      </c>
      <c r="K40" s="21" t="str">
        <f aca="false">Base!P33</f>
        <v>Comprometido</v>
      </c>
      <c r="L40" s="22" t="n">
        <f aca="false">Base!Q33</f>
        <v>9922902</v>
      </c>
      <c r="M40" s="22" t="n">
        <f aca="false">Base!R33</f>
        <v>180000</v>
      </c>
      <c r="N40" s="22" t="n">
        <f aca="false">Base!S33</f>
        <v>0</v>
      </c>
      <c r="O40" s="22" t="n">
        <f aca="false">Base!T33</f>
        <v>0</v>
      </c>
      <c r="P40" s="21" t="str">
        <f aca="false">IF(Base!U33="","",Base!U33)</f>
        <v/>
      </c>
    </row>
    <row r="41" customFormat="false" ht="43.25" hidden="false" customHeight="false" outlineLevel="0" collapsed="false">
      <c r="A41" s="20" t="n">
        <f aca="false">SUBTOTAL(103,$B$6:B41)</f>
        <v>30</v>
      </c>
      <c r="B41" s="20" t="n">
        <v>98</v>
      </c>
      <c r="C41" s="21" t="str">
        <f aca="false">Base!G34</f>
        <v>2287700: MEJORAMIENTO DE LA CARRETERA PU N-110: EMP. PE-34I ASIRUNI - ROSASPATA - HUAYRAPATA - EMP. PE-34I NINANTAYA, DISTRITOS DE VILQUECHICO-ROSASPATA-MOHO-HUAYRAPATA, PROVINCIA DE HUANCANE Y MOHO - PUNO</v>
      </c>
      <c r="D41" s="22" t="n">
        <f aca="false">Base!H34</f>
        <v>10002053</v>
      </c>
      <c r="E41" s="22" t="n">
        <f aca="false">Base!I34</f>
        <v>9636351.48</v>
      </c>
      <c r="F41" s="22" t="n">
        <f aca="false">D41-E41</f>
        <v>365701.519999998</v>
      </c>
      <c r="G41" s="22" t="n">
        <f aca="false">Base!K34</f>
        <v>5473965.06</v>
      </c>
      <c r="H41" s="22" t="n">
        <f aca="false">D41-G41</f>
        <v>4528087.94</v>
      </c>
      <c r="I41" s="23" t="n">
        <f aca="false">IF(D41=0,0,G41/D41)</f>
        <v>0.5472841485643</v>
      </c>
      <c r="J41" s="21" t="str">
        <f aca="false">Base!O34</f>
        <v>Administración directa / Contrata / Personal/bienes/servicios</v>
      </c>
      <c r="K41" s="21" t="str">
        <f aca="false">Base!P34</f>
        <v>Comprometido</v>
      </c>
      <c r="L41" s="22" t="n">
        <f aca="false">Base!Q34</f>
        <v>4289351</v>
      </c>
      <c r="M41" s="22" t="n">
        <f aca="false">Base!R34</f>
        <v>500000</v>
      </c>
      <c r="N41" s="22" t="n">
        <f aca="false">Base!S34</f>
        <v>109570</v>
      </c>
      <c r="O41" s="22" t="n">
        <f aca="false">Base!T34</f>
        <v>0</v>
      </c>
      <c r="P41" s="21" t="str">
        <f aca="false">IF(Base!U34="","",Base!U34)</f>
        <v/>
      </c>
    </row>
    <row r="42" customFormat="false" ht="43.25" hidden="false" customHeight="false" outlineLevel="0" collapsed="false">
      <c r="A42" s="20" t="n">
        <f aca="false">SUBTOTAL(103,$B$6:B42)</f>
        <v>31</v>
      </c>
      <c r="B42" s="20" t="n">
        <v>112</v>
      </c>
      <c r="C42" s="21" t="str">
        <f aca="false">Base!G35</f>
        <v>2480499: MEJORAMIENTO DE LA CARRETERA PU 146; EMP PE - 34 I (HUANCANE) - HUERTAPATA - VISCACHANI - QUELLAHUYO - EMP PE - 34 (CACUÑA), DISTRITO DE HUANCANE - PROVINCIA DE HUANCANE - DEPARTAMENTO DE PUNO</v>
      </c>
      <c r="D42" s="22" t="n">
        <f aca="false">Base!H35</f>
        <v>3297813</v>
      </c>
      <c r="E42" s="22" t="n">
        <f aca="false">Base!I35</f>
        <v>3286650.45</v>
      </c>
      <c r="F42" s="22" t="n">
        <f aca="false">D42-E42</f>
        <v>11162.5499999998</v>
      </c>
      <c r="G42" s="22" t="n">
        <f aca="false">Base!K35</f>
        <v>3269277.28</v>
      </c>
      <c r="H42" s="22" t="n">
        <f aca="false">D42-G42</f>
        <v>28535.7200000002</v>
      </c>
      <c r="I42" s="23" t="n">
        <f aca="false">IF(D42=0,0,G42/D42)</f>
        <v>0.991347077593545</v>
      </c>
      <c r="J42" s="21" t="str">
        <f aca="false">Base!O35</f>
        <v>Administración directa / Contrata</v>
      </c>
      <c r="K42" s="21" t="str">
        <f aca="false">Base!P35</f>
        <v>Comprometido</v>
      </c>
      <c r="L42" s="22" t="n">
        <f aca="false">Base!Q35</f>
        <v>5406629</v>
      </c>
      <c r="M42" s="22" t="n">
        <f aca="false">Base!R35</f>
        <v>0</v>
      </c>
      <c r="N42" s="22" t="n">
        <f aca="false">Base!S35</f>
        <v>304959</v>
      </c>
      <c r="O42" s="22" t="n">
        <f aca="false">Base!T35</f>
        <v>0</v>
      </c>
      <c r="P42" s="21" t="str">
        <f aca="false">IF(Base!U35="","",Base!U35)</f>
        <v/>
      </c>
    </row>
    <row r="43" customFormat="false" ht="53.7" hidden="false" customHeight="false" outlineLevel="0" collapsed="false">
      <c r="A43" s="20" t="n">
        <f aca="false">SUBTOTAL(103,$B$6:B43)</f>
        <v>32</v>
      </c>
      <c r="B43" s="20" t="n">
        <v>99</v>
      </c>
      <c r="C43" s="21" t="str">
        <f aca="false">Base!G36</f>
        <v>2300575: MEJORAMIENTO DE LA AVENIDA CIRCUNVALACION II (EMP. PE- 3S-AV. HUANCANE-CIRCUNVALACION ESTE-EMP PE-3S) DE LA CIUDAD DE JULIACA- EMPALME PU-3S INICIO CON CIRCUNVALACION II - DISTRITO DE SAN MIGUEL - EMPALME PU-3S FINAL CON CIRCUNVALACION II - DISTRITO DE CARACOTO - PROVINCIA DE SAN ROMAN - REGION PUNO</v>
      </c>
      <c r="D43" s="22" t="n">
        <f aca="false">Base!H36</f>
        <v>2394023</v>
      </c>
      <c r="E43" s="22" t="n">
        <f aca="false">Base!I36</f>
        <v>2316938.79</v>
      </c>
      <c r="F43" s="22" t="n">
        <f aca="false">D43-E43</f>
        <v>77084.21</v>
      </c>
      <c r="G43" s="22" t="n">
        <f aca="false">Base!K36</f>
        <v>1138698.84</v>
      </c>
      <c r="H43" s="22" t="n">
        <f aca="false">D43-G43</f>
        <v>1255324.16</v>
      </c>
      <c r="I43" s="23" t="n">
        <f aca="false">IF(D43=0,0,G43/D43)</f>
        <v>0.475642397754742</v>
      </c>
      <c r="J43" s="21" t="str">
        <f aca="false">Base!O36</f>
        <v>Administración directa / Contrata / Personal/bienes/servicios</v>
      </c>
      <c r="K43" s="21" t="str">
        <f aca="false">Base!P36</f>
        <v>Comprometido</v>
      </c>
      <c r="L43" s="22" t="n">
        <f aca="false">Base!Q36</f>
        <v>3545977</v>
      </c>
      <c r="M43" s="22" t="n">
        <f aca="false">Base!R36</f>
        <v>1000000</v>
      </c>
      <c r="N43" s="22" t="n">
        <f aca="false">Base!S36</f>
        <v>3651450</v>
      </c>
      <c r="O43" s="22" t="n">
        <f aca="false">Base!T36</f>
        <v>1489826</v>
      </c>
      <c r="P43" s="21" t="str">
        <f aca="false">IF(Base!U36="","",Base!U36)</f>
        <v/>
      </c>
    </row>
    <row r="44" customFormat="false" ht="22.35" hidden="false" customHeight="false" outlineLevel="0" collapsed="false">
      <c r="A44" s="20" t="n">
        <f aca="false">SUBTOTAL(103,$B$6:B44)</f>
        <v>33</v>
      </c>
      <c r="B44" s="20" t="n">
        <v>87</v>
      </c>
      <c r="C44" s="21" t="str">
        <f aca="false">Base!G37</f>
        <v>2031310: CONSTRUCCION Y MEJORAMIENTO DE LA CARRETERA SAN JOSE (EMP. R 100) VALLE GRANDE -ISILLUMA DEL DISTRITO DE ALTO INAMBARI</v>
      </c>
      <c r="D44" s="22" t="n">
        <f aca="false">Base!H37</f>
        <v>1122559</v>
      </c>
      <c r="E44" s="22" t="n">
        <f aca="false">Base!I37</f>
        <v>1117871.05</v>
      </c>
      <c r="F44" s="22" t="n">
        <f aca="false">D44-E44</f>
        <v>4687.94999999995</v>
      </c>
      <c r="G44" s="22" t="n">
        <f aca="false">Base!K37</f>
        <v>1042098.56</v>
      </c>
      <c r="H44" s="22" t="n">
        <f aca="false">D44-G44</f>
        <v>80460.4399999999</v>
      </c>
      <c r="I44" s="23" t="n">
        <f aca="false">IF(D44=0,0,G44/D44)</f>
        <v>0.92832408808802</v>
      </c>
      <c r="J44" s="21" t="str">
        <f aca="false">Base!O37</f>
        <v>Administración directa / Contrata / Personal/bienes/servicios</v>
      </c>
      <c r="K44" s="21" t="str">
        <f aca="false">Base!P37</f>
        <v>Comprometido</v>
      </c>
      <c r="L44" s="22" t="n">
        <f aca="false">Base!Q37</f>
        <v>1404195</v>
      </c>
      <c r="M44" s="22" t="n">
        <f aca="false">Base!R37</f>
        <v>324567</v>
      </c>
      <c r="N44" s="22" t="n">
        <f aca="false">Base!S37</f>
        <v>0</v>
      </c>
      <c r="O44" s="22" t="n">
        <f aca="false">Base!T37</f>
        <v>936265</v>
      </c>
      <c r="P44" s="21" t="str">
        <f aca="false">IF(Base!U37="","",Base!U37)</f>
        <v/>
      </c>
    </row>
    <row r="45" customFormat="false" ht="22.35" hidden="false" customHeight="false" outlineLevel="0" collapsed="false">
      <c r="A45" s="20" t="n">
        <f aca="false">SUBTOTAL(103,$B$6:B45)</f>
        <v>34</v>
      </c>
      <c r="B45" s="20" t="n">
        <v>92</v>
      </c>
      <c r="C45" s="21" t="str">
        <f aca="false">Base!G38</f>
        <v>2163760: MEJORAMIENTO DE LA INFRAESTRUCTURA VIAL TURISTICO, TRAMO PHUTINI - JAYU JAYU, DISTRITO DE ACORA - PUNO - PUNO</v>
      </c>
      <c r="D45" s="22" t="n">
        <f aca="false">Base!H38</f>
        <v>1202934</v>
      </c>
      <c r="E45" s="22" t="n">
        <f aca="false">Base!I38</f>
        <v>1151623.79</v>
      </c>
      <c r="F45" s="22" t="n">
        <f aca="false">D45-E45</f>
        <v>51310.21</v>
      </c>
      <c r="G45" s="22" t="n">
        <f aca="false">Base!K38</f>
        <v>1105100.42</v>
      </c>
      <c r="H45" s="22" t="n">
        <f aca="false">D45-G45</f>
        <v>97833.5800000001</v>
      </c>
      <c r="I45" s="23" t="n">
        <f aca="false">IF(D45=0,0,G45/D45)</f>
        <v>0.918670866398323</v>
      </c>
      <c r="J45" s="21" t="str">
        <f aca="false">Base!O38</f>
        <v>Administración directa / Contrata / Personal/bienes/servicios</v>
      </c>
      <c r="K45" s="21" t="str">
        <f aca="false">Base!P38</f>
        <v>Comprometido</v>
      </c>
      <c r="L45" s="22" t="n">
        <f aca="false">Base!Q38</f>
        <v>2596051</v>
      </c>
      <c r="M45" s="22" t="n">
        <f aca="false">Base!R38</f>
        <v>120000</v>
      </c>
      <c r="N45" s="22" t="n">
        <f aca="false">Base!S38</f>
        <v>2215461</v>
      </c>
      <c r="O45" s="22" t="n">
        <f aca="false">Base!T38</f>
        <v>3675255</v>
      </c>
      <c r="P45" s="21" t="str">
        <f aca="false">IF(Base!U38="","",Base!U38)</f>
        <v/>
      </c>
    </row>
    <row r="46" customFormat="false" ht="32.8" hidden="false" customHeight="false" outlineLevel="0" collapsed="false">
      <c r="A46" s="20" t="n">
        <f aca="false">SUBTOTAL(103,$B$6:B46)</f>
        <v>35</v>
      </c>
      <c r="B46" s="20" t="n">
        <v>104</v>
      </c>
      <c r="C46" s="21" t="str">
        <f aca="false">Base!G39</f>
        <v>2375549: CREACION DE LA INFRAESTRUCTURA DE INTEGRACION VIAL ENTRE SANDIA (CP. QUENEQUE) Y PATAMBUCO (C.P. TIRACA), DISTRITO DE SANDIA Y PATAMBUCO, PROVINCIA DE SANDIA - PUNO</v>
      </c>
      <c r="D46" s="22" t="n">
        <f aca="false">Base!H39</f>
        <v>167638</v>
      </c>
      <c r="E46" s="22" t="n">
        <f aca="false">Base!I39</f>
        <v>167637.03</v>
      </c>
      <c r="F46" s="22" t="n">
        <f aca="false">D46-E46</f>
        <v>0.970000000001164</v>
      </c>
      <c r="G46" s="22" t="n">
        <f aca="false">Base!K39</f>
        <v>124800.07</v>
      </c>
      <c r="H46" s="22" t="n">
        <f aca="false">D46-G46</f>
        <v>42837.93</v>
      </c>
      <c r="I46" s="23" t="n">
        <f aca="false">IF(D46=0,0,G46/D46)</f>
        <v>0.744461697228552</v>
      </c>
      <c r="J46" s="21" t="str">
        <f aca="false">Base!O39</f>
        <v>Administración directa</v>
      </c>
      <c r="K46" s="21" t="str">
        <f aca="false">Base!P39</f>
        <v>Comprometido</v>
      </c>
      <c r="L46" s="22" t="n">
        <f aca="false">Base!Q39</f>
        <v>1200000</v>
      </c>
      <c r="M46" s="22" t="n">
        <f aca="false">Base!R39</f>
        <v>2500000</v>
      </c>
      <c r="N46" s="22" t="n">
        <f aca="false">Base!S39</f>
        <v>2882362</v>
      </c>
      <c r="O46" s="22" t="n">
        <f aca="false">Base!T39</f>
        <v>1526602</v>
      </c>
      <c r="P46" s="21" t="str">
        <f aca="false">IF(Base!U39="","",Base!U39)</f>
        <v/>
      </c>
    </row>
    <row r="47" customFormat="false" ht="32.8" hidden="false" customHeight="false" outlineLevel="0" collapsed="false">
      <c r="A47" s="20" t="n">
        <f aca="false">SUBTOTAL(103,$B$6:B47)</f>
        <v>36</v>
      </c>
      <c r="B47" s="20" t="n">
        <v>101</v>
      </c>
      <c r="C47" s="21" t="str">
        <f aca="false">Base!G40</f>
        <v>2321290: MEJORAMIENTO DE LOS SERVICIOS DE TRANSITABILIDAD DE LA VIA VECINAL PU-595: DV. PAMPA BLANCA - RINCONADA - CERRO LUNAR, DISTRITO DE ANANEA, PROVINCIA DE SAN ANTONIO DE PUTINA - PUNO</v>
      </c>
      <c r="D47" s="22" t="n">
        <f aca="false">Base!H40</f>
        <v>844818</v>
      </c>
      <c r="E47" s="22" t="n">
        <f aca="false">Base!I40</f>
        <v>75387.03</v>
      </c>
      <c r="F47" s="22" t="n">
        <f aca="false">D47-E47</f>
        <v>769430.97</v>
      </c>
      <c r="G47" s="22" t="n">
        <f aca="false">Base!K40</f>
        <v>75387.03</v>
      </c>
      <c r="H47" s="22" t="n">
        <f aca="false">D47-G47</f>
        <v>769430.97</v>
      </c>
      <c r="I47" s="23" t="n">
        <f aca="false">IF(D47=0,0,G47/D47)</f>
        <v>0.0892346398869342</v>
      </c>
      <c r="J47" s="21" t="str">
        <f aca="false">Base!O40</f>
        <v>Contrata / Laudos arbitrales / Personal/bienes/servicios</v>
      </c>
      <c r="K47" s="21" t="str">
        <f aca="false">Base!P40</f>
        <v>Comprometido</v>
      </c>
      <c r="L47" s="22" t="n">
        <f aca="false">Base!Q40</f>
        <v>1050000</v>
      </c>
      <c r="M47" s="22" t="n">
        <f aca="false">Base!R40</f>
        <v>50000</v>
      </c>
      <c r="N47" s="22" t="n">
        <f aca="false">Base!S40</f>
        <v>1054806</v>
      </c>
      <c r="O47" s="22" t="n">
        <f aca="false">Base!T40</f>
        <v>0</v>
      </c>
      <c r="P47" s="21" t="str">
        <f aca="false">IF(Base!U40="","",Base!U40)</f>
        <v/>
      </c>
    </row>
    <row r="48" customFormat="false" ht="43.25" hidden="false" customHeight="false" outlineLevel="0" collapsed="false">
      <c r="A48" s="20" t="n">
        <f aca="false">SUBTOTAL(103,$B$6:B48)</f>
        <v>37</v>
      </c>
      <c r="B48" s="20" t="n">
        <v>166</v>
      </c>
      <c r="C48" s="21" t="str">
        <f aca="false">Base!G41</f>
        <v>2475053: MEJORAMIENTO DEL SERVICIO DE MOVILIDAD URBANA DE LA AV. ANDRES AVELINO CACERES (TRAMO: AV. TUPAC YUPANQUI - AV. AVIACION), AV. LOS GERANIOS DEL DISTRITO DE JULIACA - PROVINCIA DE SAN ROMAN - DEPARTAMENTO DE PUNO</v>
      </c>
      <c r="D48" s="22" t="n">
        <f aca="false">Base!H41</f>
        <v>0</v>
      </c>
      <c r="E48" s="22" t="n">
        <f aca="false">Base!I41</f>
        <v>0</v>
      </c>
      <c r="F48" s="22" t="n">
        <f aca="false">D48-E48</f>
        <v>0</v>
      </c>
      <c r="G48" s="22" t="n">
        <f aca="false">Base!K41</f>
        <v>0</v>
      </c>
      <c r="H48" s="22" t="n">
        <f aca="false">D48-G48</f>
        <v>0</v>
      </c>
      <c r="I48" s="23" t="n">
        <f aca="false">IF(D48=0,0,G48/D48)</f>
        <v>0</v>
      </c>
      <c r="J48" s="21" t="str">
        <f aca="false">Base!O41</f>
        <v>Administración directa</v>
      </c>
      <c r="K48" s="21" t="str">
        <f aca="false">Base!P41</f>
        <v>Sin PIM</v>
      </c>
      <c r="L48" s="22" t="n">
        <f aca="false">Base!Q41</f>
        <v>675842</v>
      </c>
      <c r="M48" s="22" t="n">
        <f aca="false">Base!R41</f>
        <v>110000</v>
      </c>
      <c r="N48" s="22" t="n">
        <f aca="false">Base!S41</f>
        <v>0</v>
      </c>
      <c r="O48" s="22" t="n">
        <f aca="false">Base!T41</f>
        <v>0</v>
      </c>
      <c r="P48" s="21" t="str">
        <f aca="false">IF(Base!U41="","",Base!U41)</f>
        <v/>
      </c>
    </row>
    <row r="49" customFormat="false" ht="22.35" hidden="false" customHeight="false" outlineLevel="0" collapsed="false">
      <c r="A49" s="20" t="n">
        <f aca="false">SUBTOTAL(103,$B$6:B49)</f>
        <v>38</v>
      </c>
      <c r="B49" s="20" t="n">
        <v>90</v>
      </c>
      <c r="C49" s="21" t="str">
        <f aca="false">Base!G42</f>
        <v>2131661: CONSTRUCCION Y MEJORAMIENTO DE LA CARRETERA DESVIO VILQUECHICO-COJATA-SINA-YANAHUAYA</v>
      </c>
      <c r="D49" s="22" t="n">
        <f aca="false">Base!H42</f>
        <v>459851</v>
      </c>
      <c r="E49" s="22" t="n">
        <f aca="false">Base!I42</f>
        <v>344060.18</v>
      </c>
      <c r="F49" s="22" t="n">
        <f aca="false">D49-E49</f>
        <v>115790.82</v>
      </c>
      <c r="G49" s="22" t="n">
        <f aca="false">Base!K42</f>
        <v>300345.76</v>
      </c>
      <c r="H49" s="22" t="n">
        <f aca="false">D49-G49</f>
        <v>159505.24</v>
      </c>
      <c r="I49" s="23" t="n">
        <f aca="false">IF(D49=0,0,G49/D49)</f>
        <v>0.653137124851311</v>
      </c>
      <c r="J49" s="21" t="str">
        <f aca="false">Base!O42</f>
        <v>Administración directa / Equipamiento</v>
      </c>
      <c r="K49" s="21" t="str">
        <f aca="false">Base!P42</f>
        <v>Comprometido</v>
      </c>
      <c r="L49" s="22" t="n">
        <f aca="false">Base!Q42</f>
        <v>4800690</v>
      </c>
      <c r="M49" s="22" t="n">
        <f aca="false">Base!R42</f>
        <v>4000000</v>
      </c>
      <c r="N49" s="22" t="n">
        <f aca="false">Base!S42</f>
        <v>14883202</v>
      </c>
      <c r="O49" s="22" t="n">
        <f aca="false">Base!T42</f>
        <v>19038629</v>
      </c>
      <c r="P49" s="21" t="str">
        <f aca="false">IF(Base!U42="","",Base!U42)</f>
        <v/>
      </c>
    </row>
    <row r="50" customFormat="false" ht="32.8" hidden="false" customHeight="false" outlineLevel="0" collapsed="false">
      <c r="A50" s="20" t="n">
        <f aca="false">SUBTOTAL(103,$B$6:B50)</f>
        <v>39</v>
      </c>
      <c r="B50" s="20" t="n">
        <v>96</v>
      </c>
      <c r="C50" s="21" t="str">
        <f aca="false">Base!G43</f>
        <v>2195487: MEJORAMIENTO DEL CAMINO VECINAL (EMP. PE 3S) HUAQUINA ZAPIJICANE - PTO JULI - CHUCASUYO DEL DISTRITO DE JULI - PROVINCIA DE CHUCUITO - DEPARTAMENTO DE PUNO</v>
      </c>
      <c r="D50" s="22" t="n">
        <f aca="false">Base!H43</f>
        <v>91759</v>
      </c>
      <c r="E50" s="22" t="n">
        <f aca="false">Base!I43</f>
        <v>91758.5</v>
      </c>
      <c r="F50" s="22" t="n">
        <f aca="false">D50-E50</f>
        <v>0.5</v>
      </c>
      <c r="G50" s="22" t="n">
        <f aca="false">Base!K43</f>
        <v>82094.58</v>
      </c>
      <c r="H50" s="22" t="n">
        <f aca="false">D50-G50</f>
        <v>9664.42</v>
      </c>
      <c r="I50" s="23" t="n">
        <f aca="false">IF(D50=0,0,G50/D50)</f>
        <v>0.894676053575126</v>
      </c>
      <c r="J50" s="21" t="str">
        <f aca="false">Base!O43</f>
        <v>Contrata / Administración directa / Personal/bienes/servicios</v>
      </c>
      <c r="K50" s="21" t="str">
        <f aca="false">Base!P43</f>
        <v>Comprometido</v>
      </c>
      <c r="L50" s="22" t="n">
        <f aca="false">Base!Q43</f>
        <v>774665</v>
      </c>
      <c r="M50" s="22" t="n">
        <f aca="false">Base!R43</f>
        <v>0</v>
      </c>
      <c r="N50" s="22" t="n">
        <f aca="false">Base!S43</f>
        <v>707599</v>
      </c>
      <c r="O50" s="22" t="n">
        <f aca="false">Base!T43</f>
        <v>0</v>
      </c>
      <c r="P50" s="21" t="str">
        <f aca="false">IF(Base!U43="","",Base!U43)</f>
        <v/>
      </c>
    </row>
    <row r="51" customFormat="false" ht="32.8" hidden="false" customHeight="false" outlineLevel="0" collapsed="false">
      <c r="A51" s="20" t="n">
        <f aca="false">SUBTOTAL(103,$B$6:B51)</f>
        <v>40</v>
      </c>
      <c r="B51" s="20" t="n">
        <v>113</v>
      </c>
      <c r="C51" s="21" t="str">
        <f aca="false">Base!G44</f>
        <v>2514428: CREACION DEL SERVICIO DE INTERCONEXION DE MOVILIDAD URBANA EN LA VIA TRONCAL DEL PUENTE YARAJA DISTRITO DE AZANGARO - PROVINCIA DE AZANGARO - DEPARTAMENTO DE PUNO</v>
      </c>
      <c r="D51" s="22" t="n">
        <f aca="false">Base!H44</f>
        <v>104124</v>
      </c>
      <c r="E51" s="22" t="n">
        <f aca="false">Base!I44</f>
        <v>48234.88</v>
      </c>
      <c r="F51" s="22" t="n">
        <f aca="false">D51-E51</f>
        <v>55889.12</v>
      </c>
      <c r="G51" s="22" t="n">
        <f aca="false">Base!K44</f>
        <v>48234.88</v>
      </c>
      <c r="H51" s="22" t="n">
        <f aca="false">D51-G51</f>
        <v>55889.12</v>
      </c>
      <c r="I51" s="23" t="n">
        <f aca="false">IF(D51=0,0,G51/D51)</f>
        <v>0.463244592985287</v>
      </c>
      <c r="J51" s="21" t="str">
        <f aca="false">Base!O44</f>
        <v>Administración directa / Contrata / Personal/bienes/servicios</v>
      </c>
      <c r="K51" s="21" t="str">
        <f aca="false">Base!P44</f>
        <v>Comprometido</v>
      </c>
      <c r="L51" s="22" t="n">
        <f aca="false">Base!Q44</f>
        <v>228677</v>
      </c>
      <c r="M51" s="22" t="n">
        <f aca="false">Base!R44</f>
        <v>0</v>
      </c>
      <c r="N51" s="22" t="n">
        <f aca="false">Base!S44</f>
        <v>0</v>
      </c>
      <c r="O51" s="22" t="n">
        <f aca="false">Base!T44</f>
        <v>865181</v>
      </c>
      <c r="P51" s="21" t="str">
        <f aca="false">IF(Base!U44="","",Base!U44)</f>
        <v/>
      </c>
    </row>
    <row r="52" customFormat="false" ht="32.8" hidden="false" customHeight="false" outlineLevel="0" collapsed="false">
      <c r="A52" s="20" t="n">
        <f aca="false">SUBTOTAL(103,$B$6:B52)</f>
        <v>41</v>
      </c>
      <c r="B52" s="20" t="n">
        <v>107</v>
      </c>
      <c r="C52" s="21" t="str">
        <f aca="false">Base!G45</f>
        <v>2436247.MEJORAMIENTO DEL CAMINO VECINAL RUTA PU-713, EMP. PE 3S (AYAVIRI - DESV. CALUYO - TINAJANI - L. PROV. LAMPA), DISTRITO DE AYAVIRI - PROVINCIA DE MELGAR - DEPARTAMENTO DE PUNO</v>
      </c>
      <c r="D52" s="22" t="n">
        <f aca="false">Base!H45</f>
        <v>22224878</v>
      </c>
      <c r="E52" s="22" t="n">
        <f aca="false">Base!I45</f>
        <v>21946068.2</v>
      </c>
      <c r="F52" s="22" t="n">
        <f aca="false">D52-E52</f>
        <v>278809.800000001</v>
      </c>
      <c r="G52" s="22" t="n">
        <f aca="false">Base!K45</f>
        <v>7073509.56</v>
      </c>
      <c r="H52" s="22" t="n">
        <f aca="false">D52-G52</f>
        <v>15151368.44</v>
      </c>
      <c r="I52" s="23" t="n">
        <f aca="false">IF(D52=0,0,G52/D52)</f>
        <v>0.318269893764996</v>
      </c>
      <c r="J52" s="21" t="str">
        <f aca="false">Base!O45</f>
        <v>Contrata / Personal/bienes/servicios / Expediente técnico</v>
      </c>
      <c r="K52" s="21" t="str">
        <f aca="false">Base!P45</f>
        <v>Comprometido</v>
      </c>
      <c r="L52" s="22" t="str">
        <f aca="false">Base!Q45</f>
        <v>No registrado en cartera</v>
      </c>
      <c r="M52" s="22" t="str">
        <f aca="false">Base!R45</f>
        <v>No registrado en cartera</v>
      </c>
      <c r="N52" s="22" t="str">
        <f aca="false">Base!S45</f>
        <v>No registrado en cartera</v>
      </c>
      <c r="O52" s="22" t="str">
        <f aca="false">Base!T45</f>
        <v>No registrado en cartera</v>
      </c>
      <c r="P52" s="21" t="str">
        <f aca="false">IF(Base!U45="","",Base!U45)</f>
        <v/>
      </c>
    </row>
    <row r="53" customFormat="false" ht="43.25" hidden="false" customHeight="false" outlineLevel="0" collapsed="false">
      <c r="A53" s="20" t="n">
        <f aca="false">SUBTOTAL(103,$B$6:B53)</f>
        <v>42</v>
      </c>
      <c r="B53" s="20" t="n">
        <v>124</v>
      </c>
      <c r="C53" s="21" t="str">
        <f aca="false">Base!G46</f>
        <v>2603167.MEJORAMIENTO DEL SERVICIO DE TRANSITABILIDAD VIAL INTERURBANA EN LA CARRETERA PU - 1233 (ILAVE) - ANOKARIRI (EMP. - 1234), ANOKARIRI - SACUYO - SECTOR NUEVA ALIANZA, PU 1103 (SECTOR NUEVA ALIANZA) - EMP. PE 36P (LARAQUERI PICHACANI) DISTRITOS DE I</v>
      </c>
      <c r="D53" s="22" t="n">
        <f aca="false">Base!H46</f>
        <v>11412366</v>
      </c>
      <c r="E53" s="22" t="n">
        <f aca="false">Base!I46</f>
        <v>10878205.23</v>
      </c>
      <c r="F53" s="22" t="n">
        <f aca="false">D53-E53</f>
        <v>534160.77</v>
      </c>
      <c r="G53" s="22" t="n">
        <f aca="false">Base!K46</f>
        <v>6860678.42</v>
      </c>
      <c r="H53" s="22" t="n">
        <f aca="false">D53-G53</f>
        <v>4551687.58</v>
      </c>
      <c r="I53" s="23" t="n">
        <f aca="false">IF(D53=0,0,G53/D53)</f>
        <v>0.601161794145053</v>
      </c>
      <c r="J53" s="21" t="str">
        <f aca="false">Base!O46</f>
        <v>Administración directa / Contrata / Expediente técnico / Personal/bienes/servicios / Equipamiento</v>
      </c>
      <c r="K53" s="21" t="str">
        <f aca="false">Base!P46</f>
        <v>Comprometido</v>
      </c>
      <c r="L53" s="22" t="n">
        <f aca="false">Base!Q46</f>
        <v>2800000</v>
      </c>
      <c r="M53" s="22" t="n">
        <f aca="false">Base!R46</f>
        <v>10234564</v>
      </c>
      <c r="N53" s="22" t="n">
        <f aca="false">Base!S46</f>
        <v>6182303</v>
      </c>
      <c r="O53" s="22" t="n">
        <f aca="false">Base!T46</f>
        <v>9563936</v>
      </c>
      <c r="P53" s="21" t="str">
        <f aca="false">IF(Base!U46="","",Base!U46)</f>
        <v/>
      </c>
    </row>
    <row r="54" customFormat="false" ht="53.7" hidden="false" customHeight="false" outlineLevel="0" collapsed="false">
      <c r="A54" s="20" t="n">
        <f aca="false">SUBTOTAL(103,$B$6:B54)</f>
        <v>43</v>
      </c>
      <c r="B54" s="20" t="n">
        <v>116</v>
      </c>
      <c r="C54" s="21" t="str">
        <f aca="false">Base!G47</f>
        <v>2585540: MEJORAMIENTO DEL SERVICIO DE TRANSITABILIDAD VIAL INTERURBANA EN LA CARRETERA PU-139 (HDA. POTONI) - SAN JOSE, - COLLANA - EMP. PU-111 - PUENTE YARAJA (AZANGARO) DISTRITOS DE POTONI, SAN JOSE DE LA PROVINCIA DE AZANGARO DEL DEPARTAMENTO DE PUNO</v>
      </c>
      <c r="D54" s="22" t="n">
        <f aca="false">Base!H47</f>
        <v>6736048</v>
      </c>
      <c r="E54" s="22" t="n">
        <f aca="false">Base!I47</f>
        <v>6652871.21</v>
      </c>
      <c r="F54" s="22" t="n">
        <f aca="false">D54-E54</f>
        <v>83176.79</v>
      </c>
      <c r="G54" s="22" t="n">
        <f aca="false">Base!K47</f>
        <v>3336854.35</v>
      </c>
      <c r="H54" s="22" t="n">
        <f aca="false">D54-G54</f>
        <v>3399193.65</v>
      </c>
      <c r="I54" s="23" t="n">
        <f aca="false">IF(D54=0,0,G54/D54)</f>
        <v>0.495372709636273</v>
      </c>
      <c r="J54" s="21" t="str">
        <f aca="false">Base!O47</f>
        <v>Administración directa / Contrata / Expediente técnico / Personal/bienes/servicios</v>
      </c>
      <c r="K54" s="21" t="str">
        <f aca="false">Base!P47</f>
        <v>Comprometido</v>
      </c>
      <c r="L54" s="22" t="n">
        <f aca="false">Base!Q47</f>
        <v>800000</v>
      </c>
      <c r="M54" s="22" t="n">
        <f aca="false">Base!R47</f>
        <v>12057170</v>
      </c>
      <c r="N54" s="22" t="n">
        <f aca="false">Base!S47</f>
        <v>6000000</v>
      </c>
      <c r="O54" s="22" t="n">
        <f aca="false">Base!T47</f>
        <v>7375100</v>
      </c>
      <c r="P54" s="21" t="str">
        <f aca="false">IF(Base!U47="","",Base!U47)</f>
        <v/>
      </c>
    </row>
    <row r="55" customFormat="false" ht="43.25" hidden="false" customHeight="false" outlineLevel="0" collapsed="false">
      <c r="A55" s="20" t="n">
        <f aca="false">SUBTOTAL(103,$B$6:B55)</f>
        <v>44</v>
      </c>
      <c r="B55" s="20" t="n">
        <v>123</v>
      </c>
      <c r="C55" s="21" t="str">
        <f aca="false">Base!G48</f>
        <v>2603165: MEJORAMIENTO DEL SERVICIO DE TRANSITABILIDAD VIAL INTERURBANA EN LA CARRETERA TRAMO ACHAYA - EMP. PU 113(ARAPA), DE LOS DISTRITOS DE ACHAYA, ARAPA DE LA PROVINCIA DE AZANGARO DEL DEPARTAMENTO DE PUNO</v>
      </c>
      <c r="D55" s="22" t="n">
        <f aca="false">Base!H48</f>
        <v>9037622</v>
      </c>
      <c r="E55" s="22" t="n">
        <f aca="false">Base!I48</f>
        <v>8236997.09</v>
      </c>
      <c r="F55" s="22" t="n">
        <f aca="false">D55-E55</f>
        <v>800624.91</v>
      </c>
      <c r="G55" s="22" t="n">
        <f aca="false">Base!K48</f>
        <v>5290297.7</v>
      </c>
      <c r="H55" s="22" t="n">
        <f aca="false">D55-G55</f>
        <v>3747324.3</v>
      </c>
      <c r="I55" s="23" t="n">
        <f aca="false">IF(D55=0,0,G55/D55)</f>
        <v>0.585363904354486</v>
      </c>
      <c r="J55" s="21" t="str">
        <f aca="false">Base!O48</f>
        <v>Administración directa / Contrata / Equipamiento / Personal/bienes/servicios / Expediente técnico</v>
      </c>
      <c r="K55" s="21" t="str">
        <f aca="false">Base!P48</f>
        <v>Comprometido</v>
      </c>
      <c r="L55" s="22" t="n">
        <f aca="false">Base!Q48</f>
        <v>2500000</v>
      </c>
      <c r="M55" s="22" t="n">
        <f aca="false">Base!R48</f>
        <v>6578987</v>
      </c>
      <c r="N55" s="22" t="n">
        <f aca="false">Base!S48</f>
        <v>6552040</v>
      </c>
      <c r="O55" s="22" t="n">
        <f aca="false">Base!T48</f>
        <v>2921013</v>
      </c>
      <c r="P55" s="21" t="str">
        <f aca="false">IF(Base!U48="","",Base!U48)</f>
        <v/>
      </c>
    </row>
    <row r="56" customFormat="false" ht="22.35" hidden="false" customHeight="false" outlineLevel="0" collapsed="false">
      <c r="A56" s="20" t="n">
        <f aca="false">SUBTOTAL(103,$B$6:B56)</f>
        <v>45</v>
      </c>
      <c r="B56" s="20" t="n">
        <v>94</v>
      </c>
      <c r="C56" s="21" t="str">
        <f aca="false">Base!G49</f>
        <v>2185578: MEJORAMIENTO DE LA CARRETERA DV. DESAGUADERO (EMP PE 36A) - KELLUYO - PISACOMA, PROVINCIA DE CHUCUITO - PUNO</v>
      </c>
      <c r="D56" s="22" t="n">
        <f aca="false">Base!H49</f>
        <v>67139</v>
      </c>
      <c r="E56" s="22" t="n">
        <f aca="false">Base!I49</f>
        <v>0</v>
      </c>
      <c r="F56" s="22" t="n">
        <f aca="false">D56-E56</f>
        <v>67139</v>
      </c>
      <c r="G56" s="22" t="n">
        <f aca="false">Base!K49</f>
        <v>0</v>
      </c>
      <c r="H56" s="22" t="n">
        <f aca="false">D56-G56</f>
        <v>67139</v>
      </c>
      <c r="I56" s="23" t="n">
        <f aca="false">IF(D56=0,0,G56/D56)</f>
        <v>0</v>
      </c>
      <c r="J56" s="21" t="str">
        <f aca="false">Base!O49</f>
        <v>Contrata</v>
      </c>
      <c r="K56" s="21" t="str">
        <f aca="false">Base!P49</f>
        <v>Sin certificar</v>
      </c>
      <c r="L56" s="22" t="n">
        <f aca="false">Base!Q49</f>
        <v>1732548</v>
      </c>
      <c r="M56" s="22" t="n">
        <f aca="false">Base!R49</f>
        <v>0</v>
      </c>
      <c r="N56" s="22" t="n">
        <f aca="false">Base!S49</f>
        <v>2325267</v>
      </c>
      <c r="O56" s="22" t="n">
        <f aca="false">Base!T49</f>
        <v>0</v>
      </c>
      <c r="P56" s="21" t="str">
        <f aca="false">IF(Base!U49="","",Base!U49)</f>
        <v/>
      </c>
    </row>
    <row r="57" customFormat="false" ht="32.8" hidden="false" customHeight="false" outlineLevel="0" collapsed="false">
      <c r="A57" s="20" t="n">
        <f aca="false">SUBTOTAL(103,$B$6:B57)</f>
        <v>46</v>
      </c>
      <c r="B57" s="20" t="n">
        <v>433</v>
      </c>
      <c r="C57" s="21" t="str">
        <f aca="false">Base!G50</f>
        <v>2515272: RECUPERACION DEL PUENTE COLGANTE PEATONAL SOBRE EL RIO INAMBARI EN LA LOCALIDAD SANTA ROSA YANAMAYO DEL DISTRITO DE ALTO INAMBARI - PROVINCIA DE SANDIA - DEPARTAMENTO DE PUNO</v>
      </c>
      <c r="D57" s="22" t="n">
        <f aca="false">Base!H50</f>
        <v>105000</v>
      </c>
      <c r="E57" s="22" t="n">
        <f aca="false">Base!I50</f>
        <v>44312.3</v>
      </c>
      <c r="F57" s="22" t="n">
        <f aca="false">D57-E57</f>
        <v>60687.7</v>
      </c>
      <c r="G57" s="22" t="n">
        <f aca="false">Base!K50</f>
        <v>39935.87</v>
      </c>
      <c r="H57" s="22" t="n">
        <f aca="false">D57-G57</f>
        <v>65064.13</v>
      </c>
      <c r="I57" s="23" t="n">
        <f aca="false">IF(D57=0,0,G57/D57)</f>
        <v>0.380341619047619</v>
      </c>
      <c r="J57" s="21" t="str">
        <f aca="false">Base!O50</f>
        <v>Administración directa / Contrata / Personal/bienes/servicios</v>
      </c>
      <c r="K57" s="21" t="str">
        <f aca="false">Base!P50</f>
        <v>Comprometido</v>
      </c>
      <c r="L57" s="22" t="n">
        <f aca="false">Base!Q50</f>
        <v>105000</v>
      </c>
      <c r="M57" s="22" t="n">
        <f aca="false">Base!R50</f>
        <v>0</v>
      </c>
      <c r="N57" s="22" t="n">
        <f aca="false">Base!S50</f>
        <v>0</v>
      </c>
      <c r="O57" s="22" t="n">
        <f aca="false">Base!T50</f>
        <v>0</v>
      </c>
      <c r="P57" s="21" t="str">
        <f aca="false">IF(Base!U50="","",Base!U50)</f>
        <v/>
      </c>
    </row>
    <row r="58" customFormat="false" ht="53.7" hidden="false" customHeight="false" outlineLevel="0" collapsed="false">
      <c r="A58" s="20" t="n">
        <f aca="false">SUBTOTAL(103,$B$6:B58)</f>
        <v>47</v>
      </c>
      <c r="B58" s="20" t="n">
        <v>508</v>
      </c>
      <c r="C58" s="21" t="str">
        <f aca="false">Base!G51</f>
        <v>2585540.MEJORAMIENTO DEL SERVICIO DE TRANSITABILIDAD VIAL INTERURBANA EN LA CARRETERA PU-139 (HDA. POTONI) - SAN JOSE, - COLLANA - EMP. PU-111 - PUENTE YARAJA (AZANGARO) DISTRITOS DE POTONI, SAN JOSE DE LA PROVINCIA DE AZANGARO DEL DEPARTAMENTO DE PUNO</v>
      </c>
      <c r="D58" s="22" t="n">
        <f aca="false">Base!H51</f>
        <v>94054</v>
      </c>
      <c r="E58" s="22" t="n">
        <f aca="false">Base!I51</f>
        <v>94054</v>
      </c>
      <c r="F58" s="22" t="n">
        <f aca="false">D58-E58</f>
        <v>0</v>
      </c>
      <c r="G58" s="22" t="n">
        <f aca="false">Base!K51</f>
        <v>60075.86</v>
      </c>
      <c r="H58" s="22" t="n">
        <f aca="false">D58-G58</f>
        <v>33978.14</v>
      </c>
      <c r="I58" s="23" t="n">
        <f aca="false">IF(D58=0,0,G58/D58)</f>
        <v>0.638737959044804</v>
      </c>
      <c r="J58" s="21" t="str">
        <f aca="false">Base!O51</f>
        <v>Expediente técnico</v>
      </c>
      <c r="K58" s="21" t="str">
        <f aca="false">Base!P51</f>
        <v>Comprometido</v>
      </c>
      <c r="L58" s="22" t="n">
        <f aca="false">Base!Q51</f>
        <v>800000</v>
      </c>
      <c r="M58" s="22" t="n">
        <f aca="false">Base!R51</f>
        <v>12057170</v>
      </c>
      <c r="N58" s="22" t="n">
        <f aca="false">Base!S51</f>
        <v>6000000</v>
      </c>
      <c r="O58" s="22" t="n">
        <f aca="false">Base!T51</f>
        <v>7375100</v>
      </c>
      <c r="P58" s="21" t="str">
        <f aca="false">IF(Base!U51="","",Base!U51)</f>
        <v/>
      </c>
    </row>
    <row r="59" customFormat="false" ht="43.25" hidden="false" customHeight="false" outlineLevel="0" collapsed="false">
      <c r="A59" s="20" t="n">
        <f aca="false">SUBTOTAL(103,$B$6:B59)</f>
        <v>48</v>
      </c>
      <c r="B59" s="20" t="n">
        <v>457</v>
      </c>
      <c r="C59" s="21" t="str">
        <f aca="false">Base!G52</f>
        <v>2440946.MEJORAMIENTO DEL SERVICIO DE TRANSITABILIDAD VEHICULAR DE LA CARRETERA TRAMO ACHAYA (PU-140) - ESTRELLA (EMP. PE- 3S) DEL DISTRITO DE ACHAYA - PROVINCIA DE AZANGARO - DEPARTAMENTO DE PUNO</v>
      </c>
      <c r="D59" s="22" t="n">
        <f aca="false">Base!H52</f>
        <v>28752</v>
      </c>
      <c r="E59" s="22" t="n">
        <f aca="false">Base!I52</f>
        <v>28751.6</v>
      </c>
      <c r="F59" s="22" t="n">
        <f aca="false">D59-E59</f>
        <v>0.400000000001455</v>
      </c>
      <c r="G59" s="22" t="n">
        <f aca="false">Base!K52</f>
        <v>28751.6</v>
      </c>
      <c r="H59" s="22" t="n">
        <f aca="false">D59-G59</f>
        <v>0.400000000001455</v>
      </c>
      <c r="I59" s="23" t="n">
        <f aca="false">IF(D59=0,0,G59/D59)</f>
        <v>0.999986087924318</v>
      </c>
      <c r="J59" s="21" t="str">
        <f aca="false">Base!O52</f>
        <v>Administración directa</v>
      </c>
      <c r="K59" s="21" t="str">
        <f aca="false">Base!P52</f>
        <v>Comprometido</v>
      </c>
      <c r="L59" s="22" t="n">
        <f aca="false">Base!Q52</f>
        <v>28752</v>
      </c>
      <c r="M59" s="22" t="n">
        <f aca="false">Base!R52</f>
        <v>50000</v>
      </c>
      <c r="N59" s="22" t="n">
        <f aca="false">Base!S52</f>
        <v>0</v>
      </c>
      <c r="O59" s="22" t="n">
        <f aca="false">Base!T52</f>
        <v>0</v>
      </c>
      <c r="P59" s="21" t="str">
        <f aca="false">IF(Base!U52="","",Base!U52)</f>
        <v/>
      </c>
    </row>
    <row r="60" customFormat="false" ht="22.35" hidden="false" customHeight="false" outlineLevel="0" collapsed="false">
      <c r="A60" s="20" t="n">
        <f aca="false">SUBTOTAL(103,$B$6:B60)</f>
        <v>49</v>
      </c>
      <c r="B60" s="20" t="n">
        <v>88</v>
      </c>
      <c r="C60" s="21" t="str">
        <f aca="false">Base!G53</f>
        <v>2055915: MEJORAMIENTO DE LA CARRETERA AZANGARO - SAYTOCOCHA - SANDIA - SAN JUAN DEL ORO</v>
      </c>
      <c r="D60" s="22" t="n">
        <f aca="false">Base!H53</f>
        <v>0</v>
      </c>
      <c r="E60" s="22" t="n">
        <f aca="false">Base!I53</f>
        <v>0</v>
      </c>
      <c r="F60" s="22" t="n">
        <f aca="false">D60-E60</f>
        <v>0</v>
      </c>
      <c r="G60" s="22" t="n">
        <f aca="false">Base!K53</f>
        <v>0</v>
      </c>
      <c r="H60" s="22" t="n">
        <f aca="false">D60-G60</f>
        <v>0</v>
      </c>
      <c r="I60" s="23" t="n">
        <f aca="false">IF(D60=0,0,G60/D60)</f>
        <v>0</v>
      </c>
      <c r="J60" s="21" t="str">
        <f aca="false">Base!O53</f>
        <v>Personal/bienes/servicios</v>
      </c>
      <c r="K60" s="21" t="str">
        <f aca="false">Base!P53</f>
        <v>Sin PIM</v>
      </c>
      <c r="L60" s="22" t="n">
        <f aca="false">Base!Q53</f>
        <v>7600000</v>
      </c>
      <c r="M60" s="22" t="n">
        <f aca="false">Base!R53</f>
        <v>413080</v>
      </c>
      <c r="N60" s="22" t="n">
        <f aca="false">Base!S53</f>
        <v>1413086</v>
      </c>
      <c r="O60" s="22" t="n">
        <f aca="false">Base!T53</f>
        <v>5797708</v>
      </c>
      <c r="P60" s="21" t="str">
        <f aca="false">IF(Base!U53="","",Base!U53)</f>
        <v/>
      </c>
    </row>
    <row r="61" customFormat="false" ht="32.8" hidden="false" customHeight="false" outlineLevel="0" collapsed="false">
      <c r="A61" s="20" t="n">
        <f aca="false">SUBTOTAL(103,$B$6:B61)</f>
        <v>50</v>
      </c>
      <c r="B61" s="20" t="n">
        <v>89</v>
      </c>
      <c r="C61" s="21" t="str">
        <f aca="false">Base!G54</f>
        <v>2131389: MEJORAMIENTO DE LA INFRAESTRUCTURA VIAL DEL CIRCUITO TURISTICO LAGO SAGRADO DE LOS INCAS - DISTRITOS CAPACHICA, CHUCUITO, PLATERIA, ACORA, ILAVE</v>
      </c>
      <c r="D61" s="22" t="n">
        <f aca="false">Base!H54</f>
        <v>0</v>
      </c>
      <c r="E61" s="22" t="n">
        <f aca="false">Base!I54</f>
        <v>0</v>
      </c>
      <c r="F61" s="22" t="n">
        <f aca="false">D61-E61</f>
        <v>0</v>
      </c>
      <c r="G61" s="22" t="n">
        <f aca="false">Base!K54</f>
        <v>0</v>
      </c>
      <c r="H61" s="22" t="n">
        <f aca="false">D61-G61</f>
        <v>0</v>
      </c>
      <c r="I61" s="23" t="n">
        <f aca="false">IF(D61=0,0,G61/D61)</f>
        <v>0</v>
      </c>
      <c r="J61" s="21" t="str">
        <f aca="false">Base!O54</f>
        <v>Contrata</v>
      </c>
      <c r="K61" s="21" t="str">
        <f aca="false">Base!P54</f>
        <v>Sin PIM</v>
      </c>
      <c r="L61" s="22" t="n">
        <f aca="false">Base!Q54</f>
        <v>3778561</v>
      </c>
      <c r="M61" s="22" t="n">
        <f aca="false">Base!R54</f>
        <v>0</v>
      </c>
      <c r="N61" s="22" t="n">
        <f aca="false">Base!S54</f>
        <v>0</v>
      </c>
      <c r="O61" s="22" t="n">
        <f aca="false">Base!T54</f>
        <v>1047863</v>
      </c>
      <c r="P61" s="21" t="str">
        <f aca="false">IF(Base!U54="","",Base!U54)</f>
        <v/>
      </c>
    </row>
    <row r="62" customFormat="false" ht="32.8" hidden="false" customHeight="false" outlineLevel="0" collapsed="false">
      <c r="A62" s="20" t="n">
        <f aca="false">SUBTOTAL(103,$B$6:B62)</f>
        <v>51</v>
      </c>
      <c r="B62" s="20" t="n">
        <v>97</v>
      </c>
      <c r="C62" s="21" t="str">
        <f aca="false">Base!G55</f>
        <v>2232371: MEJORAMIENTO Y CONSTRUCCION DE LA CARRETERA PICHACANI - YURACMAYO DISTRITO DE PICHACANI Y SAN ANTONIO, PROVINCIA DE PUNO - PUNO</v>
      </c>
      <c r="D62" s="22" t="n">
        <f aca="false">Base!H55</f>
        <v>0</v>
      </c>
      <c r="E62" s="22" t="n">
        <f aca="false">Base!I55</f>
        <v>0</v>
      </c>
      <c r="F62" s="22" t="n">
        <f aca="false">D62-E62</f>
        <v>0</v>
      </c>
      <c r="G62" s="22" t="n">
        <f aca="false">Base!K55</f>
        <v>0</v>
      </c>
      <c r="H62" s="22" t="n">
        <f aca="false">D62-G62</f>
        <v>0</v>
      </c>
      <c r="I62" s="23" t="n">
        <f aca="false">IF(D62=0,0,G62/D62)</f>
        <v>0</v>
      </c>
      <c r="J62" s="21" t="str">
        <f aca="false">Base!O55</f>
        <v>Contrata</v>
      </c>
      <c r="K62" s="21" t="str">
        <f aca="false">Base!P55</f>
        <v>Sin PIM</v>
      </c>
      <c r="L62" s="22" t="n">
        <f aca="false">Base!Q55</f>
        <v>1023926</v>
      </c>
      <c r="M62" s="22" t="n">
        <f aca="false">Base!R55</f>
        <v>0</v>
      </c>
      <c r="N62" s="22" t="n">
        <f aca="false">Base!S55</f>
        <v>0</v>
      </c>
      <c r="O62" s="22" t="n">
        <f aca="false">Base!T55</f>
        <v>0</v>
      </c>
      <c r="P62" s="21" t="str">
        <f aca="false">IF(Base!U55="","",Base!U55)</f>
        <v/>
      </c>
    </row>
    <row r="63" customFormat="false" ht="43.25" hidden="false" customHeight="false" outlineLevel="0" collapsed="false">
      <c r="A63" s="20" t="n">
        <f aca="false">SUBTOTAL(103,$B$6:B63)</f>
        <v>52</v>
      </c>
      <c r="B63" s="20" t="n">
        <v>108</v>
      </c>
      <c r="C63" s="21" t="str">
        <f aca="false">Base!G56</f>
        <v>2443679: MEJORAMIENTO DEL SERVICIO DE TRANSITABILIDAD VEHICULAR DE LA CARRETERA TRAMO I: EMP- 34L (COJATA) - HUANCASAYA, TRAMO II: HUANCASAYA - TARUCANI-EMP-PU-115 (INCHUPALLA), DEL DISTRITO DE COJATA - PROVINCIA DE HUANCANE - DEPARTAMENTO DE PUNO</v>
      </c>
      <c r="D63" s="22" t="n">
        <f aca="false">Base!H56</f>
        <v>0</v>
      </c>
      <c r="E63" s="22" t="n">
        <f aca="false">Base!I56</f>
        <v>0</v>
      </c>
      <c r="F63" s="22" t="n">
        <f aca="false">D63-E63</f>
        <v>0</v>
      </c>
      <c r="G63" s="22" t="n">
        <f aca="false">Base!K56</f>
        <v>0</v>
      </c>
      <c r="H63" s="22" t="n">
        <f aca="false">D63-G63</f>
        <v>0</v>
      </c>
      <c r="I63" s="23" t="n">
        <f aca="false">IF(D63=0,0,G63/D63)</f>
        <v>0</v>
      </c>
      <c r="J63" s="21" t="str">
        <f aca="false">Base!O56</f>
        <v>Contrata</v>
      </c>
      <c r="K63" s="21" t="str">
        <f aca="false">Base!P56</f>
        <v>Sin PIM</v>
      </c>
      <c r="L63" s="22" t="n">
        <f aca="false">Base!Q56</f>
        <v>800000</v>
      </c>
      <c r="M63" s="22" t="n">
        <f aca="false">Base!R56</f>
        <v>2345478</v>
      </c>
      <c r="N63" s="22" t="n">
        <f aca="false">Base!S56</f>
        <v>9005306</v>
      </c>
      <c r="O63" s="22" t="n">
        <f aca="false">Base!T56</f>
        <v>19493721</v>
      </c>
      <c r="P63" s="21" t="str">
        <f aca="false">IF(Base!U56="","",Base!U56)</f>
        <v/>
      </c>
    </row>
    <row r="64" customFormat="false" ht="15" hidden="false" customHeight="false" outlineLevel="0" collapsed="false">
      <c r="A64" s="17" t="s">
        <v>51</v>
      </c>
      <c r="B64" s="17"/>
      <c r="C64" s="17"/>
      <c r="D64" s="18" t="n">
        <f aca="false">SUM(D65:D73)</f>
        <v>24086616</v>
      </c>
      <c r="E64" s="18" t="n">
        <f aca="false">SUM(E65:E73)</f>
        <v>20655001.35</v>
      </c>
      <c r="F64" s="18" t="n">
        <f aca="false">SUM(F65:F73)</f>
        <v>3431614.65</v>
      </c>
      <c r="G64" s="18" t="n">
        <f aca="false">SUM(G65:G73)</f>
        <v>5596985.37</v>
      </c>
      <c r="H64" s="18" t="n">
        <f aca="false">SUM(H65:H73)</f>
        <v>18489630.63</v>
      </c>
      <c r="I64" s="19" t="n">
        <f aca="false">IF(D64=0,0,G64/D64)</f>
        <v>0.232369103654909</v>
      </c>
      <c r="J64" s="17"/>
      <c r="K64" s="17"/>
      <c r="L64" s="17"/>
      <c r="M64" s="17"/>
      <c r="N64" s="17"/>
      <c r="O64" s="17"/>
      <c r="P64" s="17"/>
    </row>
    <row r="65" customFormat="false" ht="32.8" hidden="false" customHeight="false" outlineLevel="0" collapsed="false">
      <c r="A65" s="20" t="n">
        <f aca="false">SUBTOTAL(103,$B$6:B65)</f>
        <v>53</v>
      </c>
      <c r="B65" s="20" t="n">
        <v>217</v>
      </c>
      <c r="C65" s="21" t="str">
        <f aca="false">Base!G57</f>
        <v>2163853: MEJORAMIENTO DEL ESTADIO MUNICIPAL CESAR RAUL CARRERA DEL DISTRITO DE AZANGARO, PROVINCIA DE AZANGARO - PUNO</v>
      </c>
      <c r="D65" s="22" t="n">
        <f aca="false">Base!H57</f>
        <v>5810277</v>
      </c>
      <c r="E65" s="22" t="n">
        <f aca="false">Base!I57</f>
        <v>5204423.6</v>
      </c>
      <c r="F65" s="22" t="n">
        <f aca="false">D65-E65</f>
        <v>605853.4</v>
      </c>
      <c r="G65" s="22" t="n">
        <f aca="false">Base!K57</f>
        <v>1157372.6</v>
      </c>
      <c r="H65" s="22" t="n">
        <f aca="false">D65-G65</f>
        <v>4652904.4</v>
      </c>
      <c r="I65" s="23" t="n">
        <f aca="false">IF(D65=0,0,G65/D65)</f>
        <v>0.199194048751893</v>
      </c>
      <c r="J65" s="21" t="str">
        <f aca="false">Base!O57</f>
        <v>Administración directa / Contrata / Personal/bienes/servicios</v>
      </c>
      <c r="K65" s="21" t="str">
        <f aca="false">Base!P57</f>
        <v>Comprometido</v>
      </c>
      <c r="L65" s="22" t="n">
        <f aca="false">Base!Q57</f>
        <v>6269000</v>
      </c>
      <c r="M65" s="22" t="n">
        <f aca="false">Base!R57</f>
        <v>1345765</v>
      </c>
      <c r="N65" s="22" t="n">
        <f aca="false">Base!S57</f>
        <v>5566267</v>
      </c>
      <c r="O65" s="22" t="n">
        <f aca="false">Base!T57</f>
        <v>0</v>
      </c>
      <c r="P65" s="21" t="str">
        <f aca="false">IF(Base!U57="","",Base!U57)</f>
        <v/>
      </c>
    </row>
    <row r="66" customFormat="false" ht="43.25" hidden="false" customHeight="false" outlineLevel="0" collapsed="false">
      <c r="A66" s="20" t="n">
        <f aca="false">SUBTOTAL(103,$B$6:B66)</f>
        <v>54</v>
      </c>
      <c r="B66" s="20" t="n">
        <v>63</v>
      </c>
      <c r="C66" s="21" t="str">
        <f aca="false">Base!G58</f>
        <v>2188542: MEJORAMIENTO DE LA CAPACIDAD DE PRESTACION DE SERVICIOS DEPORTIVOS EN EL ESTADIO GUILLERMO BRICEÑO ROSAMEDINA DE LA CIUDAD DE JULIACA, PROVINCIA DE SAN ROMAN - PUNO</v>
      </c>
      <c r="D66" s="22" t="n">
        <f aca="false">Base!H58</f>
        <v>5921783</v>
      </c>
      <c r="E66" s="22" t="n">
        <f aca="false">Base!I58</f>
        <v>5612635.52</v>
      </c>
      <c r="F66" s="22" t="n">
        <f aca="false">D66-E66</f>
        <v>309147.48</v>
      </c>
      <c r="G66" s="22" t="n">
        <f aca="false">Base!K58</f>
        <v>1271806.72</v>
      </c>
      <c r="H66" s="22" t="n">
        <f aca="false">D66-G66</f>
        <v>4649976.28</v>
      </c>
      <c r="I66" s="23" t="n">
        <f aca="false">IF(D66=0,0,G66/D66)</f>
        <v>0.214767532008518</v>
      </c>
      <c r="J66" s="21" t="str">
        <f aca="false">Base!O58</f>
        <v>Administración directa / Equipamiento / Contrata / Laudos arbitrales / Personal/bienes/servicios</v>
      </c>
      <c r="K66" s="21" t="str">
        <f aca="false">Base!P58</f>
        <v>Comprometido</v>
      </c>
      <c r="L66" s="22" t="n">
        <f aca="false">Base!Q58</f>
        <v>1139986</v>
      </c>
      <c r="M66" s="22" t="n">
        <f aca="false">Base!R58</f>
        <v>500000</v>
      </c>
      <c r="N66" s="22" t="n">
        <f aca="false">Base!S58</f>
        <v>3220643</v>
      </c>
      <c r="O66" s="22" t="n">
        <f aca="false">Base!T58</f>
        <v>0</v>
      </c>
      <c r="P66" s="21" t="str">
        <f aca="false">IF(Base!U58="","",Base!U58)</f>
        <v/>
      </c>
    </row>
    <row r="67" customFormat="false" ht="22.35" hidden="false" customHeight="false" outlineLevel="0" collapsed="false">
      <c r="A67" s="20" t="n">
        <f aca="false">SUBTOTAL(103,$B$6:B67)</f>
        <v>55</v>
      </c>
      <c r="B67" s="20" t="n">
        <v>62</v>
      </c>
      <c r="C67" s="21" t="str">
        <f aca="false">Base!G59</f>
        <v>2186641: MEJORAMIENTO DEL SERVICIO DEPORTIVO, CULTURAL Y RECREACIONAL EN LA CAPITAL DE LA REGION PUNO</v>
      </c>
      <c r="D67" s="22" t="n">
        <f aca="false">Base!H59</f>
        <v>1180793</v>
      </c>
      <c r="E67" s="22" t="n">
        <f aca="false">Base!I59</f>
        <v>1110291.73</v>
      </c>
      <c r="F67" s="22" t="n">
        <f aca="false">D67-E67</f>
        <v>70501.27</v>
      </c>
      <c r="G67" s="22" t="n">
        <f aca="false">Base!K59</f>
        <v>1081390.27</v>
      </c>
      <c r="H67" s="22" t="n">
        <f aca="false">D67-G67</f>
        <v>99402.73</v>
      </c>
      <c r="I67" s="23" t="n">
        <f aca="false">IF(D67=0,0,G67/D67)</f>
        <v>0.91581697215346</v>
      </c>
      <c r="J67" s="21" t="str">
        <f aca="false">Base!O59</f>
        <v>Administración directa</v>
      </c>
      <c r="K67" s="21" t="str">
        <f aca="false">Base!P59</f>
        <v>Comprometido</v>
      </c>
      <c r="L67" s="22" t="n">
        <f aca="false">Base!Q59</f>
        <v>11675669</v>
      </c>
      <c r="M67" s="22" t="n">
        <f aca="false">Base!R59</f>
        <v>6000000</v>
      </c>
      <c r="N67" s="22" t="n">
        <f aca="false">Base!S59</f>
        <v>6503691</v>
      </c>
      <c r="O67" s="22" t="n">
        <f aca="false">Base!T59</f>
        <v>7526858</v>
      </c>
      <c r="P67" s="21" t="str">
        <f aca="false">IF(Base!U59="","",Base!U59)</f>
        <v/>
      </c>
    </row>
    <row r="68" customFormat="false" ht="53.7" hidden="false" customHeight="false" outlineLevel="0" collapsed="false">
      <c r="A68" s="20" t="n">
        <f aca="false">SUBTOTAL(103,$B$6:B68)</f>
        <v>56</v>
      </c>
      <c r="B68" s="20" t="n">
        <v>72</v>
      </c>
      <c r="C68" s="21" t="str">
        <f aca="false">Base!G60</f>
        <v>2646100: CONSTRUCCION DE CAMPO DEPORTIVO Y SERVICIOS HIGIENICOS Y/O VESTIDORES PARA PERSONAL; REPARACION DE TRIBUNA Y/O PALCO; EN EL(LA) ESTADIO MUNICIPAL DE SAN PEDRO DE PUTINA PUNCO DISTRITO DE SAN PEDRO DE PUTINA PUNCO, PROVINCIA SANDIA, DEPARTAMENTO PUNO</v>
      </c>
      <c r="D68" s="22" t="n">
        <f aca="false">Base!H60</f>
        <v>2167000</v>
      </c>
      <c r="E68" s="22" t="n">
        <f aca="false">Base!I60</f>
        <v>1860545</v>
      </c>
      <c r="F68" s="22" t="n">
        <f aca="false">D68-E68</f>
        <v>306455</v>
      </c>
      <c r="G68" s="22" t="n">
        <f aca="false">Base!K60</f>
        <v>33059.94</v>
      </c>
      <c r="H68" s="22" t="n">
        <f aca="false">D68-G68</f>
        <v>2133940.06</v>
      </c>
      <c r="I68" s="23" t="n">
        <f aca="false">IF(D68=0,0,G68/D68)</f>
        <v>0.0152560867558837</v>
      </c>
      <c r="J68" s="21" t="str">
        <f aca="false">Base!O60</f>
        <v>Contrata / Personal/bienes/servicios</v>
      </c>
      <c r="K68" s="21" t="str">
        <f aca="false">Base!P60</f>
        <v>Comprometido</v>
      </c>
      <c r="L68" s="22" t="n">
        <f aca="false">Base!Q60</f>
        <v>2000000</v>
      </c>
      <c r="M68" s="22" t="n">
        <f aca="false">Base!R60</f>
        <v>1547463</v>
      </c>
      <c r="N68" s="22" t="n">
        <f aca="false">Base!S60</f>
        <v>0</v>
      </c>
      <c r="O68" s="22" t="n">
        <f aca="false">Base!T60</f>
        <v>0</v>
      </c>
      <c r="P68" s="21" t="str">
        <f aca="false">IF(Base!U60="","",Base!U60)</f>
        <v/>
      </c>
    </row>
    <row r="69" customFormat="false" ht="53.7" hidden="false" customHeight="false" outlineLevel="0" collapsed="false">
      <c r="A69" s="20" t="n">
        <f aca="false">SUBTOTAL(103,$B$6:B69)</f>
        <v>57</v>
      </c>
      <c r="B69" s="20" t="n">
        <v>67</v>
      </c>
      <c r="C69" s="21" t="str">
        <f aca="false">Base!G61</f>
        <v>2645380: CONSTRUCCION DE TRIBUNA Y/O PALCO, CAMPO DEPORTIVO Y PISTA DE ATLETISMO (DEPORTE RECREATIVO); REPARACION DE SERVICIOS HIGIENICOS Y/O VESTIDORES; ADEMAS DE OTROS ACTIVOS EN EL(LA) ESTADIO MUNICIPAL FERNANDO ROMERO CARREON DISTRITO DE LAMPA, PROVINCIA LAMPA, DEPARTAMENTO PUNO</v>
      </c>
      <c r="D69" s="22" t="n">
        <f aca="false">Base!H61</f>
        <v>2575916</v>
      </c>
      <c r="E69" s="22" t="n">
        <f aca="false">Base!I61</f>
        <v>2503779</v>
      </c>
      <c r="F69" s="22" t="n">
        <f aca="false">D69-E69</f>
        <v>72137</v>
      </c>
      <c r="G69" s="22" t="n">
        <f aca="false">Base!K61</f>
        <v>23527.19</v>
      </c>
      <c r="H69" s="22" t="n">
        <f aca="false">D69-G69</f>
        <v>2552388.81</v>
      </c>
      <c r="I69" s="23" t="n">
        <f aca="false">IF(D69=0,0,G69/D69)</f>
        <v>0.00913352376397367</v>
      </c>
      <c r="J69" s="21" t="str">
        <f aca="false">Base!O61</f>
        <v>Contrata / Personal/bienes/servicios</v>
      </c>
      <c r="K69" s="21" t="str">
        <f aca="false">Base!P61</f>
        <v>Comprometido</v>
      </c>
      <c r="L69" s="22" t="n">
        <f aca="false">Base!Q61</f>
        <v>2575916</v>
      </c>
      <c r="M69" s="22" t="n">
        <f aca="false">Base!R61</f>
        <v>2345678</v>
      </c>
      <c r="N69" s="22" t="n">
        <f aca="false">Base!S61</f>
        <v>1558799</v>
      </c>
      <c r="O69" s="22" t="n">
        <f aca="false">Base!T61</f>
        <v>0</v>
      </c>
      <c r="P69" s="21" t="str">
        <f aca="false">IF(Base!U61="","",Base!U61)</f>
        <v/>
      </c>
    </row>
    <row r="70" customFormat="false" ht="43.25" hidden="false" customHeight="false" outlineLevel="0" collapsed="false">
      <c r="A70" s="20" t="n">
        <f aca="false">SUBTOTAL(103,$B$6:B70)</f>
        <v>58</v>
      </c>
      <c r="B70" s="20" t="n">
        <v>71</v>
      </c>
      <c r="C70" s="21" t="str">
        <f aca="false">Base!G62</f>
        <v>2646096: CONSTRUCCION DE TRIBUNA Y/O PALCO; REPARACION DE TRIBUNA Y/O PALCO Y CAMPO DEPORTIVO; EN EL(LA) ESTADIO JOSE CARLOS MARIATEGUI DISTRITO DE YUNGUYO, PROVINCIA YUNGUYO, DEPARTAMENTO PUNO</v>
      </c>
      <c r="D70" s="22" t="n">
        <f aca="false">Base!H62</f>
        <v>2054253</v>
      </c>
      <c r="E70" s="22" t="n">
        <f aca="false">Base!I62</f>
        <v>1854253</v>
      </c>
      <c r="F70" s="22" t="n">
        <f aca="false">D70-E70</f>
        <v>200000</v>
      </c>
      <c r="G70" s="22" t="n">
        <f aca="false">Base!K62</f>
        <v>0</v>
      </c>
      <c r="H70" s="22" t="n">
        <f aca="false">D70-G70</f>
        <v>2054253</v>
      </c>
      <c r="I70" s="23" t="n">
        <f aca="false">IF(D70=0,0,G70/D70)</f>
        <v>0</v>
      </c>
      <c r="J70" s="21" t="str">
        <f aca="false">Base!O62</f>
        <v>Contrata</v>
      </c>
      <c r="K70" s="21" t="str">
        <f aca="false">Base!P62</f>
        <v>Solo certificado</v>
      </c>
      <c r="L70" s="22" t="n">
        <f aca="false">Base!Q62</f>
        <v>2054253</v>
      </c>
      <c r="M70" s="22" t="n">
        <f aca="false">Base!R62</f>
        <v>2546789</v>
      </c>
      <c r="N70" s="22" t="n">
        <f aca="false">Base!S62</f>
        <v>0</v>
      </c>
      <c r="O70" s="22" t="n">
        <f aca="false">Base!T62</f>
        <v>0</v>
      </c>
      <c r="P70" s="21" t="str">
        <f aca="false">IF(Base!U62="","",Base!U62)</f>
        <v/>
      </c>
    </row>
    <row r="71" customFormat="false" ht="43.25" hidden="false" customHeight="false" outlineLevel="0" collapsed="false">
      <c r="A71" s="20" t="n">
        <f aca="false">SUBTOTAL(103,$B$6:B71)</f>
        <v>59</v>
      </c>
      <c r="B71" s="20" t="n">
        <v>65</v>
      </c>
      <c r="C71" s="21" t="str">
        <f aca="false">Base!G63</f>
        <v>2645340: REPARACION DE TRIBUNA Y/O PALCO Y SERVICIOS HIGIENICOS Y/O VESTIDORES; CONSTRUCCION DE CAMPO DEPORTIVO; EN EL(LA) ESTADIO MUNICIPAL CRUCERO DISTRITO DE CRUCERO, PROVINCIA CARABAYA, DEPARTAMENTO PUNO</v>
      </c>
      <c r="D71" s="22" t="n">
        <f aca="false">Base!H63</f>
        <v>2038388</v>
      </c>
      <c r="E71" s="22" t="n">
        <f aca="false">Base!I63</f>
        <v>2031210.5</v>
      </c>
      <c r="F71" s="22" t="n">
        <f aca="false">D71-E71</f>
        <v>7177.5</v>
      </c>
      <c r="G71" s="22" t="n">
        <f aca="false">Base!K63</f>
        <v>1711781.12</v>
      </c>
      <c r="H71" s="22" t="n">
        <f aca="false">D71-G71</f>
        <v>326606.88</v>
      </c>
      <c r="I71" s="23" t="n">
        <f aca="false">IF(D71=0,0,G71/D71)</f>
        <v>0.839771976679612</v>
      </c>
      <c r="J71" s="21" t="str">
        <f aca="false">Base!O63</f>
        <v>Contrata / Personal/bienes/servicios</v>
      </c>
      <c r="K71" s="21" t="str">
        <f aca="false">Base!P63</f>
        <v>Comprometido</v>
      </c>
      <c r="L71" s="22" t="n">
        <f aca="false">Base!Q63</f>
        <v>2028388</v>
      </c>
      <c r="M71" s="22" t="n">
        <f aca="false">Base!R63</f>
        <v>2258011</v>
      </c>
      <c r="N71" s="22" t="n">
        <f aca="false">Base!S63</f>
        <v>0</v>
      </c>
      <c r="O71" s="22" t="n">
        <f aca="false">Base!T63</f>
        <v>0</v>
      </c>
      <c r="P71" s="21" t="str">
        <f aca="false">IF(Base!U63="","",Base!U63)</f>
        <v/>
      </c>
    </row>
    <row r="72" customFormat="false" ht="43.25" hidden="false" customHeight="false" outlineLevel="0" collapsed="false">
      <c r="A72" s="20" t="n">
        <f aca="false">SUBTOTAL(103,$B$6:B72)</f>
        <v>60</v>
      </c>
      <c r="B72" s="20" t="n">
        <v>252</v>
      </c>
      <c r="C72" s="21" t="str">
        <f aca="false">Base!G64</f>
        <v>2555837: REPARACION DE CAMPO DEPORTIVO; ADQUISICION DE EQUIPO NO DEPORTIVO PARA INSTALACIONES DEPORTIVAS; EN EL(LA) ESTADIO ENRIQUE TORRES BELON DISTRITO DE PUNO, PROVINCIA PUNO, DEPARTAMENTO PUNO</v>
      </c>
      <c r="D72" s="22" t="n">
        <f aca="false">Base!H64</f>
        <v>2047936</v>
      </c>
      <c r="E72" s="22" t="n">
        <f aca="false">Base!I64</f>
        <v>377863</v>
      </c>
      <c r="F72" s="22" t="n">
        <f aca="false">D72-E72</f>
        <v>1670073</v>
      </c>
      <c r="G72" s="22" t="n">
        <f aca="false">Base!K64</f>
        <v>318047.53</v>
      </c>
      <c r="H72" s="22" t="n">
        <f aca="false">D72-G72</f>
        <v>1729888.47</v>
      </c>
      <c r="I72" s="23" t="n">
        <f aca="false">IF(D72=0,0,G72/D72)</f>
        <v>0.155301498679646</v>
      </c>
      <c r="J72" s="21" t="str">
        <f aca="false">Base!O64</f>
        <v>Contrata / Personal/bienes/servicios</v>
      </c>
      <c r="K72" s="21" t="str">
        <f aca="false">Base!P64</f>
        <v>Comprometido</v>
      </c>
      <c r="L72" s="22" t="n">
        <f aca="false">Base!Q64</f>
        <v>327863</v>
      </c>
      <c r="M72" s="22" t="n">
        <f aca="false">Base!R64</f>
        <v>1876545</v>
      </c>
      <c r="N72" s="22" t="n">
        <f aca="false">Base!S64</f>
        <v>0</v>
      </c>
      <c r="O72" s="22" t="n">
        <f aca="false">Base!T64</f>
        <v>0</v>
      </c>
      <c r="P72" s="21" t="str">
        <f aca="false">IF(Base!U64="","",Base!U64)</f>
        <v/>
      </c>
    </row>
    <row r="73" customFormat="false" ht="43.25" hidden="false" customHeight="false" outlineLevel="0" collapsed="false">
      <c r="A73" s="20" t="n">
        <f aca="false">SUBTOTAL(103,$B$6:B73)</f>
        <v>61</v>
      </c>
      <c r="B73" s="20" t="n">
        <v>260</v>
      </c>
      <c r="C73" s="21" t="str">
        <f aca="false">Base!G65</f>
        <v>2593683: REPARACION DE PISTA DE ATLETISMO (COMPETENCIA); ADQUISICION DE TORRE DE ILUMINACION; EN EL(LA) ESTADIO ENRIQUE TORRES BELON DEL DISTRITO DE PUNO, PROVINCIA PUNO, DEPARTAMENTO PUNO</v>
      </c>
      <c r="D73" s="22" t="n">
        <f aca="false">Base!H65</f>
        <v>290270</v>
      </c>
      <c r="E73" s="22" t="n">
        <f aca="false">Base!I65</f>
        <v>100000</v>
      </c>
      <c r="F73" s="22" t="n">
        <f aca="false">D73-E73</f>
        <v>190270</v>
      </c>
      <c r="G73" s="22" t="n">
        <f aca="false">Base!K65</f>
        <v>0</v>
      </c>
      <c r="H73" s="22" t="n">
        <f aca="false">D73-G73</f>
        <v>290270</v>
      </c>
      <c r="I73" s="23" t="n">
        <f aca="false">IF(D73=0,0,G73/D73)</f>
        <v>0</v>
      </c>
      <c r="J73" s="21" t="str">
        <f aca="false">Base!O65</f>
        <v>Contrata</v>
      </c>
      <c r="K73" s="21" t="str">
        <f aca="false">Base!P65</f>
        <v>Solo certificado</v>
      </c>
      <c r="L73" s="22" t="n">
        <f aca="false">Base!Q65</f>
        <v>100000</v>
      </c>
      <c r="M73" s="22" t="n">
        <f aca="false">Base!R65</f>
        <v>2089685</v>
      </c>
      <c r="N73" s="22" t="n">
        <f aca="false">Base!S65</f>
        <v>3000000</v>
      </c>
      <c r="O73" s="22" t="n">
        <f aca="false">Base!T65</f>
        <v>11639950</v>
      </c>
      <c r="P73" s="21" t="str">
        <f aca="false">IF(Base!U65="","",Base!U65)</f>
        <v/>
      </c>
    </row>
    <row r="74" customFormat="false" ht="15" hidden="false" customHeight="false" outlineLevel="0" collapsed="false">
      <c r="A74" s="17" t="s">
        <v>52</v>
      </c>
      <c r="B74" s="17"/>
      <c r="C74" s="17"/>
      <c r="D74" s="18" t="n">
        <f aca="false">SUM(D75)</f>
        <v>7609099</v>
      </c>
      <c r="E74" s="18" t="n">
        <f aca="false">SUM(E75)</f>
        <v>7595390.88</v>
      </c>
      <c r="F74" s="18" t="n">
        <f aca="false">SUM(F75)</f>
        <v>13708.1200000001</v>
      </c>
      <c r="G74" s="18" t="n">
        <f aca="false">SUM(G75)</f>
        <v>7570246.39</v>
      </c>
      <c r="H74" s="18" t="n">
        <f aca="false">SUM(H75)</f>
        <v>38852.6099999994</v>
      </c>
      <c r="I74" s="19" t="n">
        <f aca="false">IF(D74=0,0,G74/D74)</f>
        <v>0.994893927651618</v>
      </c>
      <c r="J74" s="17"/>
      <c r="K74" s="17"/>
      <c r="L74" s="17"/>
      <c r="M74" s="17"/>
      <c r="N74" s="17"/>
      <c r="O74" s="17"/>
      <c r="P74" s="17"/>
    </row>
    <row r="75" customFormat="false" ht="43.25" hidden="false" customHeight="false" outlineLevel="0" collapsed="false">
      <c r="A75" s="20" t="n">
        <f aca="false">SUBTOTAL(103,$B$6:B75)</f>
        <v>62</v>
      </c>
      <c r="B75" s="20" t="n">
        <v>259</v>
      </c>
      <c r="C75" s="21" t="str">
        <f aca="false">Base!G66</f>
        <v>2592407: MEJORAMIENTO DE LOS SERVICIOS OPERATIVOS O MISIONALES INSTITUCIONALES EN LA OFICINA DE EQUIPO MECANICO DEL GOBIERNO REGIONAL PUNO DISTRITO DE PUNO DE LA PROVINCIA DE PUNO DEL DEPARTAMENTO DE PUNO</v>
      </c>
      <c r="D75" s="22" t="n">
        <f aca="false">Base!H66</f>
        <v>7609099</v>
      </c>
      <c r="E75" s="22" t="n">
        <f aca="false">Base!I66</f>
        <v>7595390.88</v>
      </c>
      <c r="F75" s="22" t="n">
        <f aca="false">D75-E75</f>
        <v>13708.1200000001</v>
      </c>
      <c r="G75" s="22" t="n">
        <f aca="false">Base!K66</f>
        <v>7570246.39</v>
      </c>
      <c r="H75" s="22" t="n">
        <f aca="false">D75-G75</f>
        <v>38852.6099999994</v>
      </c>
      <c r="I75" s="23" t="n">
        <f aca="false">IF(D75=0,0,G75/D75)</f>
        <v>0.994893927651618</v>
      </c>
      <c r="J75" s="21" t="str">
        <f aca="false">Base!O66</f>
        <v>Equipamiento / Contrata / Personal/bienes/servicios</v>
      </c>
      <c r="K75" s="21" t="str">
        <f aca="false">Base!P66</f>
        <v>Comprometido</v>
      </c>
      <c r="L75" s="22" t="n">
        <f aca="false">Base!Q66</f>
        <v>6185000</v>
      </c>
      <c r="M75" s="22" t="n">
        <f aca="false">Base!R66</f>
        <v>1000000</v>
      </c>
      <c r="N75" s="22" t="n">
        <f aca="false">Base!S66</f>
        <v>0</v>
      </c>
      <c r="O75" s="22" t="n">
        <f aca="false">Base!T66</f>
        <v>1000000</v>
      </c>
      <c r="P75" s="21" t="str">
        <f aca="false">IF(Base!U66="","",Base!U66)</f>
        <v/>
      </c>
    </row>
    <row r="76" customFormat="false" ht="15" hidden="false" customHeight="false" outlineLevel="0" collapsed="false">
      <c r="A76" s="17" t="s">
        <v>53</v>
      </c>
      <c r="B76" s="17"/>
      <c r="C76" s="17"/>
      <c r="D76" s="18" t="n">
        <f aca="false">SUM(D77:D78)</f>
        <v>232742</v>
      </c>
      <c r="E76" s="18" t="n">
        <f aca="false">SUM(E77:E78)</f>
        <v>99007.59</v>
      </c>
      <c r="F76" s="18" t="n">
        <f aca="false">SUM(F77:F78)</f>
        <v>133734.41</v>
      </c>
      <c r="G76" s="18" t="n">
        <f aca="false">SUM(G77:G78)</f>
        <v>96198.77</v>
      </c>
      <c r="H76" s="18" t="n">
        <f aca="false">SUM(H77:H78)</f>
        <v>136543.23</v>
      </c>
      <c r="I76" s="19" t="n">
        <f aca="false">IF(D76=0,0,G76/D76)</f>
        <v>0.413327933935431</v>
      </c>
      <c r="J76" s="17"/>
      <c r="K76" s="17"/>
      <c r="L76" s="17"/>
      <c r="M76" s="17"/>
      <c r="N76" s="17"/>
      <c r="O76" s="17"/>
      <c r="P76" s="17"/>
    </row>
    <row r="77" customFormat="false" ht="43.25" hidden="false" customHeight="false" outlineLevel="0" collapsed="false">
      <c r="A77" s="20" t="n">
        <f aca="false">SUBTOTAL(103,$B$6:B77)</f>
        <v>63</v>
      </c>
      <c r="B77" s="20" t="n">
        <v>456</v>
      </c>
      <c r="C77" s="21" t="str">
        <f aca="false">Base!G67</f>
        <v>2230752: MEJORAMIENTO DE LOS SERVICIOS ASISTENCIALES DE LA ALDEA INFANTIL VIRGEN DE LA CANDELARIA EN EL BARRIO LA RINCONADA DEL CENTRO POBLADO DE SALCEDO, DISTRITO DE PUNO, PROVINCIA DE PUNO, REGION DE PUNO</v>
      </c>
      <c r="D77" s="22" t="n">
        <f aca="false">Base!H67</f>
        <v>99230</v>
      </c>
      <c r="E77" s="22" t="n">
        <f aca="false">Base!I67</f>
        <v>99007.59</v>
      </c>
      <c r="F77" s="22" t="n">
        <f aca="false">D77-E77</f>
        <v>222.410000000004</v>
      </c>
      <c r="G77" s="22" t="n">
        <f aca="false">Base!K67</f>
        <v>96198.77</v>
      </c>
      <c r="H77" s="22" t="n">
        <f aca="false">D77-G77</f>
        <v>3031.23000000001</v>
      </c>
      <c r="I77" s="23" t="n">
        <f aca="false">IF(D77=0,0,G77/D77)</f>
        <v>0.969452484127784</v>
      </c>
      <c r="J77" s="21" t="str">
        <f aca="false">Base!O67</f>
        <v>Administración directa / Contrata / Personal/bienes/servicios</v>
      </c>
      <c r="K77" s="21" t="str">
        <f aca="false">Base!P67</f>
        <v>Comprometido</v>
      </c>
      <c r="L77" s="22" t="n">
        <f aca="false">Base!Q67</f>
        <v>99230</v>
      </c>
      <c r="M77" s="22" t="n">
        <f aca="false">Base!R67</f>
        <v>0</v>
      </c>
      <c r="N77" s="22" t="n">
        <f aca="false">Base!S67</f>
        <v>0</v>
      </c>
      <c r="O77" s="22" t="n">
        <f aca="false">Base!T67</f>
        <v>0</v>
      </c>
      <c r="P77" s="21" t="str">
        <f aca="false">IF(Base!U67="","",Base!U67)</f>
        <v/>
      </c>
    </row>
    <row r="78" customFormat="false" ht="43.25" hidden="false" customHeight="false" outlineLevel="0" collapsed="false">
      <c r="A78" s="20" t="n">
        <f aca="false">SUBTOTAL(103,$B$6:B78)</f>
        <v>64</v>
      </c>
      <c r="B78" s="20" t="n">
        <v>458</v>
      </c>
      <c r="C78" s="21" t="str">
        <f aca="false">Base!G68</f>
        <v>2194989: MEJORAMIENTO DE LOS SERVICIOS EDUCATIVOS EN LA INSTITUCION EDUCATIVA SECUNDARIA DANTE NAVA DEL CENTRO POBLADO SANTA CRUZ DE PUNA AYLLU, DISTRITO DE PATAMBUCO, PROVINCIA DE SANDIA, REGION PUNO</v>
      </c>
      <c r="D78" s="22" t="n">
        <f aca="false">Base!H68</f>
        <v>133512</v>
      </c>
      <c r="E78" s="22" t="n">
        <f aca="false">Base!I68</f>
        <v>0</v>
      </c>
      <c r="F78" s="22" t="n">
        <f aca="false">D78-E78</f>
        <v>133512</v>
      </c>
      <c r="G78" s="22" t="n">
        <f aca="false">Base!K68</f>
        <v>0</v>
      </c>
      <c r="H78" s="22" t="n">
        <f aca="false">D78-G78</f>
        <v>133512</v>
      </c>
      <c r="I78" s="23" t="n">
        <f aca="false">IF(D78=0,0,G78/D78)</f>
        <v>0</v>
      </c>
      <c r="J78" s="21" t="str">
        <f aca="false">Base!O68</f>
        <v>Administración directa</v>
      </c>
      <c r="K78" s="21" t="str">
        <f aca="false">Base!P68</f>
        <v>Sin certificar</v>
      </c>
      <c r="L78" s="22" t="str">
        <f aca="false">Base!Q68</f>
        <v>No registrado en cartera</v>
      </c>
      <c r="M78" s="22" t="str">
        <f aca="false">Base!R68</f>
        <v>No registrado en cartera</v>
      </c>
      <c r="N78" s="22" t="str">
        <f aca="false">Base!S68</f>
        <v>No registrado en cartera</v>
      </c>
      <c r="O78" s="22" t="str">
        <f aca="false">Base!T68</f>
        <v>No registrado en cartera</v>
      </c>
      <c r="P78" s="21" t="str">
        <f aca="false">IF(Base!U68="","",Base!U68)</f>
        <v/>
      </c>
    </row>
    <row r="79" customFormat="false" ht="15" hidden="false" customHeight="false" outlineLevel="0" collapsed="false">
      <c r="A79" s="6" t="s">
        <v>54</v>
      </c>
      <c r="B79" s="6"/>
      <c r="C79" s="6"/>
      <c r="D79" s="7" t="n">
        <f aca="false">D80+D87+D108+D119</f>
        <v>267396323</v>
      </c>
      <c r="E79" s="7" t="n">
        <f aca="false">E80+E87+E108+E119</f>
        <v>248945789.16</v>
      </c>
      <c r="F79" s="7" t="n">
        <f aca="false">F80+F87+F108+F119</f>
        <v>18450533.84</v>
      </c>
      <c r="G79" s="7" t="n">
        <f aca="false">G80+G87+G108+G119</f>
        <v>159104211.27</v>
      </c>
      <c r="H79" s="7" t="n">
        <f aca="false">H80+H87+H108+H119</f>
        <v>108292111.73</v>
      </c>
      <c r="I79" s="16" t="n">
        <f aca="false">IF(D79=0,0,G79/D79)</f>
        <v>0.595012711786616</v>
      </c>
      <c r="J79" s="6"/>
      <c r="K79" s="6"/>
      <c r="L79" s="6"/>
      <c r="M79" s="6"/>
      <c r="N79" s="6"/>
      <c r="O79" s="6"/>
      <c r="P79" s="6"/>
    </row>
    <row r="80" customFormat="false" ht="15" hidden="false" customHeight="false" outlineLevel="0" collapsed="false">
      <c r="A80" s="17" t="s">
        <v>48</v>
      </c>
      <c r="B80" s="17"/>
      <c r="C80" s="17"/>
      <c r="D80" s="18" t="n">
        <f aca="false">SUM(D81:D86)</f>
        <v>32634907</v>
      </c>
      <c r="E80" s="18" t="n">
        <f aca="false">SUM(E81:E86)</f>
        <v>31001163.52</v>
      </c>
      <c r="F80" s="18" t="n">
        <f aca="false">SUM(F81:F86)</f>
        <v>1633743.48</v>
      </c>
      <c r="G80" s="18" t="n">
        <f aca="false">SUM(G81:G86)</f>
        <v>13051953.64</v>
      </c>
      <c r="H80" s="18" t="n">
        <f aca="false">SUM(H81:H86)</f>
        <v>19582953.36</v>
      </c>
      <c r="I80" s="19" t="n">
        <f aca="false">IF(D80=0,0,G80/D80)</f>
        <v>0.399938435246652</v>
      </c>
      <c r="J80" s="17"/>
      <c r="K80" s="17"/>
      <c r="L80" s="17"/>
      <c r="M80" s="17"/>
      <c r="N80" s="17"/>
      <c r="O80" s="17"/>
      <c r="P80" s="17"/>
    </row>
    <row r="81" customFormat="false" ht="43.25" hidden="false" customHeight="false" outlineLevel="0" collapsed="false">
      <c r="A81" s="20" t="n">
        <f aca="false">SUBTOTAL(103,$B$6:B81)</f>
        <v>65</v>
      </c>
      <c r="B81" s="20" t="n">
        <v>242</v>
      </c>
      <c r="C81" s="21" t="str">
        <f aca="false">Base!G69</f>
        <v>2504553: MEJORAMIENTO DEL SERVICIO DE SALUD EN EL CENTRO DE SALUD YANAPATA DE LA MICRO RED COPANI, RED DE SALUD YUNGUYO, DISTRITO DE YUNGUYO - PROVINCIA DE YUNGUYO - DEPARTAMENTO DE PUNO</v>
      </c>
      <c r="D81" s="22" t="n">
        <f aca="false">Base!H69</f>
        <v>8256172</v>
      </c>
      <c r="E81" s="22" t="n">
        <f aca="false">Base!I69</f>
        <v>7527846.91</v>
      </c>
      <c r="F81" s="22" t="n">
        <f aca="false">D81-E81</f>
        <v>728325.09</v>
      </c>
      <c r="G81" s="22" t="n">
        <f aca="false">Base!K69</f>
        <v>4485721.81</v>
      </c>
      <c r="H81" s="22" t="n">
        <f aca="false">D81-G81</f>
        <v>3770450.19</v>
      </c>
      <c r="I81" s="23" t="n">
        <f aca="false">IF(D81=0,0,G81/D81)</f>
        <v>0.543317388494329</v>
      </c>
      <c r="J81" s="21" t="str">
        <f aca="false">Base!O69</f>
        <v>Administración directa / Equipamiento / Contrata / Personal/bienes/servicios</v>
      </c>
      <c r="K81" s="21" t="str">
        <f aca="false">Base!P69</f>
        <v>Comprometido</v>
      </c>
      <c r="L81" s="22" t="n">
        <f aca="false">Base!Q69</f>
        <v>9468125</v>
      </c>
      <c r="M81" s="22" t="n">
        <f aca="false">Base!R69</f>
        <v>933429</v>
      </c>
      <c r="N81" s="22" t="n">
        <f aca="false">Base!S69</f>
        <v>6042788</v>
      </c>
      <c r="O81" s="22" t="n">
        <f aca="false">Base!T69</f>
        <v>2500000</v>
      </c>
      <c r="P81" s="21" t="str">
        <f aca="false">IF(Base!U69="","",Base!U69)</f>
        <v/>
      </c>
    </row>
    <row r="82" customFormat="false" ht="43.25" hidden="false" customHeight="false" outlineLevel="0" collapsed="false">
      <c r="A82" s="20" t="n">
        <f aca="false">SUBTOTAL(103,$B$6:B82)</f>
        <v>66</v>
      </c>
      <c r="B82" s="20" t="n">
        <v>237</v>
      </c>
      <c r="C82" s="21" t="str">
        <f aca="false">Base!G70</f>
        <v>2470517: MEJORAMIENTO DE LOS SERVICIOS DE SALUD DEL CENTRO DE SALUD COPANI DE LA MICRO RED COPANI, RED DE SALUD YUNGUYO, DISTRITO DE COPANI - PROVINCIA DE YUNGUYO - DEPARTAMENTO DE PUNO</v>
      </c>
      <c r="D82" s="22" t="n">
        <f aca="false">Base!H70</f>
        <v>7374992</v>
      </c>
      <c r="E82" s="22" t="n">
        <f aca="false">Base!I70</f>
        <v>7374802</v>
      </c>
      <c r="F82" s="22" t="n">
        <f aca="false">D82-E82</f>
        <v>190</v>
      </c>
      <c r="G82" s="22" t="n">
        <f aca="false">Base!K70</f>
        <v>0</v>
      </c>
      <c r="H82" s="22" t="n">
        <f aca="false">D82-G82</f>
        <v>7374992</v>
      </c>
      <c r="I82" s="23" t="n">
        <f aca="false">IF(D82=0,0,G82/D82)</f>
        <v>0</v>
      </c>
      <c r="J82" s="21" t="str">
        <f aca="false">Base!O70</f>
        <v>Contrata</v>
      </c>
      <c r="K82" s="21" t="str">
        <f aca="false">Base!P70</f>
        <v>Solo certificado</v>
      </c>
      <c r="L82" s="22" t="n">
        <f aca="false">Base!Q70</f>
        <v>8000000</v>
      </c>
      <c r="M82" s="22" t="n">
        <f aca="false">Base!R70</f>
        <v>8258658</v>
      </c>
      <c r="N82" s="22" t="n">
        <f aca="false">Base!S70</f>
        <v>10741348</v>
      </c>
      <c r="O82" s="22" t="n">
        <f aca="false">Base!T70</f>
        <v>1075057</v>
      </c>
      <c r="P82" s="21" t="str">
        <f aca="false">IF(Base!U70="","",Base!U70)</f>
        <v/>
      </c>
    </row>
    <row r="83" customFormat="false" ht="43.25" hidden="false" customHeight="false" outlineLevel="0" collapsed="false">
      <c r="A83" s="20" t="n">
        <f aca="false">SUBTOTAL(103,$B$6:B83)</f>
        <v>67</v>
      </c>
      <c r="B83" s="20" t="n">
        <v>228</v>
      </c>
      <c r="C83" s="21" t="str">
        <f aca="false">Base!G71</f>
        <v>2357092: MEJORAMIENTO DE LA CAPACIDAD RESOLUTIVA DEL CENTRO DE SALUD COJATA I-4, DE LA MICRO RED COJATA, RED DE SALUD HUANCANE, DIRESA PUNO, DISTRITO DE COJATA - PROVINCIA DE HUANCANE - DEPARTAMENTO DE PUNO</v>
      </c>
      <c r="D83" s="22" t="n">
        <f aca="false">Base!H71</f>
        <v>6997430</v>
      </c>
      <c r="E83" s="22" t="n">
        <f aca="false">Base!I71</f>
        <v>6787158.81</v>
      </c>
      <c r="F83" s="22" t="n">
        <f aca="false">D83-E83</f>
        <v>210271.189999999</v>
      </c>
      <c r="G83" s="22" t="n">
        <f aca="false">Base!K71</f>
        <v>2630352.42</v>
      </c>
      <c r="H83" s="22" t="n">
        <f aca="false">D83-G83</f>
        <v>4367077.58</v>
      </c>
      <c r="I83" s="23" t="n">
        <f aca="false">IF(D83=0,0,G83/D83)</f>
        <v>0.375902641398342</v>
      </c>
      <c r="J83" s="21" t="str">
        <f aca="false">Base!O71</f>
        <v>Administración directa / Contrata / Personal/bienes/servicios / Equipamiento</v>
      </c>
      <c r="K83" s="21" t="str">
        <f aca="false">Base!P71</f>
        <v>Comprometido</v>
      </c>
      <c r="L83" s="22" t="n">
        <f aca="false">Base!Q71</f>
        <v>8000000</v>
      </c>
      <c r="M83" s="22" t="n">
        <f aca="false">Base!R71</f>
        <v>10256256</v>
      </c>
      <c r="N83" s="22" t="n">
        <f aca="false">Base!S71</f>
        <v>15069544</v>
      </c>
      <c r="O83" s="22" t="n">
        <f aca="false">Base!T71</f>
        <v>4478827</v>
      </c>
      <c r="P83" s="21" t="str">
        <f aca="false">IF(Base!U71="","",Base!U71)</f>
        <v/>
      </c>
    </row>
    <row r="84" customFormat="false" ht="32.8" hidden="false" customHeight="false" outlineLevel="0" collapsed="false">
      <c r="A84" s="20" t="n">
        <f aca="false">SUBTOTAL(103,$B$6:B84)</f>
        <v>68</v>
      </c>
      <c r="B84" s="20" t="n">
        <v>241</v>
      </c>
      <c r="C84" s="21" t="str">
        <f aca="false">Base!G72</f>
        <v>2494039: MEJORAMIENTO Y AMPLIACION DE LOS SERVICIOS DE SALUD EN EL ESTABLECIMIENTO DE SALUD UMACHIRI CATEGORIA I-2 DEL DISTRITO DE UMACHIRI - PROVINCIA DE MELGAR - DEPARTAMENTO DE PUNO</v>
      </c>
      <c r="D84" s="22" t="n">
        <f aca="false">Base!H72</f>
        <v>6688287</v>
      </c>
      <c r="E84" s="22" t="n">
        <f aca="false">Base!I72</f>
        <v>6156914.23</v>
      </c>
      <c r="F84" s="22" t="n">
        <f aca="false">D84-E84</f>
        <v>531372.77</v>
      </c>
      <c r="G84" s="22" t="n">
        <f aca="false">Base!K72</f>
        <v>3692512.7</v>
      </c>
      <c r="H84" s="22" t="n">
        <f aca="false">D84-G84</f>
        <v>2995774.3</v>
      </c>
      <c r="I84" s="23" t="n">
        <f aca="false">IF(D84=0,0,G84/D84)</f>
        <v>0.552086461002645</v>
      </c>
      <c r="J84" s="21" t="str">
        <f aca="false">Base!O72</f>
        <v>Administración directa / Equipamiento / Contrata / Personal/bienes/servicios</v>
      </c>
      <c r="K84" s="21" t="str">
        <f aca="false">Base!P72</f>
        <v>Comprometido</v>
      </c>
      <c r="L84" s="22" t="n">
        <f aca="false">Base!Q72</f>
        <v>2822702</v>
      </c>
      <c r="M84" s="22" t="n">
        <f aca="false">Base!R72</f>
        <v>65844</v>
      </c>
      <c r="N84" s="22" t="n">
        <f aca="false">Base!S72</f>
        <v>0</v>
      </c>
      <c r="O84" s="22" t="n">
        <f aca="false">Base!T72</f>
        <v>0</v>
      </c>
      <c r="P84" s="21" t="str">
        <f aca="false">IF(Base!U72="","",Base!U72)</f>
        <v/>
      </c>
    </row>
    <row r="85" customFormat="false" ht="43.25" hidden="false" customHeight="false" outlineLevel="0" collapsed="false">
      <c r="A85" s="20" t="n">
        <f aca="false">SUBTOTAL(103,$B$6:B85)</f>
        <v>69</v>
      </c>
      <c r="B85" s="20" t="n">
        <v>221</v>
      </c>
      <c r="C85" s="21" t="str">
        <f aca="false">Base!G73</f>
        <v>2290342: MEJORAMIENTO DE LA CAPACIDAD RESOLUTIVA DE LOS SERVICIOS DEL PUESTO DE SALUD I - 1 DEL CENTRO POBLADO DE CARI CARI DEL DISTRITO DE MAÑAZO - PROVINCIA DE PUNO - DEPARTAMENTO DE PUNO</v>
      </c>
      <c r="D85" s="22" t="n">
        <f aca="false">Base!H73</f>
        <v>3318026</v>
      </c>
      <c r="E85" s="22" t="n">
        <f aca="false">Base!I73</f>
        <v>3154441.57</v>
      </c>
      <c r="F85" s="22" t="n">
        <f aca="false">D85-E85</f>
        <v>163584.43</v>
      </c>
      <c r="G85" s="22" t="n">
        <f aca="false">Base!K73</f>
        <v>2243366.71</v>
      </c>
      <c r="H85" s="22" t="n">
        <f aca="false">D85-G85</f>
        <v>1074659.29</v>
      </c>
      <c r="I85" s="23" t="n">
        <f aca="false">IF(D85=0,0,G85/D85)</f>
        <v>0.676114867695431</v>
      </c>
      <c r="J85" s="21" t="str">
        <f aca="false">Base!O73</f>
        <v>Administración directa / Equipamiento / Contrata / Expediente técnico / Personal/bienes/servicios</v>
      </c>
      <c r="K85" s="21" t="str">
        <f aca="false">Base!P73</f>
        <v>Comprometido</v>
      </c>
      <c r="L85" s="22" t="n">
        <f aca="false">Base!Q73</f>
        <v>821892</v>
      </c>
      <c r="M85" s="22" t="n">
        <f aca="false">Base!R73</f>
        <v>47336</v>
      </c>
      <c r="N85" s="22" t="n">
        <f aca="false">Base!S73</f>
        <v>0</v>
      </c>
      <c r="O85" s="22" t="n">
        <f aca="false">Base!T73</f>
        <v>0</v>
      </c>
      <c r="P85" s="21" t="str">
        <f aca="false">IF(Base!U73="","",Base!U73)</f>
        <v/>
      </c>
    </row>
    <row r="86" customFormat="false" ht="43.25" hidden="false" customHeight="false" outlineLevel="0" collapsed="false">
      <c r="A86" s="20" t="n">
        <f aca="false">SUBTOTAL(103,$B$6:B86)</f>
        <v>70</v>
      </c>
      <c r="B86" s="20" t="n">
        <v>235</v>
      </c>
      <c r="C86" s="21" t="str">
        <f aca="false">Base!G74</f>
        <v>2451529: MEJORAMIENTO DEL SERVICIO DE SALUD EN EL CENTRO DE SALUD PILCUYO DE LA MICRORED PILCUYO, RED DE SALUD EL COLLAO, DEL DISTRITO DE PILCUYO - PROVINCIA DE EL COLLAO - DEPARTAMENTO DE PUNO</v>
      </c>
      <c r="D86" s="22" t="n">
        <f aca="false">Base!H74</f>
        <v>0</v>
      </c>
      <c r="E86" s="22" t="n">
        <f aca="false">Base!I74</f>
        <v>0</v>
      </c>
      <c r="F86" s="22" t="n">
        <f aca="false">D86-E86</f>
        <v>0</v>
      </c>
      <c r="G86" s="22" t="n">
        <f aca="false">Base!K74</f>
        <v>0</v>
      </c>
      <c r="H86" s="22" t="n">
        <f aca="false">D86-G86</f>
        <v>0</v>
      </c>
      <c r="I86" s="23" t="n">
        <f aca="false">IF(D86=0,0,G86/D86)</f>
        <v>0</v>
      </c>
      <c r="J86" s="21" t="str">
        <f aca="false">Base!O74</f>
        <v>Contrata</v>
      </c>
      <c r="K86" s="21" t="str">
        <f aca="false">Base!P74</f>
        <v>Sin PIM</v>
      </c>
      <c r="L86" s="22" t="n">
        <f aca="false">Base!Q74</f>
        <v>12571000</v>
      </c>
      <c r="M86" s="22" t="n">
        <f aca="false">Base!R74</f>
        <v>5987564</v>
      </c>
      <c r="N86" s="22" t="n">
        <f aca="false">Base!S74</f>
        <v>16094501</v>
      </c>
      <c r="O86" s="22" t="n">
        <f aca="false">Base!T74</f>
        <v>22576094</v>
      </c>
      <c r="P86" s="21" t="str">
        <f aca="false">IF(Base!U74="","",Base!U74)</f>
        <v/>
      </c>
    </row>
    <row r="87" customFormat="false" ht="15" hidden="false" customHeight="false" outlineLevel="0" collapsed="false">
      <c r="A87" s="17" t="s">
        <v>49</v>
      </c>
      <c r="B87" s="17"/>
      <c r="C87" s="17"/>
      <c r="D87" s="18" t="n">
        <f aca="false">SUM(D88:D107)</f>
        <v>160639248</v>
      </c>
      <c r="E87" s="18" t="n">
        <f aca="false">SUM(E88:E107)</f>
        <v>150095951.71</v>
      </c>
      <c r="F87" s="18" t="n">
        <f aca="false">SUM(F88:F107)</f>
        <v>10543296.29</v>
      </c>
      <c r="G87" s="18" t="n">
        <f aca="false">SUM(G88:G107)</f>
        <v>104648494.13</v>
      </c>
      <c r="H87" s="18" t="n">
        <f aca="false">SUM(H88:H107)</f>
        <v>55990753.87</v>
      </c>
      <c r="I87" s="19" t="n">
        <f aca="false">IF(D87=0,0,G87/D87)</f>
        <v>0.651450348734202</v>
      </c>
      <c r="J87" s="17"/>
      <c r="K87" s="17"/>
      <c r="L87" s="17"/>
      <c r="M87" s="17"/>
      <c r="N87" s="17"/>
      <c r="O87" s="17"/>
      <c r="P87" s="17"/>
    </row>
    <row r="88" customFormat="false" ht="43.25" hidden="false" customHeight="false" outlineLevel="0" collapsed="false">
      <c r="A88" s="20" t="n">
        <f aca="false">SUBTOTAL(103,$B$6:B88)</f>
        <v>71</v>
      </c>
      <c r="B88" s="20" t="n">
        <v>35</v>
      </c>
      <c r="C88" s="21" t="str">
        <f aca="false">Base!G75</f>
        <v>2411336: MEJORAMIENTO SERVICIO INTEGRAL DE LA INSTITUCION EDUCATIVA SECUNDARIA INDUSTRIAL PERU BIRF DISTRITO DE SAN MIGUEL - PROVINCIA DE SAN ROMAN - DEPARTAMENTO DE PUNO</v>
      </c>
      <c r="D88" s="22" t="n">
        <f aca="false">Base!H75</f>
        <v>21914154</v>
      </c>
      <c r="E88" s="22" t="n">
        <f aca="false">Base!I75</f>
        <v>21776068.06</v>
      </c>
      <c r="F88" s="22" t="n">
        <f aca="false">D88-E88</f>
        <v>138085.940000001</v>
      </c>
      <c r="G88" s="22" t="n">
        <f aca="false">Base!K75</f>
        <v>15564867.44</v>
      </c>
      <c r="H88" s="22" t="n">
        <f aca="false">D88-G88</f>
        <v>6349286.56</v>
      </c>
      <c r="I88" s="23" t="n">
        <f aca="false">IF(D88=0,0,G88/D88)</f>
        <v>0.710265495076835</v>
      </c>
      <c r="J88" s="21" t="str">
        <f aca="false">Base!O75</f>
        <v>Administración directa / Equipamiento / Contrata / Personal/bienes/servicios / Laudos arbitrales</v>
      </c>
      <c r="K88" s="21" t="str">
        <f aca="false">Base!P75</f>
        <v>Comprometido</v>
      </c>
      <c r="L88" s="22" t="n">
        <f aca="false">Base!Q75</f>
        <v>11955231</v>
      </c>
      <c r="M88" s="22" t="n">
        <f aca="false">Base!R75</f>
        <v>2500000</v>
      </c>
      <c r="N88" s="22" t="n">
        <f aca="false">Base!S75</f>
        <v>3884089</v>
      </c>
      <c r="O88" s="22" t="n">
        <f aca="false">Base!T75</f>
        <v>0</v>
      </c>
      <c r="P88" s="21" t="str">
        <f aca="false">IF(Base!U75="","",Base!U75)</f>
        <v/>
      </c>
    </row>
    <row r="89" customFormat="false" ht="32.8" hidden="false" customHeight="false" outlineLevel="0" collapsed="false">
      <c r="A89" s="20" t="n">
        <f aca="false">SUBTOTAL(103,$B$6:B89)</f>
        <v>72</v>
      </c>
      <c r="B89" s="20" t="n">
        <v>25</v>
      </c>
      <c r="C89" s="21" t="str">
        <f aca="false">Base!G76</f>
        <v>2284935: MEJORAMIENTO DEL SERVICIO EDUCATIVO EN LA IES POLITECNICO REGIONAL LOS ANDES, DISTRITO DE JULIACA, PROVINCIA DE SAN ROMAN - PUNO</v>
      </c>
      <c r="D89" s="22" t="n">
        <f aca="false">Base!H76</f>
        <v>22276780</v>
      </c>
      <c r="E89" s="22" t="n">
        <f aca="false">Base!I76</f>
        <v>17912911.21</v>
      </c>
      <c r="F89" s="22" t="n">
        <f aca="false">D89-E89</f>
        <v>4363868.79</v>
      </c>
      <c r="G89" s="22" t="n">
        <f aca="false">Base!K76</f>
        <v>15417466.05</v>
      </c>
      <c r="H89" s="22" t="n">
        <f aca="false">D89-G89</f>
        <v>6859313.95</v>
      </c>
      <c r="I89" s="23" t="n">
        <f aca="false">IF(D89=0,0,G89/D89)</f>
        <v>0.692086829873976</v>
      </c>
      <c r="J89" s="21" t="str">
        <f aca="false">Base!O76</f>
        <v>Administración directa / Contrata / Personal/bienes/servicios / Equipamiento</v>
      </c>
      <c r="K89" s="21" t="str">
        <f aca="false">Base!P76</f>
        <v>Comprometido</v>
      </c>
      <c r="L89" s="22" t="n">
        <f aca="false">Base!Q76</f>
        <v>15800000</v>
      </c>
      <c r="M89" s="22" t="n">
        <f aca="false">Base!R76</f>
        <v>14789542</v>
      </c>
      <c r="N89" s="22" t="n">
        <f aca="false">Base!S76</f>
        <v>15918407</v>
      </c>
      <c r="O89" s="22" t="n">
        <f aca="false">Base!T76</f>
        <v>10295229</v>
      </c>
      <c r="P89" s="21" t="str">
        <f aca="false">IF(Base!U76="","",Base!U76)</f>
        <v/>
      </c>
    </row>
    <row r="90" customFormat="false" ht="53.7" hidden="false" customHeight="false" outlineLevel="0" collapsed="false">
      <c r="A90" s="20" t="n">
        <f aca="false">SUBTOTAL(103,$B$6:B90)</f>
        <v>73</v>
      </c>
      <c r="B90" s="20" t="n">
        <v>229</v>
      </c>
      <c r="C90" s="21" t="str">
        <f aca="false">Base!G77</f>
        <v>2357330: MEJORAMIENTO DEL SERVICIO EDUCATIVO DE LAS CARRERAS DE PRODUCCION AGROPECUARIA, MECANICA DE PRODUCCION, COMPUTACION E INFORMATICA, ENFERMERIA TECNICA EN EL INSTITUTO SUPERIOR TECNOLOGICO PUBLICO DE HUANCANE DISTRITO DE HUANCANE - PROVINCIA DE HUANCANE - DEPARTAMENTO DE PUNO</v>
      </c>
      <c r="D90" s="22" t="n">
        <f aca="false">Base!H77</f>
        <v>17354707</v>
      </c>
      <c r="E90" s="22" t="n">
        <f aca="false">Base!I77</f>
        <v>17083718.42</v>
      </c>
      <c r="F90" s="22" t="n">
        <f aca="false">D90-E90</f>
        <v>270988.579999998</v>
      </c>
      <c r="G90" s="22" t="n">
        <f aca="false">Base!K77</f>
        <v>8610007.65</v>
      </c>
      <c r="H90" s="22" t="n">
        <f aca="false">D90-G90</f>
        <v>8744699.35</v>
      </c>
      <c r="I90" s="23" t="n">
        <f aca="false">IF(D90=0,0,G90/D90)</f>
        <v>0.496119447594246</v>
      </c>
      <c r="J90" s="21" t="str">
        <f aca="false">Base!O77</f>
        <v>Administración directa / Equipamiento / Contrata / Personal/bienes/servicios</v>
      </c>
      <c r="K90" s="21" t="str">
        <f aca="false">Base!P77</f>
        <v>Comprometido</v>
      </c>
      <c r="L90" s="22" t="n">
        <f aca="false">Base!Q77</f>
        <v>12500000</v>
      </c>
      <c r="M90" s="22" t="n">
        <f aca="false">Base!R77</f>
        <v>4806839</v>
      </c>
      <c r="N90" s="22" t="n">
        <f aca="false">Base!S77</f>
        <v>753613</v>
      </c>
      <c r="O90" s="22" t="n">
        <f aca="false">Base!T77</f>
        <v>0</v>
      </c>
      <c r="P90" s="21" t="str">
        <f aca="false">IF(Base!U77="","",Base!U77)</f>
        <v/>
      </c>
    </row>
    <row r="91" customFormat="false" ht="32.8" hidden="false" customHeight="false" outlineLevel="0" collapsed="false">
      <c r="A91" s="20" t="n">
        <f aca="false">SUBTOTAL(103,$B$6:B91)</f>
        <v>74</v>
      </c>
      <c r="B91" s="20" t="n">
        <v>30</v>
      </c>
      <c r="C91" s="21" t="str">
        <f aca="false">Base!G78</f>
        <v>2357322: MEJORAMIENTO SERVICIO EDUCATIVO EN LA IES. 32 MARIANO H. CORNEJO DE LA LOCALIDAD DE JULIACA - DISTRITO DE JULIACA - PROVINCIA DE SAN ROMAN - REGION PUNO</v>
      </c>
      <c r="D91" s="22" t="n">
        <f aca="false">Base!H78</f>
        <v>19795501</v>
      </c>
      <c r="E91" s="22" t="n">
        <f aca="false">Base!I78</f>
        <v>19793411.72</v>
      </c>
      <c r="F91" s="22" t="n">
        <f aca="false">D91-E91</f>
        <v>2089.28000000119</v>
      </c>
      <c r="G91" s="22" t="n">
        <f aca="false">Base!K78</f>
        <v>14545766.24</v>
      </c>
      <c r="H91" s="22" t="n">
        <f aca="false">D91-G91</f>
        <v>5249734.76</v>
      </c>
      <c r="I91" s="23" t="n">
        <f aca="false">IF(D91=0,0,G91/D91)</f>
        <v>0.734801621843266</v>
      </c>
      <c r="J91" s="21" t="str">
        <f aca="false">Base!O78</f>
        <v>Administración directa / Equipamiento / Contrata / Personal/bienes/servicios</v>
      </c>
      <c r="K91" s="21" t="str">
        <f aca="false">Base!P78</f>
        <v>Comprometido</v>
      </c>
      <c r="L91" s="22" t="n">
        <f aca="false">Base!Q78</f>
        <v>9609000</v>
      </c>
      <c r="M91" s="22" t="n">
        <f aca="false">Base!R78</f>
        <v>897867</v>
      </c>
      <c r="N91" s="22" t="n">
        <f aca="false">Base!S78</f>
        <v>6124874</v>
      </c>
      <c r="O91" s="22" t="n">
        <f aca="false">Base!T78</f>
        <v>0</v>
      </c>
      <c r="P91" s="21" t="str">
        <f aca="false">IF(Base!U78="","",Base!U78)</f>
        <v/>
      </c>
    </row>
    <row r="92" customFormat="false" ht="32.8" hidden="false" customHeight="false" outlineLevel="0" collapsed="false">
      <c r="A92" s="20" t="n">
        <f aca="false">SUBTOTAL(103,$B$6:B92)</f>
        <v>75</v>
      </c>
      <c r="B92" s="20" t="n">
        <v>33</v>
      </c>
      <c r="C92" s="21" t="str">
        <f aca="false">Base!G79</f>
        <v>2385673: MEJORAMIENTO DEL SERVICIO EDUCATIVO DE LA I.E.S. LAS MERCEDES DE LA CIUDAD DE JULIACA - DISTRITO DE JULIACA - PROVINCIA DE SAN ROMAN - DEPARTAMENTO DE PUNO</v>
      </c>
      <c r="D92" s="22" t="n">
        <f aca="false">Base!H79</f>
        <v>17241964</v>
      </c>
      <c r="E92" s="22" t="n">
        <f aca="false">Base!I79</f>
        <v>17144704.56</v>
      </c>
      <c r="F92" s="22" t="n">
        <f aca="false">D92-E92</f>
        <v>97259.4400000013</v>
      </c>
      <c r="G92" s="22" t="n">
        <f aca="false">Base!K79</f>
        <v>11639796.34</v>
      </c>
      <c r="H92" s="22" t="n">
        <f aca="false">D92-G92</f>
        <v>5602167.66</v>
      </c>
      <c r="I92" s="23" t="n">
        <f aca="false">IF(D92=0,0,G92/D92)</f>
        <v>0.675085294227502</v>
      </c>
      <c r="J92" s="21" t="str">
        <f aca="false">Base!O79</f>
        <v>Administración directa / Contrata / Personal/bienes/servicios / Equipamiento</v>
      </c>
      <c r="K92" s="21" t="str">
        <f aca="false">Base!P79</f>
        <v>Comprometido</v>
      </c>
      <c r="L92" s="22" t="n">
        <f aca="false">Base!Q79</f>
        <v>8016014</v>
      </c>
      <c r="M92" s="22" t="n">
        <f aca="false">Base!R79</f>
        <v>10000000</v>
      </c>
      <c r="N92" s="22" t="n">
        <f aca="false">Base!S79</f>
        <v>1057112</v>
      </c>
      <c r="O92" s="22" t="n">
        <f aca="false">Base!T79</f>
        <v>2541629</v>
      </c>
      <c r="P92" s="21" t="str">
        <f aca="false">IF(Base!U79="","",Base!U79)</f>
        <v/>
      </c>
    </row>
    <row r="93" customFormat="false" ht="43.25" hidden="false" customHeight="false" outlineLevel="0" collapsed="false">
      <c r="A93" s="20" t="n">
        <f aca="false">SUBTOTAL(103,$B$6:B93)</f>
        <v>76</v>
      </c>
      <c r="B93" s="20" t="n">
        <v>161</v>
      </c>
      <c r="C93" s="21" t="str">
        <f aca="false">Base!G80</f>
        <v>2585543: MEJORAMIENTO Y AMPLIACION DEL SERVICIO DE EDUCACION SUPERIOR TECNOLOGICA EN EL INSTITUTO DE EDUCACION SUPERIOR TECNOLOGICO PUBLICO ACORA DEL DISTRITO DE ACORA DE LA PROVINCIA DE PUNO DEL DEPARTAMENTO DE PUNO</v>
      </c>
      <c r="D93" s="22" t="n">
        <f aca="false">Base!H80</f>
        <v>15380884</v>
      </c>
      <c r="E93" s="22" t="n">
        <f aca="false">Base!I80</f>
        <v>14270657.16</v>
      </c>
      <c r="F93" s="22" t="n">
        <f aca="false">D93-E93</f>
        <v>1110226.84</v>
      </c>
      <c r="G93" s="22" t="n">
        <f aca="false">Base!K80</f>
        <v>9463521.46</v>
      </c>
      <c r="H93" s="22" t="n">
        <f aca="false">D93-G93</f>
        <v>5917362.54</v>
      </c>
      <c r="I93" s="23" t="n">
        <f aca="false">IF(D93=0,0,G93/D93)</f>
        <v>0.615278124456306</v>
      </c>
      <c r="J93" s="21" t="str">
        <f aca="false">Base!O80</f>
        <v>Administración directa / Equipamiento / Contrata / Personal/bienes/servicios</v>
      </c>
      <c r="K93" s="21" t="str">
        <f aca="false">Base!P80</f>
        <v>Comprometido</v>
      </c>
      <c r="L93" s="22" t="n">
        <f aca="false">Base!Q80</f>
        <v>6000000</v>
      </c>
      <c r="M93" s="22" t="n">
        <f aca="false">Base!R80</f>
        <v>3456765</v>
      </c>
      <c r="N93" s="22" t="n">
        <f aca="false">Base!S80</f>
        <v>1108030</v>
      </c>
      <c r="O93" s="22" t="n">
        <f aca="false">Base!T80</f>
        <v>0</v>
      </c>
      <c r="P93" s="21" t="str">
        <f aca="false">IF(Base!U80="","",Base!U80)</f>
        <v/>
      </c>
    </row>
    <row r="94" customFormat="false" ht="43.25" hidden="false" customHeight="false" outlineLevel="0" collapsed="false">
      <c r="A94" s="20" t="n">
        <f aca="false">SUBTOTAL(103,$B$6:B94)</f>
        <v>77</v>
      </c>
      <c r="B94" s="20" t="n">
        <v>247</v>
      </c>
      <c r="C94" s="21" t="str">
        <f aca="false">Base!G81</f>
        <v>2535611: MEJORAMIENTO Y AMPLIACION DEL SERVICIO DE EDUCACION SUPERIOR TECNOLOGICO PUBLICO EN EL INSTITUTO ANDRES AVELINO CACERES DISTRITO DE PUTINA - PROVINCIA DE SAN ANTONIO DE PUTINA - DEPARTAMENTO DE PUNO</v>
      </c>
      <c r="D94" s="22" t="n">
        <f aca="false">Base!H81</f>
        <v>9666000</v>
      </c>
      <c r="E94" s="22" t="n">
        <f aca="false">Base!I81</f>
        <v>9191703.83</v>
      </c>
      <c r="F94" s="22" t="n">
        <f aca="false">D94-E94</f>
        <v>474296.17</v>
      </c>
      <c r="G94" s="22" t="n">
        <f aca="false">Base!K81</f>
        <v>5594991.06</v>
      </c>
      <c r="H94" s="22" t="n">
        <f aca="false">D94-G94</f>
        <v>4071008.94</v>
      </c>
      <c r="I94" s="23" t="n">
        <f aca="false">IF(D94=0,0,G94/D94)</f>
        <v>0.578832098075729</v>
      </c>
      <c r="J94" s="21" t="str">
        <f aca="false">Base!O81</f>
        <v>Administración directa / Contrata / Personal/bienes/servicios</v>
      </c>
      <c r="K94" s="21" t="str">
        <f aca="false">Base!P81</f>
        <v>Comprometido</v>
      </c>
      <c r="L94" s="22" t="n">
        <f aca="false">Base!Q81</f>
        <v>7546000</v>
      </c>
      <c r="M94" s="22" t="n">
        <f aca="false">Base!R81</f>
        <v>1410563</v>
      </c>
      <c r="N94" s="22" t="n">
        <f aca="false">Base!S81</f>
        <v>1509243</v>
      </c>
      <c r="O94" s="22" t="n">
        <f aca="false">Base!T81</f>
        <v>0</v>
      </c>
      <c r="P94" s="21" t="str">
        <f aca="false">IF(Base!U81="","",Base!U81)</f>
        <v/>
      </c>
    </row>
    <row r="95" customFormat="false" ht="32.8" hidden="false" customHeight="false" outlineLevel="0" collapsed="false">
      <c r="A95" s="20" t="n">
        <f aca="false">SUBTOTAL(103,$B$6:B95)</f>
        <v>78</v>
      </c>
      <c r="B95" s="20" t="n">
        <v>39</v>
      </c>
      <c r="C95" s="21" t="str">
        <f aca="false">Base!G82</f>
        <v>2538950: MEJORAMIENTO DEL SERVICIO EDUCATIVO DEL NIVEL PRIMARIO DE LA I.E. 71008 EN EL DISTRITO DE LAMPA - PROVINCIA DE LAMPA - DEPARTAMENTO DE PUNO</v>
      </c>
      <c r="D95" s="22" t="n">
        <f aca="false">Base!H82</f>
        <v>6765264</v>
      </c>
      <c r="E95" s="22" t="n">
        <f aca="false">Base!I82</f>
        <v>6659441.19</v>
      </c>
      <c r="F95" s="22" t="n">
        <f aca="false">D95-E95</f>
        <v>105822.809999999</v>
      </c>
      <c r="G95" s="22" t="n">
        <f aca="false">Base!K82</f>
        <v>4177875.53</v>
      </c>
      <c r="H95" s="22" t="n">
        <f aca="false">D95-G95</f>
        <v>2587388.47</v>
      </c>
      <c r="I95" s="23" t="n">
        <f aca="false">IF(D95=0,0,G95/D95)</f>
        <v>0.617548040992931</v>
      </c>
      <c r="J95" s="21" t="str">
        <f aca="false">Base!O82</f>
        <v>Administración directa / Equipamiento / Contrata / Personal/bienes/servicios</v>
      </c>
      <c r="K95" s="21" t="str">
        <f aca="false">Base!P82</f>
        <v>Comprometido</v>
      </c>
      <c r="L95" s="22" t="str">
        <f aca="false">Base!Q82</f>
        <v>No registrado en cartera</v>
      </c>
      <c r="M95" s="22" t="str">
        <f aca="false">Base!R82</f>
        <v>No registrado en cartera</v>
      </c>
      <c r="N95" s="22" t="str">
        <f aca="false">Base!S82</f>
        <v>No registrado en cartera</v>
      </c>
      <c r="O95" s="22" t="str">
        <f aca="false">Base!T82</f>
        <v>No registrado en cartera</v>
      </c>
      <c r="P95" s="21" t="str">
        <f aca="false">IF(Base!U82="","",Base!U82)</f>
        <v/>
      </c>
    </row>
    <row r="96" customFormat="false" ht="32.8" hidden="false" customHeight="false" outlineLevel="0" collapsed="false">
      <c r="A96" s="20" t="n">
        <f aca="false">SUBTOTAL(103,$B$6:B96)</f>
        <v>79</v>
      </c>
      <c r="B96" s="20" t="n">
        <v>26</v>
      </c>
      <c r="C96" s="21" t="str">
        <f aca="false">Base!G83</f>
        <v>2289661: MEJORAMIENTO DE LOS SERVICIOS EDUCATIVOS EN LA I.E.S. DOS DE MAYO DE CARACOTO, DISTRITO DE CARACOTO - SAN ROMAN - PUNO</v>
      </c>
      <c r="D96" s="22" t="n">
        <f aca="false">Base!H83</f>
        <v>4291327</v>
      </c>
      <c r="E96" s="22" t="n">
        <f aca="false">Base!I83</f>
        <v>4093667.05</v>
      </c>
      <c r="F96" s="22" t="n">
        <f aca="false">D96-E96</f>
        <v>197659.95</v>
      </c>
      <c r="G96" s="22" t="n">
        <f aca="false">Base!K83</f>
        <v>3891386.79</v>
      </c>
      <c r="H96" s="22" t="n">
        <f aca="false">D96-G96</f>
        <v>399940.21</v>
      </c>
      <c r="I96" s="23" t="n">
        <f aca="false">IF(D96=0,0,G96/D96)</f>
        <v>0.906802671994001</v>
      </c>
      <c r="J96" s="21" t="str">
        <f aca="false">Base!O83</f>
        <v>Administración directa / Contrata / Equipamiento / Personal/bienes/servicios</v>
      </c>
      <c r="K96" s="21" t="str">
        <f aca="false">Base!P83</f>
        <v>Comprometido</v>
      </c>
      <c r="L96" s="22" t="str">
        <f aca="false">Base!Q83</f>
        <v>No registrado en cartera</v>
      </c>
      <c r="M96" s="22" t="str">
        <f aca="false">Base!R83</f>
        <v>No registrado en cartera</v>
      </c>
      <c r="N96" s="22" t="str">
        <f aca="false">Base!S83</f>
        <v>No registrado en cartera</v>
      </c>
      <c r="O96" s="22" t="str">
        <f aca="false">Base!T83</f>
        <v>No registrado en cartera</v>
      </c>
      <c r="P96" s="21" t="str">
        <f aca="false">IF(Base!U83="","",Base!U83)</f>
        <v/>
      </c>
    </row>
    <row r="97" customFormat="false" ht="32.8" hidden="false" customHeight="false" outlineLevel="0" collapsed="false">
      <c r="A97" s="20" t="n">
        <f aca="false">SUBTOTAL(103,$B$6:B97)</f>
        <v>80</v>
      </c>
      <c r="B97" s="20" t="n">
        <v>41</v>
      </c>
      <c r="C97" s="21" t="str">
        <f aca="false">Base!G84</f>
        <v>2590087: MEJORAMIENTO DEL SERVICIO DE EDUCACION SECUNDARIA EN I.E. JOSE MARIA ARGUEDAS DISTRITO DE LLALLI DE LA PROVINCIA DE MELGAR DEL DEPARTAMENTO DE PUNO</v>
      </c>
      <c r="D97" s="22" t="n">
        <f aca="false">Base!H84</f>
        <v>5799805</v>
      </c>
      <c r="E97" s="22" t="n">
        <f aca="false">Base!I84</f>
        <v>5459070.3</v>
      </c>
      <c r="F97" s="22" t="n">
        <f aca="false">D97-E97</f>
        <v>340734.7</v>
      </c>
      <c r="G97" s="22" t="n">
        <f aca="false">Base!K84</f>
        <v>3888315.88</v>
      </c>
      <c r="H97" s="22" t="n">
        <f aca="false">D97-G97</f>
        <v>1911489.12</v>
      </c>
      <c r="I97" s="23" t="n">
        <f aca="false">IF(D97=0,0,G97/D97)</f>
        <v>0.670421829699447</v>
      </c>
      <c r="J97" s="21" t="str">
        <f aca="false">Base!O84</f>
        <v>Administración directa / Contrata / Equipamiento / Personal/bienes/servicios</v>
      </c>
      <c r="K97" s="21" t="str">
        <f aca="false">Base!P84</f>
        <v>Comprometido</v>
      </c>
      <c r="L97" s="22" t="str">
        <f aca="false">Base!Q84</f>
        <v>No registrado en cartera</v>
      </c>
      <c r="M97" s="22" t="str">
        <f aca="false">Base!R84</f>
        <v>No registrado en cartera</v>
      </c>
      <c r="N97" s="22" t="str">
        <f aca="false">Base!S84</f>
        <v>No registrado en cartera</v>
      </c>
      <c r="O97" s="22" t="str">
        <f aca="false">Base!T84</f>
        <v>No registrado en cartera</v>
      </c>
      <c r="P97" s="21" t="str">
        <f aca="false">IF(Base!U84="","",Base!U84)</f>
        <v/>
      </c>
    </row>
    <row r="98" customFormat="false" ht="64.15" hidden="false" customHeight="false" outlineLevel="0" collapsed="false">
      <c r="A98" s="20" t="n">
        <f aca="false">SUBTOTAL(103,$B$6:B98)</f>
        <v>81</v>
      </c>
      <c r="B98" s="20" t="n">
        <v>36</v>
      </c>
      <c r="C98" s="21" t="str">
        <f aca="false">Base!G85</f>
        <v>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v>
      </c>
      <c r="D98" s="22" t="n">
        <f aca="false">Base!H85</f>
        <v>4802506</v>
      </c>
      <c r="E98" s="22" t="n">
        <f aca="false">Base!I85</f>
        <v>4376181.62</v>
      </c>
      <c r="F98" s="22" t="n">
        <f aca="false">D98-E98</f>
        <v>426324.38</v>
      </c>
      <c r="G98" s="22" t="n">
        <f aca="false">Base!K85</f>
        <v>3250907.82</v>
      </c>
      <c r="H98" s="22" t="n">
        <f aca="false">D98-G98</f>
        <v>1551598.18</v>
      </c>
      <c r="I98" s="23" t="n">
        <f aca="false">IF(D98=0,0,G98/D98)</f>
        <v>0.676919054343711</v>
      </c>
      <c r="J98" s="21" t="str">
        <f aca="false">Base!O85</f>
        <v>Administración directa / Contrata / Equipamiento / Personal/bienes/servicios</v>
      </c>
      <c r="K98" s="21" t="str">
        <f aca="false">Base!P85</f>
        <v>Comprometido</v>
      </c>
      <c r="L98" s="22" t="n">
        <f aca="false">Base!Q85</f>
        <v>3770000</v>
      </c>
      <c r="M98" s="22" t="n">
        <f aca="false">Base!R85</f>
        <v>876556</v>
      </c>
      <c r="N98" s="22" t="n">
        <f aca="false">Base!S85</f>
        <v>4649244</v>
      </c>
      <c r="O98" s="22" t="n">
        <f aca="false">Base!T85</f>
        <v>7795363</v>
      </c>
      <c r="P98" s="21" t="str">
        <f aca="false">IF(Base!U85="","",Base!U85)</f>
        <v/>
      </c>
    </row>
    <row r="99" customFormat="false" ht="64.15" hidden="false" customHeight="false" outlineLevel="0" collapsed="false">
      <c r="A99" s="20" t="n">
        <f aca="false">SUBTOTAL(103,$B$6:B99)</f>
        <v>82</v>
      </c>
      <c r="B99" s="20" t="n">
        <v>311</v>
      </c>
      <c r="C99" s="21" t="str">
        <f aca="false">Base!G86</f>
        <v>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v>
      </c>
      <c r="D99" s="22" t="n">
        <f aca="false">Base!H86</f>
        <v>4992699</v>
      </c>
      <c r="E99" s="22" t="n">
        <f aca="false">Base!I86</f>
        <v>4276945.21</v>
      </c>
      <c r="F99" s="22" t="n">
        <f aca="false">D99-E99</f>
        <v>715753.79</v>
      </c>
      <c r="G99" s="22" t="n">
        <f aca="false">Base!K86</f>
        <v>3252598.59</v>
      </c>
      <c r="H99" s="22" t="n">
        <f aca="false">D99-G99</f>
        <v>1740100.41</v>
      </c>
      <c r="I99" s="23" t="n">
        <f aca="false">IF(D99=0,0,G99/D99)</f>
        <v>0.651470995948284</v>
      </c>
      <c r="J99" s="21" t="str">
        <f aca="false">Base!O86</f>
        <v>Administración directa / Contrata / Equipamiento / Personal/bienes/servicios</v>
      </c>
      <c r="K99" s="21" t="str">
        <f aca="false">Base!P86</f>
        <v>Comprometido</v>
      </c>
      <c r="L99" s="22" t="n">
        <f aca="false">Base!Q86</f>
        <v>3770000</v>
      </c>
      <c r="M99" s="22" t="n">
        <f aca="false">Base!R86</f>
        <v>876556</v>
      </c>
      <c r="N99" s="22" t="n">
        <f aca="false">Base!S86</f>
        <v>4649244</v>
      </c>
      <c r="O99" s="22" t="n">
        <f aca="false">Base!T86</f>
        <v>7795363</v>
      </c>
      <c r="P99" s="21" t="str">
        <f aca="false">IF(Base!U86="","",Base!U86)</f>
        <v/>
      </c>
    </row>
    <row r="100" customFormat="false" ht="32.8" hidden="false" customHeight="false" outlineLevel="0" collapsed="false">
      <c r="A100" s="20" t="n">
        <f aca="false">SUBTOTAL(103,$B$6:B100)</f>
        <v>83</v>
      </c>
      <c r="B100" s="20" t="n">
        <v>306</v>
      </c>
      <c r="C100" s="21" t="str">
        <f aca="false">Base!G87</f>
        <v>2606991: MEJORAMIENTO DEL SERVICIO DE EDUCACION INICIAL EN I.E. 69 DISTRITO DE ANTAUTA DE LA PROVINCIA DE MELGAR DEL DEPARTAMENTO DE PUNO</v>
      </c>
      <c r="D100" s="22" t="n">
        <f aca="false">Base!H87</f>
        <v>3853164</v>
      </c>
      <c r="E100" s="22" t="n">
        <f aca="false">Base!I87</f>
        <v>3701445.63</v>
      </c>
      <c r="F100" s="22" t="n">
        <f aca="false">D100-E100</f>
        <v>151718.37</v>
      </c>
      <c r="G100" s="22" t="n">
        <f aca="false">Base!K87</f>
        <v>3036070.05</v>
      </c>
      <c r="H100" s="22" t="n">
        <f aca="false">D100-G100</f>
        <v>817093.95</v>
      </c>
      <c r="I100" s="23" t="n">
        <f aca="false">IF(D100=0,0,G100/D100)</f>
        <v>0.787942078250497</v>
      </c>
      <c r="J100" s="21" t="str">
        <f aca="false">Base!O87</f>
        <v>Administración directa / Contrata / Equipamiento / Personal/bienes/servicios</v>
      </c>
      <c r="K100" s="21" t="str">
        <f aca="false">Base!P87</f>
        <v>Comprometido</v>
      </c>
      <c r="L100" s="22" t="str">
        <f aca="false">Base!Q87</f>
        <v>No registrado en cartera</v>
      </c>
      <c r="M100" s="22" t="str">
        <f aca="false">Base!R87</f>
        <v>No registrado en cartera</v>
      </c>
      <c r="N100" s="22" t="str">
        <f aca="false">Base!S87</f>
        <v>No registrado en cartera</v>
      </c>
      <c r="O100" s="22" t="str">
        <f aca="false">Base!T87</f>
        <v>No registrado en cartera</v>
      </c>
      <c r="P100" s="21" t="str">
        <f aca="false">IF(Base!U87="","",Base!U87)</f>
        <v/>
      </c>
    </row>
    <row r="101" customFormat="false" ht="32.8" hidden="false" customHeight="false" outlineLevel="0" collapsed="false">
      <c r="A101" s="20" t="n">
        <f aca="false">SUBTOTAL(103,$B$6:B101)</f>
        <v>84</v>
      </c>
      <c r="B101" s="20" t="n">
        <v>181</v>
      </c>
      <c r="C101" s="21" t="str">
        <f aca="false">Base!G88</f>
        <v>2649852: MEJORAMIENTO DEL SERVICIO DE EDUCACION INICIAL EN I.E. 325 DISTRITO DE PUNO DE LA PROVINCIA DE PUNO DEL DEPARTAMENTO DE PUNO</v>
      </c>
      <c r="D101" s="22" t="n">
        <f aca="false">Base!H88</f>
        <v>1142346</v>
      </c>
      <c r="E101" s="22" t="n">
        <f aca="false">Base!I88</f>
        <v>911210.56</v>
      </c>
      <c r="F101" s="22" t="n">
        <f aca="false">D101-E101</f>
        <v>231135.44</v>
      </c>
      <c r="G101" s="22" t="n">
        <f aca="false">Base!K88</f>
        <v>18478.9</v>
      </c>
      <c r="H101" s="22" t="n">
        <f aca="false">D101-G101</f>
        <v>1123867.1</v>
      </c>
      <c r="I101" s="23" t="n">
        <f aca="false">IF(D101=0,0,G101/D101)</f>
        <v>0.0161762723378031</v>
      </c>
      <c r="J101" s="21" t="str">
        <f aca="false">Base!O88</f>
        <v>Administración directa / Contrata / Personal/bienes/servicios / Equipamiento</v>
      </c>
      <c r="K101" s="21" t="str">
        <f aca="false">Base!P88</f>
        <v>Comprometido</v>
      </c>
      <c r="L101" s="22" t="n">
        <f aca="false">Base!Q88</f>
        <v>100000</v>
      </c>
      <c r="M101" s="22" t="n">
        <f aca="false">Base!R88</f>
        <v>0</v>
      </c>
      <c r="N101" s="22" t="n">
        <f aca="false">Base!S88</f>
        <v>959009</v>
      </c>
      <c r="O101" s="22" t="n">
        <f aca="false">Base!T88</f>
        <v>0</v>
      </c>
      <c r="P101" s="21" t="str">
        <f aca="false">IF(Base!U88="","",Base!U88)</f>
        <v/>
      </c>
    </row>
    <row r="102" customFormat="false" ht="32.8" hidden="false" customHeight="false" outlineLevel="0" collapsed="false">
      <c r="A102" s="20" t="n">
        <f aca="false">SUBTOTAL(103,$B$6:B102)</f>
        <v>85</v>
      </c>
      <c r="B102" s="20" t="n">
        <v>187</v>
      </c>
      <c r="C102" s="21" t="str">
        <f aca="false">Base!G89</f>
        <v>2649858: MEJORAMIENTO DEL SERVICIO DE EDUCACION INICIAL EN I.E. EDUARDITOS DISTRITO DE PICHACANI DE LA PROVINCIA DE PUNO DEL DEPARTAMENTO DE PUNO</v>
      </c>
      <c r="D102" s="22" t="n">
        <f aca="false">Base!H89</f>
        <v>2361641</v>
      </c>
      <c r="E102" s="22" t="n">
        <f aca="false">Base!I89</f>
        <v>1509241.36</v>
      </c>
      <c r="F102" s="22" t="n">
        <f aca="false">D102-E102</f>
        <v>852399.64</v>
      </c>
      <c r="G102" s="22" t="n">
        <f aca="false">Base!K89</f>
        <v>1059463.81</v>
      </c>
      <c r="H102" s="22" t="n">
        <f aca="false">D102-G102</f>
        <v>1302177.19</v>
      </c>
      <c r="I102" s="23" t="n">
        <f aca="false">IF(D102=0,0,G102/D102)</f>
        <v>0.44861340483164</v>
      </c>
      <c r="J102" s="21" t="str">
        <f aca="false">Base!O89</f>
        <v>Administración directa / Contrata / Equipamiento / Personal/bienes/servicios</v>
      </c>
      <c r="K102" s="21" t="str">
        <f aca="false">Base!P89</f>
        <v>Comprometido</v>
      </c>
      <c r="L102" s="22" t="n">
        <f aca="false">Base!Q89</f>
        <v>100000</v>
      </c>
      <c r="M102" s="22" t="n">
        <f aca="false">Base!R89</f>
        <v>45539</v>
      </c>
      <c r="N102" s="22" t="n">
        <f aca="false">Base!S89</f>
        <v>0</v>
      </c>
      <c r="O102" s="22" t="n">
        <f aca="false">Base!T89</f>
        <v>0</v>
      </c>
      <c r="P102" s="21" t="str">
        <f aca="false">IF(Base!U89="","",Base!U89)</f>
        <v/>
      </c>
    </row>
    <row r="103" customFormat="false" ht="32.8" hidden="false" customHeight="false" outlineLevel="0" collapsed="false">
      <c r="A103" s="20" t="n">
        <f aca="false">SUBTOTAL(103,$B$6:B103)</f>
        <v>86</v>
      </c>
      <c r="B103" s="20" t="n">
        <v>307</v>
      </c>
      <c r="C103" s="21" t="str">
        <f aca="false">Base!G90</f>
        <v>2411335: MEJORAMIENTO DEL SERVICIO EDUCATIVO EN LA I.E.S. SAN SALVADOR, - DISTRITO DE PUNO - PROVINCIA DE PUNO - DEPARTAMENTO DE PUNO</v>
      </c>
      <c r="D103" s="22" t="n">
        <f aca="false">Base!H90</f>
        <v>1272735</v>
      </c>
      <c r="E103" s="22" t="n">
        <f aca="false">Base!I90</f>
        <v>1253656.86</v>
      </c>
      <c r="F103" s="22" t="n">
        <f aca="false">D103-E103</f>
        <v>19078.1399999999</v>
      </c>
      <c r="G103" s="22" t="n">
        <f aca="false">Base!K90</f>
        <v>1181486.15</v>
      </c>
      <c r="H103" s="22" t="n">
        <f aca="false">D103-G103</f>
        <v>91248.8500000001</v>
      </c>
      <c r="I103" s="23" t="n">
        <f aca="false">IF(D103=0,0,G103/D103)</f>
        <v>0.928304910291616</v>
      </c>
      <c r="J103" s="21" t="str">
        <f aca="false">Base!O90</f>
        <v>Administración directa / Contrata / Personal/bienes/servicios / Equipamiento</v>
      </c>
      <c r="K103" s="21" t="str">
        <f aca="false">Base!P90</f>
        <v>Comprometido</v>
      </c>
      <c r="L103" s="22" t="n">
        <f aca="false">Base!Q90</f>
        <v>1216856</v>
      </c>
      <c r="M103" s="22" t="n">
        <f aca="false">Base!R90</f>
        <v>370264</v>
      </c>
      <c r="N103" s="22" t="n">
        <f aca="false">Base!S90</f>
        <v>0</v>
      </c>
      <c r="O103" s="22" t="n">
        <f aca="false">Base!T90</f>
        <v>0</v>
      </c>
      <c r="P103" s="21" t="str">
        <f aca="false">IF(Base!U90="","",Base!U90)</f>
        <v/>
      </c>
    </row>
    <row r="104" customFormat="false" ht="32.8" hidden="false" customHeight="false" outlineLevel="0" collapsed="false">
      <c r="A104" s="20" t="n">
        <f aca="false">SUBTOTAL(103,$B$6:B104)</f>
        <v>87</v>
      </c>
      <c r="B104" s="20" t="n">
        <v>333</v>
      </c>
      <c r="C104" s="21" t="str">
        <f aca="false">Base!G91</f>
        <v>2651383.MEJORAMIENTO DEL SERVICIO DE EDUCACION INICIAL EN I.E. 941 DISTRITO DE CABANILLAS DE LA PROVINCIA DE SAN ROMAN DEL DEPARTAMENTO DE PUNO</v>
      </c>
      <c r="D104" s="22" t="n">
        <f aca="false">Base!H91</f>
        <v>919876</v>
      </c>
      <c r="E104" s="22" t="n">
        <f aca="false">Base!I91</f>
        <v>340967.6</v>
      </c>
      <c r="F104" s="22" t="n">
        <f aca="false">D104-E104</f>
        <v>578908.4</v>
      </c>
      <c r="G104" s="22" t="n">
        <f aca="false">Base!K91</f>
        <v>7840.91</v>
      </c>
      <c r="H104" s="22" t="n">
        <f aca="false">D104-G104</f>
        <v>912035.09</v>
      </c>
      <c r="I104" s="23" t="n">
        <f aca="false">IF(D104=0,0,G104/D104)</f>
        <v>0.00852387713126552</v>
      </c>
      <c r="J104" s="21" t="str">
        <f aca="false">Base!O91</f>
        <v>Administración directa / Contrata / Personal/bienes/servicios / Equipamiento</v>
      </c>
      <c r="K104" s="21" t="str">
        <f aca="false">Base!P91</f>
        <v>Comprometido</v>
      </c>
      <c r="L104" s="22" t="n">
        <f aca="false">Base!Q91</f>
        <v>903516</v>
      </c>
      <c r="M104" s="22" t="n">
        <f aca="false">Base!R91</f>
        <v>919620</v>
      </c>
      <c r="N104" s="22" t="n">
        <f aca="false">Base!S91</f>
        <v>268263</v>
      </c>
      <c r="O104" s="22" t="n">
        <f aca="false">Base!T91</f>
        <v>0</v>
      </c>
      <c r="P104" s="21" t="str">
        <f aca="false">IF(Base!U91="","",Base!U91)</f>
        <v/>
      </c>
    </row>
    <row r="105" customFormat="false" ht="43.25" hidden="false" customHeight="false" outlineLevel="0" collapsed="false">
      <c r="A105" s="20" t="n">
        <f aca="false">SUBTOTAL(103,$B$6:B105)</f>
        <v>88</v>
      </c>
      <c r="B105" s="20" t="n">
        <v>173</v>
      </c>
      <c r="C105" s="21" t="str">
        <f aca="false">Base!G92</f>
        <v>2250396: INSTALACION DEL SERVICIO EDUCATIVO DEL NIVEL INICIAL ESCOLARIZADO CICLO II EN LA I.E.I N 707 DEL CENTRO POBLADO DE JACHOCCO HUARACO, DISTRITO ILAVE, PROVINCIA DE EL COLLAO - DEPARTAMENTO PUNO.</v>
      </c>
      <c r="D105" s="22" t="n">
        <f aca="false">Base!H92</f>
        <v>41720</v>
      </c>
      <c r="E105" s="22" t="n">
        <f aca="false">Base!I92</f>
        <v>31883.37</v>
      </c>
      <c r="F105" s="22" t="n">
        <f aca="false">D105-E105</f>
        <v>9836.63</v>
      </c>
      <c r="G105" s="22" t="n">
        <f aca="false">Base!K92</f>
        <v>31883.37</v>
      </c>
      <c r="H105" s="22" t="n">
        <f aca="false">D105-G105</f>
        <v>9836.63</v>
      </c>
      <c r="I105" s="23" t="n">
        <f aca="false">IF(D105=0,0,G105/D105)</f>
        <v>0.764222674976031</v>
      </c>
      <c r="J105" s="21" t="str">
        <f aca="false">Base!O92</f>
        <v>Contrata / Personal/bienes/servicios</v>
      </c>
      <c r="K105" s="21" t="str">
        <f aca="false">Base!P92</f>
        <v>Comprometido</v>
      </c>
      <c r="L105" s="22" t="n">
        <f aca="false">Base!Q92</f>
        <v>120201</v>
      </c>
      <c r="M105" s="22" t="n">
        <f aca="false">Base!R92</f>
        <v>0</v>
      </c>
      <c r="N105" s="22" t="n">
        <f aca="false">Base!S92</f>
        <v>0</v>
      </c>
      <c r="O105" s="22" t="n">
        <f aca="false">Base!T92</f>
        <v>0</v>
      </c>
      <c r="P105" s="21" t="str">
        <f aca="false">IF(Base!U92="","",Base!U92)</f>
        <v/>
      </c>
    </row>
    <row r="106" customFormat="false" ht="32.8" hidden="false" customHeight="false" outlineLevel="0" collapsed="false">
      <c r="A106" s="20" t="n">
        <f aca="false">SUBTOTAL(103,$B$6:B106)</f>
        <v>89</v>
      </c>
      <c r="B106" s="20" t="n">
        <v>180</v>
      </c>
      <c r="C106" s="21" t="str">
        <f aca="false">Base!G93</f>
        <v>2649805: MEJORAMIENTO DEL SERVICIO DE EDUCACION INICIAL EN I.E. 881 DISTRITO DE CABANILLA DE LA PROVINCIA DE LAMPA DEL DEPARTAMENTO DE PUNO</v>
      </c>
      <c r="D106" s="22" t="n">
        <f aca="false">Base!H93</f>
        <v>704972</v>
      </c>
      <c r="E106" s="22" t="n">
        <f aca="false">Base!I93</f>
        <v>309066</v>
      </c>
      <c r="F106" s="22" t="n">
        <f aca="false">D106-E106</f>
        <v>395906</v>
      </c>
      <c r="G106" s="22" t="n">
        <f aca="false">Base!K93</f>
        <v>15770.09</v>
      </c>
      <c r="H106" s="22" t="n">
        <f aca="false">D106-G106</f>
        <v>689201.91</v>
      </c>
      <c r="I106" s="23" t="n">
        <f aca="false">IF(D106=0,0,G106/D106)</f>
        <v>0.0223698104321874</v>
      </c>
      <c r="J106" s="21" t="str">
        <f aca="false">Base!O93</f>
        <v>Administración directa / Contrata / Expediente técnico / Personal/bienes/servicios</v>
      </c>
      <c r="K106" s="21" t="str">
        <f aca="false">Base!P93</f>
        <v>Comprometido</v>
      </c>
      <c r="L106" s="22" t="n">
        <f aca="false">Base!Q93</f>
        <v>100000</v>
      </c>
      <c r="M106" s="22" t="n">
        <f aca="false">Base!R93</f>
        <v>0</v>
      </c>
      <c r="N106" s="22" t="n">
        <f aca="false">Base!S93</f>
        <v>921923</v>
      </c>
      <c r="O106" s="22" t="n">
        <f aca="false">Base!T93</f>
        <v>0</v>
      </c>
      <c r="P106" s="21" t="str">
        <f aca="false">IF(Base!U93="","",Base!U93)</f>
        <v/>
      </c>
    </row>
    <row r="107" customFormat="false" ht="64.15" hidden="false" customHeight="false" outlineLevel="0" collapsed="false">
      <c r="A107" s="20" t="n">
        <f aca="false">SUBTOTAL(103,$B$6:B107)</f>
        <v>90</v>
      </c>
      <c r="B107" s="20" t="n">
        <v>83</v>
      </c>
      <c r="C107" s="21" t="str">
        <f aca="false">Base!G94</f>
        <v>2627406: RENOVACION DE AMBIENTE COMPLEMENTARIO, AULA DE EDUCACION SUPERIOR PEDAGOGICA Y CERCO PERIMETRICO; ADQUISICION DE MOBILIARIO DE AULA DE EDUCACION SUPERIOR PEDAGOGICA; ADEMAS DE OTROS ACTIVOS EN EL(LA) INSTITUTO DE EDUCACION SUPERIOR PEDAGOGICA PUBLICO JULI DEL DISTRITO DE JULI, PROVINCIA CHUCUITO, DEPARTAMENTO PUNO</v>
      </c>
      <c r="D107" s="22" t="n">
        <f aca="false">Base!H94</f>
        <v>61203</v>
      </c>
      <c r="E107" s="22" t="n">
        <f aca="false">Base!I94</f>
        <v>0</v>
      </c>
      <c r="F107" s="22" t="n">
        <f aca="false">D107-E107</f>
        <v>61203</v>
      </c>
      <c r="G107" s="22" t="n">
        <f aca="false">Base!K94</f>
        <v>0</v>
      </c>
      <c r="H107" s="22" t="n">
        <f aca="false">D107-G107</f>
        <v>61203</v>
      </c>
      <c r="I107" s="23" t="n">
        <f aca="false">IF(D107=0,0,G107/D107)</f>
        <v>0</v>
      </c>
      <c r="J107" s="21" t="str">
        <f aca="false">Base!O94</f>
        <v>Administración directa</v>
      </c>
      <c r="K107" s="21" t="str">
        <f aca="false">Base!P94</f>
        <v>Sin certificar</v>
      </c>
      <c r="L107" s="22" t="n">
        <f aca="false">Base!Q94</f>
        <v>61203</v>
      </c>
      <c r="M107" s="22" t="n">
        <f aca="false">Base!R94</f>
        <v>0</v>
      </c>
      <c r="N107" s="22" t="n">
        <f aca="false">Base!S94</f>
        <v>0</v>
      </c>
      <c r="O107" s="22" t="n">
        <f aca="false">Base!T94</f>
        <v>0</v>
      </c>
      <c r="P107" s="21" t="str">
        <f aca="false">IF(Base!U94="","",Base!U94)</f>
        <v/>
      </c>
    </row>
    <row r="108" customFormat="false" ht="15" hidden="false" customHeight="false" outlineLevel="0" collapsed="false">
      <c r="A108" s="17" t="s">
        <v>50</v>
      </c>
      <c r="B108" s="17"/>
      <c r="C108" s="17"/>
      <c r="D108" s="18" t="n">
        <f aca="false">SUM(D109:D118)</f>
        <v>67673088</v>
      </c>
      <c r="E108" s="18" t="n">
        <f aca="false">SUM(E109:E118)</f>
        <v>61457129.29</v>
      </c>
      <c r="F108" s="18" t="n">
        <f aca="false">SUM(F109:F118)</f>
        <v>6215958.71</v>
      </c>
      <c r="G108" s="18" t="n">
        <f aca="false">SUM(G109:G118)</f>
        <v>41195298.65</v>
      </c>
      <c r="H108" s="18" t="n">
        <f aca="false">SUM(H109:H118)</f>
        <v>26477789.35</v>
      </c>
      <c r="I108" s="19" t="n">
        <f aca="false">IF(D108=0,0,G108/D108)</f>
        <v>0.608739749691931</v>
      </c>
      <c r="J108" s="17"/>
      <c r="K108" s="17"/>
      <c r="L108" s="17"/>
      <c r="M108" s="17"/>
      <c r="N108" s="17"/>
      <c r="O108" s="17"/>
      <c r="P108" s="17"/>
    </row>
    <row r="109" customFormat="false" ht="32.8" hidden="false" customHeight="false" outlineLevel="0" collapsed="false">
      <c r="A109" s="20" t="n">
        <f aca="false">SUBTOTAL(103,$B$6:B109)</f>
        <v>91</v>
      </c>
      <c r="B109" s="20" t="n">
        <v>110</v>
      </c>
      <c r="C109" s="21" t="str">
        <f aca="false">Base!G95</f>
        <v>2456529.MEJORAMIENTO DE LA CARRETERA PU 147, EMP. PE-34I JIPATA - EMP. PE-34I MOHO, DISTRITO DE MOHO - PROVINCIA DE MOHO - DEPARTAMENTO DE PUNO</v>
      </c>
      <c r="D109" s="22" t="n">
        <f aca="false">Base!H95</f>
        <v>23143575</v>
      </c>
      <c r="E109" s="22" t="n">
        <f aca="false">Base!I95</f>
        <v>22275710.84</v>
      </c>
      <c r="F109" s="22" t="n">
        <f aca="false">D109-E109</f>
        <v>867864.16</v>
      </c>
      <c r="G109" s="22" t="n">
        <f aca="false">Base!K95</f>
        <v>12059018.4</v>
      </c>
      <c r="H109" s="22" t="n">
        <f aca="false">D109-G109</f>
        <v>11084556.6</v>
      </c>
      <c r="I109" s="23" t="n">
        <f aca="false">IF(D109=0,0,G109/D109)</f>
        <v>0.521052534018621</v>
      </c>
      <c r="J109" s="21" t="str">
        <f aca="false">Base!O95</f>
        <v>Administración directa / Contrata / Personal/bienes/servicios</v>
      </c>
      <c r="K109" s="21" t="str">
        <f aca="false">Base!P95</f>
        <v>Comprometido</v>
      </c>
      <c r="L109" s="22" t="n">
        <f aca="false">Base!Q95</f>
        <v>15500800</v>
      </c>
      <c r="M109" s="22" t="n">
        <f aca="false">Base!R95</f>
        <v>4458489</v>
      </c>
      <c r="N109" s="22" t="n">
        <f aca="false">Base!S95</f>
        <v>450011</v>
      </c>
      <c r="O109" s="22" t="n">
        <f aca="false">Base!T95</f>
        <v>0</v>
      </c>
      <c r="P109" s="21" t="str">
        <f aca="false">IF(Base!U95="","",Base!U95)</f>
        <v/>
      </c>
    </row>
    <row r="110" customFormat="false" ht="32.8" hidden="false" customHeight="false" outlineLevel="0" collapsed="false">
      <c r="A110" s="20" t="n">
        <f aca="false">SUBTOTAL(103,$B$6:B110)</f>
        <v>92</v>
      </c>
      <c r="B110" s="20" t="n">
        <v>103</v>
      </c>
      <c r="C110" s="21" t="str">
        <f aca="false">Base!G96</f>
        <v>2343199: MEJORAMIENTO DE LA CARRETERA (EMP 34B) AZANGARO - (EMP PU-102) JILA PURINA DE LOS DISTRITO DE AZANGARO - DISTRITO DE TIRAPATA - PROVINCIA DE AZANGARO - REGION PUNO</v>
      </c>
      <c r="D110" s="22" t="n">
        <f aca="false">Base!H96</f>
        <v>14991498</v>
      </c>
      <c r="E110" s="22" t="n">
        <f aca="false">Base!I96</f>
        <v>14685002.97</v>
      </c>
      <c r="F110" s="22" t="n">
        <f aca="false">D110-E110</f>
        <v>306495.029999999</v>
      </c>
      <c r="G110" s="22" t="n">
        <f aca="false">Base!K96</f>
        <v>11502166.71</v>
      </c>
      <c r="H110" s="22" t="n">
        <f aca="false">D110-G110</f>
        <v>3489331.29</v>
      </c>
      <c r="I110" s="23" t="n">
        <f aca="false">IF(D110=0,0,G110/D110)</f>
        <v>0.76724598902658</v>
      </c>
      <c r="J110" s="21" t="str">
        <f aca="false">Base!O96</f>
        <v>Administración directa / Contrata / Personal/bienes/servicios</v>
      </c>
      <c r="K110" s="21" t="str">
        <f aca="false">Base!P96</f>
        <v>Comprometido</v>
      </c>
      <c r="L110" s="22" t="n">
        <f aca="false">Base!Q96</f>
        <v>12491498</v>
      </c>
      <c r="M110" s="22" t="n">
        <f aca="false">Base!R96</f>
        <v>632388</v>
      </c>
      <c r="N110" s="22" t="n">
        <f aca="false">Base!S96</f>
        <v>41870</v>
      </c>
      <c r="O110" s="22" t="n">
        <f aca="false">Base!T96</f>
        <v>0</v>
      </c>
      <c r="P110" s="21" t="str">
        <f aca="false">IF(Base!U96="","",Base!U96)</f>
        <v/>
      </c>
    </row>
    <row r="111" customFormat="false" ht="32.8" hidden="false" customHeight="false" outlineLevel="0" collapsed="false">
      <c r="A111" s="20" t="n">
        <f aca="false">SUBTOTAL(103,$B$6:B111)</f>
        <v>93</v>
      </c>
      <c r="B111" s="20" t="n">
        <v>106</v>
      </c>
      <c r="C111" s="21" t="str">
        <f aca="false">Base!G97</f>
        <v>2399543: MEJORAMIENTO DEL CAMINO VECINAL EMP. R01 (DV. LOANI) - CAMICACHI - EMP. R12 (ROSACANI) DISTRITO DE ILAVE - PROVINCIA DE EL COLLAO - REGION PUNO</v>
      </c>
      <c r="D111" s="22" t="n">
        <f aca="false">Base!H97</f>
        <v>5270087</v>
      </c>
      <c r="E111" s="22" t="n">
        <f aca="false">Base!I97</f>
        <v>5222084.29</v>
      </c>
      <c r="F111" s="22" t="n">
        <f aca="false">D111-E111</f>
        <v>48002.709999999</v>
      </c>
      <c r="G111" s="22" t="n">
        <f aca="false">Base!K97</f>
        <v>5220159.29</v>
      </c>
      <c r="H111" s="22" t="n">
        <f aca="false">D111-G111</f>
        <v>49927.709999999</v>
      </c>
      <c r="I111" s="23" t="n">
        <f aca="false">IF(D111=0,0,G111/D111)</f>
        <v>0.990526207631867</v>
      </c>
      <c r="J111" s="21" t="str">
        <f aca="false">Base!O97</f>
        <v>Administración directa / Contrata / Personal/bienes/servicios</v>
      </c>
      <c r="K111" s="21" t="str">
        <f aca="false">Base!P97</f>
        <v>Comprometido</v>
      </c>
      <c r="L111" s="22" t="str">
        <f aca="false">Base!Q97</f>
        <v>No registrado en cartera</v>
      </c>
      <c r="M111" s="22" t="str">
        <f aca="false">Base!R97</f>
        <v>No registrado en cartera</v>
      </c>
      <c r="N111" s="22" t="str">
        <f aca="false">Base!S97</f>
        <v>No registrado en cartera</v>
      </c>
      <c r="O111" s="22" t="str">
        <f aca="false">Base!T97</f>
        <v>No registrado en cartera</v>
      </c>
      <c r="P111" s="21" t="str">
        <f aca="false">IF(Base!U97="","",Base!U97)</f>
        <v/>
      </c>
    </row>
    <row r="112" customFormat="false" ht="53.7" hidden="false" customHeight="false" outlineLevel="0" collapsed="false">
      <c r="A112" s="20" t="n">
        <f aca="false">SUBTOTAL(103,$B$6:B112)</f>
        <v>94</v>
      </c>
      <c r="B112" s="20" t="n">
        <v>119</v>
      </c>
      <c r="C112" s="21" t="str">
        <f aca="false">Base!G98</f>
        <v>2591951: MEJORAMIENTO DEL SERVICIO DE TRANSITABILIDAD VIAL INTERURBANA EN EL CAMINO VECINAL DEL KM0+000 (DESVIO PUENTE OCRA CHUPA) AL KM 6+373 (C.P. PEDRO VILCAPAZA DE MORORCCO), DISTRITO DE MUÑANI DE LA PROVINCIA DE AZANGARO DEL DEPARTAMENTO DE PUNO</v>
      </c>
      <c r="D112" s="22" t="n">
        <f aca="false">Base!H98</f>
        <v>6770858</v>
      </c>
      <c r="E112" s="22" t="n">
        <f aca="false">Base!I98</f>
        <v>6051014.29</v>
      </c>
      <c r="F112" s="22" t="n">
        <f aca="false">D112-E112</f>
        <v>719843.710000001</v>
      </c>
      <c r="G112" s="22" t="n">
        <f aca="false">Base!K98</f>
        <v>3961148.72</v>
      </c>
      <c r="H112" s="22" t="n">
        <f aca="false">D112-G112</f>
        <v>2809709.28</v>
      </c>
      <c r="I112" s="23" t="n">
        <f aca="false">IF(D112=0,0,G112/D112)</f>
        <v>0.585029064263347</v>
      </c>
      <c r="J112" s="21" t="str">
        <f aca="false">Base!O98</f>
        <v>Administración directa / Contrata / Personal/bienes/servicios / Equipamiento</v>
      </c>
      <c r="K112" s="21" t="str">
        <f aca="false">Base!P98</f>
        <v>Comprometido</v>
      </c>
      <c r="L112" s="22" t="str">
        <f aca="false">Base!Q98</f>
        <v>No registrado en cartera</v>
      </c>
      <c r="M112" s="22" t="str">
        <f aca="false">Base!R98</f>
        <v>No registrado en cartera</v>
      </c>
      <c r="N112" s="22" t="str">
        <f aca="false">Base!S98</f>
        <v>No registrado en cartera</v>
      </c>
      <c r="O112" s="22" t="str">
        <f aca="false">Base!T98</f>
        <v>No registrado en cartera</v>
      </c>
      <c r="P112" s="21" t="str">
        <f aca="false">IF(Base!U98="","",Base!U98)</f>
        <v/>
      </c>
    </row>
    <row r="113" customFormat="false" ht="64.15" hidden="false" customHeight="false" outlineLevel="0" collapsed="false">
      <c r="A113" s="20" t="n">
        <f aca="false">SUBTOTAL(103,$B$6:B113)</f>
        <v>95</v>
      </c>
      <c r="B113" s="20" t="n">
        <v>121</v>
      </c>
      <c r="C113" s="21" t="str">
        <f aca="false">Base!G99</f>
        <v>2602163: MEJORAMIENTO DEL SERVICIO DE TRANSITABILIDAD VIAL INTERURBANA EN LA CARRETERA PU 866 (EMP PE 34 I) - EMP PU 110 (SULLCA), PU 870 (DV TOTORANI: EMP PU 866) - EMP PU 872 (OCCOPAMPA), PU 872: EMP. PU - 866 (HUAYRAPATA) - OCCOPAMPA - EMP. PU - 870 DISTRITOS DE MOHO, HUAYRAPATA DE LA PROVINCIA DE MOHO DEL DEPARTAMENTO DE PUNO</v>
      </c>
      <c r="D113" s="22" t="n">
        <f aca="false">Base!H99</f>
        <v>2308286</v>
      </c>
      <c r="E113" s="22" t="n">
        <f aca="false">Base!I99</f>
        <v>0</v>
      </c>
      <c r="F113" s="22" t="n">
        <f aca="false">D113-E113</f>
        <v>2308286</v>
      </c>
      <c r="G113" s="22" t="n">
        <f aca="false">Base!K99</f>
        <v>0</v>
      </c>
      <c r="H113" s="22" t="n">
        <f aca="false">D113-G113</f>
        <v>2308286</v>
      </c>
      <c r="I113" s="23" t="n">
        <f aca="false">IF(D113=0,0,G113/D113)</f>
        <v>0</v>
      </c>
      <c r="J113" s="21" t="str">
        <f aca="false">Base!O99</f>
        <v>Administración directa / Contrata</v>
      </c>
      <c r="K113" s="21" t="str">
        <f aca="false">Base!P99</f>
        <v>Sin certificar</v>
      </c>
      <c r="L113" s="22" t="n">
        <f aca="false">Base!Q99</f>
        <v>800000</v>
      </c>
      <c r="M113" s="22" t="n">
        <f aca="false">Base!R99</f>
        <v>10345657</v>
      </c>
      <c r="N113" s="22" t="n">
        <f aca="false">Base!S99</f>
        <v>0</v>
      </c>
      <c r="O113" s="22" t="n">
        <f aca="false">Base!T99</f>
        <v>10973904</v>
      </c>
      <c r="P113" s="21" t="str">
        <f aca="false">IF(Base!U99="","",Base!U99)</f>
        <v/>
      </c>
    </row>
    <row r="114" customFormat="false" ht="32.8" hidden="false" customHeight="false" outlineLevel="0" collapsed="false">
      <c r="A114" s="20" t="n">
        <f aca="false">SUBTOTAL(103,$B$6:B114)</f>
        <v>96</v>
      </c>
      <c r="B114" s="20" t="n">
        <v>463</v>
      </c>
      <c r="C114" s="21" t="str">
        <f aca="false">Base!G100</f>
        <v>2511009: MEJORAMIENTO DEL SERVICIO VIAL URBANO DE LA AVENIDA INDUSTRIAL DEL CENTRO POBLADO DE SALCEDO, DISTRITO DE PUNO - PROVINCIA DE PUNO - DEPARTAMENTO DE PUNO</v>
      </c>
      <c r="D114" s="22" t="n">
        <f aca="false">Base!H100</f>
        <v>1827737</v>
      </c>
      <c r="E114" s="22" t="n">
        <f aca="false">Base!I100</f>
        <v>1014425.98</v>
      </c>
      <c r="F114" s="22" t="n">
        <f aca="false">D114-E114</f>
        <v>813311.02</v>
      </c>
      <c r="G114" s="22" t="n">
        <f aca="false">Base!K100</f>
        <v>13810.34</v>
      </c>
      <c r="H114" s="22" t="n">
        <f aca="false">D114-G114</f>
        <v>1813926.66</v>
      </c>
      <c r="I114" s="23" t="n">
        <f aca="false">IF(D114=0,0,G114/D114)</f>
        <v>0.00755597769263302</v>
      </c>
      <c r="J114" s="21" t="str">
        <f aca="false">Base!O100</f>
        <v>Administración directa / Contrata</v>
      </c>
      <c r="K114" s="21" t="str">
        <f aca="false">Base!P100</f>
        <v>Comprometido</v>
      </c>
      <c r="L114" s="22" t="str">
        <f aca="false">Base!Q100</f>
        <v>No registrado en cartera</v>
      </c>
      <c r="M114" s="22" t="str">
        <f aca="false">Base!R100</f>
        <v>No registrado en cartera</v>
      </c>
      <c r="N114" s="22" t="str">
        <f aca="false">Base!S100</f>
        <v>No registrado en cartera</v>
      </c>
      <c r="O114" s="22" t="str">
        <f aca="false">Base!T100</f>
        <v>No registrado en cartera</v>
      </c>
      <c r="P114" s="21" t="str">
        <f aca="false">IF(Base!U100="","",Base!U100)</f>
        <v/>
      </c>
    </row>
    <row r="115" customFormat="false" ht="53.7" hidden="false" customHeight="false" outlineLevel="0" collapsed="false">
      <c r="A115" s="20" t="n">
        <f aca="false">SUBTOTAL(103,$B$6:B115)</f>
        <v>97</v>
      </c>
      <c r="B115" s="20" t="n">
        <v>128</v>
      </c>
      <c r="C115" s="21" t="str">
        <f aca="false">Base!G101</f>
        <v>2634040: MEJORAMIENTO DEL SERVICIO DE TRANSITABILIDAD VIAL INTERURBANA EN EL CAMINO VECINAL, TRAMO DESVIO PUCARA - POBLACION SALINAS - ASILLO SALINAS (KM 0+000 - 1+900) DEL DISTRITO DE SAN JUAN DE SALINAS DE LA PROVINCIA DE AZANGARO DEL DEPARTAMENTO DE PUNO</v>
      </c>
      <c r="D115" s="22" t="n">
        <f aca="false">Base!H101</f>
        <v>4106961</v>
      </c>
      <c r="E115" s="22" t="n">
        <f aca="false">Base!I101</f>
        <v>3355560.21</v>
      </c>
      <c r="F115" s="22" t="n">
        <f aca="false">D115-E115</f>
        <v>751400.79</v>
      </c>
      <c r="G115" s="22" t="n">
        <f aca="false">Base!K101</f>
        <v>1831598.54</v>
      </c>
      <c r="H115" s="22" t="n">
        <f aca="false">D115-G115</f>
        <v>2275362.46</v>
      </c>
      <c r="I115" s="23" t="n">
        <f aca="false">IF(D115=0,0,G115/D115)</f>
        <v>0.445974174091256</v>
      </c>
      <c r="J115" s="21" t="str">
        <f aca="false">Base!O101</f>
        <v>Administración directa / Contrata / Personal/bienes/servicios</v>
      </c>
      <c r="K115" s="21" t="str">
        <f aca="false">Base!P101</f>
        <v>Comprometido</v>
      </c>
      <c r="L115" s="22" t="str">
        <f aca="false">Base!Q101</f>
        <v>No registrado en cartera</v>
      </c>
      <c r="M115" s="22" t="str">
        <f aca="false">Base!R101</f>
        <v>No registrado en cartera</v>
      </c>
      <c r="N115" s="22" t="str">
        <f aca="false">Base!S101</f>
        <v>No registrado en cartera</v>
      </c>
      <c r="O115" s="22" t="str">
        <f aca="false">Base!T101</f>
        <v>No registrado en cartera</v>
      </c>
      <c r="P115" s="21" t="str">
        <f aca="false">IF(Base!U101="","",Base!U101)</f>
        <v/>
      </c>
    </row>
    <row r="116" customFormat="false" ht="32.8" hidden="false" customHeight="false" outlineLevel="0" collapsed="false">
      <c r="A116" s="20" t="n">
        <f aca="false">SUBTOTAL(103,$B$6:B116)</f>
        <v>98</v>
      </c>
      <c r="B116" s="20" t="n">
        <v>105</v>
      </c>
      <c r="C116" s="21" t="str">
        <f aca="false">Base!G102</f>
        <v>2387422: MEJORAMIENTO DE LA CARRETERA TRAMO II (PUENTE CULLCO) - PICHINCUTA - QUELCAHUECO - CORARACA DEL - DISTRITO DE ILAVE - PROVINCIA DE EL COLLAO - DEPARTAMENTO DE PUNO</v>
      </c>
      <c r="D116" s="22" t="n">
        <f aca="false">Base!H102</f>
        <v>7751873</v>
      </c>
      <c r="E116" s="22" t="n">
        <f aca="false">Base!I102</f>
        <v>7482027.37</v>
      </c>
      <c r="F116" s="22" t="n">
        <f aca="false">D116-E116</f>
        <v>269845.63</v>
      </c>
      <c r="G116" s="22" t="n">
        <f aca="false">Base!K102</f>
        <v>5292812.77</v>
      </c>
      <c r="H116" s="22" t="n">
        <f aca="false">D116-G116</f>
        <v>2459060.23</v>
      </c>
      <c r="I116" s="23" t="n">
        <f aca="false">IF(D116=0,0,G116/D116)</f>
        <v>0.682778571062761</v>
      </c>
      <c r="J116" s="21" t="str">
        <f aca="false">Base!O102</f>
        <v>Administración directa / Contrata / Personal/bienes/servicios / Equipamiento</v>
      </c>
      <c r="K116" s="21" t="str">
        <f aca="false">Base!P102</f>
        <v>Comprometido</v>
      </c>
      <c r="L116" s="22" t="str">
        <f aca="false">Base!Q102</f>
        <v>No registrado en cartera</v>
      </c>
      <c r="M116" s="22" t="str">
        <f aca="false">Base!R102</f>
        <v>No registrado en cartera</v>
      </c>
      <c r="N116" s="22" t="str">
        <f aca="false">Base!S102</f>
        <v>No registrado en cartera</v>
      </c>
      <c r="O116" s="22" t="str">
        <f aca="false">Base!T102</f>
        <v>No registrado en cartera</v>
      </c>
      <c r="P116" s="21" t="str">
        <f aca="false">IF(Base!U102="","",Base!U102)</f>
        <v/>
      </c>
    </row>
    <row r="117" customFormat="false" ht="32.8" hidden="false" customHeight="false" outlineLevel="0" collapsed="false">
      <c r="A117" s="20" t="n">
        <f aca="false">SUBTOTAL(103,$B$6:B117)</f>
        <v>99</v>
      </c>
      <c r="B117" s="20" t="n">
        <v>114</v>
      </c>
      <c r="C117" s="21" t="str">
        <f aca="false">Base!G103</f>
        <v>2527184: MEJORAMIENTO DEL SERVICIO DE TRANSITABILIDAD VIAL DEL CAMINO VECINAL TRAMO VILLA PAXA A VENTILLA (PU- 1065) DEL DISTRITO DE PUNO - PROVINCIA DE PUNO - DEPARTAMENTO DE PUNO</v>
      </c>
      <c r="D117" s="22" t="n">
        <f aca="false">Base!H103</f>
        <v>936343</v>
      </c>
      <c r="E117" s="22" t="n">
        <f aca="false">Base!I103</f>
        <v>868354.77</v>
      </c>
      <c r="F117" s="22" t="n">
        <f aca="false">D117-E117</f>
        <v>67988.23</v>
      </c>
      <c r="G117" s="22" t="n">
        <f aca="false">Base!K103</f>
        <v>868354.72</v>
      </c>
      <c r="H117" s="22" t="n">
        <f aca="false">D117-G117</f>
        <v>67988.28</v>
      </c>
      <c r="I117" s="23" t="n">
        <f aca="false">IF(D117=0,0,G117/D117)</f>
        <v>0.927389557031985</v>
      </c>
      <c r="J117" s="21" t="str">
        <f aca="false">Base!O103</f>
        <v>Administración directa / Contrata / Personal/bienes/servicios</v>
      </c>
      <c r="K117" s="21" t="str">
        <f aca="false">Base!P103</f>
        <v>Comprometido</v>
      </c>
      <c r="L117" s="22" t="str">
        <f aca="false">Base!Q103</f>
        <v>No registrado en cartera</v>
      </c>
      <c r="M117" s="22" t="str">
        <f aca="false">Base!R103</f>
        <v>No registrado en cartera</v>
      </c>
      <c r="N117" s="22" t="str">
        <f aca="false">Base!S103</f>
        <v>No registrado en cartera</v>
      </c>
      <c r="O117" s="22" t="str">
        <f aca="false">Base!T103</f>
        <v>No registrado en cartera</v>
      </c>
      <c r="P117" s="21" t="str">
        <f aca="false">IF(Base!U103="","",Base!U103)</f>
        <v/>
      </c>
    </row>
    <row r="118" customFormat="false" ht="43.25" hidden="false" customHeight="false" outlineLevel="0" collapsed="false">
      <c r="A118" s="20" t="n">
        <f aca="false">SUBTOTAL(103,$B$6:B118)</f>
        <v>100</v>
      </c>
      <c r="B118" s="20" t="n">
        <v>167</v>
      </c>
      <c r="C118" s="21" t="str">
        <f aca="false">Base!G104</f>
        <v>2519621: CREACION DEL SERVICIO DE TRANSITABILIDAD VEHICULAR Y PEATONAL EN EL JR. 7 DE JUNIO Y JR. BOLOGNESI CUADRA 10 DE LA LOCALIDAD DE YUNGUYO DEL DISTRITO DE YUNGUYO - PROVINCIA DE YUNGUYO - DEPARTAMENTO DE PUNO</v>
      </c>
      <c r="D118" s="22" t="n">
        <f aca="false">Base!H104</f>
        <v>565870</v>
      </c>
      <c r="E118" s="22" t="n">
        <f aca="false">Base!I104</f>
        <v>502948.57</v>
      </c>
      <c r="F118" s="22" t="n">
        <f aca="false">D118-E118</f>
        <v>62921.43</v>
      </c>
      <c r="G118" s="22" t="n">
        <f aca="false">Base!K104</f>
        <v>446229.16</v>
      </c>
      <c r="H118" s="22" t="n">
        <f aca="false">D118-G118</f>
        <v>119640.84</v>
      </c>
      <c r="I118" s="23" t="n">
        <f aca="false">IF(D118=0,0,G118/D118)</f>
        <v>0.788571862795342</v>
      </c>
      <c r="J118" s="21" t="str">
        <f aca="false">Base!O104</f>
        <v>Administración directa / Contrata / Personal/bienes/servicios</v>
      </c>
      <c r="K118" s="21" t="str">
        <f aca="false">Base!P104</f>
        <v>Comprometido</v>
      </c>
      <c r="L118" s="22" t="str">
        <f aca="false">Base!Q104</f>
        <v>No registrado en cartera</v>
      </c>
      <c r="M118" s="22" t="str">
        <f aca="false">Base!R104</f>
        <v>No registrado en cartera</v>
      </c>
      <c r="N118" s="22" t="str">
        <f aca="false">Base!S104</f>
        <v>No registrado en cartera</v>
      </c>
      <c r="O118" s="22" t="str">
        <f aca="false">Base!T104</f>
        <v>No registrado en cartera</v>
      </c>
      <c r="P118" s="21" t="str">
        <f aca="false">IF(Base!U104="","",Base!U104)</f>
        <v/>
      </c>
    </row>
    <row r="119" customFormat="false" ht="15" hidden="false" customHeight="false" outlineLevel="0" collapsed="false">
      <c r="A119" s="17" t="s">
        <v>51</v>
      </c>
      <c r="B119" s="17"/>
      <c r="C119" s="17"/>
      <c r="D119" s="18" t="n">
        <f aca="false">SUM(D120:D122)</f>
        <v>6449080</v>
      </c>
      <c r="E119" s="18" t="n">
        <f aca="false">SUM(E120:E122)</f>
        <v>6391544.64</v>
      </c>
      <c r="F119" s="18" t="n">
        <f aca="false">SUM(F120:F122)</f>
        <v>57535.36</v>
      </c>
      <c r="G119" s="18" t="n">
        <f aca="false">SUM(G120:G122)</f>
        <v>208464.85</v>
      </c>
      <c r="H119" s="18" t="n">
        <f aca="false">SUM(H120:H122)</f>
        <v>6240615.15</v>
      </c>
      <c r="I119" s="19" t="n">
        <f aca="false">IF(D119=0,0,G119/D119)</f>
        <v>0.0323247424438835</v>
      </c>
      <c r="J119" s="17"/>
      <c r="K119" s="17"/>
      <c r="L119" s="17"/>
      <c r="M119" s="17"/>
      <c r="N119" s="17"/>
      <c r="O119" s="17"/>
      <c r="P119" s="17"/>
    </row>
    <row r="120" customFormat="false" ht="43.25" hidden="false" customHeight="false" outlineLevel="0" collapsed="false">
      <c r="A120" s="20" t="n">
        <f aca="false">SUBTOTAL(103,$B$6:B120)</f>
        <v>101</v>
      </c>
      <c r="B120" s="20" t="n">
        <v>69</v>
      </c>
      <c r="C120" s="21" t="str">
        <f aca="false">Base!G105</f>
        <v>2645446: REPARACION DE TRIBUNA Y/O PALCO Y PISTA DE ATLETISMO (DEPORTE RECREATIVO); CONSTRUCCION DE CAMPO DEPORTIVO; EN EL(LA) ESTADIO DE LA GRAN UNIDAD SAN CARLOS DISTRITO DE PUNO, PROVINCIA PUNO, DEPARTAMENTO PUNO</v>
      </c>
      <c r="D120" s="22" t="n">
        <f aca="false">Base!H105</f>
        <v>1075076</v>
      </c>
      <c r="E120" s="22" t="n">
        <f aca="false">Base!I105</f>
        <v>1062250</v>
      </c>
      <c r="F120" s="22" t="n">
        <f aca="false">D120-E120</f>
        <v>12826</v>
      </c>
      <c r="G120" s="22" t="n">
        <f aca="false">Base!K105</f>
        <v>20822.47</v>
      </c>
      <c r="H120" s="22" t="n">
        <f aca="false">D120-G120</f>
        <v>1054253.53</v>
      </c>
      <c r="I120" s="23" t="n">
        <f aca="false">IF(D120=0,0,G120/D120)</f>
        <v>0.0193683702361507</v>
      </c>
      <c r="J120" s="21" t="str">
        <f aca="false">Base!O105</f>
        <v>Contrata / Expediente técnico</v>
      </c>
      <c r="K120" s="21" t="str">
        <f aca="false">Base!P105</f>
        <v>Comprometido</v>
      </c>
      <c r="L120" s="22" t="n">
        <f aca="false">Base!Q105</f>
        <v>1062638</v>
      </c>
      <c r="M120" s="22" t="n">
        <f aca="false">Base!R105</f>
        <v>245874</v>
      </c>
      <c r="N120" s="22" t="n">
        <f aca="false">Base!S105</f>
        <v>0</v>
      </c>
      <c r="O120" s="22" t="n">
        <f aca="false">Base!T105</f>
        <v>0</v>
      </c>
      <c r="P120" s="21" t="str">
        <f aca="false">IF(Base!U105="","",Base!U105)</f>
        <v/>
      </c>
    </row>
    <row r="121" customFormat="false" ht="43.25" hidden="false" customHeight="false" outlineLevel="0" collapsed="false">
      <c r="A121" s="20" t="n">
        <f aca="false">SUBTOTAL(103,$B$6:B121)</f>
        <v>102</v>
      </c>
      <c r="B121" s="20" t="n">
        <v>73</v>
      </c>
      <c r="C121" s="21" t="str">
        <f aca="false">Base!G106</f>
        <v>2646109: REPARACION DE TRIBUNA Y/O PALCO; CONSTRUCCION DE CAMPO DEPORTIVO Y TRIBUNA Y/O PALCO; EN EL(LA) ESTADIO MUNICIPAL DE JULI DISTRITO DE JULI, PROVINCIA CHUCUITO, DEPARTAMENTO PUNO</v>
      </c>
      <c r="D121" s="22" t="n">
        <f aca="false">Base!H106</f>
        <v>4474004</v>
      </c>
      <c r="E121" s="22" t="n">
        <f aca="false">Base!I106</f>
        <v>4473905</v>
      </c>
      <c r="F121" s="22" t="n">
        <f aca="false">D121-E121</f>
        <v>99</v>
      </c>
      <c r="G121" s="22" t="n">
        <f aca="false">Base!K106</f>
        <v>0</v>
      </c>
      <c r="H121" s="22" t="n">
        <f aca="false">D121-G121</f>
        <v>4474004</v>
      </c>
      <c r="I121" s="23" t="n">
        <f aca="false">IF(D121=0,0,G121/D121)</f>
        <v>0</v>
      </c>
      <c r="J121" s="21" t="str">
        <f aca="false">Base!O106</f>
        <v>Contrata / Expediente técnico</v>
      </c>
      <c r="K121" s="21" t="str">
        <f aca="false">Base!P106</f>
        <v>Solo certificado</v>
      </c>
      <c r="L121" s="22" t="n">
        <f aca="false">Base!Q106</f>
        <v>1556258</v>
      </c>
      <c r="M121" s="22" t="n">
        <f aca="false">Base!R106</f>
        <v>2054256</v>
      </c>
      <c r="N121" s="22" t="n">
        <f aca="false">Base!S106</f>
        <v>0</v>
      </c>
      <c r="O121" s="22" t="n">
        <f aca="false">Base!T106</f>
        <v>994904</v>
      </c>
      <c r="P121" s="21" t="str">
        <f aca="false">IF(Base!U106="","",Base!U106)</f>
        <v/>
      </c>
    </row>
    <row r="122" customFormat="false" ht="32.8" hidden="false" customHeight="false" outlineLevel="0" collapsed="false">
      <c r="A122" s="20" t="n">
        <f aca="false">SUBTOTAL(103,$B$6:B122)</f>
        <v>103</v>
      </c>
      <c r="B122" s="20" t="n">
        <v>504</v>
      </c>
      <c r="C122" s="21" t="str">
        <f aca="false">Base!G107</f>
        <v>2630072.CREACION DEL SERVICIO DE PRACTICA DEPORTIVA Y/O RECREATIVA EN COLISEO CERRADO DE AYAPATA DISTRITO DE AYAPATA DE LA PROVINCIA DE CARABAYA DEL DEPARTAMENTO DE PUNO</v>
      </c>
      <c r="D122" s="22" t="n">
        <f aca="false">Base!H107</f>
        <v>900000</v>
      </c>
      <c r="E122" s="22" t="n">
        <f aca="false">Base!I107</f>
        <v>855389.64</v>
      </c>
      <c r="F122" s="22" t="n">
        <f aca="false">D122-E122</f>
        <v>44610.36</v>
      </c>
      <c r="G122" s="22" t="n">
        <f aca="false">Base!K107</f>
        <v>187642.38</v>
      </c>
      <c r="H122" s="22" t="n">
        <f aca="false">D122-G122</f>
        <v>712357.62</v>
      </c>
      <c r="I122" s="23" t="n">
        <f aca="false">IF(D122=0,0,G122/D122)</f>
        <v>0.208491533333333</v>
      </c>
      <c r="J122" s="21" t="str">
        <f aca="false">Base!O107</f>
        <v>Administración directa / Contrata / Personal/bienes/servicios / Equipamiento</v>
      </c>
      <c r="K122" s="21" t="str">
        <f aca="false">Base!P107</f>
        <v>Comprometido</v>
      </c>
      <c r="L122" s="22" t="str">
        <f aca="false">Base!Q107</f>
        <v>No registrado en cartera</v>
      </c>
      <c r="M122" s="22" t="str">
        <f aca="false">Base!R107</f>
        <v>No registrado en cartera</v>
      </c>
      <c r="N122" s="22" t="str">
        <f aca="false">Base!S107</f>
        <v>No registrado en cartera</v>
      </c>
      <c r="O122" s="22" t="str">
        <f aca="false">Base!T107</f>
        <v>No registrado en cartera</v>
      </c>
      <c r="P122" s="21" t="str">
        <f aca="false">IF(Base!U107="","",Base!U107)</f>
        <v/>
      </c>
    </row>
    <row r="123" customFormat="false" ht="15" hidden="false" customHeight="false" outlineLevel="0" collapsed="false">
      <c r="A123" s="6" t="s">
        <v>55</v>
      </c>
      <c r="B123" s="6"/>
      <c r="C123" s="6"/>
      <c r="D123" s="7" t="n">
        <f aca="false">D124+D134+D145+D147+D150</f>
        <v>209274718</v>
      </c>
      <c r="E123" s="7" t="n">
        <f aca="false">E124+E134+E145+E147+E150</f>
        <v>201858405.49</v>
      </c>
      <c r="F123" s="7" t="n">
        <f aca="false">F124+F134+F145+F147+F150</f>
        <v>7416312.51</v>
      </c>
      <c r="G123" s="7" t="n">
        <f aca="false">G124+G134+G145+G147+G150</f>
        <v>104467919.23</v>
      </c>
      <c r="H123" s="7" t="n">
        <f aca="false">H124+H134+H145+H147+H150</f>
        <v>104806798.77</v>
      </c>
      <c r="I123" s="16" t="n">
        <f aca="false">IF(D123=0,0,G123/D123)</f>
        <v>0.499190347636737</v>
      </c>
      <c r="J123" s="6"/>
      <c r="K123" s="6"/>
      <c r="L123" s="6"/>
      <c r="M123" s="6"/>
      <c r="N123" s="6"/>
      <c r="O123" s="6"/>
      <c r="P123" s="6"/>
    </row>
    <row r="124" customFormat="false" ht="15" hidden="false" customHeight="false" outlineLevel="0" collapsed="false">
      <c r="A124" s="17" t="s">
        <v>49</v>
      </c>
      <c r="B124" s="17"/>
      <c r="C124" s="17"/>
      <c r="D124" s="18" t="n">
        <f aca="false">SUM(D125:D133)</f>
        <v>41210021</v>
      </c>
      <c r="E124" s="18" t="n">
        <f aca="false">SUM(E125:E133)</f>
        <v>38883859.15</v>
      </c>
      <c r="F124" s="18" t="n">
        <f aca="false">SUM(F125:F133)</f>
        <v>2326161.85</v>
      </c>
      <c r="G124" s="18" t="n">
        <f aca="false">SUM(G125:G133)</f>
        <v>14467550.45</v>
      </c>
      <c r="H124" s="18" t="n">
        <f aca="false">SUM(H125:H133)</f>
        <v>26742470.55</v>
      </c>
      <c r="I124" s="19" t="n">
        <f aca="false">IF(D124=0,0,G124/D124)</f>
        <v>0.351068747332111</v>
      </c>
      <c r="J124" s="17"/>
      <c r="K124" s="17"/>
      <c r="L124" s="17"/>
      <c r="M124" s="17"/>
      <c r="N124" s="17"/>
      <c r="O124" s="17"/>
      <c r="P124" s="17"/>
    </row>
    <row r="125" customFormat="false" ht="43.25" hidden="false" customHeight="false" outlineLevel="0" collapsed="false">
      <c r="A125" s="20" t="n">
        <f aca="false">SUBTOTAL(103,$B$6:B125)</f>
        <v>104</v>
      </c>
      <c r="B125" s="20" t="n">
        <v>34</v>
      </c>
      <c r="C125" s="21" t="str">
        <f aca="false">Base!G108</f>
        <v>2393398: MEJORAMIENTO DEL SERVICIO EDUCATIVO DE NIVEL SECUNDARIO EN LA I.E. A - 28 PERU BIRF CENTRO POBLADO DE AZANGARO - DISTRITO DE AZANGARO - PROVINCIA DE AZANGARO - REGION PUNO</v>
      </c>
      <c r="D125" s="22" t="n">
        <f aca="false">Base!H108</f>
        <v>18692228</v>
      </c>
      <c r="E125" s="22" t="n">
        <f aca="false">Base!I108</f>
        <v>18634477.36</v>
      </c>
      <c r="F125" s="22" t="n">
        <f aca="false">D125-E125</f>
        <v>57750.6400000006</v>
      </c>
      <c r="G125" s="22" t="n">
        <f aca="false">Base!K108</f>
        <v>4987667.55</v>
      </c>
      <c r="H125" s="22" t="n">
        <f aca="false">D125-G125</f>
        <v>13704560.45</v>
      </c>
      <c r="I125" s="23" t="n">
        <f aca="false">IF(D125=0,0,G125/D125)</f>
        <v>0.266831088835424</v>
      </c>
      <c r="J125" s="21" t="str">
        <f aca="false">Base!O108</f>
        <v>Contrata / Personal/bienes/servicios / Equipamiento</v>
      </c>
      <c r="K125" s="21" t="str">
        <f aca="false">Base!P108</f>
        <v>Comprometido</v>
      </c>
      <c r="L125" s="22" t="n">
        <f aca="false">Base!Q108</f>
        <v>12431185</v>
      </c>
      <c r="M125" s="22" t="n">
        <f aca="false">Base!R108</f>
        <v>4843790</v>
      </c>
      <c r="N125" s="22" t="n">
        <f aca="false">Base!S108</f>
        <v>2910115</v>
      </c>
      <c r="O125" s="22" t="n">
        <f aca="false">Base!T108</f>
        <v>0</v>
      </c>
      <c r="P125" s="21" t="str">
        <f aca="false">IF(Base!U108="","",Base!U108)</f>
        <v/>
      </c>
    </row>
    <row r="126" customFormat="false" ht="32.8" hidden="false" customHeight="false" outlineLevel="0" collapsed="false">
      <c r="A126" s="20" t="n">
        <f aca="false">SUBTOTAL(103,$B$6:B126)</f>
        <v>105</v>
      </c>
      <c r="B126" s="20" t="n">
        <v>460</v>
      </c>
      <c r="C126" s="21" t="str">
        <f aca="false">Base!G109</f>
        <v>2500458.MEJORAMIENTO DEL SERVICIO EDUCATIVO EN LA IEP N° 70477 SAGRADO CORAZON DE JESUS DEL DISTRITO DE AYAVIRI - PROVINCIA DE MELGAR - DEPARTAMENTO DE PUNO</v>
      </c>
      <c r="D126" s="22" t="n">
        <f aca="false">Base!H109</f>
        <v>4437995</v>
      </c>
      <c r="E126" s="22" t="n">
        <f aca="false">Base!I109</f>
        <v>3573868.86</v>
      </c>
      <c r="F126" s="22" t="n">
        <f aca="false">D126-E126</f>
        <v>864126.14</v>
      </c>
      <c r="G126" s="22" t="n">
        <f aca="false">Base!K109</f>
        <v>2493396.69</v>
      </c>
      <c r="H126" s="22" t="n">
        <f aca="false">D126-G126</f>
        <v>1944598.31</v>
      </c>
      <c r="I126" s="23" t="n">
        <f aca="false">IF(D126=0,0,G126/D126)</f>
        <v>0.561829540141438</v>
      </c>
      <c r="J126" s="21" t="str">
        <f aca="false">Base!O109</f>
        <v>Administración directa / Contrata / Equipamiento / Personal/bienes/servicios</v>
      </c>
      <c r="K126" s="21" t="str">
        <f aca="false">Base!P109</f>
        <v>Comprometido</v>
      </c>
      <c r="L126" s="22" t="str">
        <f aca="false">Base!Q109</f>
        <v>No registrado en cartera</v>
      </c>
      <c r="M126" s="22" t="str">
        <f aca="false">Base!R109</f>
        <v>No registrado en cartera</v>
      </c>
      <c r="N126" s="22" t="str">
        <f aca="false">Base!S109</f>
        <v>No registrado en cartera</v>
      </c>
      <c r="O126" s="22" t="str">
        <f aca="false">Base!T109</f>
        <v>No registrado en cartera</v>
      </c>
      <c r="P126" s="21" t="str">
        <f aca="false">IF(Base!U109="","",Base!U109)</f>
        <v/>
      </c>
    </row>
    <row r="127" customFormat="false" ht="43.25" hidden="false" customHeight="false" outlineLevel="0" collapsed="false">
      <c r="A127" s="20" t="n">
        <f aca="false">SUBTOTAL(103,$B$6:B127)</f>
        <v>106</v>
      </c>
      <c r="B127" s="20" t="n">
        <v>455</v>
      </c>
      <c r="C127" s="21" t="str">
        <f aca="false">Base!G110</f>
        <v>2453224.MEJORAMIENTO DE LOS SERVICIOS DE EDUCACION SECUNDARIA DE LA INSTITUCION EDUCATIVA LIBERTADOR JOSE DE SAN MARTIN DE HUARISANI DEL DISTRITO DE HUANCANE - PROVINCIA DE HUANCANE - DEPARTAMENTO DE PUNO</v>
      </c>
      <c r="D127" s="22" t="n">
        <f aca="false">Base!H110</f>
        <v>4265759</v>
      </c>
      <c r="E127" s="22" t="n">
        <f aca="false">Base!I110</f>
        <v>3847052.94</v>
      </c>
      <c r="F127" s="22" t="n">
        <f aca="false">D127-E127</f>
        <v>418706.06</v>
      </c>
      <c r="G127" s="22" t="n">
        <f aca="false">Base!K110</f>
        <v>2741829.61</v>
      </c>
      <c r="H127" s="22" t="n">
        <f aca="false">D127-G127</f>
        <v>1523929.39</v>
      </c>
      <c r="I127" s="23" t="n">
        <f aca="false">IF(D127=0,0,G127/D127)</f>
        <v>0.64275305051223</v>
      </c>
      <c r="J127" s="21" t="str">
        <f aca="false">Base!O110</f>
        <v>Administración directa / Contrata / Equipamiento / Personal/bienes/servicios</v>
      </c>
      <c r="K127" s="21" t="str">
        <f aca="false">Base!P110</f>
        <v>Comprometido</v>
      </c>
      <c r="L127" s="22" t="str">
        <f aca="false">Base!Q110</f>
        <v>No registrado en cartera</v>
      </c>
      <c r="M127" s="22" t="str">
        <f aca="false">Base!R110</f>
        <v>No registrado en cartera</v>
      </c>
      <c r="N127" s="22" t="str">
        <f aca="false">Base!S110</f>
        <v>No registrado en cartera</v>
      </c>
      <c r="O127" s="22" t="str">
        <f aca="false">Base!T110</f>
        <v>No registrado en cartera</v>
      </c>
      <c r="P127" s="21" t="str">
        <f aca="false">IF(Base!U110="","",Base!U110)</f>
        <v/>
      </c>
    </row>
    <row r="128" customFormat="false" ht="32.8" hidden="false" customHeight="false" outlineLevel="0" collapsed="false">
      <c r="A128" s="20" t="n">
        <f aca="false">SUBTOTAL(103,$B$6:B128)</f>
        <v>107</v>
      </c>
      <c r="B128" s="20" t="n">
        <v>172</v>
      </c>
      <c r="C128" s="21" t="str">
        <f aca="false">Base!G111</f>
        <v>2250382: INSTALACION DE LOS SERVICIOS DE EDUCACION INICIAL EN LA I.E.I. CHIA, DEL C.P. DE CHIA, DEL DISTRITO DE OLLACHEA - PROVINCIA CARABAYA - REGION PUNO</v>
      </c>
      <c r="D128" s="22" t="n">
        <f aca="false">Base!H111</f>
        <v>2342684</v>
      </c>
      <c r="E128" s="22" t="n">
        <f aca="false">Base!I111</f>
        <v>2159343.33</v>
      </c>
      <c r="F128" s="22" t="n">
        <f aca="false">D128-E128</f>
        <v>183340.67</v>
      </c>
      <c r="G128" s="22" t="n">
        <f aca="false">Base!K111</f>
        <v>1123789.35</v>
      </c>
      <c r="H128" s="22" t="n">
        <f aca="false">D128-G128</f>
        <v>1218894.65</v>
      </c>
      <c r="I128" s="23" t="n">
        <f aca="false">IF(D128=0,0,G128/D128)</f>
        <v>0.479701637096595</v>
      </c>
      <c r="J128" s="21" t="str">
        <f aca="false">Base!O111</f>
        <v>Administración directa / Contrata / Personal/bienes/servicios</v>
      </c>
      <c r="K128" s="21" t="str">
        <f aca="false">Base!P111</f>
        <v>Comprometido</v>
      </c>
      <c r="L128" s="22" t="n">
        <f aca="false">Base!Q111</f>
        <v>800000</v>
      </c>
      <c r="M128" s="22" t="n">
        <f aca="false">Base!R111</f>
        <v>26969</v>
      </c>
      <c r="N128" s="22" t="n">
        <f aca="false">Base!S111</f>
        <v>0</v>
      </c>
      <c r="O128" s="22" t="n">
        <f aca="false">Base!T111</f>
        <v>0</v>
      </c>
      <c r="P128" s="21" t="str">
        <f aca="false">IF(Base!U111="","",Base!U111)</f>
        <v/>
      </c>
    </row>
    <row r="129" customFormat="false" ht="43.25" hidden="false" customHeight="false" outlineLevel="0" collapsed="false">
      <c r="A129" s="20" t="n">
        <f aca="false">SUBTOTAL(103,$B$6:B129)</f>
        <v>108</v>
      </c>
      <c r="B129" s="20" t="n">
        <v>28</v>
      </c>
      <c r="C129" s="21" t="str">
        <f aca="false">Base!G112</f>
        <v>2344253: MEJORAMIENTO DEL SERVICIO EDUCATIVO EN LA I.E.S. JOSE ANTONIO ENCINAS FRANCO, CENTRO POBLADO DE LECHEMAYO DEL DISTRITO DE SAN GABAN - PROVINCIA DE CARABAYA - DEPARTAMENTO DE PUNO</v>
      </c>
      <c r="D129" s="22" t="n">
        <f aca="false">Base!H112</f>
        <v>4026127</v>
      </c>
      <c r="E129" s="22" t="n">
        <f aca="false">Base!I112</f>
        <v>3933834.94</v>
      </c>
      <c r="F129" s="22" t="n">
        <f aca="false">D129-E129</f>
        <v>92292.0600000001</v>
      </c>
      <c r="G129" s="22" t="n">
        <f aca="false">Base!K112</f>
        <v>1387806.25</v>
      </c>
      <c r="H129" s="22" t="n">
        <f aca="false">D129-G129</f>
        <v>2638320.75</v>
      </c>
      <c r="I129" s="23" t="n">
        <f aca="false">IF(D129=0,0,G129/D129)</f>
        <v>0.344700067831939</v>
      </c>
      <c r="J129" s="21" t="str">
        <f aca="false">Base!O112</f>
        <v>Contrata / Personal/bienes/servicios</v>
      </c>
      <c r="K129" s="21" t="str">
        <f aca="false">Base!P112</f>
        <v>Comprometido</v>
      </c>
      <c r="L129" s="22" t="n">
        <f aca="false">Base!Q112</f>
        <v>2120577</v>
      </c>
      <c r="M129" s="22" t="n">
        <f aca="false">Base!R112</f>
        <v>5094106</v>
      </c>
      <c r="N129" s="22" t="n">
        <f aca="false">Base!S112</f>
        <v>4994536</v>
      </c>
      <c r="O129" s="22" t="n">
        <f aca="false">Base!T112</f>
        <v>0</v>
      </c>
      <c r="P129" s="21" t="str">
        <f aca="false">IF(Base!U112="","",Base!U112)</f>
        <v/>
      </c>
    </row>
    <row r="130" customFormat="false" ht="32.8" hidden="false" customHeight="false" outlineLevel="0" collapsed="false">
      <c r="A130" s="20" t="n">
        <f aca="false">SUBTOTAL(103,$B$6:B130)</f>
        <v>109</v>
      </c>
      <c r="B130" s="20" t="n">
        <v>32</v>
      </c>
      <c r="C130" s="21" t="str">
        <f aca="false">Base!G113</f>
        <v>2385051: MEJORAMIENTO DEL SERVICIO EDUCATIVO EN LA I.E.S. SAN JUAN BOSCO DE SALCEDO CON JORNADA ESCOLAR COMPLETA DISTRITO DE PUNO - PROVINCIA DE PUNO - REGION PUNO</v>
      </c>
      <c r="D130" s="22" t="n">
        <f aca="false">Base!H113</f>
        <v>4927527</v>
      </c>
      <c r="E130" s="22" t="n">
        <f aca="false">Base!I113</f>
        <v>4223260.69</v>
      </c>
      <c r="F130" s="22" t="n">
        <f aca="false">D130-E130</f>
        <v>704266.310000002</v>
      </c>
      <c r="G130" s="22" t="n">
        <f aca="false">Base!K113</f>
        <v>1725644.14</v>
      </c>
      <c r="H130" s="22" t="n">
        <f aca="false">D130-G130</f>
        <v>3201882.86</v>
      </c>
      <c r="I130" s="23" t="n">
        <f aca="false">IF(D130=0,0,G130/D130)</f>
        <v>0.350204908060372</v>
      </c>
      <c r="J130" s="21" t="str">
        <f aca="false">Base!O113</f>
        <v>Administración directa / Contrata / Equipamiento / Personal/bienes/servicios</v>
      </c>
      <c r="K130" s="21" t="str">
        <f aca="false">Base!P113</f>
        <v>Comprometido</v>
      </c>
      <c r="L130" s="22" t="n">
        <f aca="false">Base!Q113</f>
        <v>2000000</v>
      </c>
      <c r="M130" s="22" t="n">
        <f aca="false">Base!R113</f>
        <v>8000000</v>
      </c>
      <c r="N130" s="22" t="n">
        <f aca="false">Base!S113</f>
        <v>9133500</v>
      </c>
      <c r="O130" s="22" t="n">
        <f aca="false">Base!T113</f>
        <v>8629252</v>
      </c>
      <c r="P130" s="21" t="str">
        <f aca="false">IF(Base!U113="","",Base!U113)</f>
        <v/>
      </c>
    </row>
    <row r="131" customFormat="false" ht="43.25" hidden="false" customHeight="false" outlineLevel="0" collapsed="false">
      <c r="A131" s="20" t="n">
        <f aca="false">SUBTOTAL(103,$B$6:B131)</f>
        <v>110</v>
      </c>
      <c r="B131" s="20" t="n">
        <v>156</v>
      </c>
      <c r="C131" s="21" t="str">
        <f aca="false">Base!G114</f>
        <v>2566572: MEJORAMIENTO Y AMPLIACION DE LOS SERVICIOS DE EDUCACION SUPERIOR DEL INSTITUTO SUPERIOR TECNOLOGICO PUBLICO DE NUÑOA DEL DISTRITO DE NUÑOA - PROVINCIA DE MELGAR - DEPARTAMENTO DE PUNO</v>
      </c>
      <c r="D131" s="22" t="n">
        <f aca="false">Base!H114</f>
        <v>1479604</v>
      </c>
      <c r="E131" s="22" t="n">
        <f aca="false">Base!I114</f>
        <v>1473924.03</v>
      </c>
      <c r="F131" s="22" t="n">
        <f aca="false">D131-E131</f>
        <v>5679.96999999997</v>
      </c>
      <c r="G131" s="22" t="n">
        <f aca="false">Base!K114</f>
        <v>7416.86</v>
      </c>
      <c r="H131" s="22" t="n">
        <f aca="false">D131-G131</f>
        <v>1472187.14</v>
      </c>
      <c r="I131" s="23" t="n">
        <f aca="false">IF(D131=0,0,G131/D131)</f>
        <v>0.00501273313670415</v>
      </c>
      <c r="J131" s="21" t="str">
        <f aca="false">Base!O114</f>
        <v>Contrata / Expediente técnico</v>
      </c>
      <c r="K131" s="21" t="str">
        <f aca="false">Base!P114</f>
        <v>Comprometido</v>
      </c>
      <c r="L131" s="22" t="n">
        <f aca="false">Base!Q114</f>
        <v>3000000</v>
      </c>
      <c r="M131" s="22" t="n">
        <f aca="false">Base!R114</f>
        <v>6984785</v>
      </c>
      <c r="N131" s="22" t="n">
        <f aca="false">Base!S114</f>
        <v>0</v>
      </c>
      <c r="O131" s="22" t="n">
        <f aca="false">Base!T114</f>
        <v>6681576</v>
      </c>
      <c r="P131" s="21" t="str">
        <f aca="false">IF(Base!U114="","",Base!U114)</f>
        <v/>
      </c>
    </row>
    <row r="132" customFormat="false" ht="43.25" hidden="false" customHeight="false" outlineLevel="0" collapsed="false">
      <c r="A132" s="20" t="n">
        <f aca="false">SUBTOTAL(103,$B$6:B132)</f>
        <v>111</v>
      </c>
      <c r="B132" s="20" t="n">
        <v>506</v>
      </c>
      <c r="C132" s="21" t="str">
        <f aca="false">Base!G115</f>
        <v>2501244.MEJORAMIENTO DEL SERVICIO EDUCATIVO DEL NIVEL SECUNDARIA DE LA I.E. AGROPECUARIO PAMPA YANAMAYO DEL DISTRITO DE ALTO INAMBARI - PROVINCIA DE SANDIA - DEPARTAMENTO DE PUNO</v>
      </c>
      <c r="D132" s="22" t="n">
        <f aca="false">Base!H115</f>
        <v>1038097</v>
      </c>
      <c r="E132" s="22" t="n">
        <f aca="false">Base!I115</f>
        <v>1038097</v>
      </c>
      <c r="F132" s="22" t="n">
        <f aca="false">D132-E132</f>
        <v>0</v>
      </c>
      <c r="G132" s="22" t="n">
        <f aca="false">Base!K115</f>
        <v>0</v>
      </c>
      <c r="H132" s="22" t="n">
        <f aca="false">D132-G132</f>
        <v>1038097</v>
      </c>
      <c r="I132" s="23" t="n">
        <f aca="false">IF(D132=0,0,G132/D132)</f>
        <v>0</v>
      </c>
      <c r="J132" s="21" t="str">
        <f aca="false">Base!O115</f>
        <v>Contrata</v>
      </c>
      <c r="K132" s="21" t="str">
        <f aca="false">Base!P115</f>
        <v>Solo certificado</v>
      </c>
      <c r="L132" s="22" t="str">
        <f aca="false">Base!Q115</f>
        <v>No registrado en cartera</v>
      </c>
      <c r="M132" s="22" t="str">
        <f aca="false">Base!R115</f>
        <v>No registrado en cartera</v>
      </c>
      <c r="N132" s="22" t="str">
        <f aca="false">Base!S115</f>
        <v>No registrado en cartera</v>
      </c>
      <c r="O132" s="22" t="str">
        <f aca="false">Base!T115</f>
        <v>No registrado en cartera</v>
      </c>
      <c r="P132" s="21" t="str">
        <f aca="false">IF(Base!U115="","",Base!U115)</f>
        <v/>
      </c>
    </row>
    <row r="133" customFormat="false" ht="32.8" hidden="false" customHeight="false" outlineLevel="0" collapsed="false">
      <c r="A133" s="20" t="n">
        <f aca="false">SUBTOTAL(103,$B$6:B133)</f>
        <v>112</v>
      </c>
      <c r="B133" s="20" t="n">
        <v>23</v>
      </c>
      <c r="C133" s="21" t="str">
        <f aca="false">Base!G116</f>
        <v>2194501: INSTALACION DEL SERVICIO EDUCATIVO DE LA INSTITUCION EDUCATIVA SECUNDARIA SANTA MONICA EN EL DISTRITO DE JULIACA, PROVINCIA DE SAN ROMAN - PUNO.</v>
      </c>
      <c r="D133" s="22" t="n">
        <f aca="false">Base!H116</f>
        <v>0</v>
      </c>
      <c r="E133" s="22" t="n">
        <f aca="false">Base!I116</f>
        <v>0</v>
      </c>
      <c r="F133" s="22" t="n">
        <f aca="false">D133-E133</f>
        <v>0</v>
      </c>
      <c r="G133" s="22" t="n">
        <f aca="false">Base!K116</f>
        <v>0</v>
      </c>
      <c r="H133" s="22" t="n">
        <f aca="false">D133-G133</f>
        <v>0</v>
      </c>
      <c r="I133" s="23" t="n">
        <f aca="false">IF(D133=0,0,G133/D133)</f>
        <v>0</v>
      </c>
      <c r="J133" s="21" t="str">
        <f aca="false">Base!O116</f>
        <v>Personal/bienes/servicios</v>
      </c>
      <c r="K133" s="21" t="str">
        <f aca="false">Base!P116</f>
        <v>Sin PIM</v>
      </c>
      <c r="L133" s="22" t="n">
        <f aca="false">Base!Q116</f>
        <v>144908</v>
      </c>
      <c r="M133" s="22" t="n">
        <f aca="false">Base!R116</f>
        <v>229001</v>
      </c>
      <c r="N133" s="22" t="n">
        <f aca="false">Base!S116</f>
        <v>0</v>
      </c>
      <c r="O133" s="22" t="n">
        <f aca="false">Base!T116</f>
        <v>0</v>
      </c>
      <c r="P133" s="21" t="str">
        <f aca="false">IF(Base!U116="","",Base!U116)</f>
        <v/>
      </c>
    </row>
    <row r="134" customFormat="false" ht="15" hidden="false" customHeight="false" outlineLevel="0" collapsed="false">
      <c r="A134" s="17" t="s">
        <v>48</v>
      </c>
      <c r="B134" s="17"/>
      <c r="C134" s="17"/>
      <c r="D134" s="18" t="n">
        <f aca="false">SUM(D135:D144)</f>
        <v>153365775</v>
      </c>
      <c r="E134" s="18" t="n">
        <f aca="false">SUM(E135:E144)</f>
        <v>148423261.8</v>
      </c>
      <c r="F134" s="18" t="n">
        <f aca="false">SUM(F135:F144)</f>
        <v>4942513.2</v>
      </c>
      <c r="G134" s="18" t="n">
        <f aca="false">SUM(G135:G144)</f>
        <v>83725797</v>
      </c>
      <c r="H134" s="18" t="n">
        <f aca="false">SUM(H135:H144)</f>
        <v>69639978</v>
      </c>
      <c r="I134" s="19" t="n">
        <f aca="false">IF(D134=0,0,G134/D134)</f>
        <v>0.545922302417211</v>
      </c>
      <c r="J134" s="17"/>
      <c r="K134" s="17"/>
      <c r="L134" s="17"/>
      <c r="M134" s="17"/>
      <c r="N134" s="17"/>
      <c r="O134" s="17"/>
      <c r="P134" s="17"/>
    </row>
    <row r="135" customFormat="false" ht="32.8" hidden="false" customHeight="false" outlineLevel="0" collapsed="false">
      <c r="A135" s="20" t="n">
        <f aca="false">SUBTOTAL(103,$B$6:B135)</f>
        <v>113</v>
      </c>
      <c r="B135" s="20" t="n">
        <v>219</v>
      </c>
      <c r="C135" s="21" t="str">
        <f aca="false">Base!G117</f>
        <v>2251136: MEJORAMIENTO DE LA CAPACIDAD RESOLUTIVA DEL HOSPITAL LUCIO ALDAZABAL PAUCA DE REDES HUANCANE, PROVINCIA DE HUANCANE - REGION PUNO</v>
      </c>
      <c r="D135" s="22" t="n">
        <f aca="false">Base!H117</f>
        <v>56150305</v>
      </c>
      <c r="E135" s="22" t="n">
        <f aca="false">Base!I117</f>
        <v>56150304.02</v>
      </c>
      <c r="F135" s="22" t="n">
        <f aca="false">D135-E135</f>
        <v>0.979999996721745</v>
      </c>
      <c r="G135" s="22" t="n">
        <f aca="false">Base!K117</f>
        <v>29724123.72</v>
      </c>
      <c r="H135" s="22" t="n">
        <f aca="false">D135-G135</f>
        <v>26426181.28</v>
      </c>
      <c r="I135" s="23" t="n">
        <f aca="false">IF(D135=0,0,G135/D135)</f>
        <v>0.529367092841259</v>
      </c>
      <c r="J135" s="21" t="str">
        <f aca="false">Base!O117</f>
        <v>Contrata / Personal/bienes/servicios</v>
      </c>
      <c r="K135" s="21" t="str">
        <f aca="false">Base!P117</f>
        <v>Comprometido</v>
      </c>
      <c r="L135" s="22" t="str">
        <f aca="false">Base!Q117</f>
        <v>No registrado en cartera</v>
      </c>
      <c r="M135" s="22" t="str">
        <f aca="false">Base!R117</f>
        <v>No registrado en cartera</v>
      </c>
      <c r="N135" s="22" t="str">
        <f aca="false">Base!S117</f>
        <v>No registrado en cartera</v>
      </c>
      <c r="O135" s="22" t="str">
        <f aca="false">Base!T117</f>
        <v>No registrado en cartera</v>
      </c>
      <c r="P135" s="21" t="str">
        <f aca="false">IF(Base!U117="","",Base!U117)</f>
        <v/>
      </c>
    </row>
    <row r="136" customFormat="false" ht="43.25" hidden="false" customHeight="false" outlineLevel="0" collapsed="false">
      <c r="A136" s="20" t="n">
        <f aca="false">SUBTOTAL(103,$B$6:B136)</f>
        <v>114</v>
      </c>
      <c r="B136" s="20" t="n">
        <v>240</v>
      </c>
      <c r="C136" s="21" t="str">
        <f aca="false">Base!G118</f>
        <v>2490087: MEJORAMIENTO Y AMPLIACION DE LOS SERVICIOS DE SALUD DEL ESTABLECIMIENTO DE SALUD NIVEL I- 4 DE LA LOCALIDAD DE TARACO, DISTRITO DE TARACO - PROVINCIA DE HUANCANE - DEPARTAMENTO DE PUNO</v>
      </c>
      <c r="D136" s="22" t="n">
        <f aca="false">Base!H118</f>
        <v>8766661</v>
      </c>
      <c r="E136" s="22" t="n">
        <f aca="false">Base!I118</f>
        <v>8493624.37</v>
      </c>
      <c r="F136" s="22" t="n">
        <f aca="false">D136-E136</f>
        <v>273036.629999999</v>
      </c>
      <c r="G136" s="22" t="n">
        <f aca="false">Base!K118</f>
        <v>3843826.37</v>
      </c>
      <c r="H136" s="22" t="n">
        <f aca="false">D136-G136</f>
        <v>4922834.63</v>
      </c>
      <c r="I136" s="23" t="n">
        <f aca="false">IF(D136=0,0,G136/D136)</f>
        <v>0.438459565163978</v>
      </c>
      <c r="J136" s="21" t="str">
        <f aca="false">Base!O118</f>
        <v>Contrata / Personal/bienes/servicios</v>
      </c>
      <c r="K136" s="21" t="str">
        <f aca="false">Base!P118</f>
        <v>Comprometido</v>
      </c>
      <c r="L136" s="22" t="n">
        <f aca="false">Base!Q118</f>
        <v>22181694</v>
      </c>
      <c r="M136" s="22" t="n">
        <f aca="false">Base!R118</f>
        <v>12443559</v>
      </c>
      <c r="N136" s="22" t="n">
        <f aca="false">Base!S118</f>
        <v>23194677</v>
      </c>
      <c r="O136" s="22" t="n">
        <f aca="false">Base!T118</f>
        <v>529157</v>
      </c>
      <c r="P136" s="21" t="str">
        <f aca="false">IF(Base!U118="","",Base!U118)</f>
        <v/>
      </c>
    </row>
    <row r="137" customFormat="false" ht="43.25" hidden="false" customHeight="false" outlineLevel="0" collapsed="false">
      <c r="A137" s="20" t="n">
        <f aca="false">SUBTOTAL(103,$B$6:B137)</f>
        <v>115</v>
      </c>
      <c r="B137" s="20" t="n">
        <v>226</v>
      </c>
      <c r="C137" s="21" t="str">
        <f aca="false">Base!G119</f>
        <v>2357089: MEJORAMIENTO DE LOS SERVICIOS DEL CENTRO DE SALUD ESTRATEGICO SIMON BOLIVAR CATEGORIA I-4 RED DE SALUD PUNO, DISTRITO PUNO - PROVINCIA DE PUNO - REGION PUNO DISTRITO DE PUNO - PROVINCIA DE PUNO - DEPARTAMENTO DE PUNO</v>
      </c>
      <c r="D137" s="22" t="n">
        <f aca="false">Base!H119</f>
        <v>18753537</v>
      </c>
      <c r="E137" s="22" t="n">
        <f aca="false">Base!I119</f>
        <v>18471517.02</v>
      </c>
      <c r="F137" s="22" t="n">
        <f aca="false">D137-E137</f>
        <v>282019.98</v>
      </c>
      <c r="G137" s="22" t="n">
        <f aca="false">Base!K119</f>
        <v>17212318.05</v>
      </c>
      <c r="H137" s="22" t="n">
        <f aca="false">D137-G137</f>
        <v>1541218.95</v>
      </c>
      <c r="I137" s="23" t="n">
        <f aca="false">IF(D137=0,0,G137/D137)</f>
        <v>0.917817158971132</v>
      </c>
      <c r="J137" s="21" t="str">
        <f aca="false">Base!O119</f>
        <v>Contrata</v>
      </c>
      <c r="K137" s="21" t="str">
        <f aca="false">Base!P119</f>
        <v>Comprometido</v>
      </c>
      <c r="L137" s="22" t="n">
        <f aca="false">Base!Q119</f>
        <v>12200258</v>
      </c>
      <c r="M137" s="22" t="n">
        <f aca="false">Base!R119</f>
        <v>14587856</v>
      </c>
      <c r="N137" s="22" t="n">
        <f aca="false">Base!S119</f>
        <v>16487882</v>
      </c>
      <c r="O137" s="22" t="n">
        <f aca="false">Base!T119</f>
        <v>20726909</v>
      </c>
      <c r="P137" s="21" t="str">
        <f aca="false">IF(Base!U119="","",Base!U119)</f>
        <v/>
      </c>
    </row>
    <row r="138" customFormat="false" ht="32.8" hidden="false" customHeight="false" outlineLevel="0" collapsed="false">
      <c r="A138" s="20" t="n">
        <f aca="false">SUBTOTAL(103,$B$6:B138)</f>
        <v>116</v>
      </c>
      <c r="B138" s="20" t="n">
        <v>234</v>
      </c>
      <c r="C138" s="21" t="str">
        <f aca="false">Base!G120</f>
        <v>2435272: MEJORAMIENTO Y AMPLIACION DE LOS SERVICIOS DE SALUD DEL CENTRO DE SALUD LA REVOLUCION (NIVEL I-4) DISTRITO DE SAN MIGUEL - PROVINCIA DE SAN ROMAN - DEPARTAMENTO DE PUNO</v>
      </c>
      <c r="D138" s="22" t="n">
        <f aca="false">Base!H120</f>
        <v>17484286</v>
      </c>
      <c r="E138" s="22" t="n">
        <f aca="false">Base!I120</f>
        <v>17380462.93</v>
      </c>
      <c r="F138" s="22" t="n">
        <f aca="false">D138-E138</f>
        <v>103823.07</v>
      </c>
      <c r="G138" s="22" t="n">
        <f aca="false">Base!K120</f>
        <v>15761867.26</v>
      </c>
      <c r="H138" s="22" t="n">
        <f aca="false">D138-G138</f>
        <v>1722418.74</v>
      </c>
      <c r="I138" s="23" t="n">
        <f aca="false">IF(D138=0,0,G138/D138)</f>
        <v>0.901487613506208</v>
      </c>
      <c r="J138" s="21" t="str">
        <f aca="false">Base!O120</f>
        <v>Contrata</v>
      </c>
      <c r="K138" s="21" t="str">
        <f aca="false">Base!P120</f>
        <v>Comprometido</v>
      </c>
      <c r="L138" s="22" t="n">
        <f aca="false">Base!Q120</f>
        <v>12000000</v>
      </c>
      <c r="M138" s="22" t="n">
        <f aca="false">Base!R120</f>
        <v>14587598</v>
      </c>
      <c r="N138" s="22" t="n">
        <f aca="false">Base!S120</f>
        <v>26545222</v>
      </c>
      <c r="O138" s="22" t="n">
        <f aca="false">Base!T120</f>
        <v>3405517</v>
      </c>
      <c r="P138" s="21" t="str">
        <f aca="false">IF(Base!U120="","",Base!U120)</f>
        <v/>
      </c>
    </row>
    <row r="139" customFormat="false" ht="32.8" hidden="false" customHeight="false" outlineLevel="0" collapsed="false">
      <c r="A139" s="20" t="n">
        <f aca="false">SUBTOTAL(103,$B$6:B139)</f>
        <v>117</v>
      </c>
      <c r="B139" s="20" t="n">
        <v>434</v>
      </c>
      <c r="C139" s="21" t="str">
        <f aca="false">Base!G121</f>
        <v>2278822: MEJORAMIENTO DE LOS SERVICIOS DE SALUD DEL HOSPITAL RAFAEL ORTIZ RAVINES DE JULI, PROVINCIA DE CHUCUITO - REGION PUNO</v>
      </c>
      <c r="D139" s="22" t="n">
        <f aca="false">Base!H121</f>
        <v>41519761</v>
      </c>
      <c r="E139" s="22" t="n">
        <f aca="false">Base!I121</f>
        <v>39201248.73</v>
      </c>
      <c r="F139" s="22" t="n">
        <f aca="false">D139-E139</f>
        <v>2318512.27</v>
      </c>
      <c r="G139" s="22" t="n">
        <f aca="false">Base!K121</f>
        <v>10652959.62</v>
      </c>
      <c r="H139" s="22" t="n">
        <f aca="false">D139-G139</f>
        <v>30866801.38</v>
      </c>
      <c r="I139" s="23" t="n">
        <f aca="false">IF(D139=0,0,G139/D139)</f>
        <v>0.256575648881987</v>
      </c>
      <c r="J139" s="21" t="str">
        <f aca="false">Base!O121</f>
        <v>Contrata</v>
      </c>
      <c r="K139" s="21" t="str">
        <f aca="false">Base!P121</f>
        <v>Comprometido</v>
      </c>
      <c r="L139" s="22" t="str">
        <f aca="false">Base!Q121</f>
        <v>No registrado en cartera</v>
      </c>
      <c r="M139" s="22" t="str">
        <f aca="false">Base!R121</f>
        <v>No registrado en cartera</v>
      </c>
      <c r="N139" s="22" t="str">
        <f aca="false">Base!S121</f>
        <v>No registrado en cartera</v>
      </c>
      <c r="O139" s="22" t="str">
        <f aca="false">Base!T121</f>
        <v>No registrado en cartera</v>
      </c>
      <c r="P139" s="21" t="str">
        <f aca="false">IF(Base!U121="","",Base!U121)</f>
        <v/>
      </c>
    </row>
    <row r="140" customFormat="false" ht="32.8" hidden="false" customHeight="false" outlineLevel="0" collapsed="false">
      <c r="A140" s="20" t="n">
        <f aca="false">SUBTOTAL(103,$B$6:B140)</f>
        <v>118</v>
      </c>
      <c r="B140" s="20" t="n">
        <v>233</v>
      </c>
      <c r="C140" s="21" t="str">
        <f aca="false">Base!G122</f>
        <v>2427364: MEJORAMIENTO DE LOS SERVICIOS DE SALUD DEL HOSPITAL ANTONIO BARRIONUEVO DISTRITO DE LAMPA - PROVINCIA DE LAMPA - DEPARTAMENTO DE PUNO</v>
      </c>
      <c r="D140" s="22" t="n">
        <f aca="false">Base!H122</f>
        <v>966193</v>
      </c>
      <c r="E140" s="22" t="n">
        <f aca="false">Base!I122</f>
        <v>746819.06</v>
      </c>
      <c r="F140" s="22" t="n">
        <f aca="false">D140-E140</f>
        <v>219373.94</v>
      </c>
      <c r="G140" s="22" t="n">
        <f aca="false">Base!K122</f>
        <v>6257.4</v>
      </c>
      <c r="H140" s="22" t="n">
        <f aca="false">D140-G140</f>
        <v>959935.6</v>
      </c>
      <c r="I140" s="23" t="n">
        <f aca="false">IF(D140=0,0,G140/D140)</f>
        <v>0.00647634582324649</v>
      </c>
      <c r="J140" s="21" t="str">
        <f aca="false">Base!O122</f>
        <v>Contrata / Expediente técnico / Laudos arbitrales</v>
      </c>
      <c r="K140" s="21" t="str">
        <f aca="false">Base!P122</f>
        <v>Comprometido</v>
      </c>
      <c r="L140" s="22" t="str">
        <f aca="false">Base!Q122</f>
        <v>No registrado en cartera</v>
      </c>
      <c r="M140" s="22" t="str">
        <f aca="false">Base!R122</f>
        <v>No registrado en cartera</v>
      </c>
      <c r="N140" s="22" t="str">
        <f aca="false">Base!S122</f>
        <v>No registrado en cartera</v>
      </c>
      <c r="O140" s="22" t="str">
        <f aca="false">Base!T122</f>
        <v>No registrado en cartera</v>
      </c>
      <c r="P140" s="21" t="str">
        <f aca="false">IF(Base!U122="","",Base!U122)</f>
        <v/>
      </c>
    </row>
    <row r="141" customFormat="false" ht="32.8" hidden="false" customHeight="false" outlineLevel="0" collapsed="false">
      <c r="A141" s="20" t="n">
        <f aca="false">SUBTOTAL(103,$B$6:B141)</f>
        <v>119</v>
      </c>
      <c r="B141" s="20" t="n">
        <v>2</v>
      </c>
      <c r="C141" s="21" t="str">
        <f aca="false">Base!G123</f>
        <v>2227389: AMPLIACION Y MEJORAMIENTO DE LA CAPACIDAD RESOLUTIVA DEL HOSPITAL DE APOYO SAN MARTIN DE PORRES DE MACUSANI, PROVINCIA DE CARABAYA - PUNO</v>
      </c>
      <c r="D141" s="22" t="n">
        <f aca="false">Base!H123</f>
        <v>4068561</v>
      </c>
      <c r="E141" s="22" t="n">
        <f aca="false">Base!I123</f>
        <v>4043454.41</v>
      </c>
      <c r="F141" s="22" t="n">
        <f aca="false">D141-E141</f>
        <v>25106.5899999999</v>
      </c>
      <c r="G141" s="22" t="n">
        <f aca="false">Base!K123</f>
        <v>4043454.41</v>
      </c>
      <c r="H141" s="22" t="n">
        <f aca="false">D141-G141</f>
        <v>25106.5899999999</v>
      </c>
      <c r="I141" s="23" t="n">
        <f aca="false">IF(D141=0,0,G141/D141)</f>
        <v>0.993829122876614</v>
      </c>
      <c r="J141" s="21" t="str">
        <f aca="false">Base!O123</f>
        <v>Contrata / Laudos arbitrales</v>
      </c>
      <c r="K141" s="21" t="str">
        <f aca="false">Base!P123</f>
        <v>Comprometido</v>
      </c>
      <c r="L141" s="22" t="n">
        <f aca="false">Base!Q123</f>
        <v>100000</v>
      </c>
      <c r="M141" s="22" t="n">
        <f aca="false">Base!R123</f>
        <v>0</v>
      </c>
      <c r="N141" s="22" t="n">
        <f aca="false">Base!S123</f>
        <v>0</v>
      </c>
      <c r="O141" s="22" t="n">
        <f aca="false">Base!T123</f>
        <v>900000</v>
      </c>
      <c r="P141" s="21" t="str">
        <f aca="false">IF(Base!U123="","",Base!U123)</f>
        <v/>
      </c>
    </row>
    <row r="142" customFormat="false" ht="32.8" hidden="false" customHeight="false" outlineLevel="0" collapsed="false">
      <c r="A142" s="20" t="n">
        <f aca="false">SUBTOTAL(103,$B$6:B142)</f>
        <v>120</v>
      </c>
      <c r="B142" s="20" t="n">
        <v>282</v>
      </c>
      <c r="C142" s="21" t="str">
        <f aca="false">Base!G124</f>
        <v>2657043: MEJORAMIENTO Y AMPLIACION DEL SERVICIO DE ATENCION DE SALUD BASICOS EN MOHO DISTRITO DE MOHO DE LA PROVINCIA DE MOHO DEL DEPARTAMENTO DE PUNO</v>
      </c>
      <c r="D142" s="22" t="n">
        <f aca="false">Base!H124</f>
        <v>1382457</v>
      </c>
      <c r="E142" s="22" t="n">
        <f aca="false">Base!I124</f>
        <v>1382455.8</v>
      </c>
      <c r="F142" s="22" t="n">
        <f aca="false">D142-E142</f>
        <v>1.19999999995343</v>
      </c>
      <c r="G142" s="22" t="n">
        <f aca="false">Base!K124</f>
        <v>215371.16</v>
      </c>
      <c r="H142" s="22" t="n">
        <f aca="false">D142-G142</f>
        <v>1167085.84</v>
      </c>
      <c r="I142" s="23" t="n">
        <f aca="false">IF(D142=0,0,G142/D142)</f>
        <v>0.155788686375055</v>
      </c>
      <c r="J142" s="21" t="str">
        <f aca="false">Base!O124</f>
        <v>Expediente técnico / Contrata</v>
      </c>
      <c r="K142" s="21" t="str">
        <f aca="false">Base!P124</f>
        <v>Comprometido</v>
      </c>
      <c r="L142" s="22" t="n">
        <f aca="false">Base!Q124</f>
        <v>5480901</v>
      </c>
      <c r="M142" s="22" t="n">
        <f aca="false">Base!R124</f>
        <v>12000000</v>
      </c>
      <c r="N142" s="22" t="n">
        <f aca="false">Base!S124</f>
        <v>0</v>
      </c>
      <c r="O142" s="22" t="n">
        <f aca="false">Base!T124</f>
        <v>100000</v>
      </c>
      <c r="P142" s="21" t="str">
        <f aca="false">IF(Base!U124="","",Base!U124)</f>
        <v/>
      </c>
    </row>
    <row r="143" customFormat="false" ht="43.25" hidden="false" customHeight="false" outlineLevel="0" collapsed="false">
      <c r="A143" s="20" t="n">
        <f aca="false">SUBTOTAL(103,$B$6:B143)</f>
        <v>121</v>
      </c>
      <c r="B143" s="20" t="n">
        <v>197</v>
      </c>
      <c r="C143" s="21" t="str">
        <f aca="false">Base!G125</f>
        <v>2450812: MEJORAMIENTO DE LOS SERVICIOS DE SALUD DEL CENTRO DE SALUD ZEPITA, MICRO RED ZEPITA, RED DE SALUD CHUCUITO, DEL DISTRITO DE ZEPITA - PROVINCIA DE CHUCUITO - DEPARTAMENTO DE PUNO</v>
      </c>
      <c r="D143" s="22" t="n">
        <f aca="false">Base!H125</f>
        <v>3866926</v>
      </c>
      <c r="E143" s="22" t="n">
        <f aca="false">Base!I125</f>
        <v>2225809.46</v>
      </c>
      <c r="F143" s="22" t="n">
        <f aca="false">D143-E143</f>
        <v>1641116.54</v>
      </c>
      <c r="G143" s="22" t="n">
        <f aca="false">Base!K125</f>
        <v>1977904.63</v>
      </c>
      <c r="H143" s="22" t="n">
        <f aca="false">D143-G143</f>
        <v>1889021.37</v>
      </c>
      <c r="I143" s="23" t="n">
        <f aca="false">IF(D143=0,0,G143/D143)</f>
        <v>0.511492754192865</v>
      </c>
      <c r="J143" s="21" t="str">
        <f aca="false">Base!O125</f>
        <v>Contrata</v>
      </c>
      <c r="K143" s="21" t="str">
        <f aca="false">Base!P125</f>
        <v>Comprometido</v>
      </c>
      <c r="L143" s="22" t="n">
        <f aca="false">Base!Q125</f>
        <v>200000</v>
      </c>
      <c r="M143" s="22" t="n">
        <f aca="false">Base!R125</f>
        <v>0</v>
      </c>
      <c r="N143" s="22" t="n">
        <f aca="false">Base!S125</f>
        <v>522166</v>
      </c>
      <c r="O143" s="22" t="n">
        <f aca="false">Base!T125</f>
        <v>0</v>
      </c>
      <c r="P143" s="21" t="str">
        <f aca="false">IF(Base!U125="","",Base!U125)</f>
        <v/>
      </c>
    </row>
    <row r="144" customFormat="false" ht="32.8" hidden="false" customHeight="false" outlineLevel="0" collapsed="false">
      <c r="A144" s="20" t="n">
        <f aca="false">SUBTOTAL(103,$B$6:B144)</f>
        <v>122</v>
      </c>
      <c r="B144" s="20" t="n">
        <v>222</v>
      </c>
      <c r="C144" s="21" t="str">
        <f aca="false">Base!G126</f>
        <v>2308220: MEJORAMIENTO DE LA CAPACIDAD RESOLUTIVA DEL PUESTO DE SALUD DE AYMAÑA DEL CENTRO POBLADO DE AYMAÑA DEL DISTRITO DE CORANI - PROVINCIA DE CARABAYA - DEPARTAMENTO DE PUNO</v>
      </c>
      <c r="D144" s="22" t="n">
        <f aca="false">Base!H126</f>
        <v>407088</v>
      </c>
      <c r="E144" s="22" t="n">
        <f aca="false">Base!I126</f>
        <v>327566</v>
      </c>
      <c r="F144" s="22" t="n">
        <f aca="false">D144-E144</f>
        <v>79522</v>
      </c>
      <c r="G144" s="22" t="n">
        <f aca="false">Base!K126</f>
        <v>287714.38</v>
      </c>
      <c r="H144" s="22" t="n">
        <f aca="false">D144-G144</f>
        <v>119373.62</v>
      </c>
      <c r="I144" s="23" t="n">
        <f aca="false">IF(D144=0,0,G144/D144)</f>
        <v>0.706762125142475</v>
      </c>
      <c r="J144" s="21" t="str">
        <f aca="false">Base!O126</f>
        <v>Expediente técnico / Contrata</v>
      </c>
      <c r="K144" s="21" t="str">
        <f aca="false">Base!P126</f>
        <v>Comprometido</v>
      </c>
      <c r="L144" s="22" t="n">
        <f aca="false">Base!Q126</f>
        <v>1199085</v>
      </c>
      <c r="M144" s="22" t="n">
        <f aca="false">Base!R126</f>
        <v>5128392</v>
      </c>
      <c r="N144" s="22" t="n">
        <f aca="false">Base!S126</f>
        <v>53288</v>
      </c>
      <c r="O144" s="22" t="n">
        <f aca="false">Base!T126</f>
        <v>0</v>
      </c>
      <c r="P144" s="21" t="str">
        <f aca="false">IF(Base!U126="","",Base!U126)</f>
        <v/>
      </c>
    </row>
    <row r="145" customFormat="false" ht="15" hidden="false" customHeight="false" outlineLevel="0" collapsed="false">
      <c r="A145" s="17" t="s">
        <v>50</v>
      </c>
      <c r="B145" s="17"/>
      <c r="C145" s="17"/>
      <c r="D145" s="18" t="n">
        <f aca="false">SUM(D146)</f>
        <v>3978899</v>
      </c>
      <c r="E145" s="18" t="n">
        <f aca="false">SUM(E146)</f>
        <v>3978899</v>
      </c>
      <c r="F145" s="18" t="n">
        <f aca="false">SUM(F146)</f>
        <v>0</v>
      </c>
      <c r="G145" s="18" t="n">
        <f aca="false">SUM(G146)</f>
        <v>0</v>
      </c>
      <c r="H145" s="18" t="n">
        <f aca="false">SUM(H146)</f>
        <v>3978899</v>
      </c>
      <c r="I145" s="19" t="n">
        <f aca="false">IF(D145=0,0,G145/D145)</f>
        <v>0</v>
      </c>
      <c r="J145" s="17"/>
      <c r="K145" s="17"/>
      <c r="L145" s="17"/>
      <c r="M145" s="17"/>
      <c r="N145" s="17"/>
      <c r="O145" s="17"/>
      <c r="P145" s="17"/>
    </row>
    <row r="146" customFormat="false" ht="53.7" hidden="false" customHeight="false" outlineLevel="0" collapsed="false">
      <c r="A146" s="20" t="n">
        <f aca="false">SUBTOTAL(103,$B$6:B146)</f>
        <v>123</v>
      </c>
      <c r="B146" s="20" t="n">
        <v>109</v>
      </c>
      <c r="C146" s="21" t="str">
        <f aca="false">Base!G127</f>
        <v>2447465.MEJORAMIENTO DE LA INFRAESTRUCTURA VIAL EN LA AV. SACSAYHUAMAN TRAMO (JR. MIRAFLORES - AV. AVIACION), JR. AMANECER TRAMO (AV. INDEPENDENCIA - JR. MIRAFLORES) DE LA CIUDAD DE JULIACA, DISTRITO DE JULIACA - PROVINCIA DE SAN ROMAN - DEPARTAMENTO DE P</v>
      </c>
      <c r="D146" s="22" t="n">
        <f aca="false">Base!H127</f>
        <v>3978899</v>
      </c>
      <c r="E146" s="22" t="n">
        <f aca="false">Base!I127</f>
        <v>3978899</v>
      </c>
      <c r="F146" s="22" t="n">
        <f aca="false">D146-E146</f>
        <v>0</v>
      </c>
      <c r="G146" s="22" t="n">
        <f aca="false">Base!K127</f>
        <v>0</v>
      </c>
      <c r="H146" s="22" t="n">
        <f aca="false">D146-G146</f>
        <v>3978899</v>
      </c>
      <c r="I146" s="23" t="n">
        <f aca="false">IF(D146=0,0,G146/D146)</f>
        <v>0</v>
      </c>
      <c r="J146" s="21" t="str">
        <f aca="false">Base!O127</f>
        <v>Contrata</v>
      </c>
      <c r="K146" s="21" t="str">
        <f aca="false">Base!P127</f>
        <v>Comprometido</v>
      </c>
      <c r="L146" s="22" t="n">
        <f aca="false">Base!Q127</f>
        <v>4000000</v>
      </c>
      <c r="M146" s="22" t="n">
        <f aca="false">Base!R127</f>
        <v>8256356</v>
      </c>
      <c r="N146" s="22" t="n">
        <f aca="false">Base!S127</f>
        <v>4200001</v>
      </c>
      <c r="O146" s="22" t="n">
        <f aca="false">Base!T127</f>
        <v>103192</v>
      </c>
      <c r="P146" s="21" t="str">
        <f aca="false">IF(Base!U127="","",Base!U127)</f>
        <v/>
      </c>
    </row>
    <row r="147" customFormat="false" ht="15" hidden="false" customHeight="false" outlineLevel="0" collapsed="false">
      <c r="A147" s="17" t="s">
        <v>51</v>
      </c>
      <c r="B147" s="17"/>
      <c r="C147" s="17"/>
      <c r="D147" s="18" t="n">
        <f aca="false">SUM(D148:D149)</f>
        <v>10709023</v>
      </c>
      <c r="E147" s="18" t="n">
        <f aca="false">SUM(E148:E149)</f>
        <v>10561385.54</v>
      </c>
      <c r="F147" s="18" t="n">
        <f aca="false">SUM(F148:F149)</f>
        <v>147637.46</v>
      </c>
      <c r="G147" s="18" t="n">
        <f aca="false">SUM(G148:G149)</f>
        <v>6274571.78</v>
      </c>
      <c r="H147" s="18" t="n">
        <f aca="false">SUM(H148:H149)</f>
        <v>4434451.22</v>
      </c>
      <c r="I147" s="19" t="n">
        <f aca="false">IF(D147=0,0,G147/D147)</f>
        <v>0.585914492853363</v>
      </c>
      <c r="J147" s="17"/>
      <c r="K147" s="17"/>
      <c r="L147" s="17"/>
      <c r="M147" s="17"/>
      <c r="N147" s="17"/>
      <c r="O147" s="17"/>
      <c r="P147" s="17"/>
    </row>
    <row r="148" customFormat="false" ht="32.8" hidden="false" customHeight="false" outlineLevel="0" collapsed="false">
      <c r="A148" s="20" t="n">
        <f aca="false">SUBTOTAL(103,$B$6:B148)</f>
        <v>124</v>
      </c>
      <c r="B148" s="20" t="n">
        <v>64</v>
      </c>
      <c r="C148" s="21" t="str">
        <f aca="false">Base!G128</f>
        <v>2292669: MEJORAMIENTO Y AMPLIACION DEL SERVICIO DEPORTIVO DEL ESTADIO MUNICIPAL DE LA LOCALIDAD DE AYAVIRI DEL DISTRITO DE AYAVIRI - PROVINCIA DE MELGAR - DEPARTAMENTO DE PUNO</v>
      </c>
      <c r="D148" s="22" t="n">
        <f aca="false">Base!H128</f>
        <v>6912542</v>
      </c>
      <c r="E148" s="22" t="n">
        <f aca="false">Base!I128</f>
        <v>6855594.06</v>
      </c>
      <c r="F148" s="22" t="n">
        <f aca="false">D148-E148</f>
        <v>56947.9400000004</v>
      </c>
      <c r="G148" s="22" t="n">
        <f aca="false">Base!K128</f>
        <v>4377038.86</v>
      </c>
      <c r="H148" s="22" t="n">
        <f aca="false">D148-G148</f>
        <v>2535503.14</v>
      </c>
      <c r="I148" s="23" t="n">
        <f aca="false">IF(D148=0,0,G148/D148)</f>
        <v>0.63320249772081</v>
      </c>
      <c r="J148" s="21" t="str">
        <f aca="false">Base!O128</f>
        <v>Contrata / Personal/bienes/servicios</v>
      </c>
      <c r="K148" s="21" t="str">
        <f aca="false">Base!P128</f>
        <v>Comprometido</v>
      </c>
      <c r="L148" s="22" t="n">
        <f aca="false">Base!Q128</f>
        <v>3160785</v>
      </c>
      <c r="M148" s="22" t="n">
        <f aca="false">Base!R128</f>
        <v>5000000</v>
      </c>
      <c r="N148" s="22" t="n">
        <f aca="false">Base!S128</f>
        <v>0</v>
      </c>
      <c r="O148" s="22" t="n">
        <f aca="false">Base!T128</f>
        <v>1000000</v>
      </c>
      <c r="P148" s="21" t="str">
        <f aca="false">IF(Base!U128="","",Base!U128)</f>
        <v/>
      </c>
    </row>
    <row r="149" customFormat="false" ht="53.7" hidden="false" customHeight="false" outlineLevel="0" collapsed="false">
      <c r="A149" s="20" t="n">
        <f aca="false">SUBTOTAL(103,$B$6:B149)</f>
        <v>125</v>
      </c>
      <c r="B149" s="20" t="n">
        <v>66</v>
      </c>
      <c r="C149" s="21" t="str">
        <f aca="false">Base!G129</f>
        <v>2645376: REPARACION DE TRIBUNA Y/O PALCO Y CAMPO DEPORTIVO; CONSTRUCCION DE TRIBUNA Y/O PALCO Y PISTA DE ATLETISMO (DEPORTE RECREATIVO); ADEMAS DE OTROS ACTIVOS EN EL(LA) ESTADIO MUNICIPAL DE PUTINA DISTRITO DE PUTINA, PROVINCIA SAN ANTONIO DE PUTINA, DEPARTAMENTO PUNO</v>
      </c>
      <c r="D149" s="22" t="n">
        <f aca="false">Base!H129</f>
        <v>3796481</v>
      </c>
      <c r="E149" s="22" t="n">
        <f aca="false">Base!I129</f>
        <v>3705791.48</v>
      </c>
      <c r="F149" s="22" t="n">
        <f aca="false">D149-E149</f>
        <v>90689.52</v>
      </c>
      <c r="G149" s="22" t="n">
        <f aca="false">Base!K129</f>
        <v>1897532.92</v>
      </c>
      <c r="H149" s="22" t="n">
        <f aca="false">D149-G149</f>
        <v>1898948.08</v>
      </c>
      <c r="I149" s="23" t="n">
        <f aca="false">IF(D149=0,0,G149/D149)</f>
        <v>0.499813622141135</v>
      </c>
      <c r="J149" s="21" t="str">
        <f aca="false">Base!O129</f>
        <v>Contrata / Personal/bienes/servicios</v>
      </c>
      <c r="K149" s="21" t="str">
        <f aca="false">Base!P129</f>
        <v>Comprometido</v>
      </c>
      <c r="L149" s="22" t="n">
        <f aca="false">Base!Q129</f>
        <v>3796481</v>
      </c>
      <c r="M149" s="22" t="n">
        <f aca="false">Base!R129</f>
        <v>1394507</v>
      </c>
      <c r="N149" s="22" t="n">
        <f aca="false">Base!S129</f>
        <v>0</v>
      </c>
      <c r="O149" s="22" t="n">
        <f aca="false">Base!T129</f>
        <v>0</v>
      </c>
      <c r="P149" s="21" t="str">
        <f aca="false">IF(Base!U129="","",Base!U129)</f>
        <v/>
      </c>
    </row>
    <row r="150" customFormat="false" ht="15" hidden="false" customHeight="false" outlineLevel="0" collapsed="false">
      <c r="A150" s="17" t="s">
        <v>56</v>
      </c>
      <c r="B150" s="17"/>
      <c r="C150" s="17"/>
      <c r="D150" s="18" t="n">
        <f aca="false">SUM(D151)</f>
        <v>11000</v>
      </c>
      <c r="E150" s="18" t="n">
        <f aca="false">SUM(E151)</f>
        <v>11000</v>
      </c>
      <c r="F150" s="18" t="n">
        <f aca="false">SUM(F151)</f>
        <v>0</v>
      </c>
      <c r="G150" s="18" t="n">
        <f aca="false">SUM(G151)</f>
        <v>0</v>
      </c>
      <c r="H150" s="18" t="n">
        <f aca="false">SUM(H151)</f>
        <v>11000</v>
      </c>
      <c r="I150" s="19" t="n">
        <f aca="false">IF(D150=0,0,G150/D150)</f>
        <v>0</v>
      </c>
      <c r="J150" s="17"/>
      <c r="K150" s="17"/>
      <c r="L150" s="17"/>
      <c r="M150" s="17"/>
      <c r="N150" s="17"/>
      <c r="O150" s="17"/>
      <c r="P150" s="17"/>
    </row>
    <row r="151" customFormat="false" ht="43.25" hidden="false" customHeight="false" outlineLevel="0" collapsed="false">
      <c r="A151" s="20" t="n">
        <f aca="false">SUBTOTAL(103,$B$6:B151)</f>
        <v>126</v>
      </c>
      <c r="B151" s="20" t="n">
        <v>470</v>
      </c>
      <c r="C151" s="21" t="str">
        <f aca="false">Base!G130</f>
        <v>2492442.MEJORAMIENTO Y AMPLIACION DE LOS SERVICIOS DE AGUA POTABLE Y ALCANTARILLADO SANITARIO EN LA LOCALIDAD DE CARACOTO DEL DISTRITO DE CARACOTO - PROVINCIA DE SAN ROMAN - DEPARTAMENTO DE PUNO</v>
      </c>
      <c r="D151" s="22" t="n">
        <f aca="false">Base!H130</f>
        <v>11000</v>
      </c>
      <c r="E151" s="22" t="n">
        <f aca="false">Base!I130</f>
        <v>11000</v>
      </c>
      <c r="F151" s="22" t="n">
        <f aca="false">D151-E151</f>
        <v>0</v>
      </c>
      <c r="G151" s="22" t="n">
        <f aca="false">Base!K130</f>
        <v>0</v>
      </c>
      <c r="H151" s="22" t="n">
        <f aca="false">D151-G151</f>
        <v>11000</v>
      </c>
      <c r="I151" s="23" t="n">
        <f aca="false">IF(D151=0,0,G151/D151)</f>
        <v>0</v>
      </c>
      <c r="J151" s="21" t="str">
        <f aca="false">Base!O130</f>
        <v>Contrata / Administración directa</v>
      </c>
      <c r="K151" s="21" t="str">
        <f aca="false">Base!P130</f>
        <v>Solo certificado</v>
      </c>
      <c r="L151" s="22" t="str">
        <f aca="false">Base!Q130</f>
        <v>No registrado en cartera</v>
      </c>
      <c r="M151" s="22" t="str">
        <f aca="false">Base!R130</f>
        <v>No registrado en cartera</v>
      </c>
      <c r="N151" s="22" t="str">
        <f aca="false">Base!S130</f>
        <v>No registrado en cartera</v>
      </c>
      <c r="O151" s="22" t="str">
        <f aca="false">Base!T130</f>
        <v>No registrado en cartera</v>
      </c>
      <c r="P151" s="21" t="str">
        <f aca="false">IF(Base!U130="","",Base!U130)</f>
        <v/>
      </c>
    </row>
    <row r="152" customFormat="false" ht="15" hidden="false" customHeight="false" outlineLevel="0" collapsed="false">
      <c r="A152" s="6" t="s">
        <v>57</v>
      </c>
      <c r="B152" s="6"/>
      <c r="C152" s="6"/>
      <c r="D152" s="7" t="n">
        <f aca="false">D153+D156+D177+D191+D194</f>
        <v>10281312</v>
      </c>
      <c r="E152" s="7" t="n">
        <f aca="false">E153+E156+E177+E191+E194</f>
        <v>8695486.78</v>
      </c>
      <c r="F152" s="7" t="n">
        <f aca="false">F153+F156+F177+F191+F194</f>
        <v>1585825.22</v>
      </c>
      <c r="G152" s="7" t="n">
        <f aca="false">G153+G156+G177+G191+G194</f>
        <v>5405465.16</v>
      </c>
      <c r="H152" s="7" t="n">
        <f aca="false">H153+H156+H177+H191+H194</f>
        <v>4875846.84</v>
      </c>
      <c r="I152" s="16" t="n">
        <f aca="false">IF(D152=0,0,G152/D152)</f>
        <v>0.525756358721533</v>
      </c>
      <c r="J152" s="6"/>
      <c r="K152" s="6"/>
      <c r="L152" s="6"/>
      <c r="M152" s="6"/>
      <c r="N152" s="6"/>
      <c r="O152" s="6"/>
      <c r="P152" s="6"/>
    </row>
    <row r="153" customFormat="false" ht="15" hidden="false" customHeight="false" outlineLevel="0" collapsed="false">
      <c r="A153" s="17" t="s">
        <v>48</v>
      </c>
      <c r="B153" s="17"/>
      <c r="C153" s="17"/>
      <c r="D153" s="18" t="n">
        <f aca="false">SUM(D154:D155)</f>
        <v>273816</v>
      </c>
      <c r="E153" s="18" t="n">
        <f aca="false">SUM(E154:E155)</f>
        <v>273816</v>
      </c>
      <c r="F153" s="18" t="n">
        <f aca="false">SUM(F154:F155)</f>
        <v>0</v>
      </c>
      <c r="G153" s="18" t="n">
        <f aca="false">SUM(G154:G155)</f>
        <v>113941.65</v>
      </c>
      <c r="H153" s="18" t="n">
        <f aca="false">SUM(H154:H155)</f>
        <v>159874.35</v>
      </c>
      <c r="I153" s="19" t="n">
        <f aca="false">IF(D153=0,0,G153/D153)</f>
        <v>0.416124879481111</v>
      </c>
      <c r="J153" s="17"/>
      <c r="K153" s="17"/>
      <c r="L153" s="17"/>
      <c r="M153" s="17"/>
      <c r="N153" s="17"/>
      <c r="O153" s="17"/>
      <c r="P153" s="17"/>
    </row>
    <row r="154" customFormat="false" ht="43.25" hidden="false" customHeight="false" outlineLevel="0" collapsed="false">
      <c r="A154" s="20" t="n">
        <f aca="false">SUBTOTAL(103,$B$6:B154)</f>
        <v>127</v>
      </c>
      <c r="B154" s="20" t="n">
        <v>341</v>
      </c>
      <c r="C154" s="21" t="str">
        <f aca="false">Base!G131</f>
        <v>2699927.CONSTRUCCION DE INSTALACIONES EXTERIORES DE SERVICIOS BASICOS Y CASA DE FUERZA; EN EL(LA) HOSPITAL SANDIA EN EL CENTRO POBLADO SANDIA, DISTRITO DE SANDIA, PROVINCIA SANDIA, DEPARTAMENTO PUNO</v>
      </c>
      <c r="D154" s="22" t="n">
        <f aca="false">Base!H131</f>
        <v>123816</v>
      </c>
      <c r="E154" s="22" t="n">
        <f aca="false">Base!I131</f>
        <v>123816</v>
      </c>
      <c r="F154" s="22" t="n">
        <f aca="false">D154-E154</f>
        <v>0</v>
      </c>
      <c r="G154" s="22" t="n">
        <f aca="false">Base!K131</f>
        <v>113941.65</v>
      </c>
      <c r="H154" s="22" t="n">
        <f aca="false">D154-G154</f>
        <v>9874.35000000001</v>
      </c>
      <c r="I154" s="23" t="n">
        <f aca="false">IF(D154=0,0,G154/D154)</f>
        <v>0.920249806163985</v>
      </c>
      <c r="J154" s="21" t="str">
        <f aca="false">Base!O131</f>
        <v>Expediente técnico</v>
      </c>
      <c r="K154" s="21" t="str">
        <f aca="false">Base!P131</f>
        <v>Comprometido</v>
      </c>
      <c r="L154" s="22" t="n">
        <f aca="false">Base!Q131</f>
        <v>111816</v>
      </c>
      <c r="M154" s="22" t="n">
        <f aca="false">Base!R131</f>
        <v>978654</v>
      </c>
      <c r="N154" s="22" t="n">
        <f aca="false">Base!S131</f>
        <v>625659</v>
      </c>
      <c r="O154" s="22" t="n">
        <f aca="false">Base!T131</f>
        <v>0</v>
      </c>
      <c r="P154" s="21" t="str">
        <f aca="false">IF(Base!U131="","",Base!U131)</f>
        <v/>
      </c>
    </row>
    <row r="155" customFormat="false" ht="32.8" hidden="false" customHeight="false" outlineLevel="0" collapsed="false">
      <c r="A155" s="20" t="n">
        <f aca="false">SUBTOTAL(103,$B$6:B155)</f>
        <v>128</v>
      </c>
      <c r="B155" s="20" t="n">
        <v>528</v>
      </c>
      <c r="C155" s="21" t="str">
        <f aca="false">Base!G132</f>
        <v>2681074.MEJORAMIENTO DEL SERVICIO DE ATENCION DE SALUD BASICOS EN ALTO PAVITA DISTRITO DE ZEPITA DE LA PROVINCIA DE CHUCUITO DEL DEPARTAMENTO DE PUNO</v>
      </c>
      <c r="D155" s="22" t="n">
        <f aca="false">Base!H132</f>
        <v>150000</v>
      </c>
      <c r="E155" s="22" t="n">
        <f aca="false">Base!I132</f>
        <v>150000</v>
      </c>
      <c r="F155" s="22" t="n">
        <f aca="false">D155-E155</f>
        <v>0</v>
      </c>
      <c r="G155" s="22" t="n">
        <f aca="false">Base!K132</f>
        <v>0</v>
      </c>
      <c r="H155" s="22" t="n">
        <f aca="false">D155-G155</f>
        <v>150000</v>
      </c>
      <c r="I155" s="23" t="n">
        <f aca="false">IF(D155=0,0,G155/D155)</f>
        <v>0</v>
      </c>
      <c r="J155" s="21" t="str">
        <f aca="false">Base!O132</f>
        <v>Expediente técnico</v>
      </c>
      <c r="K155" s="21" t="str">
        <f aca="false">Base!P132</f>
        <v>Comprometido</v>
      </c>
      <c r="L155" s="22" t="n">
        <f aca="false">Base!Q132</f>
        <v>150000</v>
      </c>
      <c r="M155" s="22" t="n">
        <f aca="false">Base!R132</f>
        <v>0</v>
      </c>
      <c r="N155" s="22" t="n">
        <f aca="false">Base!S132</f>
        <v>0</v>
      </c>
      <c r="O155" s="22" t="n">
        <f aca="false">Base!T132</f>
        <v>1000000</v>
      </c>
      <c r="P155" s="21" t="str">
        <f aca="false">IF(Base!U132="","",Base!U132)</f>
        <v/>
      </c>
    </row>
    <row r="156" customFormat="false" ht="15" hidden="false" customHeight="false" outlineLevel="0" collapsed="false">
      <c r="A156" s="17" t="s">
        <v>49</v>
      </c>
      <c r="B156" s="17"/>
      <c r="C156" s="17"/>
      <c r="D156" s="18" t="n">
        <f aca="false">SUM(D157:D176)</f>
        <v>4799695</v>
      </c>
      <c r="E156" s="18" t="n">
        <f aca="false">SUM(E157:E176)</f>
        <v>4121370.87</v>
      </c>
      <c r="F156" s="18" t="n">
        <f aca="false">SUM(F157:F176)</f>
        <v>678324.13</v>
      </c>
      <c r="G156" s="18" t="n">
        <f aca="false">SUM(G157:G176)</f>
        <v>2783642.55</v>
      </c>
      <c r="H156" s="18" t="n">
        <f aca="false">SUM(H157:H176)</f>
        <v>2016052.45</v>
      </c>
      <c r="I156" s="19" t="n">
        <f aca="false">IF(D156=0,0,G156/D156)</f>
        <v>0.579962383026421</v>
      </c>
      <c r="J156" s="17"/>
      <c r="K156" s="17"/>
      <c r="L156" s="17"/>
      <c r="M156" s="17"/>
      <c r="N156" s="17"/>
      <c r="O156" s="17"/>
      <c r="P156" s="17"/>
    </row>
    <row r="157" customFormat="false" ht="43.25" hidden="false" customHeight="false" outlineLevel="0" collapsed="false">
      <c r="A157" s="20" t="n">
        <f aca="false">SUBTOTAL(103,$B$6:B157)</f>
        <v>129</v>
      </c>
      <c r="B157" s="20" t="n">
        <v>165</v>
      </c>
      <c r="C157" s="21" t="str">
        <f aca="false">Base!G133</f>
        <v>2662467: MEJORAMIENTO DEL SERVICIO DE EDUCACION SUPERIOR TECNOLOGICA EN EL INSTITUTO SUPERIOR TECNOLOGICO PUBLICA CHUPA DEL DISTRITO DE CHUPA DE LA PROVINCIA DE AZANGARO DEL DEPARTAMENTO DE PUNO</v>
      </c>
      <c r="D157" s="22" t="n">
        <f aca="false">Base!H133</f>
        <v>57442</v>
      </c>
      <c r="E157" s="22" t="n">
        <f aca="false">Base!I133</f>
        <v>57136.9</v>
      </c>
      <c r="F157" s="22" t="n">
        <f aca="false">D157-E157</f>
        <v>305.099999999999</v>
      </c>
      <c r="G157" s="22" t="n">
        <f aca="false">Base!K133</f>
        <v>54415.03</v>
      </c>
      <c r="H157" s="22" t="n">
        <f aca="false">D157-G157</f>
        <v>3026.97</v>
      </c>
      <c r="I157" s="23" t="n">
        <f aca="false">IF(D157=0,0,G157/D157)</f>
        <v>0.94730388914035</v>
      </c>
      <c r="J157" s="21" t="str">
        <f aca="false">Base!O133</f>
        <v>Expediente técnico</v>
      </c>
      <c r="K157" s="21" t="str">
        <f aca="false">Base!P133</f>
        <v>Comprometido</v>
      </c>
      <c r="L157" s="22" t="n">
        <f aca="false">Base!Q133</f>
        <v>1500000</v>
      </c>
      <c r="M157" s="22" t="n">
        <f aca="false">Base!R133</f>
        <v>2568954</v>
      </c>
      <c r="N157" s="22" t="n">
        <f aca="false">Base!S133</f>
        <v>0</v>
      </c>
      <c r="O157" s="22" t="n">
        <f aca="false">Base!T133</f>
        <v>500000</v>
      </c>
      <c r="P157" s="21" t="str">
        <f aca="false">IF(Base!U133="","",Base!U133)</f>
        <v/>
      </c>
    </row>
    <row r="158" customFormat="false" ht="32.8" hidden="false" customHeight="false" outlineLevel="0" collapsed="false">
      <c r="A158" s="20" t="n">
        <f aca="false">SUBTOTAL(103,$B$6:B158)</f>
        <v>130</v>
      </c>
      <c r="B158" s="20" t="n">
        <v>188</v>
      </c>
      <c r="C158" s="21" t="str">
        <f aca="false">Base!G134</f>
        <v>2650268: MEJORAMIENTO DEL SERVICIO DE EDUCACION INICIAL EN I.E. 1243 DISTRITO DE MAÑAZO DE LA PROVINCIA DE PUNO DEL DEPARTAMENTO DE PUNO</v>
      </c>
      <c r="D158" s="22" t="n">
        <f aca="false">Base!H134</f>
        <v>53010</v>
      </c>
      <c r="E158" s="22" t="n">
        <f aca="false">Base!I134</f>
        <v>24506.97</v>
      </c>
      <c r="F158" s="22" t="n">
        <f aca="false">D158-E158</f>
        <v>28503.03</v>
      </c>
      <c r="G158" s="22" t="n">
        <f aca="false">Base!K134</f>
        <v>24506.97</v>
      </c>
      <c r="H158" s="22" t="n">
        <f aca="false">D158-G158</f>
        <v>28503.03</v>
      </c>
      <c r="I158" s="23" t="n">
        <f aca="false">IF(D158=0,0,G158/D158)</f>
        <v>0.462308432371251</v>
      </c>
      <c r="J158" s="21" t="str">
        <f aca="false">Base!O134</f>
        <v>Expediente técnico</v>
      </c>
      <c r="K158" s="21" t="str">
        <f aca="false">Base!P134</f>
        <v>Comprometido</v>
      </c>
      <c r="L158" s="22" t="n">
        <f aca="false">Base!Q134</f>
        <v>100000</v>
      </c>
      <c r="M158" s="22" t="n">
        <f aca="false">Base!R134</f>
        <v>1254675</v>
      </c>
      <c r="N158" s="22" t="n">
        <f aca="false">Base!S134</f>
        <v>0</v>
      </c>
      <c r="O158" s="22" t="n">
        <f aca="false">Base!T134</f>
        <v>747276</v>
      </c>
      <c r="P158" s="21" t="str">
        <f aca="false">IF(Base!U134="","",Base!U134)</f>
        <v/>
      </c>
    </row>
    <row r="159" customFormat="false" ht="32.8" hidden="false" customHeight="false" outlineLevel="0" collapsed="false">
      <c r="A159" s="20" t="n">
        <f aca="false">SUBTOTAL(103,$B$6:B159)</f>
        <v>131</v>
      </c>
      <c r="B159" s="20" t="n">
        <v>191</v>
      </c>
      <c r="C159" s="21" t="str">
        <f aca="false">Base!G135</f>
        <v>2652473: MEJORAMIENTO DEL SERVICIO DE EDUCACION INICIAL EN I.E. 944 DISTRITO DE JULIACA DE LA PROVINCIA DE SAN ROMAN DEL DEPARTAMENTO DE PUNO</v>
      </c>
      <c r="D159" s="22" t="n">
        <f aca="false">Base!H135</f>
        <v>40486</v>
      </c>
      <c r="E159" s="22" t="n">
        <f aca="false">Base!I135</f>
        <v>40486</v>
      </c>
      <c r="F159" s="22" t="n">
        <f aca="false">D159-E159</f>
        <v>0</v>
      </c>
      <c r="G159" s="22" t="n">
        <f aca="false">Base!K135</f>
        <v>25380.63</v>
      </c>
      <c r="H159" s="22" t="n">
        <f aca="false">D159-G159</f>
        <v>15105.37</v>
      </c>
      <c r="I159" s="23" t="n">
        <f aca="false">IF(D159=0,0,G159/D159)</f>
        <v>0.626898928024502</v>
      </c>
      <c r="J159" s="21" t="str">
        <f aca="false">Base!O135</f>
        <v>Expediente técnico</v>
      </c>
      <c r="K159" s="21" t="str">
        <f aca="false">Base!P135</f>
        <v>Comprometido</v>
      </c>
      <c r="L159" s="22" t="n">
        <f aca="false">Base!Q135</f>
        <v>100000</v>
      </c>
      <c r="M159" s="22" t="n">
        <f aca="false">Base!R135</f>
        <v>0</v>
      </c>
      <c r="N159" s="22" t="n">
        <f aca="false">Base!S135</f>
        <v>0</v>
      </c>
      <c r="O159" s="22" t="n">
        <f aca="false">Base!T135</f>
        <v>1247609</v>
      </c>
      <c r="P159" s="21" t="str">
        <f aca="false">IF(Base!U135="","",Base!U135)</f>
        <v/>
      </c>
    </row>
    <row r="160" customFormat="false" ht="43.25" hidden="false" customHeight="false" outlineLevel="0" collapsed="false">
      <c r="A160" s="20" t="n">
        <f aca="false">SUBTOTAL(103,$B$6:B160)</f>
        <v>132</v>
      </c>
      <c r="B160" s="20" t="n">
        <v>316</v>
      </c>
      <c r="C160" s="21" t="str">
        <f aca="false">Base!G136</f>
        <v>2681042.MEJORAMIENTO DEL SERVICIO DE EDUCACION SUPERIOR TECNOLOGICA EN EL INSTITUTO SUPERIOR TECNOLOGICO PUBLICA MAÑAZO DEL DISTRITO DE MAÑAZO DE LA PROVINCIA DE PUNO DEL DEPARTAMENTO DE PUNO</v>
      </c>
      <c r="D160" s="22" t="n">
        <f aca="false">Base!H136</f>
        <v>350000</v>
      </c>
      <c r="E160" s="22" t="n">
        <f aca="false">Base!I136</f>
        <v>350000</v>
      </c>
      <c r="F160" s="22" t="n">
        <f aca="false">D160-E160</f>
        <v>0</v>
      </c>
      <c r="G160" s="22" t="n">
        <f aca="false">Base!K136</f>
        <v>163264.48</v>
      </c>
      <c r="H160" s="22" t="n">
        <f aca="false">D160-G160</f>
        <v>186735.52</v>
      </c>
      <c r="I160" s="23" t="n">
        <f aca="false">IF(D160=0,0,G160/D160)</f>
        <v>0.466469942857143</v>
      </c>
      <c r="J160" s="21" t="str">
        <f aca="false">Base!O136</f>
        <v>Expediente técnico</v>
      </c>
      <c r="K160" s="21" t="str">
        <f aca="false">Base!P136</f>
        <v>Comprometido</v>
      </c>
      <c r="L160" s="22" t="n">
        <f aca="false">Base!Q136</f>
        <v>350000</v>
      </c>
      <c r="M160" s="22" t="n">
        <f aca="false">Base!R136</f>
        <v>575452</v>
      </c>
      <c r="N160" s="22" t="n">
        <f aca="false">Base!S136</f>
        <v>0</v>
      </c>
      <c r="O160" s="22" t="n">
        <f aca="false">Base!T136</f>
        <v>1000000</v>
      </c>
      <c r="P160" s="21" t="str">
        <f aca="false">IF(Base!U136="","",Base!U136)</f>
        <v/>
      </c>
    </row>
    <row r="161" customFormat="false" ht="32.8" hidden="false" customHeight="false" outlineLevel="0" collapsed="false">
      <c r="A161" s="20" t="n">
        <f aca="false">SUBTOTAL(103,$B$6:B161)</f>
        <v>133</v>
      </c>
      <c r="B161" s="20" t="n">
        <v>317</v>
      </c>
      <c r="C161" s="21" t="str">
        <f aca="false">Base!G137</f>
        <v>2659573.MEJORAMIENTO DEL SERVICIO DE EDUCACION PRIMARIA EN I.E. 73003 DISTRITO DE HUANCANE DE LA PROVINCIA DE HUANCANE DEL DEPARTAMENTO DE PUNO</v>
      </c>
      <c r="D161" s="22" t="n">
        <f aca="false">Base!H137</f>
        <v>81646</v>
      </c>
      <c r="E161" s="22" t="n">
        <f aca="false">Base!I137</f>
        <v>0</v>
      </c>
      <c r="F161" s="22" t="n">
        <f aca="false">D161-E161</f>
        <v>81646</v>
      </c>
      <c r="G161" s="22" t="n">
        <f aca="false">Base!K137</f>
        <v>0</v>
      </c>
      <c r="H161" s="22" t="n">
        <f aca="false">D161-G161</f>
        <v>81646</v>
      </c>
      <c r="I161" s="23" t="n">
        <f aca="false">IF(D161=0,0,G161/D161)</f>
        <v>0</v>
      </c>
      <c r="J161" s="21" t="str">
        <f aca="false">Base!O137</f>
        <v>Expediente técnico</v>
      </c>
      <c r="K161" s="21" t="str">
        <f aca="false">Base!P137</f>
        <v>Sin certificar</v>
      </c>
      <c r="L161" s="22" t="str">
        <f aca="false">Base!Q137</f>
        <v>No registrado en cartera</v>
      </c>
      <c r="M161" s="22" t="str">
        <f aca="false">Base!R137</f>
        <v>No registrado en cartera</v>
      </c>
      <c r="N161" s="22" t="str">
        <f aca="false">Base!S137</f>
        <v>No registrado en cartera</v>
      </c>
      <c r="O161" s="22" t="str">
        <f aca="false">Base!T137</f>
        <v>No registrado en cartera</v>
      </c>
      <c r="P161" s="21" t="str">
        <f aca="false">IF(Base!U137="","",Base!U137)</f>
        <v/>
      </c>
    </row>
    <row r="162" customFormat="false" ht="43.25" hidden="false" customHeight="false" outlineLevel="0" collapsed="false">
      <c r="A162" s="20" t="n">
        <f aca="false">SUBTOTAL(103,$B$6:B162)</f>
        <v>134</v>
      </c>
      <c r="B162" s="20" t="n">
        <v>318</v>
      </c>
      <c r="C162" s="21" t="str">
        <f aca="false">Base!G138</f>
        <v>2663002.MEJORAMIENTO DEL SERVICIO DE EDUCACION SECUNDARIA EN I.E. HUAPACA SAN MIGUEL DE CENTRO POBLADO HUAPACA SAN MIGUEL DISTRITO DE POMATA DE LA PROVINCIA DE CHUCUITO DEL DEPARTAMENTO DE PUNO</v>
      </c>
      <c r="D162" s="22" t="n">
        <f aca="false">Base!H138</f>
        <v>292573</v>
      </c>
      <c r="E162" s="22" t="n">
        <f aca="false">Base!I138</f>
        <v>0</v>
      </c>
      <c r="F162" s="22" t="n">
        <f aca="false">D162-E162</f>
        <v>292573</v>
      </c>
      <c r="G162" s="22" t="n">
        <f aca="false">Base!K138</f>
        <v>0</v>
      </c>
      <c r="H162" s="22" t="n">
        <f aca="false">D162-G162</f>
        <v>292573</v>
      </c>
      <c r="I162" s="23" t="n">
        <f aca="false">IF(D162=0,0,G162/D162)</f>
        <v>0</v>
      </c>
      <c r="J162" s="21" t="str">
        <f aca="false">Base!O138</f>
        <v>Expediente técnico</v>
      </c>
      <c r="K162" s="21" t="str">
        <f aca="false">Base!P138</f>
        <v>Sin certificar</v>
      </c>
      <c r="L162" s="22" t="str">
        <f aca="false">Base!Q138</f>
        <v>No registrado en cartera</v>
      </c>
      <c r="M162" s="22" t="str">
        <f aca="false">Base!R138</f>
        <v>No registrado en cartera</v>
      </c>
      <c r="N162" s="22" t="str">
        <f aca="false">Base!S138</f>
        <v>No registrado en cartera</v>
      </c>
      <c r="O162" s="22" t="str">
        <f aca="false">Base!T138</f>
        <v>No registrado en cartera</v>
      </c>
      <c r="P162" s="21" t="str">
        <f aca="false">IF(Base!U138="","",Base!U138)</f>
        <v/>
      </c>
    </row>
    <row r="163" customFormat="false" ht="32.8" hidden="false" customHeight="false" outlineLevel="0" collapsed="false">
      <c r="A163" s="20" t="n">
        <f aca="false">SUBTOTAL(103,$B$6:B163)</f>
        <v>135</v>
      </c>
      <c r="B163" s="20" t="n">
        <v>319</v>
      </c>
      <c r="C163" s="21" t="str">
        <f aca="false">Base!G139</f>
        <v>2681028.MEJORAMIENTO DEL SERVICIO DE EDUCACION SECUNDARIA EN I.E. JOSE CARLOS MARIATEGUI DISTRITO DE ILAVE DE LA PROVINCIA DE EL COLLAO DEL DEPARTAMENTO DE PUNO</v>
      </c>
      <c r="D163" s="22" t="n">
        <f aca="false">Base!H139</f>
        <v>645412</v>
      </c>
      <c r="E163" s="22" t="n">
        <f aca="false">Base!I139</f>
        <v>615249.5</v>
      </c>
      <c r="F163" s="22" t="n">
        <f aca="false">D163-E163</f>
        <v>30162.5</v>
      </c>
      <c r="G163" s="22" t="n">
        <f aca="false">Base!K139</f>
        <v>558544.31</v>
      </c>
      <c r="H163" s="22" t="n">
        <f aca="false">D163-G163</f>
        <v>86867.6899999999</v>
      </c>
      <c r="I163" s="23" t="n">
        <f aca="false">IF(D163=0,0,G163/D163)</f>
        <v>0.865407383190892</v>
      </c>
      <c r="J163" s="21" t="str">
        <f aca="false">Base!O139</f>
        <v>Expediente técnico</v>
      </c>
      <c r="K163" s="21" t="str">
        <f aca="false">Base!P139</f>
        <v>Comprometido</v>
      </c>
      <c r="L163" s="22" t="n">
        <f aca="false">Base!Q139</f>
        <v>300000</v>
      </c>
      <c r="M163" s="22" t="n">
        <f aca="false">Base!R139</f>
        <v>6325512</v>
      </c>
      <c r="N163" s="22" t="n">
        <f aca="false">Base!S139</f>
        <v>500000</v>
      </c>
      <c r="O163" s="22" t="n">
        <f aca="false">Base!T139</f>
        <v>3000000</v>
      </c>
      <c r="P163" s="21" t="str">
        <f aca="false">IF(Base!U139="","",Base!U139)</f>
        <v/>
      </c>
    </row>
    <row r="164" customFormat="false" ht="43.25" hidden="false" customHeight="false" outlineLevel="0" collapsed="false">
      <c r="A164" s="20" t="n">
        <f aca="false">SUBTOTAL(103,$B$6:B164)</f>
        <v>136</v>
      </c>
      <c r="B164" s="20" t="n">
        <v>320</v>
      </c>
      <c r="C164" s="21" t="str">
        <f aca="false">Base!G140</f>
        <v>2690009.CONSTRUCCION DE LOSA DEPORTIVA; ADQUISICION DE EQUIPAMIENTO DE AULA DE INNOVACION PEDAGOGICA Y MOBILIARIO DE AULA DE INNOVACION PEDAGOGICA; EN EL(LA) I.E. 70064 SAN MARTIN DE PORRES DISTRITO DE PUNO, PROVINCIA PUNO, DEPARTAMENTO PUNO</v>
      </c>
      <c r="D164" s="22" t="n">
        <f aca="false">Base!H140</f>
        <v>45161</v>
      </c>
      <c r="E164" s="22" t="n">
        <f aca="false">Base!I140</f>
        <v>45161</v>
      </c>
      <c r="F164" s="22" t="n">
        <f aca="false">D164-E164</f>
        <v>0</v>
      </c>
      <c r="G164" s="22" t="n">
        <f aca="false">Base!K140</f>
        <v>30772.66</v>
      </c>
      <c r="H164" s="22" t="n">
        <f aca="false">D164-G164</f>
        <v>14388.34</v>
      </c>
      <c r="I164" s="23" t="n">
        <f aca="false">IF(D164=0,0,G164/D164)</f>
        <v>0.681398994707823</v>
      </c>
      <c r="J164" s="21" t="str">
        <f aca="false">Base!O140</f>
        <v>Expediente técnico</v>
      </c>
      <c r="K164" s="21" t="str">
        <f aca="false">Base!P140</f>
        <v>Comprometido</v>
      </c>
      <c r="L164" s="22" t="n">
        <f aca="false">Base!Q140</f>
        <v>45161</v>
      </c>
      <c r="M164" s="22" t="n">
        <f aca="false">Base!R140</f>
        <v>254874</v>
      </c>
      <c r="N164" s="22" t="n">
        <f aca="false">Base!S140</f>
        <v>133958</v>
      </c>
      <c r="O164" s="22" t="n">
        <f aca="false">Base!T140</f>
        <v>133958</v>
      </c>
      <c r="P164" s="21" t="str">
        <f aca="false">IF(Base!U140="","",Base!U140)</f>
        <v/>
      </c>
    </row>
    <row r="165" customFormat="false" ht="43.25" hidden="false" customHeight="false" outlineLevel="0" collapsed="false">
      <c r="A165" s="20" t="n">
        <f aca="false">SUBTOTAL(103,$B$6:B165)</f>
        <v>137</v>
      </c>
      <c r="B165" s="20" t="n">
        <v>323</v>
      </c>
      <c r="C165" s="21" t="str">
        <f aca="false">Base!G141</f>
        <v>2624292.MEJORAMIENTO DE LOS SERVICIOS EDUCACION SUPERIOR PEDAGOGICA EN EL INSTITUTO DE EDUCACION SUPERIOR PEDAGOGICO PUBLICO DE AYAVIRI DEL DISTRITO DE AYAVIRI DE LA PROVINCIA DE MELGAR DEL DEPARTAMENTO DE PUNO</v>
      </c>
      <c r="D165" s="22" t="n">
        <f aca="false">Base!H141</f>
        <v>58627</v>
      </c>
      <c r="E165" s="22" t="n">
        <f aca="false">Base!I141</f>
        <v>0</v>
      </c>
      <c r="F165" s="22" t="n">
        <f aca="false">D165-E165</f>
        <v>58627</v>
      </c>
      <c r="G165" s="22" t="n">
        <f aca="false">Base!K141</f>
        <v>0</v>
      </c>
      <c r="H165" s="22" t="n">
        <f aca="false">D165-G165</f>
        <v>58627</v>
      </c>
      <c r="I165" s="23" t="n">
        <f aca="false">IF(D165=0,0,G165/D165)</f>
        <v>0</v>
      </c>
      <c r="J165" s="21" t="str">
        <f aca="false">Base!O141</f>
        <v>Expediente técnico</v>
      </c>
      <c r="K165" s="21" t="str">
        <f aca="false">Base!P141</f>
        <v>Sin certificar</v>
      </c>
      <c r="L165" s="22" t="str">
        <f aca="false">Base!Q141</f>
        <v>No registrado en cartera</v>
      </c>
      <c r="M165" s="22" t="str">
        <f aca="false">Base!R141</f>
        <v>No registrado en cartera</v>
      </c>
      <c r="N165" s="22" t="str">
        <f aca="false">Base!S141</f>
        <v>No registrado en cartera</v>
      </c>
      <c r="O165" s="22" t="str">
        <f aca="false">Base!T141</f>
        <v>No registrado en cartera</v>
      </c>
      <c r="P165" s="21" t="str">
        <f aca="false">IF(Base!U141="","",Base!U141)</f>
        <v/>
      </c>
    </row>
    <row r="166" customFormat="false" ht="43.25" hidden="false" customHeight="false" outlineLevel="0" collapsed="false">
      <c r="A166" s="20" t="n">
        <f aca="false">SUBTOTAL(103,$B$6:B166)</f>
        <v>138</v>
      </c>
      <c r="B166" s="20" t="n">
        <v>331</v>
      </c>
      <c r="C166" s="21" t="str">
        <f aca="false">Base!G142</f>
        <v>2492963.MEJORAMIENTO DE LOS SERVICIO EDUCATIVOS EN LA INSTITUCION EDUCATIVA INICIAL N° 68 DE LA LOCALIDAD DE AYAVIRI DEL DISTRITO DE AYAVIRI - PROVINCIA DE MELGAR - DEPARTAMENTO DE PUNO</v>
      </c>
      <c r="D166" s="22" t="n">
        <f aca="false">Base!H142</f>
        <v>220496</v>
      </c>
      <c r="E166" s="22" t="n">
        <f aca="false">Base!I142</f>
        <v>220392</v>
      </c>
      <c r="F166" s="22" t="n">
        <f aca="false">D166-E166</f>
        <v>104</v>
      </c>
      <c r="G166" s="22" t="n">
        <f aca="false">Base!K142</f>
        <v>174510.41</v>
      </c>
      <c r="H166" s="22" t="n">
        <f aca="false">D166-G166</f>
        <v>45985.59</v>
      </c>
      <c r="I166" s="23" t="n">
        <f aca="false">IF(D166=0,0,G166/D166)</f>
        <v>0.79144478811407</v>
      </c>
      <c r="J166" s="21" t="str">
        <f aca="false">Base!O142</f>
        <v>Expediente técnico</v>
      </c>
      <c r="K166" s="21" t="str">
        <f aca="false">Base!P142</f>
        <v>Comprometido</v>
      </c>
      <c r="L166" s="22" t="str">
        <f aca="false">Base!Q142</f>
        <v>No registrado en cartera</v>
      </c>
      <c r="M166" s="22" t="str">
        <f aca="false">Base!R142</f>
        <v>No registrado en cartera</v>
      </c>
      <c r="N166" s="22" t="str">
        <f aca="false">Base!S142</f>
        <v>No registrado en cartera</v>
      </c>
      <c r="O166" s="22" t="str">
        <f aca="false">Base!T142</f>
        <v>No registrado en cartera</v>
      </c>
      <c r="P166" s="21" t="str">
        <f aca="false">IF(Base!U142="","",Base!U142)</f>
        <v/>
      </c>
    </row>
    <row r="167" customFormat="false" ht="32.8" hidden="false" customHeight="false" outlineLevel="0" collapsed="false">
      <c r="A167" s="20" t="n">
        <f aca="false">SUBTOTAL(103,$B$6:B167)</f>
        <v>139</v>
      </c>
      <c r="B167" s="20" t="n">
        <v>332</v>
      </c>
      <c r="C167" s="21" t="str">
        <f aca="false">Base!G143</f>
        <v>2650271.MEJORAMIENTO DEL SERVICIO DE EDUCACION INICIAL EN I.E. 335 DISTRITO DE MOHO DE LA PROVINCIA DE MOHO DEL DEPARTAMENTO DE PUNO</v>
      </c>
      <c r="D167" s="22" t="n">
        <f aca="false">Base!H143</f>
        <v>129991</v>
      </c>
      <c r="E167" s="22" t="n">
        <f aca="false">Base!I143</f>
        <v>129991</v>
      </c>
      <c r="F167" s="22" t="n">
        <f aca="false">D167-E167</f>
        <v>0</v>
      </c>
      <c r="G167" s="22" t="n">
        <f aca="false">Base!K143</f>
        <v>129329.12</v>
      </c>
      <c r="H167" s="22" t="n">
        <f aca="false">D167-G167</f>
        <v>661.880000000005</v>
      </c>
      <c r="I167" s="23" t="n">
        <f aca="false">IF(D167=0,0,G167/D167)</f>
        <v>0.994908262879738</v>
      </c>
      <c r="J167" s="21" t="str">
        <f aca="false">Base!O143</f>
        <v>Expediente técnico</v>
      </c>
      <c r="K167" s="21" t="str">
        <f aca="false">Base!P143</f>
        <v>Comprometido</v>
      </c>
      <c r="L167" s="22" t="n">
        <f aca="false">Base!Q143</f>
        <v>129991</v>
      </c>
      <c r="M167" s="22" t="n">
        <f aca="false">Base!R143</f>
        <v>245854</v>
      </c>
      <c r="N167" s="22" t="n">
        <f aca="false">Base!S143</f>
        <v>0</v>
      </c>
      <c r="O167" s="22" t="n">
        <f aca="false">Base!T143</f>
        <v>200000</v>
      </c>
      <c r="P167" s="21" t="str">
        <f aca="false">IF(Base!U143="","",Base!U143)</f>
        <v/>
      </c>
    </row>
    <row r="168" customFormat="false" ht="32.8" hidden="false" customHeight="false" outlineLevel="0" collapsed="false">
      <c r="A168" s="20" t="n">
        <f aca="false">SUBTOTAL(103,$B$6:B168)</f>
        <v>140</v>
      </c>
      <c r="B168" s="20" t="n">
        <v>334</v>
      </c>
      <c r="C168" s="21" t="str">
        <f aca="false">Base!G144</f>
        <v>2651636.MEJORAMIENTO DEL SERVICIO DE EDUCACION INICIAL EN I.E. ARICATO DISTRITO DE PHARA DE LA PROVINCIA DE SANDIA DEL DEPARTAMENTO DE PUNO</v>
      </c>
      <c r="D168" s="22" t="n">
        <f aca="false">Base!H144</f>
        <v>24413</v>
      </c>
      <c r="E168" s="22" t="n">
        <f aca="false">Base!I144</f>
        <v>23994.5</v>
      </c>
      <c r="F168" s="22" t="n">
        <f aca="false">D168-E168</f>
        <v>418.5</v>
      </c>
      <c r="G168" s="22" t="n">
        <f aca="false">Base!K144</f>
        <v>19205.73</v>
      </c>
      <c r="H168" s="22" t="n">
        <f aca="false">D168-G168</f>
        <v>5207.27</v>
      </c>
      <c r="I168" s="23" t="n">
        <f aca="false">IF(D168=0,0,G168/D168)</f>
        <v>0.786700938024823</v>
      </c>
      <c r="J168" s="21" t="str">
        <f aca="false">Base!O144</f>
        <v>Expediente técnico</v>
      </c>
      <c r="K168" s="21" t="str">
        <f aca="false">Base!P144</f>
        <v>Comprometido</v>
      </c>
      <c r="L168" s="22" t="n">
        <f aca="false">Base!Q144</f>
        <v>24413</v>
      </c>
      <c r="M168" s="22" t="n">
        <f aca="false">Base!R144</f>
        <v>753784</v>
      </c>
      <c r="N168" s="22" t="n">
        <f aca="false">Base!S144</f>
        <v>0</v>
      </c>
      <c r="O168" s="22" t="n">
        <f aca="false">Base!T144</f>
        <v>1846698</v>
      </c>
      <c r="P168" s="21" t="str">
        <f aca="false">IF(Base!U144="","",Base!U144)</f>
        <v/>
      </c>
    </row>
    <row r="169" customFormat="false" ht="32.8" hidden="false" customHeight="false" outlineLevel="0" collapsed="false">
      <c r="A169" s="20" t="n">
        <f aca="false">SUBTOTAL(103,$B$6:B169)</f>
        <v>141</v>
      </c>
      <c r="B169" s="20" t="n">
        <v>459</v>
      </c>
      <c r="C169" s="21" t="str">
        <f aca="false">Base!G145</f>
        <v>2670402.MEJORAMIENTO DEL SERVICIO DE EDUCACION SECUNDARIA EN I.E. SAN AGUSTIN DISTRITO DE COATA DE LA PROVINCIA DE PUNO DEL DEPARTAMENTO DE PUNO</v>
      </c>
      <c r="D169" s="22" t="n">
        <f aca="false">Base!H145</f>
        <v>621845</v>
      </c>
      <c r="E169" s="22" t="n">
        <f aca="false">Base!I145</f>
        <v>621845</v>
      </c>
      <c r="F169" s="22" t="n">
        <f aca="false">D169-E169</f>
        <v>0</v>
      </c>
      <c r="G169" s="22" t="n">
        <f aca="false">Base!K145</f>
        <v>396842.78</v>
      </c>
      <c r="H169" s="22" t="n">
        <f aca="false">D169-G169</f>
        <v>225002.22</v>
      </c>
      <c r="I169" s="23" t="n">
        <f aca="false">IF(D169=0,0,G169/D169)</f>
        <v>0.638169929805659</v>
      </c>
      <c r="J169" s="21" t="str">
        <f aca="false">Base!O145</f>
        <v>Expediente técnico</v>
      </c>
      <c r="K169" s="21" t="str">
        <f aca="false">Base!P145</f>
        <v>Comprometido</v>
      </c>
      <c r="L169" s="22" t="n">
        <f aca="false">Base!Q145</f>
        <v>521845</v>
      </c>
      <c r="M169" s="22" t="n">
        <f aca="false">Base!R145</f>
        <v>2345678</v>
      </c>
      <c r="N169" s="22" t="n">
        <f aca="false">Base!S145</f>
        <v>0</v>
      </c>
      <c r="O169" s="22" t="n">
        <f aca="false">Base!T145</f>
        <v>1000000</v>
      </c>
      <c r="P169" s="21" t="str">
        <f aca="false">IF(Base!U145="","",Base!U145)</f>
        <v/>
      </c>
    </row>
    <row r="170" customFormat="false" ht="32.8" hidden="false" customHeight="false" outlineLevel="0" collapsed="false">
      <c r="A170" s="20" t="n">
        <f aca="false">SUBTOTAL(103,$B$6:B170)</f>
        <v>142</v>
      </c>
      <c r="B170" s="20" t="n">
        <v>492</v>
      </c>
      <c r="C170" s="21" t="str">
        <f aca="false">Base!G146</f>
        <v>2681029.MEJORAMIENTO DEL SERVICIO DE EDUCACION SECUNDARIA EN I.E. CESAR VALLEJO DISTRITO DE HUANCANE DE LA PROVINCIA DE HUANCANE DEL DEPARTAMENTO DE PUNO</v>
      </c>
      <c r="D170" s="22" t="n">
        <f aca="false">Base!H146</f>
        <v>784869</v>
      </c>
      <c r="E170" s="22" t="n">
        <f aca="false">Base!I146</f>
        <v>784869</v>
      </c>
      <c r="F170" s="22" t="n">
        <f aca="false">D170-E170</f>
        <v>0</v>
      </c>
      <c r="G170" s="22" t="n">
        <f aca="false">Base!K146</f>
        <v>631813.71</v>
      </c>
      <c r="H170" s="22" t="n">
        <f aca="false">D170-G170</f>
        <v>153055.29</v>
      </c>
      <c r="I170" s="23" t="n">
        <f aca="false">IF(D170=0,0,G170/D170)</f>
        <v>0.804992565638342</v>
      </c>
      <c r="J170" s="21" t="str">
        <f aca="false">Base!O146</f>
        <v>Expediente técnico</v>
      </c>
      <c r="K170" s="21" t="str">
        <f aca="false">Base!P146</f>
        <v>Comprometido</v>
      </c>
      <c r="L170" s="22" t="n">
        <f aca="false">Base!Q146</f>
        <v>340000</v>
      </c>
      <c r="M170" s="22" t="n">
        <f aca="false">Base!R146</f>
        <v>254845</v>
      </c>
      <c r="N170" s="22" t="n">
        <f aca="false">Base!S146</f>
        <v>0</v>
      </c>
      <c r="O170" s="22" t="n">
        <f aca="false">Base!T146</f>
        <v>300000</v>
      </c>
      <c r="P170" s="21" t="str">
        <f aca="false">IF(Base!U146="","",Base!U146)</f>
        <v/>
      </c>
    </row>
    <row r="171" customFormat="false" ht="32.8" hidden="false" customHeight="false" outlineLevel="0" collapsed="false">
      <c r="A171" s="20" t="n">
        <f aca="false">SUBTOTAL(103,$B$6:B171)</f>
        <v>143</v>
      </c>
      <c r="B171" s="20" t="n">
        <v>495</v>
      </c>
      <c r="C171" s="21" t="str">
        <f aca="false">Base!G147</f>
        <v>2681019.MEJORAMIENTO DEL SERVICIO DE EDUCACION SECUNDARIA EN I.E. JOSE OLAYA BALANDRA DISTRITO DE JULIACA DE LA PROVINCIA DE SAN ROMAN DEL DEPARTAMENTO DE PUNO</v>
      </c>
      <c r="D171" s="22" t="n">
        <f aca="false">Base!H147</f>
        <v>373203</v>
      </c>
      <c r="E171" s="22" t="n">
        <f aca="false">Base!I147</f>
        <v>199545</v>
      </c>
      <c r="F171" s="22" t="n">
        <f aca="false">D171-E171</f>
        <v>173658</v>
      </c>
      <c r="G171" s="22" t="n">
        <f aca="false">Base!K147</f>
        <v>127534.07</v>
      </c>
      <c r="H171" s="22" t="n">
        <f aca="false">D171-G171</f>
        <v>245668.93</v>
      </c>
      <c r="I171" s="23" t="n">
        <f aca="false">IF(D171=0,0,G171/D171)</f>
        <v>0.341728415902337</v>
      </c>
      <c r="J171" s="21" t="str">
        <f aca="false">Base!O147</f>
        <v>Expediente técnico</v>
      </c>
      <c r="K171" s="21" t="str">
        <f aca="false">Base!P147</f>
        <v>Comprometido</v>
      </c>
      <c r="L171" s="22" t="n">
        <f aca="false">Base!Q147</f>
        <v>199545</v>
      </c>
      <c r="M171" s="22" t="n">
        <f aca="false">Base!R147</f>
        <v>5256354</v>
      </c>
      <c r="N171" s="22" t="n">
        <f aca="false">Base!S147</f>
        <v>0</v>
      </c>
      <c r="O171" s="22" t="n">
        <f aca="false">Base!T147</f>
        <v>0</v>
      </c>
      <c r="P171" s="21" t="str">
        <f aca="false">IF(Base!U147="","",Base!U147)</f>
        <v/>
      </c>
    </row>
    <row r="172" customFormat="false" ht="32.8" hidden="false" customHeight="false" outlineLevel="0" collapsed="false">
      <c r="A172" s="20" t="n">
        <f aca="false">SUBTOTAL(103,$B$6:B172)</f>
        <v>144</v>
      </c>
      <c r="B172" s="20" t="n">
        <v>496</v>
      </c>
      <c r="C172" s="21" t="str">
        <f aca="false">Base!G148</f>
        <v>2681037.MEJORAMIENTO DEL SERVICIO DE EDUCACION SECUNDARIA EN I.E. CENTENARIO PATAMBUCO DISTRITO DE PATAMBUCO DE LA PROVINCIA DE SANDIA DEL DEPARTAMENTO DE PUNO</v>
      </c>
      <c r="D172" s="22" t="n">
        <f aca="false">Base!H148</f>
        <v>192812</v>
      </c>
      <c r="E172" s="22" t="n">
        <f aca="false">Base!I148</f>
        <v>180485</v>
      </c>
      <c r="F172" s="22" t="n">
        <f aca="false">D172-E172</f>
        <v>12327</v>
      </c>
      <c r="G172" s="22" t="n">
        <f aca="false">Base!K148</f>
        <v>176515.68</v>
      </c>
      <c r="H172" s="22" t="n">
        <f aca="false">D172-G172</f>
        <v>16296.32</v>
      </c>
      <c r="I172" s="23" t="n">
        <f aca="false">IF(D172=0,0,G172/D172)</f>
        <v>0.915480779204614</v>
      </c>
      <c r="J172" s="21" t="str">
        <f aca="false">Base!O148</f>
        <v>Expediente técnico</v>
      </c>
      <c r="K172" s="21" t="str">
        <f aca="false">Base!P148</f>
        <v>Comprometido</v>
      </c>
      <c r="L172" s="22" t="n">
        <f aca="false">Base!Q148</f>
        <v>192812</v>
      </c>
      <c r="M172" s="22" t="n">
        <f aca="false">Base!R148</f>
        <v>0</v>
      </c>
      <c r="N172" s="22" t="n">
        <f aca="false">Base!S148</f>
        <v>500000</v>
      </c>
      <c r="O172" s="22" t="n">
        <f aca="false">Base!T148</f>
        <v>0</v>
      </c>
      <c r="P172" s="21" t="str">
        <f aca="false">IF(Base!U148="","",Base!U148)</f>
        <v/>
      </c>
    </row>
    <row r="173" customFormat="false" ht="32.8" hidden="false" customHeight="false" outlineLevel="0" collapsed="false">
      <c r="A173" s="20" t="n">
        <f aca="false">SUBTOTAL(103,$B$6:B173)</f>
        <v>145</v>
      </c>
      <c r="B173" s="20" t="n">
        <v>501</v>
      </c>
      <c r="C173" s="21" t="str">
        <f aca="false">Base!G149</f>
        <v>2681054.MEJORAMIENTO DEL SERVICIO DE EDUCACION PRIMARIA EN I.E. 70291 DISTRITO DE HUACULLANI DE LA PROVINCIA DE CHUCUITO DEL DEPARTAMENTO DE PUNO</v>
      </c>
      <c r="D173" s="22" t="n">
        <f aca="false">Base!H149</f>
        <v>287709</v>
      </c>
      <c r="E173" s="22" t="n">
        <f aca="false">Base!I149</f>
        <v>287709</v>
      </c>
      <c r="F173" s="22" t="n">
        <f aca="false">D173-E173</f>
        <v>0</v>
      </c>
      <c r="G173" s="22" t="n">
        <f aca="false">Base!K149</f>
        <v>108740.53</v>
      </c>
      <c r="H173" s="22" t="n">
        <f aca="false">D173-G173</f>
        <v>178968.47</v>
      </c>
      <c r="I173" s="23" t="n">
        <f aca="false">IF(D173=0,0,G173/D173)</f>
        <v>0.37795317490937</v>
      </c>
      <c r="J173" s="21" t="str">
        <f aca="false">Base!O149</f>
        <v>Expediente técnico</v>
      </c>
      <c r="K173" s="21" t="str">
        <f aca="false">Base!P149</f>
        <v>Comprometido</v>
      </c>
      <c r="L173" s="22" t="n">
        <f aca="false">Base!Q149</f>
        <v>287709</v>
      </c>
      <c r="M173" s="22" t="n">
        <f aca="false">Base!R149</f>
        <v>0</v>
      </c>
      <c r="N173" s="22" t="n">
        <f aca="false">Base!S149</f>
        <v>0</v>
      </c>
      <c r="O173" s="22" t="n">
        <f aca="false">Base!T149</f>
        <v>3000000</v>
      </c>
      <c r="P173" s="21" t="str">
        <f aca="false">IF(Base!U149="","",Base!U149)</f>
        <v/>
      </c>
    </row>
    <row r="174" customFormat="false" ht="32.8" hidden="false" customHeight="false" outlineLevel="0" collapsed="false">
      <c r="A174" s="20" t="n">
        <f aca="false">SUBTOTAL(103,$B$6:B174)</f>
        <v>146</v>
      </c>
      <c r="B174" s="20" t="n">
        <v>502</v>
      </c>
      <c r="C174" s="21" t="str">
        <f aca="false">Base!G150</f>
        <v>2700348.MEJORAMIENTO DEL SERVICIO DE EDUCACION PRIMARIA EN I.E. 70288 DISTRITO DE DESAGUADERO DE LA PROVINCIA DE CHUCUITO DEL DEPARTAMENTO DE PUNO</v>
      </c>
      <c r="D174" s="22" t="n">
        <f aca="false">Base!H150</f>
        <v>140000</v>
      </c>
      <c r="E174" s="22" t="n">
        <f aca="false">Base!I150</f>
        <v>140000</v>
      </c>
      <c r="F174" s="22" t="n">
        <f aca="false">D174-E174</f>
        <v>0</v>
      </c>
      <c r="G174" s="22" t="n">
        <f aca="false">Base!K150</f>
        <v>131428.18</v>
      </c>
      <c r="H174" s="22" t="n">
        <f aca="false">D174-G174</f>
        <v>8571.82000000001</v>
      </c>
      <c r="I174" s="23" t="n">
        <f aca="false">IF(D174=0,0,G174/D174)</f>
        <v>0.938772714285714</v>
      </c>
      <c r="J174" s="21" t="str">
        <f aca="false">Base!O150</f>
        <v>Expediente técnico</v>
      </c>
      <c r="K174" s="21" t="str">
        <f aca="false">Base!P150</f>
        <v>Comprometido</v>
      </c>
      <c r="L174" s="22" t="n">
        <f aca="false">Base!Q150</f>
        <v>140000</v>
      </c>
      <c r="M174" s="22" t="n">
        <f aca="false">Base!R150</f>
        <v>0</v>
      </c>
      <c r="N174" s="22" t="n">
        <f aca="false">Base!S150</f>
        <v>0</v>
      </c>
      <c r="O174" s="22" t="n">
        <f aca="false">Base!T150</f>
        <v>500000</v>
      </c>
      <c r="P174" s="21" t="str">
        <f aca="false">IF(Base!U150="","",Base!U150)</f>
        <v/>
      </c>
    </row>
    <row r="175" customFormat="false" ht="32.8" hidden="false" customHeight="false" outlineLevel="0" collapsed="false">
      <c r="A175" s="20" t="n">
        <f aca="false">SUBTOTAL(103,$B$6:B175)</f>
        <v>147</v>
      </c>
      <c r="B175" s="20" t="n">
        <v>517</v>
      </c>
      <c r="C175" s="21" t="str">
        <f aca="false">Base!G151</f>
        <v>2650804.MEJORAMIENTO DEL SERVICIO DE EDUCACION PRIMARIA EN I.E. 73010 DISTRITO DE SAN PEDRO DE PUTINA PUNCO DE LA PROVINCIA DE SANDIA DEL DEPARTAMENTO DE PUNO</v>
      </c>
      <c r="D175" s="22" t="n">
        <f aca="false">Base!H151</f>
        <v>200000</v>
      </c>
      <c r="E175" s="22" t="n">
        <f aca="false">Base!I151</f>
        <v>200000</v>
      </c>
      <c r="F175" s="22" t="n">
        <f aca="false">D175-E175</f>
        <v>0</v>
      </c>
      <c r="G175" s="22" t="n">
        <f aca="false">Base!K151</f>
        <v>0</v>
      </c>
      <c r="H175" s="22" t="n">
        <f aca="false">D175-G175</f>
        <v>200000</v>
      </c>
      <c r="I175" s="23" t="n">
        <f aca="false">IF(D175=0,0,G175/D175)</f>
        <v>0</v>
      </c>
      <c r="J175" s="21" t="str">
        <f aca="false">Base!O151</f>
        <v>Expediente técnico</v>
      </c>
      <c r="K175" s="21" t="str">
        <f aca="false">Base!P151</f>
        <v>Comprometido</v>
      </c>
      <c r="L175" s="22" t="str">
        <f aca="false">Base!Q151</f>
        <v>No registrado en cartera</v>
      </c>
      <c r="M175" s="22" t="str">
        <f aca="false">Base!R151</f>
        <v>No registrado en cartera</v>
      </c>
      <c r="N175" s="22" t="str">
        <f aca="false">Base!S151</f>
        <v>No registrado en cartera</v>
      </c>
      <c r="O175" s="22" t="str">
        <f aca="false">Base!T151</f>
        <v>No registrado en cartera</v>
      </c>
      <c r="P175" s="21" t="str">
        <f aca="false">IF(Base!U151="","",Base!U151)</f>
        <v/>
      </c>
    </row>
    <row r="176" customFormat="false" ht="43.25" hidden="false" customHeight="false" outlineLevel="0" collapsed="false">
      <c r="A176" s="20" t="n">
        <f aca="false">SUBTOTAL(103,$B$6:B176)</f>
        <v>148</v>
      </c>
      <c r="B176" s="20" t="n">
        <v>518</v>
      </c>
      <c r="C176" s="21" t="str">
        <f aca="false">Base!G152</f>
        <v>2681015.CREACION DEL SERVICIO DE EDUCACION SUPERIOR TECNOLOGICA EN INSTITUTO SUPERIOR TECNOLOGICO MARIANO CHANCATUMA EN LA LOCALIDAD DE ASILLO DISTRITO DE ASILLO DE LA PROVINCIA DE AZANGARO DEL DEPARTAMENTO DE PUNO</v>
      </c>
      <c r="D176" s="22" t="n">
        <f aca="false">Base!H152</f>
        <v>200000</v>
      </c>
      <c r="E176" s="22" t="n">
        <f aca="false">Base!I152</f>
        <v>200000</v>
      </c>
      <c r="F176" s="22" t="n">
        <f aca="false">D176-E176</f>
        <v>0</v>
      </c>
      <c r="G176" s="22" t="n">
        <f aca="false">Base!K152</f>
        <v>30838.26</v>
      </c>
      <c r="H176" s="22" t="n">
        <f aca="false">D176-G176</f>
        <v>169161.74</v>
      </c>
      <c r="I176" s="23" t="n">
        <f aca="false">IF(D176=0,0,G176/D176)</f>
        <v>0.1541913</v>
      </c>
      <c r="J176" s="21" t="str">
        <f aca="false">Base!O152</f>
        <v>Expediente técnico</v>
      </c>
      <c r="K176" s="21" t="str">
        <f aca="false">Base!P152</f>
        <v>Comprometido</v>
      </c>
      <c r="L176" s="22" t="n">
        <f aca="false">Base!Q152</f>
        <v>200000</v>
      </c>
      <c r="M176" s="22" t="n">
        <f aca="false">Base!R152</f>
        <v>0</v>
      </c>
      <c r="N176" s="22" t="n">
        <f aca="false">Base!S152</f>
        <v>3000000</v>
      </c>
      <c r="O176" s="22" t="n">
        <f aca="false">Base!T152</f>
        <v>8896729</v>
      </c>
      <c r="P176" s="21" t="str">
        <f aca="false">IF(Base!U152="","",Base!U152)</f>
        <v/>
      </c>
    </row>
    <row r="177" customFormat="false" ht="15" hidden="false" customHeight="false" outlineLevel="0" collapsed="false">
      <c r="A177" s="17" t="s">
        <v>50</v>
      </c>
      <c r="B177" s="17"/>
      <c r="C177" s="17"/>
      <c r="D177" s="18" t="n">
        <f aca="false">SUM(D178:D190)</f>
        <v>4282059</v>
      </c>
      <c r="E177" s="18" t="n">
        <f aca="false">SUM(E178:E190)</f>
        <v>3914926.91</v>
      </c>
      <c r="F177" s="18" t="n">
        <f aca="false">SUM(F178:F190)</f>
        <v>367132.09</v>
      </c>
      <c r="G177" s="18" t="n">
        <f aca="false">SUM(G178:G190)</f>
        <v>2300486.39</v>
      </c>
      <c r="H177" s="18" t="n">
        <f aca="false">SUM(H178:H190)</f>
        <v>1981572.61</v>
      </c>
      <c r="I177" s="19" t="n">
        <f aca="false">IF(D177=0,0,G177/D177)</f>
        <v>0.537238368270965</v>
      </c>
      <c r="J177" s="17"/>
      <c r="K177" s="17"/>
      <c r="L177" s="17"/>
      <c r="M177" s="17"/>
      <c r="N177" s="17"/>
      <c r="O177" s="17"/>
      <c r="P177" s="17"/>
    </row>
    <row r="178" customFormat="false" ht="53.7" hidden="false" customHeight="false" outlineLevel="0" collapsed="false">
      <c r="A178" s="20" t="n">
        <f aca="false">SUBTOTAL(103,$B$6:B178)</f>
        <v>149</v>
      </c>
      <c r="B178" s="20" t="n">
        <v>304</v>
      </c>
      <c r="C178" s="21" t="str">
        <f aca="false">Base!G153</f>
        <v>2539948.MEJORAMIENTO DEL SERVICIO DE TRANSITABILIDAD VIAL INTERURBANA EN EL CAMINO VECINAL R2106057 - TRAMO DESVIO CHUQUIAGUILLO, CUYURAYA, CHICASCO, ISAÑCUYO, SINTICUYO Y HUANCARANI DEL DISTRITO DE VILQUE CHICO DE LA PROVINCIA DE HUANCANE DEL DEPARTAMENT</v>
      </c>
      <c r="D178" s="22" t="n">
        <f aca="false">Base!H153</f>
        <v>412686</v>
      </c>
      <c r="E178" s="22" t="n">
        <f aca="false">Base!I153</f>
        <v>364067</v>
      </c>
      <c r="F178" s="22" t="n">
        <f aca="false">D178-E178</f>
        <v>48619</v>
      </c>
      <c r="G178" s="22" t="n">
        <f aca="false">Base!K153</f>
        <v>189727.76</v>
      </c>
      <c r="H178" s="22" t="n">
        <f aca="false">D178-G178</f>
        <v>222958.24</v>
      </c>
      <c r="I178" s="23" t="n">
        <f aca="false">IF(D178=0,0,G178/D178)</f>
        <v>0.459738784451132</v>
      </c>
      <c r="J178" s="21" t="str">
        <f aca="false">Base!O153</f>
        <v>Expediente técnico</v>
      </c>
      <c r="K178" s="21" t="str">
        <f aca="false">Base!P153</f>
        <v>Comprometido</v>
      </c>
      <c r="L178" s="22" t="str">
        <f aca="false">Base!Q153</f>
        <v>No registrado en cartera</v>
      </c>
      <c r="M178" s="22" t="str">
        <f aca="false">Base!R153</f>
        <v>No registrado en cartera</v>
      </c>
      <c r="N178" s="22" t="str">
        <f aca="false">Base!S153</f>
        <v>No registrado en cartera</v>
      </c>
      <c r="O178" s="22" t="str">
        <f aca="false">Base!T153</f>
        <v>No registrado en cartera</v>
      </c>
      <c r="P178" s="21" t="str">
        <f aca="false">IF(Base!U153="","",Base!U153)</f>
        <v/>
      </c>
    </row>
    <row r="179" customFormat="false" ht="53.7" hidden="false" customHeight="false" outlineLevel="0" collapsed="false">
      <c r="A179" s="20" t="n">
        <f aca="false">SUBTOTAL(103,$B$6:B179)</f>
        <v>150</v>
      </c>
      <c r="B179" s="20" t="n">
        <v>308</v>
      </c>
      <c r="C179" s="21" t="str">
        <f aca="false">Base!G154</f>
        <v>2710291.MEJORAMIENTO DEL SERVICIO DE TRANSITABILIDAD VIAL INTERURBANA EN LA CARRETERA SAMAN (EMP. PU 804) - JUCCHILLY (DV. CHUCARIPO),PESQUERIA (EMP. PU - 113), CHUCARIPO-TITIHUE (EMP. PU 154), DV. QUEJON MOCCO (EMP. PU - 804) - QUEJON MOCCO -HOCUATA DE L</v>
      </c>
      <c r="D179" s="22" t="n">
        <f aca="false">Base!H154</f>
        <v>563376</v>
      </c>
      <c r="E179" s="22" t="n">
        <f aca="false">Base!I154</f>
        <v>563376</v>
      </c>
      <c r="F179" s="22" t="n">
        <f aca="false">D179-E179</f>
        <v>0</v>
      </c>
      <c r="G179" s="22" t="n">
        <f aca="false">Base!K154</f>
        <v>65074.96</v>
      </c>
      <c r="H179" s="22" t="n">
        <f aca="false">D179-G179</f>
        <v>498301.04</v>
      </c>
      <c r="I179" s="23" t="n">
        <f aca="false">IF(D179=0,0,G179/D179)</f>
        <v>0.115508931867882</v>
      </c>
      <c r="J179" s="21" t="str">
        <f aca="false">Base!O154</f>
        <v>Expediente técnico</v>
      </c>
      <c r="K179" s="21" t="str">
        <f aca="false">Base!P154</f>
        <v>Comprometido</v>
      </c>
      <c r="L179" s="22" t="n">
        <f aca="false">Base!Q154</f>
        <v>350000</v>
      </c>
      <c r="M179" s="22" t="n">
        <f aca="false">Base!R154</f>
        <v>7563584</v>
      </c>
      <c r="N179" s="22" t="n">
        <f aca="false">Base!S154</f>
        <v>500000</v>
      </c>
      <c r="O179" s="22" t="n">
        <f aca="false">Base!T154</f>
        <v>700000</v>
      </c>
      <c r="P179" s="21" t="str">
        <f aca="false">IF(Base!U154="","",Base!U154)</f>
        <v/>
      </c>
    </row>
    <row r="180" customFormat="false" ht="53.7" hidden="false" customHeight="false" outlineLevel="0" collapsed="false">
      <c r="A180" s="20" t="n">
        <f aca="false">SUBTOTAL(103,$B$6:B180)</f>
        <v>151</v>
      </c>
      <c r="B180" s="20" t="n">
        <v>309</v>
      </c>
      <c r="C180" s="21" t="str">
        <f aca="false">Base!G155</f>
        <v>2682870.MEJORAMIENTO DEL SERVICIO DE TRANSITABILIDAD VIAL INTERURBANA EN LA CARRETERA EMP. PE 34L (PUENTE ANTAJARANI) - C.P. MACHACAMARCA YAPUTIRA, - C.P. HALLA - ALTOGRANDE - EMP. PU-148 (C.C. UMABAMBA) DISTRITOS DE VILQUE CHICO, COJATA DE LA PROVINCIA D</v>
      </c>
      <c r="D180" s="22" t="n">
        <f aca="false">Base!H155</f>
        <v>400000</v>
      </c>
      <c r="E180" s="22" t="n">
        <f aca="false">Base!I155</f>
        <v>400000</v>
      </c>
      <c r="F180" s="22" t="n">
        <f aca="false">D180-E180</f>
        <v>0</v>
      </c>
      <c r="G180" s="22" t="n">
        <f aca="false">Base!K155</f>
        <v>285245.05</v>
      </c>
      <c r="H180" s="22" t="n">
        <f aca="false">D180-G180</f>
        <v>114754.95</v>
      </c>
      <c r="I180" s="23" t="n">
        <f aca="false">IF(D180=0,0,G180/D180)</f>
        <v>0.713112625</v>
      </c>
      <c r="J180" s="21" t="str">
        <f aca="false">Base!O155</f>
        <v>Expediente técnico</v>
      </c>
      <c r="K180" s="21" t="str">
        <f aca="false">Base!P155</f>
        <v>Comprometido</v>
      </c>
      <c r="L180" s="22" t="n">
        <f aca="false">Base!Q155</f>
        <v>400000</v>
      </c>
      <c r="M180" s="22" t="n">
        <f aca="false">Base!R155</f>
        <v>358745</v>
      </c>
      <c r="N180" s="22" t="n">
        <f aca="false">Base!S155</f>
        <v>0</v>
      </c>
      <c r="O180" s="22" t="n">
        <f aca="false">Base!T155</f>
        <v>1000000</v>
      </c>
      <c r="P180" s="21" t="str">
        <f aca="false">IF(Base!U155="","",Base!U155)</f>
        <v/>
      </c>
    </row>
    <row r="181" customFormat="false" ht="53.7" hidden="false" customHeight="false" outlineLevel="0" collapsed="false">
      <c r="A181" s="20" t="n">
        <f aca="false">SUBTOTAL(103,$B$6:B181)</f>
        <v>152</v>
      </c>
      <c r="B181" s="20" t="n">
        <v>310</v>
      </c>
      <c r="C181" s="21" t="str">
        <f aca="false">Base!G156</f>
        <v>2681092.MEJORAMIENTO DEL SERVICIO DE TRANSITABILIDAD VIAL INTERURBANA EN LA CARRETERA EMP. PU 115: VIZCACHANI, - TOQUEPANI - LLOCOLLOCO - EMP. PU 115: INCHUPALLA DISTRITOS DE HUATASANI, INCHUPALLA DE LA PROVINCIA DE HUANCANE DEL DEPARTAMENTO DE PUNO</v>
      </c>
      <c r="D181" s="22" t="n">
        <f aca="false">Base!H156</f>
        <v>386035</v>
      </c>
      <c r="E181" s="22" t="n">
        <f aca="false">Base!I156</f>
        <v>365592.91</v>
      </c>
      <c r="F181" s="22" t="n">
        <f aca="false">D181-E181</f>
        <v>20442.09</v>
      </c>
      <c r="G181" s="22" t="n">
        <f aca="false">Base!K156</f>
        <v>246262.9</v>
      </c>
      <c r="H181" s="22" t="n">
        <f aca="false">D181-G181</f>
        <v>139772.1</v>
      </c>
      <c r="I181" s="23" t="n">
        <f aca="false">IF(D181=0,0,G181/D181)</f>
        <v>0.637928944266712</v>
      </c>
      <c r="J181" s="21" t="str">
        <f aca="false">Base!O156</f>
        <v>Expediente técnico</v>
      </c>
      <c r="K181" s="21" t="str">
        <f aca="false">Base!P156</f>
        <v>Comprometido</v>
      </c>
      <c r="L181" s="22" t="n">
        <f aca="false">Base!Q156</f>
        <v>386035</v>
      </c>
      <c r="M181" s="22" t="n">
        <f aca="false">Base!R156</f>
        <v>310542</v>
      </c>
      <c r="N181" s="22" t="n">
        <f aca="false">Base!S156</f>
        <v>0</v>
      </c>
      <c r="O181" s="22" t="n">
        <f aca="false">Base!T156</f>
        <v>1000000</v>
      </c>
      <c r="P181" s="21" t="str">
        <f aca="false">IF(Base!U156="","",Base!U156)</f>
        <v/>
      </c>
    </row>
    <row r="182" customFormat="false" ht="32.8" hidden="false" customHeight="false" outlineLevel="0" collapsed="false">
      <c r="A182" s="20" t="n">
        <f aca="false">SUBTOTAL(103,$B$6:B182)</f>
        <v>153</v>
      </c>
      <c r="B182" s="20" t="n">
        <v>325</v>
      </c>
      <c r="C182" s="21" t="str">
        <f aca="false">Base!G157</f>
        <v>2575299.MEJORAMIENTO DEL SERVICIO DE TRANSITABILIDAD VIAL INTERURBANA EN EL TRAMO TIQUILLACA - CONDORIRI DEL DISTRITO DE TIQUILLACA DE LA PROVINCIA DE PUNO DEL DEPARTAMENTO DE PUNO</v>
      </c>
      <c r="D182" s="22" t="n">
        <f aca="false">Base!H157</f>
        <v>18371</v>
      </c>
      <c r="E182" s="22" t="n">
        <f aca="false">Base!I157</f>
        <v>0</v>
      </c>
      <c r="F182" s="22" t="n">
        <f aca="false">D182-E182</f>
        <v>18371</v>
      </c>
      <c r="G182" s="22" t="n">
        <f aca="false">Base!K157</f>
        <v>0</v>
      </c>
      <c r="H182" s="22" t="n">
        <f aca="false">D182-G182</f>
        <v>18371</v>
      </c>
      <c r="I182" s="23" t="n">
        <f aca="false">IF(D182=0,0,G182/D182)</f>
        <v>0</v>
      </c>
      <c r="J182" s="21" t="str">
        <f aca="false">Base!O157</f>
        <v>Expediente técnico</v>
      </c>
      <c r="K182" s="21" t="str">
        <f aca="false">Base!P157</f>
        <v>Sin certificar</v>
      </c>
      <c r="L182" s="22" t="str">
        <f aca="false">Base!Q157</f>
        <v>No registrado en cartera</v>
      </c>
      <c r="M182" s="22" t="str">
        <f aca="false">Base!R157</f>
        <v>No registrado en cartera</v>
      </c>
      <c r="N182" s="22" t="str">
        <f aca="false">Base!S157</f>
        <v>No registrado en cartera</v>
      </c>
      <c r="O182" s="22" t="str">
        <f aca="false">Base!T157</f>
        <v>No registrado en cartera</v>
      </c>
      <c r="P182" s="21" t="str">
        <f aca="false">IF(Base!U157="","",Base!U157)</f>
        <v/>
      </c>
    </row>
    <row r="183" customFormat="false" ht="43.25" hidden="false" customHeight="false" outlineLevel="0" collapsed="false">
      <c r="A183" s="20" t="n">
        <f aca="false">SUBTOTAL(103,$B$6:B183)</f>
        <v>154</v>
      </c>
      <c r="B183" s="20" t="n">
        <v>326</v>
      </c>
      <c r="C183" s="21" t="str">
        <f aca="false">Base!G158</f>
        <v>2642160.MEJORAMIENTO DEL SERVICIO DE TRANSITABILIDAD VIAL INTERURBANA EN EN LA VIA VECINAL PU-713, L. PROV. LAMPA - QUISHUARANI - SALLAPATA - HUERTA -EMP. PU-124 (VILAVILA), DISTRITO DE VILAVILA DE LA PROVINCIA DE LAMPA DEL DEPARTAMENTO DE PUNO</v>
      </c>
      <c r="D183" s="22" t="n">
        <f aca="false">Base!H158</f>
        <v>225183</v>
      </c>
      <c r="E183" s="22" t="n">
        <f aca="false">Base!I158</f>
        <v>180000</v>
      </c>
      <c r="F183" s="22" t="n">
        <f aca="false">D183-E183</f>
        <v>45183</v>
      </c>
      <c r="G183" s="22" t="n">
        <f aca="false">Base!K158</f>
        <v>179898.4</v>
      </c>
      <c r="H183" s="22" t="n">
        <f aca="false">D183-G183</f>
        <v>45284.6</v>
      </c>
      <c r="I183" s="23" t="n">
        <f aca="false">IF(D183=0,0,G183/D183)</f>
        <v>0.798898673523312</v>
      </c>
      <c r="J183" s="21" t="str">
        <f aca="false">Base!O158</f>
        <v>Expediente técnico</v>
      </c>
      <c r="K183" s="21" t="str">
        <f aca="false">Base!P158</f>
        <v>Comprometido</v>
      </c>
      <c r="L183" s="22" t="str">
        <f aca="false">Base!Q158</f>
        <v>No registrado en cartera</v>
      </c>
      <c r="M183" s="22" t="str">
        <f aca="false">Base!R158</f>
        <v>No registrado en cartera</v>
      </c>
      <c r="N183" s="22" t="str">
        <f aca="false">Base!S158</f>
        <v>No registrado en cartera</v>
      </c>
      <c r="O183" s="22" t="str">
        <f aca="false">Base!T158</f>
        <v>No registrado en cartera</v>
      </c>
      <c r="P183" s="21" t="str">
        <f aca="false">IF(Base!U158="","",Base!U158)</f>
        <v/>
      </c>
    </row>
    <row r="184" customFormat="false" ht="53.7" hidden="false" customHeight="false" outlineLevel="0" collapsed="false">
      <c r="A184" s="20" t="n">
        <f aca="false">SUBTOTAL(103,$B$6:B184)</f>
        <v>155</v>
      </c>
      <c r="B184" s="20" t="n">
        <v>327</v>
      </c>
      <c r="C184" s="21" t="str">
        <f aca="false">Base!G159</f>
        <v>2669470.MEJORAMIENTO DEL SERVICIO DE TRANSITABILIDAD VIAL INTERURBANA EN LA CARRETERA PU-617 (SAN JOSE - SAN ANTON), PU-624 (EMP. PE-34 B: SAN ANTON - EMP. PU-622: VILLAPAMPA) -PU-622 (EMP. PU-624: VILLAPAMPA - LARIMAYO) DE LOS DISTRITOS DE SAN JOSE, ANTA</v>
      </c>
      <c r="D184" s="22" t="n">
        <f aca="false">Base!H159</f>
        <v>680000</v>
      </c>
      <c r="E184" s="22" t="n">
        <f aca="false">Base!I159</f>
        <v>676480</v>
      </c>
      <c r="F184" s="22" t="n">
        <f aca="false">D184-E184</f>
        <v>3520</v>
      </c>
      <c r="G184" s="22" t="n">
        <f aca="false">Base!K159</f>
        <v>463894.66</v>
      </c>
      <c r="H184" s="22" t="n">
        <f aca="false">D184-G184</f>
        <v>216105.34</v>
      </c>
      <c r="I184" s="23" t="n">
        <f aca="false">IF(D184=0,0,G184/D184)</f>
        <v>0.682198029411765</v>
      </c>
      <c r="J184" s="21" t="str">
        <f aca="false">Base!O159</f>
        <v>Expediente técnico</v>
      </c>
      <c r="K184" s="21" t="str">
        <f aca="false">Base!P159</f>
        <v>Comprometido</v>
      </c>
      <c r="L184" s="22" t="n">
        <f aca="false">Base!Q159</f>
        <v>380000</v>
      </c>
      <c r="M184" s="22" t="n">
        <f aca="false">Base!R159</f>
        <v>6625412</v>
      </c>
      <c r="N184" s="22" t="n">
        <f aca="false">Base!S159</f>
        <v>0</v>
      </c>
      <c r="O184" s="22" t="n">
        <f aca="false">Base!T159</f>
        <v>1000000</v>
      </c>
      <c r="P184" s="21" t="str">
        <f aca="false">IF(Base!U159="","",Base!U159)</f>
        <v/>
      </c>
    </row>
    <row r="185" customFormat="false" ht="53.7" hidden="false" customHeight="false" outlineLevel="0" collapsed="false">
      <c r="A185" s="20" t="n">
        <f aca="false">SUBTOTAL(103,$B$6:B185)</f>
        <v>156</v>
      </c>
      <c r="B185" s="20" t="n">
        <v>328</v>
      </c>
      <c r="C185" s="21" t="str">
        <f aca="false">Base!G160</f>
        <v>2681096.MEJORAMIENTO DEL SERVICIO DE TRANSITABILIDAD VIAL INTERURBANA EN LA CARRETERA EMP. PE-3S (CHUA CHUA) - MOLINO - CHALLAPAMPA SANTA ROSA - EMP. PU-130 (TACAPISI), QUECCUANI - COPANI DE LOS DISTRITOS DE ZEPITA, COPANI DE LAS PROVINCIAS DE CHUCUITO, Y</v>
      </c>
      <c r="D185" s="22" t="n">
        <f aca="false">Base!H160</f>
        <v>519111</v>
      </c>
      <c r="E185" s="22" t="n">
        <f aca="false">Base!I160</f>
        <v>519111</v>
      </c>
      <c r="F185" s="22" t="n">
        <f aca="false">D185-E185</f>
        <v>0</v>
      </c>
      <c r="G185" s="22" t="n">
        <f aca="false">Base!K160</f>
        <v>211182.68</v>
      </c>
      <c r="H185" s="22" t="n">
        <f aca="false">D185-G185</f>
        <v>307928.32</v>
      </c>
      <c r="I185" s="23" t="n">
        <f aca="false">IF(D185=0,0,G185/D185)</f>
        <v>0.406816037417816</v>
      </c>
      <c r="J185" s="21" t="str">
        <f aca="false">Base!O160</f>
        <v>Expediente técnico</v>
      </c>
      <c r="K185" s="21" t="str">
        <f aca="false">Base!P160</f>
        <v>Comprometido</v>
      </c>
      <c r="L185" s="22" t="n">
        <f aca="false">Base!Q160</f>
        <v>300000</v>
      </c>
      <c r="M185" s="22" t="n">
        <f aca="false">Base!R160</f>
        <v>5285426</v>
      </c>
      <c r="N185" s="22" t="n">
        <f aca="false">Base!S160</f>
        <v>0</v>
      </c>
      <c r="O185" s="22" t="n">
        <f aca="false">Base!T160</f>
        <v>1000000</v>
      </c>
      <c r="P185" s="21" t="str">
        <f aca="false">IF(Base!U160="","",Base!U160)</f>
        <v/>
      </c>
    </row>
    <row r="186" customFormat="false" ht="53.7" hidden="false" customHeight="false" outlineLevel="0" collapsed="false">
      <c r="A186" s="20" t="n">
        <f aca="false">SUBTOTAL(103,$B$6:B186)</f>
        <v>157</v>
      </c>
      <c r="B186" s="20" t="n">
        <v>329</v>
      </c>
      <c r="C186" s="21" t="str">
        <f aca="false">Base!G161</f>
        <v>2692317.CONSTRUCCION DE PLATAFORMA Y DRENAJE TRANSVERSAL; REPARACION DE PLATAFORMA; ADQUISICION DE DISPOSITIVO DE CONTROL DE TRANSITO; EN EL(LA) CARRETERA PU-111 (EMP. JR. SULLANA - EMP. JR. LIMA) DISTRITO DE AZANGARO, PROVINCIA AZANGARO, DEPARTAMENTO PUN</v>
      </c>
      <c r="D186" s="22" t="n">
        <f aca="false">Base!H161</f>
        <v>206971</v>
      </c>
      <c r="E186" s="22" t="n">
        <f aca="false">Base!I161</f>
        <v>206970.5</v>
      </c>
      <c r="F186" s="22" t="n">
        <f aca="false">D186-E186</f>
        <v>0.5</v>
      </c>
      <c r="G186" s="22" t="n">
        <f aca="false">Base!K161</f>
        <v>110370.29</v>
      </c>
      <c r="H186" s="22" t="n">
        <f aca="false">D186-G186</f>
        <v>96600.71</v>
      </c>
      <c r="I186" s="23" t="n">
        <f aca="false">IF(D186=0,0,G186/D186)</f>
        <v>0.533264515318571</v>
      </c>
      <c r="J186" s="21" t="str">
        <f aca="false">Base!O161</f>
        <v>Expediente técnico</v>
      </c>
      <c r="K186" s="21" t="str">
        <f aca="false">Base!P161</f>
        <v>Comprometido</v>
      </c>
      <c r="L186" s="22" t="n">
        <f aca="false">Base!Q161</f>
        <v>206972</v>
      </c>
      <c r="M186" s="22" t="n">
        <f aca="false">Base!R161</f>
        <v>254584</v>
      </c>
      <c r="N186" s="22" t="n">
        <f aca="false">Base!S161</f>
        <v>0</v>
      </c>
      <c r="O186" s="22" t="n">
        <f aca="false">Base!T161</f>
        <v>500000</v>
      </c>
      <c r="P186" s="21" t="str">
        <f aca="false">IF(Base!U161="","",Base!U161)</f>
        <v/>
      </c>
    </row>
    <row r="187" customFormat="false" ht="43.25" hidden="false" customHeight="false" outlineLevel="0" collapsed="false">
      <c r="A187" s="20" t="n">
        <f aca="false">SUBTOTAL(103,$B$6:B187)</f>
        <v>158</v>
      </c>
      <c r="B187" s="20" t="n">
        <v>342</v>
      </c>
      <c r="C187" s="21" t="str">
        <f aca="false">Base!G162</f>
        <v>2654204.MEJORAMIENTO DEL SERVICIO DE TRANSITABILIDAD VIAL INTERURBANA EN LA CARRETERA PU - 1068 (CONDORIRI, - JUNCAL) DE LOS DISTRITOS DE TIQUILLACA, SAN ANTONIO DE LA PROVINCIA DE PUNO DEL DEPARTAMENTO DE PUNO</v>
      </c>
      <c r="D187" s="22" t="n">
        <f aca="false">Base!H162</f>
        <v>654463</v>
      </c>
      <c r="E187" s="22" t="n">
        <f aca="false">Base!I162</f>
        <v>639329.5</v>
      </c>
      <c r="F187" s="22" t="n">
        <f aca="false">D187-E187</f>
        <v>15133.5</v>
      </c>
      <c r="G187" s="22" t="n">
        <f aca="false">Base!K162</f>
        <v>548829.69</v>
      </c>
      <c r="H187" s="22" t="n">
        <f aca="false">D187-G187</f>
        <v>105633.31</v>
      </c>
      <c r="I187" s="23" t="n">
        <f aca="false">IF(D187=0,0,G187/D187)</f>
        <v>0.83859544389828</v>
      </c>
      <c r="J187" s="21" t="str">
        <f aca="false">Base!O162</f>
        <v>Expediente técnico</v>
      </c>
      <c r="K187" s="21" t="str">
        <f aca="false">Base!P162</f>
        <v>Comprometido</v>
      </c>
      <c r="L187" s="22" t="n">
        <f aca="false">Base!Q162</f>
        <v>380000</v>
      </c>
      <c r="M187" s="22" t="n">
        <f aca="false">Base!R162</f>
        <v>1421799</v>
      </c>
      <c r="N187" s="22" t="n">
        <f aca="false">Base!S162</f>
        <v>0</v>
      </c>
      <c r="O187" s="22" t="n">
        <f aca="false">Base!T162</f>
        <v>1000000</v>
      </c>
      <c r="P187" s="21" t="str">
        <f aca="false">IF(Base!U162="","",Base!U162)</f>
        <v/>
      </c>
    </row>
    <row r="188" customFormat="false" ht="22.35" hidden="false" customHeight="false" outlineLevel="0" collapsed="false">
      <c r="A188" s="20" t="n">
        <f aca="false">SUBTOTAL(103,$B$6:B188)</f>
        <v>159</v>
      </c>
      <c r="B188" s="20" t="n">
        <v>347</v>
      </c>
      <c r="C188" s="21" t="str">
        <f aca="false">Base!G163</f>
        <v>2131661.CONSTRUCCION Y MEJORAMIENTO DE LA CARRETERA DESVIO VILQUECHICO-COJATA-SINA-YANAHUAYA</v>
      </c>
      <c r="D188" s="22" t="n">
        <f aca="false">Base!H163</f>
        <v>100000</v>
      </c>
      <c r="E188" s="22" t="n">
        <f aca="false">Base!I163</f>
        <v>0</v>
      </c>
      <c r="F188" s="22" t="n">
        <f aca="false">D188-E188</f>
        <v>100000</v>
      </c>
      <c r="G188" s="22" t="n">
        <f aca="false">Base!K163</f>
        <v>0</v>
      </c>
      <c r="H188" s="22" t="n">
        <f aca="false">D188-G188</f>
        <v>100000</v>
      </c>
      <c r="I188" s="23" t="n">
        <f aca="false">IF(D188=0,0,G188/D188)</f>
        <v>0</v>
      </c>
      <c r="J188" s="21" t="str">
        <f aca="false">Base!O163</f>
        <v>Expediente técnico</v>
      </c>
      <c r="K188" s="21" t="str">
        <f aca="false">Base!P163</f>
        <v>Sin certificar</v>
      </c>
      <c r="L188" s="22" t="n">
        <f aca="false">Base!Q163</f>
        <v>4800690</v>
      </c>
      <c r="M188" s="22" t="n">
        <f aca="false">Base!R163</f>
        <v>4000000</v>
      </c>
      <c r="N188" s="22" t="n">
        <f aca="false">Base!S163</f>
        <v>14883202</v>
      </c>
      <c r="O188" s="22" t="n">
        <f aca="false">Base!T163</f>
        <v>19038629</v>
      </c>
      <c r="P188" s="21" t="str">
        <f aca="false">IF(Base!U163="","",Base!U163)</f>
        <v/>
      </c>
    </row>
    <row r="189" customFormat="false" ht="43.25" hidden="false" customHeight="false" outlineLevel="0" collapsed="false">
      <c r="A189" s="20" t="n">
        <f aca="false">SUBTOTAL(103,$B$6:B189)</f>
        <v>160</v>
      </c>
      <c r="B189" s="20" t="n">
        <v>521</v>
      </c>
      <c r="C189" s="21" t="str">
        <f aca="false">Base!G164</f>
        <v>2727133.CONSTRUCCION DE PUENTE; EN EL(LA) CARRETERA PU 588 - ACCESO AL CENTRO POBLADO DE CURVA ALEGRE (PUENTE NUEVA ESPERANZA), DISTRITO DE SAN PEDRO DE PUTINA PUNCO, PROVINCIA SANDIA, DEPARTAMENTO PUNO</v>
      </c>
      <c r="D189" s="22" t="n">
        <f aca="false">Base!H164</f>
        <v>40572</v>
      </c>
      <c r="E189" s="22" t="n">
        <f aca="false">Base!I164</f>
        <v>0</v>
      </c>
      <c r="F189" s="22" t="n">
        <f aca="false">D189-E189</f>
        <v>40572</v>
      </c>
      <c r="G189" s="22" t="n">
        <f aca="false">Base!K164</f>
        <v>0</v>
      </c>
      <c r="H189" s="22" t="n">
        <f aca="false">D189-G189</f>
        <v>40572</v>
      </c>
      <c r="I189" s="23" t="n">
        <f aca="false">IF(D189=0,0,G189/D189)</f>
        <v>0</v>
      </c>
      <c r="J189" s="21" t="str">
        <f aca="false">Base!O164</f>
        <v>Expediente técnico</v>
      </c>
      <c r="K189" s="21" t="str">
        <f aca="false">Base!P164</f>
        <v>Sin certificar</v>
      </c>
      <c r="L189" s="22" t="str">
        <f aca="false">Base!Q164</f>
        <v>No registrado en cartera</v>
      </c>
      <c r="M189" s="22" t="str">
        <f aca="false">Base!R164</f>
        <v>No registrado en cartera</v>
      </c>
      <c r="N189" s="22" t="str">
        <f aca="false">Base!S164</f>
        <v>No registrado en cartera</v>
      </c>
      <c r="O189" s="22" t="str">
        <f aca="false">Base!T164</f>
        <v>No registrado en cartera</v>
      </c>
      <c r="P189" s="21" t="str">
        <f aca="false">IF(Base!U164="","",Base!U164)</f>
        <v/>
      </c>
    </row>
    <row r="190" customFormat="false" ht="32.8" hidden="false" customHeight="false" outlineLevel="0" collapsed="false">
      <c r="A190" s="20" t="n">
        <f aca="false">SUBTOTAL(103,$B$6:B190)</f>
        <v>161</v>
      </c>
      <c r="B190" s="20" t="n">
        <v>522</v>
      </c>
      <c r="C190" s="21" t="str">
        <f aca="false">Base!G165</f>
        <v>2727299.CONSTRUCCION DE PUENTE; EN EL(LA) CARRETERA R211223 EN ACCESO AL C.P. VICTORIA, DISTRITO DE SAN PEDRO DE PUTINA PUNCO, PROVINCIA SANDIA, DEPARTAMENTO PUNO</v>
      </c>
      <c r="D190" s="22" t="n">
        <f aca="false">Base!H165</f>
        <v>75291</v>
      </c>
      <c r="E190" s="22" t="n">
        <f aca="false">Base!I165</f>
        <v>0</v>
      </c>
      <c r="F190" s="22" t="n">
        <f aca="false">D190-E190</f>
        <v>75291</v>
      </c>
      <c r="G190" s="22" t="n">
        <f aca="false">Base!K165</f>
        <v>0</v>
      </c>
      <c r="H190" s="22" t="n">
        <f aca="false">D190-G190</f>
        <v>75291</v>
      </c>
      <c r="I190" s="23" t="n">
        <f aca="false">IF(D190=0,0,G190/D190)</f>
        <v>0</v>
      </c>
      <c r="J190" s="21" t="str">
        <f aca="false">Base!O165</f>
        <v>Expediente técnico</v>
      </c>
      <c r="K190" s="21" t="str">
        <f aca="false">Base!P165</f>
        <v>Sin certificar</v>
      </c>
      <c r="L190" s="22" t="str">
        <f aca="false">Base!Q165</f>
        <v>No registrado en cartera</v>
      </c>
      <c r="M190" s="22" t="str">
        <f aca="false">Base!R165</f>
        <v>No registrado en cartera</v>
      </c>
      <c r="N190" s="22" t="str">
        <f aca="false">Base!S165</f>
        <v>No registrado en cartera</v>
      </c>
      <c r="O190" s="22" t="str">
        <f aca="false">Base!T165</f>
        <v>No registrado en cartera</v>
      </c>
      <c r="P190" s="21" t="str">
        <f aca="false">IF(Base!U165="","",Base!U165)</f>
        <v/>
      </c>
    </row>
    <row r="191" customFormat="false" ht="15" hidden="false" customHeight="false" outlineLevel="0" collapsed="false">
      <c r="A191" s="17" t="s">
        <v>51</v>
      </c>
      <c r="B191" s="17"/>
      <c r="C191" s="17"/>
      <c r="D191" s="18" t="n">
        <f aca="false">SUM(D192:D193)</f>
        <v>425742</v>
      </c>
      <c r="E191" s="18" t="n">
        <f aca="false">SUM(E192:E193)</f>
        <v>385373</v>
      </c>
      <c r="F191" s="18" t="n">
        <f aca="false">SUM(F192:F193)</f>
        <v>40369</v>
      </c>
      <c r="G191" s="18" t="n">
        <f aca="false">SUM(G192:G193)</f>
        <v>207394.57</v>
      </c>
      <c r="H191" s="18" t="n">
        <f aca="false">SUM(H192:H193)</f>
        <v>218347.43</v>
      </c>
      <c r="I191" s="19" t="n">
        <f aca="false">IF(D191=0,0,G191/D191)</f>
        <v>0.487136740091417</v>
      </c>
      <c r="J191" s="17"/>
      <c r="K191" s="17"/>
      <c r="L191" s="17"/>
      <c r="M191" s="17"/>
      <c r="N191" s="17"/>
      <c r="O191" s="17"/>
      <c r="P191" s="17"/>
    </row>
    <row r="192" customFormat="false" ht="22.35" hidden="false" customHeight="false" outlineLevel="0" collapsed="false">
      <c r="A192" s="20" t="n">
        <f aca="false">SUBTOTAL(103,$B$6:B192)</f>
        <v>162</v>
      </c>
      <c r="B192" s="20" t="n">
        <v>321</v>
      </c>
      <c r="C192" s="21" t="str">
        <f aca="false">Base!G166</f>
        <v>2186641.MEJORAMIENTO DEL SERVICIO DEPORTIVO, CULTURAL Y RECREACIONAL EN LA CAPITAL DE LA REGION PUNO</v>
      </c>
      <c r="D192" s="22" t="n">
        <f aca="false">Base!H166</f>
        <v>325721</v>
      </c>
      <c r="E192" s="22" t="n">
        <f aca="false">Base!I166</f>
        <v>325721</v>
      </c>
      <c r="F192" s="22" t="n">
        <f aca="false">D192-E192</f>
        <v>0</v>
      </c>
      <c r="G192" s="22" t="n">
        <f aca="false">Base!K166</f>
        <v>159147.06</v>
      </c>
      <c r="H192" s="22" t="n">
        <f aca="false">D192-G192</f>
        <v>166573.94</v>
      </c>
      <c r="I192" s="23" t="n">
        <f aca="false">IF(D192=0,0,G192/D192)</f>
        <v>0.488599322733259</v>
      </c>
      <c r="J192" s="21" t="str">
        <f aca="false">Base!O166</f>
        <v>Expediente técnico</v>
      </c>
      <c r="K192" s="21" t="str">
        <f aca="false">Base!P166</f>
        <v>Comprometido</v>
      </c>
      <c r="L192" s="22" t="n">
        <f aca="false">Base!Q166</f>
        <v>11675669</v>
      </c>
      <c r="M192" s="22" t="n">
        <f aca="false">Base!R166</f>
        <v>6000000</v>
      </c>
      <c r="N192" s="22" t="n">
        <f aca="false">Base!S166</f>
        <v>6503691</v>
      </c>
      <c r="O192" s="22" t="n">
        <f aca="false">Base!T166</f>
        <v>7526858</v>
      </c>
      <c r="P192" s="21" t="str">
        <f aca="false">IF(Base!U166="","",Base!U166)</f>
        <v/>
      </c>
    </row>
    <row r="193" customFormat="false" ht="32.8" hidden="false" customHeight="false" outlineLevel="0" collapsed="false">
      <c r="A193" s="20" t="n">
        <f aca="false">SUBTOTAL(103,$B$6:B193)</f>
        <v>163</v>
      </c>
      <c r="B193" s="20" t="n">
        <v>491</v>
      </c>
      <c r="C193" s="21" t="str">
        <f aca="false">Base!G167</f>
        <v>2714049.REPARACION DE CAMPO DEPORTIVO; EN EL(LA) POLIDEPORTIVO AZANGARO DISTRITO DE AZANGARO, PROVINCIA AZANGARO, DEPARTAMENTO PUNO</v>
      </c>
      <c r="D193" s="22" t="n">
        <f aca="false">Base!H167</f>
        <v>100021</v>
      </c>
      <c r="E193" s="22" t="n">
        <f aca="false">Base!I167</f>
        <v>59652</v>
      </c>
      <c r="F193" s="22" t="n">
        <f aca="false">D193-E193</f>
        <v>40369</v>
      </c>
      <c r="G193" s="22" t="n">
        <f aca="false">Base!K167</f>
        <v>48247.51</v>
      </c>
      <c r="H193" s="22" t="n">
        <f aca="false">D193-G193</f>
        <v>51773.49</v>
      </c>
      <c r="I193" s="23" t="n">
        <f aca="false">IF(D193=0,0,G193/D193)</f>
        <v>0.482373801501685</v>
      </c>
      <c r="J193" s="21" t="str">
        <f aca="false">Base!O167</f>
        <v>Expediente técnico</v>
      </c>
      <c r="K193" s="21" t="str">
        <f aca="false">Base!P167</f>
        <v>Comprometido</v>
      </c>
      <c r="L193" s="22" t="n">
        <f aca="false">Base!Q167</f>
        <v>50000</v>
      </c>
      <c r="M193" s="22" t="n">
        <f aca="false">Base!R167</f>
        <v>0</v>
      </c>
      <c r="N193" s="22" t="n">
        <f aca="false">Base!S167</f>
        <v>0</v>
      </c>
      <c r="O193" s="22" t="n">
        <f aca="false">Base!T167</f>
        <v>1500000</v>
      </c>
      <c r="P193" s="21" t="str">
        <f aca="false">IF(Base!U167="","",Base!U167)</f>
        <v/>
      </c>
    </row>
    <row r="194" customFormat="false" ht="15" hidden="false" customHeight="false" outlineLevel="0" collapsed="false">
      <c r="A194" s="17" t="s">
        <v>58</v>
      </c>
      <c r="B194" s="17"/>
      <c r="C194" s="17"/>
      <c r="D194" s="18" t="n">
        <f aca="false">SUM(D195)</f>
        <v>500000</v>
      </c>
      <c r="E194" s="18" t="n">
        <f aca="false">SUM(E195)</f>
        <v>0</v>
      </c>
      <c r="F194" s="18" t="n">
        <f aca="false">SUM(F195)</f>
        <v>500000</v>
      </c>
      <c r="G194" s="18" t="n">
        <f aca="false">SUM(G195)</f>
        <v>0</v>
      </c>
      <c r="H194" s="18" t="n">
        <f aca="false">SUM(H195)</f>
        <v>500000</v>
      </c>
      <c r="I194" s="19" t="n">
        <f aca="false">IF(D194=0,0,G194/D194)</f>
        <v>0</v>
      </c>
      <c r="J194" s="17"/>
      <c r="K194" s="17"/>
      <c r="L194" s="17"/>
      <c r="M194" s="17"/>
      <c r="N194" s="17"/>
      <c r="O194" s="17"/>
      <c r="P194" s="17"/>
    </row>
    <row r="195" customFormat="false" ht="43.25" hidden="false" customHeight="false" outlineLevel="0" collapsed="false">
      <c r="A195" s="20" t="n">
        <f aca="false">SUBTOTAL(103,$B$6:B195)</f>
        <v>164</v>
      </c>
      <c r="B195" s="20" t="n">
        <v>337</v>
      </c>
      <c r="C195" s="21" t="str">
        <f aca="false">Base!G168</f>
        <v>2518131.AMPLIACION Y MEJORAMIENTO DE LOS SERVICIOS DE ADMINISTRACION DE JUSTICIA DE LOS ORGANOS JURISDICCIONALES DE LA SEDE CENTRAL DEL DISTRITO JUDICIAL DE PUNO, DISTRITO DE PUNO - PROVINCIA DE PUNO - DEPARTAMENTO DE PUNO</v>
      </c>
      <c r="D195" s="22" t="n">
        <f aca="false">Base!H168</f>
        <v>500000</v>
      </c>
      <c r="E195" s="22" t="n">
        <f aca="false">Base!I168</f>
        <v>0</v>
      </c>
      <c r="F195" s="22" t="n">
        <f aca="false">D195-E195</f>
        <v>500000</v>
      </c>
      <c r="G195" s="22" t="n">
        <f aca="false">Base!K168</f>
        <v>0</v>
      </c>
      <c r="H195" s="22" t="n">
        <f aca="false">D195-G195</f>
        <v>500000</v>
      </c>
      <c r="I195" s="23" t="n">
        <f aca="false">IF(D195=0,0,G195/D195)</f>
        <v>0</v>
      </c>
      <c r="J195" s="21" t="str">
        <f aca="false">Base!O168</f>
        <v>Expediente técnico</v>
      </c>
      <c r="K195" s="21" t="str">
        <f aca="false">Base!P168</f>
        <v>Sin certificar</v>
      </c>
      <c r="L195" s="22" t="str">
        <f aca="false">Base!Q168</f>
        <v>No registrado en cartera</v>
      </c>
      <c r="M195" s="22" t="str">
        <f aca="false">Base!R168</f>
        <v>No registrado en cartera</v>
      </c>
      <c r="N195" s="22" t="str">
        <f aca="false">Base!S168</f>
        <v>No registrado en cartera</v>
      </c>
      <c r="O195" s="22" t="str">
        <f aca="false">Base!T168</f>
        <v>No registrado en cartera</v>
      </c>
      <c r="P195" s="21" t="str">
        <f aca="false">IF(Base!U168="","",Base!U168)</f>
        <v/>
      </c>
    </row>
    <row r="196" customFormat="false" ht="15" hidden="false" customHeight="false" outlineLevel="0" collapsed="false">
      <c r="A196" s="6" t="s">
        <v>59</v>
      </c>
      <c r="B196" s="6"/>
      <c r="C196" s="6"/>
      <c r="D196" s="7" t="n">
        <f aca="false">D197+D223+D268+D306+D311+D315+D317+D319+D321</f>
        <v>48792207</v>
      </c>
      <c r="E196" s="7" t="n">
        <f aca="false">E197+E223+E268+E306+E311+E315+E317+E319+E321</f>
        <v>39512702.72</v>
      </c>
      <c r="F196" s="7" t="n">
        <f aca="false">F197+F223+F268+F306+F311+F315+F317+F319+F321</f>
        <v>9279504.28</v>
      </c>
      <c r="G196" s="7" t="n">
        <f aca="false">G197+G223+G268+G306+G311+G315+G317+G319+G321</f>
        <v>12779600.42</v>
      </c>
      <c r="H196" s="7" t="n">
        <f aca="false">H197+H223+H268+H306+H311+H315+H317+H319+H321</f>
        <v>36012606.58</v>
      </c>
      <c r="I196" s="16" t="n">
        <f aca="false">IF(D196=0,0,G196/D196)</f>
        <v>0.26191888430052</v>
      </c>
      <c r="J196" s="6"/>
      <c r="K196" s="6"/>
      <c r="L196" s="6"/>
      <c r="M196" s="6"/>
      <c r="N196" s="6"/>
      <c r="O196" s="6"/>
      <c r="P196" s="6"/>
    </row>
    <row r="197" customFormat="false" ht="15" hidden="false" customHeight="false" outlineLevel="0" collapsed="false">
      <c r="A197" s="17" t="s">
        <v>48</v>
      </c>
      <c r="B197" s="17"/>
      <c r="C197" s="17"/>
      <c r="D197" s="18" t="n">
        <f aca="false">SUM(D198:D222)</f>
        <v>15757818</v>
      </c>
      <c r="E197" s="18" t="n">
        <f aca="false">SUM(E198:E222)</f>
        <v>14762847.89</v>
      </c>
      <c r="F197" s="18" t="n">
        <f aca="false">SUM(F198:F222)</f>
        <v>994970.11</v>
      </c>
      <c r="G197" s="18" t="n">
        <f aca="false">SUM(G198:G222)</f>
        <v>1021607.42</v>
      </c>
      <c r="H197" s="18" t="n">
        <f aca="false">SUM(H198:H222)</f>
        <v>14736210.58</v>
      </c>
      <c r="I197" s="19" t="n">
        <f aca="false">IF(D197=0,0,G197/D197)</f>
        <v>0.0648317819129527</v>
      </c>
      <c r="J197" s="17"/>
      <c r="K197" s="17"/>
      <c r="L197" s="17"/>
      <c r="M197" s="17"/>
      <c r="N197" s="17"/>
      <c r="O197" s="17"/>
      <c r="P197" s="17"/>
    </row>
    <row r="198" customFormat="false" ht="32.8" hidden="false" customHeight="false" outlineLevel="0" collapsed="false">
      <c r="A198" s="20" t="n">
        <f aca="false">SUBTOTAL(103,$B$6:B198)</f>
        <v>165</v>
      </c>
      <c r="B198" s="20" t="n">
        <v>227</v>
      </c>
      <c r="C198" s="21" t="str">
        <f aca="false">Base!G169</f>
        <v>2357091: MEJORAMIENTO DE LA CAPACIDAD RESOLUTIVA DEL CENTRO DE SALUD COATA I-3 DE LA MICRORED JAE, RED DE SALUD PUNO - DIRESA PUNO, - DISTRITO DE COATA - PROVINCIA DE PUNO - REGION PUNO</v>
      </c>
      <c r="D198" s="22" t="n">
        <f aca="false">Base!H169</f>
        <v>10399190</v>
      </c>
      <c r="E198" s="22" t="n">
        <f aca="false">Base!I169</f>
        <v>9609876</v>
      </c>
      <c r="F198" s="22" t="n">
        <f aca="false">D198-E198</f>
        <v>789314</v>
      </c>
      <c r="G198" s="22" t="n">
        <f aca="false">Base!K169</f>
        <v>0</v>
      </c>
      <c r="H198" s="22" t="n">
        <f aca="false">D198-G198</f>
        <v>10399190</v>
      </c>
      <c r="I198" s="23" t="n">
        <f aca="false">IF(D198=0,0,G198/D198)</f>
        <v>0</v>
      </c>
      <c r="J198" s="21" t="str">
        <f aca="false">Base!O169</f>
        <v>Contrata</v>
      </c>
      <c r="K198" s="21" t="str">
        <f aca="false">Base!P169</f>
        <v>Solo certificado</v>
      </c>
      <c r="L198" s="22" t="n">
        <f aca="false">Base!Q169</f>
        <v>8282615</v>
      </c>
      <c r="M198" s="22" t="n">
        <f aca="false">Base!R169</f>
        <v>10255200</v>
      </c>
      <c r="N198" s="22" t="n">
        <f aca="false">Base!S169</f>
        <v>10389972</v>
      </c>
      <c r="O198" s="22" t="n">
        <f aca="false">Base!T169</f>
        <v>10574977</v>
      </c>
      <c r="P198" s="21" t="str">
        <f aca="false">IF(Base!U169="","",Base!U169)</f>
        <v/>
      </c>
    </row>
    <row r="199" customFormat="false" ht="43.25" hidden="false" customHeight="false" outlineLevel="0" collapsed="false">
      <c r="A199" s="20" t="n">
        <f aca="false">SUBTOTAL(103,$B$6:B199)</f>
        <v>166</v>
      </c>
      <c r="B199" s="20" t="n">
        <v>230</v>
      </c>
      <c r="C199" s="21" t="str">
        <f aca="false">Base!G170</f>
        <v>2380088: MEJORAMIENTO Y AMPLIACION DE LOS SERVICIOS DE SALUD DEL HOSPITAL CARLOS CORNEJO ROSELLO VIZCARDO DE LA CIUDAD DE AZANGARO, DISTRITO Y PROVINCIA DE AZANGARO, DEPARTAMENTO DE PUNO</v>
      </c>
      <c r="D199" s="22" t="n">
        <f aca="false">Base!H170</f>
        <v>0</v>
      </c>
      <c r="E199" s="22" t="n">
        <f aca="false">Base!I170</f>
        <v>0</v>
      </c>
      <c r="F199" s="22" t="n">
        <f aca="false">D199-E199</f>
        <v>0</v>
      </c>
      <c r="G199" s="22" t="n">
        <f aca="false">Base!K170</f>
        <v>0</v>
      </c>
      <c r="H199" s="22" t="n">
        <f aca="false">D199-G199</f>
        <v>0</v>
      </c>
      <c r="I199" s="23" t="n">
        <f aca="false">IF(D199=0,0,G199/D199)</f>
        <v>0</v>
      </c>
      <c r="J199" s="21" t="str">
        <f aca="false">Base!O170</f>
        <v>Contrata</v>
      </c>
      <c r="K199" s="21" t="str">
        <f aca="false">Base!P170</f>
        <v>Sin PIM</v>
      </c>
      <c r="L199" s="22" t="n">
        <f aca="false">Base!Q170</f>
        <v>1950000</v>
      </c>
      <c r="M199" s="22" t="n">
        <f aca="false">Base!R170</f>
        <v>0</v>
      </c>
      <c r="N199" s="22" t="n">
        <f aca="false">Base!S170</f>
        <v>1500000</v>
      </c>
      <c r="O199" s="22" t="n">
        <f aca="false">Base!T170</f>
        <v>2450000</v>
      </c>
      <c r="P199" s="21" t="str">
        <f aca="false">IF(Base!U170="","",Base!U170)</f>
        <v/>
      </c>
    </row>
    <row r="200" customFormat="false" ht="32.8" hidden="false" customHeight="false" outlineLevel="0" collapsed="false">
      <c r="A200" s="20" t="n">
        <f aca="false">SUBTOTAL(103,$B$6:B200)</f>
        <v>167</v>
      </c>
      <c r="B200" s="20" t="n">
        <v>238</v>
      </c>
      <c r="C200" s="21" t="str">
        <f aca="false">Base!G171</f>
        <v>2476464: MEJORAMIENTO Y AMPLIACION DE LOS SERVICIOS DE SALUD DEL CENTRO DE SALUD KELLUYO DEL DISTRITO DE KELLUYO - PROVINCIA DE CHUCUITO - DEPARTAMENTO DE PUNO</v>
      </c>
      <c r="D200" s="22" t="n">
        <f aca="false">Base!H171</f>
        <v>184669</v>
      </c>
      <c r="E200" s="22" t="n">
        <f aca="false">Base!I171</f>
        <v>184669</v>
      </c>
      <c r="F200" s="22" t="n">
        <f aca="false">D200-E200</f>
        <v>0</v>
      </c>
      <c r="G200" s="22" t="n">
        <f aca="false">Base!K171</f>
        <v>0</v>
      </c>
      <c r="H200" s="22" t="n">
        <f aca="false">D200-G200</f>
        <v>184669</v>
      </c>
      <c r="I200" s="23" t="n">
        <f aca="false">IF(D200=0,0,G200/D200)</f>
        <v>0</v>
      </c>
      <c r="J200" s="21" t="str">
        <f aca="false">Base!O171</f>
        <v>Contrata</v>
      </c>
      <c r="K200" s="21" t="str">
        <f aca="false">Base!P171</f>
        <v>Solo certificado</v>
      </c>
      <c r="L200" s="22" t="n">
        <f aca="false">Base!Q171</f>
        <v>5319000</v>
      </c>
      <c r="M200" s="22" t="n">
        <f aca="false">Base!R171</f>
        <v>8587485</v>
      </c>
      <c r="N200" s="22" t="n">
        <f aca="false">Base!S171</f>
        <v>0</v>
      </c>
      <c r="O200" s="22" t="n">
        <f aca="false">Base!T171</f>
        <v>1000000</v>
      </c>
      <c r="P200" s="21" t="str">
        <f aca="false">IF(Base!U171="","",Base!U171)</f>
        <v/>
      </c>
    </row>
    <row r="201" customFormat="false" ht="32.8" hidden="false" customHeight="false" outlineLevel="0" collapsed="false">
      <c r="A201" s="20" t="n">
        <f aca="false">SUBTOTAL(103,$B$6:B201)</f>
        <v>168</v>
      </c>
      <c r="B201" s="20" t="n">
        <v>244</v>
      </c>
      <c r="C201" s="21" t="str">
        <f aca="false">Base!G172</f>
        <v>2517448: MEJORAMIENTO DEL SERVICIO DE SALUD EN EL CENTRO DE SALUD SAN GABAN, DISTRITO DE SAN GABAN - PROVINCIA DE CARABAYA - DEPARTAMENTO DE PUNO</v>
      </c>
      <c r="D201" s="22" t="n">
        <f aca="false">Base!H172</f>
        <v>200000</v>
      </c>
      <c r="E201" s="22" t="n">
        <f aca="false">Base!I172</f>
        <v>50000</v>
      </c>
      <c r="F201" s="22" t="n">
        <f aca="false">D201-E201</f>
        <v>150000</v>
      </c>
      <c r="G201" s="22" t="n">
        <f aca="false">Base!K172</f>
        <v>0</v>
      </c>
      <c r="H201" s="22" t="n">
        <f aca="false">D201-G201</f>
        <v>200000</v>
      </c>
      <c r="I201" s="23" t="n">
        <f aca="false">IF(D201=0,0,G201/D201)</f>
        <v>0</v>
      </c>
      <c r="J201" s="21" t="str">
        <f aca="false">Base!O172</f>
        <v>Expediente técnico / Contrata</v>
      </c>
      <c r="K201" s="21" t="str">
        <f aca="false">Base!P172</f>
        <v>Solo certificado</v>
      </c>
      <c r="L201" s="22" t="n">
        <f aca="false">Base!Q172</f>
        <v>200000</v>
      </c>
      <c r="M201" s="22" t="n">
        <f aca="false">Base!R172</f>
        <v>1474000</v>
      </c>
      <c r="N201" s="22" t="n">
        <f aca="false">Base!S172</f>
        <v>0</v>
      </c>
      <c r="O201" s="22" t="n">
        <f aca="false">Base!T172</f>
        <v>0</v>
      </c>
      <c r="P201" s="21" t="str">
        <f aca="false">IF(Base!U172="","",Base!U172)</f>
        <v/>
      </c>
    </row>
    <row r="202" customFormat="false" ht="32.8" hidden="false" customHeight="false" outlineLevel="0" collapsed="false">
      <c r="A202" s="20" t="n">
        <f aca="false">SUBTOTAL(103,$B$6:B202)</f>
        <v>169</v>
      </c>
      <c r="B202" s="20" t="n">
        <v>251</v>
      </c>
      <c r="C202" s="21" t="str">
        <f aca="false">Base!G173</f>
        <v>2551456: MEJORAMIENTO DE LOS SERVICIOS DE SALUD DEL CENTRO DE SALUD GUADALUPE, DISTRITO DE JULIACA - PROVINCIA DE SAN ROMAN - DEPARTAMENTO DE PUNO</v>
      </c>
      <c r="D202" s="22" t="n">
        <f aca="false">Base!H173</f>
        <v>654662</v>
      </c>
      <c r="E202" s="22" t="n">
        <f aca="false">Base!I173</f>
        <v>654662</v>
      </c>
      <c r="F202" s="22" t="n">
        <f aca="false">D202-E202</f>
        <v>0</v>
      </c>
      <c r="G202" s="22" t="n">
        <f aca="false">Base!K173</f>
        <v>0</v>
      </c>
      <c r="H202" s="22" t="n">
        <f aca="false">D202-G202</f>
        <v>654662</v>
      </c>
      <c r="I202" s="23" t="n">
        <f aca="false">IF(D202=0,0,G202/D202)</f>
        <v>0</v>
      </c>
      <c r="J202" s="21" t="str">
        <f aca="false">Base!O173</f>
        <v>Expediente técnico</v>
      </c>
      <c r="K202" s="21" t="str">
        <f aca="false">Base!P173</f>
        <v>Comprometido</v>
      </c>
      <c r="L202" s="22" t="str">
        <f aca="false">Base!Q173</f>
        <v>No registrado en cartera</v>
      </c>
      <c r="M202" s="22" t="str">
        <f aca="false">Base!R173</f>
        <v>No registrado en cartera</v>
      </c>
      <c r="N202" s="22" t="str">
        <f aca="false">Base!S173</f>
        <v>No registrado en cartera</v>
      </c>
      <c r="O202" s="22" t="str">
        <f aca="false">Base!T173</f>
        <v>No registrado en cartera</v>
      </c>
      <c r="P202" s="21" t="str">
        <f aca="false">IF(Base!U173="","",Base!U173)</f>
        <v/>
      </c>
    </row>
    <row r="203" customFormat="false" ht="32.8" hidden="false" customHeight="false" outlineLevel="0" collapsed="false">
      <c r="A203" s="20" t="n">
        <f aca="false">SUBTOTAL(103,$B$6:B203)</f>
        <v>170</v>
      </c>
      <c r="B203" s="20" t="n">
        <v>256</v>
      </c>
      <c r="C203" s="21" t="str">
        <f aca="false">Base!G174</f>
        <v>2570943: MEJORAMIENTO Y AMPLIACION DE LOS SERVICIOS DE SALUD DEL ESTABLECIMIENTO DE SALUD OLLARAYA, DISTRITO DE OLLARAYA - PROVINCIA DE YUNGUYO - DEPARTAMENTO DE PUNO</v>
      </c>
      <c r="D203" s="22" t="n">
        <f aca="false">Base!H174</f>
        <v>82568</v>
      </c>
      <c r="E203" s="22" t="n">
        <f aca="false">Base!I174</f>
        <v>82568</v>
      </c>
      <c r="F203" s="22" t="n">
        <f aca="false">D203-E203</f>
        <v>0</v>
      </c>
      <c r="G203" s="22" t="n">
        <f aca="false">Base!K174</f>
        <v>57743.81</v>
      </c>
      <c r="H203" s="22" t="n">
        <f aca="false">D203-G203</f>
        <v>24824.19</v>
      </c>
      <c r="I203" s="23" t="n">
        <f aca="false">IF(D203=0,0,G203/D203)</f>
        <v>0.699348536963473</v>
      </c>
      <c r="J203" s="21" t="str">
        <f aca="false">Base!O174</f>
        <v>Expediente técnico</v>
      </c>
      <c r="K203" s="21" t="str">
        <f aca="false">Base!P174</f>
        <v>Comprometido</v>
      </c>
      <c r="L203" s="22" t="n">
        <f aca="false">Base!Q174</f>
        <v>4190000</v>
      </c>
      <c r="M203" s="22" t="n">
        <f aca="false">Base!R174</f>
        <v>7462800</v>
      </c>
      <c r="N203" s="22" t="n">
        <f aca="false">Base!S174</f>
        <v>7500000</v>
      </c>
      <c r="O203" s="22" t="n">
        <f aca="false">Base!T174</f>
        <v>12829438</v>
      </c>
      <c r="P203" s="21" t="str">
        <f aca="false">IF(Base!U174="","",Base!U174)</f>
        <v/>
      </c>
    </row>
    <row r="204" customFormat="false" ht="32.8" hidden="false" customHeight="false" outlineLevel="0" collapsed="false">
      <c r="A204" s="20" t="n">
        <f aca="false">SUBTOTAL(103,$B$6:B204)</f>
        <v>171</v>
      </c>
      <c r="B204" s="20" t="n">
        <v>257</v>
      </c>
      <c r="C204" s="21" t="str">
        <f aca="false">Base!G175</f>
        <v>2578405: MEJORAMIENTO Y AMPLIACION DEL SERVICIO DE ATENCION DE SALUD BASICOS EN CHUPA - CHUPA DISTRITO DE CHUPA DE LA PROVINCIA DE AZANGARO DEL DEPARTAMENTO DE PUNO</v>
      </c>
      <c r="D204" s="22" t="n">
        <f aca="false">Base!H175</f>
        <v>100000</v>
      </c>
      <c r="E204" s="22" t="n">
        <f aca="false">Base!I175</f>
        <v>100000</v>
      </c>
      <c r="F204" s="22" t="n">
        <f aca="false">D204-E204</f>
        <v>0</v>
      </c>
      <c r="G204" s="22" t="n">
        <f aca="false">Base!K175</f>
        <v>85262.53</v>
      </c>
      <c r="H204" s="22" t="n">
        <f aca="false">D204-G204</f>
        <v>14737.47</v>
      </c>
      <c r="I204" s="23" t="n">
        <f aca="false">IF(D204=0,0,G204/D204)</f>
        <v>0.8526253</v>
      </c>
      <c r="J204" s="21" t="str">
        <f aca="false">Base!O175</f>
        <v>Expediente técnico</v>
      </c>
      <c r="K204" s="21" t="str">
        <f aca="false">Base!P175</f>
        <v>Comprometido</v>
      </c>
      <c r="L204" s="22" t="n">
        <f aca="false">Base!Q175</f>
        <v>100000</v>
      </c>
      <c r="M204" s="22" t="n">
        <f aca="false">Base!R175</f>
        <v>7898542</v>
      </c>
      <c r="N204" s="22" t="n">
        <f aca="false">Base!S175</f>
        <v>0</v>
      </c>
      <c r="O204" s="22" t="n">
        <f aca="false">Base!T175</f>
        <v>1000000</v>
      </c>
      <c r="P204" s="21" t="str">
        <f aca="false">IF(Base!U175="","",Base!U175)</f>
        <v/>
      </c>
    </row>
    <row r="205" customFormat="false" ht="32.8" hidden="false" customHeight="false" outlineLevel="0" collapsed="false">
      <c r="A205" s="20" t="n">
        <f aca="false">SUBTOTAL(103,$B$6:B205)</f>
        <v>172</v>
      </c>
      <c r="B205" s="20" t="n">
        <v>258</v>
      </c>
      <c r="C205" s="21" t="str">
        <f aca="false">Base!G176</f>
        <v>2585395: MEJORAMIENTO DEL SERVICIO DE ATENCION DE SALUD BASICOS EN CAPACHICA DISTRITO DE CAPACHICA DE LA PROVINCIA DE PUNO DEL DEPARTAMENTO DE PUNO</v>
      </c>
      <c r="D205" s="22" t="n">
        <f aca="false">Base!H176</f>
        <v>0</v>
      </c>
      <c r="E205" s="22" t="n">
        <f aca="false">Base!I176</f>
        <v>0</v>
      </c>
      <c r="F205" s="22" t="n">
        <f aca="false">D205-E205</f>
        <v>0</v>
      </c>
      <c r="G205" s="22" t="n">
        <f aca="false">Base!K176</f>
        <v>0</v>
      </c>
      <c r="H205" s="22" t="n">
        <f aca="false">D205-G205</f>
        <v>0</v>
      </c>
      <c r="I205" s="23" t="n">
        <f aca="false">IF(D205=0,0,G205/D205)</f>
        <v>0</v>
      </c>
      <c r="J205" s="21" t="str">
        <f aca="false">Base!O176</f>
        <v>Contrata</v>
      </c>
      <c r="K205" s="21" t="str">
        <f aca="false">Base!P176</f>
        <v>Sin PIM</v>
      </c>
      <c r="L205" s="22" t="n">
        <f aca="false">Base!Q176</f>
        <v>100000</v>
      </c>
      <c r="M205" s="22" t="n">
        <f aca="false">Base!R176</f>
        <v>0</v>
      </c>
      <c r="N205" s="22" t="n">
        <f aca="false">Base!S176</f>
        <v>0</v>
      </c>
      <c r="O205" s="22" t="n">
        <f aca="false">Base!T176</f>
        <v>0</v>
      </c>
      <c r="P205" s="21" t="str">
        <f aca="false">IF(Base!U176="","",Base!U176)</f>
        <v/>
      </c>
    </row>
    <row r="206" customFormat="false" ht="32.8" hidden="false" customHeight="false" outlineLevel="0" collapsed="false">
      <c r="A206" s="20" t="n">
        <f aca="false">SUBTOTAL(103,$B$6:B206)</f>
        <v>173</v>
      </c>
      <c r="B206" s="20" t="n">
        <v>261</v>
      </c>
      <c r="C206" s="21" t="str">
        <f aca="false">Base!G177</f>
        <v>2594994: MEJORAMIENTO Y AMPLIACION DEL SERVICIO DE ATENCION DE SALUD BASICOS EN ASILLO DISTRITO DE ASILLO DE LA PROVINCIA DE AZANGARO DEL DEPARTAMENTO DE PUNO</v>
      </c>
      <c r="D206" s="22" t="n">
        <f aca="false">Base!H177</f>
        <v>154665</v>
      </c>
      <c r="E206" s="22" t="n">
        <f aca="false">Base!I177</f>
        <v>154665</v>
      </c>
      <c r="F206" s="22" t="n">
        <f aca="false">D206-E206</f>
        <v>0</v>
      </c>
      <c r="G206" s="22" t="n">
        <f aca="false">Base!K177</f>
        <v>154066.77</v>
      </c>
      <c r="H206" s="22" t="n">
        <f aca="false">D206-G206</f>
        <v>598.230000000011</v>
      </c>
      <c r="I206" s="23" t="n">
        <f aca="false">IF(D206=0,0,G206/D206)</f>
        <v>0.996132091940646</v>
      </c>
      <c r="J206" s="21" t="str">
        <f aca="false">Base!O177</f>
        <v>Expediente técnico</v>
      </c>
      <c r="K206" s="21" t="str">
        <f aca="false">Base!P177</f>
        <v>Comprometido</v>
      </c>
      <c r="L206" s="22" t="n">
        <f aca="false">Base!Q177</f>
        <v>200000</v>
      </c>
      <c r="M206" s="22" t="n">
        <f aca="false">Base!R177</f>
        <v>8562546</v>
      </c>
      <c r="N206" s="22" t="n">
        <f aca="false">Base!S177</f>
        <v>5000000</v>
      </c>
      <c r="O206" s="22" t="n">
        <f aca="false">Base!T177</f>
        <v>5168291</v>
      </c>
      <c r="P206" s="21" t="str">
        <f aca="false">IF(Base!U177="","",Base!U177)</f>
        <v/>
      </c>
    </row>
    <row r="207" customFormat="false" ht="32.8" hidden="false" customHeight="false" outlineLevel="0" collapsed="false">
      <c r="A207" s="20" t="n">
        <f aca="false">SUBTOTAL(103,$B$6:B207)</f>
        <v>174</v>
      </c>
      <c r="B207" s="20" t="n">
        <v>262</v>
      </c>
      <c r="C207" s="21" t="str">
        <f aca="false">Base!G178</f>
        <v>2599489: CONSTRUCCION DE CONSULTORIO; ADQUISICION DE EQUIPOS BIOMEDICOS Y MOBILIARIO CLINICO; EN EL(LA) HOSPITAL SANDIA DISTRITO DE SANDIA, PROVINCIA SANDIA, DEPARTAMENTO PUNO</v>
      </c>
      <c r="D207" s="22" t="n">
        <f aca="false">Base!H178</f>
        <v>1750696</v>
      </c>
      <c r="E207" s="22" t="n">
        <f aca="false">Base!I178</f>
        <v>1750696</v>
      </c>
      <c r="F207" s="22" t="n">
        <f aca="false">D207-E207</f>
        <v>0</v>
      </c>
      <c r="G207" s="22" t="n">
        <f aca="false">Base!K178</f>
        <v>0</v>
      </c>
      <c r="H207" s="22" t="n">
        <f aca="false">D207-G207</f>
        <v>1750696</v>
      </c>
      <c r="I207" s="23" t="n">
        <f aca="false">IF(D207=0,0,G207/D207)</f>
        <v>0</v>
      </c>
      <c r="J207" s="21" t="str">
        <f aca="false">Base!O178</f>
        <v>Contrata</v>
      </c>
      <c r="K207" s="21" t="str">
        <f aca="false">Base!P178</f>
        <v>Solo certificado</v>
      </c>
      <c r="L207" s="22" t="n">
        <f aca="false">Base!Q178</f>
        <v>4083424</v>
      </c>
      <c r="M207" s="22" t="n">
        <f aca="false">Base!R178</f>
        <v>8803099</v>
      </c>
      <c r="N207" s="22" t="n">
        <f aca="false">Base!S178</f>
        <v>5321398</v>
      </c>
      <c r="O207" s="22" t="n">
        <f aca="false">Base!T178</f>
        <v>0</v>
      </c>
      <c r="P207" s="21" t="str">
        <f aca="false">IF(Base!U178="","",Base!U178)</f>
        <v/>
      </c>
    </row>
    <row r="208" customFormat="false" ht="32.8" hidden="false" customHeight="false" outlineLevel="0" collapsed="false">
      <c r="A208" s="20" t="n">
        <f aca="false">SUBTOTAL(103,$B$6:B208)</f>
        <v>175</v>
      </c>
      <c r="B208" s="20" t="n">
        <v>265</v>
      </c>
      <c r="C208" s="21" t="str">
        <f aca="false">Base!G179</f>
        <v>2603161: MEJORAMIENTO DEL SERVICIO DE ATENCION DE SALUD BASICOS EN MAÑAZO DISTRITO DE MAÑAZO DE LA PROVINCIA DE PUNO DEL DEPARTAMENTO DE PUNO</v>
      </c>
      <c r="D208" s="22" t="n">
        <f aca="false">Base!H179</f>
        <v>0</v>
      </c>
      <c r="E208" s="22" t="n">
        <f aca="false">Base!I179</f>
        <v>0</v>
      </c>
      <c r="F208" s="22" t="n">
        <f aca="false">D208-E208</f>
        <v>0</v>
      </c>
      <c r="G208" s="22" t="n">
        <f aca="false">Base!K179</f>
        <v>0</v>
      </c>
      <c r="H208" s="22" t="n">
        <f aca="false">D208-G208</f>
        <v>0</v>
      </c>
      <c r="I208" s="23" t="n">
        <f aca="false">IF(D208=0,0,G208/D208)</f>
        <v>0</v>
      </c>
      <c r="J208" s="21" t="str">
        <f aca="false">Base!O179</f>
        <v>Contrata</v>
      </c>
      <c r="K208" s="21" t="str">
        <f aca="false">Base!P179</f>
        <v>Sin PIM</v>
      </c>
      <c r="L208" s="22" t="n">
        <f aca="false">Base!Q179</f>
        <v>100000</v>
      </c>
      <c r="M208" s="22" t="n">
        <f aca="false">Base!R179</f>
        <v>0</v>
      </c>
      <c r="N208" s="22" t="n">
        <f aca="false">Base!S179</f>
        <v>0</v>
      </c>
      <c r="O208" s="22" t="n">
        <f aca="false">Base!T179</f>
        <v>500000</v>
      </c>
      <c r="P208" s="21" t="str">
        <f aca="false">IF(Base!U179="","",Base!U179)</f>
        <v/>
      </c>
    </row>
    <row r="209" customFormat="false" ht="32.8" hidden="false" customHeight="false" outlineLevel="0" collapsed="false">
      <c r="A209" s="20" t="n">
        <f aca="false">SUBTOTAL(103,$B$6:B209)</f>
        <v>176</v>
      </c>
      <c r="B209" s="20" t="n">
        <v>267</v>
      </c>
      <c r="C209" s="21" t="str">
        <f aca="false">Base!G180</f>
        <v>2623878: MEJORAMIENTO DEL SERVICIO DE ATENCION DE SALUD BASICOS EN CABANILLA DISTRITO DE CABANILLA DE LA PROVINCIA DE LAMPA DEL DEPARTAMENTO DE PUNO</v>
      </c>
      <c r="D209" s="22" t="n">
        <f aca="false">Base!H180</f>
        <v>656461</v>
      </c>
      <c r="E209" s="22" t="n">
        <f aca="false">Base!I180</f>
        <v>656461</v>
      </c>
      <c r="F209" s="22" t="n">
        <f aca="false">D209-E209</f>
        <v>0</v>
      </c>
      <c r="G209" s="22" t="n">
        <f aca="false">Base!K180</f>
        <v>0</v>
      </c>
      <c r="H209" s="22" t="n">
        <f aca="false">D209-G209</f>
        <v>656461</v>
      </c>
      <c r="I209" s="23" t="n">
        <f aca="false">IF(D209=0,0,G209/D209)</f>
        <v>0</v>
      </c>
      <c r="J209" s="21" t="str">
        <f aca="false">Base!O180</f>
        <v>Expediente técnico</v>
      </c>
      <c r="K209" s="21" t="str">
        <f aca="false">Base!P180</f>
        <v>Solo certificado</v>
      </c>
      <c r="L209" s="22" t="n">
        <f aca="false">Base!Q180</f>
        <v>50000</v>
      </c>
      <c r="M209" s="22" t="n">
        <f aca="false">Base!R180</f>
        <v>7005844</v>
      </c>
      <c r="N209" s="22" t="n">
        <f aca="false">Base!S180</f>
        <v>0</v>
      </c>
      <c r="O209" s="22" t="n">
        <f aca="false">Base!T180</f>
        <v>3544143</v>
      </c>
      <c r="P209" s="21" t="str">
        <f aca="false">IF(Base!U180="","",Base!U180)</f>
        <v/>
      </c>
    </row>
    <row r="210" customFormat="false" ht="32.8" hidden="false" customHeight="false" outlineLevel="0" collapsed="false">
      <c r="A210" s="20" t="n">
        <f aca="false">SUBTOTAL(103,$B$6:B210)</f>
        <v>177</v>
      </c>
      <c r="B210" s="20" t="n">
        <v>268</v>
      </c>
      <c r="C210" s="21" t="str">
        <f aca="false">Base!G181</f>
        <v>2623879: MEJORAMIENTO DEL SERVICIO DE ATENCION DE SALUD BASICOS EN LARAQUERI DISTRITO DE PICHACANI DE LA PROVINCIA DE PUNO DEL DEPARTAMENTO DE PUNO</v>
      </c>
      <c r="D210" s="22" t="n">
        <f aca="false">Base!H181</f>
        <v>606461</v>
      </c>
      <c r="E210" s="22" t="n">
        <f aca="false">Base!I181</f>
        <v>606460.53</v>
      </c>
      <c r="F210" s="22" t="n">
        <f aca="false">D210-E210</f>
        <v>0.46999999997206</v>
      </c>
      <c r="G210" s="22" t="n">
        <f aca="false">Base!K181</f>
        <v>0</v>
      </c>
      <c r="H210" s="22" t="n">
        <f aca="false">D210-G210</f>
        <v>606461</v>
      </c>
      <c r="I210" s="23" t="n">
        <f aca="false">IF(D210=0,0,G210/D210)</f>
        <v>0</v>
      </c>
      <c r="J210" s="21" t="str">
        <f aca="false">Base!O181</f>
        <v>Expediente técnico</v>
      </c>
      <c r="K210" s="21" t="str">
        <f aca="false">Base!P181</f>
        <v>Solo certificado</v>
      </c>
      <c r="L210" s="22" t="n">
        <f aca="false">Base!Q181</f>
        <v>706461</v>
      </c>
      <c r="M210" s="22" t="n">
        <f aca="false">Base!R181</f>
        <v>7021584</v>
      </c>
      <c r="N210" s="22" t="n">
        <f aca="false">Base!S181</f>
        <v>0</v>
      </c>
      <c r="O210" s="22" t="n">
        <f aca="false">Base!T181</f>
        <v>1000000</v>
      </c>
      <c r="P210" s="21" t="str">
        <f aca="false">IF(Base!U181="","",Base!U181)</f>
        <v/>
      </c>
    </row>
    <row r="211" customFormat="false" ht="32.8" hidden="false" customHeight="false" outlineLevel="0" collapsed="false">
      <c r="A211" s="20" t="n">
        <f aca="false">SUBTOTAL(103,$B$6:B211)</f>
        <v>178</v>
      </c>
      <c r="B211" s="20" t="n">
        <v>269</v>
      </c>
      <c r="C211" s="21" t="str">
        <f aca="false">Base!G182</f>
        <v>2632832: MEJORAMIENTO DEL SERVICIO DE ATENCION DE SALUD BASICOS EN VALLECITO DISTRITO DE PUNO DE LA PROVINCIA DE PUNO DEL DEPARTAMENTO DE PUNO</v>
      </c>
      <c r="D211" s="22" t="n">
        <f aca="false">Base!H182</f>
        <v>0</v>
      </c>
      <c r="E211" s="22" t="n">
        <f aca="false">Base!I182</f>
        <v>0</v>
      </c>
      <c r="F211" s="22" t="n">
        <f aca="false">D211-E211</f>
        <v>0</v>
      </c>
      <c r="G211" s="22" t="n">
        <f aca="false">Base!K182</f>
        <v>0</v>
      </c>
      <c r="H211" s="22" t="n">
        <f aca="false">D211-G211</f>
        <v>0</v>
      </c>
      <c r="I211" s="23" t="n">
        <f aca="false">IF(D211=0,0,G211/D211)</f>
        <v>0</v>
      </c>
      <c r="J211" s="21" t="str">
        <f aca="false">Base!O182</f>
        <v>Contrata</v>
      </c>
      <c r="K211" s="21" t="str">
        <f aca="false">Base!P182</f>
        <v>Sin PIM</v>
      </c>
      <c r="L211" s="22" t="n">
        <f aca="false">Base!Q182</f>
        <v>100000</v>
      </c>
      <c r="M211" s="22" t="n">
        <f aca="false">Base!R182</f>
        <v>0</v>
      </c>
      <c r="N211" s="22" t="n">
        <f aca="false">Base!S182</f>
        <v>0</v>
      </c>
      <c r="O211" s="22" t="n">
        <f aca="false">Base!T182</f>
        <v>1000000</v>
      </c>
      <c r="P211" s="21" t="str">
        <f aca="false">IF(Base!U182="","",Base!U182)</f>
        <v/>
      </c>
    </row>
    <row r="212" customFormat="false" ht="32.8" hidden="false" customHeight="false" outlineLevel="0" collapsed="false">
      <c r="A212" s="20" t="n">
        <f aca="false">SUBTOTAL(103,$B$6:B212)</f>
        <v>179</v>
      </c>
      <c r="B212" s="20" t="n">
        <v>271</v>
      </c>
      <c r="C212" s="21" t="str">
        <f aca="false">Base!G183</f>
        <v>2649778: MEJORAMIENTO DEL SERVICIO DE ATENCION DE SALUD BASICOS EN CHIJNAYA DISTRITO DE PUCARA DE LA PROVINCIA DE LAMPA DEL DEPARTAMENTO DE PUNO</v>
      </c>
      <c r="D212" s="22" t="n">
        <f aca="false">Base!H183</f>
        <v>50000</v>
      </c>
      <c r="E212" s="22" t="n">
        <f aca="false">Base!I183</f>
        <v>50000</v>
      </c>
      <c r="F212" s="22" t="n">
        <f aca="false">D212-E212</f>
        <v>0</v>
      </c>
      <c r="G212" s="22" t="n">
        <f aca="false">Base!K183</f>
        <v>47929.33</v>
      </c>
      <c r="H212" s="22" t="n">
        <f aca="false">D212-G212</f>
        <v>2070.67</v>
      </c>
      <c r="I212" s="23" t="n">
        <f aca="false">IF(D212=0,0,G212/D212)</f>
        <v>0.9585866</v>
      </c>
      <c r="J212" s="21" t="str">
        <f aca="false">Base!O183</f>
        <v>Expediente técnico</v>
      </c>
      <c r="K212" s="21" t="str">
        <f aca="false">Base!P183</f>
        <v>Comprometido</v>
      </c>
      <c r="L212" s="22" t="n">
        <f aca="false">Base!Q183</f>
        <v>50000</v>
      </c>
      <c r="M212" s="22" t="n">
        <f aca="false">Base!R183</f>
        <v>1543234</v>
      </c>
      <c r="N212" s="22" t="n">
        <f aca="false">Base!S183</f>
        <v>0</v>
      </c>
      <c r="O212" s="22" t="n">
        <f aca="false">Base!T183</f>
        <v>1008002</v>
      </c>
      <c r="P212" s="21" t="str">
        <f aca="false">IF(Base!U183="","",Base!U183)</f>
        <v/>
      </c>
    </row>
    <row r="213" customFormat="false" ht="32.8" hidden="false" customHeight="false" outlineLevel="0" collapsed="false">
      <c r="A213" s="20" t="n">
        <f aca="false">SUBTOTAL(103,$B$6:B213)</f>
        <v>180</v>
      </c>
      <c r="B213" s="20" t="n">
        <v>272</v>
      </c>
      <c r="C213" s="21" t="str">
        <f aca="false">Base!G184</f>
        <v>2649779: MEJORAMIENTO DEL SERVICIO DE ATENCION DE SALUD BASICOS EN HUAYCHO DISTRITO DE NUÑOA DE LA PROVINCIA DE MELGAR DEL DEPARTAMENTO DE PUNO</v>
      </c>
      <c r="D213" s="22" t="n">
        <f aca="false">Base!H184</f>
        <v>0</v>
      </c>
      <c r="E213" s="22" t="n">
        <f aca="false">Base!I184</f>
        <v>0</v>
      </c>
      <c r="F213" s="22" t="n">
        <f aca="false">D213-E213</f>
        <v>0</v>
      </c>
      <c r="G213" s="22" t="n">
        <f aca="false">Base!K184</f>
        <v>0</v>
      </c>
      <c r="H213" s="22" t="n">
        <f aca="false">D213-G213</f>
        <v>0</v>
      </c>
      <c r="I213" s="23" t="n">
        <f aca="false">IF(D213=0,0,G213/D213)</f>
        <v>0</v>
      </c>
      <c r="J213" s="21" t="str">
        <f aca="false">Base!O184</f>
        <v>Contrata</v>
      </c>
      <c r="K213" s="21" t="str">
        <f aca="false">Base!P184</f>
        <v>Sin PIM</v>
      </c>
      <c r="L213" s="22" t="n">
        <f aca="false">Base!Q184</f>
        <v>50000</v>
      </c>
      <c r="M213" s="22" t="n">
        <f aca="false">Base!R184</f>
        <v>0</v>
      </c>
      <c r="N213" s="22" t="n">
        <f aca="false">Base!S184</f>
        <v>300000</v>
      </c>
      <c r="O213" s="22" t="n">
        <f aca="false">Base!T184</f>
        <v>2629159</v>
      </c>
      <c r="P213" s="21" t="str">
        <f aca="false">IF(Base!U184="","",Base!U184)</f>
        <v/>
      </c>
    </row>
    <row r="214" customFormat="false" ht="32.8" hidden="false" customHeight="false" outlineLevel="0" collapsed="false">
      <c r="A214" s="20" t="n">
        <f aca="false">SUBTOTAL(103,$B$6:B214)</f>
        <v>181</v>
      </c>
      <c r="B214" s="20" t="n">
        <v>273</v>
      </c>
      <c r="C214" s="21" t="str">
        <f aca="false">Base!G185</f>
        <v>2649780: MEJORAMIENTO DEL SERVICIO DE ATENCION DE SALUD BASICOS EN ACOCOLLO DISTRITO DE HUANCANE DE LA PROVINCIA DE HUANCANE DEL DEPARTAMENTO DE PUNO</v>
      </c>
      <c r="D214" s="22" t="n">
        <f aca="false">Base!H185</f>
        <v>82042</v>
      </c>
      <c r="E214" s="22" t="n">
        <f aca="false">Base!I185</f>
        <v>73137.02</v>
      </c>
      <c r="F214" s="22" t="n">
        <f aca="false">D214-E214</f>
        <v>8904.98</v>
      </c>
      <c r="G214" s="22" t="n">
        <f aca="false">Base!K185</f>
        <v>48346.77</v>
      </c>
      <c r="H214" s="22" t="n">
        <f aca="false">D214-G214</f>
        <v>33695.23</v>
      </c>
      <c r="I214" s="23" t="n">
        <f aca="false">IF(D214=0,0,G214/D214)</f>
        <v>0.58929292313693</v>
      </c>
      <c r="J214" s="21" t="str">
        <f aca="false">Base!O185</f>
        <v>Expediente técnico</v>
      </c>
      <c r="K214" s="21" t="str">
        <f aca="false">Base!P185</f>
        <v>Comprometido</v>
      </c>
      <c r="L214" s="22" t="n">
        <f aca="false">Base!Q185</f>
        <v>50000</v>
      </c>
      <c r="M214" s="22" t="n">
        <f aca="false">Base!R185</f>
        <v>254525</v>
      </c>
      <c r="N214" s="22" t="n">
        <f aca="false">Base!S185</f>
        <v>0</v>
      </c>
      <c r="O214" s="22" t="n">
        <f aca="false">Base!T185</f>
        <v>1345475</v>
      </c>
      <c r="P214" s="21" t="str">
        <f aca="false">IF(Base!U185="","",Base!U185)</f>
        <v/>
      </c>
    </row>
    <row r="215" customFormat="false" ht="32.8" hidden="false" customHeight="false" outlineLevel="0" collapsed="false">
      <c r="A215" s="20" t="n">
        <f aca="false">SUBTOTAL(103,$B$6:B215)</f>
        <v>182</v>
      </c>
      <c r="B215" s="20" t="n">
        <v>274</v>
      </c>
      <c r="C215" s="21" t="str">
        <f aca="false">Base!G186</f>
        <v>2649782: MEJORAMIENTO DEL SERVICIO DE ATENCION DE SALUD BASICOS EN CAYARANI DISTRITO DE ORURILLO DE LA PROVINCIA DE MELGAR DEL DEPARTAMENTO DE PUNO</v>
      </c>
      <c r="D215" s="22" t="n">
        <f aca="false">Base!H186</f>
        <v>0</v>
      </c>
      <c r="E215" s="22" t="n">
        <f aca="false">Base!I186</f>
        <v>0</v>
      </c>
      <c r="F215" s="22" t="n">
        <f aca="false">D215-E215</f>
        <v>0</v>
      </c>
      <c r="G215" s="22" t="n">
        <f aca="false">Base!K186</f>
        <v>0</v>
      </c>
      <c r="H215" s="22" t="n">
        <f aca="false">D215-G215</f>
        <v>0</v>
      </c>
      <c r="I215" s="23" t="n">
        <f aca="false">IF(D215=0,0,G215/D215)</f>
        <v>0</v>
      </c>
      <c r="J215" s="21" t="str">
        <f aca="false">Base!O186</f>
        <v>Contrata</v>
      </c>
      <c r="K215" s="21" t="str">
        <f aca="false">Base!P186</f>
        <v>Sin PIM</v>
      </c>
      <c r="L215" s="22" t="n">
        <f aca="false">Base!Q186</f>
        <v>50000</v>
      </c>
      <c r="M215" s="22" t="n">
        <f aca="false">Base!R186</f>
        <v>0</v>
      </c>
      <c r="N215" s="22" t="n">
        <f aca="false">Base!S186</f>
        <v>0</v>
      </c>
      <c r="O215" s="22" t="n">
        <f aca="false">Base!T186</f>
        <v>150000</v>
      </c>
      <c r="P215" s="21" t="str">
        <f aca="false">IF(Base!U186="","",Base!U186)</f>
        <v/>
      </c>
    </row>
    <row r="216" customFormat="false" ht="32.8" hidden="false" customHeight="false" outlineLevel="0" collapsed="false">
      <c r="A216" s="20" t="n">
        <f aca="false">SUBTOTAL(103,$B$6:B216)</f>
        <v>183</v>
      </c>
      <c r="B216" s="20" t="n">
        <v>275</v>
      </c>
      <c r="C216" s="21" t="str">
        <f aca="false">Base!G187</f>
        <v>2649786: MEJORAMIENTO DEL SERVICIO DE ATENCION DE SALUD BASICOS EN PASIRI DISTRITO DE JULI DE LA PROVINCIA DE CHUCUITO DEL DEPARTAMENTO DE PUNO</v>
      </c>
      <c r="D216" s="22" t="n">
        <f aca="false">Base!H187</f>
        <v>72190</v>
      </c>
      <c r="E216" s="22" t="n">
        <f aca="false">Base!I187</f>
        <v>62384.34</v>
      </c>
      <c r="F216" s="22" t="n">
        <f aca="false">D216-E216</f>
        <v>9805.66</v>
      </c>
      <c r="G216" s="22" t="n">
        <f aca="false">Base!K187</f>
        <v>59404.06</v>
      </c>
      <c r="H216" s="22" t="n">
        <f aca="false">D216-G216</f>
        <v>12785.94</v>
      </c>
      <c r="I216" s="23" t="n">
        <f aca="false">IF(D216=0,0,G216/D216)</f>
        <v>0.822884887103477</v>
      </c>
      <c r="J216" s="21" t="str">
        <f aca="false">Base!O187</f>
        <v>Expediente técnico</v>
      </c>
      <c r="K216" s="21" t="str">
        <f aca="false">Base!P187</f>
        <v>Comprometido</v>
      </c>
      <c r="L216" s="22" t="n">
        <f aca="false">Base!Q187</f>
        <v>50000</v>
      </c>
      <c r="M216" s="22" t="n">
        <f aca="false">Base!R187</f>
        <v>0</v>
      </c>
      <c r="N216" s="22" t="n">
        <f aca="false">Base!S187</f>
        <v>0</v>
      </c>
      <c r="O216" s="22" t="n">
        <f aca="false">Base!T187</f>
        <v>2707132</v>
      </c>
      <c r="P216" s="21" t="str">
        <f aca="false">IF(Base!U187="","",Base!U187)</f>
        <v/>
      </c>
    </row>
    <row r="217" customFormat="false" ht="32.8" hidden="false" customHeight="false" outlineLevel="0" collapsed="false">
      <c r="A217" s="20" t="n">
        <f aca="false">SUBTOTAL(103,$B$6:B217)</f>
        <v>184</v>
      </c>
      <c r="B217" s="20" t="n">
        <v>276</v>
      </c>
      <c r="C217" s="21" t="str">
        <f aca="false">Base!G188</f>
        <v>2649788: MEJORAMIENTO DEL SERVICIO DE ATENCION DE SALUD BASICOS EN CALLAZA DISTRITO DE HUACULLANI DE LA PROVINCIA DE CHUCUITO DEL DEPARTAMENTO DE PUNO</v>
      </c>
      <c r="D217" s="22" t="n">
        <f aca="false">Base!H188</f>
        <v>69837</v>
      </c>
      <c r="E217" s="22" t="n">
        <f aca="false">Base!I188</f>
        <v>50000</v>
      </c>
      <c r="F217" s="22" t="n">
        <f aca="false">D217-E217</f>
        <v>19837</v>
      </c>
      <c r="G217" s="22" t="n">
        <f aca="false">Base!K188</f>
        <v>24166.33</v>
      </c>
      <c r="H217" s="22" t="n">
        <f aca="false">D217-G217</f>
        <v>45670.67</v>
      </c>
      <c r="I217" s="23" t="n">
        <f aca="false">IF(D217=0,0,G217/D217)</f>
        <v>0.346039062388132</v>
      </c>
      <c r="J217" s="21" t="str">
        <f aca="false">Base!O188</f>
        <v>Expediente técnico</v>
      </c>
      <c r="K217" s="21" t="str">
        <f aca="false">Base!P188</f>
        <v>Comprometido</v>
      </c>
      <c r="L217" s="22" t="n">
        <f aca="false">Base!Q188</f>
        <v>50000</v>
      </c>
      <c r="M217" s="22" t="n">
        <f aca="false">Base!R188</f>
        <v>1543466</v>
      </c>
      <c r="N217" s="22" t="n">
        <f aca="false">Base!S188</f>
        <v>0</v>
      </c>
      <c r="O217" s="22" t="n">
        <f aca="false">Base!T188</f>
        <v>500000</v>
      </c>
      <c r="P217" s="21" t="str">
        <f aca="false">IF(Base!U188="","",Base!U188)</f>
        <v/>
      </c>
    </row>
    <row r="218" customFormat="false" ht="32.8" hidden="false" customHeight="false" outlineLevel="0" collapsed="false">
      <c r="A218" s="20" t="n">
        <f aca="false">SUBTOTAL(103,$B$6:B218)</f>
        <v>185</v>
      </c>
      <c r="B218" s="20" t="n">
        <v>277</v>
      </c>
      <c r="C218" s="21" t="str">
        <f aca="false">Base!G189</f>
        <v>2649789: MEJORAMIENTO DEL SERVICIO DE ATENCION DE SALUD BASICOS EN CALLACAMI DISTRITO DE JULI DE LA PROVINCIA DE CHUCUITO DEL DEPARTAMENTO DE PUNO</v>
      </c>
      <c r="D218" s="22" t="n">
        <f aca="false">Base!H189</f>
        <v>50000</v>
      </c>
      <c r="E218" s="22" t="n">
        <f aca="false">Base!I189</f>
        <v>50000</v>
      </c>
      <c r="F218" s="22" t="n">
        <f aca="false">D218-E218</f>
        <v>0</v>
      </c>
      <c r="G218" s="22" t="n">
        <f aca="false">Base!K189</f>
        <v>48541.71</v>
      </c>
      <c r="H218" s="22" t="n">
        <f aca="false">D218-G218</f>
        <v>1458.29</v>
      </c>
      <c r="I218" s="23" t="n">
        <f aca="false">IF(D218=0,0,G218/D218)</f>
        <v>0.9708342</v>
      </c>
      <c r="J218" s="21" t="str">
        <f aca="false">Base!O189</f>
        <v>Expediente técnico</v>
      </c>
      <c r="K218" s="21" t="str">
        <f aca="false">Base!P189</f>
        <v>Comprometido</v>
      </c>
      <c r="L218" s="22" t="n">
        <f aca="false">Base!Q189</f>
        <v>50000</v>
      </c>
      <c r="M218" s="22" t="n">
        <f aca="false">Base!R189</f>
        <v>1525657</v>
      </c>
      <c r="N218" s="22" t="n">
        <f aca="false">Base!S189</f>
        <v>0</v>
      </c>
      <c r="O218" s="22" t="n">
        <f aca="false">Base!T189</f>
        <v>1145070</v>
      </c>
      <c r="P218" s="21" t="str">
        <f aca="false">IF(Base!U189="","",Base!U189)</f>
        <v/>
      </c>
    </row>
    <row r="219" customFormat="false" ht="32.8" hidden="false" customHeight="false" outlineLevel="0" collapsed="false">
      <c r="A219" s="20" t="n">
        <f aca="false">SUBTOTAL(103,$B$6:B219)</f>
        <v>186</v>
      </c>
      <c r="B219" s="20" t="n">
        <v>278</v>
      </c>
      <c r="C219" s="21" t="str">
        <f aca="false">Base!G190</f>
        <v>2649790: MEJORAMIENTO DEL SERVICIO DE ATENCION DE SALUD BASICOS EN CHEJANI DISTRITO DE PHARA DE LA PROVINCIA DE SANDIA DEL DEPARTAMENTO DE PUNO</v>
      </c>
      <c r="D219" s="22" t="n">
        <f aca="false">Base!H190</f>
        <v>304060</v>
      </c>
      <c r="E219" s="22" t="n">
        <f aca="false">Base!I190</f>
        <v>291997.5</v>
      </c>
      <c r="F219" s="22" t="n">
        <f aca="false">D219-E219</f>
        <v>12062.5</v>
      </c>
      <c r="G219" s="22" t="n">
        <f aca="false">Base!K190</f>
        <v>267446.91</v>
      </c>
      <c r="H219" s="22" t="n">
        <f aca="false">D219-G219</f>
        <v>36613.09</v>
      </c>
      <c r="I219" s="23" t="n">
        <f aca="false">IF(D219=0,0,G219/D219)</f>
        <v>0.879585969874367</v>
      </c>
      <c r="J219" s="21" t="str">
        <f aca="false">Base!O190</f>
        <v>Expediente técnico</v>
      </c>
      <c r="K219" s="21" t="str">
        <f aca="false">Base!P190</f>
        <v>Comprometido</v>
      </c>
      <c r="L219" s="22" t="n">
        <f aca="false">Base!Q190</f>
        <v>50000</v>
      </c>
      <c r="M219" s="22" t="n">
        <f aca="false">Base!R190</f>
        <v>0</v>
      </c>
      <c r="N219" s="22" t="n">
        <f aca="false">Base!S190</f>
        <v>0</v>
      </c>
      <c r="O219" s="22" t="n">
        <f aca="false">Base!T190</f>
        <v>1809535</v>
      </c>
      <c r="P219" s="21" t="str">
        <f aca="false">IF(Base!U190="","",Base!U190)</f>
        <v/>
      </c>
    </row>
    <row r="220" customFormat="false" ht="32.8" hidden="false" customHeight="false" outlineLevel="0" collapsed="false">
      <c r="A220" s="20" t="n">
        <f aca="false">SUBTOTAL(103,$B$6:B220)</f>
        <v>187</v>
      </c>
      <c r="B220" s="20" t="n">
        <v>279</v>
      </c>
      <c r="C220" s="21" t="str">
        <f aca="false">Base!G191</f>
        <v>2649793: MEJORAMIENTO DEL SERVICIO DE ATENCION DE SALUD BASICOS EN NINANTAYA DISTRITO DE MOHO DE LA PROVINCIA DE MOHO DEL DEPARTAMENTO DE PUNO</v>
      </c>
      <c r="D220" s="22" t="n">
        <f aca="false">Base!H191</f>
        <v>0</v>
      </c>
      <c r="E220" s="22" t="n">
        <f aca="false">Base!I191</f>
        <v>0</v>
      </c>
      <c r="F220" s="22" t="n">
        <f aca="false">D220-E220</f>
        <v>0</v>
      </c>
      <c r="G220" s="22" t="n">
        <f aca="false">Base!K191</f>
        <v>0</v>
      </c>
      <c r="H220" s="22" t="n">
        <f aca="false">D220-G220</f>
        <v>0</v>
      </c>
      <c r="I220" s="23" t="n">
        <f aca="false">IF(D220=0,0,G220/D220)</f>
        <v>0</v>
      </c>
      <c r="J220" s="21" t="str">
        <f aca="false">Base!O191</f>
        <v>Contrata</v>
      </c>
      <c r="K220" s="21" t="str">
        <f aca="false">Base!P191</f>
        <v>Sin PIM</v>
      </c>
      <c r="L220" s="22" t="n">
        <f aca="false">Base!Q191</f>
        <v>50000</v>
      </c>
      <c r="M220" s="22" t="n">
        <f aca="false">Base!R191</f>
        <v>0</v>
      </c>
      <c r="N220" s="22" t="n">
        <f aca="false">Base!S191</f>
        <v>0</v>
      </c>
      <c r="O220" s="22" t="n">
        <f aca="false">Base!T191</f>
        <v>600000</v>
      </c>
      <c r="P220" s="21" t="str">
        <f aca="false">IF(Base!U191="","",Base!U191)</f>
        <v/>
      </c>
    </row>
    <row r="221" customFormat="false" ht="32.8" hidden="false" customHeight="false" outlineLevel="0" collapsed="false">
      <c r="A221" s="20" t="n">
        <f aca="false">SUBTOTAL(103,$B$6:B221)</f>
        <v>188</v>
      </c>
      <c r="B221" s="20" t="n">
        <v>280</v>
      </c>
      <c r="C221" s="21" t="str">
        <f aca="false">Base!G192</f>
        <v>2649794: MEJORAMIENTO DEL SERVICIO DE ATENCION DE SALUD BASICOS EN SACUYO RIO GRANDE DISTRITO DE ACORA DE LA PROVINCIA DE PUNO DEL DEPARTAMENTO DE PUNO</v>
      </c>
      <c r="D221" s="22" t="n">
        <f aca="false">Base!H192</f>
        <v>0</v>
      </c>
      <c r="E221" s="22" t="n">
        <f aca="false">Base!I192</f>
        <v>0</v>
      </c>
      <c r="F221" s="22" t="n">
        <f aca="false">D221-E221</f>
        <v>0</v>
      </c>
      <c r="G221" s="22" t="n">
        <f aca="false">Base!K192</f>
        <v>0</v>
      </c>
      <c r="H221" s="22" t="n">
        <f aca="false">D221-G221</f>
        <v>0</v>
      </c>
      <c r="I221" s="23" t="n">
        <f aca="false">IF(D221=0,0,G221/D221)</f>
        <v>0</v>
      </c>
      <c r="J221" s="21" t="str">
        <f aca="false">Base!O192</f>
        <v>Contrata</v>
      </c>
      <c r="K221" s="21" t="str">
        <f aca="false">Base!P192</f>
        <v>Sin PIM</v>
      </c>
      <c r="L221" s="22" t="n">
        <f aca="false">Base!Q192</f>
        <v>50000</v>
      </c>
      <c r="M221" s="22" t="n">
        <f aca="false">Base!R192</f>
        <v>0</v>
      </c>
      <c r="N221" s="22" t="n">
        <f aca="false">Base!S192</f>
        <v>0</v>
      </c>
      <c r="O221" s="22" t="n">
        <f aca="false">Base!T192</f>
        <v>120000</v>
      </c>
      <c r="P221" s="21" t="str">
        <f aca="false">IF(Base!U192="","",Base!U192)</f>
        <v/>
      </c>
    </row>
    <row r="222" customFormat="false" ht="32.8" hidden="false" customHeight="false" outlineLevel="0" collapsed="false">
      <c r="A222" s="20" t="n">
        <f aca="false">SUBTOTAL(103,$B$6:B222)</f>
        <v>189</v>
      </c>
      <c r="B222" s="20" t="n">
        <v>283</v>
      </c>
      <c r="C222" s="21" t="str">
        <f aca="false">Base!G193</f>
        <v>2658003: MEJORAMIENTO DEL SERVICIO DE ATENCION DE SALUD BASICOS EN ACCASO DISTRITO DE PILCUYO DE LA PROVINCIA DE EL COLLAO DEL DEPARTAMENTO DE PUNO</v>
      </c>
      <c r="D222" s="22" t="n">
        <f aca="false">Base!H193</f>
        <v>340317</v>
      </c>
      <c r="E222" s="22" t="n">
        <f aca="false">Base!I193</f>
        <v>335271.5</v>
      </c>
      <c r="F222" s="22" t="n">
        <f aca="false">D222-E222</f>
        <v>5045.5</v>
      </c>
      <c r="G222" s="22" t="n">
        <f aca="false">Base!K193</f>
        <v>228699.2</v>
      </c>
      <c r="H222" s="22" t="n">
        <f aca="false">D222-G222</f>
        <v>111617.8</v>
      </c>
      <c r="I222" s="23" t="n">
        <f aca="false">IF(D222=0,0,G222/D222)</f>
        <v>0.672018147785741</v>
      </c>
      <c r="J222" s="21" t="str">
        <f aca="false">Base!O193</f>
        <v>Expediente técnico</v>
      </c>
      <c r="K222" s="21" t="str">
        <f aca="false">Base!P193</f>
        <v>Comprometido</v>
      </c>
      <c r="L222" s="22" t="n">
        <f aca="false">Base!Q193</f>
        <v>50000</v>
      </c>
      <c r="M222" s="22" t="n">
        <f aca="false">Base!R193</f>
        <v>0</v>
      </c>
      <c r="N222" s="22" t="n">
        <f aca="false">Base!S193</f>
        <v>0</v>
      </c>
      <c r="O222" s="22" t="n">
        <f aca="false">Base!T193</f>
        <v>1523839</v>
      </c>
      <c r="P222" s="21" t="str">
        <f aca="false">IF(Base!U193="","",Base!U193)</f>
        <v/>
      </c>
    </row>
    <row r="223" customFormat="false" ht="15" hidden="false" customHeight="false" outlineLevel="0" collapsed="false">
      <c r="A223" s="17" t="s">
        <v>49</v>
      </c>
      <c r="B223" s="17"/>
      <c r="C223" s="17"/>
      <c r="D223" s="18" t="n">
        <f aca="false">SUM(D224:D267)</f>
        <v>18648303</v>
      </c>
      <c r="E223" s="18" t="n">
        <f aca="false">SUM(E224:E267)</f>
        <v>14876628.92</v>
      </c>
      <c r="F223" s="18" t="n">
        <f aca="false">SUM(F224:F267)</f>
        <v>3771674.08</v>
      </c>
      <c r="G223" s="18" t="n">
        <f aca="false">SUM(G224:G267)</f>
        <v>6088424.73</v>
      </c>
      <c r="H223" s="18" t="n">
        <f aca="false">SUM(H224:H267)</f>
        <v>12559878.27</v>
      </c>
      <c r="I223" s="19" t="n">
        <f aca="false">IF(D223=0,0,G223/D223)</f>
        <v>0.326486797753125</v>
      </c>
      <c r="J223" s="17"/>
      <c r="K223" s="17"/>
      <c r="L223" s="17"/>
      <c r="M223" s="17"/>
      <c r="N223" s="17"/>
      <c r="O223" s="17"/>
      <c r="P223" s="17"/>
    </row>
    <row r="224" customFormat="false" ht="32.8" hidden="false" customHeight="false" outlineLevel="0" collapsed="false">
      <c r="A224" s="20" t="n">
        <f aca="false">SUBTOTAL(103,$B$6:B224)</f>
        <v>190</v>
      </c>
      <c r="B224" s="20" t="n">
        <v>21</v>
      </c>
      <c r="C224" s="21" t="str">
        <f aca="false">Base!G194</f>
        <v>2188379: MEJORAMIENTO DEL SERVICIO EDUCATIVO DE LA INSTITUCION EDUCATIVA PRIMARIA N 70605 DOMINGO SAVIO DE JULIACA, DISTRITO DE JULIACA, PROVINCIA DE SAN ROMAN - PUNO</v>
      </c>
      <c r="D224" s="22" t="n">
        <f aca="false">Base!H194</f>
        <v>0</v>
      </c>
      <c r="E224" s="22" t="n">
        <f aca="false">Base!I194</f>
        <v>0</v>
      </c>
      <c r="F224" s="22" t="n">
        <f aca="false">D224-E224</f>
        <v>0</v>
      </c>
      <c r="G224" s="22" t="n">
        <f aca="false">Base!K194</f>
        <v>0</v>
      </c>
      <c r="H224" s="22" t="n">
        <f aca="false">D224-G224</f>
        <v>0</v>
      </c>
      <c r="I224" s="23" t="n">
        <f aca="false">IF(D224=0,0,G224/D224)</f>
        <v>0</v>
      </c>
      <c r="J224" s="21" t="str">
        <f aca="false">Base!O194</f>
        <v>Contrata</v>
      </c>
      <c r="K224" s="21" t="str">
        <f aca="false">Base!P194</f>
        <v>Sin PIM</v>
      </c>
      <c r="L224" s="22" t="n">
        <f aca="false">Base!Q194</f>
        <v>1792000</v>
      </c>
      <c r="M224" s="22" t="n">
        <f aca="false">Base!R194</f>
        <v>0</v>
      </c>
      <c r="N224" s="22" t="n">
        <f aca="false">Base!S194</f>
        <v>0</v>
      </c>
      <c r="O224" s="22" t="n">
        <f aca="false">Base!T194</f>
        <v>0</v>
      </c>
      <c r="P224" s="21" t="str">
        <f aca="false">IF(Base!U194="","",Base!U194)</f>
        <v/>
      </c>
    </row>
    <row r="225" customFormat="false" ht="43.25" hidden="false" customHeight="false" outlineLevel="0" collapsed="false">
      <c r="A225" s="20" t="n">
        <f aca="false">SUBTOTAL(103,$B$6:B225)</f>
        <v>191</v>
      </c>
      <c r="B225" s="20" t="n">
        <v>31</v>
      </c>
      <c r="C225" s="21" t="str">
        <f aca="false">Base!G195</f>
        <v>2384978: MEJORAMIENTO DE LOS SERVICIOS DE EDUCACION SECUNDARIA EN LA INSTITUCION EDUCATIVA PUBLICA MILITAR INCA MANCO CAPAC , CENTRO POBLADO DE TOTORANI - DISTRITO DE PUNO - PROVINCIA DE PUNO - REGION PUNO</v>
      </c>
      <c r="D225" s="22" t="n">
        <f aca="false">Base!H195</f>
        <v>100000</v>
      </c>
      <c r="E225" s="22" t="n">
        <f aca="false">Base!I195</f>
        <v>85000</v>
      </c>
      <c r="F225" s="22" t="n">
        <f aca="false">D225-E225</f>
        <v>15000</v>
      </c>
      <c r="G225" s="22" t="n">
        <f aca="false">Base!K195</f>
        <v>58662.71</v>
      </c>
      <c r="H225" s="22" t="n">
        <f aca="false">D225-G225</f>
        <v>41337.29</v>
      </c>
      <c r="I225" s="23" t="n">
        <f aca="false">IF(D225=0,0,G225/D225)</f>
        <v>0.5866271</v>
      </c>
      <c r="J225" s="21" t="str">
        <f aca="false">Base!O195</f>
        <v>Expediente técnico</v>
      </c>
      <c r="K225" s="21" t="str">
        <f aca="false">Base!P195</f>
        <v>Comprometido</v>
      </c>
      <c r="L225" s="22" t="n">
        <f aca="false">Base!Q195</f>
        <v>100000</v>
      </c>
      <c r="M225" s="22" t="n">
        <f aca="false">Base!R195</f>
        <v>1000000</v>
      </c>
      <c r="N225" s="22" t="n">
        <f aca="false">Base!S195</f>
        <v>0</v>
      </c>
      <c r="O225" s="22" t="n">
        <f aca="false">Base!T195</f>
        <v>0</v>
      </c>
      <c r="P225" s="21" t="str">
        <f aca="false">IF(Base!U195="","",Base!U195)</f>
        <v/>
      </c>
    </row>
    <row r="226" customFormat="false" ht="43.25" hidden="false" customHeight="false" outlineLevel="0" collapsed="false">
      <c r="A226" s="20" t="n">
        <f aca="false">SUBTOTAL(103,$B$6:B226)</f>
        <v>192</v>
      </c>
      <c r="B226" s="20" t="n">
        <v>38</v>
      </c>
      <c r="C226" s="21" t="str">
        <f aca="false">Base!G196</f>
        <v>2525250: MEJORAMIENTO Y AMPLIACION DEL SERVICIO EDUCATIVO DEL NIVEL PRIMARIA DE LA I.E. Nº 70316 SAGRADO CORAZON DE JESUS DISTRITO DE ILAVE - PROVINCIA DE EL COLLAO - DEPARTAMENTO DE PUNO</v>
      </c>
      <c r="D226" s="22" t="n">
        <f aca="false">Base!H196</f>
        <v>0</v>
      </c>
      <c r="E226" s="22" t="n">
        <f aca="false">Base!I196</f>
        <v>0</v>
      </c>
      <c r="F226" s="22" t="n">
        <f aca="false">D226-E226</f>
        <v>0</v>
      </c>
      <c r="G226" s="22" t="n">
        <f aca="false">Base!K196</f>
        <v>0</v>
      </c>
      <c r="H226" s="22" t="n">
        <f aca="false">D226-G226</f>
        <v>0</v>
      </c>
      <c r="I226" s="23" t="n">
        <f aca="false">IF(D226=0,0,G226/D226)</f>
        <v>0</v>
      </c>
      <c r="J226" s="21" t="str">
        <f aca="false">Base!O196</f>
        <v>Contrata</v>
      </c>
      <c r="K226" s="21" t="str">
        <f aca="false">Base!P196</f>
        <v>Sin PIM</v>
      </c>
      <c r="L226" s="22" t="n">
        <f aca="false">Base!Q196</f>
        <v>500000</v>
      </c>
      <c r="M226" s="22" t="n">
        <f aca="false">Base!R196</f>
        <v>0</v>
      </c>
      <c r="N226" s="22" t="n">
        <f aca="false">Base!S196</f>
        <v>0</v>
      </c>
      <c r="O226" s="22" t="n">
        <f aca="false">Base!T196</f>
        <v>0</v>
      </c>
      <c r="P226" s="21" t="str">
        <f aca="false">IF(Base!U196="","",Base!U196)</f>
        <v/>
      </c>
    </row>
    <row r="227" customFormat="false" ht="32.8" hidden="false" customHeight="false" outlineLevel="0" collapsed="false">
      <c r="A227" s="20" t="n">
        <f aca="false">SUBTOTAL(103,$B$6:B227)</f>
        <v>193</v>
      </c>
      <c r="B227" s="20" t="n">
        <v>40</v>
      </c>
      <c r="C227" s="21" t="str">
        <f aca="false">Base!G197</f>
        <v>2585923: MEJORAMIENTO DEL SERVICIO DE EDUCACION PRIMARIA EN I.E. 71016 MARIA AUXILIADORA DISTRITO DE JULIACA DE LA PROVINCIA DE SAN ROMAN DEL DEPARTAMENTO DE PUNO</v>
      </c>
      <c r="D227" s="22" t="n">
        <f aca="false">Base!H197</f>
        <v>58259</v>
      </c>
      <c r="E227" s="22" t="n">
        <f aca="false">Base!I197</f>
        <v>58259</v>
      </c>
      <c r="F227" s="22" t="n">
        <f aca="false">D227-E227</f>
        <v>0</v>
      </c>
      <c r="G227" s="22" t="n">
        <f aca="false">Base!K197</f>
        <v>50730.47</v>
      </c>
      <c r="H227" s="22" t="n">
        <f aca="false">D227-G227</f>
        <v>7528.53</v>
      </c>
      <c r="I227" s="23" t="n">
        <f aca="false">IF(D227=0,0,G227/D227)</f>
        <v>0.870774815908272</v>
      </c>
      <c r="J227" s="21" t="str">
        <f aca="false">Base!O197</f>
        <v>Expediente técnico</v>
      </c>
      <c r="K227" s="21" t="str">
        <f aca="false">Base!P197</f>
        <v>Comprometido</v>
      </c>
      <c r="L227" s="22" t="n">
        <f aca="false">Base!Q197</f>
        <v>3860273</v>
      </c>
      <c r="M227" s="22" t="n">
        <f aca="false">Base!R197</f>
        <v>7764202</v>
      </c>
      <c r="N227" s="22" t="n">
        <f aca="false">Base!S197</f>
        <v>0</v>
      </c>
      <c r="O227" s="22" t="n">
        <f aca="false">Base!T197</f>
        <v>500000</v>
      </c>
      <c r="P227" s="21" t="str">
        <f aca="false">IF(Base!U197="","",Base!U197)</f>
        <v/>
      </c>
    </row>
    <row r="228" customFormat="false" ht="32.8" hidden="false" customHeight="false" outlineLevel="0" collapsed="false">
      <c r="A228" s="20" t="n">
        <f aca="false">SUBTOTAL(103,$B$6:B228)</f>
        <v>194</v>
      </c>
      <c r="B228" s="20" t="n">
        <v>42</v>
      </c>
      <c r="C228" s="21" t="str">
        <f aca="false">Base!G198</f>
        <v>2616445: MEJORAMIENTO DEL SERVICIO DE EDUCACION SECUNDARIA EN I.E. CRFA LUPAKAS JULI DISTRITO DE JULI DE LA PROVINCIA DE CHUCUITO DEL DEPARTAMENTO DE PUNO</v>
      </c>
      <c r="D228" s="22" t="n">
        <f aca="false">Base!H198</f>
        <v>100000</v>
      </c>
      <c r="E228" s="22" t="n">
        <f aca="false">Base!I198</f>
        <v>100000</v>
      </c>
      <c r="F228" s="22" t="n">
        <f aca="false">D228-E228</f>
        <v>0</v>
      </c>
      <c r="G228" s="22" t="n">
        <f aca="false">Base!K198</f>
        <v>45460.23</v>
      </c>
      <c r="H228" s="22" t="n">
        <f aca="false">D228-G228</f>
        <v>54539.77</v>
      </c>
      <c r="I228" s="23" t="n">
        <f aca="false">IF(D228=0,0,G228/D228)</f>
        <v>0.4546023</v>
      </c>
      <c r="J228" s="21" t="str">
        <f aca="false">Base!O198</f>
        <v>Expediente técnico</v>
      </c>
      <c r="K228" s="21" t="str">
        <f aca="false">Base!P198</f>
        <v>Comprometido</v>
      </c>
      <c r="L228" s="22" t="n">
        <f aca="false">Base!Q198</f>
        <v>1800000</v>
      </c>
      <c r="M228" s="22" t="n">
        <f aca="false">Base!R198</f>
        <v>1234564</v>
      </c>
      <c r="N228" s="22" t="n">
        <f aca="false">Base!S198</f>
        <v>0</v>
      </c>
      <c r="O228" s="22" t="n">
        <f aca="false">Base!T198</f>
        <v>680854</v>
      </c>
      <c r="P228" s="21" t="str">
        <f aca="false">IF(Base!U198="","",Base!U198)</f>
        <v/>
      </c>
    </row>
    <row r="229" customFormat="false" ht="32.8" hidden="false" customHeight="false" outlineLevel="0" collapsed="false">
      <c r="A229" s="20" t="n">
        <f aca="false">SUBTOTAL(103,$B$6:B229)</f>
        <v>195</v>
      </c>
      <c r="B229" s="20" t="n">
        <v>43</v>
      </c>
      <c r="C229" s="21" t="str">
        <f aca="false">Base!G199</f>
        <v>2618450: MEJORAMIENTO DEL SERVICIO DE EDUCACION PRIMARIA EN I.E. 70001 DISTRITO DE PUNO DE LA PROVINCIA DE PUNO DEL DEPARTAMENTO DE PUNO</v>
      </c>
      <c r="D229" s="22" t="n">
        <f aca="false">Base!H199</f>
        <v>100000</v>
      </c>
      <c r="E229" s="22" t="n">
        <f aca="false">Base!I199</f>
        <v>98580</v>
      </c>
      <c r="F229" s="22" t="n">
        <f aca="false">D229-E229</f>
        <v>1420</v>
      </c>
      <c r="G229" s="22" t="n">
        <f aca="false">Base!K199</f>
        <v>83195.4</v>
      </c>
      <c r="H229" s="22" t="n">
        <f aca="false">D229-G229</f>
        <v>16804.6</v>
      </c>
      <c r="I229" s="23" t="n">
        <f aca="false">IF(D229=0,0,G229/D229)</f>
        <v>0.831954</v>
      </c>
      <c r="J229" s="21" t="str">
        <f aca="false">Base!O199</f>
        <v>Expediente técnico / Contrata</v>
      </c>
      <c r="K229" s="21" t="str">
        <f aca="false">Base!P199</f>
        <v>Comprometido</v>
      </c>
      <c r="L229" s="22" t="n">
        <f aca="false">Base!Q199</f>
        <v>100000</v>
      </c>
      <c r="M229" s="22" t="n">
        <f aca="false">Base!R199</f>
        <v>2565482</v>
      </c>
      <c r="N229" s="22" t="n">
        <f aca="false">Base!S199</f>
        <v>0</v>
      </c>
      <c r="O229" s="22" t="n">
        <f aca="false">Base!T199</f>
        <v>534518</v>
      </c>
      <c r="P229" s="21" t="str">
        <f aca="false">IF(Base!U199="","",Base!U199)</f>
        <v/>
      </c>
    </row>
    <row r="230" customFormat="false" ht="32.8" hidden="false" customHeight="false" outlineLevel="0" collapsed="false">
      <c r="A230" s="20" t="n">
        <f aca="false">SUBTOTAL(103,$B$6:B230)</f>
        <v>196</v>
      </c>
      <c r="B230" s="20" t="n">
        <v>47</v>
      </c>
      <c r="C230" s="21" t="str">
        <f aca="false">Base!G200</f>
        <v>2638009: MEJORAMIENTO DEL SERVICIO DE EDUCACION SECUNDARIA EN I.E. HUARAYA DE CENTRO POBLADO HUARAYA DISTRITO DE MOHO DE LA PROVINCIA DE MOHO DEL DEPARTAMENTO DE PUNO</v>
      </c>
      <c r="D230" s="22" t="n">
        <f aca="false">Base!H200</f>
        <v>500172</v>
      </c>
      <c r="E230" s="22" t="n">
        <f aca="false">Base!I200</f>
        <v>0</v>
      </c>
      <c r="F230" s="22" t="n">
        <f aca="false">D230-E230</f>
        <v>500172</v>
      </c>
      <c r="G230" s="22" t="n">
        <f aca="false">Base!K200</f>
        <v>0</v>
      </c>
      <c r="H230" s="22" t="n">
        <f aca="false">D230-G230</f>
        <v>500172</v>
      </c>
      <c r="I230" s="23" t="n">
        <f aca="false">IF(D230=0,0,G230/D230)</f>
        <v>0</v>
      </c>
      <c r="J230" s="21" t="str">
        <f aca="false">Base!O200</f>
        <v>Contrata</v>
      </c>
      <c r="K230" s="21" t="str">
        <f aca="false">Base!P200</f>
        <v>Sin certificar</v>
      </c>
      <c r="L230" s="22" t="n">
        <f aca="false">Base!Q200</f>
        <v>700000</v>
      </c>
      <c r="M230" s="22" t="n">
        <f aca="false">Base!R200</f>
        <v>1243456</v>
      </c>
      <c r="N230" s="22" t="n">
        <f aca="false">Base!S200</f>
        <v>0</v>
      </c>
      <c r="O230" s="22" t="n">
        <f aca="false">Base!T200</f>
        <v>2984900</v>
      </c>
      <c r="P230" s="21" t="str">
        <f aca="false">IF(Base!U200="","",Base!U200)</f>
        <v/>
      </c>
    </row>
    <row r="231" customFormat="false" ht="32.8" hidden="false" customHeight="false" outlineLevel="0" collapsed="false">
      <c r="A231" s="20" t="n">
        <f aca="false">SUBTOTAL(103,$B$6:B231)</f>
        <v>197</v>
      </c>
      <c r="B231" s="20" t="n">
        <v>48</v>
      </c>
      <c r="C231" s="21" t="str">
        <f aca="false">Base!G201</f>
        <v>2652118: MEJORAMIENTO DEL SERVICIO DE EDUCACION PRIMARIA EN I.E. 70726 DISTRITO DE PUNO DE LA PROVINCIA DE PUNO DEL DEPARTAMENTO DE PUNO</v>
      </c>
      <c r="D231" s="22" t="n">
        <f aca="false">Base!H201</f>
        <v>310000</v>
      </c>
      <c r="E231" s="22" t="n">
        <f aca="false">Base!I201</f>
        <v>310000</v>
      </c>
      <c r="F231" s="22" t="n">
        <f aca="false">D231-E231</f>
        <v>0</v>
      </c>
      <c r="G231" s="22" t="n">
        <f aca="false">Base!K201</f>
        <v>240998.16</v>
      </c>
      <c r="H231" s="22" t="n">
        <f aca="false">D231-G231</f>
        <v>69001.84</v>
      </c>
      <c r="I231" s="23" t="n">
        <f aca="false">IF(D231=0,0,G231/D231)</f>
        <v>0.777413419354839</v>
      </c>
      <c r="J231" s="21" t="str">
        <f aca="false">Base!O201</f>
        <v>Expediente técnico</v>
      </c>
      <c r="K231" s="21" t="str">
        <f aca="false">Base!P201</f>
        <v>Comprometido</v>
      </c>
      <c r="L231" s="22" t="n">
        <f aca="false">Base!Q201</f>
        <v>50000</v>
      </c>
      <c r="M231" s="22" t="n">
        <f aca="false">Base!R201</f>
        <v>0</v>
      </c>
      <c r="N231" s="22" t="n">
        <f aca="false">Base!S201</f>
        <v>0</v>
      </c>
      <c r="O231" s="22" t="n">
        <f aca="false">Base!T201</f>
        <v>1000000</v>
      </c>
      <c r="P231" s="21" t="str">
        <f aca="false">IF(Base!U201="","",Base!U201)</f>
        <v/>
      </c>
    </row>
    <row r="232" customFormat="false" ht="32.8" hidden="false" customHeight="false" outlineLevel="0" collapsed="false">
      <c r="A232" s="20" t="n">
        <f aca="false">SUBTOTAL(103,$B$6:B232)</f>
        <v>198</v>
      </c>
      <c r="B232" s="20" t="n">
        <v>49</v>
      </c>
      <c r="C232" s="21" t="str">
        <f aca="false">Base!G202</f>
        <v>2652119: MEJORAMIENTO DEL SERVICIO DE EDUCACION PRIMARIA EN I.E. 70802 DISTRITO DE PUNO DE LA PROVINCIA DE PUNO DEL DEPARTAMENTO DE PUNO</v>
      </c>
      <c r="D232" s="22" t="n">
        <f aca="false">Base!H202</f>
        <v>100000</v>
      </c>
      <c r="E232" s="22" t="n">
        <f aca="false">Base!I202</f>
        <v>98287</v>
      </c>
      <c r="F232" s="22" t="n">
        <f aca="false">D232-E232</f>
        <v>1713</v>
      </c>
      <c r="G232" s="22" t="n">
        <f aca="false">Base!K202</f>
        <v>19750.31</v>
      </c>
      <c r="H232" s="22" t="n">
        <f aca="false">D232-G232</f>
        <v>80249.69</v>
      </c>
      <c r="I232" s="23" t="n">
        <f aca="false">IF(D232=0,0,G232/D232)</f>
        <v>0.1975031</v>
      </c>
      <c r="J232" s="21" t="str">
        <f aca="false">Base!O202</f>
        <v>Expediente técnico</v>
      </c>
      <c r="K232" s="21" t="str">
        <f aca="false">Base!P202</f>
        <v>Comprometido</v>
      </c>
      <c r="L232" s="22" t="n">
        <f aca="false">Base!Q202</f>
        <v>100000</v>
      </c>
      <c r="M232" s="22" t="n">
        <f aca="false">Base!R202</f>
        <v>254875</v>
      </c>
      <c r="N232" s="22" t="n">
        <f aca="false">Base!S202</f>
        <v>0</v>
      </c>
      <c r="O232" s="22" t="n">
        <f aca="false">Base!T202</f>
        <v>500000</v>
      </c>
      <c r="P232" s="21" t="str">
        <f aca="false">IF(Base!U202="","",Base!U202)</f>
        <v/>
      </c>
    </row>
    <row r="233" customFormat="false" ht="32.8" hidden="false" customHeight="false" outlineLevel="0" collapsed="false">
      <c r="A233" s="20" t="n">
        <f aca="false">SUBTOTAL(103,$B$6:B233)</f>
        <v>199</v>
      </c>
      <c r="B233" s="20" t="n">
        <v>50</v>
      </c>
      <c r="C233" s="21" t="str">
        <f aca="false">Base!G203</f>
        <v>2652120: MEJORAMIENTO DEL SERVICIO DE EDUCACION PRIMARIA EN I.E. 70682 DISTRITO DE PUNO DE LA PROVINCIA DE PUNO DEL DEPARTAMENTO DE PUNO</v>
      </c>
      <c r="D233" s="22" t="n">
        <f aca="false">Base!H203</f>
        <v>400214</v>
      </c>
      <c r="E233" s="22" t="n">
        <f aca="false">Base!I203</f>
        <v>400214</v>
      </c>
      <c r="F233" s="22" t="n">
        <f aca="false">D233-E233</f>
        <v>0</v>
      </c>
      <c r="G233" s="22" t="n">
        <f aca="false">Base!K203</f>
        <v>330372.18</v>
      </c>
      <c r="H233" s="22" t="n">
        <f aca="false">D233-G233</f>
        <v>69841.82</v>
      </c>
      <c r="I233" s="23" t="n">
        <f aca="false">IF(D233=0,0,G233/D233)</f>
        <v>0.825488813484786</v>
      </c>
      <c r="J233" s="21" t="str">
        <f aca="false">Base!O203</f>
        <v>Expediente técnico</v>
      </c>
      <c r="K233" s="21" t="str">
        <f aca="false">Base!P203</f>
        <v>Comprometido</v>
      </c>
      <c r="L233" s="22" t="n">
        <f aca="false">Base!Q203</f>
        <v>50000</v>
      </c>
      <c r="M233" s="22" t="n">
        <f aca="false">Base!R203</f>
        <v>0</v>
      </c>
      <c r="N233" s="22" t="n">
        <f aca="false">Base!S203</f>
        <v>0</v>
      </c>
      <c r="O233" s="22" t="n">
        <f aca="false">Base!T203</f>
        <v>1299636</v>
      </c>
      <c r="P233" s="21" t="str">
        <f aca="false">IF(Base!U203="","",Base!U203)</f>
        <v/>
      </c>
    </row>
    <row r="234" customFormat="false" ht="43.25" hidden="false" customHeight="false" outlineLevel="0" collapsed="false">
      <c r="A234" s="20" t="n">
        <f aca="false">SUBTOTAL(103,$B$6:B234)</f>
        <v>200</v>
      </c>
      <c r="B234" s="20" t="n">
        <v>51</v>
      </c>
      <c r="C234" s="21" t="str">
        <f aca="false">Base!G204</f>
        <v>2655774: MEJORAMIENTO DEL SERVICIO DE EDUCACION SECUNDARIA EN I.E. SOLLOCOTA DE CENTRO POBLADO VIRGEN DEL ROSARIO SOLLOCOTA DISTRITO DE SAN JOSE DE LA PROVINCIA DE AZANGARO DEL DEPARTAMENTO DE PUNO</v>
      </c>
      <c r="D234" s="22" t="n">
        <f aca="false">Base!H204</f>
        <v>0</v>
      </c>
      <c r="E234" s="22" t="n">
        <f aca="false">Base!I204</f>
        <v>0</v>
      </c>
      <c r="F234" s="22" t="n">
        <f aca="false">D234-E234</f>
        <v>0</v>
      </c>
      <c r="G234" s="22" t="n">
        <f aca="false">Base!K204</f>
        <v>0</v>
      </c>
      <c r="H234" s="22" t="n">
        <f aca="false">D234-G234</f>
        <v>0</v>
      </c>
      <c r="I234" s="23" t="n">
        <f aca="false">IF(D234=0,0,G234/D234)</f>
        <v>0</v>
      </c>
      <c r="J234" s="21" t="str">
        <f aca="false">Base!O204</f>
        <v>Contrata</v>
      </c>
      <c r="K234" s="21" t="str">
        <f aca="false">Base!P204</f>
        <v>Sin PIM</v>
      </c>
      <c r="L234" s="22" t="n">
        <f aca="false">Base!Q204</f>
        <v>50000</v>
      </c>
      <c r="M234" s="22" t="n">
        <f aca="false">Base!R204</f>
        <v>0</v>
      </c>
      <c r="N234" s="22" t="n">
        <f aca="false">Base!S204</f>
        <v>0</v>
      </c>
      <c r="O234" s="22" t="n">
        <f aca="false">Base!T204</f>
        <v>300000</v>
      </c>
      <c r="P234" s="21" t="str">
        <f aca="false">IF(Base!U204="","",Base!U204)</f>
        <v/>
      </c>
    </row>
    <row r="235" customFormat="false" ht="53.7" hidden="false" customHeight="false" outlineLevel="0" collapsed="false">
      <c r="A235" s="20" t="n">
        <f aca="false">SUBTOTAL(103,$B$6:B235)</f>
        <v>201</v>
      </c>
      <c r="B235" s="20" t="n">
        <v>52</v>
      </c>
      <c r="C235" s="21" t="str">
        <f aca="false">Base!G205</f>
        <v>2656882: MEJORAMIENTO DEL SERVICIO DE EDUCACION SECUNDARIA EN I.E. AGROINDUSTRIAL MAXIMO SAN ROMAN CACERES DE AJJATIRA, DE CENTRO POBLADO SANTIAGO AJJATIRA DISTRITO DE PEDRO VILCA APAZA DE LA PROVINCIA DE SAN ANTONIO DE PUTINA DEL DEPARTAMENTO DE PUNO</v>
      </c>
      <c r="D235" s="22" t="n">
        <f aca="false">Base!H205</f>
        <v>126982</v>
      </c>
      <c r="E235" s="22" t="n">
        <f aca="false">Base!I205</f>
        <v>126982</v>
      </c>
      <c r="F235" s="22" t="n">
        <f aca="false">D235-E235</f>
        <v>0</v>
      </c>
      <c r="G235" s="22" t="n">
        <f aca="false">Base!K205</f>
        <v>120317.21</v>
      </c>
      <c r="H235" s="22" t="n">
        <f aca="false">D235-G235</f>
        <v>6664.78999999999</v>
      </c>
      <c r="I235" s="23" t="n">
        <f aca="false">IF(D235=0,0,G235/D235)</f>
        <v>0.947513899607819</v>
      </c>
      <c r="J235" s="21" t="str">
        <f aca="false">Base!O205</f>
        <v>Expediente técnico</v>
      </c>
      <c r="K235" s="21" t="str">
        <f aca="false">Base!P205</f>
        <v>Comprometido</v>
      </c>
      <c r="L235" s="22" t="n">
        <f aca="false">Base!Q205</f>
        <v>50000</v>
      </c>
      <c r="M235" s="22" t="n">
        <f aca="false">Base!R205</f>
        <v>251478</v>
      </c>
      <c r="N235" s="22" t="n">
        <f aca="false">Base!S205</f>
        <v>0</v>
      </c>
      <c r="O235" s="22" t="n">
        <f aca="false">Base!T205</f>
        <v>300000</v>
      </c>
      <c r="P235" s="21" t="str">
        <f aca="false">IF(Base!U205="","",Base!U205)</f>
        <v/>
      </c>
    </row>
    <row r="236" customFormat="false" ht="32.8" hidden="false" customHeight="false" outlineLevel="0" collapsed="false">
      <c r="A236" s="20" t="n">
        <f aca="false">SUBTOTAL(103,$B$6:B236)</f>
        <v>202</v>
      </c>
      <c r="B236" s="20" t="n">
        <v>53</v>
      </c>
      <c r="C236" s="21" t="str">
        <f aca="false">Base!G206</f>
        <v>2659574: MEJORAMIENTO DEL SERVICIO DE EDUCACION SECUNDARIA EN I.E. JOSE ABELARDO QUIÑONES GONZALES DISTRITO DE MOHO DE LA PROVINCIA DE MOHO DEL DEPARTAMENTO DE PUNO</v>
      </c>
      <c r="D236" s="22" t="n">
        <f aca="false">Base!H206</f>
        <v>0</v>
      </c>
      <c r="E236" s="22" t="n">
        <f aca="false">Base!I206</f>
        <v>0</v>
      </c>
      <c r="F236" s="22" t="n">
        <f aca="false">D236-E236</f>
        <v>0</v>
      </c>
      <c r="G236" s="22" t="n">
        <f aca="false">Base!K206</f>
        <v>0</v>
      </c>
      <c r="H236" s="22" t="n">
        <f aca="false">D236-G236</f>
        <v>0</v>
      </c>
      <c r="I236" s="23" t="n">
        <f aca="false">IF(D236=0,0,G236/D236)</f>
        <v>0</v>
      </c>
      <c r="J236" s="21" t="str">
        <f aca="false">Base!O206</f>
        <v>Contrata</v>
      </c>
      <c r="K236" s="21" t="str">
        <f aca="false">Base!P206</f>
        <v>Sin PIM</v>
      </c>
      <c r="L236" s="22" t="n">
        <f aca="false">Base!Q206</f>
        <v>50000</v>
      </c>
      <c r="M236" s="22" t="n">
        <f aca="false">Base!R206</f>
        <v>0</v>
      </c>
      <c r="N236" s="22" t="n">
        <f aca="false">Base!S206</f>
        <v>0</v>
      </c>
      <c r="O236" s="22" t="n">
        <f aca="false">Base!T206</f>
        <v>150000</v>
      </c>
      <c r="P236" s="21" t="str">
        <f aca="false">IF(Base!U206="","",Base!U206)</f>
        <v/>
      </c>
    </row>
    <row r="237" customFormat="false" ht="32.8" hidden="false" customHeight="false" outlineLevel="0" collapsed="false">
      <c r="A237" s="20" t="n">
        <f aca="false">SUBTOTAL(103,$B$6:B237)</f>
        <v>203</v>
      </c>
      <c r="B237" s="20" t="n">
        <v>54</v>
      </c>
      <c r="C237" s="21" t="str">
        <f aca="false">Base!G207</f>
        <v>2660479: MEJORAMIENTO DEL SERVICIO DE EDUCACION SECUNDARIA EN I.E. 20 DE ENERO DISTRITO DE JULIACA DE LA PROVINCIA DE SAN ROMAN DEL DEPARTAMENTO DE PUNO</v>
      </c>
      <c r="D237" s="22" t="n">
        <f aca="false">Base!H207</f>
        <v>112244</v>
      </c>
      <c r="E237" s="22" t="n">
        <f aca="false">Base!I207</f>
        <v>112243.56</v>
      </c>
      <c r="F237" s="22" t="n">
        <f aca="false">D237-E237</f>
        <v>0.440000000002328</v>
      </c>
      <c r="G237" s="22" t="n">
        <f aca="false">Base!K207</f>
        <v>78030.97</v>
      </c>
      <c r="H237" s="22" t="n">
        <f aca="false">D237-G237</f>
        <v>34213.03</v>
      </c>
      <c r="I237" s="23" t="n">
        <f aca="false">IF(D237=0,0,G237/D237)</f>
        <v>0.695190566979081</v>
      </c>
      <c r="J237" s="21" t="str">
        <f aca="false">Base!O207</f>
        <v>Expediente técnico</v>
      </c>
      <c r="K237" s="21" t="str">
        <f aca="false">Base!P207</f>
        <v>Comprometido</v>
      </c>
      <c r="L237" s="22" t="n">
        <f aca="false">Base!Q207</f>
        <v>50000</v>
      </c>
      <c r="M237" s="22" t="n">
        <f aca="false">Base!R207</f>
        <v>3985654</v>
      </c>
      <c r="N237" s="22" t="n">
        <f aca="false">Base!S207</f>
        <v>0</v>
      </c>
      <c r="O237" s="22" t="n">
        <f aca="false">Base!T207</f>
        <v>500000</v>
      </c>
      <c r="P237" s="21" t="str">
        <f aca="false">IF(Base!U207="","",Base!U207)</f>
        <v/>
      </c>
    </row>
    <row r="238" customFormat="false" ht="32.8" hidden="false" customHeight="false" outlineLevel="0" collapsed="false">
      <c r="A238" s="20" t="n">
        <f aca="false">SUBTOTAL(103,$B$6:B238)</f>
        <v>204</v>
      </c>
      <c r="B238" s="20" t="n">
        <v>55</v>
      </c>
      <c r="C238" s="21" t="str">
        <f aca="false">Base!G208</f>
        <v>2662668: MEJORAMIENTO DEL SERVICIO DE EDUCACION PRIMARIA EN I.E. 72060 DE CENTRO POBLADO YURAJCHUPA DISTRITO DE SAN JUAN DE SALINAS DE LA PROVINCIA DE AZANGARO DEL DEPARTAMENTO DE PUNO</v>
      </c>
      <c r="D238" s="22" t="n">
        <f aca="false">Base!H208</f>
        <v>164979</v>
      </c>
      <c r="E238" s="22" t="n">
        <f aca="false">Base!I208</f>
        <v>164976.5</v>
      </c>
      <c r="F238" s="22" t="n">
        <f aca="false">D238-E238</f>
        <v>2.5</v>
      </c>
      <c r="G238" s="22" t="n">
        <f aca="false">Base!K208</f>
        <v>152477.04</v>
      </c>
      <c r="H238" s="22" t="n">
        <f aca="false">D238-G238</f>
        <v>12501.96</v>
      </c>
      <c r="I238" s="23" t="n">
        <f aca="false">IF(D238=0,0,G238/D238)</f>
        <v>0.924220900841925</v>
      </c>
      <c r="J238" s="21" t="str">
        <f aca="false">Base!O208</f>
        <v>Expediente técnico</v>
      </c>
      <c r="K238" s="21" t="str">
        <f aca="false">Base!P208</f>
        <v>Comprometido</v>
      </c>
      <c r="L238" s="22" t="n">
        <f aca="false">Base!Q208</f>
        <v>50000</v>
      </c>
      <c r="M238" s="22" t="n">
        <f aca="false">Base!R208</f>
        <v>2375675</v>
      </c>
      <c r="N238" s="22" t="n">
        <f aca="false">Base!S208</f>
        <v>0</v>
      </c>
      <c r="O238" s="22" t="n">
        <f aca="false">Base!T208</f>
        <v>0</v>
      </c>
      <c r="P238" s="21" t="str">
        <f aca="false">IF(Base!U208="","",Base!U208)</f>
        <v/>
      </c>
    </row>
    <row r="239" customFormat="false" ht="32.8" hidden="false" customHeight="false" outlineLevel="0" collapsed="false">
      <c r="A239" s="20" t="n">
        <f aca="false">SUBTOTAL(103,$B$6:B239)</f>
        <v>205</v>
      </c>
      <c r="B239" s="20" t="n">
        <v>56</v>
      </c>
      <c r="C239" s="21" t="str">
        <f aca="false">Base!G209</f>
        <v>2662786: MEJORAMIENTO DEL SERVICIO DE EDUCACION PRIMARIA EN I.E. 72662 DE CENTRO POBLADO CALLA DISTRITO DE SAN JUAN DE SALINAS DE LA PROVINCIA DE AZANGARO DEL DEPARTAMENTO DE PUNO</v>
      </c>
      <c r="D239" s="22" t="n">
        <f aca="false">Base!H209</f>
        <v>99897</v>
      </c>
      <c r="E239" s="22" t="n">
        <f aca="false">Base!I209</f>
        <v>99879.63</v>
      </c>
      <c r="F239" s="22" t="n">
        <f aca="false">D239-E239</f>
        <v>17.3699999999953</v>
      </c>
      <c r="G239" s="22" t="n">
        <f aca="false">Base!K209</f>
        <v>91645.05</v>
      </c>
      <c r="H239" s="22" t="n">
        <f aca="false">D239-G239</f>
        <v>8251.95</v>
      </c>
      <c r="I239" s="23" t="n">
        <f aca="false">IF(D239=0,0,G239/D239)</f>
        <v>0.917395417279798</v>
      </c>
      <c r="J239" s="21" t="str">
        <f aca="false">Base!O209</f>
        <v>Expediente técnico</v>
      </c>
      <c r="K239" s="21" t="str">
        <f aca="false">Base!P209</f>
        <v>Comprometido</v>
      </c>
      <c r="L239" s="22" t="n">
        <f aca="false">Base!Q209</f>
        <v>50000</v>
      </c>
      <c r="M239" s="22" t="n">
        <f aca="false">Base!R209</f>
        <v>1278678</v>
      </c>
      <c r="N239" s="22" t="n">
        <f aca="false">Base!S209</f>
        <v>0</v>
      </c>
      <c r="O239" s="22" t="n">
        <f aca="false">Base!T209</f>
        <v>1000000</v>
      </c>
      <c r="P239" s="21" t="str">
        <f aca="false">IF(Base!U209="","",Base!U209)</f>
        <v/>
      </c>
    </row>
    <row r="240" customFormat="false" ht="32.8" hidden="false" customHeight="false" outlineLevel="0" collapsed="false">
      <c r="A240" s="20" t="n">
        <f aca="false">SUBTOTAL(103,$B$6:B240)</f>
        <v>206</v>
      </c>
      <c r="B240" s="20" t="n">
        <v>57</v>
      </c>
      <c r="C240" s="21" t="str">
        <f aca="false">Base!G210</f>
        <v>2664647: MEJORAMIENTO DEL SERVICIO DE EDUCACION SECUNDARIA EN I.E. JOSE CARLOS MARIATEGUI DISTRITO DE SAN JUAN DE SALINAS DE LA PROVINCIA DE AZANGARO DEL DEPARTAMENTO DE PUNO</v>
      </c>
      <c r="D240" s="22" t="n">
        <f aca="false">Base!H210</f>
        <v>332000</v>
      </c>
      <c r="E240" s="22" t="n">
        <f aca="false">Base!I210</f>
        <v>332000</v>
      </c>
      <c r="F240" s="22" t="n">
        <f aca="false">D240-E240</f>
        <v>0</v>
      </c>
      <c r="G240" s="22" t="n">
        <f aca="false">Base!K210</f>
        <v>165235.17</v>
      </c>
      <c r="H240" s="22" t="n">
        <f aca="false">D240-G240</f>
        <v>166764.83</v>
      </c>
      <c r="I240" s="23" t="n">
        <f aca="false">IF(D240=0,0,G240/D240)</f>
        <v>0.497696295180723</v>
      </c>
      <c r="J240" s="21" t="str">
        <f aca="false">Base!O210</f>
        <v>Expediente técnico</v>
      </c>
      <c r="K240" s="21" t="str">
        <f aca="false">Base!P210</f>
        <v>Comprometido</v>
      </c>
      <c r="L240" s="22" t="n">
        <f aca="false">Base!Q210</f>
        <v>50000</v>
      </c>
      <c r="M240" s="22" t="n">
        <f aca="false">Base!R210</f>
        <v>0</v>
      </c>
      <c r="N240" s="22" t="n">
        <f aca="false">Base!S210</f>
        <v>0</v>
      </c>
      <c r="O240" s="22" t="n">
        <f aca="false">Base!T210</f>
        <v>50000</v>
      </c>
      <c r="P240" s="21" t="str">
        <f aca="false">IF(Base!U210="","",Base!U210)</f>
        <v/>
      </c>
    </row>
    <row r="241" customFormat="false" ht="32.8" hidden="false" customHeight="false" outlineLevel="0" collapsed="false">
      <c r="A241" s="20" t="n">
        <f aca="false">SUBTOTAL(103,$B$6:B241)</f>
        <v>207</v>
      </c>
      <c r="B241" s="20" t="n">
        <v>58</v>
      </c>
      <c r="C241" s="21" t="str">
        <f aca="false">Base!G211</f>
        <v>2673628: MEJORAMIENTO DEL SERVICIO DE EDUCACION PRIMARIA EN I.E. 72289 DE CENTRO POBLADO HUARISANI DISTRITO DE HUANCANE DE LA PROVINCIA DE HUANCANE DEL DEPARTAMENTO DE PUNO</v>
      </c>
      <c r="D241" s="22" t="n">
        <f aca="false">Base!H211</f>
        <v>0</v>
      </c>
      <c r="E241" s="22" t="n">
        <f aca="false">Base!I211</f>
        <v>0</v>
      </c>
      <c r="F241" s="22" t="n">
        <f aca="false">D241-E241</f>
        <v>0</v>
      </c>
      <c r="G241" s="22" t="n">
        <f aca="false">Base!K211</f>
        <v>0</v>
      </c>
      <c r="H241" s="22" t="n">
        <f aca="false">D241-G241</f>
        <v>0</v>
      </c>
      <c r="I241" s="23" t="n">
        <f aca="false">IF(D241=0,0,G241/D241)</f>
        <v>0</v>
      </c>
      <c r="J241" s="21" t="str">
        <f aca="false">Base!O211</f>
        <v>Contrata</v>
      </c>
      <c r="K241" s="21" t="str">
        <f aca="false">Base!P211</f>
        <v>Sin PIM</v>
      </c>
      <c r="L241" s="22" t="n">
        <f aca="false">Base!Q211</f>
        <v>50000</v>
      </c>
      <c r="M241" s="22" t="n">
        <f aca="false">Base!R211</f>
        <v>0</v>
      </c>
      <c r="N241" s="22" t="n">
        <f aca="false">Base!S211</f>
        <v>0</v>
      </c>
      <c r="O241" s="22" t="n">
        <f aca="false">Base!T211</f>
        <v>2500000</v>
      </c>
      <c r="P241" s="21" t="str">
        <f aca="false">IF(Base!U211="","",Base!U211)</f>
        <v/>
      </c>
    </row>
    <row r="242" customFormat="false" ht="32.8" hidden="false" customHeight="false" outlineLevel="0" collapsed="false">
      <c r="A242" s="20" t="n">
        <f aca="false">SUBTOTAL(103,$B$6:B242)</f>
        <v>208</v>
      </c>
      <c r="B242" s="20" t="n">
        <v>81</v>
      </c>
      <c r="C242" s="21" t="str">
        <f aca="false">Base!G212</f>
        <v>2357337: MEJORAMIENTO Y AMPLIACION DEL SERVICIO EDUCATIVO DE LA ESCUELA SUPERIOR DE FORMACION ARTISTICA PUBLICA (ESFAP - PUNO), DISTRITO DE PUNO - PROVINCIA DE PUNO - REGION PUNO</v>
      </c>
      <c r="D242" s="22" t="n">
        <f aca="false">Base!H212</f>
        <v>100000</v>
      </c>
      <c r="E242" s="22" t="n">
        <f aca="false">Base!I212</f>
        <v>50000</v>
      </c>
      <c r="F242" s="22" t="n">
        <f aca="false">D242-E242</f>
        <v>50000</v>
      </c>
      <c r="G242" s="22" t="n">
        <f aca="false">Base!K212</f>
        <v>0</v>
      </c>
      <c r="H242" s="22" t="n">
        <f aca="false">D242-G242</f>
        <v>100000</v>
      </c>
      <c r="I242" s="23" t="n">
        <f aca="false">IF(D242=0,0,G242/D242)</f>
        <v>0</v>
      </c>
      <c r="J242" s="21" t="str">
        <f aca="false">Base!O212</f>
        <v>Expediente técnico</v>
      </c>
      <c r="K242" s="21" t="str">
        <f aca="false">Base!P212</f>
        <v>Comprometido</v>
      </c>
      <c r="L242" s="22" t="n">
        <f aca="false">Base!Q212</f>
        <v>100000</v>
      </c>
      <c r="M242" s="22" t="n">
        <f aca="false">Base!R212</f>
        <v>567456</v>
      </c>
      <c r="N242" s="22" t="n">
        <f aca="false">Base!S212</f>
        <v>15577911</v>
      </c>
      <c r="O242" s="22" t="n">
        <f aca="false">Base!T212</f>
        <v>23141649</v>
      </c>
      <c r="P242" s="21" t="str">
        <f aca="false">IF(Base!U212="","",Base!U212)</f>
        <v/>
      </c>
    </row>
    <row r="243" customFormat="false" ht="43.25" hidden="false" customHeight="false" outlineLevel="0" collapsed="false">
      <c r="A243" s="20" t="n">
        <f aca="false">SUBTOTAL(103,$B$6:B243)</f>
        <v>209</v>
      </c>
      <c r="B243" s="20" t="n">
        <v>82</v>
      </c>
      <c r="C243" s="21" t="str">
        <f aca="false">Base!G213</f>
        <v>2623873: MEJORAMIENTO DE LOS SERVICIOS EDUCACION SUPERIOR PEDAGOGICA EN EL INSTITUTO DE EDUCACION SUPERIOR PEDAGOGICO DE EDUCACION FISICA DE LAMPA DEL DISTRITO DE LAMPA DE LA PROVINCIA DE LAMPA DEL DEPARTAMENTO DE PUNO</v>
      </c>
      <c r="D243" s="22" t="n">
        <f aca="false">Base!H213</f>
        <v>408761</v>
      </c>
      <c r="E243" s="22" t="n">
        <f aca="false">Base!I213</f>
        <v>356083</v>
      </c>
      <c r="F243" s="22" t="n">
        <f aca="false">D243-E243</f>
        <v>52678</v>
      </c>
      <c r="G243" s="22" t="n">
        <f aca="false">Base!K213</f>
        <v>242446.26</v>
      </c>
      <c r="H243" s="22" t="n">
        <f aca="false">D243-G243</f>
        <v>166314.74</v>
      </c>
      <c r="I243" s="23" t="n">
        <f aca="false">IF(D243=0,0,G243/D243)</f>
        <v>0.593124735481125</v>
      </c>
      <c r="J243" s="21" t="str">
        <f aca="false">Base!O213</f>
        <v>Expediente técnico</v>
      </c>
      <c r="K243" s="21" t="str">
        <f aca="false">Base!P213</f>
        <v>Comprometido</v>
      </c>
      <c r="L243" s="22" t="n">
        <f aca="false">Base!Q213</f>
        <v>2981000</v>
      </c>
      <c r="M243" s="22" t="n">
        <f aca="false">Base!R213</f>
        <v>2654845</v>
      </c>
      <c r="N243" s="22" t="n">
        <f aca="false">Base!S213</f>
        <v>0</v>
      </c>
      <c r="O243" s="22" t="n">
        <f aca="false">Base!T213</f>
        <v>1000000</v>
      </c>
      <c r="P243" s="21" t="str">
        <f aca="false">IF(Base!U213="","",Base!U213)</f>
        <v/>
      </c>
    </row>
    <row r="244" customFormat="false" ht="43.25" hidden="false" customHeight="false" outlineLevel="0" collapsed="false">
      <c r="A244" s="20" t="n">
        <f aca="false">SUBTOTAL(103,$B$6:B244)</f>
        <v>210</v>
      </c>
      <c r="B244" s="20" t="n">
        <v>155</v>
      </c>
      <c r="C244" s="21" t="str">
        <f aca="false">Base!G214</f>
        <v>2403888: MEJORAMIENTO DE LOS SERVICIOS DE EDUCACION SUPERIOR DEL INSTITUTO DE EDUCACION SUPERIOR TECNOLOGICO PUBLICA DESAGUADERO DEL DISTRITO DE DESAGUADERO - PROVINCIA DE CHUCUITO - DEPARTAMENTO DE PUNO</v>
      </c>
      <c r="D244" s="22" t="n">
        <f aca="false">Base!H214</f>
        <v>261704</v>
      </c>
      <c r="E244" s="22" t="n">
        <f aca="false">Base!I214</f>
        <v>261704</v>
      </c>
      <c r="F244" s="22" t="n">
        <f aca="false">D244-E244</f>
        <v>0</v>
      </c>
      <c r="G244" s="22" t="n">
        <f aca="false">Base!K214</f>
        <v>134683.19</v>
      </c>
      <c r="H244" s="22" t="n">
        <f aca="false">D244-G244</f>
        <v>127020.81</v>
      </c>
      <c r="I244" s="23" t="n">
        <f aca="false">IF(D244=0,0,G244/D244)</f>
        <v>0.514639401766882</v>
      </c>
      <c r="J244" s="21" t="str">
        <f aca="false">Base!O214</f>
        <v>Expediente técnico</v>
      </c>
      <c r="K244" s="21" t="str">
        <f aca="false">Base!P214</f>
        <v>Comprometido</v>
      </c>
      <c r="L244" s="22" t="n">
        <f aca="false">Base!Q214</f>
        <v>3500504</v>
      </c>
      <c r="M244" s="22" t="n">
        <f aca="false">Base!R214</f>
        <v>587541</v>
      </c>
      <c r="N244" s="22" t="n">
        <f aca="false">Base!S214</f>
        <v>0</v>
      </c>
      <c r="O244" s="22" t="n">
        <f aca="false">Base!T214</f>
        <v>1000000</v>
      </c>
      <c r="P244" s="21" t="str">
        <f aca="false">IF(Base!U214="","",Base!U214)</f>
        <v/>
      </c>
    </row>
    <row r="245" customFormat="false" ht="32.8" hidden="false" customHeight="false" outlineLevel="0" collapsed="false">
      <c r="A245" s="20" t="n">
        <f aca="false">SUBTOTAL(103,$B$6:B245)</f>
        <v>211</v>
      </c>
      <c r="B245" s="20" t="n">
        <v>157</v>
      </c>
      <c r="C245" s="21" t="str">
        <f aca="false">Base!G215</f>
        <v>2570033: MEJORAMIENTO DE LOS SERVICIOS DE EDUCACION SUPERIOR DEL INSTITUTO SUPERIOR TECNOLOGICO PUBLICA MUÑANI DEL DISTRITO DE MUÑANI - PROVINCIA DE AZANGARO - DEPARTAMENTO DE PUNO</v>
      </c>
      <c r="D245" s="22" t="n">
        <f aca="false">Base!H215</f>
        <v>5089845</v>
      </c>
      <c r="E245" s="22" t="n">
        <f aca="false">Base!I215</f>
        <v>5089845</v>
      </c>
      <c r="F245" s="22" t="n">
        <f aca="false">D245-E245</f>
        <v>0</v>
      </c>
      <c r="G245" s="22" t="n">
        <f aca="false">Base!K215</f>
        <v>1952934.61</v>
      </c>
      <c r="H245" s="22" t="n">
        <f aca="false">D245-G245</f>
        <v>3136910.39</v>
      </c>
      <c r="I245" s="23" t="n">
        <f aca="false">IF(D245=0,0,G245/D245)</f>
        <v>0.383692354089368</v>
      </c>
      <c r="J245" s="21" t="str">
        <f aca="false">Base!O215</f>
        <v>Contrata</v>
      </c>
      <c r="K245" s="21" t="str">
        <f aca="false">Base!P215</f>
        <v>Comprometido</v>
      </c>
      <c r="L245" s="22" t="n">
        <f aca="false">Base!Q215</f>
        <v>6239845</v>
      </c>
      <c r="M245" s="22" t="n">
        <f aca="false">Base!R215</f>
        <v>8796121</v>
      </c>
      <c r="N245" s="22" t="n">
        <f aca="false">Base!S215</f>
        <v>0</v>
      </c>
      <c r="O245" s="22" t="n">
        <f aca="false">Base!T215</f>
        <v>7055000</v>
      </c>
      <c r="P245" s="21" t="str">
        <f aca="false">IF(Base!U215="","",Base!U215)</f>
        <v/>
      </c>
    </row>
    <row r="246" customFormat="false" ht="32.8" hidden="false" customHeight="false" outlineLevel="0" collapsed="false">
      <c r="A246" s="20" t="n">
        <f aca="false">SUBTOTAL(103,$B$6:B246)</f>
        <v>212</v>
      </c>
      <c r="B246" s="20" t="n">
        <v>158</v>
      </c>
      <c r="C246" s="21" t="str">
        <f aca="false">Base!G216</f>
        <v>2570365: MEJORAMIENTO DEL INSTITUTO DE EDUCACION SUPERIOR TECNOLOGICO PUBLICO SANTA LUCIA DEL DISTRITO DE SANTA LUCIA - PROVINCIA DE LAMPA - DEPARTAMENTO DE PUNO</v>
      </c>
      <c r="D246" s="22" t="n">
        <f aca="false">Base!H216</f>
        <v>4863</v>
      </c>
      <c r="E246" s="22" t="n">
        <f aca="false">Base!I216</f>
        <v>4863</v>
      </c>
      <c r="F246" s="22" t="n">
        <f aca="false">D246-E246</f>
        <v>0</v>
      </c>
      <c r="G246" s="22" t="n">
        <f aca="false">Base!K216</f>
        <v>0</v>
      </c>
      <c r="H246" s="22" t="n">
        <f aca="false">D246-G246</f>
        <v>4863</v>
      </c>
      <c r="I246" s="23" t="n">
        <f aca="false">IF(D246=0,0,G246/D246)</f>
        <v>0</v>
      </c>
      <c r="J246" s="21" t="str">
        <f aca="false">Base!O216</f>
        <v>Expediente técnico</v>
      </c>
      <c r="K246" s="21" t="str">
        <f aca="false">Base!P216</f>
        <v>Solo certificado</v>
      </c>
      <c r="L246" s="22" t="n">
        <f aca="false">Base!Q216</f>
        <v>3832600</v>
      </c>
      <c r="M246" s="22" t="n">
        <f aca="false">Base!R216</f>
        <v>5698456</v>
      </c>
      <c r="N246" s="22" t="n">
        <f aca="false">Base!S216</f>
        <v>6500000</v>
      </c>
      <c r="O246" s="22" t="n">
        <f aca="false">Base!T216</f>
        <v>7136543</v>
      </c>
      <c r="P246" s="21" t="str">
        <f aca="false">IF(Base!U216="","",Base!U216)</f>
        <v/>
      </c>
    </row>
    <row r="247" customFormat="false" ht="32.8" hidden="false" customHeight="false" outlineLevel="0" collapsed="false">
      <c r="A247" s="20" t="n">
        <f aca="false">SUBTOTAL(103,$B$6:B247)</f>
        <v>213</v>
      </c>
      <c r="B247" s="20" t="n">
        <v>159</v>
      </c>
      <c r="C247" s="21" t="str">
        <f aca="false">Base!G217</f>
        <v>2570369: MEJORAMIENTO DE LOS SERVICIOS DE EDUCACION SUPERIOR DEL INSTITUTO SUPERIOR TECNOLOGICO PUBLICA SAN JUAN DEL ORO DEL DISTRITO DE SAN JUAN DEL ORO - PROVINCIA DE SANDIA - DEPAR</v>
      </c>
      <c r="D247" s="22" t="n">
        <f aca="false">Base!H217</f>
        <v>5931027</v>
      </c>
      <c r="E247" s="22" t="n">
        <f aca="false">Base!I217</f>
        <v>5660459</v>
      </c>
      <c r="F247" s="22" t="n">
        <f aca="false">D247-E247</f>
        <v>270568</v>
      </c>
      <c r="G247" s="22" t="n">
        <f aca="false">Base!K217</f>
        <v>1327663.78</v>
      </c>
      <c r="H247" s="22" t="n">
        <f aca="false">D247-G247</f>
        <v>4603363.22</v>
      </c>
      <c r="I247" s="23" t="n">
        <f aca="false">IF(D247=0,0,G247/D247)</f>
        <v>0.223850570904499</v>
      </c>
      <c r="J247" s="21" t="str">
        <f aca="false">Base!O217</f>
        <v>Contrata</v>
      </c>
      <c r="K247" s="21" t="str">
        <f aca="false">Base!P217</f>
        <v>Comprometido</v>
      </c>
      <c r="L247" s="22" t="n">
        <f aca="false">Base!Q217</f>
        <v>2769903</v>
      </c>
      <c r="M247" s="22" t="n">
        <f aca="false">Base!R217</f>
        <v>8258956</v>
      </c>
      <c r="N247" s="22" t="n">
        <f aca="false">Base!S217</f>
        <v>6230701</v>
      </c>
      <c r="O247" s="22" t="n">
        <f aca="false">Base!T217</f>
        <v>366030</v>
      </c>
      <c r="P247" s="21" t="str">
        <f aca="false">IF(Base!U217="","",Base!U217)</f>
        <v/>
      </c>
    </row>
    <row r="248" customFormat="false" ht="43.25" hidden="false" customHeight="false" outlineLevel="0" collapsed="false">
      <c r="A248" s="20" t="n">
        <f aca="false">SUBTOTAL(103,$B$6:B248)</f>
        <v>214</v>
      </c>
      <c r="B248" s="20" t="n">
        <v>163</v>
      </c>
      <c r="C248" s="21" t="str">
        <f aca="false">Base!G218</f>
        <v>2623875: MEJORAMIENTO DEL SERVICIO DE EDUCACION SUPERIOR TECNOLOGICA EN INSTITUTO DE EDUCACION SUPERIOR TECNOLOGICO PUBLICO SAN SALVADOR DE CAPACHICA DISTRITO DE CAPACHICA DE LA PROVINCIA DE PUNO DEL DEPARTAMENTO DE PUNO</v>
      </c>
      <c r="D248" s="22" t="n">
        <f aca="false">Base!H218</f>
        <v>178134</v>
      </c>
      <c r="E248" s="22" t="n">
        <f aca="false">Base!I218</f>
        <v>178134</v>
      </c>
      <c r="F248" s="22" t="n">
        <f aca="false">D248-E248</f>
        <v>0</v>
      </c>
      <c r="G248" s="22" t="n">
        <f aca="false">Base!K218</f>
        <v>122423.54</v>
      </c>
      <c r="H248" s="22" t="n">
        <f aca="false">D248-G248</f>
        <v>55710.46</v>
      </c>
      <c r="I248" s="23" t="n">
        <f aca="false">IF(D248=0,0,G248/D248)</f>
        <v>0.687255324643246</v>
      </c>
      <c r="J248" s="21" t="str">
        <f aca="false">Base!O218</f>
        <v>Expediente técnico</v>
      </c>
      <c r="K248" s="21" t="str">
        <f aca="false">Base!P218</f>
        <v>Comprometido</v>
      </c>
      <c r="L248" s="22" t="n">
        <f aca="false">Base!Q218</f>
        <v>2805112</v>
      </c>
      <c r="M248" s="22" t="n">
        <f aca="false">Base!R218</f>
        <v>4556857</v>
      </c>
      <c r="N248" s="22" t="n">
        <f aca="false">Base!S218</f>
        <v>0</v>
      </c>
      <c r="O248" s="22" t="n">
        <f aca="false">Base!T218</f>
        <v>0</v>
      </c>
      <c r="P248" s="21" t="str">
        <f aca="false">IF(Base!U218="","",Base!U218)</f>
        <v/>
      </c>
    </row>
    <row r="249" customFormat="false" ht="43.25" hidden="false" customHeight="false" outlineLevel="0" collapsed="false">
      <c r="A249" s="20" t="n">
        <f aca="false">SUBTOTAL(103,$B$6:B249)</f>
        <v>215</v>
      </c>
      <c r="B249" s="20" t="n">
        <v>164</v>
      </c>
      <c r="C249" s="21" t="str">
        <f aca="false">Base!G219</f>
        <v>2623876: MEJORAMIENTO DEL SERVICIO DE EDUCACION SUPERIOR TECNOLOGICA EN EL INSTITUTO SUPERIOR TECNOLOGICO PUBLICO SANTA ROSA DEL DISTRITO DE SANTA ROSA DE LA PROVINCIA DE MELGAR DEL DEPARTAMENTO DE PUNO</v>
      </c>
      <c r="D249" s="22" t="n">
        <f aca="false">Base!H219</f>
        <v>220481</v>
      </c>
      <c r="E249" s="22" t="n">
        <f aca="false">Base!I219</f>
        <v>194522</v>
      </c>
      <c r="F249" s="22" t="n">
        <f aca="false">D249-E249</f>
        <v>25959</v>
      </c>
      <c r="G249" s="22" t="n">
        <f aca="false">Base!K219</f>
        <v>80473.12</v>
      </c>
      <c r="H249" s="22" t="n">
        <f aca="false">D249-G249</f>
        <v>140007.88</v>
      </c>
      <c r="I249" s="23" t="n">
        <f aca="false">IF(D249=0,0,G249/D249)</f>
        <v>0.364988910609077</v>
      </c>
      <c r="J249" s="21" t="str">
        <f aca="false">Base!O219</f>
        <v>Expediente técnico</v>
      </c>
      <c r="K249" s="21" t="str">
        <f aca="false">Base!P219</f>
        <v>Comprometido</v>
      </c>
      <c r="L249" s="22" t="n">
        <f aca="false">Base!Q219</f>
        <v>2000000</v>
      </c>
      <c r="M249" s="22" t="n">
        <f aca="false">Base!R219</f>
        <v>5654259</v>
      </c>
      <c r="N249" s="22" t="n">
        <f aca="false">Base!S219</f>
        <v>0</v>
      </c>
      <c r="O249" s="22" t="n">
        <f aca="false">Base!T219</f>
        <v>500000</v>
      </c>
      <c r="P249" s="21" t="str">
        <f aca="false">IF(Base!U219="","",Base!U219)</f>
        <v/>
      </c>
    </row>
    <row r="250" customFormat="false" ht="32.8" hidden="false" customHeight="false" outlineLevel="0" collapsed="false">
      <c r="A250" s="20" t="n">
        <f aca="false">SUBTOTAL(103,$B$6:B250)</f>
        <v>216</v>
      </c>
      <c r="B250" s="20" t="n">
        <v>171</v>
      </c>
      <c r="C250" s="21" t="str">
        <f aca="false">Base!G220</f>
        <v>2250307: INSTALACION DEL SERVICIO EDUCATIVO ESCOLARIZADO DEL NIVEL INICIAL DE 3 A 5 AÑOS EN LA I.E.I. PICHACANI QUIRINI, DISTRITO DE MACARI, PROVINCIA MELGAR PUNO</v>
      </c>
      <c r="D250" s="22" t="n">
        <f aca="false">Base!H220</f>
        <v>0</v>
      </c>
      <c r="E250" s="22" t="n">
        <f aca="false">Base!I220</f>
        <v>0</v>
      </c>
      <c r="F250" s="22" t="n">
        <f aca="false">D250-E250</f>
        <v>0</v>
      </c>
      <c r="G250" s="22" t="n">
        <f aca="false">Base!K220</f>
        <v>0</v>
      </c>
      <c r="H250" s="22" t="n">
        <f aca="false">D250-G250</f>
        <v>0</v>
      </c>
      <c r="I250" s="23" t="n">
        <f aca="false">IF(D250=0,0,G250/D250)</f>
        <v>0</v>
      </c>
      <c r="J250" s="21" t="str">
        <f aca="false">Base!O220</f>
        <v>Contrata</v>
      </c>
      <c r="K250" s="21" t="str">
        <f aca="false">Base!P220</f>
        <v>Sin PIM</v>
      </c>
      <c r="L250" s="22" t="n">
        <f aca="false">Base!Q220</f>
        <v>100000</v>
      </c>
      <c r="M250" s="22" t="n">
        <f aca="false">Base!R220</f>
        <v>0</v>
      </c>
      <c r="N250" s="22" t="n">
        <f aca="false">Base!S220</f>
        <v>0</v>
      </c>
      <c r="O250" s="22" t="n">
        <f aca="false">Base!T220</f>
        <v>0</v>
      </c>
      <c r="P250" s="21" t="str">
        <f aca="false">IF(Base!U220="","",Base!U220)</f>
        <v/>
      </c>
    </row>
    <row r="251" customFormat="false" ht="32.8" hidden="false" customHeight="false" outlineLevel="0" collapsed="false">
      <c r="A251" s="20" t="n">
        <f aca="false">SUBTOTAL(103,$B$6:B251)</f>
        <v>217</v>
      </c>
      <c r="B251" s="20" t="n">
        <v>174</v>
      </c>
      <c r="C251" s="21" t="str">
        <f aca="false">Base!G221</f>
        <v>2250460: INSTALACION DEL SERVICIO EDUCATIVO DE LA INSTITUCION EDUCATIVA INICIAL CICLO II NUEVA ESPERANZA, DISTRITO DE MACARI, PROVINCIA DE MELGAR - PUNO</v>
      </c>
      <c r="D251" s="22" t="n">
        <f aca="false">Base!H221</f>
        <v>0</v>
      </c>
      <c r="E251" s="22" t="n">
        <f aca="false">Base!I221</f>
        <v>0</v>
      </c>
      <c r="F251" s="22" t="n">
        <f aca="false">D251-E251</f>
        <v>0</v>
      </c>
      <c r="G251" s="22" t="n">
        <f aca="false">Base!K221</f>
        <v>0</v>
      </c>
      <c r="H251" s="22" t="n">
        <f aca="false">D251-G251</f>
        <v>0</v>
      </c>
      <c r="I251" s="23" t="n">
        <f aca="false">IF(D251=0,0,G251/D251)</f>
        <v>0</v>
      </c>
      <c r="J251" s="21" t="str">
        <f aca="false">Base!O221</f>
        <v>Contrata</v>
      </c>
      <c r="K251" s="21" t="str">
        <f aca="false">Base!P221</f>
        <v>Sin PIM</v>
      </c>
      <c r="L251" s="22" t="n">
        <f aca="false">Base!Q221</f>
        <v>60000</v>
      </c>
      <c r="M251" s="22" t="n">
        <f aca="false">Base!R221</f>
        <v>0</v>
      </c>
      <c r="N251" s="22" t="n">
        <f aca="false">Base!S221</f>
        <v>0</v>
      </c>
      <c r="O251" s="22" t="n">
        <f aca="false">Base!T221</f>
        <v>0</v>
      </c>
      <c r="P251" s="21" t="str">
        <f aca="false">IF(Base!U221="","",Base!U221)</f>
        <v/>
      </c>
    </row>
    <row r="252" customFormat="false" ht="32.8" hidden="false" customHeight="false" outlineLevel="0" collapsed="false">
      <c r="A252" s="20" t="n">
        <f aca="false">SUBTOTAL(103,$B$6:B252)</f>
        <v>218</v>
      </c>
      <c r="B252" s="20" t="n">
        <v>175</v>
      </c>
      <c r="C252" s="21" t="str">
        <f aca="false">Base!G222</f>
        <v>2649797: MEJORAMIENTO DEL SERVICIO DE EDUCACION INICIAL EN I.E. 1450 HUELLITAS DE MONTESSORI MIRAMAR DISTRITO DE MOHO DE LA PROVINCIA DE MOHO DEL DEPARTAMENTO DE PUNO</v>
      </c>
      <c r="D252" s="22" t="n">
        <f aca="false">Base!H222</f>
        <v>29298</v>
      </c>
      <c r="E252" s="22" t="n">
        <f aca="false">Base!I222</f>
        <v>29298</v>
      </c>
      <c r="F252" s="22" t="n">
        <f aca="false">D252-E252</f>
        <v>0</v>
      </c>
      <c r="G252" s="22" t="n">
        <f aca="false">Base!K222</f>
        <v>0</v>
      </c>
      <c r="H252" s="22" t="n">
        <f aca="false">D252-G252</f>
        <v>29298</v>
      </c>
      <c r="I252" s="23" t="n">
        <f aca="false">IF(D252=0,0,G252/D252)</f>
        <v>0</v>
      </c>
      <c r="J252" s="21" t="str">
        <f aca="false">Base!O222</f>
        <v>Expediente técnico</v>
      </c>
      <c r="K252" s="21" t="str">
        <f aca="false">Base!P222</f>
        <v>Solo certificado</v>
      </c>
      <c r="L252" s="22" t="n">
        <f aca="false">Base!Q222</f>
        <v>100000</v>
      </c>
      <c r="M252" s="22" t="n">
        <f aca="false">Base!R222</f>
        <v>0</v>
      </c>
      <c r="N252" s="22" t="n">
        <f aca="false">Base!S222</f>
        <v>0</v>
      </c>
      <c r="O252" s="22" t="n">
        <f aca="false">Base!T222</f>
        <v>2483946</v>
      </c>
      <c r="P252" s="21" t="str">
        <f aca="false">IF(Base!U222="","",Base!U222)</f>
        <v/>
      </c>
    </row>
    <row r="253" customFormat="false" ht="32.8" hidden="false" customHeight="false" outlineLevel="0" collapsed="false">
      <c r="A253" s="20" t="n">
        <f aca="false">SUBTOTAL(103,$B$6:B253)</f>
        <v>219</v>
      </c>
      <c r="B253" s="20" t="n">
        <v>176</v>
      </c>
      <c r="C253" s="21" t="str">
        <f aca="false">Base!G223</f>
        <v>2649798: MEJORAMIENTO DEL SERVICIO DE EDUCACION INICIAL EN I.E. 056 DISTRITO DE CRUCERO DE LA PROVINCIA DE CARABAYA DEL DEPARTAMENTO DE PUNO</v>
      </c>
      <c r="D253" s="22" t="n">
        <f aca="false">Base!H223</f>
        <v>80000</v>
      </c>
      <c r="E253" s="22" t="n">
        <f aca="false">Base!I223</f>
        <v>55480</v>
      </c>
      <c r="F253" s="22" t="n">
        <f aca="false">D253-E253</f>
        <v>24520</v>
      </c>
      <c r="G253" s="22" t="n">
        <f aca="false">Base!K223</f>
        <v>33156.76</v>
      </c>
      <c r="H253" s="22" t="n">
        <f aca="false">D253-G253</f>
        <v>46843.24</v>
      </c>
      <c r="I253" s="23" t="n">
        <f aca="false">IF(D253=0,0,G253/D253)</f>
        <v>0.4144595</v>
      </c>
      <c r="J253" s="21" t="str">
        <f aca="false">Base!O223</f>
        <v>Expediente técnico / Contrata</v>
      </c>
      <c r="K253" s="21" t="str">
        <f aca="false">Base!P223</f>
        <v>Comprometido</v>
      </c>
      <c r="L253" s="22" t="n">
        <f aca="false">Base!Q223</f>
        <v>80000</v>
      </c>
      <c r="M253" s="22" t="n">
        <f aca="false">Base!R223</f>
        <v>0</v>
      </c>
      <c r="N253" s="22" t="n">
        <f aca="false">Base!S223</f>
        <v>0</v>
      </c>
      <c r="O253" s="22" t="n">
        <f aca="false">Base!T223</f>
        <v>500000</v>
      </c>
      <c r="P253" s="21" t="str">
        <f aca="false">IF(Base!U223="","",Base!U223)</f>
        <v/>
      </c>
    </row>
    <row r="254" customFormat="false" ht="32.8" hidden="false" customHeight="false" outlineLevel="0" collapsed="false">
      <c r="A254" s="20" t="n">
        <f aca="false">SUBTOTAL(103,$B$6:B254)</f>
        <v>220</v>
      </c>
      <c r="B254" s="20" t="n">
        <v>177</v>
      </c>
      <c r="C254" s="21" t="str">
        <f aca="false">Base!G224</f>
        <v>2649800: MEJORAMIENTO DEL SERVICIO DE EDUCACION INICIAL EN I.E. 1337 VISTA ALEGRE DISTRITO DE JULIACA DE LA PROVINCIA DE SAN ROMAN DEL DEPARTAMENTO DE PUNO</v>
      </c>
      <c r="D254" s="22" t="n">
        <f aca="false">Base!H224</f>
        <v>0</v>
      </c>
      <c r="E254" s="22" t="n">
        <f aca="false">Base!I224</f>
        <v>0</v>
      </c>
      <c r="F254" s="22" t="n">
        <f aca="false">D254-E254</f>
        <v>0</v>
      </c>
      <c r="G254" s="22" t="n">
        <f aca="false">Base!K224</f>
        <v>0</v>
      </c>
      <c r="H254" s="22" t="n">
        <f aca="false">D254-G254</f>
        <v>0</v>
      </c>
      <c r="I254" s="23" t="n">
        <f aca="false">IF(D254=0,0,G254/D254)</f>
        <v>0</v>
      </c>
      <c r="J254" s="21" t="str">
        <f aca="false">Base!O224</f>
        <v>Contrata</v>
      </c>
      <c r="K254" s="21" t="str">
        <f aca="false">Base!P224</f>
        <v>Sin PIM</v>
      </c>
      <c r="L254" s="22" t="n">
        <f aca="false">Base!Q224</f>
        <v>50000</v>
      </c>
      <c r="M254" s="22" t="n">
        <f aca="false">Base!R224</f>
        <v>0</v>
      </c>
      <c r="N254" s="22" t="n">
        <f aca="false">Base!S224</f>
        <v>0</v>
      </c>
      <c r="O254" s="22" t="n">
        <f aca="false">Base!T224</f>
        <v>150000</v>
      </c>
      <c r="P254" s="21" t="str">
        <f aca="false">IF(Base!U224="","",Base!U224)</f>
        <v/>
      </c>
    </row>
    <row r="255" customFormat="false" ht="32.8" hidden="false" customHeight="false" outlineLevel="0" collapsed="false">
      <c r="A255" s="20" t="n">
        <f aca="false">SUBTOTAL(103,$B$6:B255)</f>
        <v>221</v>
      </c>
      <c r="B255" s="20" t="n">
        <v>178</v>
      </c>
      <c r="C255" s="21" t="str">
        <f aca="false">Base!G225</f>
        <v>2649803: MEJORAMIENTO DEL SERVICIO DE EDUCACION INICIAL EN I.E. 72 DISTRITO DE PEDRO VILCA APAZA DE LA PROVINCIA DE SAN ANTONIO DE PUTINA DEL DEPARTAMENTO DE PUNO</v>
      </c>
      <c r="D255" s="22" t="n">
        <f aca="false">Base!H225</f>
        <v>209495</v>
      </c>
      <c r="E255" s="22" t="n">
        <f aca="false">Base!I225</f>
        <v>209495</v>
      </c>
      <c r="F255" s="22" t="n">
        <f aca="false">D255-E255</f>
        <v>0</v>
      </c>
      <c r="G255" s="22" t="n">
        <f aca="false">Base!K225</f>
        <v>98043.32</v>
      </c>
      <c r="H255" s="22" t="n">
        <f aca="false">D255-G255</f>
        <v>111451.68</v>
      </c>
      <c r="I255" s="23" t="n">
        <f aca="false">IF(D255=0,0,G255/D255)</f>
        <v>0.467998377049572</v>
      </c>
      <c r="J255" s="21" t="str">
        <f aca="false">Base!O225</f>
        <v>Expediente técnico</v>
      </c>
      <c r="K255" s="21" t="str">
        <f aca="false">Base!P225</f>
        <v>Comprometido</v>
      </c>
      <c r="L255" s="22" t="n">
        <f aca="false">Base!Q225</f>
        <v>50000</v>
      </c>
      <c r="M255" s="22" t="n">
        <f aca="false">Base!R225</f>
        <v>0</v>
      </c>
      <c r="N255" s="22" t="n">
        <f aca="false">Base!S225</f>
        <v>0</v>
      </c>
      <c r="O255" s="22" t="n">
        <f aca="false">Base!T225</f>
        <v>500000</v>
      </c>
      <c r="P255" s="21" t="str">
        <f aca="false">IF(Base!U225="","",Base!U225)</f>
        <v/>
      </c>
    </row>
    <row r="256" customFormat="false" ht="32.8" hidden="false" customHeight="false" outlineLevel="0" collapsed="false">
      <c r="A256" s="20" t="n">
        <f aca="false">SUBTOTAL(103,$B$6:B256)</f>
        <v>222</v>
      </c>
      <c r="B256" s="20" t="n">
        <v>179</v>
      </c>
      <c r="C256" s="21" t="str">
        <f aca="false">Base!G226</f>
        <v>2649804: MEJORAMIENTO DEL SERVICIO DE EDUCACION INICIAL EN I.E. 50 DISTRITO DE ORURILLO DE LA PROVINCIA DE MELGAR DEL DEPARTAMENTO DE PUNO</v>
      </c>
      <c r="D256" s="22" t="n">
        <f aca="false">Base!H226</f>
        <v>400000</v>
      </c>
      <c r="E256" s="22" t="n">
        <f aca="false">Base!I226</f>
        <v>0</v>
      </c>
      <c r="F256" s="22" t="n">
        <f aca="false">D256-E256</f>
        <v>400000</v>
      </c>
      <c r="G256" s="22" t="n">
        <f aca="false">Base!K226</f>
        <v>0</v>
      </c>
      <c r="H256" s="22" t="n">
        <f aca="false">D256-G256</f>
        <v>400000</v>
      </c>
      <c r="I256" s="23" t="n">
        <f aca="false">IF(D256=0,0,G256/D256)</f>
        <v>0</v>
      </c>
      <c r="J256" s="21" t="str">
        <f aca="false">Base!O226</f>
        <v>Contrata</v>
      </c>
      <c r="K256" s="21" t="str">
        <f aca="false">Base!P226</f>
        <v>Sin certificar</v>
      </c>
      <c r="L256" s="22" t="n">
        <f aca="false">Base!Q226</f>
        <v>100000</v>
      </c>
      <c r="M256" s="22" t="n">
        <f aca="false">Base!R226</f>
        <v>1246345</v>
      </c>
      <c r="N256" s="22" t="n">
        <f aca="false">Base!S226</f>
        <v>0</v>
      </c>
      <c r="O256" s="22" t="n">
        <f aca="false">Base!T226</f>
        <v>464365</v>
      </c>
      <c r="P256" s="21" t="str">
        <f aca="false">IF(Base!U226="","",Base!U226)</f>
        <v/>
      </c>
    </row>
    <row r="257" customFormat="false" ht="32.8" hidden="false" customHeight="false" outlineLevel="0" collapsed="false">
      <c r="A257" s="20" t="n">
        <f aca="false">SUBTOTAL(103,$B$6:B257)</f>
        <v>223</v>
      </c>
      <c r="B257" s="20" t="n">
        <v>182</v>
      </c>
      <c r="C257" s="21" t="str">
        <f aca="false">Base!G227</f>
        <v>2649853: MEJORAMIENTO DEL SERVICIO DE EDUCACION INICIAL EN I.E. 1240 NIÑO JESUS DISTRITO DE VILQUE DE LA PROVINCIA DE PUNO DEL DEPARTAMENTO DE PUNO</v>
      </c>
      <c r="D257" s="22" t="n">
        <f aca="false">Base!H227</f>
        <v>179528</v>
      </c>
      <c r="E257" s="22" t="n">
        <f aca="false">Base!I227</f>
        <v>178381</v>
      </c>
      <c r="F257" s="22" t="n">
        <f aca="false">D257-E257</f>
        <v>1147</v>
      </c>
      <c r="G257" s="22" t="n">
        <f aca="false">Base!K227</f>
        <v>136766.03</v>
      </c>
      <c r="H257" s="22" t="n">
        <f aca="false">D257-G257</f>
        <v>42761.97</v>
      </c>
      <c r="I257" s="23" t="n">
        <f aca="false">IF(D257=0,0,G257/D257)</f>
        <v>0.761808910030747</v>
      </c>
      <c r="J257" s="21" t="str">
        <f aca="false">Base!O227</f>
        <v>Expediente técnico</v>
      </c>
      <c r="K257" s="21" t="str">
        <f aca="false">Base!P227</f>
        <v>Comprometido</v>
      </c>
      <c r="L257" s="22" t="n">
        <f aca="false">Base!Q227</f>
        <v>50000</v>
      </c>
      <c r="M257" s="22" t="n">
        <f aca="false">Base!R227</f>
        <v>0</v>
      </c>
      <c r="N257" s="22" t="n">
        <f aca="false">Base!S227</f>
        <v>201078</v>
      </c>
      <c r="O257" s="22" t="n">
        <f aca="false">Base!T227</f>
        <v>201078</v>
      </c>
      <c r="P257" s="21" t="str">
        <f aca="false">IF(Base!U227="","",Base!U227)</f>
        <v/>
      </c>
    </row>
    <row r="258" customFormat="false" ht="32.8" hidden="false" customHeight="false" outlineLevel="0" collapsed="false">
      <c r="A258" s="20" t="n">
        <f aca="false">SUBTOTAL(103,$B$6:B258)</f>
        <v>224</v>
      </c>
      <c r="B258" s="20" t="n">
        <v>183</v>
      </c>
      <c r="C258" s="21" t="str">
        <f aca="false">Base!G228</f>
        <v>2649854: MEJORAMIENTO DEL SERVICIO DE EDUCACION INICIAL EN I.E. 1291 CORAZON DE JESUS DISTRITO DE ACORA DE LA PROVINCIA DE PUNO DEL DEPARTAMENTO DE PUNO</v>
      </c>
      <c r="D258" s="22" t="n">
        <f aca="false">Base!H228</f>
        <v>0</v>
      </c>
      <c r="E258" s="22" t="n">
        <f aca="false">Base!I228</f>
        <v>0</v>
      </c>
      <c r="F258" s="22" t="n">
        <f aca="false">D258-E258</f>
        <v>0</v>
      </c>
      <c r="G258" s="22" t="n">
        <f aca="false">Base!K228</f>
        <v>0</v>
      </c>
      <c r="H258" s="22" t="n">
        <f aca="false">D258-G258</f>
        <v>0</v>
      </c>
      <c r="I258" s="23" t="n">
        <f aca="false">IF(D258=0,0,G258/D258)</f>
        <v>0</v>
      </c>
      <c r="J258" s="21" t="str">
        <f aca="false">Base!O228</f>
        <v>Contrata</v>
      </c>
      <c r="K258" s="21" t="str">
        <f aca="false">Base!P228</f>
        <v>Sin PIM</v>
      </c>
      <c r="L258" s="22" t="n">
        <f aca="false">Base!Q228</f>
        <v>100000</v>
      </c>
      <c r="M258" s="22" t="n">
        <f aca="false">Base!R228</f>
        <v>1243456</v>
      </c>
      <c r="N258" s="22" t="n">
        <f aca="false">Base!S228</f>
        <v>0</v>
      </c>
      <c r="O258" s="22" t="n">
        <f aca="false">Base!T228</f>
        <v>575449</v>
      </c>
      <c r="P258" s="21" t="str">
        <f aca="false">IF(Base!U228="","",Base!U228)</f>
        <v/>
      </c>
    </row>
    <row r="259" customFormat="false" ht="32.8" hidden="false" customHeight="false" outlineLevel="0" collapsed="false">
      <c r="A259" s="20" t="n">
        <f aca="false">SUBTOTAL(103,$B$6:B259)</f>
        <v>225</v>
      </c>
      <c r="B259" s="20" t="n">
        <v>184</v>
      </c>
      <c r="C259" s="21" t="str">
        <f aca="false">Base!G229</f>
        <v>2649855: MEJORAMIENTO DEL SERVICIO DE EDUCACION INICIAL EN I.E. 258 DISTRITO DE ACORA DE LA PROVINCIA DE PUNO DEL DEPARTAMENTO DE PUNO</v>
      </c>
      <c r="D259" s="22" t="n">
        <f aca="false">Base!H229</f>
        <v>33556</v>
      </c>
      <c r="E259" s="22" t="n">
        <f aca="false">Base!I229</f>
        <v>33489.5</v>
      </c>
      <c r="F259" s="22" t="n">
        <f aca="false">D259-E259</f>
        <v>66.5</v>
      </c>
      <c r="G259" s="22" t="n">
        <f aca="false">Base!K229</f>
        <v>28428.44</v>
      </c>
      <c r="H259" s="22" t="n">
        <f aca="false">D259-G259</f>
        <v>5127.56</v>
      </c>
      <c r="I259" s="23" t="n">
        <f aca="false">IF(D259=0,0,G259/D259)</f>
        <v>0.847193944451067</v>
      </c>
      <c r="J259" s="21" t="str">
        <f aca="false">Base!O229</f>
        <v>Expediente técnico</v>
      </c>
      <c r="K259" s="21" t="str">
        <f aca="false">Base!P229</f>
        <v>Comprometido</v>
      </c>
      <c r="L259" s="22" t="n">
        <f aca="false">Base!Q229</f>
        <v>100000</v>
      </c>
      <c r="M259" s="22" t="n">
        <f aca="false">Base!R229</f>
        <v>0</v>
      </c>
      <c r="N259" s="22" t="n">
        <f aca="false">Base!S229</f>
        <v>0</v>
      </c>
      <c r="O259" s="22" t="n">
        <f aca="false">Base!T229</f>
        <v>849356</v>
      </c>
      <c r="P259" s="21" t="str">
        <f aca="false">IF(Base!U229="","",Base!U229)</f>
        <v/>
      </c>
    </row>
    <row r="260" customFormat="false" ht="32.8" hidden="false" customHeight="false" outlineLevel="0" collapsed="false">
      <c r="A260" s="20" t="n">
        <f aca="false">SUBTOTAL(103,$B$6:B260)</f>
        <v>226</v>
      </c>
      <c r="B260" s="20" t="n">
        <v>185</v>
      </c>
      <c r="C260" s="21" t="str">
        <f aca="false">Base!G230</f>
        <v>2649856: MEJORAMIENTO DEL SERVICIO DE EDUCACION INICIAL EN I.E. 312 DE CENTRO POBLADO JAYU JAYU DISTRITO DE ACORA DE LA PROVINCIA DE PUNO DEL DEPARTAMENTO DE PUNO</v>
      </c>
      <c r="D260" s="22" t="n">
        <f aca="false">Base!H230</f>
        <v>0</v>
      </c>
      <c r="E260" s="22" t="n">
        <f aca="false">Base!I230</f>
        <v>0</v>
      </c>
      <c r="F260" s="22" t="n">
        <f aca="false">D260-E260</f>
        <v>0</v>
      </c>
      <c r="G260" s="22" t="n">
        <f aca="false">Base!K230</f>
        <v>0</v>
      </c>
      <c r="H260" s="22" t="n">
        <f aca="false">D260-G260</f>
        <v>0</v>
      </c>
      <c r="I260" s="23" t="n">
        <f aca="false">IF(D260=0,0,G260/D260)</f>
        <v>0</v>
      </c>
      <c r="J260" s="21" t="str">
        <f aca="false">Base!O230</f>
        <v>Contrata</v>
      </c>
      <c r="K260" s="21" t="str">
        <f aca="false">Base!P230</f>
        <v>Sin PIM</v>
      </c>
      <c r="L260" s="22" t="n">
        <f aca="false">Base!Q230</f>
        <v>100000</v>
      </c>
      <c r="M260" s="22" t="n">
        <f aca="false">Base!R230</f>
        <v>1254345</v>
      </c>
      <c r="N260" s="22" t="n">
        <f aca="false">Base!S230</f>
        <v>0</v>
      </c>
      <c r="O260" s="22" t="n">
        <f aca="false">Base!T230</f>
        <v>1672886</v>
      </c>
      <c r="P260" s="21" t="str">
        <f aca="false">IF(Base!U230="","",Base!U230)</f>
        <v/>
      </c>
    </row>
    <row r="261" customFormat="false" ht="32.8" hidden="false" customHeight="false" outlineLevel="0" collapsed="false">
      <c r="A261" s="20" t="n">
        <f aca="false">SUBTOTAL(103,$B$6:B261)</f>
        <v>227</v>
      </c>
      <c r="B261" s="20" t="n">
        <v>186</v>
      </c>
      <c r="C261" s="21" t="str">
        <f aca="false">Base!G231</f>
        <v>2649857: MEJORAMIENTO DEL SERVICIO DE EDUCACION INICIAL EN I.E. SAN JERONIMO DISTRITO DE ATUNCOLLA DE LA PROVINCIA DE PUNO DEL DEPARTAMENTO DE PUNO</v>
      </c>
      <c r="D261" s="22" t="n">
        <f aca="false">Base!H231</f>
        <v>0</v>
      </c>
      <c r="E261" s="22" t="n">
        <f aca="false">Base!I231</f>
        <v>0</v>
      </c>
      <c r="F261" s="22" t="n">
        <f aca="false">D261-E261</f>
        <v>0</v>
      </c>
      <c r="G261" s="22" t="n">
        <f aca="false">Base!K231</f>
        <v>0</v>
      </c>
      <c r="H261" s="22" t="n">
        <f aca="false">D261-G261</f>
        <v>0</v>
      </c>
      <c r="I261" s="23" t="n">
        <f aca="false">IF(D261=0,0,G261/D261)</f>
        <v>0</v>
      </c>
      <c r="J261" s="21" t="str">
        <f aca="false">Base!O231</f>
        <v>Contrata</v>
      </c>
      <c r="K261" s="21" t="str">
        <f aca="false">Base!P231</f>
        <v>Sin PIM</v>
      </c>
      <c r="L261" s="22" t="n">
        <f aca="false">Base!Q231</f>
        <v>50000</v>
      </c>
      <c r="M261" s="22" t="n">
        <f aca="false">Base!R231</f>
        <v>0</v>
      </c>
      <c r="N261" s="22" t="n">
        <f aca="false">Base!S231</f>
        <v>0</v>
      </c>
      <c r="O261" s="22" t="n">
        <f aca="false">Base!T231</f>
        <v>1077897</v>
      </c>
      <c r="P261" s="21" t="str">
        <f aca="false">IF(Base!U231="","",Base!U231)</f>
        <v/>
      </c>
    </row>
    <row r="262" customFormat="false" ht="32.8" hidden="false" customHeight="false" outlineLevel="0" collapsed="false">
      <c r="A262" s="20" t="n">
        <f aca="false">SUBTOTAL(103,$B$6:B262)</f>
        <v>228</v>
      </c>
      <c r="B262" s="20" t="n">
        <v>189</v>
      </c>
      <c r="C262" s="21" t="str">
        <f aca="false">Base!G232</f>
        <v>2651086: MEJORAMIENTO DEL SERVICIO DE EDUCACION INICIAL EN I.E. 1226 DISTRITO DE MAÑAZO DE LA PROVINCIA DE PUNO DEL DEPARTAMENTO DE PUNO</v>
      </c>
      <c r="D262" s="22" t="n">
        <f aca="false">Base!H232</f>
        <v>106670</v>
      </c>
      <c r="E262" s="22" t="n">
        <f aca="false">Base!I232</f>
        <v>106670</v>
      </c>
      <c r="F262" s="22" t="n">
        <f aca="false">D262-E262</f>
        <v>0</v>
      </c>
      <c r="G262" s="22" t="n">
        <f aca="false">Base!K232</f>
        <v>96622.29</v>
      </c>
      <c r="H262" s="22" t="n">
        <f aca="false">D262-G262</f>
        <v>10047.71</v>
      </c>
      <c r="I262" s="23" t="n">
        <f aca="false">IF(D262=0,0,G262/D262)</f>
        <v>0.905805662323052</v>
      </c>
      <c r="J262" s="21" t="str">
        <f aca="false">Base!O232</f>
        <v>Expediente técnico</v>
      </c>
      <c r="K262" s="21" t="str">
        <f aca="false">Base!P232</f>
        <v>Comprometido</v>
      </c>
      <c r="L262" s="22" t="n">
        <f aca="false">Base!Q232</f>
        <v>50000</v>
      </c>
      <c r="M262" s="22" t="n">
        <f aca="false">Base!R232</f>
        <v>248751</v>
      </c>
      <c r="N262" s="22" t="n">
        <f aca="false">Base!S232</f>
        <v>290379</v>
      </c>
      <c r="O262" s="22" t="n">
        <f aca="false">Base!T232</f>
        <v>0</v>
      </c>
      <c r="P262" s="21" t="str">
        <f aca="false">IF(Base!U232="","",Base!U232)</f>
        <v/>
      </c>
    </row>
    <row r="263" customFormat="false" ht="32.8" hidden="false" customHeight="false" outlineLevel="0" collapsed="false">
      <c r="A263" s="20" t="n">
        <f aca="false">SUBTOTAL(103,$B$6:B263)</f>
        <v>229</v>
      </c>
      <c r="B263" s="20" t="n">
        <v>190</v>
      </c>
      <c r="C263" s="21" t="str">
        <f aca="false">Base!G233</f>
        <v>2652121: MEJORAMIENTO DEL SERVICIO DE EDUCACION INICIAL EN I.E. 1205 DISTRITO DE PUNO DE LA PROVINCIA DE PUNO DEL DEPARTAMENTO DE PUNO</v>
      </c>
      <c r="D263" s="22" t="n">
        <f aca="false">Base!H233</f>
        <v>306148</v>
      </c>
      <c r="E263" s="22" t="n">
        <f aca="false">Base!I233</f>
        <v>306148</v>
      </c>
      <c r="F263" s="22" t="n">
        <f aca="false">D263-E263</f>
        <v>0</v>
      </c>
      <c r="G263" s="22" t="n">
        <f aca="false">Base!K233</f>
        <v>268544.1</v>
      </c>
      <c r="H263" s="22" t="n">
        <f aca="false">D263-G263</f>
        <v>37603.9</v>
      </c>
      <c r="I263" s="23" t="n">
        <f aca="false">IF(D263=0,0,G263/D263)</f>
        <v>0.877170845473431</v>
      </c>
      <c r="J263" s="21" t="str">
        <f aca="false">Base!O233</f>
        <v>Expediente técnico</v>
      </c>
      <c r="K263" s="21" t="str">
        <f aca="false">Base!P233</f>
        <v>Comprometido</v>
      </c>
      <c r="L263" s="22" t="n">
        <f aca="false">Base!Q233</f>
        <v>50000</v>
      </c>
      <c r="M263" s="22" t="n">
        <f aca="false">Base!R233</f>
        <v>0</v>
      </c>
      <c r="N263" s="22" t="n">
        <f aca="false">Base!S233</f>
        <v>0</v>
      </c>
      <c r="O263" s="22" t="n">
        <f aca="false">Base!T233</f>
        <v>1982942</v>
      </c>
      <c r="P263" s="21" t="str">
        <f aca="false">IF(Base!U233="","",Base!U233)</f>
        <v/>
      </c>
    </row>
    <row r="264" customFormat="false" ht="32.8" hidden="false" customHeight="false" outlineLevel="0" collapsed="false">
      <c r="A264" s="20" t="n">
        <f aca="false">SUBTOTAL(103,$B$6:B264)</f>
        <v>230</v>
      </c>
      <c r="B264" s="20" t="n">
        <v>192</v>
      </c>
      <c r="C264" s="21" t="str">
        <f aca="false">Base!G234</f>
        <v>2659575: MEJORAMIENTO DEL SERVICIO DE EDUCACION INICIAL EN I.E. 1223 DIVINO NIÑO JESUS DISTRITO DE COATA DE LA PROVINCIA DE PUNO DEL DEPARTAMENTO DE PUNO</v>
      </c>
      <c r="D264" s="22" t="n">
        <f aca="false">Base!H234</f>
        <v>159574</v>
      </c>
      <c r="E264" s="22" t="n">
        <f aca="false">Base!I234</f>
        <v>125168.92</v>
      </c>
      <c r="F264" s="22" t="n">
        <f aca="false">D264-E264</f>
        <v>34405.08</v>
      </c>
      <c r="G264" s="22" t="n">
        <f aca="false">Base!K234</f>
        <v>80461.59</v>
      </c>
      <c r="H264" s="22" t="n">
        <f aca="false">D264-G264</f>
        <v>79112.41</v>
      </c>
      <c r="I264" s="23" t="n">
        <f aca="false">IF(D264=0,0,G264/D264)</f>
        <v>0.504227443067166</v>
      </c>
      <c r="J264" s="21" t="str">
        <f aca="false">Base!O234</f>
        <v>Expediente técnico</v>
      </c>
      <c r="K264" s="21" t="str">
        <f aca="false">Base!P234</f>
        <v>Comprometido</v>
      </c>
      <c r="L264" s="22" t="n">
        <f aca="false">Base!Q234</f>
        <v>50000</v>
      </c>
      <c r="M264" s="22" t="n">
        <f aca="false">Base!R234</f>
        <v>245742</v>
      </c>
      <c r="N264" s="22" t="n">
        <f aca="false">Base!S234</f>
        <v>1095319</v>
      </c>
      <c r="O264" s="22" t="n">
        <f aca="false">Base!T234</f>
        <v>0</v>
      </c>
      <c r="P264" s="21" t="str">
        <f aca="false">IF(Base!U234="","",Base!U234)</f>
        <v/>
      </c>
    </row>
    <row r="265" customFormat="false" ht="43.25" hidden="false" customHeight="false" outlineLevel="0" collapsed="false">
      <c r="A265" s="20" t="n">
        <f aca="false">SUBTOTAL(103,$B$6:B265)</f>
        <v>231</v>
      </c>
      <c r="B265" s="20" t="n">
        <v>194</v>
      </c>
      <c r="C265" s="21" t="str">
        <f aca="false">Base!G235</f>
        <v>2673614: MEJORAMIENTO DEL SERVICIO DE EDUCACION INICIAL EN I.E. HUARISANI RENJACHI DE CENTRO POBLADO HUARISANI DISTRITO DE HUANCANE DE LA PROVINCIA DE HUANCANE DEL DEPARTAMENTO DE PUNO</v>
      </c>
      <c r="D265" s="22" t="n">
        <f aca="false">Base!H235</f>
        <v>50467</v>
      </c>
      <c r="E265" s="22" t="n">
        <f aca="false">Base!I235</f>
        <v>50466.81</v>
      </c>
      <c r="F265" s="22" t="n">
        <f aca="false">D265-E265</f>
        <v>0.190000000002328</v>
      </c>
      <c r="G265" s="22" t="n">
        <f aca="false">Base!K235</f>
        <v>48902.8</v>
      </c>
      <c r="H265" s="22" t="n">
        <f aca="false">D265-G265</f>
        <v>1564.2</v>
      </c>
      <c r="I265" s="23" t="n">
        <f aca="false">IF(D265=0,0,G265/D265)</f>
        <v>0.969005488735213</v>
      </c>
      <c r="J265" s="21" t="str">
        <f aca="false">Base!O235</f>
        <v>Expediente técnico</v>
      </c>
      <c r="K265" s="21" t="str">
        <f aca="false">Base!P235</f>
        <v>Comprometido</v>
      </c>
      <c r="L265" s="22" t="n">
        <f aca="false">Base!Q235</f>
        <v>100000</v>
      </c>
      <c r="M265" s="22" t="n">
        <f aca="false">Base!R235</f>
        <v>0</v>
      </c>
      <c r="N265" s="22" t="n">
        <f aca="false">Base!S235</f>
        <v>0</v>
      </c>
      <c r="O265" s="22" t="n">
        <f aca="false">Base!T235</f>
        <v>1272222</v>
      </c>
      <c r="P265" s="21" t="str">
        <f aca="false">IF(Base!U235="","",Base!U235)</f>
        <v/>
      </c>
    </row>
    <row r="266" customFormat="false" ht="32.8" hidden="false" customHeight="false" outlineLevel="0" collapsed="false">
      <c r="A266" s="20" t="n">
        <f aca="false">SUBTOTAL(103,$B$6:B266)</f>
        <v>232</v>
      </c>
      <c r="B266" s="20" t="n">
        <v>243</v>
      </c>
      <c r="C266" s="21" t="str">
        <f aca="false">Base!G236</f>
        <v>2506927: MEJORAMIENTO DE LOS SERVICIOS DE EDUCACION SUPERIOR TECNOLOGICA DEL IESTP JOSE ANTONIO ENCINAS, DISTRITO DE PUNO - PROVINCIA DE PUNO - DEPARTAMENTO DE PUNO</v>
      </c>
      <c r="D266" s="22" t="n">
        <f aca="false">Base!H236</f>
        <v>0</v>
      </c>
      <c r="E266" s="22" t="n">
        <f aca="false">Base!I236</f>
        <v>0</v>
      </c>
      <c r="F266" s="22" t="n">
        <f aca="false">D266-E266</f>
        <v>0</v>
      </c>
      <c r="G266" s="22" t="n">
        <f aca="false">Base!K236</f>
        <v>0</v>
      </c>
      <c r="H266" s="22" t="n">
        <f aca="false">D266-G266</f>
        <v>0</v>
      </c>
      <c r="I266" s="23" t="n">
        <f aca="false">IF(D266=0,0,G266/D266)</f>
        <v>0</v>
      </c>
      <c r="J266" s="21" t="str">
        <f aca="false">Base!O236</f>
        <v>Contrata</v>
      </c>
      <c r="K266" s="21" t="str">
        <f aca="false">Base!P236</f>
        <v>Sin PIM</v>
      </c>
      <c r="L266" s="22" t="n">
        <f aca="false">Base!Q236</f>
        <v>1000000</v>
      </c>
      <c r="M266" s="22" t="n">
        <f aca="false">Base!R236</f>
        <v>0</v>
      </c>
      <c r="N266" s="22" t="n">
        <f aca="false">Base!S236</f>
        <v>0</v>
      </c>
      <c r="O266" s="22" t="n">
        <f aca="false">Base!T236</f>
        <v>0</v>
      </c>
      <c r="P266" s="21" t="str">
        <f aca="false">IF(Base!U236="","",Base!U236)</f>
        <v/>
      </c>
    </row>
    <row r="267" customFormat="false" ht="53.7" hidden="false" customHeight="false" outlineLevel="0" collapsed="false">
      <c r="A267" s="20" t="n">
        <f aca="false">SUBTOTAL(103,$B$6:B267)</f>
        <v>233</v>
      </c>
      <c r="B267" s="20" t="n">
        <v>525</v>
      </c>
      <c r="C267" s="21" t="str">
        <f aca="false">Base!G237</f>
        <v>2650473.CONSTRUCCION DE AULA DE EDUCACION SECUNDARIA, LABORATORIO Y/O TALLER, CERCO Y/O PORTADA Y SERVICIOS HIGIENICOS Y/O VESTIDORES; ADEMAS DE OTROS ACTIVOS EN EL(LA) I.E. AGROINDUSTRIAL DISTRITO DE PUTINA, PROVINCIA SAN ANTONIO DE PUTINA, DEPARTAMENTO</v>
      </c>
      <c r="D267" s="22" t="n">
        <f aca="false">Base!H237</f>
        <v>2394005</v>
      </c>
      <c r="E267" s="22" t="n">
        <f aca="false">Base!I237</f>
        <v>0</v>
      </c>
      <c r="F267" s="22" t="n">
        <f aca="false">D267-E267</f>
        <v>2394005</v>
      </c>
      <c r="G267" s="22" t="n">
        <f aca="false">Base!K237</f>
        <v>0</v>
      </c>
      <c r="H267" s="22" t="n">
        <f aca="false">D267-G267</f>
        <v>2394005</v>
      </c>
      <c r="I267" s="23" t="n">
        <f aca="false">IF(D267=0,0,G267/D267)</f>
        <v>0</v>
      </c>
      <c r="J267" s="21" t="str">
        <f aca="false">Base!O237</f>
        <v>Contrata</v>
      </c>
      <c r="K267" s="21" t="str">
        <f aca="false">Base!P237</f>
        <v>Sin certificar</v>
      </c>
      <c r="L267" s="22" t="str">
        <f aca="false">Base!Q237</f>
        <v>No registrado en cartera</v>
      </c>
      <c r="M267" s="22" t="str">
        <f aca="false">Base!R237</f>
        <v>No registrado en cartera</v>
      </c>
      <c r="N267" s="22" t="str">
        <f aca="false">Base!S237</f>
        <v>No registrado en cartera</v>
      </c>
      <c r="O267" s="22" t="str">
        <f aca="false">Base!T237</f>
        <v>No registrado en cartera</v>
      </c>
      <c r="P267" s="21" t="str">
        <f aca="false">IF(Base!U237="","",Base!U237)</f>
        <v/>
      </c>
    </row>
    <row r="268" customFormat="false" ht="15" hidden="false" customHeight="false" outlineLevel="0" collapsed="false">
      <c r="A268" s="17" t="s">
        <v>50</v>
      </c>
      <c r="B268" s="17"/>
      <c r="C268" s="17"/>
      <c r="D268" s="18" t="n">
        <f aca="false">SUM(D269:D305)</f>
        <v>11019969</v>
      </c>
      <c r="E268" s="18" t="n">
        <f aca="false">SUM(E269:E305)</f>
        <v>9653225.91</v>
      </c>
      <c r="F268" s="18" t="n">
        <f aca="false">SUM(F269:F305)</f>
        <v>1366743.09</v>
      </c>
      <c r="G268" s="18" t="n">
        <f aca="false">SUM(G269:G305)</f>
        <v>5481601.11</v>
      </c>
      <c r="H268" s="18" t="n">
        <f aca="false">SUM(H269:H305)</f>
        <v>5538367.89</v>
      </c>
      <c r="I268" s="19" t="n">
        <f aca="false">IF(D268=0,0,G268/D268)</f>
        <v>0.497424367527713</v>
      </c>
      <c r="J268" s="17"/>
      <c r="K268" s="17"/>
      <c r="L268" s="17"/>
      <c r="M268" s="17"/>
      <c r="N268" s="17"/>
      <c r="O268" s="17"/>
      <c r="P268" s="17"/>
    </row>
    <row r="269" customFormat="false" ht="22.35" hidden="false" customHeight="false" outlineLevel="0" collapsed="false">
      <c r="A269" s="20" t="n">
        <f aca="false">SUBTOTAL(103,$B$6:B269)</f>
        <v>234</v>
      </c>
      <c r="B269" s="20" t="n">
        <v>91</v>
      </c>
      <c r="C269" s="21" t="str">
        <f aca="false">Base!G238</f>
        <v>2159836: MEJORAMIENTO Y CREACION DEL CAMINO VECINAL SACO-HUANACURI, DISTRITO DE COASA - CARABAYA - PUNO</v>
      </c>
      <c r="D269" s="22" t="n">
        <f aca="false">Base!H238</f>
        <v>350198</v>
      </c>
      <c r="E269" s="22" t="n">
        <f aca="false">Base!I238</f>
        <v>287570</v>
      </c>
      <c r="F269" s="22" t="n">
        <f aca="false">D269-E269</f>
        <v>62628</v>
      </c>
      <c r="G269" s="22" t="n">
        <f aca="false">Base!K238</f>
        <v>252136.73</v>
      </c>
      <c r="H269" s="22" t="n">
        <f aca="false">D269-G269</f>
        <v>98061.27</v>
      </c>
      <c r="I269" s="23" t="n">
        <f aca="false">IF(D269=0,0,G269/D269)</f>
        <v>0.719983352274999</v>
      </c>
      <c r="J269" s="21" t="str">
        <f aca="false">Base!O238</f>
        <v>Expediente técnico</v>
      </c>
      <c r="K269" s="21" t="str">
        <f aca="false">Base!P238</f>
        <v>Comprometido</v>
      </c>
      <c r="L269" s="22" t="n">
        <f aca="false">Base!Q238</f>
        <v>100000</v>
      </c>
      <c r="M269" s="22" t="n">
        <f aca="false">Base!R238</f>
        <v>0</v>
      </c>
      <c r="N269" s="22" t="n">
        <f aca="false">Base!S238</f>
        <v>0</v>
      </c>
      <c r="O269" s="22" t="n">
        <f aca="false">Base!T238</f>
        <v>0</v>
      </c>
      <c r="P269" s="21" t="str">
        <f aca="false">IF(Base!U238="","",Base!U238)</f>
        <v/>
      </c>
    </row>
    <row r="270" customFormat="false" ht="32.8" hidden="false" customHeight="false" outlineLevel="0" collapsed="false">
      <c r="A270" s="20" t="n">
        <f aca="false">SUBTOTAL(103,$B$6:B270)</f>
        <v>235</v>
      </c>
      <c r="B270" s="20" t="n">
        <v>93</v>
      </c>
      <c r="C270" s="21" t="str">
        <f aca="false">Base!G239</f>
        <v>2185111: MEJORAMIENTO DE LA CARRETERA (PU 112) PUTINA - MUÑANI, DISTRITOS DE PUTINA Y MUÑANI, PROVINCIAS DE SAN ANTONIO DE PUTINA Y AZANGARO - PUNO</v>
      </c>
      <c r="D270" s="22" t="n">
        <f aca="false">Base!H239</f>
        <v>0</v>
      </c>
      <c r="E270" s="22" t="n">
        <f aca="false">Base!I239</f>
        <v>0</v>
      </c>
      <c r="F270" s="22" t="n">
        <f aca="false">D270-E270</f>
        <v>0</v>
      </c>
      <c r="G270" s="22" t="n">
        <f aca="false">Base!K239</f>
        <v>0</v>
      </c>
      <c r="H270" s="22" t="n">
        <f aca="false">D270-G270</f>
        <v>0</v>
      </c>
      <c r="I270" s="23" t="n">
        <f aca="false">IF(D270=0,0,G270/D270)</f>
        <v>0</v>
      </c>
      <c r="J270" s="21" t="str">
        <f aca="false">Base!O239</f>
        <v>Contrata</v>
      </c>
      <c r="K270" s="21" t="str">
        <f aca="false">Base!P239</f>
        <v>Sin PIM</v>
      </c>
      <c r="L270" s="22" t="n">
        <f aca="false">Base!Q239</f>
        <v>100000</v>
      </c>
      <c r="M270" s="22" t="n">
        <f aca="false">Base!R239</f>
        <v>0</v>
      </c>
      <c r="N270" s="22" t="n">
        <f aca="false">Base!S239</f>
        <v>0</v>
      </c>
      <c r="O270" s="22" t="n">
        <f aca="false">Base!T239</f>
        <v>0</v>
      </c>
      <c r="P270" s="21" t="str">
        <f aca="false">IF(Base!U239="","",Base!U239)</f>
        <v/>
      </c>
    </row>
    <row r="271" customFormat="false" ht="64.15" hidden="false" customHeight="false" outlineLevel="0" collapsed="false">
      <c r="A271" s="20" t="n">
        <f aca="false">SUBTOTAL(103,$B$6:B271)</f>
        <v>236</v>
      </c>
      <c r="B271" s="20" t="n">
        <v>102</v>
      </c>
      <c r="C271" s="21" t="str">
        <f aca="false">Base!G240</f>
        <v>2338085: 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v>
      </c>
      <c r="D271" s="22" t="n">
        <f aca="false">Base!H240</f>
        <v>0</v>
      </c>
      <c r="E271" s="22" t="n">
        <f aca="false">Base!I240</f>
        <v>0</v>
      </c>
      <c r="F271" s="22" t="n">
        <f aca="false">D271-E271</f>
        <v>0</v>
      </c>
      <c r="G271" s="22" t="n">
        <f aca="false">Base!K240</f>
        <v>0</v>
      </c>
      <c r="H271" s="22" t="n">
        <f aca="false">D271-G271</f>
        <v>0</v>
      </c>
      <c r="I271" s="23" t="n">
        <f aca="false">IF(D271=0,0,G271/D271)</f>
        <v>0</v>
      </c>
      <c r="J271" s="21" t="str">
        <f aca="false">Base!O240</f>
        <v>Contrata</v>
      </c>
      <c r="K271" s="21" t="str">
        <f aca="false">Base!P240</f>
        <v>Sin PIM</v>
      </c>
      <c r="L271" s="22" t="str">
        <f aca="false">Base!Q240</f>
        <v>No registrado en cartera</v>
      </c>
      <c r="M271" s="22" t="str">
        <f aca="false">Base!R240</f>
        <v>No registrado en cartera</v>
      </c>
      <c r="N271" s="22" t="str">
        <f aca="false">Base!S240</f>
        <v>No registrado en cartera</v>
      </c>
      <c r="O271" s="22" t="str">
        <f aca="false">Base!T240</f>
        <v>No registrado en cartera</v>
      </c>
      <c r="P271" s="21" t="str">
        <f aca="false">IF(Base!U240="","",Base!U240)</f>
        <v/>
      </c>
    </row>
    <row r="272" customFormat="false" ht="32.8" hidden="false" customHeight="false" outlineLevel="0" collapsed="false">
      <c r="A272" s="20" t="n">
        <f aca="false">SUBTOTAL(103,$B$6:B272)</f>
        <v>237</v>
      </c>
      <c r="B272" s="20" t="n">
        <v>100</v>
      </c>
      <c r="C272" s="21" t="str">
        <f aca="false">Base!G241</f>
        <v>2316291: MEJORAMIENTO Y AMPLIACION DEL CIRCUITO VIAL ECO TURISTICO, CAPACHICA - SIALE - CCOTOS - PARAMIS, DISTRITOS DE CAPACHICA, AMANTANI, PROVINCIA DE PUNO - PUNO</v>
      </c>
      <c r="D272" s="22" t="n">
        <f aca="false">Base!H241</f>
        <v>0</v>
      </c>
      <c r="E272" s="22" t="n">
        <f aca="false">Base!I241</f>
        <v>0</v>
      </c>
      <c r="F272" s="22" t="n">
        <f aca="false">D272-E272</f>
        <v>0</v>
      </c>
      <c r="G272" s="22" t="n">
        <f aca="false">Base!K241</f>
        <v>0</v>
      </c>
      <c r="H272" s="22" t="n">
        <f aca="false">D272-G272</f>
        <v>0</v>
      </c>
      <c r="I272" s="23" t="n">
        <f aca="false">IF(D272=0,0,G272/D272)</f>
        <v>0</v>
      </c>
      <c r="J272" s="21" t="str">
        <f aca="false">Base!O241</f>
        <v>Contrata</v>
      </c>
      <c r="K272" s="21" t="str">
        <f aca="false">Base!P241</f>
        <v>Sin PIM</v>
      </c>
      <c r="L272" s="22" t="n">
        <f aca="false">Base!Q241</f>
        <v>7946662</v>
      </c>
      <c r="M272" s="22" t="n">
        <f aca="false">Base!R241</f>
        <v>0</v>
      </c>
      <c r="N272" s="22" t="n">
        <f aca="false">Base!S241</f>
        <v>0</v>
      </c>
      <c r="O272" s="22" t="n">
        <f aca="false">Base!T241</f>
        <v>0</v>
      </c>
      <c r="P272" s="21" t="str">
        <f aca="false">IF(Base!U241="","",Base!U241)</f>
        <v/>
      </c>
    </row>
    <row r="273" customFormat="false" ht="32.8" hidden="false" customHeight="false" outlineLevel="0" collapsed="false">
      <c r="A273" s="20" t="n">
        <f aca="false">SUBTOTAL(103,$B$6:B273)</f>
        <v>238</v>
      </c>
      <c r="B273" s="20" t="n">
        <v>111</v>
      </c>
      <c r="C273" s="21" t="str">
        <f aca="false">Base!G242</f>
        <v>2470024: MEJORAMIENTO DEL SERVICIO DE TRANSITABILIDAD VEHICULAR A TRAVES DE PUENTES CARROZABLES EN LAS PROVINCIAS DE CARABAYA Y SANDIA DEL DEPARTAMENTO DE PUNO</v>
      </c>
      <c r="D273" s="22" t="n">
        <f aca="false">Base!H242</f>
        <v>0</v>
      </c>
      <c r="E273" s="22" t="n">
        <f aca="false">Base!I242</f>
        <v>0</v>
      </c>
      <c r="F273" s="22" t="n">
        <f aca="false">D273-E273</f>
        <v>0</v>
      </c>
      <c r="G273" s="22" t="n">
        <f aca="false">Base!K242</f>
        <v>0</v>
      </c>
      <c r="H273" s="22" t="n">
        <f aca="false">D273-G273</f>
        <v>0</v>
      </c>
      <c r="I273" s="23" t="n">
        <f aca="false">IF(D273=0,0,G273/D273)</f>
        <v>0</v>
      </c>
      <c r="J273" s="21" t="str">
        <f aca="false">Base!O242</f>
        <v>Contrata</v>
      </c>
      <c r="K273" s="21" t="str">
        <f aca="false">Base!P242</f>
        <v>Sin PIM</v>
      </c>
      <c r="L273" s="22" t="n">
        <f aca="false">Base!Q242</f>
        <v>2800000</v>
      </c>
      <c r="M273" s="22" t="n">
        <f aca="false">Base!R242</f>
        <v>0</v>
      </c>
      <c r="N273" s="22" t="n">
        <f aca="false">Base!S242</f>
        <v>0</v>
      </c>
      <c r="O273" s="22" t="n">
        <f aca="false">Base!T242</f>
        <v>0</v>
      </c>
      <c r="P273" s="21" t="str">
        <f aca="false">IF(Base!U242="","",Base!U242)</f>
        <v/>
      </c>
    </row>
    <row r="274" customFormat="false" ht="43.25" hidden="false" customHeight="false" outlineLevel="0" collapsed="false">
      <c r="A274" s="20" t="n">
        <f aca="false">SUBTOTAL(103,$B$6:B274)</f>
        <v>239</v>
      </c>
      <c r="B274" s="20" t="n">
        <v>115</v>
      </c>
      <c r="C274" s="21" t="str">
        <f aca="false">Base!G243</f>
        <v>2585398: CREACION DEL SERVICIO DE TRANSITABILIDAD VIAL INTERURBANA EN EL PUENTE CARROZABLE CAMPUCO ENTRE EL DISTRITO SANTIAGO DE PUPUJA Y ARAPA DEL DISTRITO DE SANTIAGO DE PUPUJA DE LA PROVINCIA DE AZANGARO DEL DEPARTAMENTO DE PUNO</v>
      </c>
      <c r="D274" s="22" t="n">
        <f aca="false">Base!H243</f>
        <v>100000</v>
      </c>
      <c r="E274" s="22" t="n">
        <f aca="false">Base!I243</f>
        <v>20000</v>
      </c>
      <c r="F274" s="22" t="n">
        <f aca="false">D274-E274</f>
        <v>80000</v>
      </c>
      <c r="G274" s="22" t="n">
        <f aca="false">Base!K243</f>
        <v>13772.3</v>
      </c>
      <c r="H274" s="22" t="n">
        <f aca="false">D274-G274</f>
        <v>86227.7</v>
      </c>
      <c r="I274" s="23" t="n">
        <f aca="false">IF(D274=0,0,G274/D274)</f>
        <v>0.137723</v>
      </c>
      <c r="J274" s="21" t="str">
        <f aca="false">Base!O243</f>
        <v>Expediente técnico</v>
      </c>
      <c r="K274" s="21" t="str">
        <f aca="false">Base!P243</f>
        <v>Comprometido</v>
      </c>
      <c r="L274" s="22" t="n">
        <f aca="false">Base!Q243</f>
        <v>100000</v>
      </c>
      <c r="M274" s="22" t="n">
        <f aca="false">Base!R243</f>
        <v>452541</v>
      </c>
      <c r="N274" s="22" t="n">
        <f aca="false">Base!S243</f>
        <v>0</v>
      </c>
      <c r="O274" s="22" t="n">
        <f aca="false">Base!T243</f>
        <v>1000000</v>
      </c>
      <c r="P274" s="21" t="str">
        <f aca="false">IF(Base!U243="","",Base!U243)</f>
        <v/>
      </c>
    </row>
    <row r="275" customFormat="false" ht="43.25" hidden="false" customHeight="false" outlineLevel="0" collapsed="false">
      <c r="A275" s="20" t="n">
        <f aca="false">SUBTOTAL(103,$B$6:B275)</f>
        <v>240</v>
      </c>
      <c r="B275" s="20" t="n">
        <v>117</v>
      </c>
      <c r="C275" s="21" t="str">
        <f aca="false">Base!G244</f>
        <v>2585541: CREACION DEL SERVICIO DE TRANSITABILIDAD VIAL INTERURBANA EN EL PUENTE CARROZABLE SANTA ROSA DE HUAYLLATA ENTRE LOS DISTRITOS DE ILAVE Y PILCUYO DEL DISTRITO DE ILAVE DE LA PROVINCIA DE EL COLLAO DEL DEPARTAMENTO DE PUNO</v>
      </c>
      <c r="D275" s="22" t="n">
        <f aca="false">Base!H244</f>
        <v>391951</v>
      </c>
      <c r="E275" s="22" t="n">
        <f aca="false">Base!I244</f>
        <v>130000</v>
      </c>
      <c r="F275" s="22" t="n">
        <f aca="false">D275-E275</f>
        <v>261951</v>
      </c>
      <c r="G275" s="22" t="n">
        <f aca="false">Base!K244</f>
        <v>0</v>
      </c>
      <c r="H275" s="22" t="n">
        <f aca="false">D275-G275</f>
        <v>391951</v>
      </c>
      <c r="I275" s="23" t="n">
        <f aca="false">IF(D275=0,0,G275/D275)</f>
        <v>0</v>
      </c>
      <c r="J275" s="21" t="str">
        <f aca="false">Base!O244</f>
        <v>Expediente técnico</v>
      </c>
      <c r="K275" s="21" t="str">
        <f aca="false">Base!P244</f>
        <v>Solo certificado</v>
      </c>
      <c r="L275" s="22" t="n">
        <f aca="false">Base!Q244</f>
        <v>850000</v>
      </c>
      <c r="M275" s="22" t="n">
        <f aca="false">Base!R244</f>
        <v>454257</v>
      </c>
      <c r="N275" s="22" t="n">
        <f aca="false">Base!S244</f>
        <v>0</v>
      </c>
      <c r="O275" s="22" t="n">
        <f aca="false">Base!T244</f>
        <v>1000000</v>
      </c>
      <c r="P275" s="21" t="str">
        <f aca="false">IF(Base!U244="","",Base!U244)</f>
        <v/>
      </c>
    </row>
    <row r="276" customFormat="false" ht="43.25" hidden="false" customHeight="false" outlineLevel="0" collapsed="false">
      <c r="A276" s="20" t="n">
        <f aca="false">SUBTOTAL(103,$B$6:B276)</f>
        <v>241</v>
      </c>
      <c r="B276" s="20" t="n">
        <v>118</v>
      </c>
      <c r="C276" s="21" t="str">
        <f aca="false">Base!G245</f>
        <v>2591732: MEJORAMIENTO DEL SERVICIO DE TRANSITABILIDAD VIAL INTERURBANA EN EL TRAMO DESAGUADERO (EMP PE-36C) - PUENTE CARANCAS - HUANOCOLLO DEL DISTRITO DE DESAGUADERO DE LA PROVINCIA DE CHUCUITO DEL DEPARTAMENTO DE PUNO</v>
      </c>
      <c r="D276" s="22" t="n">
        <f aca="false">Base!H245</f>
        <v>0</v>
      </c>
      <c r="E276" s="22" t="n">
        <f aca="false">Base!I245</f>
        <v>0</v>
      </c>
      <c r="F276" s="22" t="n">
        <f aca="false">D276-E276</f>
        <v>0</v>
      </c>
      <c r="G276" s="22" t="n">
        <f aca="false">Base!K245</f>
        <v>0</v>
      </c>
      <c r="H276" s="22" t="n">
        <f aca="false">D276-G276</f>
        <v>0</v>
      </c>
      <c r="I276" s="23" t="n">
        <f aca="false">IF(D276=0,0,G276/D276)</f>
        <v>0</v>
      </c>
      <c r="J276" s="21" t="str">
        <f aca="false">Base!O245</f>
        <v>Contrata</v>
      </c>
      <c r="K276" s="21" t="str">
        <f aca="false">Base!P245</f>
        <v>Sin PIM</v>
      </c>
      <c r="L276" s="22" t="n">
        <f aca="false">Base!Q245</f>
        <v>800000</v>
      </c>
      <c r="M276" s="22" t="n">
        <f aca="false">Base!R245</f>
        <v>0</v>
      </c>
      <c r="N276" s="22" t="n">
        <f aca="false">Base!S245</f>
        <v>0</v>
      </c>
      <c r="O276" s="22" t="n">
        <f aca="false">Base!T245</f>
        <v>0</v>
      </c>
      <c r="P276" s="21" t="str">
        <f aca="false">IF(Base!U245="","",Base!U245)</f>
        <v/>
      </c>
    </row>
    <row r="277" customFormat="false" ht="43.25" hidden="false" customHeight="false" outlineLevel="0" collapsed="false">
      <c r="A277" s="20" t="n">
        <f aca="false">SUBTOTAL(103,$B$6:B277)</f>
        <v>242</v>
      </c>
      <c r="B277" s="20" t="n">
        <v>120</v>
      </c>
      <c r="C277" s="21" t="str">
        <f aca="false">Base!G246</f>
        <v>2602159: MEJORAMIENTO DEL SERVICIO DE TRANSITABILIDAD VIAL INTERURBANA EN PU-138: EMP PE-34 B - PASANOCOLLO, - PUCATILLANA - EMP PU-100 (NUÑOA) DISTRITOS DE ORURILLO, NUÑOA DE LA PROVINCIA DE MELGAR DEL DEPARTAMENTO DE PUNO</v>
      </c>
      <c r="D277" s="22" t="n">
        <f aca="false">Base!H246</f>
        <v>171047</v>
      </c>
      <c r="E277" s="22" t="n">
        <f aca="false">Base!I246</f>
        <v>170547</v>
      </c>
      <c r="F277" s="22" t="n">
        <f aca="false">D277-E277</f>
        <v>500</v>
      </c>
      <c r="G277" s="22" t="n">
        <f aca="false">Base!K246</f>
        <v>142342.18</v>
      </c>
      <c r="H277" s="22" t="n">
        <f aca="false">D277-G277</f>
        <v>28704.82</v>
      </c>
      <c r="I277" s="23" t="n">
        <f aca="false">IF(D277=0,0,G277/D277)</f>
        <v>0.832181681058423</v>
      </c>
      <c r="J277" s="21" t="str">
        <f aca="false">Base!O246</f>
        <v>Expediente técnico</v>
      </c>
      <c r="K277" s="21" t="str">
        <f aca="false">Base!P246</f>
        <v>Comprometido</v>
      </c>
      <c r="L277" s="22" t="n">
        <f aca="false">Base!Q246</f>
        <v>800000</v>
      </c>
      <c r="M277" s="22" t="n">
        <f aca="false">Base!R246</f>
        <v>7856258</v>
      </c>
      <c r="N277" s="22" t="n">
        <f aca="false">Base!S246</f>
        <v>0</v>
      </c>
      <c r="O277" s="22" t="n">
        <f aca="false">Base!T246</f>
        <v>3000000</v>
      </c>
      <c r="P277" s="21" t="str">
        <f aca="false">IF(Base!U246="","",Base!U246)</f>
        <v/>
      </c>
    </row>
    <row r="278" customFormat="false" ht="74.6" hidden="false" customHeight="false" outlineLevel="0" collapsed="false">
      <c r="A278" s="20" t="n">
        <f aca="false">SUBTOTAL(103,$B$6:B278)</f>
        <v>243</v>
      </c>
      <c r="B278" s="20" t="n">
        <v>122</v>
      </c>
      <c r="C278" s="21" t="str">
        <f aca="false">Base!G247</f>
        <v>2603164: MEJORAMIENTO DEL SERVICIO DE TRANSITABILIDAD VIAL INTERURBANA EN LA CARRETERA EN EL TRAMO CHUPA (EMP. PU 114) - CALA CRUZ (EMP. PU - 811), PU 811 (CALA CRUZ)- AYRAMPUNI (EMP PU 807), PU 807 (AYRAMPUNI) - DV. AYRAMPUNI (EMP. 808), TRAMO PU 808 (DV. LLACHI: EMP. PE 34 H)-AJATIRA-CALA CALA - AZANGARO (EMP. PU 111) DISTRITOS DE CHUPA, PEDRO VILCA APAZA DE LAS PROVINCIAS DE AZANGARO, SAN ANTONIO DE PUTINA DEL DEPARTAMENTO DE PUNO</v>
      </c>
      <c r="D278" s="22" t="n">
        <f aca="false">Base!H247</f>
        <v>840279</v>
      </c>
      <c r="E278" s="22" t="n">
        <f aca="false">Base!I247</f>
        <v>668334</v>
      </c>
      <c r="F278" s="22" t="n">
        <f aca="false">D278-E278</f>
        <v>171945</v>
      </c>
      <c r="G278" s="22" t="n">
        <f aca="false">Base!K247</f>
        <v>535432.86</v>
      </c>
      <c r="H278" s="22" t="n">
        <f aca="false">D278-G278</f>
        <v>304846.14</v>
      </c>
      <c r="I278" s="23" t="n">
        <f aca="false">IF(D278=0,0,G278/D278)</f>
        <v>0.637208427200965</v>
      </c>
      <c r="J278" s="21" t="str">
        <f aca="false">Base!O247</f>
        <v>Expediente técnico</v>
      </c>
      <c r="K278" s="21" t="str">
        <f aca="false">Base!P247</f>
        <v>Comprometido</v>
      </c>
      <c r="L278" s="22" t="n">
        <f aca="false">Base!Q247</f>
        <v>800000</v>
      </c>
      <c r="M278" s="22" t="n">
        <f aca="false">Base!R247</f>
        <v>5485623</v>
      </c>
      <c r="N278" s="22" t="n">
        <f aca="false">Base!S247</f>
        <v>0</v>
      </c>
      <c r="O278" s="22" t="n">
        <f aca="false">Base!T247</f>
        <v>1000000</v>
      </c>
      <c r="P278" s="21" t="str">
        <f aca="false">IF(Base!U247="","",Base!U247)</f>
        <v/>
      </c>
    </row>
    <row r="279" customFormat="false" ht="53.7" hidden="false" customHeight="false" outlineLevel="0" collapsed="false">
      <c r="A279" s="20" t="n">
        <f aca="false">SUBTOTAL(103,$B$6:B279)</f>
        <v>244</v>
      </c>
      <c r="B279" s="20" t="n">
        <v>125</v>
      </c>
      <c r="C279" s="21" t="str">
        <f aca="false">Base!G248</f>
        <v>2603281: MEJORAMIENTO DEL SERVICIO DE TRANSITABILIDAD VIAL INTERURBANA EN LA CARRETERA PU 764: EMP PE-34B SAN SEBASTIAN - NICASIO - LARO, EMP PU 764 (LARO) - EMP PU-117 (SANTIAGO DE PUPUJA) DISTRITOS DE NICASIO, SANTIAGO DE PUPUJA DE LAS PROVINCIAS DE LAMPA, AZANGARO DEL DEPARTAMENTO DE PUNO</v>
      </c>
      <c r="D279" s="22" t="n">
        <f aca="false">Base!H248</f>
        <v>674368</v>
      </c>
      <c r="E279" s="22" t="n">
        <f aca="false">Base!I248</f>
        <v>173868</v>
      </c>
      <c r="F279" s="22" t="n">
        <f aca="false">D279-E279</f>
        <v>500500</v>
      </c>
      <c r="G279" s="22" t="n">
        <f aca="false">Base!K248</f>
        <v>97687.86</v>
      </c>
      <c r="H279" s="22" t="n">
        <f aca="false">D279-G279</f>
        <v>576680.14</v>
      </c>
      <c r="I279" s="23" t="n">
        <f aca="false">IF(D279=0,0,G279/D279)</f>
        <v>0.144858385925785</v>
      </c>
      <c r="J279" s="21" t="str">
        <f aca="false">Base!O248</f>
        <v>Contrata / Expediente técnico</v>
      </c>
      <c r="K279" s="21" t="str">
        <f aca="false">Base!P248</f>
        <v>Comprometido</v>
      </c>
      <c r="L279" s="22" t="n">
        <f aca="false">Base!Q248</f>
        <v>800000</v>
      </c>
      <c r="M279" s="22" t="n">
        <f aca="false">Base!R248</f>
        <v>8574875</v>
      </c>
      <c r="N279" s="22" t="n">
        <f aca="false">Base!S248</f>
        <v>0</v>
      </c>
      <c r="O279" s="22" t="n">
        <f aca="false">Base!T248</f>
        <v>1000000</v>
      </c>
      <c r="P279" s="21" t="str">
        <f aca="false">IF(Base!U248="","",Base!U248)</f>
        <v/>
      </c>
    </row>
    <row r="280" customFormat="false" ht="43.25" hidden="false" customHeight="false" outlineLevel="0" collapsed="false">
      <c r="A280" s="20" t="n">
        <f aca="false">SUBTOTAL(103,$B$6:B280)</f>
        <v>245</v>
      </c>
      <c r="B280" s="20" t="n">
        <v>126</v>
      </c>
      <c r="C280" s="21" t="str">
        <f aca="false">Base!G249</f>
        <v>2607527: MEJORAMIENTO DEL SERVICIO DE TRANSITABILIDAD VIAL INTERURBANA EN LA CARRETERA PU - 985 (EMP. PE - 34A; DV. CHOROMA) - C.C. COARITA, PU - 992 (C.C. COARITA) - PALCA DISTRITOS DE PARATIA, PALCA DE LA PROVINCIA DE LAMPA DEL DEPARTAMENTO DE PUNO</v>
      </c>
      <c r="D280" s="22" t="n">
        <f aca="false">Base!H249</f>
        <v>520686</v>
      </c>
      <c r="E280" s="22" t="n">
        <f aca="false">Base!I249</f>
        <v>519936</v>
      </c>
      <c r="F280" s="22" t="n">
        <f aca="false">D280-E280</f>
        <v>750</v>
      </c>
      <c r="G280" s="22" t="n">
        <f aca="false">Base!K249</f>
        <v>468290.95</v>
      </c>
      <c r="H280" s="22" t="n">
        <f aca="false">D280-G280</f>
        <v>52395.05</v>
      </c>
      <c r="I280" s="23" t="n">
        <f aca="false">IF(D280=0,0,G280/D280)</f>
        <v>0.899373038645172</v>
      </c>
      <c r="J280" s="21" t="str">
        <f aca="false">Base!O249</f>
        <v>Expediente técnico</v>
      </c>
      <c r="K280" s="21" t="str">
        <f aca="false">Base!P249</f>
        <v>Comprometido</v>
      </c>
      <c r="L280" s="22" t="n">
        <f aca="false">Base!Q249</f>
        <v>800000</v>
      </c>
      <c r="M280" s="22" t="n">
        <f aca="false">Base!R249</f>
        <v>5500000</v>
      </c>
      <c r="N280" s="22" t="n">
        <f aca="false">Base!S249</f>
        <v>0</v>
      </c>
      <c r="O280" s="22" t="n">
        <f aca="false">Base!T249</f>
        <v>1000000</v>
      </c>
      <c r="P280" s="21" t="str">
        <f aca="false">IF(Base!U249="","",Base!U249)</f>
        <v/>
      </c>
    </row>
    <row r="281" customFormat="false" ht="43.25" hidden="false" customHeight="false" outlineLevel="0" collapsed="false">
      <c r="A281" s="20" t="n">
        <f aca="false">SUBTOTAL(103,$B$6:B281)</f>
        <v>246</v>
      </c>
      <c r="B281" s="20" t="n">
        <v>127</v>
      </c>
      <c r="C281" s="21" t="str">
        <f aca="false">Base!G250</f>
        <v>2614553: MEJORAMIENTO DEL SERVICIO DE TRANSITABILIDAD VIAL INTERURBANA EN LA CARRETERA MAÑAZO PU 1077 - PU 1091, - EMP PE 34 C(LLAPAPATA - CABANILLAS) DISTRITOS DE MAÑAZO, CABANILLAS DE LAS PROVINCIAS DE PUNO, SAN ROMAN DEL DEPARTAMENTO DE PUNO</v>
      </c>
      <c r="D281" s="22" t="n">
        <f aca="false">Base!H250</f>
        <v>321536</v>
      </c>
      <c r="E281" s="22" t="n">
        <f aca="false">Base!I250</f>
        <v>319536</v>
      </c>
      <c r="F281" s="22" t="n">
        <f aca="false">D281-E281</f>
        <v>2000</v>
      </c>
      <c r="G281" s="22" t="n">
        <f aca="false">Base!K250</f>
        <v>219666.12</v>
      </c>
      <c r="H281" s="22" t="n">
        <f aca="false">D281-G281</f>
        <v>101869.88</v>
      </c>
      <c r="I281" s="23" t="n">
        <f aca="false">IF(D281=0,0,G281/D281)</f>
        <v>0.683177373606688</v>
      </c>
      <c r="J281" s="21" t="str">
        <f aca="false">Base!O250</f>
        <v>Expediente técnico</v>
      </c>
      <c r="K281" s="21" t="str">
        <f aca="false">Base!P250</f>
        <v>Comprometido</v>
      </c>
      <c r="L281" s="22" t="n">
        <f aca="false">Base!Q250</f>
        <v>157636</v>
      </c>
      <c r="M281" s="22" t="n">
        <f aca="false">Base!R250</f>
        <v>12958615</v>
      </c>
      <c r="N281" s="22" t="n">
        <f aca="false">Base!S250</f>
        <v>0</v>
      </c>
      <c r="O281" s="22" t="n">
        <f aca="false">Base!T250</f>
        <v>6000000</v>
      </c>
      <c r="P281" s="21" t="str">
        <f aca="false">IF(Base!U250="","",Base!U250)</f>
        <v/>
      </c>
    </row>
    <row r="282" customFormat="false" ht="53.7" hidden="false" customHeight="false" outlineLevel="0" collapsed="false">
      <c r="A282" s="20" t="n">
        <f aca="false">SUBTOTAL(103,$B$6:B282)</f>
        <v>247</v>
      </c>
      <c r="B282" s="20" t="n">
        <v>129</v>
      </c>
      <c r="C282" s="21" t="str">
        <f aca="false">Base!G251</f>
        <v>2645503: MEJORAMIENTO DEL SERVICIO DE TRANSITABILIDAD VIAL INTERURBANA EN LA CARRETERA PU-1040 EMP. PU 122 (VILQUE) - EMP. PU - 1039, - EMP. PU 1035 - EMP. PU 121 (CABANA) DISTRITOS DE VILQUE, CABANA DE LAS PROVINCIAS DE PUNO, SAN ROMAN DEL DEPARTAMENTO DE PUNO</v>
      </c>
      <c r="D282" s="22" t="n">
        <f aca="false">Base!H251</f>
        <v>230847</v>
      </c>
      <c r="E282" s="22" t="n">
        <f aca="false">Base!I251</f>
        <v>230597</v>
      </c>
      <c r="F282" s="22" t="n">
        <f aca="false">D282-E282</f>
        <v>250</v>
      </c>
      <c r="G282" s="22" t="n">
        <f aca="false">Base!K251</f>
        <v>178545.33</v>
      </c>
      <c r="H282" s="22" t="n">
        <f aca="false">D282-G282</f>
        <v>52301.67</v>
      </c>
      <c r="I282" s="23" t="n">
        <f aca="false">IF(D282=0,0,G282/D282)</f>
        <v>0.773435782141418</v>
      </c>
      <c r="J282" s="21" t="str">
        <f aca="false">Base!O251</f>
        <v>Expediente técnico</v>
      </c>
      <c r="K282" s="21" t="str">
        <f aca="false">Base!P251</f>
        <v>Comprometido</v>
      </c>
      <c r="L282" s="22" t="n">
        <f aca="false">Base!Q251</f>
        <v>800000</v>
      </c>
      <c r="M282" s="22" t="n">
        <f aca="false">Base!R251</f>
        <v>0</v>
      </c>
      <c r="N282" s="22" t="n">
        <f aca="false">Base!S251</f>
        <v>0</v>
      </c>
      <c r="O282" s="22" t="n">
        <f aca="false">Base!T251</f>
        <v>1000000</v>
      </c>
      <c r="P282" s="21" t="str">
        <f aca="false">IF(Base!U251="","",Base!U251)</f>
        <v/>
      </c>
    </row>
    <row r="283" customFormat="false" ht="43.25" hidden="false" customHeight="false" outlineLevel="0" collapsed="false">
      <c r="A283" s="20" t="n">
        <f aca="false">SUBTOTAL(103,$B$6:B283)</f>
        <v>248</v>
      </c>
      <c r="B283" s="20" t="n">
        <v>130</v>
      </c>
      <c r="C283" s="21" t="str">
        <f aca="false">Base!G252</f>
        <v>2646859: MEJORAMIENTO DEL SERVICIO DE TRANSITABILIDAD VIAL INTERURBANA EN LA PU - 145 (EMP. PE - 34 I: HUANCANE, - EMP. PE - 34 H: HUATASANI) DE LOS DISTRITOS DE HUANCANE, HUATASANI DE LA PROVINCIA DE HUANCANE DEL DEPARTAMENTO DE PUNO</v>
      </c>
      <c r="D283" s="22" t="n">
        <f aca="false">Base!H252</f>
        <v>349206</v>
      </c>
      <c r="E283" s="22" t="n">
        <f aca="false">Base!I252</f>
        <v>349206</v>
      </c>
      <c r="F283" s="22" t="n">
        <f aca="false">D283-E283</f>
        <v>0</v>
      </c>
      <c r="G283" s="22" t="n">
        <f aca="false">Base!K252</f>
        <v>281441.1</v>
      </c>
      <c r="H283" s="22" t="n">
        <f aca="false">D283-G283</f>
        <v>67764.9</v>
      </c>
      <c r="I283" s="23" t="n">
        <f aca="false">IF(D283=0,0,G283/D283)</f>
        <v>0.805945774127592</v>
      </c>
      <c r="J283" s="21" t="str">
        <f aca="false">Base!O252</f>
        <v>Expediente técnico</v>
      </c>
      <c r="K283" s="21" t="str">
        <f aca="false">Base!P252</f>
        <v>Comprometido</v>
      </c>
      <c r="L283" s="22" t="n">
        <f aca="false">Base!Q252</f>
        <v>800000</v>
      </c>
      <c r="M283" s="22" t="n">
        <f aca="false">Base!R252</f>
        <v>354785</v>
      </c>
      <c r="N283" s="22" t="n">
        <f aca="false">Base!S252</f>
        <v>0</v>
      </c>
      <c r="O283" s="22" t="n">
        <f aca="false">Base!T252</f>
        <v>500000</v>
      </c>
      <c r="P283" s="21" t="str">
        <f aca="false">IF(Base!U252="","",Base!U252)</f>
        <v/>
      </c>
    </row>
    <row r="284" customFormat="false" ht="43.25" hidden="false" customHeight="false" outlineLevel="0" collapsed="false">
      <c r="A284" s="20" t="n">
        <f aca="false">SUBTOTAL(103,$B$6:B284)</f>
        <v>249</v>
      </c>
      <c r="B284" s="20" t="n">
        <v>131</v>
      </c>
      <c r="C284" s="21" t="str">
        <f aca="false">Base!G253</f>
        <v>2649221: MEJORAMIENTO DEL SERVICIO DE TRANSITABILIDAD VIAL INTERURBANA EN POQUERA CHICO - QUIACA - HUERTAPATA EN EL DISTRITO DE QUIACA DE LA PROVINCIA DE SANDIA DEL DEPARTAMENTO DE PUNO</v>
      </c>
      <c r="D284" s="22" t="n">
        <f aca="false">Base!H253</f>
        <v>239379</v>
      </c>
      <c r="E284" s="22" t="n">
        <f aca="false">Base!I253</f>
        <v>211500</v>
      </c>
      <c r="F284" s="22" t="n">
        <f aca="false">D284-E284</f>
        <v>27879</v>
      </c>
      <c r="G284" s="22" t="n">
        <f aca="false">Base!K253</f>
        <v>95146.6</v>
      </c>
      <c r="H284" s="22" t="n">
        <f aca="false">D284-G284</f>
        <v>144232.4</v>
      </c>
      <c r="I284" s="23" t="n">
        <f aca="false">IF(D284=0,0,G284/D284)</f>
        <v>0.39747262708926</v>
      </c>
      <c r="J284" s="21" t="str">
        <f aca="false">Base!O253</f>
        <v>Expediente técnico</v>
      </c>
      <c r="K284" s="21" t="str">
        <f aca="false">Base!P253</f>
        <v>Comprometido</v>
      </c>
      <c r="L284" s="22" t="n">
        <f aca="false">Base!Q253</f>
        <v>500000</v>
      </c>
      <c r="M284" s="22" t="n">
        <f aca="false">Base!R253</f>
        <v>251485</v>
      </c>
      <c r="N284" s="22" t="n">
        <f aca="false">Base!S253</f>
        <v>0</v>
      </c>
      <c r="O284" s="22" t="n">
        <f aca="false">Base!T253</f>
        <v>960621</v>
      </c>
      <c r="P284" s="21" t="str">
        <f aca="false">IF(Base!U253="","",Base!U253)</f>
        <v/>
      </c>
    </row>
    <row r="285" customFormat="false" ht="53.7" hidden="false" customHeight="false" outlineLevel="0" collapsed="false">
      <c r="A285" s="20" t="n">
        <f aca="false">SUBTOTAL(103,$B$6:B285)</f>
        <v>250</v>
      </c>
      <c r="B285" s="20" t="n">
        <v>132</v>
      </c>
      <c r="C285" s="21" t="str">
        <f aca="false">Base!G254</f>
        <v>2651270: MEJORAMIENTO DEL SERVICIO DE TRANSITABILIDAD VIAL INTERURBANA EN EL TRAMO ALMOZANCHE (EMP. PU 118), - SAMUCHACA - SANTA CRUZ CAPARA -ESCALLANI (EMP. PU 118) DE LOS DISTRITOS DE COATA, PUSI DE LAS PROVINCIAS DE PUNO, HUANCANE DEL DEPARTAMENTO DE PUNO</v>
      </c>
      <c r="D285" s="22" t="n">
        <f aca="false">Base!H254</f>
        <v>118786</v>
      </c>
      <c r="E285" s="22" t="n">
        <f aca="false">Base!I254</f>
        <v>112400</v>
      </c>
      <c r="F285" s="22" t="n">
        <f aca="false">D285-E285</f>
        <v>6386</v>
      </c>
      <c r="G285" s="22" t="n">
        <f aca="false">Base!K254</f>
        <v>76261.18</v>
      </c>
      <c r="H285" s="22" t="n">
        <f aca="false">D285-G285</f>
        <v>42524.82</v>
      </c>
      <c r="I285" s="23" t="n">
        <f aca="false">IF(D285=0,0,G285/D285)</f>
        <v>0.642004781708282</v>
      </c>
      <c r="J285" s="21" t="str">
        <f aca="false">Base!O254</f>
        <v>Expediente técnico</v>
      </c>
      <c r="K285" s="21" t="str">
        <f aca="false">Base!P254</f>
        <v>Comprometido</v>
      </c>
      <c r="L285" s="22" t="n">
        <f aca="false">Base!Q254</f>
        <v>800000</v>
      </c>
      <c r="M285" s="22" t="n">
        <f aca="false">Base!R254</f>
        <v>854254</v>
      </c>
      <c r="N285" s="22" t="n">
        <f aca="false">Base!S254</f>
        <v>0</v>
      </c>
      <c r="O285" s="22" t="n">
        <f aca="false">Base!T254</f>
        <v>1000000</v>
      </c>
      <c r="P285" s="21" t="str">
        <f aca="false">IF(Base!U254="","",Base!U254)</f>
        <v/>
      </c>
    </row>
    <row r="286" customFormat="false" ht="53.7" hidden="false" customHeight="false" outlineLevel="0" collapsed="false">
      <c r="A286" s="20" t="n">
        <f aca="false">SUBTOTAL(103,$B$6:B286)</f>
        <v>251</v>
      </c>
      <c r="B286" s="20" t="n">
        <v>133</v>
      </c>
      <c r="C286" s="21" t="str">
        <f aca="false">Base!G255</f>
        <v>2651271: MEJORAMIENTO DEL SERVICIO DE TRANSITABILIDAD VIAL INTERURBANA EN EL TRAMO ALMOZANCHE (EMP PU 118) - SUCASCO - SORAZA, - COYLATA URCUNIMUNI - HATUN AYLLU (EMP PU 118) DE LOS DISTRITOS DE COATA, PUSI DE LAS PROVINCIAS DE PUNO, HUANCANE DEL DEPARTAMENTO DE PUNO</v>
      </c>
      <c r="D286" s="22" t="n">
        <f aca="false">Base!H255</f>
        <v>141416</v>
      </c>
      <c r="E286" s="22" t="n">
        <f aca="false">Base!I255</f>
        <v>130450</v>
      </c>
      <c r="F286" s="22" t="n">
        <f aca="false">D286-E286</f>
        <v>10966</v>
      </c>
      <c r="G286" s="22" t="n">
        <f aca="false">Base!K255</f>
        <v>91615.61</v>
      </c>
      <c r="H286" s="22" t="n">
        <f aca="false">D286-G286</f>
        <v>49800.39</v>
      </c>
      <c r="I286" s="23" t="n">
        <f aca="false">IF(D286=0,0,G286/D286)</f>
        <v>0.647844727612151</v>
      </c>
      <c r="J286" s="21" t="str">
        <f aca="false">Base!O255</f>
        <v>Expediente técnico</v>
      </c>
      <c r="K286" s="21" t="str">
        <f aca="false">Base!P255</f>
        <v>Comprometido</v>
      </c>
      <c r="L286" s="22" t="n">
        <f aca="false">Base!Q255</f>
        <v>583691</v>
      </c>
      <c r="M286" s="22" t="n">
        <f aca="false">Base!R255</f>
        <v>7526548</v>
      </c>
      <c r="N286" s="22" t="n">
        <f aca="false">Base!S255</f>
        <v>0</v>
      </c>
      <c r="O286" s="22" t="n">
        <f aca="false">Base!T255</f>
        <v>0</v>
      </c>
      <c r="P286" s="21" t="str">
        <f aca="false">IF(Base!U255="","",Base!U255)</f>
        <v/>
      </c>
    </row>
    <row r="287" customFormat="false" ht="43.25" hidden="false" customHeight="false" outlineLevel="0" collapsed="false">
      <c r="A287" s="20" t="n">
        <f aca="false">SUBTOTAL(103,$B$6:B287)</f>
        <v>252</v>
      </c>
      <c r="B287" s="20" t="n">
        <v>134</v>
      </c>
      <c r="C287" s="21" t="str">
        <f aca="false">Base!G256</f>
        <v>2652984: MEJORAMIENTO DEL SERVICIO DE TRANSITABILIDAD VIAL INTERURBANA EN LA CARRETERA YOROHOCO (HUACULLANI), - KELLUYO - HITO 31 DISTRITO DE HUACULLANI DE LA PROVINCIA DE CHUCUITO DEL DEPARTAMENTO DE PUNO</v>
      </c>
      <c r="D287" s="22" t="n">
        <f aca="false">Base!H256</f>
        <v>230550</v>
      </c>
      <c r="E287" s="22" t="n">
        <f aca="false">Base!I256</f>
        <v>189499</v>
      </c>
      <c r="F287" s="22" t="n">
        <f aca="false">D287-E287</f>
        <v>41051</v>
      </c>
      <c r="G287" s="22" t="n">
        <f aca="false">Base!K256</f>
        <v>146384.23</v>
      </c>
      <c r="H287" s="22" t="n">
        <f aca="false">D287-G287</f>
        <v>84165.77</v>
      </c>
      <c r="I287" s="23" t="n">
        <f aca="false">IF(D287=0,0,G287/D287)</f>
        <v>0.634934851442204</v>
      </c>
      <c r="J287" s="21" t="str">
        <f aca="false">Base!O256</f>
        <v>Expediente técnico</v>
      </c>
      <c r="K287" s="21" t="str">
        <f aca="false">Base!P256</f>
        <v>Comprometido</v>
      </c>
      <c r="L287" s="22" t="n">
        <f aca="false">Base!Q256</f>
        <v>800000</v>
      </c>
      <c r="M287" s="22" t="n">
        <f aca="false">Base!R256</f>
        <v>0</v>
      </c>
      <c r="N287" s="22" t="n">
        <f aca="false">Base!S256</f>
        <v>0</v>
      </c>
      <c r="O287" s="22" t="n">
        <f aca="false">Base!T256</f>
        <v>1000000</v>
      </c>
      <c r="P287" s="21" t="str">
        <f aca="false">IF(Base!U256="","",Base!U256)</f>
        <v/>
      </c>
    </row>
    <row r="288" customFormat="false" ht="43.25" hidden="false" customHeight="false" outlineLevel="0" collapsed="false">
      <c r="A288" s="20" t="n">
        <f aca="false">SUBTOTAL(103,$B$6:B288)</f>
        <v>253</v>
      </c>
      <c r="B288" s="20" t="n">
        <v>135</v>
      </c>
      <c r="C288" s="21" t="str">
        <f aca="false">Base!G257</f>
        <v>2653737: MEJORAMIENTO DEL SERVICIO DE TRANSITABILIDAD VIAL INTERURBANA EN LA CARRETRA PU-144 (EMP. PE-34L: SOLITARIO, - EMP. PU-115: INCHUPALLA) DE LOS DISTRITOS DE VILQUE CHICO, INCHUPALLA DE LA PROVINCIA DE HUANCANE DEL DEPARTAMENTO DE PUNO</v>
      </c>
      <c r="D288" s="22" t="n">
        <f aca="false">Base!H257</f>
        <v>490000</v>
      </c>
      <c r="E288" s="22" t="n">
        <f aca="false">Base!I257</f>
        <v>490000</v>
      </c>
      <c r="F288" s="22" t="n">
        <f aca="false">D288-E288</f>
        <v>0</v>
      </c>
      <c r="G288" s="22" t="n">
        <f aca="false">Base!K257</f>
        <v>369844.42</v>
      </c>
      <c r="H288" s="22" t="n">
        <f aca="false">D288-G288</f>
        <v>120155.58</v>
      </c>
      <c r="I288" s="23" t="n">
        <f aca="false">IF(D288=0,0,G288/D288)</f>
        <v>0.754784530612245</v>
      </c>
      <c r="J288" s="21" t="str">
        <f aca="false">Base!O257</f>
        <v>Expediente técnico</v>
      </c>
      <c r="K288" s="21" t="str">
        <f aca="false">Base!P257</f>
        <v>Comprometido</v>
      </c>
      <c r="L288" s="22" t="n">
        <f aca="false">Base!Q257</f>
        <v>50000</v>
      </c>
      <c r="M288" s="22" t="n">
        <f aca="false">Base!R257</f>
        <v>0</v>
      </c>
      <c r="N288" s="22" t="n">
        <f aca="false">Base!S257</f>
        <v>0</v>
      </c>
      <c r="O288" s="22" t="n">
        <f aca="false">Base!T257</f>
        <v>0</v>
      </c>
      <c r="P288" s="21" t="str">
        <f aca="false">IF(Base!U257="","",Base!U257)</f>
        <v/>
      </c>
    </row>
    <row r="289" customFormat="false" ht="53.7" hidden="false" customHeight="false" outlineLevel="0" collapsed="false">
      <c r="A289" s="20" t="n">
        <f aca="false">SUBTOTAL(103,$B$6:B289)</f>
        <v>254</v>
      </c>
      <c r="B289" s="20" t="n">
        <v>136</v>
      </c>
      <c r="C289" s="21" t="str">
        <f aca="false">Base!G258</f>
        <v>2653926: MEJORAMIENTO DEL SERVICIO DE TRANSITABILIDAD VIAL INTERURBANA EN LA CARRETERA PU 672 (EMP PE 3S-PTE. SANTA ROSA) - QUISHUARA - SANTA CRUZ- PU 673 (SANTA CRUZ-EMP. PU 680), PU 683 (MACARI, - LLALLI) DE LOS DISTRITOS DE MACARI, CUPI DE LA PROVINCIA DE MELGAR DEL DEPARTAMENTO DE PUNO</v>
      </c>
      <c r="D289" s="22" t="n">
        <f aca="false">Base!H258</f>
        <v>0</v>
      </c>
      <c r="E289" s="22" t="n">
        <f aca="false">Base!I258</f>
        <v>0</v>
      </c>
      <c r="F289" s="22" t="n">
        <f aca="false">D289-E289</f>
        <v>0</v>
      </c>
      <c r="G289" s="22" t="n">
        <f aca="false">Base!K258</f>
        <v>0</v>
      </c>
      <c r="H289" s="22" t="n">
        <f aca="false">D289-G289</f>
        <v>0</v>
      </c>
      <c r="I289" s="23" t="n">
        <f aca="false">IF(D289=0,0,G289/D289)</f>
        <v>0</v>
      </c>
      <c r="J289" s="21" t="str">
        <f aca="false">Base!O258</f>
        <v>Contrata</v>
      </c>
      <c r="K289" s="21" t="str">
        <f aca="false">Base!P258</f>
        <v>Sin PIM</v>
      </c>
      <c r="L289" s="22" t="n">
        <f aca="false">Base!Q258</f>
        <v>67202</v>
      </c>
      <c r="M289" s="22" t="n">
        <f aca="false">Base!R258</f>
        <v>0</v>
      </c>
      <c r="N289" s="22" t="n">
        <f aca="false">Base!S258</f>
        <v>5000000</v>
      </c>
      <c r="O289" s="22" t="n">
        <f aca="false">Base!T258</f>
        <v>0</v>
      </c>
      <c r="P289" s="21" t="str">
        <f aca="false">IF(Base!U258="","",Base!U258)</f>
        <v/>
      </c>
    </row>
    <row r="290" customFormat="false" ht="53.7" hidden="false" customHeight="false" outlineLevel="0" collapsed="false">
      <c r="A290" s="20" t="n">
        <f aca="false">SUBTOTAL(103,$B$6:B290)</f>
        <v>255</v>
      </c>
      <c r="B290" s="20" t="n">
        <v>137</v>
      </c>
      <c r="C290" s="21" t="str">
        <f aca="false">Base!G259</f>
        <v>2654509: MEJORAMIENTO DEL SERVICIO DE TRANSITABILIDAD VIAL INTERURBANA EN LA CARRETERA PU 141: EMP. PU-111 (DV CAMBRIA) - CAMBRIA, - EMP PU - 112 (DV COLLPANI) DE LOS DISTRITOS DE PUTINA, MUÑANI DE LAS PROVINCIAS DE SAN ANTONIO DE PUTINA, AZANGARO DEL DEPARTAMENTO DE PUNO</v>
      </c>
      <c r="D290" s="22" t="n">
        <f aca="false">Base!H259</f>
        <v>601668</v>
      </c>
      <c r="E290" s="22" t="n">
        <f aca="false">Base!I259</f>
        <v>584518</v>
      </c>
      <c r="F290" s="22" t="n">
        <f aca="false">D290-E290</f>
        <v>17150</v>
      </c>
      <c r="G290" s="22" t="n">
        <f aca="false">Base!K259</f>
        <v>242760.63</v>
      </c>
      <c r="H290" s="22" t="n">
        <f aca="false">D290-G290</f>
        <v>358907.37</v>
      </c>
      <c r="I290" s="23" t="n">
        <f aca="false">IF(D290=0,0,G290/D290)</f>
        <v>0.40347937733102</v>
      </c>
      <c r="J290" s="21" t="str">
        <f aca="false">Base!O259</f>
        <v>Expediente técnico</v>
      </c>
      <c r="K290" s="21" t="str">
        <f aca="false">Base!P259</f>
        <v>Comprometido</v>
      </c>
      <c r="L290" s="22" t="n">
        <f aca="false">Base!Q259</f>
        <v>50000</v>
      </c>
      <c r="M290" s="22" t="n">
        <f aca="false">Base!R259</f>
        <v>348574</v>
      </c>
      <c r="N290" s="22" t="n">
        <f aca="false">Base!S259</f>
        <v>0</v>
      </c>
      <c r="O290" s="22" t="n">
        <f aca="false">Base!T259</f>
        <v>800000</v>
      </c>
      <c r="P290" s="21" t="str">
        <f aca="false">IF(Base!U259="","",Base!U259)</f>
        <v/>
      </c>
    </row>
    <row r="291" customFormat="false" ht="53.7" hidden="false" customHeight="false" outlineLevel="0" collapsed="false">
      <c r="A291" s="20" t="n">
        <f aca="false">SUBTOTAL(103,$B$6:B291)</f>
        <v>256</v>
      </c>
      <c r="B291" s="20" t="n">
        <v>138</v>
      </c>
      <c r="C291" s="21" t="str">
        <f aca="false">Base!G260</f>
        <v>2654549: MEJORAMIENTO DEL SERVICIO DE TRANSITABILIDAD VIAL INTERURBANA EN LA CARRETERA PU-1376 (EMP PE-38 - CUIPACUIPA) - CUIPACUIPA - EMP PU - 132 (FRONTERA CON TACNA) DEL DISTRITO DE SANTA ROSA DE LA PROVINCIA DE EL COLLAO DEL DEPARTAMENTO DE PUNO</v>
      </c>
      <c r="D291" s="22" t="n">
        <f aca="false">Base!H260</f>
        <v>870779</v>
      </c>
      <c r="E291" s="22" t="n">
        <f aca="false">Base!I260</f>
        <v>870779</v>
      </c>
      <c r="F291" s="22" t="n">
        <f aca="false">D291-E291</f>
        <v>0</v>
      </c>
      <c r="G291" s="22" t="n">
        <f aca="false">Base!K260</f>
        <v>391730.07</v>
      </c>
      <c r="H291" s="22" t="n">
        <f aca="false">D291-G291</f>
        <v>479048.93</v>
      </c>
      <c r="I291" s="23" t="n">
        <f aca="false">IF(D291=0,0,G291/D291)</f>
        <v>0.449861641128231</v>
      </c>
      <c r="J291" s="21" t="str">
        <f aca="false">Base!O260</f>
        <v>Expediente técnico</v>
      </c>
      <c r="K291" s="21" t="str">
        <f aca="false">Base!P260</f>
        <v>Comprometido</v>
      </c>
      <c r="L291" s="22" t="n">
        <f aca="false">Base!Q260</f>
        <v>50000</v>
      </c>
      <c r="M291" s="22" t="n">
        <f aca="false">Base!R260</f>
        <v>0</v>
      </c>
      <c r="N291" s="22" t="n">
        <f aca="false">Base!S260</f>
        <v>0</v>
      </c>
      <c r="O291" s="22" t="n">
        <f aca="false">Base!T260</f>
        <v>1000000</v>
      </c>
      <c r="P291" s="21" t="str">
        <f aca="false">IF(Base!U260="","",Base!U260)</f>
        <v/>
      </c>
    </row>
    <row r="292" customFormat="false" ht="43.25" hidden="false" customHeight="false" outlineLevel="0" collapsed="false">
      <c r="A292" s="20" t="n">
        <f aca="false">SUBTOTAL(103,$B$6:B292)</f>
        <v>257</v>
      </c>
      <c r="B292" s="20" t="n">
        <v>139</v>
      </c>
      <c r="C292" s="21" t="str">
        <f aca="false">Base!G261</f>
        <v>2655389: CREACION DEL SERVICIO DE TRANSITABILIDAD VIAL INTERURBANA EN EL PUENTE CHOQUENASA DE LA CARRETERA PU-1243 DEL DISTRITO DE ILAVE DE LA PROVINCIA DE EL COLLAO DEL DEPARTAMENTO DE PUNO</v>
      </c>
      <c r="D292" s="22" t="n">
        <f aca="false">Base!H261</f>
        <v>101523</v>
      </c>
      <c r="E292" s="22" t="n">
        <f aca="false">Base!I261</f>
        <v>99920.24</v>
      </c>
      <c r="F292" s="22" t="n">
        <f aca="false">D292-E292</f>
        <v>1602.75999999999</v>
      </c>
      <c r="G292" s="22" t="n">
        <f aca="false">Base!K261</f>
        <v>99920.24</v>
      </c>
      <c r="H292" s="22" t="n">
        <f aca="false">D292-G292</f>
        <v>1602.75999999999</v>
      </c>
      <c r="I292" s="23" t="n">
        <f aca="false">IF(D292=0,0,G292/D292)</f>
        <v>0.9842128384701</v>
      </c>
      <c r="J292" s="21" t="str">
        <f aca="false">Base!O261</f>
        <v>Expediente técnico</v>
      </c>
      <c r="K292" s="21" t="str">
        <f aca="false">Base!P261</f>
        <v>Comprometido</v>
      </c>
      <c r="L292" s="22" t="n">
        <f aca="false">Base!Q261</f>
        <v>50000</v>
      </c>
      <c r="M292" s="22" t="n">
        <f aca="false">Base!R261</f>
        <v>2859865</v>
      </c>
      <c r="N292" s="22" t="n">
        <f aca="false">Base!S261</f>
        <v>0</v>
      </c>
      <c r="O292" s="22" t="n">
        <f aca="false">Base!T261</f>
        <v>2881732</v>
      </c>
      <c r="P292" s="21" t="str">
        <f aca="false">IF(Base!U261="","",Base!U261)</f>
        <v/>
      </c>
    </row>
    <row r="293" customFormat="false" ht="64.15" hidden="false" customHeight="false" outlineLevel="0" collapsed="false">
      <c r="A293" s="20" t="n">
        <f aca="false">SUBTOTAL(103,$B$6:B293)</f>
        <v>258</v>
      </c>
      <c r="B293" s="20" t="n">
        <v>140</v>
      </c>
      <c r="C293" s="21" t="str">
        <f aca="false">Base!G262</f>
        <v>2656599: MEJORAMIENTO DEL SERVICIO DE TRANSITABILIDAD VIAL INTERURBANA EN LA CARRETERA TRAMO I: PU-142 (EMP PE 34 H: DV ALBARIZANI - EMP PE 34 L: TRAPICHE), TRAMO II: PU 598 (EMP PE 34L: TRAPICHE-EMP PU 109: IZCAY CRUZ) DE LOS DISTRITOS DE QUILCAPUNCU, ANANEA DE LA PROVINCIA DE SAN ANTONIO DE PUTINA DEL DEPARTAMENTO DE PUNO</v>
      </c>
      <c r="D293" s="22" t="n">
        <f aca="false">Base!H262</f>
        <v>0</v>
      </c>
      <c r="E293" s="22" t="n">
        <f aca="false">Base!I262</f>
        <v>0</v>
      </c>
      <c r="F293" s="22" t="n">
        <f aca="false">D293-E293</f>
        <v>0</v>
      </c>
      <c r="G293" s="22" t="n">
        <f aca="false">Base!K262</f>
        <v>0</v>
      </c>
      <c r="H293" s="22" t="n">
        <f aca="false">D293-G293</f>
        <v>0</v>
      </c>
      <c r="I293" s="23" t="n">
        <f aca="false">IF(D293=0,0,G293/D293)</f>
        <v>0</v>
      </c>
      <c r="J293" s="21" t="str">
        <f aca="false">Base!O262</f>
        <v>Contrata</v>
      </c>
      <c r="K293" s="21" t="str">
        <f aca="false">Base!P262</f>
        <v>Sin PIM</v>
      </c>
      <c r="L293" s="22" t="n">
        <f aca="false">Base!Q262</f>
        <v>800000</v>
      </c>
      <c r="M293" s="22" t="n">
        <f aca="false">Base!R262</f>
        <v>0</v>
      </c>
      <c r="N293" s="22" t="n">
        <f aca="false">Base!S262</f>
        <v>0</v>
      </c>
      <c r="O293" s="22" t="n">
        <f aca="false">Base!T262</f>
        <v>2500000</v>
      </c>
      <c r="P293" s="21" t="str">
        <f aca="false">IF(Base!U262="","",Base!U262)</f>
        <v/>
      </c>
    </row>
    <row r="294" customFormat="false" ht="43.25" hidden="false" customHeight="false" outlineLevel="0" collapsed="false">
      <c r="A294" s="20" t="n">
        <f aca="false">SUBTOTAL(103,$B$6:B294)</f>
        <v>259</v>
      </c>
      <c r="B294" s="20" t="n">
        <v>141</v>
      </c>
      <c r="C294" s="21" t="str">
        <f aca="false">Base!G263</f>
        <v>2656878: MEJORAMIENTO DEL SERVICIO DE TRANSITABILIDAD VIAL INTERURBANA EN LA CARRETERA PU 535(COASA - TAMBILLO), - PU 534 (EMP PU 100 -TAYACUCHO - TAMBILLO) DE LOS DISTRITOS DE COASA, ITUATA DE LA PROVINCIA DE CARABAYA DEL DEPARTAMENTO DE PUNO</v>
      </c>
      <c r="D294" s="22" t="n">
        <f aca="false">Base!H263</f>
        <v>300000</v>
      </c>
      <c r="E294" s="22" t="n">
        <f aca="false">Base!I263</f>
        <v>300000</v>
      </c>
      <c r="F294" s="22" t="n">
        <f aca="false">D294-E294</f>
        <v>0</v>
      </c>
      <c r="G294" s="22" t="n">
        <f aca="false">Base!K263</f>
        <v>0</v>
      </c>
      <c r="H294" s="22" t="n">
        <f aca="false">D294-G294</f>
        <v>300000</v>
      </c>
      <c r="I294" s="23" t="n">
        <f aca="false">IF(D294=0,0,G294/D294)</f>
        <v>0</v>
      </c>
      <c r="J294" s="21" t="str">
        <f aca="false">Base!O263</f>
        <v>Expediente técnico</v>
      </c>
      <c r="K294" s="21" t="str">
        <f aca="false">Base!P263</f>
        <v>Comprometido</v>
      </c>
      <c r="L294" s="22" t="n">
        <f aca="false">Base!Q263</f>
        <v>50000</v>
      </c>
      <c r="M294" s="22" t="n">
        <f aca="false">Base!R263</f>
        <v>200000</v>
      </c>
      <c r="N294" s="22" t="n">
        <f aca="false">Base!S263</f>
        <v>0</v>
      </c>
      <c r="O294" s="22" t="n">
        <f aca="false">Base!T263</f>
        <v>2000000</v>
      </c>
      <c r="P294" s="21" t="str">
        <f aca="false">IF(Base!U263="","",Base!U263)</f>
        <v/>
      </c>
    </row>
    <row r="295" customFormat="false" ht="64.15" hidden="false" customHeight="false" outlineLevel="0" collapsed="false">
      <c r="A295" s="20" t="n">
        <f aca="false">SUBTOTAL(103,$B$6:B295)</f>
        <v>260</v>
      </c>
      <c r="B295" s="20" t="n">
        <v>142</v>
      </c>
      <c r="C295" s="21" t="str">
        <f aca="false">Base!G264</f>
        <v>2657159: MEJORAMIENTO DEL SERVICIO DE TRANSITABILIDAD VIAL INTERURBANA EN LA CARRETERA PU-1139 (EMP. PU-1138: ACORA - EMP. PU-1143), PU-1143 (EMP. PU-1139 - EMP. PU-1144), PU-1144 (EMP. PU-1143 - EMP. PU-1145), PU-1145 (EMP. PU-1144 - HUARICONSE), PU-1148 (HUARICONSE - ILAVE) DE LOS DISTRITOS DE ACORA, ILAVE DE LAS PROVINCIAS DE PUNO, EL COLLAO DEL DEPARTAMENTO DE PUNO</v>
      </c>
      <c r="D295" s="22" t="n">
        <f aca="false">Base!H264</f>
        <v>330710</v>
      </c>
      <c r="E295" s="22" t="n">
        <f aca="false">Base!I264</f>
        <v>282398.95</v>
      </c>
      <c r="F295" s="22" t="n">
        <f aca="false">D295-E295</f>
        <v>48311.05</v>
      </c>
      <c r="G295" s="22" t="n">
        <f aca="false">Base!K264</f>
        <v>191886.54</v>
      </c>
      <c r="H295" s="22" t="n">
        <f aca="false">D295-G295</f>
        <v>138823.46</v>
      </c>
      <c r="I295" s="23" t="n">
        <f aca="false">IF(D295=0,0,G295/D295)</f>
        <v>0.580225998609053</v>
      </c>
      <c r="J295" s="21" t="str">
        <f aca="false">Base!O264</f>
        <v>Expediente técnico</v>
      </c>
      <c r="K295" s="21" t="str">
        <f aca="false">Base!P264</f>
        <v>Comprometido</v>
      </c>
      <c r="L295" s="22" t="n">
        <f aca="false">Base!Q264</f>
        <v>50000</v>
      </c>
      <c r="M295" s="22" t="n">
        <f aca="false">Base!R264</f>
        <v>358745</v>
      </c>
      <c r="N295" s="22" t="n">
        <f aca="false">Base!S264</f>
        <v>0</v>
      </c>
      <c r="O295" s="22" t="n">
        <f aca="false">Base!T264</f>
        <v>200000</v>
      </c>
      <c r="P295" s="21" t="str">
        <f aca="false">IF(Base!U264="","",Base!U264)</f>
        <v/>
      </c>
    </row>
    <row r="296" customFormat="false" ht="32.8" hidden="false" customHeight="false" outlineLevel="0" collapsed="false">
      <c r="A296" s="20" t="n">
        <f aca="false">SUBTOTAL(103,$B$6:B296)</f>
        <v>261</v>
      </c>
      <c r="B296" s="20" t="n">
        <v>143</v>
      </c>
      <c r="C296" s="21" t="str">
        <f aca="false">Base!G265</f>
        <v>2657484: CONSTRUCCION DE PUENTE; EN EL(LA) CARRETERA PU-111 (PUENTE TINTIRI) DEL DISTRITO DE AZANGARO, PROVINCIA AZANGARO, DEPARTAMENTO PUNO</v>
      </c>
      <c r="D296" s="22" t="n">
        <f aca="false">Base!H265</f>
        <v>50000</v>
      </c>
      <c r="E296" s="22" t="n">
        <f aca="false">Base!I265</f>
        <v>49980</v>
      </c>
      <c r="F296" s="22" t="n">
        <f aca="false">D296-E296</f>
        <v>20</v>
      </c>
      <c r="G296" s="22" t="n">
        <f aca="false">Base!K265</f>
        <v>49974.77</v>
      </c>
      <c r="H296" s="22" t="n">
        <f aca="false">D296-G296</f>
        <v>25.2300000000032</v>
      </c>
      <c r="I296" s="23" t="n">
        <f aca="false">IF(D296=0,0,G296/D296)</f>
        <v>0.9994954</v>
      </c>
      <c r="J296" s="21" t="str">
        <f aca="false">Base!O265</f>
        <v>Expediente técnico</v>
      </c>
      <c r="K296" s="21" t="str">
        <f aca="false">Base!P265</f>
        <v>Comprometido</v>
      </c>
      <c r="L296" s="22" t="n">
        <f aca="false">Base!Q265</f>
        <v>50000</v>
      </c>
      <c r="M296" s="22" t="n">
        <f aca="false">Base!R265</f>
        <v>1143284</v>
      </c>
      <c r="N296" s="22" t="n">
        <f aca="false">Base!S265</f>
        <v>37381</v>
      </c>
      <c r="O296" s="22" t="n">
        <f aca="false">Base!T265</f>
        <v>0</v>
      </c>
      <c r="P296" s="21" t="str">
        <f aca="false">IF(Base!U265="","",Base!U265)</f>
        <v/>
      </c>
    </row>
    <row r="297" customFormat="false" ht="64.15" hidden="false" customHeight="false" outlineLevel="0" collapsed="false">
      <c r="A297" s="20" t="n">
        <f aca="false">SUBTOTAL(103,$B$6:B297)</f>
        <v>262</v>
      </c>
      <c r="B297" s="20" t="n">
        <v>144</v>
      </c>
      <c r="C297" s="21" t="str">
        <f aca="false">Base!G266</f>
        <v>2657867: MEJORAMIENTO DEL SERVICIO DE TRANSITABILIDAD VIAL INTERURBANA EN LA CARRETERA PU-870(OCCOPAMPA - EMP. PU-873) - PU-873(EMP. PU-870 - EMP. PU-110: JACHA POMAOCA), PU-890(EMP. PU-110:POMAOCA - EMP. PU-889) - PU-889 (EMP.PU-890 - PACCHANI) - MUÑANI(LIMITE CON BOLIVIA) DISTRITO DE MOHO DE LA PROVINCIA DE MOHO DEL DEPARTAMENTO DE PUNO</v>
      </c>
      <c r="D297" s="22" t="n">
        <f aca="false">Base!H266</f>
        <v>278409</v>
      </c>
      <c r="E297" s="22" t="n">
        <f aca="false">Base!I266</f>
        <v>278409</v>
      </c>
      <c r="F297" s="22" t="n">
        <f aca="false">D297-E297</f>
        <v>0</v>
      </c>
      <c r="G297" s="22" t="n">
        <f aca="false">Base!K266</f>
        <v>202805.9</v>
      </c>
      <c r="H297" s="22" t="n">
        <f aca="false">D297-G297</f>
        <v>75603.1</v>
      </c>
      <c r="I297" s="23" t="n">
        <f aca="false">IF(D297=0,0,G297/D297)</f>
        <v>0.728445919492545</v>
      </c>
      <c r="J297" s="21" t="str">
        <f aca="false">Base!O266</f>
        <v>Expediente técnico</v>
      </c>
      <c r="K297" s="21" t="str">
        <f aca="false">Base!P266</f>
        <v>Comprometido</v>
      </c>
      <c r="L297" s="22" t="n">
        <f aca="false">Base!Q266</f>
        <v>50000</v>
      </c>
      <c r="M297" s="22" t="n">
        <f aca="false">Base!R266</f>
        <v>385474</v>
      </c>
      <c r="N297" s="22" t="n">
        <f aca="false">Base!S266</f>
        <v>0</v>
      </c>
      <c r="O297" s="22" t="n">
        <f aca="false">Base!T266</f>
        <v>5626284</v>
      </c>
      <c r="P297" s="21" t="str">
        <f aca="false">IF(Base!U266="","",Base!U266)</f>
        <v/>
      </c>
    </row>
    <row r="298" customFormat="false" ht="64.15" hidden="false" customHeight="false" outlineLevel="0" collapsed="false">
      <c r="A298" s="20" t="n">
        <f aca="false">SUBTOTAL(103,$B$6:B298)</f>
        <v>263</v>
      </c>
      <c r="B298" s="20" t="n">
        <v>145</v>
      </c>
      <c r="C298" s="21" t="str">
        <f aca="false">Base!G267</f>
        <v>2657953: MEJORAMIENTO DEL SERVICIO DE TRANSITABILIDAD VIAL INTERURBANA EN LA CARRETERA PU 1247 - PU 1244 (CHIJICHAYA - MULLA ANCARANI) - PU 1246 (MULLA ANCARANI - EMP. PU - 1250) - PU 1250 (CANGALLI - WENCASI), - PU 1251 (WENCASI - CONDURIRI) - PU 1260 (CONDURIRI - EMP. PE - 36 A) DE LOS DISTRITOS DE ILAVE, CONDURIRI DE LA PROVINCIA DE EL COLLAO DEL DEPARTAMENTO DE PUNO</v>
      </c>
      <c r="D298" s="22" t="n">
        <f aca="false">Base!H267</f>
        <v>390297</v>
      </c>
      <c r="E298" s="22" t="n">
        <f aca="false">Base!I267</f>
        <v>389428.6</v>
      </c>
      <c r="F298" s="22" t="n">
        <f aca="false">D298-E298</f>
        <v>868.400000000023</v>
      </c>
      <c r="G298" s="22" t="n">
        <f aca="false">Base!K267</f>
        <v>251034.11</v>
      </c>
      <c r="H298" s="22" t="n">
        <f aca="false">D298-G298</f>
        <v>139262.89</v>
      </c>
      <c r="I298" s="23" t="n">
        <f aca="false">IF(D298=0,0,G298/D298)</f>
        <v>0.643187393190314</v>
      </c>
      <c r="J298" s="21" t="str">
        <f aca="false">Base!O267</f>
        <v>Expediente técnico</v>
      </c>
      <c r="K298" s="21" t="str">
        <f aca="false">Base!P267</f>
        <v>Comprometido</v>
      </c>
      <c r="L298" s="22" t="n">
        <f aca="false">Base!Q267</f>
        <v>50000</v>
      </c>
      <c r="M298" s="22" t="n">
        <f aca="false">Base!R267</f>
        <v>0</v>
      </c>
      <c r="N298" s="22" t="n">
        <f aca="false">Base!S267</f>
        <v>0</v>
      </c>
      <c r="O298" s="22" t="n">
        <f aca="false">Base!T267</f>
        <v>1000000</v>
      </c>
      <c r="P298" s="21" t="str">
        <f aca="false">IF(Base!U267="","",Base!U267)</f>
        <v/>
      </c>
    </row>
    <row r="299" customFormat="false" ht="43.25" hidden="false" customHeight="false" outlineLevel="0" collapsed="false">
      <c r="A299" s="20" t="n">
        <f aca="false">SUBTOTAL(103,$B$6:B299)</f>
        <v>264</v>
      </c>
      <c r="B299" s="20" t="n">
        <v>146</v>
      </c>
      <c r="C299" s="21" t="str">
        <f aca="false">Base!G268</f>
        <v>2661648: CREACION DEL SERVICIO DE TRANSITABILIDAD VIAL INTERURBANA EN EL PUENTE COLGANTE PEATONAL DE CENTRO POBLADO COHASIA DISTRITO DE HUANCANE DE LA PROVINCIA DE HUANCANE DEL DEPARTAMENTO DE PUNO</v>
      </c>
      <c r="D299" s="22" t="n">
        <f aca="false">Base!H268</f>
        <v>159651</v>
      </c>
      <c r="E299" s="22" t="n">
        <f aca="false">Base!I268</f>
        <v>151653</v>
      </c>
      <c r="F299" s="22" t="n">
        <f aca="false">D299-E299</f>
        <v>7998</v>
      </c>
      <c r="G299" s="22" t="n">
        <f aca="false">Base!K268</f>
        <v>12000</v>
      </c>
      <c r="H299" s="22" t="n">
        <f aca="false">D299-G299</f>
        <v>147651</v>
      </c>
      <c r="I299" s="23" t="n">
        <f aca="false">IF(D299=0,0,G299/D299)</f>
        <v>0.0751639513689235</v>
      </c>
      <c r="J299" s="21" t="str">
        <f aca="false">Base!O268</f>
        <v>Expediente técnico</v>
      </c>
      <c r="K299" s="21" t="str">
        <f aca="false">Base!P268</f>
        <v>Comprometido</v>
      </c>
      <c r="L299" s="22" t="n">
        <f aca="false">Base!Q268</f>
        <v>50000</v>
      </c>
      <c r="M299" s="22" t="n">
        <f aca="false">Base!R268</f>
        <v>185425</v>
      </c>
      <c r="N299" s="22" t="n">
        <f aca="false">Base!S268</f>
        <v>500000</v>
      </c>
      <c r="O299" s="22" t="n">
        <f aca="false">Base!T268</f>
        <v>1077676</v>
      </c>
      <c r="P299" s="21" t="str">
        <f aca="false">IF(Base!U268="","",Base!U268)</f>
        <v/>
      </c>
    </row>
    <row r="300" customFormat="false" ht="53.7" hidden="false" customHeight="false" outlineLevel="0" collapsed="false">
      <c r="A300" s="20" t="n">
        <f aca="false">SUBTOTAL(103,$B$6:B300)</f>
        <v>265</v>
      </c>
      <c r="B300" s="20" t="n">
        <v>147</v>
      </c>
      <c r="C300" s="21" t="str">
        <f aca="false">Base!G269</f>
        <v>2661660: MEJORAMIENTO DEL SERVICIO DE TRANSITABILIDAD VIAL INTERURBANA EN LA CARRETERA DESAGUADERO - LLALLAHUA, - VISTA ALEGRE - CHIMU - ANCOPUTO - ALTO PATACOLLO - HUAPACA SAN MIGUEL DE LOS DISTRITOS DE DESAGUADERO, ZEPITA DE LA PROVINCIA DE CHUCUITO DEL DEPARTAMENTO DE PUNO</v>
      </c>
      <c r="D300" s="22" t="n">
        <f aca="false">Base!H269</f>
        <v>703231</v>
      </c>
      <c r="E300" s="22" t="n">
        <f aca="false">Base!I269</f>
        <v>681293</v>
      </c>
      <c r="F300" s="22" t="n">
        <f aca="false">D300-E300</f>
        <v>21938</v>
      </c>
      <c r="G300" s="22" t="n">
        <f aca="false">Base!K269</f>
        <v>575338.63</v>
      </c>
      <c r="H300" s="22" t="n">
        <f aca="false">D300-G300</f>
        <v>127892.37</v>
      </c>
      <c r="I300" s="23" t="n">
        <f aca="false">IF(D300=0,0,G300/D300)</f>
        <v>0.818136046334704</v>
      </c>
      <c r="J300" s="21" t="str">
        <f aca="false">Base!O269</f>
        <v>Expediente técnico</v>
      </c>
      <c r="K300" s="21" t="str">
        <f aca="false">Base!P269</f>
        <v>Comprometido</v>
      </c>
      <c r="L300" s="22" t="n">
        <f aca="false">Base!Q269</f>
        <v>50000</v>
      </c>
      <c r="M300" s="22" t="n">
        <f aca="false">Base!R269</f>
        <v>5548752</v>
      </c>
      <c r="N300" s="22" t="n">
        <f aca="false">Base!S269</f>
        <v>0</v>
      </c>
      <c r="O300" s="22" t="n">
        <f aca="false">Base!T269</f>
        <v>1000000</v>
      </c>
      <c r="P300" s="21" t="str">
        <f aca="false">IF(Base!U269="","",Base!U269)</f>
        <v/>
      </c>
    </row>
    <row r="301" customFormat="false" ht="64.15" hidden="false" customHeight="false" outlineLevel="0" collapsed="false">
      <c r="A301" s="20" t="n">
        <f aca="false">SUBTOTAL(103,$B$6:B301)</f>
        <v>266</v>
      </c>
      <c r="B301" s="20" t="n">
        <v>148</v>
      </c>
      <c r="C301" s="21" t="str">
        <f aca="false">Base!G270</f>
        <v>2666182: 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v>
      </c>
      <c r="D301" s="22" t="n">
        <f aca="false">Base!H270</f>
        <v>0</v>
      </c>
      <c r="E301" s="22" t="n">
        <f aca="false">Base!I270</f>
        <v>0</v>
      </c>
      <c r="F301" s="22" t="n">
        <f aca="false">D301-E301</f>
        <v>0</v>
      </c>
      <c r="G301" s="22" t="n">
        <f aca="false">Base!K270</f>
        <v>0</v>
      </c>
      <c r="H301" s="22" t="n">
        <f aca="false">D301-G301</f>
        <v>0</v>
      </c>
      <c r="I301" s="23" t="n">
        <f aca="false">IF(D301=0,0,G301/D301)</f>
        <v>0</v>
      </c>
      <c r="J301" s="21" t="str">
        <f aca="false">Base!O270</f>
        <v>Contrata</v>
      </c>
      <c r="K301" s="21" t="str">
        <f aca="false">Base!P270</f>
        <v>Sin PIM</v>
      </c>
      <c r="L301" s="22" t="n">
        <f aca="false">Base!Q270</f>
        <v>50000</v>
      </c>
      <c r="M301" s="22" t="n">
        <f aca="false">Base!R270</f>
        <v>0</v>
      </c>
      <c r="N301" s="22" t="n">
        <f aca="false">Base!S270</f>
        <v>0</v>
      </c>
      <c r="O301" s="22" t="n">
        <f aca="false">Base!T270</f>
        <v>500000</v>
      </c>
      <c r="P301" s="21" t="str">
        <f aca="false">IF(Base!U270="","",Base!U270)</f>
        <v/>
      </c>
    </row>
    <row r="302" customFormat="false" ht="53.7" hidden="false" customHeight="false" outlineLevel="0" collapsed="false">
      <c r="A302" s="20" t="n">
        <f aca="false">SUBTOTAL(103,$B$6:B302)</f>
        <v>267</v>
      </c>
      <c r="B302" s="20" t="n">
        <v>149</v>
      </c>
      <c r="C302" s="21" t="str">
        <f aca="false">Base!G271</f>
        <v>2670620: MEJORAMIENTO DEL SERVICIO DE TRANSITABILIDAD VIAL INTERURBANA EN LA CARRETERA JOSE DOMINGO CHOQUEHUANCA - QUEQUERANA, - PRIMER CHIMPA JILAHUATA - DV CAYRAHUIRE DE LOS DISTRITOS DE JOSE DOMINGO CHOQUEHUANCA, AZANGARO DE LA PROVINCIA DE AZANGARO DEL DEPARTAMENTO DE PUNO</v>
      </c>
      <c r="D302" s="22" t="n">
        <f aca="false">Base!H271</f>
        <v>275790</v>
      </c>
      <c r="E302" s="22" t="n">
        <f aca="false">Base!I271</f>
        <v>274001.9</v>
      </c>
      <c r="F302" s="22" t="n">
        <f aca="false">D302-E302</f>
        <v>1788.09999999998</v>
      </c>
      <c r="G302" s="22" t="n">
        <f aca="false">Base!K271</f>
        <v>155654.05</v>
      </c>
      <c r="H302" s="22" t="n">
        <f aca="false">D302-G302</f>
        <v>120135.95</v>
      </c>
      <c r="I302" s="23" t="n">
        <f aca="false">IF(D302=0,0,G302/D302)</f>
        <v>0.564393379020269</v>
      </c>
      <c r="J302" s="21" t="str">
        <f aca="false">Base!O271</f>
        <v>Expediente técnico</v>
      </c>
      <c r="K302" s="21" t="str">
        <f aca="false">Base!P271</f>
        <v>Comprometido</v>
      </c>
      <c r="L302" s="22" t="n">
        <f aca="false">Base!Q271</f>
        <v>50000</v>
      </c>
      <c r="M302" s="22" t="n">
        <f aca="false">Base!R271</f>
        <v>357845</v>
      </c>
      <c r="N302" s="22" t="n">
        <f aca="false">Base!S271</f>
        <v>0</v>
      </c>
      <c r="O302" s="22" t="n">
        <f aca="false">Base!T271</f>
        <v>1000000</v>
      </c>
      <c r="P302" s="21" t="str">
        <f aca="false">IF(Base!U271="","",Base!U271)</f>
        <v/>
      </c>
    </row>
    <row r="303" customFormat="false" ht="53.7" hidden="false" customHeight="false" outlineLevel="0" collapsed="false">
      <c r="A303" s="20" t="n">
        <f aca="false">SUBTOTAL(103,$B$6:B303)</f>
        <v>268</v>
      </c>
      <c r="B303" s="20" t="n">
        <v>150</v>
      </c>
      <c r="C303" s="21" t="str">
        <f aca="false">Base!G272</f>
        <v>2673441: MEJORAMIENTO DEL SERVICIO DE TRANSITABILIDAD VIAL INTERURBANA EN LA CARRETERA PU-1115 (EMP. PE-3S: INGENIO - EMP. PU-1116: ICHU) - PU-1116 (EMP. PU-1115: ICHU - EMP. PE-3S: SALLIHUA CALLEJON) DEL DISTRITO DE PUNO DE LA PROVINCIA DE PUNO DEL DEPARTAMENTO DE PUNO</v>
      </c>
      <c r="D303" s="22" t="n">
        <f aca="false">Base!H272</f>
        <v>255799</v>
      </c>
      <c r="E303" s="22" t="n">
        <f aca="false">Base!I272</f>
        <v>195378.5</v>
      </c>
      <c r="F303" s="22" t="n">
        <f aca="false">D303-E303</f>
        <v>60420.5</v>
      </c>
      <c r="G303" s="22" t="n">
        <f aca="false">Base!K272</f>
        <v>138575.17</v>
      </c>
      <c r="H303" s="22" t="n">
        <f aca="false">D303-G303</f>
        <v>117223.83</v>
      </c>
      <c r="I303" s="23" t="n">
        <f aca="false">IF(D303=0,0,G303/D303)</f>
        <v>0.541734604122768</v>
      </c>
      <c r="J303" s="21" t="str">
        <f aca="false">Base!O272</f>
        <v>Expediente técnico / Contrata</v>
      </c>
      <c r="K303" s="21" t="str">
        <f aca="false">Base!P272</f>
        <v>Comprometido</v>
      </c>
      <c r="L303" s="22" t="n">
        <f aca="false">Base!Q272</f>
        <v>800000</v>
      </c>
      <c r="M303" s="22" t="n">
        <f aca="false">Base!R272</f>
        <v>285985</v>
      </c>
      <c r="N303" s="22" t="n">
        <f aca="false">Base!S272</f>
        <v>0</v>
      </c>
      <c r="O303" s="22" t="n">
        <f aca="false">Base!T272</f>
        <v>1000000</v>
      </c>
      <c r="P303" s="21" t="str">
        <f aca="false">IF(Base!U272="","",Base!U272)</f>
        <v/>
      </c>
    </row>
    <row r="304" customFormat="false" ht="43.25" hidden="false" customHeight="false" outlineLevel="0" collapsed="false">
      <c r="A304" s="20" t="n">
        <f aca="false">SUBTOTAL(103,$B$6:B304)</f>
        <v>269</v>
      </c>
      <c r="B304" s="20" t="n">
        <v>151</v>
      </c>
      <c r="C304" s="21" t="str">
        <f aca="false">Base!G273</f>
        <v>2681264: MEJORAMIENTO DEL SERVICIO DE TRANSITABILIDAD VIAL INTERURBANA EN LA CARRETERA PU-727 (PUCARA - CHIJNAYA) DEL DISTRITO DE PUCARA DE LA PROVINCIA DE LAMPA DEL DEPARTAMENTO DE PUNO</v>
      </c>
      <c r="D304" s="22" t="n">
        <f aca="false">Base!H273</f>
        <v>222962</v>
      </c>
      <c r="E304" s="22" t="n">
        <f aca="false">Base!I273</f>
        <v>193349.5</v>
      </c>
      <c r="F304" s="22" t="n">
        <f aca="false">D304-E304</f>
        <v>29612.5</v>
      </c>
      <c r="G304" s="22" t="n">
        <f aca="false">Base!K273</f>
        <v>193266.31</v>
      </c>
      <c r="H304" s="22" t="n">
        <f aca="false">D304-G304</f>
        <v>29695.69</v>
      </c>
      <c r="I304" s="23" t="n">
        <f aca="false">IF(D304=0,0,G304/D304)</f>
        <v>0.866812775271122</v>
      </c>
      <c r="J304" s="21" t="str">
        <f aca="false">Base!O273</f>
        <v>Expediente técnico</v>
      </c>
      <c r="K304" s="21" t="str">
        <f aca="false">Base!P273</f>
        <v>Comprometido</v>
      </c>
      <c r="L304" s="22" t="n">
        <f aca="false">Base!Q273</f>
        <v>50000</v>
      </c>
      <c r="M304" s="22" t="n">
        <f aca="false">Base!R273</f>
        <v>248565</v>
      </c>
      <c r="N304" s="22" t="n">
        <f aca="false">Base!S273</f>
        <v>0</v>
      </c>
      <c r="O304" s="22" t="n">
        <f aca="false">Base!T273</f>
        <v>500000</v>
      </c>
      <c r="P304" s="21" t="str">
        <f aca="false">IF(Base!U273="","",Base!U273)</f>
        <v/>
      </c>
    </row>
    <row r="305" customFormat="false" ht="22.35" hidden="false" customHeight="false" outlineLevel="0" collapsed="false">
      <c r="A305" s="20" t="n">
        <f aca="false">SUBTOTAL(103,$B$6:B305)</f>
        <v>270</v>
      </c>
      <c r="B305" s="20" t="n">
        <v>324</v>
      </c>
      <c r="C305" s="21" t="str">
        <f aca="false">Base!G274</f>
        <v>2131661.CONSTRUCCION Y MEJORAMIENTO DE LA CARRETERA DESVIO VILQUECHICO-COJATA-SINA-YANAHUAYA</v>
      </c>
      <c r="D305" s="22" t="n">
        <f aca="false">Base!H274</f>
        <v>1308901</v>
      </c>
      <c r="E305" s="22" t="n">
        <f aca="false">Base!I274</f>
        <v>1298673.22</v>
      </c>
      <c r="F305" s="22" t="n">
        <f aca="false">D305-E305</f>
        <v>10227.78</v>
      </c>
      <c r="G305" s="22" t="n">
        <f aca="false">Base!K274</f>
        <v>8087.22</v>
      </c>
      <c r="H305" s="22" t="n">
        <f aca="false">D305-G305</f>
        <v>1300813.78</v>
      </c>
      <c r="I305" s="23" t="n">
        <f aca="false">IF(D305=0,0,G305/D305)</f>
        <v>0.00617863383097729</v>
      </c>
      <c r="J305" s="21" t="str">
        <f aca="false">Base!O274</f>
        <v>Contrata / Expediente técnico</v>
      </c>
      <c r="K305" s="21" t="str">
        <f aca="false">Base!P274</f>
        <v>Comprometido</v>
      </c>
      <c r="L305" s="22" t="n">
        <f aca="false">Base!Q274</f>
        <v>4800690</v>
      </c>
      <c r="M305" s="22" t="n">
        <f aca="false">Base!R274</f>
        <v>4000000</v>
      </c>
      <c r="N305" s="22" t="n">
        <f aca="false">Base!S274</f>
        <v>14883202</v>
      </c>
      <c r="O305" s="22" t="n">
        <f aca="false">Base!T274</f>
        <v>19038629</v>
      </c>
      <c r="P305" s="21" t="str">
        <f aca="false">IF(Base!U274="","",Base!U274)</f>
        <v/>
      </c>
    </row>
    <row r="306" customFormat="false" ht="15" hidden="false" customHeight="false" outlineLevel="0" collapsed="false">
      <c r="A306" s="17" t="s">
        <v>51</v>
      </c>
      <c r="B306" s="17"/>
      <c r="C306" s="17"/>
      <c r="D306" s="18" t="n">
        <f aca="false">SUM(D307:D310)</f>
        <v>493524</v>
      </c>
      <c r="E306" s="18" t="n">
        <f aca="false">SUM(E307:E310)</f>
        <v>220000</v>
      </c>
      <c r="F306" s="18" t="n">
        <f aca="false">SUM(F307:F310)</f>
        <v>273524</v>
      </c>
      <c r="G306" s="18" t="n">
        <f aca="false">SUM(G307:G310)</f>
        <v>187967.16</v>
      </c>
      <c r="H306" s="18" t="n">
        <f aca="false">SUM(H307:H310)</f>
        <v>305556.84</v>
      </c>
      <c r="I306" s="19" t="n">
        <f aca="false">IF(D306=0,0,G306/D306)</f>
        <v>0.380867313443723</v>
      </c>
      <c r="J306" s="17"/>
      <c r="K306" s="17"/>
      <c r="L306" s="17"/>
      <c r="M306" s="17"/>
      <c r="N306" s="17"/>
      <c r="O306" s="17"/>
      <c r="P306" s="17"/>
    </row>
    <row r="307" customFormat="false" ht="32.8" hidden="false" customHeight="false" outlineLevel="0" collapsed="false">
      <c r="A307" s="20" t="n">
        <f aca="false">SUBTOTAL(103,$B$6:B307)</f>
        <v>271</v>
      </c>
      <c r="B307" s="20" t="n">
        <v>68</v>
      </c>
      <c r="C307" s="21" t="str">
        <f aca="false">Base!G275</f>
        <v>2645444: REPARACION DE TRIBUNA Y/O PALCO; CONSTRUCCION DE CAMPO DEPORTIVO; EN EL(LA) ESTADIO MUNICIPAL DE PILCUYO DISTRITO DE PILCUYO, PROVINCIA EL COLLAO, DEPARTAMENTO PUNO</v>
      </c>
      <c r="D307" s="22" t="n">
        <f aca="false">Base!H275</f>
        <v>48882</v>
      </c>
      <c r="E307" s="22" t="n">
        <f aca="false">Base!I275</f>
        <v>30000</v>
      </c>
      <c r="F307" s="22" t="n">
        <f aca="false">D307-E307</f>
        <v>18882</v>
      </c>
      <c r="G307" s="22" t="n">
        <f aca="false">Base!K275</f>
        <v>0</v>
      </c>
      <c r="H307" s="22" t="n">
        <f aca="false">D307-G307</f>
        <v>48882</v>
      </c>
      <c r="I307" s="23" t="n">
        <f aca="false">IF(D307=0,0,G307/D307)</f>
        <v>0</v>
      </c>
      <c r="J307" s="21" t="str">
        <f aca="false">Base!O275</f>
        <v>Expediente técnico</v>
      </c>
      <c r="K307" s="21" t="str">
        <f aca="false">Base!P275</f>
        <v>Solo certificado</v>
      </c>
      <c r="L307" s="22" t="n">
        <f aca="false">Base!Q275</f>
        <v>1515300</v>
      </c>
      <c r="M307" s="22" t="n">
        <f aca="false">Base!R275</f>
        <v>2254875</v>
      </c>
      <c r="N307" s="22" t="n">
        <f aca="false">Base!S275</f>
        <v>0</v>
      </c>
      <c r="O307" s="22" t="n">
        <f aca="false">Base!T275</f>
        <v>541142</v>
      </c>
      <c r="P307" s="21" t="str">
        <f aca="false">IF(Base!U275="","",Base!U275)</f>
        <v/>
      </c>
    </row>
    <row r="308" customFormat="false" ht="53.7" hidden="false" customHeight="false" outlineLevel="0" collapsed="false">
      <c r="A308" s="20" t="n">
        <f aca="false">SUBTOTAL(103,$B$6:B308)</f>
        <v>272</v>
      </c>
      <c r="B308" s="20" t="n">
        <v>70</v>
      </c>
      <c r="C308" s="21" t="str">
        <f aca="false">Base!G276</f>
        <v>2646095: CONSTRUCCION DE CAMPO DEPORTIVO Y SERVICIOS HIGIENICOS Y/O VESTIDORES; REPARACION DE SERVICIOS HIGIENICOS Y/O VESTIDORES Y TRIBUNA Y/O PALCO; ADEMAS DE OTROS ACTIVOS EN EL(LA) ESTADIO MUNICIPAL DE CONIMA DISTRITO DE CONIMA, PROVINCIA MOHO, DEPARTAMENTO PUNO</v>
      </c>
      <c r="D308" s="22" t="n">
        <f aca="false">Base!H276</f>
        <v>25425</v>
      </c>
      <c r="E308" s="22" t="n">
        <f aca="false">Base!I276</f>
        <v>0</v>
      </c>
      <c r="F308" s="22" t="n">
        <f aca="false">D308-E308</f>
        <v>25425</v>
      </c>
      <c r="G308" s="22" t="n">
        <f aca="false">Base!K276</f>
        <v>0</v>
      </c>
      <c r="H308" s="22" t="n">
        <f aca="false">D308-G308</f>
        <v>25425</v>
      </c>
      <c r="I308" s="23" t="n">
        <f aca="false">IF(D308=0,0,G308/D308)</f>
        <v>0</v>
      </c>
      <c r="J308" s="21" t="str">
        <f aca="false">Base!O276</f>
        <v>Expediente técnico</v>
      </c>
      <c r="K308" s="21" t="str">
        <f aca="false">Base!P276</f>
        <v>Sin certificar</v>
      </c>
      <c r="L308" s="22" t="n">
        <f aca="false">Base!Q276</f>
        <v>1893433</v>
      </c>
      <c r="M308" s="22" t="n">
        <f aca="false">Base!R276</f>
        <v>354254</v>
      </c>
      <c r="N308" s="22" t="n">
        <f aca="false">Base!S276</f>
        <v>0</v>
      </c>
      <c r="O308" s="22" t="n">
        <f aca="false">Base!T276</f>
        <v>3069242</v>
      </c>
      <c r="P308" s="21" t="str">
        <f aca="false">IF(Base!U276="","",Base!U276)</f>
        <v/>
      </c>
    </row>
    <row r="309" customFormat="false" ht="32.8" hidden="false" customHeight="false" outlineLevel="0" collapsed="false">
      <c r="A309" s="20" t="n">
        <f aca="false">SUBTOTAL(103,$B$6:B309)</f>
        <v>273</v>
      </c>
      <c r="B309" s="20" t="n">
        <v>74</v>
      </c>
      <c r="C309" s="21" t="str">
        <f aca="false">Base!G277</f>
        <v>2669946: MEJORAMIENTO DEL SERVICIO DE PRACTICA DEPORTIVA Y/O RECREATIVA EN ESTADIO MUNICIPAL DE MOHO DISTRITO DE MOHO DE LA PROVINCIA DE MOHO DEL DEPARTAMENTO DE PUNO</v>
      </c>
      <c r="D309" s="22" t="n">
        <f aca="false">Base!H277</f>
        <v>50000</v>
      </c>
      <c r="E309" s="22" t="n">
        <f aca="false">Base!I277</f>
        <v>50000</v>
      </c>
      <c r="F309" s="22" t="n">
        <f aca="false">D309-E309</f>
        <v>0</v>
      </c>
      <c r="G309" s="22" t="n">
        <f aca="false">Base!K277</f>
        <v>47967.16</v>
      </c>
      <c r="H309" s="22" t="n">
        <f aca="false">D309-G309</f>
        <v>2032.84</v>
      </c>
      <c r="I309" s="23" t="n">
        <f aca="false">IF(D309=0,0,G309/D309)</f>
        <v>0.9593432</v>
      </c>
      <c r="J309" s="21" t="str">
        <f aca="false">Base!O277</f>
        <v>Expediente técnico</v>
      </c>
      <c r="K309" s="21" t="str">
        <f aca="false">Base!P277</f>
        <v>Comprometido</v>
      </c>
      <c r="L309" s="22" t="n">
        <f aca="false">Base!Q277</f>
        <v>50000</v>
      </c>
      <c r="M309" s="22" t="n">
        <f aca="false">Base!R277</f>
        <v>254857</v>
      </c>
      <c r="N309" s="22" t="n">
        <f aca="false">Base!S277</f>
        <v>0</v>
      </c>
      <c r="O309" s="22" t="n">
        <f aca="false">Base!T277</f>
        <v>1000000</v>
      </c>
      <c r="P309" s="21" t="str">
        <f aca="false">IF(Base!U277="","",Base!U277)</f>
        <v/>
      </c>
    </row>
    <row r="310" customFormat="false" ht="22.35" hidden="false" customHeight="false" outlineLevel="0" collapsed="false">
      <c r="A310" s="20" t="n">
        <f aca="false">SUBTOTAL(103,$B$6:B310)</f>
        <v>274</v>
      </c>
      <c r="B310" s="20" t="n">
        <v>246</v>
      </c>
      <c r="C310" s="21" t="str">
        <f aca="false">Base!G278</f>
        <v>2527207: RECUPERACION DEL PUENTE COLONIAL DE LAMPA, DISTRITO DE LAMPA - PROVINCIA DE LAMPA - DEPARTAMENTO DE PUNO</v>
      </c>
      <c r="D310" s="22" t="n">
        <f aca="false">Base!H278</f>
        <v>369217</v>
      </c>
      <c r="E310" s="22" t="n">
        <f aca="false">Base!I278</f>
        <v>140000</v>
      </c>
      <c r="F310" s="22" t="n">
        <f aca="false">D310-E310</f>
        <v>229217</v>
      </c>
      <c r="G310" s="22" t="n">
        <f aca="false">Base!K278</f>
        <v>140000</v>
      </c>
      <c r="H310" s="22" t="n">
        <f aca="false">D310-G310</f>
        <v>229217</v>
      </c>
      <c r="I310" s="23" t="n">
        <f aca="false">IF(D310=0,0,G310/D310)</f>
        <v>0.379180806950926</v>
      </c>
      <c r="J310" s="21" t="str">
        <f aca="false">Base!O278</f>
        <v>Expediente técnico / Contrata</v>
      </c>
      <c r="K310" s="21" t="str">
        <f aca="false">Base!P278</f>
        <v>Comprometido</v>
      </c>
      <c r="L310" s="22" t="str">
        <f aca="false">Base!Q278</f>
        <v>No registrado en cartera</v>
      </c>
      <c r="M310" s="22" t="str">
        <f aca="false">Base!R278</f>
        <v>No registrado en cartera</v>
      </c>
      <c r="N310" s="22" t="str">
        <f aca="false">Base!S278</f>
        <v>No registrado en cartera</v>
      </c>
      <c r="O310" s="22" t="str">
        <f aca="false">Base!T278</f>
        <v>No registrado en cartera</v>
      </c>
      <c r="P310" s="21" t="str">
        <f aca="false">IF(Base!U278="","",Base!U278)</f>
        <v/>
      </c>
    </row>
    <row r="311" customFormat="false" ht="15" hidden="false" customHeight="false" outlineLevel="0" collapsed="false">
      <c r="A311" s="17" t="s">
        <v>52</v>
      </c>
      <c r="B311" s="17"/>
      <c r="C311" s="17"/>
      <c r="D311" s="18" t="n">
        <f aca="false">SUM(D312:D314)</f>
        <v>1376515</v>
      </c>
      <c r="E311" s="18" t="n">
        <f aca="false">SUM(E312:E314)</f>
        <v>0</v>
      </c>
      <c r="F311" s="18" t="n">
        <f aca="false">SUM(F312:F314)</f>
        <v>1376515</v>
      </c>
      <c r="G311" s="18" t="n">
        <f aca="false">SUM(G312:G314)</f>
        <v>0</v>
      </c>
      <c r="H311" s="18" t="n">
        <f aca="false">SUM(H312:H314)</f>
        <v>1376515</v>
      </c>
      <c r="I311" s="19" t="n">
        <f aca="false">IF(D311=0,0,G311/D311)</f>
        <v>0</v>
      </c>
      <c r="J311" s="17"/>
      <c r="K311" s="17"/>
      <c r="L311" s="17"/>
      <c r="M311" s="17"/>
      <c r="N311" s="17"/>
      <c r="O311" s="17"/>
      <c r="P311" s="17"/>
    </row>
    <row r="312" customFormat="false" ht="32.8" hidden="false" customHeight="false" outlineLevel="0" collapsed="false">
      <c r="A312" s="20" t="n">
        <f aca="false">SUBTOTAL(103,$B$6:B312)</f>
        <v>275</v>
      </c>
      <c r="B312" s="20" t="n">
        <v>231</v>
      </c>
      <c r="C312" s="21" t="str">
        <f aca="false">Base!G279</f>
        <v>2393101: MEJORAMIENTO Y AMPLIACION DEL SERVICIO ADMINISTRATIVO DE LA UNIDAD DE GESTION EDUCATIVA LOCAL MELGAR EN EL DISTRITO DE AYAVIRI, PROVINCIA DE MELGAR, REGION PUNO</v>
      </c>
      <c r="D312" s="22" t="n">
        <f aca="false">Base!H279</f>
        <v>0</v>
      </c>
      <c r="E312" s="22" t="n">
        <f aca="false">Base!I279</f>
        <v>0</v>
      </c>
      <c r="F312" s="22" t="n">
        <f aca="false">D312-E312</f>
        <v>0</v>
      </c>
      <c r="G312" s="22" t="n">
        <f aca="false">Base!K279</f>
        <v>0</v>
      </c>
      <c r="H312" s="22" t="n">
        <f aca="false">D312-G312</f>
        <v>0</v>
      </c>
      <c r="I312" s="23" t="n">
        <f aca="false">IF(D312=0,0,G312/D312)</f>
        <v>0</v>
      </c>
      <c r="J312" s="21" t="str">
        <f aca="false">Base!O279</f>
        <v>Contrata</v>
      </c>
      <c r="K312" s="21" t="str">
        <f aca="false">Base!P279</f>
        <v>Sin PIM</v>
      </c>
      <c r="L312" s="22" t="n">
        <f aca="false">Base!Q279</f>
        <v>154969</v>
      </c>
      <c r="M312" s="22" t="n">
        <f aca="false">Base!R279</f>
        <v>0</v>
      </c>
      <c r="N312" s="22" t="n">
        <f aca="false">Base!S279</f>
        <v>0</v>
      </c>
      <c r="O312" s="22" t="n">
        <f aca="false">Base!T279</f>
        <v>0</v>
      </c>
      <c r="P312" s="21" t="str">
        <f aca="false">IF(Base!U279="","",Base!U279)</f>
        <v/>
      </c>
    </row>
    <row r="313" customFormat="false" ht="32.8" hidden="false" customHeight="false" outlineLevel="0" collapsed="false">
      <c r="A313" s="20" t="n">
        <f aca="false">SUBTOTAL(103,$B$6:B313)</f>
        <v>276</v>
      </c>
      <c r="B313" s="20" t="n">
        <v>232</v>
      </c>
      <c r="C313" s="21" t="str">
        <f aca="false">Base!G280</f>
        <v>2411317: MEJORAMIENTO DE LOS SERVICIOS PUBLICOS DEL GOBIERNO REGIONAL PUNO - SEDE CENTRAL, DEL DISTRITO DE PUNO - PROVINCIA DE PUNO - DEPARTAMENTO DE PUNO</v>
      </c>
      <c r="D313" s="22" t="n">
        <f aca="false">Base!H280</f>
        <v>0</v>
      </c>
      <c r="E313" s="22" t="n">
        <f aca="false">Base!I280</f>
        <v>0</v>
      </c>
      <c r="F313" s="22" t="n">
        <f aca="false">D313-E313</f>
        <v>0</v>
      </c>
      <c r="G313" s="22" t="n">
        <f aca="false">Base!K280</f>
        <v>0</v>
      </c>
      <c r="H313" s="22" t="n">
        <f aca="false">D313-G313</f>
        <v>0</v>
      </c>
      <c r="I313" s="23" t="n">
        <f aca="false">IF(D313=0,0,G313/D313)</f>
        <v>0</v>
      </c>
      <c r="J313" s="21" t="str">
        <f aca="false">Base!O280</f>
        <v>Contrata</v>
      </c>
      <c r="K313" s="21" t="str">
        <f aca="false">Base!P280</f>
        <v>Sin PIM</v>
      </c>
      <c r="L313" s="22" t="n">
        <f aca="false">Base!Q280</f>
        <v>10763553</v>
      </c>
      <c r="M313" s="22" t="n">
        <f aca="false">Base!R280</f>
        <v>0</v>
      </c>
      <c r="N313" s="22" t="n">
        <f aca="false">Base!S280</f>
        <v>0</v>
      </c>
      <c r="O313" s="22" t="n">
        <f aca="false">Base!T280</f>
        <v>0</v>
      </c>
      <c r="P313" s="21" t="str">
        <f aca="false">IF(Base!U280="","",Base!U280)</f>
        <v/>
      </c>
    </row>
    <row r="314" customFormat="false" ht="15" hidden="false" customHeight="false" outlineLevel="0" collapsed="false">
      <c r="A314" s="20" t="n">
        <f aca="false">SUBTOTAL(103,$B$6:B314)</f>
        <v>277</v>
      </c>
      <c r="B314" s="20" t="n">
        <v>507</v>
      </c>
      <c r="C314" s="21" t="str">
        <f aca="false">Base!G281</f>
        <v>2658446.PROYECTOS PARA EL DESARROLLO LOCAL</v>
      </c>
      <c r="D314" s="22" t="n">
        <f aca="false">Base!H281</f>
        <v>1376515</v>
      </c>
      <c r="E314" s="22" t="n">
        <f aca="false">Base!I281</f>
        <v>0</v>
      </c>
      <c r="F314" s="22" t="n">
        <f aca="false">D314-E314</f>
        <v>1376515</v>
      </c>
      <c r="G314" s="22" t="n">
        <f aca="false">Base!K281</f>
        <v>0</v>
      </c>
      <c r="H314" s="22" t="n">
        <f aca="false">D314-G314</f>
        <v>1376515</v>
      </c>
      <c r="I314" s="23" t="n">
        <f aca="false">IF(D314=0,0,G314/D314)</f>
        <v>0</v>
      </c>
      <c r="J314" s="21" t="str">
        <f aca="false">Base!O281</f>
        <v>Contrata</v>
      </c>
      <c r="K314" s="21" t="str">
        <f aca="false">Base!P281</f>
        <v>Sin certificar</v>
      </c>
      <c r="L314" s="22" t="str">
        <f aca="false">Base!Q281</f>
        <v>No registrado en cartera</v>
      </c>
      <c r="M314" s="22" t="str">
        <f aca="false">Base!R281</f>
        <v>No registrado en cartera</v>
      </c>
      <c r="N314" s="22" t="str">
        <f aca="false">Base!S281</f>
        <v>No registrado en cartera</v>
      </c>
      <c r="O314" s="22" t="str">
        <f aca="false">Base!T281</f>
        <v>No registrado en cartera</v>
      </c>
      <c r="P314" s="21" t="str">
        <f aca="false">IF(Base!U281="","",Base!U281)</f>
        <v/>
      </c>
    </row>
    <row r="315" customFormat="false" ht="15" hidden="false" customHeight="false" outlineLevel="0" collapsed="false">
      <c r="A315" s="17" t="s">
        <v>60</v>
      </c>
      <c r="B315" s="17"/>
      <c r="C315" s="17"/>
      <c r="D315" s="18" t="n">
        <f aca="false">SUM(D316)</f>
        <v>46429</v>
      </c>
      <c r="E315" s="18" t="n">
        <f aca="false">SUM(E316)</f>
        <v>0</v>
      </c>
      <c r="F315" s="18" t="n">
        <f aca="false">SUM(F316)</f>
        <v>46429</v>
      </c>
      <c r="G315" s="18" t="n">
        <f aca="false">SUM(G316)</f>
        <v>0</v>
      </c>
      <c r="H315" s="18" t="n">
        <f aca="false">SUM(H316)</f>
        <v>46429</v>
      </c>
      <c r="I315" s="19" t="n">
        <f aca="false">IF(D315=0,0,G315/D315)</f>
        <v>0</v>
      </c>
      <c r="J315" s="17"/>
      <c r="K315" s="17"/>
      <c r="L315" s="17"/>
      <c r="M315" s="17"/>
      <c r="N315" s="17"/>
      <c r="O315" s="17"/>
      <c r="P315" s="17"/>
    </row>
    <row r="316" customFormat="false" ht="22.35" hidden="false" customHeight="false" outlineLevel="0" collapsed="false">
      <c r="A316" s="20" t="n">
        <f aca="false">SUBTOTAL(103,$B$6:B316)</f>
        <v>278</v>
      </c>
      <c r="B316" s="20" t="n">
        <v>225</v>
      </c>
      <c r="C316" s="21" t="str">
        <f aca="false">Base!G282</f>
        <v>2343538: CREACION DE LOS SERVICIOS DE PROMOCION DEL COMERCIO EXTERIOR EN LA ZEEDE PUNO - REGION DE PUNO</v>
      </c>
      <c r="D316" s="22" t="n">
        <f aca="false">Base!H282</f>
        <v>46429</v>
      </c>
      <c r="E316" s="22" t="n">
        <f aca="false">Base!I282</f>
        <v>0</v>
      </c>
      <c r="F316" s="22" t="n">
        <f aca="false">D316-E316</f>
        <v>46429</v>
      </c>
      <c r="G316" s="22" t="n">
        <f aca="false">Base!K282</f>
        <v>0</v>
      </c>
      <c r="H316" s="22" t="n">
        <f aca="false">D316-G316</f>
        <v>46429</v>
      </c>
      <c r="I316" s="23" t="n">
        <f aca="false">IF(D316=0,0,G316/D316)</f>
        <v>0</v>
      </c>
      <c r="J316" s="21" t="str">
        <f aca="false">Base!O282</f>
        <v>Contrata</v>
      </c>
      <c r="K316" s="21" t="str">
        <f aca="false">Base!P282</f>
        <v>Sin certificar</v>
      </c>
      <c r="L316" s="22" t="n">
        <f aca="false">Base!Q282</f>
        <v>800000</v>
      </c>
      <c r="M316" s="22" t="n">
        <f aca="false">Base!R282</f>
        <v>580909</v>
      </c>
      <c r="N316" s="22" t="n">
        <f aca="false">Base!S282</f>
        <v>800000</v>
      </c>
      <c r="O316" s="22" t="n">
        <f aca="false">Base!T282</f>
        <v>800000</v>
      </c>
      <c r="P316" s="21" t="str">
        <f aca="false">IF(Base!U282="","",Base!U282)</f>
        <v/>
      </c>
    </row>
    <row r="317" customFormat="false" ht="15" hidden="false" customHeight="false" outlineLevel="0" collapsed="false">
      <c r="A317" s="17" t="s">
        <v>61</v>
      </c>
      <c r="B317" s="17"/>
      <c r="C317" s="17"/>
      <c r="D317" s="18" t="n">
        <f aca="false">SUM(D318)</f>
        <v>1349649</v>
      </c>
      <c r="E317" s="18" t="n">
        <f aca="false">SUM(E318)</f>
        <v>0</v>
      </c>
      <c r="F317" s="18" t="n">
        <f aca="false">SUM(F318)</f>
        <v>1349649</v>
      </c>
      <c r="G317" s="18" t="n">
        <f aca="false">SUM(G318)</f>
        <v>0</v>
      </c>
      <c r="H317" s="18" t="n">
        <f aca="false">SUM(H318)</f>
        <v>1349649</v>
      </c>
      <c r="I317" s="19" t="n">
        <f aca="false">IF(D317=0,0,G317/D317)</f>
        <v>0</v>
      </c>
      <c r="J317" s="17"/>
      <c r="K317" s="17"/>
      <c r="L317" s="17"/>
      <c r="M317" s="17"/>
      <c r="N317" s="17"/>
      <c r="O317" s="17"/>
      <c r="P317" s="17"/>
    </row>
    <row r="318" customFormat="false" ht="32.8" hidden="false" customHeight="false" outlineLevel="0" collapsed="false">
      <c r="A318" s="20" t="n">
        <f aca="false">SUBTOTAL(103,$B$6:B318)</f>
        <v>279</v>
      </c>
      <c r="B318" s="20" t="n">
        <v>270</v>
      </c>
      <c r="C318" s="21" t="str">
        <f aca="false">Base!G283</f>
        <v>2645524: MEJORAMIENTO DE LOS SERVICIOS TURISTICOS PUBLICOS EN RECURSOS TURISTICOS EN 4 UNIDADES PRODUCTORAS 4 DISTRITOS DE 3 PROVINCIAS DEL DEPARTAMENTO DE PUNO</v>
      </c>
      <c r="D318" s="22" t="n">
        <f aca="false">Base!H283</f>
        <v>1349649</v>
      </c>
      <c r="E318" s="22" t="n">
        <f aca="false">Base!I283</f>
        <v>0</v>
      </c>
      <c r="F318" s="22" t="n">
        <f aca="false">D318-E318</f>
        <v>1349649</v>
      </c>
      <c r="G318" s="22" t="n">
        <f aca="false">Base!K283</f>
        <v>0</v>
      </c>
      <c r="H318" s="22" t="n">
        <f aca="false">D318-G318</f>
        <v>1349649</v>
      </c>
      <c r="I318" s="23" t="n">
        <f aca="false">IF(D318=0,0,G318/D318)</f>
        <v>0</v>
      </c>
      <c r="J318" s="21" t="str">
        <f aca="false">Base!O283</f>
        <v>Contrata</v>
      </c>
      <c r="K318" s="21" t="str">
        <f aca="false">Base!P283</f>
        <v>Sin certificar</v>
      </c>
      <c r="L318" s="22" t="n">
        <f aca="false">Base!Q283</f>
        <v>1349649</v>
      </c>
      <c r="M318" s="22" t="n">
        <f aca="false">Base!R283</f>
        <v>0</v>
      </c>
      <c r="N318" s="22" t="n">
        <f aca="false">Base!S283</f>
        <v>0</v>
      </c>
      <c r="O318" s="22" t="n">
        <f aca="false">Base!T283</f>
        <v>1000000</v>
      </c>
      <c r="P318" s="21" t="str">
        <f aca="false">IF(Base!U283="","",Base!U283)</f>
        <v/>
      </c>
    </row>
    <row r="319" customFormat="false" ht="15" hidden="false" customHeight="false" outlineLevel="0" collapsed="false">
      <c r="A319" s="17" t="s">
        <v>62</v>
      </c>
      <c r="B319" s="17"/>
      <c r="C319" s="17"/>
      <c r="D319" s="18" t="n">
        <f aca="false">SUM(D320)</f>
        <v>100000</v>
      </c>
      <c r="E319" s="18" t="n">
        <f aca="false">SUM(E320)</f>
        <v>0</v>
      </c>
      <c r="F319" s="18" t="n">
        <f aca="false">SUM(F320)</f>
        <v>100000</v>
      </c>
      <c r="G319" s="18" t="n">
        <f aca="false">SUM(G320)</f>
        <v>0</v>
      </c>
      <c r="H319" s="18" t="n">
        <f aca="false">SUM(H320)</f>
        <v>100000</v>
      </c>
      <c r="I319" s="19" t="n">
        <f aca="false">IF(D319=0,0,G319/D319)</f>
        <v>0</v>
      </c>
      <c r="J319" s="17"/>
      <c r="K319" s="17"/>
      <c r="L319" s="17"/>
      <c r="M319" s="17"/>
      <c r="N319" s="17"/>
      <c r="O319" s="17"/>
      <c r="P319" s="17"/>
    </row>
    <row r="320" customFormat="false" ht="32.8" hidden="false" customHeight="false" outlineLevel="0" collapsed="false">
      <c r="A320" s="20" t="n">
        <f aca="false">SUBTOTAL(103,$B$6:B320)</f>
        <v>280</v>
      </c>
      <c r="B320" s="20" t="n">
        <v>153</v>
      </c>
      <c r="C320" s="21" t="str">
        <f aca="false">Base!G284</f>
        <v>2625216: MEJORAMIENTO DE LOS SERVICIOS ECOSISTEMICOS EN EL RIO TOROCOCHA DE LA LOCALIDAD DE JULIACA DISTRITO DE JULIACA DE LA PROVINCIA DE SAN ROMAN DEL DEPARTAMENTO DE PUNO</v>
      </c>
      <c r="D320" s="22" t="n">
        <f aca="false">Base!H284</f>
        <v>100000</v>
      </c>
      <c r="E320" s="22" t="n">
        <f aca="false">Base!I284</f>
        <v>0</v>
      </c>
      <c r="F320" s="22" t="n">
        <f aca="false">D320-E320</f>
        <v>100000</v>
      </c>
      <c r="G320" s="22" t="n">
        <f aca="false">Base!K284</f>
        <v>0</v>
      </c>
      <c r="H320" s="22" t="n">
        <f aca="false">D320-G320</f>
        <v>100000</v>
      </c>
      <c r="I320" s="23" t="n">
        <f aca="false">IF(D320=0,0,G320/D320)</f>
        <v>0</v>
      </c>
      <c r="J320" s="21" t="str">
        <f aca="false">Base!O284</f>
        <v>Contrata</v>
      </c>
      <c r="K320" s="21" t="str">
        <f aca="false">Base!P284</f>
        <v>Sin certificar</v>
      </c>
      <c r="L320" s="22" t="str">
        <f aca="false">Base!Q284</f>
        <v>No registrado en cartera</v>
      </c>
      <c r="M320" s="22" t="str">
        <f aca="false">Base!R284</f>
        <v>No registrado en cartera</v>
      </c>
      <c r="N320" s="22" t="str">
        <f aca="false">Base!S284</f>
        <v>No registrado en cartera</v>
      </c>
      <c r="O320" s="22" t="str">
        <f aca="false">Base!T284</f>
        <v>No registrado en cartera</v>
      </c>
      <c r="P320" s="21" t="str">
        <f aca="false">IF(Base!U284="","",Base!U284)</f>
        <v/>
      </c>
    </row>
    <row r="321" customFormat="false" ht="15" hidden="false" customHeight="false" outlineLevel="0" collapsed="false">
      <c r="A321" s="17" t="s">
        <v>63</v>
      </c>
      <c r="B321" s="17"/>
      <c r="C321" s="17"/>
      <c r="D321" s="18" t="n">
        <f aca="false">SUM(D322)</f>
        <v>0</v>
      </c>
      <c r="E321" s="18" t="n">
        <f aca="false">SUM(E322)</f>
        <v>0</v>
      </c>
      <c r="F321" s="18" t="n">
        <f aca="false">SUM(F322)</f>
        <v>0</v>
      </c>
      <c r="G321" s="18" t="n">
        <f aca="false">SUM(G322)</f>
        <v>0</v>
      </c>
      <c r="H321" s="18" t="n">
        <f aca="false">SUM(H322)</f>
        <v>0</v>
      </c>
      <c r="I321" s="19" t="n">
        <f aca="false">IF(D321=0,0,G321/D321)</f>
        <v>0</v>
      </c>
      <c r="J321" s="17"/>
      <c r="K321" s="17"/>
      <c r="L321" s="17"/>
      <c r="M321" s="17"/>
      <c r="N321" s="17"/>
      <c r="O321" s="17"/>
      <c r="P321" s="17"/>
    </row>
    <row r="322" customFormat="false" ht="32.8" hidden="false" customHeight="false" outlineLevel="0" collapsed="false">
      <c r="A322" s="20" t="n">
        <f aca="false">SUBTOTAL(103,$B$6:B322)</f>
        <v>281</v>
      </c>
      <c r="B322" s="20" t="n">
        <v>236</v>
      </c>
      <c r="C322" s="21" t="str">
        <f aca="false">Base!G285</f>
        <v>2462296: CREACION DEL SERVICIO DE TRANSITABILIDAD A TRAVES DE LA INSTALACION DE PUENTES PEATONALES EN LAS PROVINCIAS DE CARABAYA Y SANDIA DEL DEPARTAMENTO DE PUNO</v>
      </c>
      <c r="D322" s="22" t="n">
        <f aca="false">Base!H285</f>
        <v>0</v>
      </c>
      <c r="E322" s="22" t="n">
        <f aca="false">Base!I285</f>
        <v>0</v>
      </c>
      <c r="F322" s="22" t="n">
        <f aca="false">D322-E322</f>
        <v>0</v>
      </c>
      <c r="G322" s="22" t="n">
        <f aca="false">Base!K285</f>
        <v>0</v>
      </c>
      <c r="H322" s="22" t="n">
        <f aca="false">D322-G322</f>
        <v>0</v>
      </c>
      <c r="I322" s="23" t="n">
        <f aca="false">IF(D322=0,0,G322/D322)</f>
        <v>0</v>
      </c>
      <c r="J322" s="21" t="str">
        <f aca="false">Base!O285</f>
        <v>Contrata</v>
      </c>
      <c r="K322" s="21" t="str">
        <f aca="false">Base!P285</f>
        <v>Sin PIM</v>
      </c>
      <c r="L322" s="22" t="n">
        <f aca="false">Base!Q285</f>
        <v>250000</v>
      </c>
      <c r="M322" s="22" t="n">
        <f aca="false">Base!R285</f>
        <v>0</v>
      </c>
      <c r="N322" s="22" t="n">
        <f aca="false">Base!S285</f>
        <v>0</v>
      </c>
      <c r="O322" s="22" t="n">
        <f aca="false">Base!T285</f>
        <v>0</v>
      </c>
      <c r="P322" s="21" t="str">
        <f aca="false">IF(Base!U285="","",Base!U285)</f>
        <v/>
      </c>
    </row>
    <row r="324" customFormat="false" ht="15" hidden="false" customHeight="false" outlineLevel="0" collapsed="false">
      <c r="A324" s="24" t="s">
        <v>64</v>
      </c>
      <c r="B324" s="24"/>
      <c r="C324" s="24"/>
      <c r="D324" s="25" t="n">
        <f aca="false">D6</f>
        <v>770204814</v>
      </c>
      <c r="E324" s="25" t="n">
        <f aca="false">E6</f>
        <v>722649554.94</v>
      </c>
      <c r="F324" s="25" t="n">
        <f aca="false">F6</f>
        <v>47555259.06</v>
      </c>
      <c r="G324" s="25" t="n">
        <f aca="false">G6</f>
        <v>381727436.31</v>
      </c>
      <c r="H324" s="25" t="n">
        <f aca="false">H6</f>
        <v>388477377.69</v>
      </c>
      <c r="I324" s="26" t="n">
        <f aca="false">IF(D324=0,0,G324/D324)</f>
        <v>0.495618086736601</v>
      </c>
      <c r="J324" s="24"/>
      <c r="K324" s="24"/>
      <c r="L324" s="24"/>
      <c r="M324" s="24"/>
      <c r="N324" s="24"/>
      <c r="O324" s="24"/>
      <c r="P324" s="2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7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62"/>
    <col collapsed="false" customWidth="true" hidden="false" outlineLevel="0" max="5" min="4" style="0" width="15"/>
    <col collapsed="false" customWidth="true" hidden="false" outlineLevel="0" max="6" min="6" style="0" width="14"/>
    <col collapsed="false" customWidth="true" hidden="false" outlineLevel="0" max="8" min="7" style="0" width="15"/>
    <col collapsed="false" customWidth="true" hidden="false" outlineLevel="0" max="9" min="9" style="0" width="9"/>
    <col collapsed="false" customWidth="true" hidden="false" outlineLevel="0" max="10" min="10" style="0" width="26"/>
    <col collapsed="false" customWidth="true" hidden="false" outlineLevel="0" max="11" min="11" style="0" width="18"/>
    <col collapsed="false" customWidth="true" hidden="false" outlineLevel="0" max="15" min="12" style="0" width="15"/>
    <col collapsed="false" customWidth="true" hidden="false" outlineLevel="0" max="16" min="16" style="0" width="20"/>
  </cols>
  <sheetData>
    <row r="1" customFormat="false" ht="15" hidden="false" customHeight="false" outlineLevel="0" collapsed="false">
      <c r="C1" s="10" t="s">
        <v>65</v>
      </c>
    </row>
    <row r="2" customFormat="false" ht="15" hidden="false" customHeight="false" outlineLevel="0" collapsed="false">
      <c r="B2" s="8" t="s">
        <v>29</v>
      </c>
    </row>
    <row r="4" customFormat="false" ht="42" hidden="false" customHeight="true" outlineLevel="0" collapsed="false">
      <c r="A4" s="11" t="s">
        <v>30</v>
      </c>
      <c r="B4" s="11" t="s">
        <v>31</v>
      </c>
      <c r="C4" s="11" t="s">
        <v>32</v>
      </c>
      <c r="D4" s="11" t="s">
        <v>33</v>
      </c>
      <c r="E4" s="11" t="s">
        <v>34</v>
      </c>
      <c r="F4" s="11" t="s">
        <v>35</v>
      </c>
      <c r="G4" s="11" t="s">
        <v>36</v>
      </c>
      <c r="H4" s="11" t="s">
        <v>37</v>
      </c>
      <c r="I4" s="11" t="s">
        <v>38</v>
      </c>
      <c r="J4" s="12" t="s">
        <v>39</v>
      </c>
      <c r="K4" s="12" t="s">
        <v>40</v>
      </c>
      <c r="L4" s="12" t="s">
        <v>41</v>
      </c>
      <c r="M4" s="12" t="s">
        <v>42</v>
      </c>
      <c r="N4" s="12" t="s">
        <v>43</v>
      </c>
      <c r="O4" s="12" t="s">
        <v>44</v>
      </c>
      <c r="P4" s="12" t="s">
        <v>45</v>
      </c>
    </row>
    <row r="6" customFormat="false" ht="15" hidden="false" customHeight="false" outlineLevel="0" collapsed="false">
      <c r="A6" s="13" t="s">
        <v>14</v>
      </c>
      <c r="B6" s="13"/>
      <c r="C6" s="13"/>
      <c r="D6" s="14" t="n">
        <f aca="false">D7+D12+D15+D18+D83+D88</f>
        <v>15438088</v>
      </c>
      <c r="E6" s="14" t="n">
        <f aca="false">E7+E12+E15+E18+E83+E88</f>
        <v>13246423.87</v>
      </c>
      <c r="F6" s="14" t="n">
        <f aca="false">F7+F12+F15+F18+F83+F88</f>
        <v>2191664.13</v>
      </c>
      <c r="G6" s="14" t="n">
        <f aca="false">G7+G12+G15+G18+G83+G88</f>
        <v>6937956.79</v>
      </c>
      <c r="H6" s="14" t="n">
        <f aca="false">H7+H12+H15+H18+H83+H88</f>
        <v>8500131.21</v>
      </c>
      <c r="I6" s="15" t="n">
        <f aca="false">IF(D6=0,0,G6/D6)</f>
        <v>0.449405184761222</v>
      </c>
      <c r="J6" s="13"/>
      <c r="K6" s="13"/>
      <c r="L6" s="13"/>
      <c r="M6" s="13"/>
      <c r="N6" s="13"/>
      <c r="O6" s="13"/>
      <c r="P6" s="13"/>
    </row>
    <row r="7" customFormat="false" ht="15" hidden="false" customHeight="false" outlineLevel="0" collapsed="false">
      <c r="A7" s="17" t="s">
        <v>61</v>
      </c>
      <c r="B7" s="17"/>
      <c r="C7" s="17"/>
      <c r="D7" s="18" t="n">
        <f aca="false">SUM(D8:D11)</f>
        <v>3137774</v>
      </c>
      <c r="E7" s="18" t="n">
        <f aca="false">SUM(E8:E11)</f>
        <v>2421934.02</v>
      </c>
      <c r="F7" s="18" t="n">
        <f aca="false">SUM(F8:F11)</f>
        <v>715839.98</v>
      </c>
      <c r="G7" s="18" t="n">
        <f aca="false">SUM(G8:G11)</f>
        <v>1602346.39</v>
      </c>
      <c r="H7" s="18" t="n">
        <f aca="false">SUM(H8:H11)</f>
        <v>1535427.61</v>
      </c>
      <c r="I7" s="19" t="n">
        <f aca="false">IF(D7=0,0,G7/D7)</f>
        <v>0.510663416167002</v>
      </c>
      <c r="J7" s="17"/>
      <c r="K7" s="17"/>
      <c r="L7" s="17"/>
      <c r="M7" s="17"/>
      <c r="N7" s="17"/>
      <c r="O7" s="17"/>
      <c r="P7" s="17"/>
    </row>
    <row r="8" customFormat="false" ht="32.8" hidden="false" customHeight="false" outlineLevel="0" collapsed="false">
      <c r="A8" s="20" t="n">
        <f aca="false">SUBTOTAL(103,$B$6:B8)</f>
        <v>1</v>
      </c>
      <c r="B8" s="20" t="n">
        <v>20</v>
      </c>
      <c r="C8" s="21" t="str">
        <f aca="false">Base!G286</f>
        <v>2526527: MEJORAMIENTO DE LAS CAPACIDADES PARA LA PRODUCTIVIDAD Y LA COMPETITIVIDAD DE ARTESANIAS EN 13 PROVINCIAS DEL DEPARTAMENTO DE PUNO</v>
      </c>
      <c r="D8" s="22" t="n">
        <f aca="false">Base!H286</f>
        <v>2659376</v>
      </c>
      <c r="E8" s="22" t="n">
        <f aca="false">Base!I286</f>
        <v>1980094.52</v>
      </c>
      <c r="F8" s="22" t="n">
        <f aca="false">D8-E8</f>
        <v>679281.48</v>
      </c>
      <c r="G8" s="22" t="n">
        <f aca="false">Base!K286</f>
        <v>1386716.89</v>
      </c>
      <c r="H8" s="22" t="n">
        <f aca="false">D8-G8</f>
        <v>1272659.11</v>
      </c>
      <c r="I8" s="23" t="n">
        <f aca="false">IF(D8=0,0,G8/D8)</f>
        <v>0.5214444629116</v>
      </c>
      <c r="J8" s="21" t="str">
        <f aca="false">Base!O286</f>
        <v>Contrata / Personal/bienes/servicios / Equipamiento</v>
      </c>
      <c r="K8" s="21" t="str">
        <f aca="false">Base!P286</f>
        <v>Comprometido</v>
      </c>
      <c r="L8" s="22" t="n">
        <f aca="false">Base!Q286</f>
        <v>3659376</v>
      </c>
      <c r="M8" s="22" t="n">
        <f aca="false">Base!R286</f>
        <v>55933</v>
      </c>
      <c r="N8" s="22" t="n">
        <f aca="false">Base!S286</f>
        <v>0</v>
      </c>
      <c r="O8" s="22" t="n">
        <f aca="false">Base!T286</f>
        <v>1953448</v>
      </c>
      <c r="P8" s="21" t="str">
        <f aca="false">IF(Base!U286="","",Base!U286)</f>
        <v/>
      </c>
    </row>
    <row r="9" customFormat="false" ht="43.25" hidden="false" customHeight="false" outlineLevel="0" collapsed="false">
      <c r="A9" s="20" t="n">
        <f aca="false">SUBTOTAL(103,$B$6:B9)</f>
        <v>2</v>
      </c>
      <c r="B9" s="20" t="n">
        <v>383</v>
      </c>
      <c r="C9" s="21" t="str">
        <f aca="false">Base!G287</f>
        <v>2717147.MEJORAMIENTO DE LOS SERVICIOS TURISTICOS DE AVENTURA Y ALOJAMIENTO RURAL EN LA ASOCIACION DE TURISMO VIVENCIAL COMUNITARIO LUQUINA CHICO, DISTRITO CHUCUITO, PROVINCIA PUNO, REGION PUNO.</v>
      </c>
      <c r="D9" s="22" t="n">
        <f aca="false">Base!H287</f>
        <v>159946</v>
      </c>
      <c r="E9" s="22" t="n">
        <f aca="false">Base!I287</f>
        <v>154011</v>
      </c>
      <c r="F9" s="22" t="n">
        <f aca="false">D9-E9</f>
        <v>5935</v>
      </c>
      <c r="G9" s="22" t="n">
        <f aca="false">Base!K287</f>
        <v>60441</v>
      </c>
      <c r="H9" s="22" t="n">
        <f aca="false">D9-G9</f>
        <v>99505</v>
      </c>
      <c r="I9" s="23" t="n">
        <f aca="false">IF(D9=0,0,G9/D9)</f>
        <v>0.3778837857777</v>
      </c>
      <c r="J9" s="21" t="str">
        <f aca="false">Base!O287</f>
        <v>Equipamiento / Contrata</v>
      </c>
      <c r="K9" s="21" t="str">
        <f aca="false">Base!P287</f>
        <v>Comprometido</v>
      </c>
      <c r="L9" s="22" t="str">
        <f aca="false">Base!Q287</f>
        <v>No registrado en cartera</v>
      </c>
      <c r="M9" s="22" t="str">
        <f aca="false">Base!R287</f>
        <v>No registrado en cartera</v>
      </c>
      <c r="N9" s="22" t="str">
        <f aca="false">Base!S287</f>
        <v>No registrado en cartera</v>
      </c>
      <c r="O9" s="22" t="str">
        <f aca="false">Base!T287</f>
        <v>No registrado en cartera</v>
      </c>
      <c r="P9" s="21" t="str">
        <f aca="false">IF(Base!U287="","",Base!U287)</f>
        <v/>
      </c>
    </row>
    <row r="10" customFormat="false" ht="53.7" hidden="false" customHeight="false" outlineLevel="0" collapsed="false">
      <c r="A10" s="20" t="n">
        <f aca="false">SUBTOTAL(103,$B$6:B10)</f>
        <v>3</v>
      </c>
      <c r="B10" s="20" t="n">
        <v>475</v>
      </c>
      <c r="C10" s="21" t="str">
        <f aca="false">Base!G288</f>
        <v>2723296.MEJORAMIENTO DE LA PRODUCCION Y COMERCIALIZACION DE ARTESANIA DE FIBRA DE ALPACA Y LANA DE OVINO EN LA ASOCIACION DE ARTESANOS EMPRENDEDORES EN TEXTILERIA SAN JUAN BAUTISTA DE NAPA ROSASPATA, DISTRITO DE ROSASPATA, PROVINCIA DE HUANCANE, REGION PU</v>
      </c>
      <c r="D10" s="22" t="n">
        <f aca="false">Base!H288</f>
        <v>159560</v>
      </c>
      <c r="E10" s="22" t="n">
        <f aca="false">Base!I288</f>
        <v>141270</v>
      </c>
      <c r="F10" s="22" t="n">
        <f aca="false">D10-E10</f>
        <v>18290</v>
      </c>
      <c r="G10" s="22" t="n">
        <f aca="false">Base!K288</f>
        <v>57830</v>
      </c>
      <c r="H10" s="22" t="n">
        <f aca="false">D10-G10</f>
        <v>101730</v>
      </c>
      <c r="I10" s="23" t="n">
        <f aca="false">IF(D10=0,0,G10/D10)</f>
        <v>0.362434194033592</v>
      </c>
      <c r="J10" s="21" t="str">
        <f aca="false">Base!O288</f>
        <v>Equipamiento / Contrata</v>
      </c>
      <c r="K10" s="21" t="str">
        <f aca="false">Base!P288</f>
        <v>Comprometido</v>
      </c>
      <c r="L10" s="22" t="str">
        <f aca="false">Base!Q288</f>
        <v>No registrado en cartera</v>
      </c>
      <c r="M10" s="22" t="str">
        <f aca="false">Base!R288</f>
        <v>No registrado en cartera</v>
      </c>
      <c r="N10" s="22" t="str">
        <f aca="false">Base!S288</f>
        <v>No registrado en cartera</v>
      </c>
      <c r="O10" s="22" t="str">
        <f aca="false">Base!T288</f>
        <v>No registrado en cartera</v>
      </c>
      <c r="P10" s="21" t="str">
        <f aca="false">IF(Base!U288="","",Base!U288)</f>
        <v/>
      </c>
    </row>
    <row r="11" customFormat="false" ht="43.25" hidden="false" customHeight="false" outlineLevel="0" collapsed="false">
      <c r="A11" s="20" t="n">
        <f aca="false">SUBTOTAL(103,$B$6:B11)</f>
        <v>4</v>
      </c>
      <c r="B11" s="20" t="n">
        <v>410</v>
      </c>
      <c r="C11" s="21" t="str">
        <f aca="false">Base!G289</f>
        <v>2717175.MEJORAMIENTO DE LOS SERVICIOS DE ALOJAMIENTO TURISTICO Y DEL TURISMO VIVENCIAL DE OBSERVACION ASTRONOMICA EN LA ASOCIACION DE TURISMO COMUNITARIO TIKA WASI LLACHON, DISTRITO DE CAPACHICA, PROVINCIA DE PUNO Y DEPARTAMENTO DE PUNO.</v>
      </c>
      <c r="D11" s="22" t="n">
        <f aca="false">Base!H289</f>
        <v>158892</v>
      </c>
      <c r="E11" s="22" t="n">
        <f aca="false">Base!I289</f>
        <v>146558.5</v>
      </c>
      <c r="F11" s="22" t="n">
        <f aca="false">D11-E11</f>
        <v>12333.5</v>
      </c>
      <c r="G11" s="22" t="n">
        <f aca="false">Base!K289</f>
        <v>97358.5</v>
      </c>
      <c r="H11" s="22" t="n">
        <f aca="false">D11-G11</f>
        <v>61533.5</v>
      </c>
      <c r="I11" s="23" t="n">
        <f aca="false">IF(D11=0,0,G11/D11)</f>
        <v>0.61273380661078</v>
      </c>
      <c r="J11" s="21" t="str">
        <f aca="false">Base!O289</f>
        <v>Equipamiento / Contrata</v>
      </c>
      <c r="K11" s="21" t="str">
        <f aca="false">Base!P289</f>
        <v>Comprometido</v>
      </c>
      <c r="L11" s="22" t="str">
        <f aca="false">Base!Q289</f>
        <v>No registrado en cartera</v>
      </c>
      <c r="M11" s="22" t="str">
        <f aca="false">Base!R289</f>
        <v>No registrado en cartera</v>
      </c>
      <c r="N11" s="22" t="str">
        <f aca="false">Base!S289</f>
        <v>No registrado en cartera</v>
      </c>
      <c r="O11" s="22" t="str">
        <f aca="false">Base!T289</f>
        <v>No registrado en cartera</v>
      </c>
      <c r="P11" s="21" t="str">
        <f aca="false">IF(Base!U289="","",Base!U289)</f>
        <v/>
      </c>
    </row>
    <row r="12" customFormat="false" ht="15" hidden="false" customHeight="false" outlineLevel="0" collapsed="false">
      <c r="A12" s="17" t="s">
        <v>52</v>
      </c>
      <c r="B12" s="17"/>
      <c r="C12" s="17"/>
      <c r="D12" s="18" t="n">
        <f aca="false">SUM(D13:D14)</f>
        <v>243160</v>
      </c>
      <c r="E12" s="18" t="n">
        <f aca="false">SUM(E13:E14)</f>
        <v>83160</v>
      </c>
      <c r="F12" s="18" t="n">
        <f aca="false">SUM(F13:F14)</f>
        <v>160000</v>
      </c>
      <c r="G12" s="18" t="n">
        <f aca="false">SUM(G13:G14)</f>
        <v>83100.4</v>
      </c>
      <c r="H12" s="18" t="n">
        <f aca="false">SUM(H13:H14)</f>
        <v>160059.6</v>
      </c>
      <c r="I12" s="19" t="n">
        <f aca="false">IF(D12=0,0,G12/D12)</f>
        <v>0.341751932883698</v>
      </c>
      <c r="J12" s="17"/>
      <c r="K12" s="17"/>
      <c r="L12" s="17"/>
      <c r="M12" s="17"/>
      <c r="N12" s="17"/>
      <c r="O12" s="17"/>
      <c r="P12" s="17"/>
    </row>
    <row r="13" customFormat="false" ht="53.7" hidden="false" customHeight="false" outlineLevel="0" collapsed="false">
      <c r="A13" s="20" t="n">
        <f aca="false">SUBTOTAL(103,$B$6:B13)</f>
        <v>5</v>
      </c>
      <c r="B13" s="20" t="n">
        <v>399</v>
      </c>
      <c r="C13" s="21" t="str">
        <f aca="false">Base!G290</f>
        <v>2717164.MEJORAMIENTO DE LA CAPACIDAD PRODUCTIVA Y DE COMERCIALIZACION DE MIEL MEDIANTE EL FORTALECIMIENTO DE PROCESOS PRODUCTIVOS APICOLAS EN LA ASOCIACION DE PRODUCTORES AGROPECUARIOS MONTE SILOE KOLLA MISKI DISTRITO PLATERIA, PROVINCIA DE PUNO, REGION P</v>
      </c>
      <c r="D13" s="22" t="n">
        <f aca="false">Base!H290</f>
        <v>160000</v>
      </c>
      <c r="E13" s="22" t="n">
        <f aca="false">Base!I290</f>
        <v>0</v>
      </c>
      <c r="F13" s="22" t="n">
        <f aca="false">D13-E13</f>
        <v>160000</v>
      </c>
      <c r="G13" s="22" t="n">
        <f aca="false">Base!K290</f>
        <v>0</v>
      </c>
      <c r="H13" s="22" t="n">
        <f aca="false">D13-G13</f>
        <v>160000</v>
      </c>
      <c r="I13" s="23" t="n">
        <f aca="false">IF(D13=0,0,G13/D13)</f>
        <v>0</v>
      </c>
      <c r="J13" s="21" t="str">
        <f aca="false">Base!O290</f>
        <v>Equipamiento / Contrata</v>
      </c>
      <c r="K13" s="21" t="str">
        <f aca="false">Base!P290</f>
        <v>Sin certificar</v>
      </c>
      <c r="L13" s="22" t="str">
        <f aca="false">Base!Q290</f>
        <v>No registrado en cartera</v>
      </c>
      <c r="M13" s="22" t="str">
        <f aca="false">Base!R290</f>
        <v>No registrado en cartera</v>
      </c>
      <c r="N13" s="22" t="str">
        <f aca="false">Base!S290</f>
        <v>No registrado en cartera</v>
      </c>
      <c r="O13" s="22" t="str">
        <f aca="false">Base!T290</f>
        <v>No registrado en cartera</v>
      </c>
      <c r="P13" s="21" t="str">
        <f aca="false">IF(Base!U290="","",Base!U290)</f>
        <v/>
      </c>
    </row>
    <row r="14" customFormat="false" ht="43.25" hidden="false" customHeight="false" outlineLevel="0" collapsed="false">
      <c r="A14" s="20" t="n">
        <f aca="false">SUBTOTAL(103,$B$6:B14)</f>
        <v>6</v>
      </c>
      <c r="B14" s="20" t="n">
        <v>373</v>
      </c>
      <c r="C14" s="21" t="str">
        <f aca="false">Base!G291</f>
        <v>2676438: MEJORAMIENTO DE LA PRODUCCION DE MIEL DE ABEJA DE LA ASOCIACION DE APICULTORES Y PRODUCTORES AGROPECUARIOS DEL VALLE YANAHUAYA, DEL DISTRITO DE YANAHUARA PROVINCIA DE SANDIA DEPARTAMENTO DE PUNO</v>
      </c>
      <c r="D14" s="22" t="n">
        <f aca="false">Base!H291</f>
        <v>83160</v>
      </c>
      <c r="E14" s="22" t="n">
        <f aca="false">Base!I291</f>
        <v>83160</v>
      </c>
      <c r="F14" s="22" t="n">
        <f aca="false">D14-E14</f>
        <v>0</v>
      </c>
      <c r="G14" s="22" t="n">
        <f aca="false">Base!K291</f>
        <v>83100.4</v>
      </c>
      <c r="H14" s="22" t="n">
        <f aca="false">D14-G14</f>
        <v>59.6000000000058</v>
      </c>
      <c r="I14" s="23" t="n">
        <f aca="false">IF(D14=0,0,G14/D14)</f>
        <v>0.999283309283309</v>
      </c>
      <c r="J14" s="21" t="str">
        <f aca="false">Base!O291</f>
        <v>Equipamiento</v>
      </c>
      <c r="K14" s="21" t="str">
        <f aca="false">Base!P291</f>
        <v>Comprometido</v>
      </c>
      <c r="L14" s="22" t="str">
        <f aca="false">Base!Q291</f>
        <v>No registrado en cartera</v>
      </c>
      <c r="M14" s="22" t="str">
        <f aca="false">Base!R291</f>
        <v>No registrado en cartera</v>
      </c>
      <c r="N14" s="22" t="str">
        <f aca="false">Base!S291</f>
        <v>No registrado en cartera</v>
      </c>
      <c r="O14" s="22" t="str">
        <f aca="false">Base!T291</f>
        <v>No registrado en cartera</v>
      </c>
      <c r="P14" s="21" t="str">
        <f aca="false">IF(Base!U291="","",Base!U291)</f>
        <v/>
      </c>
    </row>
    <row r="15" customFormat="false" ht="15" hidden="false" customHeight="false" outlineLevel="0" collapsed="false">
      <c r="A15" s="17" t="s">
        <v>60</v>
      </c>
      <c r="B15" s="17"/>
      <c r="C15" s="17"/>
      <c r="D15" s="18" t="n">
        <f aca="false">SUM(D16:D17)</f>
        <v>1098209</v>
      </c>
      <c r="E15" s="18" t="n">
        <f aca="false">SUM(E16:E17)</f>
        <v>995606.03</v>
      </c>
      <c r="F15" s="18" t="n">
        <f aca="false">SUM(F16:F17)</f>
        <v>102602.97</v>
      </c>
      <c r="G15" s="18" t="n">
        <f aca="false">SUM(G16:G17)</f>
        <v>677101.76</v>
      </c>
      <c r="H15" s="18" t="n">
        <f aca="false">SUM(H16:H17)</f>
        <v>421107.24</v>
      </c>
      <c r="I15" s="19" t="n">
        <f aca="false">IF(D15=0,0,G15/D15)</f>
        <v>0.61655091152959</v>
      </c>
      <c r="J15" s="17"/>
      <c r="K15" s="17"/>
      <c r="L15" s="17"/>
      <c r="M15" s="17"/>
      <c r="N15" s="17"/>
      <c r="O15" s="17"/>
      <c r="P15" s="17"/>
    </row>
    <row r="16" customFormat="false" ht="15" hidden="false" customHeight="false" outlineLevel="0" collapsed="false">
      <c r="A16" s="20" t="n">
        <f aca="false">SUBTOTAL(103,$B$6:B16)</f>
        <v>7</v>
      </c>
      <c r="B16" s="20" t="n">
        <v>216</v>
      </c>
      <c r="C16" s="21" t="str">
        <f aca="false">Base!G292</f>
        <v>2016766: INICIATIVA A LA COMPETITIVIDAD</v>
      </c>
      <c r="D16" s="22" t="n">
        <f aca="false">Base!H292</f>
        <v>928209</v>
      </c>
      <c r="E16" s="22" t="n">
        <f aca="false">Base!I292</f>
        <v>900951.03</v>
      </c>
      <c r="F16" s="22" t="n">
        <f aca="false">D16-E16</f>
        <v>27257.97</v>
      </c>
      <c r="G16" s="22" t="n">
        <f aca="false">Base!K292</f>
        <v>633092.52</v>
      </c>
      <c r="H16" s="22" t="n">
        <f aca="false">D16-G16</f>
        <v>295116.48</v>
      </c>
      <c r="I16" s="23" t="n">
        <f aca="false">IF(D16=0,0,G16/D16)</f>
        <v>0.682058157160726</v>
      </c>
      <c r="J16" s="21" t="str">
        <f aca="false">Base!O292</f>
        <v>Estudio de preinversión</v>
      </c>
      <c r="K16" s="21" t="str">
        <f aca="false">Base!P292</f>
        <v>Comprometido</v>
      </c>
      <c r="L16" s="22" t="str">
        <f aca="false">Base!Q292</f>
        <v>No registrado en cartera</v>
      </c>
      <c r="M16" s="22" t="str">
        <f aca="false">Base!R292</f>
        <v>No registrado en cartera</v>
      </c>
      <c r="N16" s="22" t="str">
        <f aca="false">Base!S292</f>
        <v>No registrado en cartera</v>
      </c>
      <c r="O16" s="22" t="str">
        <f aca="false">Base!T292</f>
        <v>No registrado en cartera</v>
      </c>
      <c r="P16" s="21" t="str">
        <f aca="false">IF(Base!U292="","",Base!U292)</f>
        <v/>
      </c>
    </row>
    <row r="17" customFormat="false" ht="15" hidden="false" customHeight="false" outlineLevel="0" collapsed="false">
      <c r="A17" s="20" t="n">
        <f aca="false">SUBTOTAL(103,$B$6:B17)</f>
        <v>8</v>
      </c>
      <c r="B17" s="20" t="n">
        <v>493</v>
      </c>
      <c r="C17" s="21" t="str">
        <f aca="false">Base!G293</f>
        <v>2016766: INICIATIVA A LA COMPETITIVIDAD</v>
      </c>
      <c r="D17" s="22" t="n">
        <f aca="false">Base!H293</f>
        <v>170000</v>
      </c>
      <c r="E17" s="22" t="n">
        <f aca="false">Base!I293</f>
        <v>94655</v>
      </c>
      <c r="F17" s="22" t="n">
        <f aca="false">D17-E17</f>
        <v>75345</v>
      </c>
      <c r="G17" s="22" t="n">
        <f aca="false">Base!K293</f>
        <v>44009.24</v>
      </c>
      <c r="H17" s="22" t="n">
        <f aca="false">D17-G17</f>
        <v>125990.76</v>
      </c>
      <c r="I17" s="23" t="n">
        <f aca="false">IF(D17=0,0,G17/D17)</f>
        <v>0.258877882352941</v>
      </c>
      <c r="J17" s="21" t="str">
        <f aca="false">Base!O293</f>
        <v>Estudio de preinversión</v>
      </c>
      <c r="K17" s="21" t="str">
        <f aca="false">Base!P293</f>
        <v>Comprometido</v>
      </c>
      <c r="L17" s="22" t="str">
        <f aca="false">Base!Q293</f>
        <v>No registrado en cartera</v>
      </c>
      <c r="M17" s="22" t="str">
        <f aca="false">Base!R293</f>
        <v>No registrado en cartera</v>
      </c>
      <c r="N17" s="22" t="str">
        <f aca="false">Base!S293</f>
        <v>No registrado en cartera</v>
      </c>
      <c r="O17" s="22" t="str">
        <f aca="false">Base!T293</f>
        <v>No registrado en cartera</v>
      </c>
      <c r="P17" s="21" t="str">
        <f aca="false">IF(Base!U293="","",Base!U293)</f>
        <v/>
      </c>
    </row>
    <row r="18" customFormat="false" ht="15" hidden="false" customHeight="false" outlineLevel="0" collapsed="false">
      <c r="A18" s="17" t="s">
        <v>66</v>
      </c>
      <c r="B18" s="17"/>
      <c r="C18" s="17"/>
      <c r="D18" s="18" t="n">
        <f aca="false">SUM(D19:D82)</f>
        <v>8596003</v>
      </c>
      <c r="E18" s="18" t="n">
        <f aca="false">SUM(E19:E82)</f>
        <v>7643005.15</v>
      </c>
      <c r="F18" s="18" t="n">
        <f aca="false">SUM(F19:F82)</f>
        <v>952997.85</v>
      </c>
      <c r="G18" s="18" t="n">
        <f aca="false">SUM(G19:G82)</f>
        <v>4006476.24</v>
      </c>
      <c r="H18" s="18" t="n">
        <f aca="false">SUM(H19:H82)</f>
        <v>4589526.76</v>
      </c>
      <c r="I18" s="19" t="n">
        <f aca="false">IF(D18=0,0,G18/D18)</f>
        <v>0.466085951808067</v>
      </c>
      <c r="J18" s="17"/>
      <c r="K18" s="17"/>
      <c r="L18" s="17"/>
      <c r="M18" s="17"/>
      <c r="N18" s="17"/>
      <c r="O18" s="17"/>
      <c r="P18" s="17"/>
    </row>
    <row r="19" customFormat="false" ht="32.8" hidden="false" customHeight="false" outlineLevel="0" collapsed="false">
      <c r="A19" s="20" t="n">
        <f aca="false">SUBTOTAL(103,$B$6:B19)</f>
        <v>9</v>
      </c>
      <c r="B19" s="20" t="n">
        <v>418</v>
      </c>
      <c r="C19" s="21" t="str">
        <f aca="false">Base!G294</f>
        <v>2717186.MEJORAMIENTO DE LA PLANTA DE TRANSFORMACION DE GRANOS ANDINOS DEL GRUPO TURISTICO GASTRONOMICO SAMKA S.A.C., DISTRITO PUNO, PROVINCIA PUNO, REGION PUNO.</v>
      </c>
      <c r="D19" s="22" t="n">
        <f aca="false">Base!H294</f>
        <v>350000</v>
      </c>
      <c r="E19" s="22" t="n">
        <f aca="false">Base!I294</f>
        <v>334060</v>
      </c>
      <c r="F19" s="22" t="n">
        <f aca="false">D19-E19</f>
        <v>15940</v>
      </c>
      <c r="G19" s="22" t="n">
        <f aca="false">Base!K294</f>
        <v>65360</v>
      </c>
      <c r="H19" s="22" t="n">
        <f aca="false">D19-G19</f>
        <v>284640</v>
      </c>
      <c r="I19" s="23" t="n">
        <f aca="false">IF(D19=0,0,G19/D19)</f>
        <v>0.186742857142857</v>
      </c>
      <c r="J19" s="21" t="str">
        <f aca="false">Base!O294</f>
        <v>Equipamiento / Contrata</v>
      </c>
      <c r="K19" s="21" t="str">
        <f aca="false">Base!P294</f>
        <v>Comprometido</v>
      </c>
      <c r="L19" s="22" t="str">
        <f aca="false">Base!Q294</f>
        <v>No registrado en cartera</v>
      </c>
      <c r="M19" s="22" t="str">
        <f aca="false">Base!R294</f>
        <v>No registrado en cartera</v>
      </c>
      <c r="N19" s="22" t="str">
        <f aca="false">Base!S294</f>
        <v>No registrado en cartera</v>
      </c>
      <c r="O19" s="22" t="str">
        <f aca="false">Base!T294</f>
        <v>No registrado en cartera</v>
      </c>
      <c r="P19" s="21" t="str">
        <f aca="false">IF(Base!U294="","",Base!U294)</f>
        <v/>
      </c>
    </row>
    <row r="20" customFormat="false" ht="32.8" hidden="false" customHeight="false" outlineLevel="0" collapsed="false">
      <c r="A20" s="20" t="n">
        <f aca="false">SUBTOTAL(103,$B$6:B20)</f>
        <v>10</v>
      </c>
      <c r="B20" s="20" t="n">
        <v>424</v>
      </c>
      <c r="C20" s="21" t="str">
        <f aca="false">Base!G295</f>
        <v>2717193.AMPLIACION DE LA CAPACIDAD PRODUCCION DE QUESO PARIA  EN GRUPO NEBRASKA S.A.C. EN DISTRITO DE JULIACA PROVINCIA DE SAN ROMAN REGION PUNO</v>
      </c>
      <c r="D20" s="22" t="n">
        <f aca="false">Base!H295</f>
        <v>349950</v>
      </c>
      <c r="E20" s="22" t="n">
        <f aca="false">Base!I295</f>
        <v>287705</v>
      </c>
      <c r="F20" s="22" t="n">
        <f aca="false">D20-E20</f>
        <v>62245</v>
      </c>
      <c r="G20" s="22" t="n">
        <f aca="false">Base!K295</f>
        <v>136062</v>
      </c>
      <c r="H20" s="22" t="n">
        <f aca="false">D20-G20</f>
        <v>213888</v>
      </c>
      <c r="I20" s="23" t="n">
        <f aca="false">IF(D20=0,0,G20/D20)</f>
        <v>0.388804114873553</v>
      </c>
      <c r="J20" s="21" t="str">
        <f aca="false">Base!O295</f>
        <v>Equipamiento / Contrata</v>
      </c>
      <c r="K20" s="21" t="str">
        <f aca="false">Base!P295</f>
        <v>Comprometido</v>
      </c>
      <c r="L20" s="22" t="str">
        <f aca="false">Base!Q295</f>
        <v>No registrado en cartera</v>
      </c>
      <c r="M20" s="22" t="str">
        <f aca="false">Base!R295</f>
        <v>No registrado en cartera</v>
      </c>
      <c r="N20" s="22" t="str">
        <f aca="false">Base!S295</f>
        <v>No registrado en cartera</v>
      </c>
      <c r="O20" s="22" t="str">
        <f aca="false">Base!T295</f>
        <v>No registrado en cartera</v>
      </c>
      <c r="P20" s="21" t="str">
        <f aca="false">IF(Base!U295="","",Base!U295)</f>
        <v/>
      </c>
    </row>
    <row r="21" customFormat="false" ht="32.8" hidden="false" customHeight="false" outlineLevel="0" collapsed="false">
      <c r="A21" s="20" t="n">
        <f aca="false">SUBTOTAL(103,$B$6:B21)</f>
        <v>11</v>
      </c>
      <c r="B21" s="20" t="n">
        <v>413</v>
      </c>
      <c r="C21" s="21" t="str">
        <f aca="false">Base!G296</f>
        <v>2717178.MEJORAMIENTO DEL CULTIVO DE HABAS EN CORPORACION PECUARIO AGRICOLA EMMANUEL S.A.C., DISTRITO DE ZEPITA, PROVINCIA DE CHUCUITO Y DEPARTAMENTO DE PUNO</v>
      </c>
      <c r="D21" s="22" t="n">
        <f aca="false">Base!H296</f>
        <v>349899</v>
      </c>
      <c r="E21" s="22" t="n">
        <f aca="false">Base!I296</f>
        <v>307070</v>
      </c>
      <c r="F21" s="22" t="n">
        <f aca="false">D21-E21</f>
        <v>42829</v>
      </c>
      <c r="G21" s="22" t="n">
        <f aca="false">Base!K296</f>
        <v>10500</v>
      </c>
      <c r="H21" s="22" t="n">
        <f aca="false">D21-G21</f>
        <v>339399</v>
      </c>
      <c r="I21" s="23" t="n">
        <f aca="false">IF(D21=0,0,G21/D21)</f>
        <v>0.0300086596417823</v>
      </c>
      <c r="J21" s="21" t="str">
        <f aca="false">Base!O296</f>
        <v>Equipamiento / Contrata</v>
      </c>
      <c r="K21" s="21" t="str">
        <f aca="false">Base!P296</f>
        <v>Comprometido</v>
      </c>
      <c r="L21" s="22" t="str">
        <f aca="false">Base!Q296</f>
        <v>No registrado en cartera</v>
      </c>
      <c r="M21" s="22" t="str">
        <f aca="false">Base!R296</f>
        <v>No registrado en cartera</v>
      </c>
      <c r="N21" s="22" t="str">
        <f aca="false">Base!S296</f>
        <v>No registrado en cartera</v>
      </c>
      <c r="O21" s="22" t="str">
        <f aca="false">Base!T296</f>
        <v>No registrado en cartera</v>
      </c>
      <c r="P21" s="21" t="str">
        <f aca="false">IF(Base!U296="","",Base!U296)</f>
        <v/>
      </c>
    </row>
    <row r="22" customFormat="false" ht="43.25" hidden="false" customHeight="false" outlineLevel="0" collapsed="false">
      <c r="A22" s="20" t="n">
        <f aca="false">SUBTOTAL(103,$B$6:B22)</f>
        <v>12</v>
      </c>
      <c r="B22" s="20" t="n">
        <v>394</v>
      </c>
      <c r="C22" s="21" t="str">
        <f aca="false">Base!G297</f>
        <v>2717158.MEJORAMIENTO DE LA PRODUCCION DE PACAS EN LA ASOCIACION DE PRODUCTORES AGROPECUARIOS Y FORESTALES SAN PEDRO DE FRAYLIMA, DISTRITO DE AZANGARO, PROVINCIA AZANGARO Y DEPARTAMENTO DE PUNO</v>
      </c>
      <c r="D22" s="22" t="n">
        <f aca="false">Base!H297</f>
        <v>349792</v>
      </c>
      <c r="E22" s="22" t="n">
        <f aca="false">Base!I297</f>
        <v>321500</v>
      </c>
      <c r="F22" s="22" t="n">
        <f aca="false">D22-E22</f>
        <v>28292</v>
      </c>
      <c r="G22" s="22" t="n">
        <f aca="false">Base!K297</f>
        <v>0</v>
      </c>
      <c r="H22" s="22" t="n">
        <f aca="false">D22-G22</f>
        <v>349792</v>
      </c>
      <c r="I22" s="23" t="n">
        <f aca="false">IF(D22=0,0,G22/D22)</f>
        <v>0</v>
      </c>
      <c r="J22" s="21" t="str">
        <f aca="false">Base!O297</f>
        <v>Equipamiento / Contrata</v>
      </c>
      <c r="K22" s="21" t="str">
        <f aca="false">Base!P297</f>
        <v>Solo certificado</v>
      </c>
      <c r="L22" s="22" t="str">
        <f aca="false">Base!Q297</f>
        <v>No registrado en cartera</v>
      </c>
      <c r="M22" s="22" t="str">
        <f aca="false">Base!R297</f>
        <v>No registrado en cartera</v>
      </c>
      <c r="N22" s="22" t="str">
        <f aca="false">Base!S297</f>
        <v>No registrado en cartera</v>
      </c>
      <c r="O22" s="22" t="str">
        <f aca="false">Base!T297</f>
        <v>No registrado en cartera</v>
      </c>
      <c r="P22" s="21" t="str">
        <f aca="false">IF(Base!U297="","",Base!U297)</f>
        <v/>
      </c>
    </row>
    <row r="23" customFormat="false" ht="43.25" hidden="false" customHeight="false" outlineLevel="0" collapsed="false">
      <c r="A23" s="20" t="n">
        <f aca="false">SUBTOTAL(103,$B$6:B23)</f>
        <v>13</v>
      </c>
      <c r="B23" s="20" t="n">
        <v>408</v>
      </c>
      <c r="C23" s="21" t="str">
        <f aca="false">Base!G298</f>
        <v>2717173.MEJORAMIENTO DE LA PRODUCCION DE DERIVADOS DE QUINUA EN HARINA EXTRUIDA Y POP EXTRUIDO DE LA EMPRESA CORPORACION DALSAR SOCIEDAD ANONIMA CERRADA DEL DISTRITO DE PUNO, PROVINCIA PUNO, DEPARTAMENTO PUNO.</v>
      </c>
      <c r="D23" s="22" t="n">
        <f aca="false">Base!H298</f>
        <v>349792</v>
      </c>
      <c r="E23" s="22" t="n">
        <f aca="false">Base!I298</f>
        <v>329100</v>
      </c>
      <c r="F23" s="22" t="n">
        <f aca="false">D23-E23</f>
        <v>20692</v>
      </c>
      <c r="G23" s="22" t="n">
        <f aca="false">Base!K298</f>
        <v>0</v>
      </c>
      <c r="H23" s="22" t="n">
        <f aca="false">D23-G23</f>
        <v>349792</v>
      </c>
      <c r="I23" s="23" t="n">
        <f aca="false">IF(D23=0,0,G23/D23)</f>
        <v>0</v>
      </c>
      <c r="J23" s="21" t="str">
        <f aca="false">Base!O298</f>
        <v>Equipamiento / Contrata</v>
      </c>
      <c r="K23" s="21" t="str">
        <f aca="false">Base!P298</f>
        <v>Solo certificado</v>
      </c>
      <c r="L23" s="22" t="str">
        <f aca="false">Base!Q298</f>
        <v>No registrado en cartera</v>
      </c>
      <c r="M23" s="22" t="str">
        <f aca="false">Base!R298</f>
        <v>No registrado en cartera</v>
      </c>
      <c r="N23" s="22" t="str">
        <f aca="false">Base!S298</f>
        <v>No registrado en cartera</v>
      </c>
      <c r="O23" s="22" t="str">
        <f aca="false">Base!T298</f>
        <v>No registrado en cartera</v>
      </c>
      <c r="P23" s="21" t="str">
        <f aca="false">IF(Base!U298="","",Base!U298)</f>
        <v/>
      </c>
    </row>
    <row r="24" customFormat="false" ht="32.8" hidden="false" customHeight="false" outlineLevel="0" collapsed="false">
      <c r="A24" s="20" t="n">
        <f aca="false">SUBTOTAL(103,$B$6:B24)</f>
        <v>14</v>
      </c>
      <c r="B24" s="20" t="n">
        <v>421</v>
      </c>
      <c r="C24" s="21" t="str">
        <f aca="false">Base!G299</f>
        <v>2717189.MEJORAMIENTO DE LA PRODUCCION DE YOGURT EN EL AEO AGROINDUSTRIA YOGULE S.A.C., DISTRITO DE CABANA, PROVINCIA SAN ROMAN, REGION PUNO</v>
      </c>
      <c r="D24" s="22" t="n">
        <f aca="false">Base!H299</f>
        <v>346711</v>
      </c>
      <c r="E24" s="22" t="n">
        <f aca="false">Base!I299</f>
        <v>318955</v>
      </c>
      <c r="F24" s="22" t="n">
        <f aca="false">D24-E24</f>
        <v>27756</v>
      </c>
      <c r="G24" s="22" t="n">
        <f aca="false">Base!K299</f>
        <v>112190</v>
      </c>
      <c r="H24" s="22" t="n">
        <f aca="false">D24-G24</f>
        <v>234521</v>
      </c>
      <c r="I24" s="23" t="n">
        <f aca="false">IF(D24=0,0,G24/D24)</f>
        <v>0.323583618633386</v>
      </c>
      <c r="J24" s="21" t="str">
        <f aca="false">Base!O299</f>
        <v>Equipamiento / Contrata</v>
      </c>
      <c r="K24" s="21" t="str">
        <f aca="false">Base!P299</f>
        <v>Comprometido</v>
      </c>
      <c r="L24" s="22" t="str">
        <f aca="false">Base!Q299</f>
        <v>No registrado en cartera</v>
      </c>
      <c r="M24" s="22" t="str">
        <f aca="false">Base!R299</f>
        <v>No registrado en cartera</v>
      </c>
      <c r="N24" s="22" t="str">
        <f aca="false">Base!S299</f>
        <v>No registrado en cartera</v>
      </c>
      <c r="O24" s="22" t="str">
        <f aca="false">Base!T299</f>
        <v>No registrado en cartera</v>
      </c>
      <c r="P24" s="21" t="str">
        <f aca="false">IF(Base!U299="","",Base!U299)</f>
        <v/>
      </c>
    </row>
    <row r="25" customFormat="false" ht="43.25" hidden="false" customHeight="false" outlineLevel="0" collapsed="false">
      <c r="A25" s="20" t="n">
        <f aca="false">SUBTOTAL(103,$B$6:B25)</f>
        <v>15</v>
      </c>
      <c r="B25" s="20" t="n">
        <v>387</v>
      </c>
      <c r="C25" s="21" t="str">
        <f aca="false">Base!G300</f>
        <v>2717151.MEJORAMIENTO DE LA PRODUCCION DE LECHE FRESCA EN LA ASOCIACION DE PRODUCTORES AGROPECUARIOS SUMAC KANCHAY DE LA LIBERTAD NUNOA MELGAR PUNO, DISTRITO DE NUNOA, PROVINCIA DE MELGAR Y REGION PUNO</v>
      </c>
      <c r="D25" s="22" t="n">
        <f aca="false">Base!H300</f>
        <v>269980</v>
      </c>
      <c r="E25" s="22" t="n">
        <f aca="false">Base!I300</f>
        <v>259749</v>
      </c>
      <c r="F25" s="22" t="n">
        <f aca="false">D25-E25</f>
        <v>10231</v>
      </c>
      <c r="G25" s="22" t="n">
        <f aca="false">Base!K300</f>
        <v>255066</v>
      </c>
      <c r="H25" s="22" t="n">
        <f aca="false">D25-G25</f>
        <v>14914</v>
      </c>
      <c r="I25" s="23" t="n">
        <f aca="false">IF(D25=0,0,G25/D25)</f>
        <v>0.944758871027484</v>
      </c>
      <c r="J25" s="21" t="str">
        <f aca="false">Base!O300</f>
        <v>Equipamiento / Contrata</v>
      </c>
      <c r="K25" s="21" t="str">
        <f aca="false">Base!P300</f>
        <v>Comprometido</v>
      </c>
      <c r="L25" s="22" t="str">
        <f aca="false">Base!Q300</f>
        <v>No registrado en cartera</v>
      </c>
      <c r="M25" s="22" t="str">
        <f aca="false">Base!R300</f>
        <v>No registrado en cartera</v>
      </c>
      <c r="N25" s="22" t="str">
        <f aca="false">Base!S300</f>
        <v>No registrado en cartera</v>
      </c>
      <c r="O25" s="22" t="str">
        <f aca="false">Base!T300</f>
        <v>No registrado en cartera</v>
      </c>
      <c r="P25" s="21" t="str">
        <f aca="false">IF(Base!U300="","",Base!U300)</f>
        <v/>
      </c>
    </row>
    <row r="26" customFormat="false" ht="43.25" hidden="false" customHeight="false" outlineLevel="0" collapsed="false">
      <c r="A26" s="20" t="n">
        <f aca="false">SUBTOTAL(103,$B$6:B26)</f>
        <v>16</v>
      </c>
      <c r="B26" s="20" t="n">
        <v>378</v>
      </c>
      <c r="C26" s="21" t="str">
        <f aca="false">Base!G301</f>
        <v>2676440: MEJORAMIENTO DE LA PRODUCCION Y LA PRODUCTIVIDAD DE QUESO TIPO PARIA PASTEURIZADO DE LA EMPRESA DE PRODUCCION AGROPECUARIA MICA ASUNCION SAC DEL, DISTRITO DE AZANGARO, PROVINCIA AZANGARO, DEPARTAMENTO PUNO.</v>
      </c>
      <c r="D26" s="22" t="n">
        <f aca="false">Base!H301</f>
        <v>209400</v>
      </c>
      <c r="E26" s="22" t="n">
        <f aca="false">Base!I301</f>
        <v>176550</v>
      </c>
      <c r="F26" s="22" t="n">
        <f aca="false">D26-E26</f>
        <v>32850</v>
      </c>
      <c r="G26" s="22" t="n">
        <f aca="false">Base!K301</f>
        <v>136550</v>
      </c>
      <c r="H26" s="22" t="n">
        <f aca="false">D26-G26</f>
        <v>72850</v>
      </c>
      <c r="I26" s="23" t="n">
        <f aca="false">IF(D26=0,0,G26/D26)</f>
        <v>0.652101241642789</v>
      </c>
      <c r="J26" s="21" t="str">
        <f aca="false">Base!O301</f>
        <v>Equipamiento / Contrata</v>
      </c>
      <c r="K26" s="21" t="str">
        <f aca="false">Base!P301</f>
        <v>Comprometido</v>
      </c>
      <c r="L26" s="22" t="str">
        <f aca="false">Base!Q301</f>
        <v>No registrado en cartera</v>
      </c>
      <c r="M26" s="22" t="str">
        <f aca="false">Base!R301</f>
        <v>No registrado en cartera</v>
      </c>
      <c r="N26" s="22" t="str">
        <f aca="false">Base!S301</f>
        <v>No registrado en cartera</v>
      </c>
      <c r="O26" s="22" t="str">
        <f aca="false">Base!T301</f>
        <v>No registrado en cartera</v>
      </c>
      <c r="P26" s="21" t="str">
        <f aca="false">IF(Base!U301="","",Base!U301)</f>
        <v/>
      </c>
    </row>
    <row r="27" customFormat="false" ht="43.25" hidden="false" customHeight="false" outlineLevel="0" collapsed="false">
      <c r="A27" s="20" t="n">
        <f aca="false">SUBTOTAL(103,$B$6:B27)</f>
        <v>17</v>
      </c>
      <c r="B27" s="20" t="n">
        <v>392</v>
      </c>
      <c r="C27" s="21" t="str">
        <f aca="false">Base!G302</f>
        <v>2717156.MEJORAMIENTO DE LA PRODUCCION Y LA COMERCIALIZACION DE LECHE FRESCA EN LA ORGANIZACION DE PRODUCTORES SAN JUAN DE FAON DEL DISTRITO DE HUATA, PROVINCIA DE PUNO, DEPARTAMENTO DE PUNO.</v>
      </c>
      <c r="D27" s="22" t="n">
        <f aca="false">Base!H302</f>
        <v>160000</v>
      </c>
      <c r="E27" s="22" t="n">
        <f aca="false">Base!I302</f>
        <v>143401</v>
      </c>
      <c r="F27" s="22" t="n">
        <f aca="false">D27-E27</f>
        <v>16599</v>
      </c>
      <c r="G27" s="22" t="n">
        <f aca="false">Base!K302</f>
        <v>143401</v>
      </c>
      <c r="H27" s="22" t="n">
        <f aca="false">D27-G27</f>
        <v>16599</v>
      </c>
      <c r="I27" s="23" t="n">
        <f aca="false">IF(D27=0,0,G27/D27)</f>
        <v>0.89625625</v>
      </c>
      <c r="J27" s="21" t="str">
        <f aca="false">Base!O302</f>
        <v>Equipamiento / Contrata</v>
      </c>
      <c r="K27" s="21" t="str">
        <f aca="false">Base!P302</f>
        <v>Comprometido</v>
      </c>
      <c r="L27" s="22" t="str">
        <f aca="false">Base!Q302</f>
        <v>No registrado en cartera</v>
      </c>
      <c r="M27" s="22" t="str">
        <f aca="false">Base!R302</f>
        <v>No registrado en cartera</v>
      </c>
      <c r="N27" s="22" t="str">
        <f aca="false">Base!S302</f>
        <v>No registrado en cartera</v>
      </c>
      <c r="O27" s="22" t="str">
        <f aca="false">Base!T302</f>
        <v>No registrado en cartera</v>
      </c>
      <c r="P27" s="21" t="str">
        <f aca="false">IF(Base!U302="","",Base!U302)</f>
        <v/>
      </c>
    </row>
    <row r="28" customFormat="false" ht="53.7" hidden="false" customHeight="false" outlineLevel="0" collapsed="false">
      <c r="A28" s="20" t="n">
        <f aca="false">SUBTOTAL(103,$B$6:B28)</f>
        <v>18</v>
      </c>
      <c r="B28" s="20" t="n">
        <v>393</v>
      </c>
      <c r="C28" s="21" t="str">
        <f aca="false">Base!G303</f>
        <v>2717157.MEJORAMIENTO DE LA PRODUCCION Y ENGORDE DE GANADO VACUNO  A  TRAVES DE LA OPTIMIZACION DE LA ALIMENTACION EN LA ASOCIACION DE PRODUCTORES AGROPECUARIOS EL TORITO BRAVO DEL DISTRITO DE QUILCAPUNCO, PROVINCIA DE SAN ANTONIO DE PUTINA, REGION PUNO.</v>
      </c>
      <c r="D28" s="22" t="n">
        <f aca="false">Base!H303</f>
        <v>160000</v>
      </c>
      <c r="E28" s="22" t="n">
        <f aca="false">Base!I303</f>
        <v>149840</v>
      </c>
      <c r="F28" s="22" t="n">
        <f aca="false">D28-E28</f>
        <v>10160</v>
      </c>
      <c r="G28" s="22" t="n">
        <f aca="false">Base!K303</f>
        <v>18740</v>
      </c>
      <c r="H28" s="22" t="n">
        <f aca="false">D28-G28</f>
        <v>141260</v>
      </c>
      <c r="I28" s="23" t="n">
        <f aca="false">IF(D28=0,0,G28/D28)</f>
        <v>0.117125</v>
      </c>
      <c r="J28" s="21" t="str">
        <f aca="false">Base!O303</f>
        <v>Equipamiento / Contrata</v>
      </c>
      <c r="K28" s="21" t="str">
        <f aca="false">Base!P303</f>
        <v>Comprometido</v>
      </c>
      <c r="L28" s="22" t="str">
        <f aca="false">Base!Q303</f>
        <v>No registrado en cartera</v>
      </c>
      <c r="M28" s="22" t="str">
        <f aca="false">Base!R303</f>
        <v>No registrado en cartera</v>
      </c>
      <c r="N28" s="22" t="str">
        <f aca="false">Base!S303</f>
        <v>No registrado en cartera</v>
      </c>
      <c r="O28" s="22" t="str">
        <f aca="false">Base!T303</f>
        <v>No registrado en cartera</v>
      </c>
      <c r="P28" s="21" t="str">
        <f aca="false">IF(Base!U303="","",Base!U303)</f>
        <v/>
      </c>
    </row>
    <row r="29" customFormat="false" ht="43.25" hidden="false" customHeight="false" outlineLevel="0" collapsed="false">
      <c r="A29" s="20" t="n">
        <f aca="false">SUBTOTAL(103,$B$6:B29)</f>
        <v>19</v>
      </c>
      <c r="B29" s="20" t="n">
        <v>397</v>
      </c>
      <c r="C29" s="21" t="str">
        <f aca="false">Base!G304</f>
        <v>2717161.MEJORAMIENTO DE LA CAPACIDAD DE TRANSFORMACION DE CHIPS DE PAPA NATIVA, EN LA AEO ASOCIACION DE PRODUCTORES MULTIPLES SAN ISIDRO DE TANTAMACO DEL DISTRITO DE MACUSANI, PROVINCIA DE CARABAYA, REGION DE PUNO</v>
      </c>
      <c r="D29" s="22" t="n">
        <f aca="false">Base!H304</f>
        <v>160000</v>
      </c>
      <c r="E29" s="22" t="n">
        <f aca="false">Base!I304</f>
        <v>148990</v>
      </c>
      <c r="F29" s="22" t="n">
        <f aca="false">D29-E29</f>
        <v>11010</v>
      </c>
      <c r="G29" s="22" t="n">
        <f aca="false">Base!K304</f>
        <v>26000</v>
      </c>
      <c r="H29" s="22" t="n">
        <f aca="false">D29-G29</f>
        <v>134000</v>
      </c>
      <c r="I29" s="23" t="n">
        <f aca="false">IF(D29=0,0,G29/D29)</f>
        <v>0.1625</v>
      </c>
      <c r="J29" s="21" t="str">
        <f aca="false">Base!O304</f>
        <v>Equipamiento / Contrata</v>
      </c>
      <c r="K29" s="21" t="str">
        <f aca="false">Base!P304</f>
        <v>Comprometido</v>
      </c>
      <c r="L29" s="22" t="str">
        <f aca="false">Base!Q304</f>
        <v>No registrado en cartera</v>
      </c>
      <c r="M29" s="22" t="str">
        <f aca="false">Base!R304</f>
        <v>No registrado en cartera</v>
      </c>
      <c r="N29" s="22" t="str">
        <f aca="false">Base!S304</f>
        <v>No registrado en cartera</v>
      </c>
      <c r="O29" s="22" t="str">
        <f aca="false">Base!T304</f>
        <v>No registrado en cartera</v>
      </c>
      <c r="P29" s="21" t="str">
        <f aca="false">IF(Base!U304="","",Base!U304)</f>
        <v/>
      </c>
    </row>
    <row r="30" customFormat="false" ht="43.25" hidden="false" customHeight="false" outlineLevel="0" collapsed="false">
      <c r="A30" s="20" t="n">
        <f aca="false">SUBTOTAL(103,$B$6:B30)</f>
        <v>20</v>
      </c>
      <c r="B30" s="20" t="n">
        <v>404</v>
      </c>
      <c r="C30" s="21" t="str">
        <f aca="false">Base!G305</f>
        <v>2717169.CREACION DE UNA PLANTA PROCESADORA DE QUINUA EN LA AEO ASOCIACION DE PRODUCTORES AGROPECUARIOS ROQUE APAZA PAMPA DEL DISTRITO DE PAUCARCOLLA, PROVINCIA DE PUNO, DEPARTAMENTO DE PUNO</v>
      </c>
      <c r="D30" s="22" t="n">
        <f aca="false">Base!H305</f>
        <v>160000</v>
      </c>
      <c r="E30" s="22" t="n">
        <f aca="false">Base!I305</f>
        <v>150870</v>
      </c>
      <c r="F30" s="22" t="n">
        <f aca="false">D30-E30</f>
        <v>9130</v>
      </c>
      <c r="G30" s="22" t="n">
        <f aca="false">Base!K305</f>
        <v>45270</v>
      </c>
      <c r="H30" s="22" t="n">
        <f aca="false">D30-G30</f>
        <v>114730</v>
      </c>
      <c r="I30" s="23" t="n">
        <f aca="false">IF(D30=0,0,G30/D30)</f>
        <v>0.2829375</v>
      </c>
      <c r="J30" s="21" t="str">
        <f aca="false">Base!O305</f>
        <v>Equipamiento / Contrata</v>
      </c>
      <c r="K30" s="21" t="str">
        <f aca="false">Base!P305</f>
        <v>Comprometido</v>
      </c>
      <c r="L30" s="22" t="str">
        <f aca="false">Base!Q305</f>
        <v>No registrado en cartera</v>
      </c>
      <c r="M30" s="22" t="str">
        <f aca="false">Base!R305</f>
        <v>No registrado en cartera</v>
      </c>
      <c r="N30" s="22" t="str">
        <f aca="false">Base!S305</f>
        <v>No registrado en cartera</v>
      </c>
      <c r="O30" s="22" t="str">
        <f aca="false">Base!T305</f>
        <v>No registrado en cartera</v>
      </c>
      <c r="P30" s="21" t="str">
        <f aca="false">IF(Base!U305="","",Base!U305)</f>
        <v/>
      </c>
    </row>
    <row r="31" customFormat="false" ht="43.25" hidden="false" customHeight="false" outlineLevel="0" collapsed="false">
      <c r="A31" s="20" t="n">
        <f aca="false">SUBTOTAL(103,$B$6:B31)</f>
        <v>21</v>
      </c>
      <c r="B31" s="20" t="n">
        <v>407</v>
      </c>
      <c r="C31" s="21" t="str">
        <f aca="false">Base!G306</f>
        <v>2717172.MEJORAMIENTO DEL PROCESO DE PRODUCCION DE QUESO EN LA ASOCIACION DE PEQUENOS PRODUCTORES AGROPECUARIOS DE DERIVADOS LACTEOS SAN JOSE TATASQA, DISTRITO DE LAMPA, PROVINCIA DE LAMPA Y DEPARTAMENTO DE PUNO</v>
      </c>
      <c r="D31" s="22" t="n">
        <f aca="false">Base!H306</f>
        <v>160000</v>
      </c>
      <c r="E31" s="22" t="n">
        <f aca="false">Base!I306</f>
        <v>151322</v>
      </c>
      <c r="F31" s="22" t="n">
        <f aca="false">D31-E31</f>
        <v>8678</v>
      </c>
      <c r="G31" s="22" t="n">
        <f aca="false">Base!K306</f>
        <v>96322</v>
      </c>
      <c r="H31" s="22" t="n">
        <f aca="false">D31-G31</f>
        <v>63678</v>
      </c>
      <c r="I31" s="23" t="n">
        <f aca="false">IF(D31=0,0,G31/D31)</f>
        <v>0.6020125</v>
      </c>
      <c r="J31" s="21" t="str">
        <f aca="false">Base!O306</f>
        <v>Equipamiento / Contrata</v>
      </c>
      <c r="K31" s="21" t="str">
        <f aca="false">Base!P306</f>
        <v>Comprometido</v>
      </c>
      <c r="L31" s="22" t="str">
        <f aca="false">Base!Q306</f>
        <v>No registrado en cartera</v>
      </c>
      <c r="M31" s="22" t="str">
        <f aca="false">Base!R306</f>
        <v>No registrado en cartera</v>
      </c>
      <c r="N31" s="22" t="str">
        <f aca="false">Base!S306</f>
        <v>No registrado en cartera</v>
      </c>
      <c r="O31" s="22" t="str">
        <f aca="false">Base!T306</f>
        <v>No registrado en cartera</v>
      </c>
      <c r="P31" s="21" t="str">
        <f aca="false">IF(Base!U306="","",Base!U306)</f>
        <v/>
      </c>
    </row>
    <row r="32" customFormat="false" ht="53.7" hidden="false" customHeight="false" outlineLevel="0" collapsed="false">
      <c r="A32" s="20" t="n">
        <f aca="false">SUBTOTAL(103,$B$6:B32)</f>
        <v>22</v>
      </c>
      <c r="B32" s="20" t="n">
        <v>412</v>
      </c>
      <c r="C32" s="21" t="str">
        <f aca="false">Base!G307</f>
        <v>2717177.MEJORAMIENTO TECNOLOGICO DE LA PRODUCCION Y COMPETITIVIDAD EN EL ENGORDE DE VACUNOS DE CARNE DE LA ASOCIACION DE PRODUCTORES AGROPECUARIOS Y OTROS GENERACION ACTIVA DE LA COMUNIDAD DE CHALLACOLLO, DISTRITO HUACULLANI, PROVINCIA CHUCUITO,REGION PUN</v>
      </c>
      <c r="D32" s="22" t="n">
        <f aca="false">Base!H307</f>
        <v>160000</v>
      </c>
      <c r="E32" s="22" t="n">
        <f aca="false">Base!I307</f>
        <v>145570.62</v>
      </c>
      <c r="F32" s="22" t="n">
        <f aca="false">D32-E32</f>
        <v>14429.38</v>
      </c>
      <c r="G32" s="22" t="n">
        <f aca="false">Base!K307</f>
        <v>10545</v>
      </c>
      <c r="H32" s="22" t="n">
        <f aca="false">D32-G32</f>
        <v>149455</v>
      </c>
      <c r="I32" s="23" t="n">
        <f aca="false">IF(D32=0,0,G32/D32)</f>
        <v>0.06590625</v>
      </c>
      <c r="J32" s="21" t="str">
        <f aca="false">Base!O307</f>
        <v>Equipamiento / Contrata</v>
      </c>
      <c r="K32" s="21" t="str">
        <f aca="false">Base!P307</f>
        <v>Comprometido</v>
      </c>
      <c r="L32" s="22" t="str">
        <f aca="false">Base!Q307</f>
        <v>No registrado en cartera</v>
      </c>
      <c r="M32" s="22" t="str">
        <f aca="false">Base!R307</f>
        <v>No registrado en cartera</v>
      </c>
      <c r="N32" s="22" t="str">
        <f aca="false">Base!S307</f>
        <v>No registrado en cartera</v>
      </c>
      <c r="O32" s="22" t="str">
        <f aca="false">Base!T307</f>
        <v>No registrado en cartera</v>
      </c>
      <c r="P32" s="21" t="str">
        <f aca="false">IF(Base!U307="","",Base!U307)</f>
        <v/>
      </c>
    </row>
    <row r="33" customFormat="false" ht="43.25" hidden="false" customHeight="false" outlineLevel="0" collapsed="false">
      <c r="A33" s="20" t="n">
        <f aca="false">SUBTOTAL(103,$B$6:B33)</f>
        <v>23</v>
      </c>
      <c r="B33" s="20" t="n">
        <v>420</v>
      </c>
      <c r="C33" s="21" t="str">
        <f aca="false">Base!G308</f>
        <v>2717188.MEJORAMIENTO DE LA COMPETITIVIDAD DE LA PRODUCCION DE LECHE FRESCA EN LA COOPERATIVA AGROINDUSTRIAL SAGRADO CORAZON DE JESUS DE CCOTA  DISTRITO DE PLATERIA PROVINCIA DE PUNO  DEPARTAMENTO DE  PUNO</v>
      </c>
      <c r="D33" s="22" t="n">
        <f aca="false">Base!H308</f>
        <v>160000</v>
      </c>
      <c r="E33" s="22" t="n">
        <f aca="false">Base!I308</f>
        <v>154450</v>
      </c>
      <c r="F33" s="22" t="n">
        <f aca="false">D33-E33</f>
        <v>5550</v>
      </c>
      <c r="G33" s="22" t="n">
        <f aca="false">Base!K308</f>
        <v>129270</v>
      </c>
      <c r="H33" s="22" t="n">
        <f aca="false">D33-G33</f>
        <v>30730</v>
      </c>
      <c r="I33" s="23" t="n">
        <f aca="false">IF(D33=0,0,G33/D33)</f>
        <v>0.8079375</v>
      </c>
      <c r="J33" s="21" t="str">
        <f aca="false">Base!O308</f>
        <v>Equipamiento / Contrata</v>
      </c>
      <c r="K33" s="21" t="str">
        <f aca="false">Base!P308</f>
        <v>Comprometido</v>
      </c>
      <c r="L33" s="22" t="str">
        <f aca="false">Base!Q308</f>
        <v>No registrado en cartera</v>
      </c>
      <c r="M33" s="22" t="str">
        <f aca="false">Base!R308</f>
        <v>No registrado en cartera</v>
      </c>
      <c r="N33" s="22" t="str">
        <f aca="false">Base!S308</f>
        <v>No registrado en cartera</v>
      </c>
      <c r="O33" s="22" t="str">
        <f aca="false">Base!T308</f>
        <v>No registrado en cartera</v>
      </c>
      <c r="P33" s="21" t="str">
        <f aca="false">IF(Base!U308="","",Base!U308)</f>
        <v/>
      </c>
    </row>
    <row r="34" customFormat="false" ht="43.25" hidden="false" customHeight="false" outlineLevel="0" collapsed="false">
      <c r="A34" s="20" t="n">
        <f aca="false">SUBTOTAL(103,$B$6:B34)</f>
        <v>24</v>
      </c>
      <c r="B34" s="20" t="n">
        <v>423</v>
      </c>
      <c r="C34" s="21" t="str">
        <f aca="false">Base!G309</f>
        <v>2717192.MEJORAMIENTO DE LA PRODUCCION Y PROCESAMIENTO DE CULTIVOS FORRAJEROS EN LA ASOCIACION DE PRODUCTORES AGROPECUARIOS ALIANZA RENOVADO CALLANCA, DISTRITO DE PLATERIA, PROVINCIA DE PUNO, DEPARTAMENTO DE PUNO</v>
      </c>
      <c r="D34" s="22" t="n">
        <f aca="false">Base!H309</f>
        <v>160000</v>
      </c>
      <c r="E34" s="22" t="n">
        <f aca="false">Base!I309</f>
        <v>146000</v>
      </c>
      <c r="F34" s="22" t="n">
        <f aca="false">D34-E34</f>
        <v>14000</v>
      </c>
      <c r="G34" s="22" t="n">
        <f aca="false">Base!K309</f>
        <v>2000</v>
      </c>
      <c r="H34" s="22" t="n">
        <f aca="false">D34-G34</f>
        <v>158000</v>
      </c>
      <c r="I34" s="23" t="n">
        <f aca="false">IF(D34=0,0,G34/D34)</f>
        <v>0.0125</v>
      </c>
      <c r="J34" s="21" t="str">
        <f aca="false">Base!O309</f>
        <v>Equipamiento / Contrata</v>
      </c>
      <c r="K34" s="21" t="str">
        <f aca="false">Base!P309</f>
        <v>Comprometido</v>
      </c>
      <c r="L34" s="22" t="str">
        <f aca="false">Base!Q309</f>
        <v>No registrado en cartera</v>
      </c>
      <c r="M34" s="22" t="str">
        <f aca="false">Base!R309</f>
        <v>No registrado en cartera</v>
      </c>
      <c r="N34" s="22" t="str">
        <f aca="false">Base!S309</f>
        <v>No registrado en cartera</v>
      </c>
      <c r="O34" s="22" t="str">
        <f aca="false">Base!T309</f>
        <v>No registrado en cartera</v>
      </c>
      <c r="P34" s="21" t="str">
        <f aca="false">IF(Base!U309="","",Base!U309)</f>
        <v/>
      </c>
    </row>
    <row r="35" customFormat="false" ht="43.25" hidden="false" customHeight="false" outlineLevel="0" collapsed="false">
      <c r="A35" s="20" t="n">
        <f aca="false">SUBTOTAL(103,$B$6:B35)</f>
        <v>25</v>
      </c>
      <c r="B35" s="20" t="n">
        <v>425</v>
      </c>
      <c r="C35" s="21" t="str">
        <f aca="false">Base!G310</f>
        <v>2717194.MEJORAMIENTO DEL CENTRO DE ENGORDE Y COMERCIALIZACION DE GANADO VACUNO EN LA ASOCIACION DE PRODUCTORES GANADERIA LA CANTUTA, DISTRITO DE VILQUE, PROVINCIA PUNO Y REGION PUNO</v>
      </c>
      <c r="D35" s="22" t="n">
        <f aca="false">Base!H310</f>
        <v>160000</v>
      </c>
      <c r="E35" s="22" t="n">
        <f aca="false">Base!I310</f>
        <v>92650</v>
      </c>
      <c r="F35" s="22" t="n">
        <f aca="false">D35-E35</f>
        <v>67350</v>
      </c>
      <c r="G35" s="22" t="n">
        <f aca="false">Base!K310</f>
        <v>89300</v>
      </c>
      <c r="H35" s="22" t="n">
        <f aca="false">D35-G35</f>
        <v>70700</v>
      </c>
      <c r="I35" s="23" t="n">
        <f aca="false">IF(D35=0,0,G35/D35)</f>
        <v>0.558125</v>
      </c>
      <c r="J35" s="21" t="str">
        <f aca="false">Base!O310</f>
        <v>Equipamiento / Contrata</v>
      </c>
      <c r="K35" s="21" t="str">
        <f aca="false">Base!P310</f>
        <v>Comprometido</v>
      </c>
      <c r="L35" s="22" t="str">
        <f aca="false">Base!Q310</f>
        <v>No registrado en cartera</v>
      </c>
      <c r="M35" s="22" t="str">
        <f aca="false">Base!R310</f>
        <v>No registrado en cartera</v>
      </c>
      <c r="N35" s="22" t="str">
        <f aca="false">Base!S310</f>
        <v>No registrado en cartera</v>
      </c>
      <c r="O35" s="22" t="str">
        <f aca="false">Base!T310</f>
        <v>No registrado en cartera</v>
      </c>
      <c r="P35" s="21" t="str">
        <f aca="false">IF(Base!U310="","",Base!U310)</f>
        <v/>
      </c>
    </row>
    <row r="36" customFormat="false" ht="43.25" hidden="false" customHeight="false" outlineLevel="0" collapsed="false">
      <c r="A36" s="20" t="n">
        <f aca="false">SUBTOTAL(103,$B$6:B36)</f>
        <v>26</v>
      </c>
      <c r="B36" s="20" t="n">
        <v>351</v>
      </c>
      <c r="C36" s="21" t="str">
        <f aca="false">Base!G311</f>
        <v>2612522: MEJORAMIENTO DE LA PRODUCCION Y TRANSFORMACION DE QUESOS EN LA ASOCIACION DE PRODUCTORES LACTI SUR DE HUAPACA SANTIAGO DEL DISTRITO DE POMATA, PROVINCIA DE CHUCUITO Y DEPARTAMENTO DE PUN</v>
      </c>
      <c r="D36" s="22" t="n">
        <f aca="false">Base!H311</f>
        <v>61500</v>
      </c>
      <c r="E36" s="22" t="n">
        <f aca="false">Base!I311</f>
        <v>59000</v>
      </c>
      <c r="F36" s="22" t="n">
        <f aca="false">D36-E36</f>
        <v>2500</v>
      </c>
      <c r="G36" s="22" t="n">
        <f aca="false">Base!K311</f>
        <v>0</v>
      </c>
      <c r="H36" s="22" t="n">
        <f aca="false">D36-G36</f>
        <v>61500</v>
      </c>
      <c r="I36" s="23" t="n">
        <f aca="false">IF(D36=0,0,G36/D36)</f>
        <v>0</v>
      </c>
      <c r="J36" s="21" t="str">
        <f aca="false">Base!O311</f>
        <v>Equipamiento</v>
      </c>
      <c r="K36" s="21" t="str">
        <f aca="false">Base!P311</f>
        <v>Solo certificado</v>
      </c>
      <c r="L36" s="22" t="str">
        <f aca="false">Base!Q311</f>
        <v>No registrado en cartera</v>
      </c>
      <c r="M36" s="22" t="str">
        <f aca="false">Base!R311</f>
        <v>No registrado en cartera</v>
      </c>
      <c r="N36" s="22" t="str">
        <f aca="false">Base!S311</f>
        <v>No registrado en cartera</v>
      </c>
      <c r="O36" s="22" t="str">
        <f aca="false">Base!T311</f>
        <v>No registrado en cartera</v>
      </c>
      <c r="P36" s="21" t="str">
        <f aca="false">IF(Base!U311="","",Base!U311)</f>
        <v/>
      </c>
    </row>
    <row r="37" customFormat="false" ht="53.7" hidden="false" customHeight="false" outlineLevel="0" collapsed="false">
      <c r="A37" s="20" t="n">
        <f aca="false">SUBTOTAL(103,$B$6:B37)</f>
        <v>27</v>
      </c>
      <c r="B37" s="20" t="n">
        <v>352</v>
      </c>
      <c r="C37" s="21" t="str">
        <f aca="false">Base!G312</f>
        <v>2612541: MEJORAMIENTO DE LA PRODUCCION Y COMERCIALIZACION DE DERIVADOS LACTEOS EN LA ASOCIACION DE PRODUCTORES AGROPECUARIOS EMPRENDEDORES LOS CLAVELES DE SAN SALVADOR HUATASANI, DEL DISTRITO DE HUATASANI, PROVINCIA DE HUANCANE Y REGION DE PUNO</v>
      </c>
      <c r="D37" s="22" t="n">
        <f aca="false">Base!H312</f>
        <v>62000</v>
      </c>
      <c r="E37" s="22" t="n">
        <f aca="false">Base!I312</f>
        <v>61766.67</v>
      </c>
      <c r="F37" s="22" t="n">
        <f aca="false">D37-E37</f>
        <v>233.330000000002</v>
      </c>
      <c r="G37" s="22" t="n">
        <f aca="false">Base!K312</f>
        <v>0</v>
      </c>
      <c r="H37" s="22" t="n">
        <f aca="false">D37-G37</f>
        <v>62000</v>
      </c>
      <c r="I37" s="23" t="n">
        <f aca="false">IF(D37=0,0,G37/D37)</f>
        <v>0</v>
      </c>
      <c r="J37" s="21" t="str">
        <f aca="false">Base!O312</f>
        <v>Equipamiento</v>
      </c>
      <c r="K37" s="21" t="str">
        <f aca="false">Base!P312</f>
        <v>Solo certificado</v>
      </c>
      <c r="L37" s="22" t="str">
        <f aca="false">Base!Q312</f>
        <v>No registrado en cartera</v>
      </c>
      <c r="M37" s="22" t="str">
        <f aca="false">Base!R312</f>
        <v>No registrado en cartera</v>
      </c>
      <c r="N37" s="22" t="str">
        <f aca="false">Base!S312</f>
        <v>No registrado en cartera</v>
      </c>
      <c r="O37" s="22" t="str">
        <f aca="false">Base!T312</f>
        <v>No registrado en cartera</v>
      </c>
      <c r="P37" s="21" t="str">
        <f aca="false">IF(Base!U312="","",Base!U312)</f>
        <v/>
      </c>
    </row>
    <row r="38" customFormat="false" ht="43.25" hidden="false" customHeight="false" outlineLevel="0" collapsed="false">
      <c r="A38" s="20" t="n">
        <f aca="false">SUBTOTAL(103,$B$6:B38)</f>
        <v>28</v>
      </c>
      <c r="B38" s="20" t="n">
        <v>353</v>
      </c>
      <c r="C38" s="21" t="str">
        <f aca="false">Base!G313</f>
        <v>2680578: MEJORAMIENTO DEL PROCESO Y CALIDAD DEL QUESO TIPO PARIA DE LA ASOCIACION LACTEOS LIKHA QUINSACHATA SOCIEDAD COMERCIAL DE RESPONSABILIDAD LIMITADA, DISTRITO CABANILLA, PROVINCIA LAMPA, REGION PUNO.</v>
      </c>
      <c r="D38" s="22" t="n">
        <f aca="false">Base!H313</f>
        <v>63755</v>
      </c>
      <c r="E38" s="22" t="n">
        <f aca="false">Base!I313</f>
        <v>60139.48</v>
      </c>
      <c r="F38" s="22" t="n">
        <f aca="false">D38-E38</f>
        <v>3615.52</v>
      </c>
      <c r="G38" s="22" t="n">
        <f aca="false">Base!K313</f>
        <v>2139.48</v>
      </c>
      <c r="H38" s="22" t="n">
        <f aca="false">D38-G38</f>
        <v>61615.52</v>
      </c>
      <c r="I38" s="23" t="n">
        <f aca="false">IF(D38=0,0,G38/D38)</f>
        <v>0.0335578386008941</v>
      </c>
      <c r="J38" s="21" t="str">
        <f aca="false">Base!O313</f>
        <v>Equipamiento / Contrata</v>
      </c>
      <c r="K38" s="21" t="str">
        <f aca="false">Base!P313</f>
        <v>Comprometido</v>
      </c>
      <c r="L38" s="22" t="str">
        <f aca="false">Base!Q313</f>
        <v>No registrado en cartera</v>
      </c>
      <c r="M38" s="22" t="str">
        <f aca="false">Base!R313</f>
        <v>No registrado en cartera</v>
      </c>
      <c r="N38" s="22" t="str">
        <f aca="false">Base!S313</f>
        <v>No registrado en cartera</v>
      </c>
      <c r="O38" s="22" t="str">
        <f aca="false">Base!T313</f>
        <v>No registrado en cartera</v>
      </c>
      <c r="P38" s="21" t="str">
        <f aca="false">IF(Base!U313="","",Base!U313)</f>
        <v/>
      </c>
    </row>
    <row r="39" customFormat="false" ht="53.7" hidden="false" customHeight="false" outlineLevel="0" collapsed="false">
      <c r="A39" s="20" t="n">
        <f aca="false">SUBTOTAL(103,$B$6:B39)</f>
        <v>29</v>
      </c>
      <c r="B39" s="20" t="n">
        <v>354</v>
      </c>
      <c r="C39" s="21" t="str">
        <f aca="false">Base!G314</f>
        <v>2676418: MEJORAMIENTO DE UNA PLANTA PROCESADORA DE LECHE PARA LA ELABORACION DE QUESOS FRESCOS TIPO PARIA DE LA ASOCIACION DE PRODUCTORES AGROPECUARIOS VILLA ACASSO APROAVA, DISTRITO DE PILCUYO, PROVINCIA DE EL COLLAO, REGION DE PUNO</v>
      </c>
      <c r="D39" s="22" t="n">
        <f aca="false">Base!H314</f>
        <v>65438</v>
      </c>
      <c r="E39" s="22" t="n">
        <f aca="false">Base!I314</f>
        <v>59650</v>
      </c>
      <c r="F39" s="22" t="n">
        <f aca="false">D39-E39</f>
        <v>5788</v>
      </c>
      <c r="G39" s="22" t="n">
        <f aca="false">Base!K314</f>
        <v>0</v>
      </c>
      <c r="H39" s="22" t="n">
        <f aca="false">D39-G39</f>
        <v>65438</v>
      </c>
      <c r="I39" s="23" t="n">
        <f aca="false">IF(D39=0,0,G39/D39)</f>
        <v>0</v>
      </c>
      <c r="J39" s="21" t="str">
        <f aca="false">Base!O314</f>
        <v>Equipamiento / Contrata</v>
      </c>
      <c r="K39" s="21" t="str">
        <f aca="false">Base!P314</f>
        <v>Solo certificado</v>
      </c>
      <c r="L39" s="22" t="str">
        <f aca="false">Base!Q314</f>
        <v>No registrado en cartera</v>
      </c>
      <c r="M39" s="22" t="str">
        <f aca="false">Base!R314</f>
        <v>No registrado en cartera</v>
      </c>
      <c r="N39" s="22" t="str">
        <f aca="false">Base!S314</f>
        <v>No registrado en cartera</v>
      </c>
      <c r="O39" s="22" t="str">
        <f aca="false">Base!T314</f>
        <v>No registrado en cartera</v>
      </c>
      <c r="P39" s="21" t="str">
        <f aca="false">IF(Base!U314="","",Base!U314)</f>
        <v/>
      </c>
    </row>
    <row r="40" customFormat="false" ht="43.25" hidden="false" customHeight="false" outlineLevel="0" collapsed="false">
      <c r="A40" s="20" t="n">
        <f aca="false">SUBTOTAL(103,$B$6:B40)</f>
        <v>30</v>
      </c>
      <c r="B40" s="20" t="n">
        <v>355</v>
      </c>
      <c r="C40" s="21" t="str">
        <f aca="false">Base!G315</f>
        <v>2681120: MEJORAMIENTO TECNOLOGICO DEL VALOR AGREGADO DE HABAS EN LA ASOCIACION DE PRODUCTORES AGRARIOS Y PECUARIOS NUEVO PROGRESO TAUCAMAYA, DISTRITO DE COPANI, PROVINCIA DE YUNGUYO, REGION PUNO.</v>
      </c>
      <c r="D40" s="22" t="n">
        <f aca="false">Base!H315</f>
        <v>61200</v>
      </c>
      <c r="E40" s="22" t="n">
        <f aca="false">Base!I315</f>
        <v>59150</v>
      </c>
      <c r="F40" s="22" t="n">
        <f aca="false">D40-E40</f>
        <v>2050</v>
      </c>
      <c r="G40" s="22" t="n">
        <f aca="false">Base!K315</f>
        <v>59150</v>
      </c>
      <c r="H40" s="22" t="n">
        <f aca="false">D40-G40</f>
        <v>2050</v>
      </c>
      <c r="I40" s="23" t="n">
        <f aca="false">IF(D40=0,0,G40/D40)</f>
        <v>0.966503267973856</v>
      </c>
      <c r="J40" s="21" t="str">
        <f aca="false">Base!O315</f>
        <v>Equipamiento / Contrata</v>
      </c>
      <c r="K40" s="21" t="str">
        <f aca="false">Base!P315</f>
        <v>Comprometido</v>
      </c>
      <c r="L40" s="22" t="str">
        <f aca="false">Base!Q315</f>
        <v>No registrado en cartera</v>
      </c>
      <c r="M40" s="22" t="str">
        <f aca="false">Base!R315</f>
        <v>No registrado en cartera</v>
      </c>
      <c r="N40" s="22" t="str">
        <f aca="false">Base!S315</f>
        <v>No registrado en cartera</v>
      </c>
      <c r="O40" s="22" t="str">
        <f aca="false">Base!T315</f>
        <v>No registrado en cartera</v>
      </c>
      <c r="P40" s="21" t="str">
        <f aca="false">IF(Base!U315="","",Base!U315)</f>
        <v/>
      </c>
    </row>
    <row r="41" customFormat="false" ht="43.25" hidden="false" customHeight="false" outlineLevel="0" collapsed="false">
      <c r="A41" s="20" t="n">
        <f aca="false">SUBTOTAL(103,$B$6:B41)</f>
        <v>31</v>
      </c>
      <c r="B41" s="20" t="n">
        <v>357</v>
      </c>
      <c r="C41" s="21" t="str">
        <f aca="false">Base!G316</f>
        <v>2676423: MEJORAMIENTO EN LA PRODUCCION DE QUESOS TIPO PARIA EN LA ASOCIACION DE PRODUCTORES DE LECHE Y SUS DERIVADOS PIAS MILAN DE LA COMUNIDAD DE HUAYTA, DISTRITO DE LAMPA, PROVINCIA DE LAMPA DEL DEPARTAMENTO DE PUNO.</v>
      </c>
      <c r="D41" s="22" t="n">
        <f aca="false">Base!H316</f>
        <v>2936</v>
      </c>
      <c r="E41" s="22" t="n">
        <f aca="false">Base!I316</f>
        <v>2936</v>
      </c>
      <c r="F41" s="22" t="n">
        <f aca="false">D41-E41</f>
        <v>0</v>
      </c>
      <c r="G41" s="22" t="n">
        <f aca="false">Base!K316</f>
        <v>2936</v>
      </c>
      <c r="H41" s="22" t="n">
        <f aca="false">D41-G41</f>
        <v>0</v>
      </c>
      <c r="I41" s="23" t="n">
        <f aca="false">IF(D41=0,0,G41/D41)</f>
        <v>1</v>
      </c>
      <c r="J41" s="21" t="str">
        <f aca="false">Base!O316</f>
        <v>Contrata</v>
      </c>
      <c r="K41" s="21" t="str">
        <f aca="false">Base!P316</f>
        <v>Devengado total</v>
      </c>
      <c r="L41" s="22" t="str">
        <f aca="false">Base!Q316</f>
        <v>No registrado en cartera</v>
      </c>
      <c r="M41" s="22" t="str">
        <f aca="false">Base!R316</f>
        <v>No registrado en cartera</v>
      </c>
      <c r="N41" s="22" t="str">
        <f aca="false">Base!S316</f>
        <v>No registrado en cartera</v>
      </c>
      <c r="O41" s="22" t="str">
        <f aca="false">Base!T316</f>
        <v>No registrado en cartera</v>
      </c>
      <c r="P41" s="21" t="str">
        <f aca="false">IF(Base!U316="","",Base!U316)</f>
        <v/>
      </c>
    </row>
    <row r="42" customFormat="false" ht="43.25" hidden="false" customHeight="false" outlineLevel="0" collapsed="false">
      <c r="A42" s="20" t="n">
        <f aca="false">SUBTOTAL(103,$B$6:B42)</f>
        <v>32</v>
      </c>
      <c r="B42" s="20" t="n">
        <v>358</v>
      </c>
      <c r="C42" s="21" t="str">
        <f aca="false">Base!G317</f>
        <v>2676424: MEJORAMIENTO DE LA PLANTA PROCESADORA DE CAFE PARA LA ELABORACION DE CAFE TOSTADO MOLIDO DE LA COOPERATIVA AGRARIA CAFETALERA SAN IGNACIO LTDA., DISTRITO DE SAN PEDRO DE PUTINA PUNCO, PROVINCIA DE SANDIA, REGION DE PUNO</v>
      </c>
      <c r="D42" s="22" t="n">
        <f aca="false">Base!H317</f>
        <v>10692</v>
      </c>
      <c r="E42" s="22" t="n">
        <f aca="false">Base!I317</f>
        <v>10691.76</v>
      </c>
      <c r="F42" s="22" t="n">
        <f aca="false">D42-E42</f>
        <v>0.239999999999782</v>
      </c>
      <c r="G42" s="22" t="n">
        <f aca="false">Base!K317</f>
        <v>10691.76</v>
      </c>
      <c r="H42" s="22" t="n">
        <f aca="false">D42-G42</f>
        <v>0.239999999999782</v>
      </c>
      <c r="I42" s="23" t="n">
        <f aca="false">IF(D42=0,0,G42/D42)</f>
        <v>0.999977553310887</v>
      </c>
      <c r="J42" s="21" t="str">
        <f aca="false">Base!O317</f>
        <v>Contrata</v>
      </c>
      <c r="K42" s="21" t="str">
        <f aca="false">Base!P317</f>
        <v>Comprometido</v>
      </c>
      <c r="L42" s="22" t="str">
        <f aca="false">Base!Q317</f>
        <v>No registrado en cartera</v>
      </c>
      <c r="M42" s="22" t="str">
        <f aca="false">Base!R317</f>
        <v>No registrado en cartera</v>
      </c>
      <c r="N42" s="22" t="str">
        <f aca="false">Base!S317</f>
        <v>No registrado en cartera</v>
      </c>
      <c r="O42" s="22" t="str">
        <f aca="false">Base!T317</f>
        <v>No registrado en cartera</v>
      </c>
      <c r="P42" s="21" t="str">
        <f aca="false">IF(Base!U317="","",Base!U317)</f>
        <v/>
      </c>
    </row>
    <row r="43" customFormat="false" ht="43.25" hidden="false" customHeight="false" outlineLevel="0" collapsed="false">
      <c r="A43" s="20" t="n">
        <f aca="false">SUBTOTAL(103,$B$6:B43)</f>
        <v>33</v>
      </c>
      <c r="B43" s="20" t="n">
        <v>359</v>
      </c>
      <c r="C43" s="21" t="str">
        <f aca="false">Base!G318</f>
        <v>2681121: MEJORAMIENTO DE LA PRODUCCION DE PRENDAS DE ARTESANIA TEXTIL EN LA ASOCIACION DE PRODUCTORES RITA POMA DEL TAWANTINSUYO PUNO, DISTRITO PUNO, PROVINCIA PUNO Y REGION PUNO</v>
      </c>
      <c r="D43" s="22" t="n">
        <f aca="false">Base!H318</f>
        <v>7816</v>
      </c>
      <c r="E43" s="22" t="n">
        <f aca="false">Base!I318</f>
        <v>4500</v>
      </c>
      <c r="F43" s="22" t="n">
        <f aca="false">D43-E43</f>
        <v>3316</v>
      </c>
      <c r="G43" s="22" t="n">
        <f aca="false">Base!K318</f>
        <v>3000</v>
      </c>
      <c r="H43" s="22" t="n">
        <f aca="false">D43-G43</f>
        <v>4816</v>
      </c>
      <c r="I43" s="23" t="n">
        <f aca="false">IF(D43=0,0,G43/D43)</f>
        <v>0.383828045035824</v>
      </c>
      <c r="J43" s="21" t="str">
        <f aca="false">Base!O318</f>
        <v>Contrata</v>
      </c>
      <c r="K43" s="21" t="str">
        <f aca="false">Base!P318</f>
        <v>Comprometido</v>
      </c>
      <c r="L43" s="22" t="str">
        <f aca="false">Base!Q318</f>
        <v>No registrado en cartera</v>
      </c>
      <c r="M43" s="22" t="str">
        <f aca="false">Base!R318</f>
        <v>No registrado en cartera</v>
      </c>
      <c r="N43" s="22" t="str">
        <f aca="false">Base!S318</f>
        <v>No registrado en cartera</v>
      </c>
      <c r="O43" s="22" t="str">
        <f aca="false">Base!T318</f>
        <v>No registrado en cartera</v>
      </c>
      <c r="P43" s="21" t="str">
        <f aca="false">IF(Base!U318="","",Base!U318)</f>
        <v/>
      </c>
    </row>
    <row r="44" customFormat="false" ht="53.7" hidden="false" customHeight="false" outlineLevel="0" collapsed="false">
      <c r="A44" s="20" t="n">
        <f aca="false">SUBTOTAL(103,$B$6:B44)</f>
        <v>34</v>
      </c>
      <c r="B44" s="20" t="n">
        <v>360</v>
      </c>
      <c r="C44" s="21" t="str">
        <f aca="false">Base!G319</f>
        <v>2676426: MEJORAMIENTO DE LA PRODUCTIVIDAD Y GENERACION DE VALOR AGREGADO DEL GRANO DE QUINUA PARA SU COMERCIALIZACION EN LA ASOCIACION DE PRODUCTORES AGROPECUARIOS AGROINDUSTRIALES KAPIA DEL DISTRITO DE YUNGUYO, PROVINCIA DE YUNGUYO, DEPARTAMENTO DE PUNO.</v>
      </c>
      <c r="D44" s="22" t="n">
        <f aca="false">Base!H319</f>
        <v>3546</v>
      </c>
      <c r="E44" s="22" t="n">
        <f aca="false">Base!I319</f>
        <v>3546</v>
      </c>
      <c r="F44" s="22" t="n">
        <f aca="false">D44-E44</f>
        <v>0</v>
      </c>
      <c r="G44" s="22" t="n">
        <f aca="false">Base!K319</f>
        <v>3546</v>
      </c>
      <c r="H44" s="22" t="n">
        <f aca="false">D44-G44</f>
        <v>0</v>
      </c>
      <c r="I44" s="23" t="n">
        <f aca="false">IF(D44=0,0,G44/D44)</f>
        <v>1</v>
      </c>
      <c r="J44" s="21" t="str">
        <f aca="false">Base!O319</f>
        <v>Contrata</v>
      </c>
      <c r="K44" s="21" t="str">
        <f aca="false">Base!P319</f>
        <v>Devengado total</v>
      </c>
      <c r="L44" s="22" t="str">
        <f aca="false">Base!Q319</f>
        <v>No registrado en cartera</v>
      </c>
      <c r="M44" s="22" t="str">
        <f aca="false">Base!R319</f>
        <v>No registrado en cartera</v>
      </c>
      <c r="N44" s="22" t="str">
        <f aca="false">Base!S319</f>
        <v>No registrado en cartera</v>
      </c>
      <c r="O44" s="22" t="str">
        <f aca="false">Base!T319</f>
        <v>No registrado en cartera</v>
      </c>
      <c r="P44" s="21" t="str">
        <f aca="false">IF(Base!U319="","",Base!U319)</f>
        <v/>
      </c>
    </row>
    <row r="45" customFormat="false" ht="43.25" hidden="false" customHeight="false" outlineLevel="0" collapsed="false">
      <c r="A45" s="20" t="n">
        <f aca="false">SUBTOTAL(103,$B$6:B45)</f>
        <v>35</v>
      </c>
      <c r="B45" s="20" t="n">
        <v>361</v>
      </c>
      <c r="C45" s="21" t="str">
        <f aca="false">Base!G320</f>
        <v>2676427: MEJORAMIENTO DE LA PRODUCCION DE LECHE FRESCA EN LA ASOCIACION DE PRODUCTORES AGROPECUARIOS, AGROINDUSTRIALES, ARTESANALES CCACCALLACTA AMPATUIRE ORURILLO, DISTRITO ORURILLO, PROVINCIA MELGAR, REGION PUNO</v>
      </c>
      <c r="D45" s="22" t="n">
        <f aca="false">Base!H320</f>
        <v>2555</v>
      </c>
      <c r="E45" s="22" t="n">
        <f aca="false">Base!I320</f>
        <v>2550</v>
      </c>
      <c r="F45" s="22" t="n">
        <f aca="false">D45-E45</f>
        <v>5</v>
      </c>
      <c r="G45" s="22" t="n">
        <f aca="false">Base!K320</f>
        <v>2550</v>
      </c>
      <c r="H45" s="22" t="n">
        <f aca="false">D45-G45</f>
        <v>5</v>
      </c>
      <c r="I45" s="23" t="n">
        <f aca="false">IF(D45=0,0,G45/D45)</f>
        <v>0.998043052837573</v>
      </c>
      <c r="J45" s="21" t="str">
        <f aca="false">Base!O320</f>
        <v>Contrata</v>
      </c>
      <c r="K45" s="21" t="str">
        <f aca="false">Base!P320</f>
        <v>Comprometido</v>
      </c>
      <c r="L45" s="22" t="str">
        <f aca="false">Base!Q320</f>
        <v>No registrado en cartera</v>
      </c>
      <c r="M45" s="22" t="str">
        <f aca="false">Base!R320</f>
        <v>No registrado en cartera</v>
      </c>
      <c r="N45" s="22" t="str">
        <f aca="false">Base!S320</f>
        <v>No registrado en cartera</v>
      </c>
      <c r="O45" s="22" t="str">
        <f aca="false">Base!T320</f>
        <v>No registrado en cartera</v>
      </c>
      <c r="P45" s="21" t="str">
        <f aca="false">IF(Base!U320="","",Base!U320)</f>
        <v/>
      </c>
    </row>
    <row r="46" customFormat="false" ht="43.25" hidden="false" customHeight="false" outlineLevel="0" collapsed="false">
      <c r="A46" s="20" t="n">
        <f aca="false">SUBTOTAL(103,$B$6:B46)</f>
        <v>36</v>
      </c>
      <c r="B46" s="20" t="n">
        <v>362</v>
      </c>
      <c r="C46" s="21" t="str">
        <f aca="false">Base!G321</f>
        <v>2676430: MEJORAMIENTO DEL PROCESO DE PANIFICACION DE GRANOS ANDINOS EN LA ASOCIACION DE PRODUCTORES AGROPECUARIOS AGROINDUSTRIALES Y SERVICIOS MULTIPLES JC3 APAASM JC3 EN EL DISTRITO DE ILAVE PROVINCIA EL COLLAO REGION PUNO</v>
      </c>
      <c r="D46" s="22" t="n">
        <f aca="false">Base!H321</f>
        <v>73376</v>
      </c>
      <c r="E46" s="22" t="n">
        <f aca="false">Base!I321</f>
        <v>69875.75</v>
      </c>
      <c r="F46" s="22" t="n">
        <f aca="false">D46-E46</f>
        <v>3500.25</v>
      </c>
      <c r="G46" s="22" t="n">
        <f aca="false">Base!K321</f>
        <v>69875.75</v>
      </c>
      <c r="H46" s="22" t="n">
        <f aca="false">D46-G46</f>
        <v>3500.25</v>
      </c>
      <c r="I46" s="23" t="n">
        <f aca="false">IF(D46=0,0,G46/D46)</f>
        <v>0.952297072612298</v>
      </c>
      <c r="J46" s="21" t="str">
        <f aca="false">Base!O321</f>
        <v>Equipamiento / Contrata</v>
      </c>
      <c r="K46" s="21" t="str">
        <f aca="false">Base!P321</f>
        <v>Comprometido</v>
      </c>
      <c r="L46" s="22" t="str">
        <f aca="false">Base!Q321</f>
        <v>No registrado en cartera</v>
      </c>
      <c r="M46" s="22" t="str">
        <f aca="false">Base!R321</f>
        <v>No registrado en cartera</v>
      </c>
      <c r="N46" s="22" t="str">
        <f aca="false">Base!S321</f>
        <v>No registrado en cartera</v>
      </c>
      <c r="O46" s="22" t="str">
        <f aca="false">Base!T321</f>
        <v>No registrado en cartera</v>
      </c>
      <c r="P46" s="21" t="str">
        <f aca="false">IF(Base!U321="","",Base!U321)</f>
        <v/>
      </c>
    </row>
    <row r="47" customFormat="false" ht="43.25" hidden="false" customHeight="false" outlineLevel="0" collapsed="false">
      <c r="A47" s="20" t="n">
        <f aca="false">SUBTOTAL(103,$B$6:B47)</f>
        <v>37</v>
      </c>
      <c r="B47" s="20" t="n">
        <v>363</v>
      </c>
      <c r="C47" s="21" t="str">
        <f aca="false">Base!G322</f>
        <v>2676431: MEJORAMIENTO DE LA PRODUCCION TEXTIL DE FIBRA DE ALPACA EN LA ASOCIACION DE PRODUCTORES AGROPECUARIOS AGROINDUSTRIALES Y ARTESANOS HUAYLLAPUJO, DISTRITO DE SANTA ROSA, PROVINCIA DE EL COLLAO, REGION PUNO</v>
      </c>
      <c r="D47" s="22" t="n">
        <f aca="false">Base!H322</f>
        <v>54964</v>
      </c>
      <c r="E47" s="22" t="n">
        <f aca="false">Base!I322</f>
        <v>1977.5</v>
      </c>
      <c r="F47" s="22" t="n">
        <f aca="false">D47-E47</f>
        <v>52986.5</v>
      </c>
      <c r="G47" s="22" t="n">
        <f aca="false">Base!K322</f>
        <v>1977.5</v>
      </c>
      <c r="H47" s="22" t="n">
        <f aca="false">D47-G47</f>
        <v>52986.5</v>
      </c>
      <c r="I47" s="23" t="n">
        <f aca="false">IF(D47=0,0,G47/D47)</f>
        <v>0.0359780947529292</v>
      </c>
      <c r="J47" s="21" t="str">
        <f aca="false">Base!O322</f>
        <v>Equipamiento / Contrata</v>
      </c>
      <c r="K47" s="21" t="str">
        <f aca="false">Base!P322</f>
        <v>Comprometido</v>
      </c>
      <c r="L47" s="22" t="str">
        <f aca="false">Base!Q322</f>
        <v>No registrado en cartera</v>
      </c>
      <c r="M47" s="22" t="str">
        <f aca="false">Base!R322</f>
        <v>No registrado en cartera</v>
      </c>
      <c r="N47" s="22" t="str">
        <f aca="false">Base!S322</f>
        <v>No registrado en cartera</v>
      </c>
      <c r="O47" s="22" t="str">
        <f aca="false">Base!T322</f>
        <v>No registrado en cartera</v>
      </c>
      <c r="P47" s="21" t="str">
        <f aca="false">IF(Base!U322="","",Base!U322)</f>
        <v/>
      </c>
    </row>
    <row r="48" customFormat="false" ht="43.25" hidden="false" customHeight="false" outlineLevel="0" collapsed="false">
      <c r="A48" s="20" t="n">
        <f aca="false">SUBTOTAL(103,$B$6:B48)</f>
        <v>38</v>
      </c>
      <c r="B48" s="20" t="n">
        <v>364</v>
      </c>
      <c r="C48" s="21" t="str">
        <f aca="false">Base!G323</f>
        <v>2676432: CREACION DE LA PLANTA DE PROCESO DE ELABORACION DE PAN DE QUINUA DE LA ASOCIACION DE TRANSFORMADORES DE GRANOS ANDINOS EN PANADERIA Y PASTELERIA ARTESANAL EL SOL DE LAMPA, DEL DISTRITO DE LAMPA, PROVINCIA DE LAMPA, REGION PUNO.</v>
      </c>
      <c r="D48" s="22" t="n">
        <f aca="false">Base!H323</f>
        <v>73915</v>
      </c>
      <c r="E48" s="22" t="n">
        <f aca="false">Base!I323</f>
        <v>71560</v>
      </c>
      <c r="F48" s="22" t="n">
        <f aca="false">D48-E48</f>
        <v>2355</v>
      </c>
      <c r="G48" s="22" t="n">
        <f aca="false">Base!K323</f>
        <v>69710</v>
      </c>
      <c r="H48" s="22" t="n">
        <f aca="false">D48-G48</f>
        <v>4205</v>
      </c>
      <c r="I48" s="23" t="n">
        <f aca="false">IF(D48=0,0,G48/D48)</f>
        <v>0.943110329432456</v>
      </c>
      <c r="J48" s="21" t="str">
        <f aca="false">Base!O323</f>
        <v>Equipamiento / Contrata</v>
      </c>
      <c r="K48" s="21" t="str">
        <f aca="false">Base!P323</f>
        <v>Comprometido</v>
      </c>
      <c r="L48" s="22" t="str">
        <f aca="false">Base!Q323</f>
        <v>No registrado en cartera</v>
      </c>
      <c r="M48" s="22" t="str">
        <f aca="false">Base!R323</f>
        <v>No registrado en cartera</v>
      </c>
      <c r="N48" s="22" t="str">
        <f aca="false">Base!S323</f>
        <v>No registrado en cartera</v>
      </c>
      <c r="O48" s="22" t="str">
        <f aca="false">Base!T323</f>
        <v>No registrado en cartera</v>
      </c>
      <c r="P48" s="21" t="str">
        <f aca="false">IF(Base!U323="","",Base!U323)</f>
        <v/>
      </c>
    </row>
    <row r="49" customFormat="false" ht="53.7" hidden="false" customHeight="false" outlineLevel="0" collapsed="false">
      <c r="A49" s="20" t="n">
        <f aca="false">SUBTOTAL(103,$B$6:B49)</f>
        <v>39</v>
      </c>
      <c r="B49" s="20" t="n">
        <v>365</v>
      </c>
      <c r="C49" s="21" t="str">
        <f aca="false">Base!G324</f>
        <v>2681125: MEJORAMIENTO DE LA PRODUCTIVIDAD Y CALIDAD DE LECHE FRESCA EN LA ASOCIACION DE PRODUCTORES AGROPECUARIOS DE GANADO VACUNO LECHERO ARTESANAL KANCHAQ WASI DE COMUNIDAD COLCA ATUNCOLLA, DISTRITO DE ATUNCOLLA, PROVINCIA DE PUNO, REGION PUNO</v>
      </c>
      <c r="D49" s="22" t="n">
        <f aca="false">Base!H324</f>
        <v>5098</v>
      </c>
      <c r="E49" s="22" t="n">
        <f aca="false">Base!I324</f>
        <v>5097</v>
      </c>
      <c r="F49" s="22" t="n">
        <f aca="false">D49-E49</f>
        <v>1</v>
      </c>
      <c r="G49" s="22" t="n">
        <f aca="false">Base!K324</f>
        <v>5097</v>
      </c>
      <c r="H49" s="22" t="n">
        <f aca="false">D49-G49</f>
        <v>1</v>
      </c>
      <c r="I49" s="23" t="n">
        <f aca="false">IF(D49=0,0,G49/D49)</f>
        <v>0.999803844644959</v>
      </c>
      <c r="J49" s="21" t="str">
        <f aca="false">Base!O324</f>
        <v>Contrata</v>
      </c>
      <c r="K49" s="21" t="str">
        <f aca="false">Base!P324</f>
        <v>Comprometido</v>
      </c>
      <c r="L49" s="22" t="str">
        <f aca="false">Base!Q324</f>
        <v>No registrado en cartera</v>
      </c>
      <c r="M49" s="22" t="str">
        <f aca="false">Base!R324</f>
        <v>No registrado en cartera</v>
      </c>
      <c r="N49" s="22" t="str">
        <f aca="false">Base!S324</f>
        <v>No registrado en cartera</v>
      </c>
      <c r="O49" s="22" t="str">
        <f aca="false">Base!T324</f>
        <v>No registrado en cartera</v>
      </c>
      <c r="P49" s="21" t="str">
        <f aca="false">IF(Base!U324="","",Base!U324)</f>
        <v/>
      </c>
    </row>
    <row r="50" customFormat="false" ht="43.25" hidden="false" customHeight="false" outlineLevel="0" collapsed="false">
      <c r="A50" s="20" t="n">
        <f aca="false">SUBTOTAL(103,$B$6:B50)</f>
        <v>40</v>
      </c>
      <c r="B50" s="20" t="n">
        <v>366</v>
      </c>
      <c r="C50" s="21" t="str">
        <f aca="false">Base!G325</f>
        <v>2681128: MEJORAMIENTO DE LA PRODUCCION DE QUESOS TIPO PARIA DE LA ASOCIACION DE PRODUCTORES ORGANICOS AGROPECUARIOS Y AGROINDUSTRIALES LA LIBERTAD NUNOA, DISTRITO DE NUNOA, PROVINCIA DE MELGAR, REGION PUNO</v>
      </c>
      <c r="D50" s="22" t="n">
        <f aca="false">Base!H325</f>
        <v>4800</v>
      </c>
      <c r="E50" s="22" t="n">
        <f aca="false">Base!I325</f>
        <v>4800</v>
      </c>
      <c r="F50" s="22" t="n">
        <f aca="false">D50-E50</f>
        <v>0</v>
      </c>
      <c r="G50" s="22" t="n">
        <f aca="false">Base!K325</f>
        <v>4800</v>
      </c>
      <c r="H50" s="22" t="n">
        <f aca="false">D50-G50</f>
        <v>0</v>
      </c>
      <c r="I50" s="23" t="n">
        <f aca="false">IF(D50=0,0,G50/D50)</f>
        <v>1</v>
      </c>
      <c r="J50" s="21" t="str">
        <f aca="false">Base!O325</f>
        <v>Contrata</v>
      </c>
      <c r="K50" s="21" t="str">
        <f aca="false">Base!P325</f>
        <v>Devengado total</v>
      </c>
      <c r="L50" s="22" t="str">
        <f aca="false">Base!Q325</f>
        <v>No registrado en cartera</v>
      </c>
      <c r="M50" s="22" t="str">
        <f aca="false">Base!R325</f>
        <v>No registrado en cartera</v>
      </c>
      <c r="N50" s="22" t="str">
        <f aca="false">Base!S325</f>
        <v>No registrado en cartera</v>
      </c>
      <c r="O50" s="22" t="str">
        <f aca="false">Base!T325</f>
        <v>No registrado en cartera</v>
      </c>
      <c r="P50" s="21" t="str">
        <f aca="false">IF(Base!U325="","",Base!U325)</f>
        <v/>
      </c>
    </row>
    <row r="51" customFormat="false" ht="43.25" hidden="false" customHeight="false" outlineLevel="0" collapsed="false">
      <c r="A51" s="20" t="n">
        <f aca="false">SUBTOTAL(103,$B$6:B51)</f>
        <v>41</v>
      </c>
      <c r="B51" s="20" t="n">
        <v>367</v>
      </c>
      <c r="C51" s="21" t="str">
        <f aca="false">Base!G326</f>
        <v>2681129: CREACION DE UN TALLER TEXTIL PARA LA ELABORACION DE PRENDAS DE VESTIR Y ARTICULOS DE FIBRA DE ALPACA, DE LA ASOCIACION 24 DE JUNIO CHAJANA EN EL DISTRITO DE COJATA, PROVINCIA DE HUANCANE, DEPARTAMENTO DE PUNO</v>
      </c>
      <c r="D51" s="22" t="n">
        <f aca="false">Base!H326</f>
        <v>12800</v>
      </c>
      <c r="E51" s="22" t="n">
        <f aca="false">Base!I326</f>
        <v>12800</v>
      </c>
      <c r="F51" s="22" t="n">
        <f aca="false">D51-E51</f>
        <v>0</v>
      </c>
      <c r="G51" s="22" t="n">
        <f aca="false">Base!K326</f>
        <v>12800</v>
      </c>
      <c r="H51" s="22" t="n">
        <f aca="false">D51-G51</f>
        <v>0</v>
      </c>
      <c r="I51" s="23" t="n">
        <f aca="false">IF(D51=0,0,G51/D51)</f>
        <v>1</v>
      </c>
      <c r="J51" s="21" t="str">
        <f aca="false">Base!O326</f>
        <v>Contrata</v>
      </c>
      <c r="K51" s="21" t="str">
        <f aca="false">Base!P326</f>
        <v>Devengado total</v>
      </c>
      <c r="L51" s="22" t="str">
        <f aca="false">Base!Q326</f>
        <v>No registrado en cartera</v>
      </c>
      <c r="M51" s="22" t="str">
        <f aca="false">Base!R326</f>
        <v>No registrado en cartera</v>
      </c>
      <c r="N51" s="22" t="str">
        <f aca="false">Base!S326</f>
        <v>No registrado en cartera</v>
      </c>
      <c r="O51" s="22" t="str">
        <f aca="false">Base!T326</f>
        <v>No registrado en cartera</v>
      </c>
      <c r="P51" s="21" t="str">
        <f aca="false">IF(Base!U326="","",Base!U326)</f>
        <v/>
      </c>
    </row>
    <row r="52" customFormat="false" ht="43.25" hidden="false" customHeight="false" outlineLevel="0" collapsed="false">
      <c r="A52" s="20" t="n">
        <f aca="false">SUBTOTAL(103,$B$6:B52)</f>
        <v>42</v>
      </c>
      <c r="B52" s="20" t="n">
        <v>369</v>
      </c>
      <c r="C52" s="21" t="str">
        <f aca="false">Base!G327</f>
        <v>2676435: MEJORAMIENTO DEL PROCESO DE ENGORDE Y COMERCIALIZACION DE GANADO VACUNO EN LA ASOCIACION DE PRODUCTORES AGROPECUARIOS STMA. TRINIDAD DE CCACCAPUNCO EN EL DISTRITO DE VILQUE, PROVINCIA PUNO Y REGION PUNO</v>
      </c>
      <c r="D52" s="22" t="n">
        <f aca="false">Base!H327</f>
        <v>57400</v>
      </c>
      <c r="E52" s="22" t="n">
        <f aca="false">Base!I327</f>
        <v>57400</v>
      </c>
      <c r="F52" s="22" t="n">
        <f aca="false">D52-E52</f>
        <v>0</v>
      </c>
      <c r="G52" s="22" t="n">
        <f aca="false">Base!K327</f>
        <v>57400</v>
      </c>
      <c r="H52" s="22" t="n">
        <f aca="false">D52-G52</f>
        <v>0</v>
      </c>
      <c r="I52" s="23" t="n">
        <f aca="false">IF(D52=0,0,G52/D52)</f>
        <v>1</v>
      </c>
      <c r="J52" s="21" t="str">
        <f aca="false">Base!O327</f>
        <v>Equipamiento / Contrata</v>
      </c>
      <c r="K52" s="21" t="str">
        <f aca="false">Base!P327</f>
        <v>Devengado total</v>
      </c>
      <c r="L52" s="22" t="str">
        <f aca="false">Base!Q327</f>
        <v>No registrado en cartera</v>
      </c>
      <c r="M52" s="22" t="str">
        <f aca="false">Base!R327</f>
        <v>No registrado en cartera</v>
      </c>
      <c r="N52" s="22" t="str">
        <f aca="false">Base!S327</f>
        <v>No registrado en cartera</v>
      </c>
      <c r="O52" s="22" t="str">
        <f aca="false">Base!T327</f>
        <v>No registrado en cartera</v>
      </c>
      <c r="P52" s="21" t="str">
        <f aca="false">IF(Base!U327="","",Base!U327)</f>
        <v/>
      </c>
    </row>
    <row r="53" customFormat="false" ht="43.25" hidden="false" customHeight="false" outlineLevel="0" collapsed="false">
      <c r="A53" s="20" t="n">
        <f aca="false">SUBTOTAL(103,$B$6:B53)</f>
        <v>43</v>
      </c>
      <c r="B53" s="20" t="n">
        <v>370</v>
      </c>
      <c r="C53" s="21" t="str">
        <f aca="false">Base!G328</f>
        <v>2676436: AMPLIACION DE LA PLANTA PROCESADORA DE LECHE PARA LA ELABORACION DE QUESOS DE LA ASOCIACION DE PRODUCTORES DE LECHE Y DERIVADOS LACTEOS VIRGEN DE ASUNCION ROSASPATA, DISTRITO DE ROSASPATA, PROVINCIA DE HUANCANE, REGION PUNO</v>
      </c>
      <c r="D53" s="22" t="n">
        <f aca="false">Base!H328</f>
        <v>5898</v>
      </c>
      <c r="E53" s="22" t="n">
        <f aca="false">Base!I328</f>
        <v>5898</v>
      </c>
      <c r="F53" s="22" t="n">
        <f aca="false">D53-E53</f>
        <v>0</v>
      </c>
      <c r="G53" s="22" t="n">
        <f aca="false">Base!K328</f>
        <v>5898</v>
      </c>
      <c r="H53" s="22" t="n">
        <f aca="false">D53-G53</f>
        <v>0</v>
      </c>
      <c r="I53" s="23" t="n">
        <f aca="false">IF(D53=0,0,G53/D53)</f>
        <v>1</v>
      </c>
      <c r="J53" s="21" t="str">
        <f aca="false">Base!O328</f>
        <v>Contrata</v>
      </c>
      <c r="K53" s="21" t="str">
        <f aca="false">Base!P328</f>
        <v>Devengado total</v>
      </c>
      <c r="L53" s="22" t="str">
        <f aca="false">Base!Q328</f>
        <v>No registrado en cartera</v>
      </c>
      <c r="M53" s="22" t="str">
        <f aca="false">Base!R328</f>
        <v>No registrado en cartera</v>
      </c>
      <c r="N53" s="22" t="str">
        <f aca="false">Base!S328</f>
        <v>No registrado en cartera</v>
      </c>
      <c r="O53" s="22" t="str">
        <f aca="false">Base!T328</f>
        <v>No registrado en cartera</v>
      </c>
      <c r="P53" s="21" t="str">
        <f aca="false">IF(Base!U328="","",Base!U328)</f>
        <v/>
      </c>
    </row>
    <row r="54" customFormat="false" ht="53.7" hidden="false" customHeight="false" outlineLevel="0" collapsed="false">
      <c r="A54" s="20" t="n">
        <f aca="false">SUBTOTAL(103,$B$6:B54)</f>
        <v>44</v>
      </c>
      <c r="B54" s="20" t="n">
        <v>371</v>
      </c>
      <c r="C54" s="21" t="str">
        <f aca="false">Base!G329</f>
        <v>2681276: MEJORAMIENTO EN LA CAPACIDAD TECNICA DE PRODUCCION DE PRENDAS DE TEXTIL DE TEJIDO A MANO DE ALTO RELIEVE DE FIBRA DE ALPACA DE LA ASOCIACION DE MUJERES ARTESANAS VIRGEN DE CANDELARIA PICHACANI QUIRINE DISTRITO MACARI, PROVINCIA MELGAR, REGION PUNO</v>
      </c>
      <c r="D54" s="22" t="n">
        <f aca="false">Base!H329</f>
        <v>3000</v>
      </c>
      <c r="E54" s="22" t="n">
        <f aca="false">Base!I329</f>
        <v>3000</v>
      </c>
      <c r="F54" s="22" t="n">
        <f aca="false">D54-E54</f>
        <v>0</v>
      </c>
      <c r="G54" s="22" t="n">
        <f aca="false">Base!K329</f>
        <v>3000</v>
      </c>
      <c r="H54" s="22" t="n">
        <f aca="false">D54-G54</f>
        <v>0</v>
      </c>
      <c r="I54" s="23" t="n">
        <f aca="false">IF(D54=0,0,G54/D54)</f>
        <v>1</v>
      </c>
      <c r="J54" s="21" t="str">
        <f aca="false">Base!O329</f>
        <v>Contrata</v>
      </c>
      <c r="K54" s="21" t="str">
        <f aca="false">Base!P329</f>
        <v>Devengado total</v>
      </c>
      <c r="L54" s="22" t="str">
        <f aca="false">Base!Q329</f>
        <v>No registrado en cartera</v>
      </c>
      <c r="M54" s="22" t="str">
        <f aca="false">Base!R329</f>
        <v>No registrado en cartera</v>
      </c>
      <c r="N54" s="22" t="str">
        <f aca="false">Base!S329</f>
        <v>No registrado en cartera</v>
      </c>
      <c r="O54" s="22" t="str">
        <f aca="false">Base!T329</f>
        <v>No registrado en cartera</v>
      </c>
      <c r="P54" s="21" t="str">
        <f aca="false">IF(Base!U329="","",Base!U329)</f>
        <v/>
      </c>
    </row>
    <row r="55" customFormat="false" ht="43.25" hidden="false" customHeight="false" outlineLevel="0" collapsed="false">
      <c r="A55" s="20" t="n">
        <f aca="false">SUBTOTAL(103,$B$6:B55)</f>
        <v>45</v>
      </c>
      <c r="B55" s="20" t="n">
        <v>372</v>
      </c>
      <c r="C55" s="21" t="str">
        <f aca="false">Base!G330</f>
        <v>2681132: MEJORAMIENTO DE LA CAPACIDAD PRODUCTIVA DE CAFE TOSTADO Y MOLIDO EN LA COOPERATIVA AGRARIA EN INNOVACION TECNOLOGICA MONTANA AZUL LIMITADA, DISTRITO DE SAN PEDRO DE PUTINA PUNCO, PROVINCIA DE SANDIA, REGION PUNO.</v>
      </c>
      <c r="D55" s="22" t="n">
        <f aca="false">Base!H330</f>
        <v>87790</v>
      </c>
      <c r="E55" s="22" t="n">
        <f aca="false">Base!I330</f>
        <v>87438</v>
      </c>
      <c r="F55" s="22" t="n">
        <f aca="false">D55-E55</f>
        <v>352</v>
      </c>
      <c r="G55" s="22" t="n">
        <f aca="false">Base!K330</f>
        <v>77990</v>
      </c>
      <c r="H55" s="22" t="n">
        <f aca="false">D55-G55</f>
        <v>9800</v>
      </c>
      <c r="I55" s="23" t="n">
        <f aca="false">IF(D55=0,0,G55/D55)</f>
        <v>0.888369973801116</v>
      </c>
      <c r="J55" s="21" t="str">
        <f aca="false">Base!O330</f>
        <v>Equipamiento / Contrata</v>
      </c>
      <c r="K55" s="21" t="str">
        <f aca="false">Base!P330</f>
        <v>Comprometido</v>
      </c>
      <c r="L55" s="22" t="str">
        <f aca="false">Base!Q330</f>
        <v>No registrado en cartera</v>
      </c>
      <c r="M55" s="22" t="str">
        <f aca="false">Base!R330</f>
        <v>No registrado en cartera</v>
      </c>
      <c r="N55" s="22" t="str">
        <f aca="false">Base!S330</f>
        <v>No registrado en cartera</v>
      </c>
      <c r="O55" s="22" t="str">
        <f aca="false">Base!T330</f>
        <v>No registrado en cartera</v>
      </c>
      <c r="P55" s="21" t="str">
        <f aca="false">IF(Base!U330="","",Base!U330)</f>
        <v/>
      </c>
    </row>
    <row r="56" customFormat="false" ht="32.8" hidden="false" customHeight="false" outlineLevel="0" collapsed="false">
      <c r="A56" s="20" t="n">
        <f aca="false">SUBTOTAL(103,$B$6:B56)</f>
        <v>46</v>
      </c>
      <c r="B56" s="20" t="n">
        <v>376</v>
      </c>
      <c r="C56" s="21" t="str">
        <f aca="false">Base!G331</f>
        <v>2676433: MEJORAMIENTO DE LA CAPACIDAD PRODUCTIVA DE PRENDAS A BASE DE FIBRA DE ALPACA DE LA EMPRESA JOMATEX SRL, DISTRITO JULIACA, PROVINCIA SAN ROMAN, REGION PUNO.</v>
      </c>
      <c r="D56" s="22" t="n">
        <f aca="false">Base!H331</f>
        <v>14715</v>
      </c>
      <c r="E56" s="22" t="n">
        <f aca="false">Base!I331</f>
        <v>14714</v>
      </c>
      <c r="F56" s="22" t="n">
        <f aca="false">D56-E56</f>
        <v>1</v>
      </c>
      <c r="G56" s="22" t="n">
        <f aca="false">Base!K331</f>
        <v>14714</v>
      </c>
      <c r="H56" s="22" t="n">
        <f aca="false">D56-G56</f>
        <v>1</v>
      </c>
      <c r="I56" s="23" t="n">
        <f aca="false">IF(D56=0,0,G56/D56)</f>
        <v>0.999932042133877</v>
      </c>
      <c r="J56" s="21" t="str">
        <f aca="false">Base!O331</f>
        <v>Contrata</v>
      </c>
      <c r="K56" s="21" t="str">
        <f aca="false">Base!P331</f>
        <v>Comprometido</v>
      </c>
      <c r="L56" s="22" t="str">
        <f aca="false">Base!Q331</f>
        <v>No registrado en cartera</v>
      </c>
      <c r="M56" s="22" t="str">
        <f aca="false">Base!R331</f>
        <v>No registrado en cartera</v>
      </c>
      <c r="N56" s="22" t="str">
        <f aca="false">Base!S331</f>
        <v>No registrado en cartera</v>
      </c>
      <c r="O56" s="22" t="str">
        <f aca="false">Base!T331</f>
        <v>No registrado en cartera</v>
      </c>
      <c r="P56" s="21" t="str">
        <f aca="false">IF(Base!U331="","",Base!U331)</f>
        <v/>
      </c>
    </row>
    <row r="57" customFormat="false" ht="32.8" hidden="false" customHeight="false" outlineLevel="0" collapsed="false">
      <c r="A57" s="20" t="n">
        <f aca="false">SUBTOTAL(103,$B$6:B57)</f>
        <v>47</v>
      </c>
      <c r="B57" s="20" t="n">
        <v>384</v>
      </c>
      <c r="C57" s="21" t="str">
        <f aca="false">Base!G332</f>
        <v>2717148.MEJORAMIENTO DE LA PRODUCCION DE LECHE FRESCA EN LA ASOCIACION DE PRODUCTORES AGROPECUARIOS FORUNTANI SAMAN, DISTRITO DE SAMAN, PROVINCIA DE AZANGARO Y REGION DE PUNO</v>
      </c>
      <c r="D57" s="22" t="n">
        <f aca="false">Base!H332</f>
        <v>159547</v>
      </c>
      <c r="E57" s="22" t="n">
        <f aca="false">Base!I332</f>
        <v>154167</v>
      </c>
      <c r="F57" s="22" t="n">
        <f aca="false">D57-E57</f>
        <v>5380</v>
      </c>
      <c r="G57" s="22" t="n">
        <f aca="false">Base!K332</f>
        <v>116817</v>
      </c>
      <c r="H57" s="22" t="n">
        <f aca="false">D57-G57</f>
        <v>42730</v>
      </c>
      <c r="I57" s="23" t="n">
        <f aca="false">IF(D57=0,0,G57/D57)</f>
        <v>0.732179232451879</v>
      </c>
      <c r="J57" s="21" t="str">
        <f aca="false">Base!O332</f>
        <v>Equipamiento / Contrata</v>
      </c>
      <c r="K57" s="21" t="str">
        <f aca="false">Base!P332</f>
        <v>Comprometido</v>
      </c>
      <c r="L57" s="22" t="str">
        <f aca="false">Base!Q332</f>
        <v>No registrado en cartera</v>
      </c>
      <c r="M57" s="22" t="str">
        <f aca="false">Base!R332</f>
        <v>No registrado en cartera</v>
      </c>
      <c r="N57" s="22" t="str">
        <f aca="false">Base!S332</f>
        <v>No registrado en cartera</v>
      </c>
      <c r="O57" s="22" t="str">
        <f aca="false">Base!T332</f>
        <v>No registrado en cartera</v>
      </c>
      <c r="P57" s="21" t="str">
        <f aca="false">IF(Base!U332="","",Base!U332)</f>
        <v/>
      </c>
    </row>
    <row r="58" customFormat="false" ht="43.25" hidden="false" customHeight="false" outlineLevel="0" collapsed="false">
      <c r="A58" s="20" t="n">
        <f aca="false">SUBTOTAL(103,$B$6:B58)</f>
        <v>48</v>
      </c>
      <c r="B58" s="20" t="n">
        <v>385</v>
      </c>
      <c r="C58" s="21" t="str">
        <f aca="false">Base!G333</f>
        <v>2717149.MEJORAMIENTO EN LA PRODUCCION DE HILOS ARTESANALES DE LA ASOCIACION DE PRODUCTORES DE CAMELIDOS SUDAMERICANOS, ARTESANAL Y AGRICOLA TIKARIY PAMPA DEL DIST,  DISTRITO MACUSANI, PROVINCIA CARABAYA, REGION PUNO</v>
      </c>
      <c r="D58" s="22" t="n">
        <f aca="false">Base!H333</f>
        <v>158642</v>
      </c>
      <c r="E58" s="22" t="n">
        <f aca="false">Base!I333</f>
        <v>78147.62</v>
      </c>
      <c r="F58" s="22" t="n">
        <f aca="false">D58-E58</f>
        <v>80494.38</v>
      </c>
      <c r="G58" s="22" t="n">
        <f aca="false">Base!K333</f>
        <v>0</v>
      </c>
      <c r="H58" s="22" t="n">
        <f aca="false">D58-G58</f>
        <v>158642</v>
      </c>
      <c r="I58" s="23" t="n">
        <f aca="false">IF(D58=0,0,G58/D58)</f>
        <v>0</v>
      </c>
      <c r="J58" s="21" t="str">
        <f aca="false">Base!O333</f>
        <v>Equipamiento / Contrata</v>
      </c>
      <c r="K58" s="21" t="str">
        <f aca="false">Base!P333</f>
        <v>Comprometido</v>
      </c>
      <c r="L58" s="22" t="str">
        <f aca="false">Base!Q333</f>
        <v>No registrado en cartera</v>
      </c>
      <c r="M58" s="22" t="str">
        <f aca="false">Base!R333</f>
        <v>No registrado en cartera</v>
      </c>
      <c r="N58" s="22" t="str">
        <f aca="false">Base!S333</f>
        <v>No registrado en cartera</v>
      </c>
      <c r="O58" s="22" t="str">
        <f aca="false">Base!T333</f>
        <v>No registrado en cartera</v>
      </c>
      <c r="P58" s="21" t="str">
        <f aca="false">IF(Base!U333="","",Base!U333)</f>
        <v/>
      </c>
    </row>
    <row r="59" customFormat="false" ht="43.25" hidden="false" customHeight="false" outlineLevel="0" collapsed="false">
      <c r="A59" s="20" t="n">
        <f aca="false">SUBTOTAL(103,$B$6:B59)</f>
        <v>49</v>
      </c>
      <c r="B59" s="20" t="n">
        <v>388</v>
      </c>
      <c r="C59" s="21" t="str">
        <f aca="false">Base!G334</f>
        <v>2717152.MEJORAMIENTO DE LA PRODUCCION DE LECHE EN LA ASOCIACION DE PRODUCTORES AGROPECUARIOS LUZ Y VIDA DE LA COMUNIDAD DE NAUPAPAMPA DE DISTRITO DE ASILLO, PROVINCIA DE AZANGARO, REGION PUNO.</v>
      </c>
      <c r="D59" s="22" t="n">
        <f aca="false">Base!H334</f>
        <v>159352</v>
      </c>
      <c r="E59" s="22" t="n">
        <f aca="false">Base!I334</f>
        <v>154000</v>
      </c>
      <c r="F59" s="22" t="n">
        <f aca="false">D59-E59</f>
        <v>5352</v>
      </c>
      <c r="G59" s="22" t="n">
        <f aca="false">Base!K334</f>
        <v>150220</v>
      </c>
      <c r="H59" s="22" t="n">
        <f aca="false">D59-G59</f>
        <v>9132</v>
      </c>
      <c r="I59" s="23" t="n">
        <f aca="false">IF(D59=0,0,G59/D59)</f>
        <v>0.942692906270395</v>
      </c>
      <c r="J59" s="21" t="str">
        <f aca="false">Base!O334</f>
        <v>Equipamiento / Contrata</v>
      </c>
      <c r="K59" s="21" t="str">
        <f aca="false">Base!P334</f>
        <v>Comprometido</v>
      </c>
      <c r="L59" s="22" t="str">
        <f aca="false">Base!Q334</f>
        <v>No registrado en cartera</v>
      </c>
      <c r="M59" s="22" t="str">
        <f aca="false">Base!R334</f>
        <v>No registrado en cartera</v>
      </c>
      <c r="N59" s="22" t="str">
        <f aca="false">Base!S334</f>
        <v>No registrado en cartera</v>
      </c>
      <c r="O59" s="22" t="str">
        <f aca="false">Base!T334</f>
        <v>No registrado en cartera</v>
      </c>
      <c r="P59" s="21" t="str">
        <f aca="false">IF(Base!U334="","",Base!U334)</f>
        <v/>
      </c>
    </row>
    <row r="60" customFormat="false" ht="43.25" hidden="false" customHeight="false" outlineLevel="0" collapsed="false">
      <c r="A60" s="20" t="n">
        <f aca="false">SUBTOTAL(103,$B$6:B60)</f>
        <v>50</v>
      </c>
      <c r="B60" s="20" t="n">
        <v>389</v>
      </c>
      <c r="C60" s="21" t="str">
        <f aca="false">Base!G335</f>
        <v>2717153.MEJORAMIENTO Y AMPLIACION DE LA PRODUCCION Y COMERCIALIZACION DE CAFE TOSTADO MOLIDO Y FILTRANTE DE LA COOPERATIVA AGRARIA CAFETALERA SAN JORGE LTDA., DISTRITO DE SAN PEDRO DE PUTINA PUNCO, PROVINCIA DE SANDIA, REGION DE PUNO</v>
      </c>
      <c r="D60" s="22" t="n">
        <f aca="false">Base!H335</f>
        <v>159613</v>
      </c>
      <c r="E60" s="22" t="n">
        <f aca="false">Base!I335</f>
        <v>149133.25</v>
      </c>
      <c r="F60" s="22" t="n">
        <f aca="false">D60-E60</f>
        <v>10479.75</v>
      </c>
      <c r="G60" s="22" t="n">
        <f aca="false">Base!K335</f>
        <v>7133.25</v>
      </c>
      <c r="H60" s="22" t="n">
        <f aca="false">D60-G60</f>
        <v>152479.75</v>
      </c>
      <c r="I60" s="23" t="n">
        <f aca="false">IF(D60=0,0,G60/D60)</f>
        <v>0.0446909086352615</v>
      </c>
      <c r="J60" s="21" t="str">
        <f aca="false">Base!O335</f>
        <v>Equipamiento / Contrata</v>
      </c>
      <c r="K60" s="21" t="str">
        <f aca="false">Base!P335</f>
        <v>Comprometido</v>
      </c>
      <c r="L60" s="22" t="str">
        <f aca="false">Base!Q335</f>
        <v>No registrado en cartera</v>
      </c>
      <c r="M60" s="22" t="str">
        <f aca="false">Base!R335</f>
        <v>No registrado en cartera</v>
      </c>
      <c r="N60" s="22" t="str">
        <f aca="false">Base!S335</f>
        <v>No registrado en cartera</v>
      </c>
      <c r="O60" s="22" t="str">
        <f aca="false">Base!T335</f>
        <v>No registrado en cartera</v>
      </c>
      <c r="P60" s="21" t="str">
        <f aca="false">IF(Base!U335="","",Base!U335)</f>
        <v/>
      </c>
    </row>
    <row r="61" customFormat="false" ht="43.25" hidden="false" customHeight="false" outlineLevel="0" collapsed="false">
      <c r="A61" s="20" t="n">
        <f aca="false">SUBTOTAL(103,$B$6:B61)</f>
        <v>51</v>
      </c>
      <c r="B61" s="20" t="n">
        <v>390</v>
      </c>
      <c r="C61" s="21" t="str">
        <f aca="false">Base!G336</f>
        <v>2717154.MEJORAMIENTO DE LA CAPACIDAD PRODUCTIVA  DE QUESO PARIA PASTEURIZADO EN LA ASOCIACION DE PRODUCTORES AGROPECUARIOS  VIRGEN DEL CARMEN BALSAPATA, DISTRITO ORURILLO, PROVINCIA MELGAR, REGION PUNO</v>
      </c>
      <c r="D61" s="22" t="n">
        <f aca="false">Base!H336</f>
        <v>159555</v>
      </c>
      <c r="E61" s="22" t="n">
        <f aca="false">Base!I336</f>
        <v>132645</v>
      </c>
      <c r="F61" s="22" t="n">
        <f aca="false">D61-E61</f>
        <v>26910</v>
      </c>
      <c r="G61" s="22" t="n">
        <f aca="false">Base!K336</f>
        <v>100745</v>
      </c>
      <c r="H61" s="22" t="n">
        <f aca="false">D61-G61</f>
        <v>58810</v>
      </c>
      <c r="I61" s="23" t="n">
        <f aca="false">IF(D61=0,0,G61/D61)</f>
        <v>0.631412365641942</v>
      </c>
      <c r="J61" s="21" t="str">
        <f aca="false">Base!O336</f>
        <v>Equipamiento / Contrata</v>
      </c>
      <c r="K61" s="21" t="str">
        <f aca="false">Base!P336</f>
        <v>Comprometido</v>
      </c>
      <c r="L61" s="22" t="str">
        <f aca="false">Base!Q336</f>
        <v>No registrado en cartera</v>
      </c>
      <c r="M61" s="22" t="str">
        <f aca="false">Base!R336</f>
        <v>No registrado en cartera</v>
      </c>
      <c r="N61" s="22" t="str">
        <f aca="false">Base!S336</f>
        <v>No registrado en cartera</v>
      </c>
      <c r="O61" s="22" t="str">
        <f aca="false">Base!T336</f>
        <v>No registrado en cartera</v>
      </c>
      <c r="P61" s="21" t="str">
        <f aca="false">IF(Base!U336="","",Base!U336)</f>
        <v/>
      </c>
    </row>
    <row r="62" customFormat="false" ht="43.25" hidden="false" customHeight="false" outlineLevel="0" collapsed="false">
      <c r="A62" s="20" t="n">
        <f aca="false">SUBTOTAL(103,$B$6:B62)</f>
        <v>52</v>
      </c>
      <c r="B62" s="20" t="n">
        <v>391</v>
      </c>
      <c r="C62" s="21" t="str">
        <f aca="false">Base!G337</f>
        <v>2717155.MEJORAMIENTO DE LA PRODUCCION DE LECHE FRESCA EN LA ASOCIACION DE PRODUCTORES AGROPECUARIOS Y AGROINDUSTRIALES SAN JUAN DE LA PROVINCIA DE MELGAR PUNO DE DISTRITO DE ORURILLO, PROVINCIA DE MELGAR, REGION PUNO.</v>
      </c>
      <c r="D62" s="22" t="n">
        <f aca="false">Base!H337</f>
        <v>154799</v>
      </c>
      <c r="E62" s="22" t="n">
        <f aca="false">Base!I337</f>
        <v>147492</v>
      </c>
      <c r="F62" s="22" t="n">
        <f aca="false">D62-E62</f>
        <v>7307</v>
      </c>
      <c r="G62" s="22" t="n">
        <f aca="false">Base!K337</f>
        <v>143262</v>
      </c>
      <c r="H62" s="22" t="n">
        <f aca="false">D62-G62</f>
        <v>11537</v>
      </c>
      <c r="I62" s="23" t="n">
        <f aca="false">IF(D62=0,0,G62/D62)</f>
        <v>0.925471094774514</v>
      </c>
      <c r="J62" s="21" t="str">
        <f aca="false">Base!O337</f>
        <v>Equipamiento / Contrata</v>
      </c>
      <c r="K62" s="21" t="str">
        <f aca="false">Base!P337</f>
        <v>Comprometido</v>
      </c>
      <c r="L62" s="22" t="str">
        <f aca="false">Base!Q337</f>
        <v>No registrado en cartera</v>
      </c>
      <c r="M62" s="22" t="str">
        <f aca="false">Base!R337</f>
        <v>No registrado en cartera</v>
      </c>
      <c r="N62" s="22" t="str">
        <f aca="false">Base!S337</f>
        <v>No registrado en cartera</v>
      </c>
      <c r="O62" s="22" t="str">
        <f aca="false">Base!T337</f>
        <v>No registrado en cartera</v>
      </c>
      <c r="P62" s="21" t="str">
        <f aca="false">IF(Base!U337="","",Base!U337)</f>
        <v/>
      </c>
    </row>
    <row r="63" customFormat="false" ht="43.25" hidden="false" customHeight="false" outlineLevel="0" collapsed="false">
      <c r="A63" s="20" t="n">
        <f aca="false">SUBTOTAL(103,$B$6:B63)</f>
        <v>53</v>
      </c>
      <c r="B63" s="20" t="n">
        <v>395</v>
      </c>
      <c r="C63" s="21" t="str">
        <f aca="false">Base!G338</f>
        <v>2717159.MEJORAMIENTO DEL PROCESO DE PRODUCCION DE QUESO PARIA DE LA ASOCIACION DE PRODUCTORES AGROPECUARIOS DE DERIVADOS LACTEOS VILLA ORURILLO EN EL DISTRITO DE ORURILLO, PROVINCIA DE MELGAR, REGION DE PUNO.</v>
      </c>
      <c r="D63" s="22" t="n">
        <f aca="false">Base!H338</f>
        <v>155278</v>
      </c>
      <c r="E63" s="22" t="n">
        <f aca="false">Base!I338</f>
        <v>149541</v>
      </c>
      <c r="F63" s="22" t="n">
        <f aca="false">D63-E63</f>
        <v>5737</v>
      </c>
      <c r="G63" s="22" t="n">
        <f aca="false">Base!K338</f>
        <v>113190</v>
      </c>
      <c r="H63" s="22" t="n">
        <f aca="false">D63-G63</f>
        <v>42088</v>
      </c>
      <c r="I63" s="23" t="n">
        <f aca="false">IF(D63=0,0,G63/D63)</f>
        <v>0.728950656242352</v>
      </c>
      <c r="J63" s="21" t="str">
        <f aca="false">Base!O338</f>
        <v>Equipamiento / Contrata</v>
      </c>
      <c r="K63" s="21" t="str">
        <f aca="false">Base!P338</f>
        <v>Comprometido</v>
      </c>
      <c r="L63" s="22" t="str">
        <f aca="false">Base!Q338</f>
        <v>No registrado en cartera</v>
      </c>
      <c r="M63" s="22" t="str">
        <f aca="false">Base!R338</f>
        <v>No registrado en cartera</v>
      </c>
      <c r="N63" s="22" t="str">
        <f aca="false">Base!S338</f>
        <v>No registrado en cartera</v>
      </c>
      <c r="O63" s="22" t="str">
        <f aca="false">Base!T338</f>
        <v>No registrado en cartera</v>
      </c>
      <c r="P63" s="21" t="str">
        <f aca="false">IF(Base!U338="","",Base!U338)</f>
        <v/>
      </c>
    </row>
    <row r="64" customFormat="false" ht="32.8" hidden="false" customHeight="false" outlineLevel="0" collapsed="false">
      <c r="A64" s="20" t="n">
        <f aca="false">SUBTOTAL(103,$B$6:B64)</f>
        <v>54</v>
      </c>
      <c r="B64" s="20" t="n">
        <v>396</v>
      </c>
      <c r="C64" s="21" t="str">
        <f aca="false">Base!G339</f>
        <v>2717160.MEJORAMIENTO DEL SISTEMA PRODUCTIVO DEL CULTIVO DE QUINUA EN LA ASOCIACION AGROPECUARIA ECOLOGICA SURPERU, DISTRITO DE PILCUYO, PROVINCIA DE EL COLLAO REGION PUNO</v>
      </c>
      <c r="D64" s="22" t="n">
        <f aca="false">Base!H339</f>
        <v>159890</v>
      </c>
      <c r="E64" s="22" t="n">
        <f aca="false">Base!I339</f>
        <v>150349</v>
      </c>
      <c r="F64" s="22" t="n">
        <f aca="false">D64-E64</f>
        <v>9541</v>
      </c>
      <c r="G64" s="22" t="n">
        <f aca="false">Base!K339</f>
        <v>5349</v>
      </c>
      <c r="H64" s="22" t="n">
        <f aca="false">D64-G64</f>
        <v>154541</v>
      </c>
      <c r="I64" s="23" t="n">
        <f aca="false">IF(D64=0,0,G64/D64)</f>
        <v>0.0334542497967353</v>
      </c>
      <c r="J64" s="21" t="str">
        <f aca="false">Base!O339</f>
        <v>Equipamiento / Contrata</v>
      </c>
      <c r="K64" s="21" t="str">
        <f aca="false">Base!P339</f>
        <v>Comprometido</v>
      </c>
      <c r="L64" s="22" t="str">
        <f aca="false">Base!Q339</f>
        <v>No registrado en cartera</v>
      </c>
      <c r="M64" s="22" t="str">
        <f aca="false">Base!R339</f>
        <v>No registrado en cartera</v>
      </c>
      <c r="N64" s="22" t="str">
        <f aca="false">Base!S339</f>
        <v>No registrado en cartera</v>
      </c>
      <c r="O64" s="22" t="str">
        <f aca="false">Base!T339</f>
        <v>No registrado en cartera</v>
      </c>
      <c r="P64" s="21" t="str">
        <f aca="false">IF(Base!U339="","",Base!U339)</f>
        <v/>
      </c>
    </row>
    <row r="65" customFormat="false" ht="32.8" hidden="false" customHeight="false" outlineLevel="0" collapsed="false">
      <c r="A65" s="20" t="n">
        <f aca="false">SUBTOTAL(103,$B$6:B65)</f>
        <v>55</v>
      </c>
      <c r="B65" s="20" t="n">
        <v>398</v>
      </c>
      <c r="C65" s="21" t="str">
        <f aca="false">Base!G340</f>
        <v>2717162.MEJORAMIENTO DE PRODUCCION DE LECHE FRESCA EN LA ASOCIACION DE PRODUCTORES VILLA PALCA, DISTRITO DE PAUCARCOLLA, PROVINCIA DE PUNO Y DEPARTAMENTO DE PUNO</v>
      </c>
      <c r="D65" s="22" t="n">
        <f aca="false">Base!H340</f>
        <v>159321</v>
      </c>
      <c r="E65" s="22" t="n">
        <f aca="false">Base!I340</f>
        <v>152810</v>
      </c>
      <c r="F65" s="22" t="n">
        <f aca="false">D65-E65</f>
        <v>6511</v>
      </c>
      <c r="G65" s="22" t="n">
        <f aca="false">Base!K340</f>
        <v>130010</v>
      </c>
      <c r="H65" s="22" t="n">
        <f aca="false">D65-G65</f>
        <v>29311</v>
      </c>
      <c r="I65" s="23" t="n">
        <f aca="false">IF(D65=0,0,G65/D65)</f>
        <v>0.816025508250639</v>
      </c>
      <c r="J65" s="21" t="str">
        <f aca="false">Base!O340</f>
        <v>Equipamiento / Contrata</v>
      </c>
      <c r="K65" s="21" t="str">
        <f aca="false">Base!P340</f>
        <v>Comprometido</v>
      </c>
      <c r="L65" s="22" t="str">
        <f aca="false">Base!Q340</f>
        <v>No registrado en cartera</v>
      </c>
      <c r="M65" s="22" t="str">
        <f aca="false">Base!R340</f>
        <v>No registrado en cartera</v>
      </c>
      <c r="N65" s="22" t="str">
        <f aca="false">Base!S340</f>
        <v>No registrado en cartera</v>
      </c>
      <c r="O65" s="22" t="str">
        <f aca="false">Base!T340</f>
        <v>No registrado en cartera</v>
      </c>
      <c r="P65" s="21" t="str">
        <f aca="false">IF(Base!U340="","",Base!U340)</f>
        <v/>
      </c>
    </row>
    <row r="66" customFormat="false" ht="43.25" hidden="false" customHeight="false" outlineLevel="0" collapsed="false">
      <c r="A66" s="20" t="n">
        <f aca="false">SUBTOTAL(103,$B$6:B66)</f>
        <v>56</v>
      </c>
      <c r="B66" s="20" t="n">
        <v>400</v>
      </c>
      <c r="C66" s="21" t="str">
        <f aca="false">Base!G341</f>
        <v>2717165.AMPLIACION DE LA CAPACIDAD PRODUCTIVA DE QUESO PARIA EN LA ASOCIACION DE EMPRENDEDORES RURALES CORIFLOR COMUNIDAD LICAS ACHAYA, EN EL DISTRITO DE ACHAYA, PROVINCIA DE AZANGARO, REGION PUNO</v>
      </c>
      <c r="D66" s="22" t="n">
        <f aca="false">Base!H341</f>
        <v>146532</v>
      </c>
      <c r="E66" s="22" t="n">
        <f aca="false">Base!I341</f>
        <v>140645</v>
      </c>
      <c r="F66" s="22" t="n">
        <f aca="false">D66-E66</f>
        <v>5887</v>
      </c>
      <c r="G66" s="22" t="n">
        <f aca="false">Base!K341</f>
        <v>109445</v>
      </c>
      <c r="H66" s="22" t="n">
        <f aca="false">D66-G66</f>
        <v>37087</v>
      </c>
      <c r="I66" s="23" t="n">
        <f aca="false">IF(D66=0,0,G66/D66)</f>
        <v>0.746901700652417</v>
      </c>
      <c r="J66" s="21" t="str">
        <f aca="false">Base!O341</f>
        <v>Equipamiento / Contrata</v>
      </c>
      <c r="K66" s="21" t="str">
        <f aca="false">Base!P341</f>
        <v>Comprometido</v>
      </c>
      <c r="L66" s="22" t="str">
        <f aca="false">Base!Q341</f>
        <v>No registrado en cartera</v>
      </c>
      <c r="M66" s="22" t="str">
        <f aca="false">Base!R341</f>
        <v>No registrado en cartera</v>
      </c>
      <c r="N66" s="22" t="str">
        <f aca="false">Base!S341</f>
        <v>No registrado en cartera</v>
      </c>
      <c r="O66" s="22" t="str">
        <f aca="false">Base!T341</f>
        <v>No registrado en cartera</v>
      </c>
      <c r="P66" s="21" t="str">
        <f aca="false">IF(Base!U341="","",Base!U341)</f>
        <v/>
      </c>
    </row>
    <row r="67" customFormat="false" ht="53.7" hidden="false" customHeight="false" outlineLevel="0" collapsed="false">
      <c r="A67" s="20" t="n">
        <f aca="false">SUBTOTAL(103,$B$6:B67)</f>
        <v>57</v>
      </c>
      <c r="B67" s="20" t="n">
        <v>401</v>
      </c>
      <c r="C67" s="21" t="str">
        <f aca="false">Base!G342</f>
        <v>2717166.MEJORAMIENTO DE LA PRODUCCION Y COMERCIALIZACION DE LECHE FRESCA CON INNOVACION TECNOLOGIA EN LA ASOCIACION DE PRODUCTORES AGROPECUARIOS Y CRIADORES DE OVINO BELLON DE ORO DEL DISTRITO DE AZANGARO, PROVINCIA DE AZANGARO, REGION PUNO</v>
      </c>
      <c r="D67" s="22" t="n">
        <f aca="false">Base!H342</f>
        <v>155656</v>
      </c>
      <c r="E67" s="22" t="n">
        <f aca="false">Base!I342</f>
        <v>151053</v>
      </c>
      <c r="F67" s="22" t="n">
        <f aca="false">D67-E67</f>
        <v>4603</v>
      </c>
      <c r="G67" s="22" t="n">
        <f aca="false">Base!K342</f>
        <v>0</v>
      </c>
      <c r="H67" s="22" t="n">
        <f aca="false">D67-G67</f>
        <v>155656</v>
      </c>
      <c r="I67" s="23" t="n">
        <f aca="false">IF(D67=0,0,G67/D67)</f>
        <v>0</v>
      </c>
      <c r="J67" s="21" t="str">
        <f aca="false">Base!O342</f>
        <v>Equipamiento / Contrata</v>
      </c>
      <c r="K67" s="21" t="str">
        <f aca="false">Base!P342</f>
        <v>Comprometido</v>
      </c>
      <c r="L67" s="22" t="str">
        <f aca="false">Base!Q342</f>
        <v>No registrado en cartera</v>
      </c>
      <c r="M67" s="22" t="str">
        <f aca="false">Base!R342</f>
        <v>No registrado en cartera</v>
      </c>
      <c r="N67" s="22" t="str">
        <f aca="false">Base!S342</f>
        <v>No registrado en cartera</v>
      </c>
      <c r="O67" s="22" t="str">
        <f aca="false">Base!T342</f>
        <v>No registrado en cartera</v>
      </c>
      <c r="P67" s="21" t="str">
        <f aca="false">IF(Base!U342="","",Base!U342)</f>
        <v/>
      </c>
    </row>
    <row r="68" customFormat="false" ht="32.8" hidden="false" customHeight="false" outlineLevel="0" collapsed="false">
      <c r="A68" s="20" t="n">
        <f aca="false">SUBTOTAL(103,$B$6:B68)</f>
        <v>58</v>
      </c>
      <c r="B68" s="20" t="n">
        <v>402</v>
      </c>
      <c r="C68" s="21" t="str">
        <f aca="false">Base!G343</f>
        <v>2717167.MEJORAMIENTO DEL CULTIVO DE HABAS EN LA ASOCIACION DE PRODUCTORES AGROPECUARIOS VALLECITO SECTOR CCORCORI, DEL DISTRITO DE COPANI, PROVINCIA DE YUNGUYO, REGION PUNO</v>
      </c>
      <c r="D68" s="22" t="n">
        <f aca="false">Base!H343</f>
        <v>159060</v>
      </c>
      <c r="E68" s="22" t="n">
        <f aca="false">Base!I343</f>
        <v>151725</v>
      </c>
      <c r="F68" s="22" t="n">
        <f aca="false">D68-E68</f>
        <v>7335</v>
      </c>
      <c r="G68" s="22" t="n">
        <f aca="false">Base!K343</f>
        <v>124900</v>
      </c>
      <c r="H68" s="22" t="n">
        <f aca="false">D68-G68</f>
        <v>34160</v>
      </c>
      <c r="I68" s="23" t="n">
        <f aca="false">IF(D68=0,0,G68/D68)</f>
        <v>0.785238274864831</v>
      </c>
      <c r="J68" s="21" t="str">
        <f aca="false">Base!O343</f>
        <v>Equipamiento / Contrata</v>
      </c>
      <c r="K68" s="21" t="str">
        <f aca="false">Base!P343</f>
        <v>Comprometido</v>
      </c>
      <c r="L68" s="22" t="str">
        <f aca="false">Base!Q343</f>
        <v>No registrado en cartera</v>
      </c>
      <c r="M68" s="22" t="str">
        <f aca="false">Base!R343</f>
        <v>No registrado en cartera</v>
      </c>
      <c r="N68" s="22" t="str">
        <f aca="false">Base!S343</f>
        <v>No registrado en cartera</v>
      </c>
      <c r="O68" s="22" t="str">
        <f aca="false">Base!T343</f>
        <v>No registrado en cartera</v>
      </c>
      <c r="P68" s="21" t="str">
        <f aca="false">IF(Base!U343="","",Base!U343)</f>
        <v/>
      </c>
    </row>
    <row r="69" customFormat="false" ht="43.25" hidden="false" customHeight="false" outlineLevel="0" collapsed="false">
      <c r="A69" s="20" t="n">
        <f aca="false">SUBTOTAL(103,$B$6:B69)</f>
        <v>59</v>
      </c>
      <c r="B69" s="20" t="n">
        <v>403</v>
      </c>
      <c r="C69" s="21" t="str">
        <f aca="false">Base!G344</f>
        <v>2717168.MEJORAMIENTO DEL PROCESO DE PRODUCCION DE LECHE FRESCA DE LA ASOCIACION DE PRODUCTORES AGROPECUARIOS CORANI  CUPI APAC DEL DISTRITO DE CUPI, PROVINCIA DE MELGAR, REGION DE PUNO</v>
      </c>
      <c r="D69" s="22" t="n">
        <f aca="false">Base!H344</f>
        <v>159862</v>
      </c>
      <c r="E69" s="22" t="n">
        <f aca="false">Base!I344</f>
        <v>86882.5</v>
      </c>
      <c r="F69" s="22" t="n">
        <f aca="false">D69-E69</f>
        <v>72979.5</v>
      </c>
      <c r="G69" s="22" t="n">
        <f aca="false">Base!K344</f>
        <v>86872.5</v>
      </c>
      <c r="H69" s="22" t="n">
        <f aca="false">D69-G69</f>
        <v>72989.5</v>
      </c>
      <c r="I69" s="23" t="n">
        <f aca="false">IF(D69=0,0,G69/D69)</f>
        <v>0.543421826325206</v>
      </c>
      <c r="J69" s="21" t="str">
        <f aca="false">Base!O344</f>
        <v>Equipamiento / Contrata</v>
      </c>
      <c r="K69" s="21" t="str">
        <f aca="false">Base!P344</f>
        <v>Comprometido</v>
      </c>
      <c r="L69" s="22" t="str">
        <f aca="false">Base!Q344</f>
        <v>No registrado en cartera</v>
      </c>
      <c r="M69" s="22" t="str">
        <f aca="false">Base!R344</f>
        <v>No registrado en cartera</v>
      </c>
      <c r="N69" s="22" t="str">
        <f aca="false">Base!S344</f>
        <v>No registrado en cartera</v>
      </c>
      <c r="O69" s="22" t="str">
        <f aca="false">Base!T344</f>
        <v>No registrado en cartera</v>
      </c>
      <c r="P69" s="21" t="str">
        <f aca="false">IF(Base!U344="","",Base!U344)</f>
        <v/>
      </c>
    </row>
    <row r="70" customFormat="false" ht="43.25" hidden="false" customHeight="false" outlineLevel="0" collapsed="false">
      <c r="A70" s="20" t="n">
        <f aca="false">SUBTOTAL(103,$B$6:B70)</f>
        <v>60</v>
      </c>
      <c r="B70" s="20" t="n">
        <v>405</v>
      </c>
      <c r="C70" s="21" t="str">
        <f aca="false">Base!G345</f>
        <v>2717170.MEJORAMIENTO DE LA PRODUCCION DE LECHE EN LA ASOCIACION DE PRODUCTORES AGROPECUARIOS Y ARTESANIA TOTORUMA PAMPA  LLAQUEPA, DEL DISTRITO DE POMATA, PROVINCIA DE CHUCUITO, DEPARTAMENTO DE PUNO.</v>
      </c>
      <c r="D70" s="22" t="n">
        <f aca="false">Base!H345</f>
        <v>157300</v>
      </c>
      <c r="E70" s="22" t="n">
        <f aca="false">Base!I345</f>
        <v>149830</v>
      </c>
      <c r="F70" s="22" t="n">
        <f aca="false">D70-E70</f>
        <v>7470</v>
      </c>
      <c r="G70" s="22" t="n">
        <f aca="false">Base!K345</f>
        <v>149790</v>
      </c>
      <c r="H70" s="22" t="n">
        <f aca="false">D70-G70</f>
        <v>7510</v>
      </c>
      <c r="I70" s="23" t="n">
        <f aca="false">IF(D70=0,0,G70/D70)</f>
        <v>0.952256834075016</v>
      </c>
      <c r="J70" s="21" t="str">
        <f aca="false">Base!O345</f>
        <v>Equipamiento / Contrata</v>
      </c>
      <c r="K70" s="21" t="str">
        <f aca="false">Base!P345</f>
        <v>Comprometido</v>
      </c>
      <c r="L70" s="22" t="str">
        <f aca="false">Base!Q345</f>
        <v>No registrado en cartera</v>
      </c>
      <c r="M70" s="22" t="str">
        <f aca="false">Base!R345</f>
        <v>No registrado en cartera</v>
      </c>
      <c r="N70" s="22" t="str">
        <f aca="false">Base!S345</f>
        <v>No registrado en cartera</v>
      </c>
      <c r="O70" s="22" t="str">
        <f aca="false">Base!T345</f>
        <v>No registrado en cartera</v>
      </c>
      <c r="P70" s="21" t="str">
        <f aca="false">IF(Base!U345="","",Base!U345)</f>
        <v/>
      </c>
    </row>
    <row r="71" customFormat="false" ht="43.25" hidden="false" customHeight="false" outlineLevel="0" collapsed="false">
      <c r="A71" s="20" t="n">
        <f aca="false">SUBTOTAL(103,$B$6:B71)</f>
        <v>61</v>
      </c>
      <c r="B71" s="20" t="n">
        <v>406</v>
      </c>
      <c r="C71" s="21" t="str">
        <f aca="false">Base!G346</f>
        <v>2717171.MEJORAMIENTO DE LA PRODUCCION DE LECHE DE LA ASOCIACION DE PRODUCTORES AGROPECUARIOS SANTA ANA HUAYTA, DEL DISTRITO DE LAMPA, PROVINCIA DE LAMPA, DEPARTAMENTO DE PUNO</v>
      </c>
      <c r="D71" s="22" t="n">
        <f aca="false">Base!H346</f>
        <v>159720</v>
      </c>
      <c r="E71" s="22" t="n">
        <f aca="false">Base!I346</f>
        <v>152944</v>
      </c>
      <c r="F71" s="22" t="n">
        <f aca="false">D71-E71</f>
        <v>6776</v>
      </c>
      <c r="G71" s="22" t="n">
        <f aca="false">Base!K346</f>
        <v>146395</v>
      </c>
      <c r="H71" s="22" t="n">
        <f aca="false">D71-G71</f>
        <v>13325</v>
      </c>
      <c r="I71" s="23" t="n">
        <f aca="false">IF(D71=0,0,G71/D71)</f>
        <v>0.916572752316554</v>
      </c>
      <c r="J71" s="21" t="str">
        <f aca="false">Base!O346</f>
        <v>Equipamiento / Contrata</v>
      </c>
      <c r="K71" s="21" t="str">
        <f aca="false">Base!P346</f>
        <v>Comprometido</v>
      </c>
      <c r="L71" s="22" t="str">
        <f aca="false">Base!Q346</f>
        <v>No registrado en cartera</v>
      </c>
      <c r="M71" s="22" t="str">
        <f aca="false">Base!R346</f>
        <v>No registrado en cartera</v>
      </c>
      <c r="N71" s="22" t="str">
        <f aca="false">Base!S346</f>
        <v>No registrado en cartera</v>
      </c>
      <c r="O71" s="22" t="str">
        <f aca="false">Base!T346</f>
        <v>No registrado en cartera</v>
      </c>
      <c r="P71" s="21" t="str">
        <f aca="false">IF(Base!U346="","",Base!U346)</f>
        <v/>
      </c>
    </row>
    <row r="72" customFormat="false" ht="43.25" hidden="false" customHeight="false" outlineLevel="0" collapsed="false">
      <c r="A72" s="20" t="n">
        <f aca="false">SUBTOTAL(103,$B$6:B72)</f>
        <v>62</v>
      </c>
      <c r="B72" s="20" t="n">
        <v>409</v>
      </c>
      <c r="C72" s="21" t="str">
        <f aca="false">Base!G347</f>
        <v>2717174.MEJORAMIENTO DEL ENGORDE DE GANADO VACUNO EN EL AEO ASOCIACION CAMPO VERDE TOTORALES ENGORDE AGRO Y AGROPECUARIO, DISTRITO DE ILAVE, PROVINCIA EL COLLAO, REGION PUNO</v>
      </c>
      <c r="D72" s="22" t="n">
        <f aca="false">Base!H347</f>
        <v>159007</v>
      </c>
      <c r="E72" s="22" t="n">
        <f aca="false">Base!I347</f>
        <v>49260</v>
      </c>
      <c r="F72" s="22" t="n">
        <f aca="false">D72-E72</f>
        <v>109747</v>
      </c>
      <c r="G72" s="22" t="n">
        <f aca="false">Base!K347</f>
        <v>49260</v>
      </c>
      <c r="H72" s="22" t="n">
        <f aca="false">D72-G72</f>
        <v>109747</v>
      </c>
      <c r="I72" s="23" t="n">
        <f aca="false">IF(D72=0,0,G72/D72)</f>
        <v>0.309797681863063</v>
      </c>
      <c r="J72" s="21" t="str">
        <f aca="false">Base!O347</f>
        <v>Equipamiento / Contrata</v>
      </c>
      <c r="K72" s="21" t="str">
        <f aca="false">Base!P347</f>
        <v>Comprometido</v>
      </c>
      <c r="L72" s="22" t="str">
        <f aca="false">Base!Q347</f>
        <v>No registrado en cartera</v>
      </c>
      <c r="M72" s="22" t="str">
        <f aca="false">Base!R347</f>
        <v>No registrado en cartera</v>
      </c>
      <c r="N72" s="22" t="str">
        <f aca="false">Base!S347</f>
        <v>No registrado en cartera</v>
      </c>
      <c r="O72" s="22" t="str">
        <f aca="false">Base!T347</f>
        <v>No registrado en cartera</v>
      </c>
      <c r="P72" s="21" t="str">
        <f aca="false">IF(Base!U347="","",Base!U347)</f>
        <v/>
      </c>
    </row>
    <row r="73" customFormat="false" ht="43.25" hidden="false" customHeight="false" outlineLevel="0" collapsed="false">
      <c r="A73" s="20" t="n">
        <f aca="false">SUBTOTAL(103,$B$6:B73)</f>
        <v>63</v>
      </c>
      <c r="B73" s="20" t="n">
        <v>411</v>
      </c>
      <c r="C73" s="21" t="str">
        <f aca="false">Base!G348</f>
        <v>2717176.AMPLIACION DE LA CAPACIDAD PRODUCTIVA DE QUESOS PARIA DE LA ASOCIACION DE PRODUCTORES AGROPECUARIOS NUEVO AMANECER ALAYTIRA VILLA ORURILO, DISTRITO DE ORURILLO, PROVINCIA DE MELGAR, REGION PUNO.</v>
      </c>
      <c r="D73" s="22" t="n">
        <f aca="false">Base!H348</f>
        <v>159876</v>
      </c>
      <c r="E73" s="22" t="n">
        <f aca="false">Base!I348</f>
        <v>122810</v>
      </c>
      <c r="F73" s="22" t="n">
        <f aca="false">D73-E73</f>
        <v>37066</v>
      </c>
      <c r="G73" s="22" t="n">
        <f aca="false">Base!K348</f>
        <v>113200</v>
      </c>
      <c r="H73" s="22" t="n">
        <f aca="false">D73-G73</f>
        <v>46676</v>
      </c>
      <c r="I73" s="23" t="n">
        <f aca="false">IF(D73=0,0,G73/D73)</f>
        <v>0.708048737771773</v>
      </c>
      <c r="J73" s="21" t="str">
        <f aca="false">Base!O348</f>
        <v>Equipamiento / Contrata</v>
      </c>
      <c r="K73" s="21" t="str">
        <f aca="false">Base!P348</f>
        <v>Comprometido</v>
      </c>
      <c r="L73" s="22" t="str">
        <f aca="false">Base!Q348</f>
        <v>No registrado en cartera</v>
      </c>
      <c r="M73" s="22" t="str">
        <f aca="false">Base!R348</f>
        <v>No registrado en cartera</v>
      </c>
      <c r="N73" s="22" t="str">
        <f aca="false">Base!S348</f>
        <v>No registrado en cartera</v>
      </c>
      <c r="O73" s="22" t="str">
        <f aca="false">Base!T348</f>
        <v>No registrado en cartera</v>
      </c>
      <c r="P73" s="21" t="str">
        <f aca="false">IF(Base!U348="","",Base!U348)</f>
        <v/>
      </c>
    </row>
    <row r="74" customFormat="false" ht="32.8" hidden="false" customHeight="false" outlineLevel="0" collapsed="false">
      <c r="A74" s="20" t="n">
        <f aca="false">SUBTOTAL(103,$B$6:B74)</f>
        <v>64</v>
      </c>
      <c r="B74" s="20" t="n">
        <v>414</v>
      </c>
      <c r="C74" s="21" t="str">
        <f aca="false">Base!G349</f>
        <v>2717179.MEJORAMIENTO DE LA PRODUCCION Y CALIDAD DE LECHE FRESCA EN LA ASOCIACION DE PRODUCTORES DE LECHE MOYANDINA, AYAVIRI, PUNO 2 DEL DISTRITO DE AYAVIRI, MELGAR, PUNO</v>
      </c>
      <c r="D74" s="22" t="n">
        <f aca="false">Base!H349</f>
        <v>158527</v>
      </c>
      <c r="E74" s="22" t="n">
        <f aca="false">Base!I349</f>
        <v>152744</v>
      </c>
      <c r="F74" s="22" t="n">
        <f aca="false">D74-E74</f>
        <v>5783</v>
      </c>
      <c r="G74" s="22" t="n">
        <f aca="false">Base!K349</f>
        <v>146576</v>
      </c>
      <c r="H74" s="22" t="n">
        <f aca="false">D74-G74</f>
        <v>11951</v>
      </c>
      <c r="I74" s="23" t="n">
        <f aca="false">IF(D74=0,0,G74/D74)</f>
        <v>0.924612211169075</v>
      </c>
      <c r="J74" s="21" t="str">
        <f aca="false">Base!O349</f>
        <v>Equipamiento / Contrata</v>
      </c>
      <c r="K74" s="21" t="str">
        <f aca="false">Base!P349</f>
        <v>Comprometido</v>
      </c>
      <c r="L74" s="22" t="str">
        <f aca="false">Base!Q349</f>
        <v>No registrado en cartera</v>
      </c>
      <c r="M74" s="22" t="str">
        <f aca="false">Base!R349</f>
        <v>No registrado en cartera</v>
      </c>
      <c r="N74" s="22" t="str">
        <f aca="false">Base!S349</f>
        <v>No registrado en cartera</v>
      </c>
      <c r="O74" s="22" t="str">
        <f aca="false">Base!T349</f>
        <v>No registrado en cartera</v>
      </c>
      <c r="P74" s="21" t="str">
        <f aca="false">IF(Base!U349="","",Base!U349)</f>
        <v/>
      </c>
    </row>
    <row r="75" customFormat="false" ht="43.25" hidden="false" customHeight="false" outlineLevel="0" collapsed="false">
      <c r="A75" s="20" t="n">
        <f aca="false">SUBTOTAL(103,$B$6:B75)</f>
        <v>65</v>
      </c>
      <c r="B75" s="20" t="n">
        <v>415</v>
      </c>
      <c r="C75" s="21" t="str">
        <f aca="false">Base!G350</f>
        <v>2717180.MEJORAMIENTO DE LA PRODUCCION DE LECHE EN LA ASOCIACION DE PRODUCTORES AGROPECUARIOS E INDUSTRIALES ARACACHI JAHUERJALAC KELLUYO, DISTRITO DE KELLUYO, PROVINCIA DE CHUCUITO, REGION PUNO</v>
      </c>
      <c r="D75" s="22" t="n">
        <f aca="false">Base!H350</f>
        <v>158640</v>
      </c>
      <c r="E75" s="22" t="n">
        <f aca="false">Base!I350</f>
        <v>136115</v>
      </c>
      <c r="F75" s="22" t="n">
        <f aca="false">D75-E75</f>
        <v>22525</v>
      </c>
      <c r="G75" s="22" t="n">
        <f aca="false">Base!K350</f>
        <v>43095</v>
      </c>
      <c r="H75" s="22" t="n">
        <f aca="false">D75-G75</f>
        <v>115545</v>
      </c>
      <c r="I75" s="23" t="n">
        <f aca="false">IF(D75=0,0,G75/D75)</f>
        <v>0.271652798789713</v>
      </c>
      <c r="J75" s="21" t="str">
        <f aca="false">Base!O350</f>
        <v>Equipamiento / Contrata</v>
      </c>
      <c r="K75" s="21" t="str">
        <f aca="false">Base!P350</f>
        <v>Comprometido</v>
      </c>
      <c r="L75" s="22" t="str">
        <f aca="false">Base!Q350</f>
        <v>No registrado en cartera</v>
      </c>
      <c r="M75" s="22" t="str">
        <f aca="false">Base!R350</f>
        <v>No registrado en cartera</v>
      </c>
      <c r="N75" s="22" t="str">
        <f aca="false">Base!S350</f>
        <v>No registrado en cartera</v>
      </c>
      <c r="O75" s="22" t="str">
        <f aca="false">Base!T350</f>
        <v>No registrado en cartera</v>
      </c>
      <c r="P75" s="21" t="str">
        <f aca="false">IF(Base!U350="","",Base!U350)</f>
        <v/>
      </c>
    </row>
    <row r="76" customFormat="false" ht="43.25" hidden="false" customHeight="false" outlineLevel="0" collapsed="false">
      <c r="A76" s="20" t="n">
        <f aca="false">SUBTOTAL(103,$B$6:B76)</f>
        <v>66</v>
      </c>
      <c r="B76" s="20" t="n">
        <v>416</v>
      </c>
      <c r="C76" s="21" t="str">
        <f aca="false">Base!G351</f>
        <v>2717184.MEJORAMIENTO DE LA PRODUCCION Y PRODUCTIVIDAD DE LA QUINUA EN LA ASOCIACION DE PRODUCTORES AGROPECUARIOS LA ESTANCIA SUMA MARKA, DISTRITO DE ACORA, PROVINCIA PUNO, REGION PUNO</v>
      </c>
      <c r="D76" s="22" t="n">
        <f aca="false">Base!H351</f>
        <v>159041</v>
      </c>
      <c r="E76" s="22" t="n">
        <f aca="false">Base!I351</f>
        <v>146000</v>
      </c>
      <c r="F76" s="22" t="n">
        <f aca="false">D76-E76</f>
        <v>13041</v>
      </c>
      <c r="G76" s="22" t="n">
        <f aca="false">Base!K351</f>
        <v>139000</v>
      </c>
      <c r="H76" s="22" t="n">
        <f aca="false">D76-G76</f>
        <v>20041</v>
      </c>
      <c r="I76" s="23" t="n">
        <f aca="false">IF(D76=0,0,G76/D76)</f>
        <v>0.873988468382367</v>
      </c>
      <c r="J76" s="21" t="str">
        <f aca="false">Base!O351</f>
        <v>Equipamiento / Contrata</v>
      </c>
      <c r="K76" s="21" t="str">
        <f aca="false">Base!P351</f>
        <v>Comprometido</v>
      </c>
      <c r="L76" s="22" t="str">
        <f aca="false">Base!Q351</f>
        <v>No registrado en cartera</v>
      </c>
      <c r="M76" s="22" t="str">
        <f aca="false">Base!R351</f>
        <v>No registrado en cartera</v>
      </c>
      <c r="N76" s="22" t="str">
        <f aca="false">Base!S351</f>
        <v>No registrado en cartera</v>
      </c>
      <c r="O76" s="22" t="str">
        <f aca="false">Base!T351</f>
        <v>No registrado en cartera</v>
      </c>
      <c r="P76" s="21" t="str">
        <f aca="false">IF(Base!U351="","",Base!U351)</f>
        <v/>
      </c>
    </row>
    <row r="77" customFormat="false" ht="43.25" hidden="false" customHeight="false" outlineLevel="0" collapsed="false">
      <c r="A77" s="20" t="n">
        <f aca="false">SUBTOTAL(103,$B$6:B77)</f>
        <v>67</v>
      </c>
      <c r="B77" s="20" t="n">
        <v>419</v>
      </c>
      <c r="C77" s="21" t="str">
        <f aca="false">Base!G352</f>
        <v>2717187.MEJORAMIENTO DE LA PRODUCCION DE VACUNOS DE ENGORDE MEDIANTE TECNOLOGIAS SOSTENIBLES EN LA ASOCIACION DE EMPRENDEDORES AGROPECUARIOS TIERRA SANTA ROSASPATA DEL DISTRITO DE ROSASPATA, PROVINCIA DE HUANCANE, REGION PUNO</v>
      </c>
      <c r="D77" s="22" t="n">
        <f aca="false">Base!H352</f>
        <v>159584</v>
      </c>
      <c r="E77" s="22" t="n">
        <f aca="false">Base!I352</f>
        <v>152800</v>
      </c>
      <c r="F77" s="22" t="n">
        <f aca="false">D77-E77</f>
        <v>6784</v>
      </c>
      <c r="G77" s="22" t="n">
        <f aca="false">Base!K352</f>
        <v>152800</v>
      </c>
      <c r="H77" s="22" t="n">
        <f aca="false">D77-G77</f>
        <v>6784</v>
      </c>
      <c r="I77" s="23" t="n">
        <f aca="false">IF(D77=0,0,G77/D77)</f>
        <v>0.957489472628835</v>
      </c>
      <c r="J77" s="21" t="str">
        <f aca="false">Base!O352</f>
        <v>Equipamiento / Contrata</v>
      </c>
      <c r="K77" s="21" t="str">
        <f aca="false">Base!P352</f>
        <v>Comprometido</v>
      </c>
      <c r="L77" s="22" t="str">
        <f aca="false">Base!Q352</f>
        <v>No registrado en cartera</v>
      </c>
      <c r="M77" s="22" t="str">
        <f aca="false">Base!R352</f>
        <v>No registrado en cartera</v>
      </c>
      <c r="N77" s="22" t="str">
        <f aca="false">Base!S352</f>
        <v>No registrado en cartera</v>
      </c>
      <c r="O77" s="22" t="str">
        <f aca="false">Base!T352</f>
        <v>No registrado en cartera</v>
      </c>
      <c r="P77" s="21" t="str">
        <f aca="false">IF(Base!U352="","",Base!U352)</f>
        <v/>
      </c>
    </row>
    <row r="78" customFormat="false" ht="43.25" hidden="false" customHeight="false" outlineLevel="0" collapsed="false">
      <c r="A78" s="20" t="n">
        <f aca="false">SUBTOTAL(103,$B$6:B78)</f>
        <v>68</v>
      </c>
      <c r="B78" s="20" t="n">
        <v>422</v>
      </c>
      <c r="C78" s="21" t="str">
        <f aca="false">Base!G353</f>
        <v>2717190.MEJORAMIENTO DE LA PRODUCCION DE QUESO TIPO PARIA EN LA ASOCIACION DE PRODUCTORES DE LECHE Y DERIVADOS LACTEOS RIDANI LLINQUICHUPA , DISTRITO DE LAMPA, PROVINCIA DE LAMPA Y DEPARTAMENTO DE PUNO</v>
      </c>
      <c r="D78" s="22" t="n">
        <f aca="false">Base!H353</f>
        <v>159830</v>
      </c>
      <c r="E78" s="22" t="n">
        <f aca="false">Base!I353</f>
        <v>152085</v>
      </c>
      <c r="F78" s="22" t="n">
        <f aca="false">D78-E78</f>
        <v>7745</v>
      </c>
      <c r="G78" s="22" t="n">
        <f aca="false">Base!K353</f>
        <v>97085</v>
      </c>
      <c r="H78" s="22" t="n">
        <f aca="false">D78-G78</f>
        <v>62745</v>
      </c>
      <c r="I78" s="23" t="n">
        <f aca="false">IF(D78=0,0,G78/D78)</f>
        <v>0.607426640805856</v>
      </c>
      <c r="J78" s="21" t="str">
        <f aca="false">Base!O353</f>
        <v>Equipamiento / Contrata</v>
      </c>
      <c r="K78" s="21" t="str">
        <f aca="false">Base!P353</f>
        <v>Comprometido</v>
      </c>
      <c r="L78" s="22" t="str">
        <f aca="false">Base!Q353</f>
        <v>No registrado en cartera</v>
      </c>
      <c r="M78" s="22" t="str">
        <f aca="false">Base!R353</f>
        <v>No registrado en cartera</v>
      </c>
      <c r="N78" s="22" t="str">
        <f aca="false">Base!S353</f>
        <v>No registrado en cartera</v>
      </c>
      <c r="O78" s="22" t="str">
        <f aca="false">Base!T353</f>
        <v>No registrado en cartera</v>
      </c>
      <c r="P78" s="21" t="str">
        <f aca="false">IF(Base!U353="","",Base!U353)</f>
        <v/>
      </c>
    </row>
    <row r="79" customFormat="false" ht="32.8" hidden="false" customHeight="false" outlineLevel="0" collapsed="false">
      <c r="A79" s="20" t="n">
        <f aca="false">SUBTOTAL(103,$B$6:B79)</f>
        <v>69</v>
      </c>
      <c r="B79" s="20" t="n">
        <v>426</v>
      </c>
      <c r="C79" s="21" t="str">
        <f aca="false">Base!G354</f>
        <v>2717191.MEJORAMIENTO DE LA PRODUCTIVIDAD DE LECHE FRESCA EN LA ASOCIACION DE PRODUCTORES AGROPECUARIOS ESQUERICA DEL DISTRITO DE ROSASPATA, PROVINCIA DE HUANCANE, REGION PUNO</v>
      </c>
      <c r="D79" s="22" t="n">
        <f aca="false">Base!H354</f>
        <v>159880</v>
      </c>
      <c r="E79" s="22" t="n">
        <f aca="false">Base!I354</f>
        <v>154030</v>
      </c>
      <c r="F79" s="22" t="n">
        <f aca="false">D79-E79</f>
        <v>5850</v>
      </c>
      <c r="G79" s="22" t="n">
        <f aca="false">Base!K354</f>
        <v>50840</v>
      </c>
      <c r="H79" s="22" t="n">
        <f aca="false">D79-G79</f>
        <v>109040</v>
      </c>
      <c r="I79" s="23" t="n">
        <f aca="false">IF(D79=0,0,G79/D79)</f>
        <v>0.317988491368526</v>
      </c>
      <c r="J79" s="21" t="str">
        <f aca="false">Base!O354</f>
        <v>Equipamiento / Contrata</v>
      </c>
      <c r="K79" s="21" t="str">
        <f aca="false">Base!P354</f>
        <v>Comprometido</v>
      </c>
      <c r="L79" s="22" t="str">
        <f aca="false">Base!Q354</f>
        <v>No registrado en cartera</v>
      </c>
      <c r="M79" s="22" t="str">
        <f aca="false">Base!R354</f>
        <v>No registrado en cartera</v>
      </c>
      <c r="N79" s="22" t="str">
        <f aca="false">Base!S354</f>
        <v>No registrado en cartera</v>
      </c>
      <c r="O79" s="22" t="str">
        <f aca="false">Base!T354</f>
        <v>No registrado en cartera</v>
      </c>
      <c r="P79" s="21" t="str">
        <f aca="false">IF(Base!U354="","",Base!U354)</f>
        <v/>
      </c>
    </row>
    <row r="80" customFormat="false" ht="43.25" hidden="false" customHeight="false" outlineLevel="0" collapsed="false">
      <c r="A80" s="20" t="n">
        <f aca="false">SUBTOTAL(103,$B$6:B80)</f>
        <v>70</v>
      </c>
      <c r="B80" s="20" t="n">
        <v>478</v>
      </c>
      <c r="C80" s="21" t="str">
        <f aca="false">Base!G355</f>
        <v>2717181.MEJORAMIENTO DE VACUNO EN PIE EN LA ASOCIACION DE PRODUCTORES AGROPECUARIOS FLORES ANDINOS ANCCACCA PICHACANI, LARAQUERI, DISTRITO PICHACANI, PROVINCIA PUNO Y DEPARTAMENTO PUNO</v>
      </c>
      <c r="D80" s="22" t="n">
        <f aca="false">Base!H355</f>
        <v>159978</v>
      </c>
      <c r="E80" s="22" t="n">
        <f aca="false">Base!I355</f>
        <v>153229</v>
      </c>
      <c r="F80" s="22" t="n">
        <f aca="false">D80-E80</f>
        <v>6749</v>
      </c>
      <c r="G80" s="22" t="n">
        <f aca="false">Base!K355</f>
        <v>129240</v>
      </c>
      <c r="H80" s="22" t="n">
        <f aca="false">D80-G80</f>
        <v>30738</v>
      </c>
      <c r="I80" s="23" t="n">
        <f aca="false">IF(D80=0,0,G80/D80)</f>
        <v>0.807861080898624</v>
      </c>
      <c r="J80" s="21" t="str">
        <f aca="false">Base!O355</f>
        <v>Equipamiento / Contrata</v>
      </c>
      <c r="K80" s="21" t="str">
        <f aca="false">Base!P355</f>
        <v>Comprometido</v>
      </c>
      <c r="L80" s="22" t="str">
        <f aca="false">Base!Q355</f>
        <v>No registrado en cartera</v>
      </c>
      <c r="M80" s="22" t="str">
        <f aca="false">Base!R355</f>
        <v>No registrado en cartera</v>
      </c>
      <c r="N80" s="22" t="str">
        <f aca="false">Base!S355</f>
        <v>No registrado en cartera</v>
      </c>
      <c r="O80" s="22" t="str">
        <f aca="false">Base!T355</f>
        <v>No registrado en cartera</v>
      </c>
      <c r="P80" s="21" t="str">
        <f aca="false">IF(Base!U355="","",Base!U355)</f>
        <v/>
      </c>
    </row>
    <row r="81" customFormat="false" ht="43.25" hidden="false" customHeight="false" outlineLevel="0" collapsed="false">
      <c r="A81" s="20" t="n">
        <f aca="false">SUBTOTAL(103,$B$6:B81)</f>
        <v>71</v>
      </c>
      <c r="B81" s="20" t="n">
        <v>487</v>
      </c>
      <c r="C81" s="21" t="str">
        <f aca="false">Base!G356</f>
        <v>2326588.MEJORAMIENTO DE LOS SERVICIOS DE APOYO A LA CADENA PRODUCTIVA DE CAFES ESPECIALES EN LOS DISTRITOS DE COASA, ITUATA, OLLACHEA, USICAYOS, LIMBANI, PATAMBUCO Y PHARA DE LAS PROVINCIAS DE CARABAYA Y SANDIA - REGION PUNO</v>
      </c>
      <c r="D81" s="22" t="n">
        <f aca="false">Base!H356</f>
        <v>44000</v>
      </c>
      <c r="E81" s="22" t="n">
        <f aca="false">Base!I356</f>
        <v>43500</v>
      </c>
      <c r="F81" s="22" t="n">
        <f aca="false">D81-E81</f>
        <v>500</v>
      </c>
      <c r="G81" s="22" t="n">
        <f aca="false">Base!K356</f>
        <v>17400</v>
      </c>
      <c r="H81" s="22" t="n">
        <f aca="false">D81-G81</f>
        <v>26600</v>
      </c>
      <c r="I81" s="23" t="n">
        <f aca="false">IF(D81=0,0,G81/D81)</f>
        <v>0.395454545454545</v>
      </c>
      <c r="J81" s="21" t="str">
        <f aca="false">Base!O356</f>
        <v>Contrata</v>
      </c>
      <c r="K81" s="21" t="str">
        <f aca="false">Base!P356</f>
        <v>Comprometido</v>
      </c>
      <c r="L81" s="22" t="n">
        <f aca="false">Base!Q356</f>
        <v>44000</v>
      </c>
      <c r="M81" s="22" t="n">
        <f aca="false">Base!R356</f>
        <v>291221</v>
      </c>
      <c r="N81" s="22" t="n">
        <f aca="false">Base!S356</f>
        <v>0</v>
      </c>
      <c r="O81" s="22" t="n">
        <f aca="false">Base!T356</f>
        <v>0</v>
      </c>
      <c r="P81" s="21" t="str">
        <f aca="false">IF(Base!U356="","",Base!U356)</f>
        <v/>
      </c>
    </row>
    <row r="82" customFormat="false" ht="43.25" hidden="false" customHeight="false" outlineLevel="0" collapsed="false">
      <c r="A82" s="20" t="n">
        <f aca="false">SUBTOTAL(103,$B$6:B82)</f>
        <v>72</v>
      </c>
      <c r="B82" s="20" t="n">
        <v>526</v>
      </c>
      <c r="C82" s="21" t="str">
        <f aca="false">Base!G357</f>
        <v>2681133.MEJORAMIENTO DE LA PRODUCCION DE QUESOS TIPO PARIA PASTEURIZADO DE LA CENTRAL DE ASOCIACIONES GANADEROS LECHEROS Y AGRARIOS DEL DISTRITO DE VILQUE, DISTRITO DE VILQUE, PROVINCIA DE PUNO, REGION PUNO</v>
      </c>
      <c r="D82" s="22" t="n">
        <f aca="false">Base!H357</f>
        <v>2795</v>
      </c>
      <c r="E82" s="22" t="n">
        <f aca="false">Base!I357</f>
        <v>2795</v>
      </c>
      <c r="F82" s="22" t="n">
        <f aca="false">D82-E82</f>
        <v>0</v>
      </c>
      <c r="G82" s="22" t="n">
        <f aca="false">Base!K357</f>
        <v>0</v>
      </c>
      <c r="H82" s="22" t="n">
        <f aca="false">D82-G82</f>
        <v>2795</v>
      </c>
      <c r="I82" s="23" t="n">
        <f aca="false">IF(D82=0,0,G82/D82)</f>
        <v>0</v>
      </c>
      <c r="J82" s="21" t="str">
        <f aca="false">Base!O357</f>
        <v>Contrata</v>
      </c>
      <c r="K82" s="21" t="str">
        <f aca="false">Base!P357</f>
        <v>Solo certificado</v>
      </c>
      <c r="L82" s="22" t="str">
        <f aca="false">Base!Q357</f>
        <v>No registrado en cartera</v>
      </c>
      <c r="M82" s="22" t="str">
        <f aca="false">Base!R357</f>
        <v>No registrado en cartera</v>
      </c>
      <c r="N82" s="22" t="str">
        <f aca="false">Base!S357</f>
        <v>No registrado en cartera</v>
      </c>
      <c r="O82" s="22" t="str">
        <f aca="false">Base!T357</f>
        <v>No registrado en cartera</v>
      </c>
      <c r="P82" s="21" t="str">
        <f aca="false">IF(Base!U357="","",Base!U357)</f>
        <v/>
      </c>
    </row>
    <row r="83" customFormat="false" ht="15" hidden="false" customHeight="false" outlineLevel="0" collapsed="false">
      <c r="A83" s="17" t="s">
        <v>67</v>
      </c>
      <c r="B83" s="17"/>
      <c r="C83" s="17"/>
      <c r="D83" s="18" t="n">
        <f aca="false">SUM(D84:D87)</f>
        <v>1054126</v>
      </c>
      <c r="E83" s="18" t="n">
        <f aca="false">SUM(E84:E87)</f>
        <v>893638.67</v>
      </c>
      <c r="F83" s="18" t="n">
        <f aca="false">SUM(F84:F87)</f>
        <v>160487.33</v>
      </c>
      <c r="G83" s="18" t="n">
        <f aca="false">SUM(G84:G87)</f>
        <v>30322</v>
      </c>
      <c r="H83" s="18" t="n">
        <f aca="false">SUM(H84:H87)</f>
        <v>1023804</v>
      </c>
      <c r="I83" s="19" t="n">
        <f aca="false">IF(D83=0,0,G83/D83)</f>
        <v>0.0287650622411363</v>
      </c>
      <c r="J83" s="17"/>
      <c r="K83" s="17"/>
      <c r="L83" s="17"/>
      <c r="M83" s="17"/>
      <c r="N83" s="17"/>
      <c r="O83" s="17"/>
      <c r="P83" s="17"/>
    </row>
    <row r="84" customFormat="false" ht="53.7" hidden="false" customHeight="false" outlineLevel="0" collapsed="false">
      <c r="A84" s="20" t="n">
        <f aca="false">SUBTOTAL(103,$B$6:B84)</f>
        <v>73</v>
      </c>
      <c r="B84" s="20" t="n">
        <v>368</v>
      </c>
      <c r="C84" s="21" t="str">
        <f aca="false">Base!G358</f>
        <v>2681278: MEJORAMIENTO DEL PROCESO DE PRODUCCION DE SELECCIONADOR DE TRUCHAS EN MAQUINARIAS ACUITROUT SOCIEDAD COMERCIAL DE RESPONSABILIDAD DE LA COMUNIDAD DE KOLLPAJAHUIRA, DISTRITO DE JULI, PROVINCIA DE CHUCUITO, DEPARTAMENTO DE PUNO</v>
      </c>
      <c r="D84" s="22" t="n">
        <f aca="false">Base!H358</f>
        <v>179500</v>
      </c>
      <c r="E84" s="22" t="n">
        <f aca="false">Base!I358</f>
        <v>163750</v>
      </c>
      <c r="F84" s="22" t="n">
        <f aca="false">D84-E84</f>
        <v>15750</v>
      </c>
      <c r="G84" s="22" t="n">
        <f aca="false">Base!K358</f>
        <v>3750</v>
      </c>
      <c r="H84" s="22" t="n">
        <f aca="false">D84-G84</f>
        <v>175750</v>
      </c>
      <c r="I84" s="23" t="n">
        <f aca="false">IF(D84=0,0,G84/D84)</f>
        <v>0.020891364902507</v>
      </c>
      <c r="J84" s="21" t="str">
        <f aca="false">Base!O358</f>
        <v>Equipamiento / Contrata</v>
      </c>
      <c r="K84" s="21" t="str">
        <f aca="false">Base!P358</f>
        <v>Comprometido</v>
      </c>
      <c r="L84" s="22" t="str">
        <f aca="false">Base!Q358</f>
        <v>No registrado en cartera</v>
      </c>
      <c r="M84" s="22" t="str">
        <f aca="false">Base!R358</f>
        <v>No registrado en cartera</v>
      </c>
      <c r="N84" s="22" t="str">
        <f aca="false">Base!S358</f>
        <v>No registrado en cartera</v>
      </c>
      <c r="O84" s="22" t="str">
        <f aca="false">Base!T358</f>
        <v>No registrado en cartera</v>
      </c>
      <c r="P84" s="21" t="str">
        <f aca="false">IF(Base!U358="","",Base!U358)</f>
        <v/>
      </c>
    </row>
    <row r="85" customFormat="false" ht="32.8" hidden="false" customHeight="false" outlineLevel="0" collapsed="false">
      <c r="A85" s="20" t="n">
        <f aca="false">SUBTOTAL(103,$B$6:B85)</f>
        <v>74</v>
      </c>
      <c r="B85" s="20" t="n">
        <v>375</v>
      </c>
      <c r="C85" s="21" t="str">
        <f aca="false">Base!G359</f>
        <v>2681123: MEJORAMIENTO EN EL PROCESO DE VALOR AGREGADO DE TRUCHAS EN LA EMPRESA AMERICAN TROUT FARO S.R.L. EN EL DISTRITO DE POMATA, PROVINCIA DE CHUCUITO Y DEPARTAMENTO DE PUNO.</v>
      </c>
      <c r="D85" s="22" t="n">
        <f aca="false">Base!H359</f>
        <v>175166</v>
      </c>
      <c r="E85" s="22" t="n">
        <f aca="false">Base!I359</f>
        <v>166872</v>
      </c>
      <c r="F85" s="22" t="n">
        <f aca="false">D85-E85</f>
        <v>8294</v>
      </c>
      <c r="G85" s="22" t="n">
        <f aca="false">Base!K359</f>
        <v>5872</v>
      </c>
      <c r="H85" s="22" t="n">
        <f aca="false">D85-G85</f>
        <v>169294</v>
      </c>
      <c r="I85" s="23" t="n">
        <f aca="false">IF(D85=0,0,G85/D85)</f>
        <v>0.0335224872406746</v>
      </c>
      <c r="J85" s="21" t="str">
        <f aca="false">Base!O359</f>
        <v>Equipamiento / Contrata</v>
      </c>
      <c r="K85" s="21" t="str">
        <f aca="false">Base!P359</f>
        <v>Comprometido</v>
      </c>
      <c r="L85" s="22" t="str">
        <f aca="false">Base!Q359</f>
        <v>No registrado en cartera</v>
      </c>
      <c r="M85" s="22" t="str">
        <f aca="false">Base!R359</f>
        <v>No registrado en cartera</v>
      </c>
      <c r="N85" s="22" t="str">
        <f aca="false">Base!S359</f>
        <v>No registrado en cartera</v>
      </c>
      <c r="O85" s="22" t="str">
        <f aca="false">Base!T359</f>
        <v>No registrado en cartera</v>
      </c>
      <c r="P85" s="21" t="str">
        <f aca="false">IF(Base!U359="","",Base!U359)</f>
        <v/>
      </c>
    </row>
    <row r="86" customFormat="false" ht="43.25" hidden="false" customHeight="false" outlineLevel="0" collapsed="false">
      <c r="A86" s="20" t="n">
        <f aca="false">SUBTOTAL(103,$B$6:B86)</f>
        <v>75</v>
      </c>
      <c r="B86" s="20" t="n">
        <v>417</v>
      </c>
      <c r="C86" s="21" t="str">
        <f aca="false">Base!G360</f>
        <v>2717185.MEJORAMIENTO DE VALOR AGREGADO DE LA TRUCHA EN AQUA INDUSTRIAS EL FARO SOCIEDAD COMERCIAL DE RESPONSABILIDAD LIMITADA, DISTRITO DE POMATA, PROVINCIA DE CHUCUITO Y DEPARTAMENTO DE PUNO</v>
      </c>
      <c r="D86" s="22" t="n">
        <f aca="false">Base!H360</f>
        <v>349792</v>
      </c>
      <c r="E86" s="22" t="n">
        <f aca="false">Base!I360</f>
        <v>325833.33</v>
      </c>
      <c r="F86" s="22" t="n">
        <f aca="false">D86-E86</f>
        <v>23958.67</v>
      </c>
      <c r="G86" s="22" t="n">
        <f aca="false">Base!K360</f>
        <v>0</v>
      </c>
      <c r="H86" s="22" t="n">
        <f aca="false">D86-G86</f>
        <v>349792</v>
      </c>
      <c r="I86" s="23" t="n">
        <f aca="false">IF(D86=0,0,G86/D86)</f>
        <v>0</v>
      </c>
      <c r="J86" s="21" t="str">
        <f aca="false">Base!O360</f>
        <v>Equipamiento / Contrata</v>
      </c>
      <c r="K86" s="21" t="str">
        <f aca="false">Base!P360</f>
        <v>Comprometido</v>
      </c>
      <c r="L86" s="22" t="str">
        <f aca="false">Base!Q360</f>
        <v>No registrado en cartera</v>
      </c>
      <c r="M86" s="22" t="str">
        <f aca="false">Base!R360</f>
        <v>No registrado en cartera</v>
      </c>
      <c r="N86" s="22" t="str">
        <f aca="false">Base!S360</f>
        <v>No registrado en cartera</v>
      </c>
      <c r="O86" s="22" t="str">
        <f aca="false">Base!T360</f>
        <v>No registrado en cartera</v>
      </c>
      <c r="P86" s="21" t="str">
        <f aca="false">IF(Base!U360="","",Base!U360)</f>
        <v/>
      </c>
    </row>
    <row r="87" customFormat="false" ht="43.25" hidden="false" customHeight="false" outlineLevel="0" collapsed="false">
      <c r="A87" s="20" t="n">
        <f aca="false">SUBTOTAL(103,$B$6:B87)</f>
        <v>76</v>
      </c>
      <c r="B87" s="20" t="n">
        <v>474</v>
      </c>
      <c r="C87" s="21" t="str">
        <f aca="false">Base!G361</f>
        <v>2723300.MEJORAMIENTO DE LA PRODUCCION Y TRANSFORMACION DE FILETE DE TRUCHA DE LA EMPRESA TITIKAKA TROUT PERU SOCIEDAD COMERCIAL DE RESPONSABILIDAD LIMITADA DEL DISTRITO DE POMATA, PROVINCIA DE CHUCUITO, REGION PUNO</v>
      </c>
      <c r="D87" s="22" t="n">
        <f aca="false">Base!H361</f>
        <v>349668</v>
      </c>
      <c r="E87" s="22" t="n">
        <f aca="false">Base!I361</f>
        <v>237183.34</v>
      </c>
      <c r="F87" s="22" t="n">
        <f aca="false">D87-E87</f>
        <v>112484.66</v>
      </c>
      <c r="G87" s="22" t="n">
        <f aca="false">Base!K361</f>
        <v>20700</v>
      </c>
      <c r="H87" s="22" t="n">
        <f aca="false">D87-G87</f>
        <v>328968</v>
      </c>
      <c r="I87" s="23" t="n">
        <f aca="false">IF(D87=0,0,G87/D87)</f>
        <v>0.0591990116338927</v>
      </c>
      <c r="J87" s="21" t="str">
        <f aca="false">Base!O361</f>
        <v>Equipamiento / Contrata</v>
      </c>
      <c r="K87" s="21" t="str">
        <f aca="false">Base!P361</f>
        <v>Comprometido</v>
      </c>
      <c r="L87" s="22" t="str">
        <f aca="false">Base!Q361</f>
        <v>No registrado en cartera</v>
      </c>
      <c r="M87" s="22" t="str">
        <f aca="false">Base!R361</f>
        <v>No registrado en cartera</v>
      </c>
      <c r="N87" s="22" t="str">
        <f aca="false">Base!S361</f>
        <v>No registrado en cartera</v>
      </c>
      <c r="O87" s="22" t="str">
        <f aca="false">Base!T361</f>
        <v>No registrado en cartera</v>
      </c>
      <c r="P87" s="21" t="str">
        <f aca="false">IF(Base!U361="","",Base!U361)</f>
        <v/>
      </c>
    </row>
    <row r="88" customFormat="false" ht="15" hidden="false" customHeight="false" outlineLevel="0" collapsed="false">
      <c r="A88" s="17" t="s">
        <v>68</v>
      </c>
      <c r="B88" s="17"/>
      <c r="C88" s="17"/>
      <c r="D88" s="18" t="n">
        <f aca="false">SUM(D89:D95)</f>
        <v>1308816</v>
      </c>
      <c r="E88" s="18" t="n">
        <f aca="false">SUM(E89:E95)</f>
        <v>1209080</v>
      </c>
      <c r="F88" s="18" t="n">
        <f aca="false">SUM(F89:F95)</f>
        <v>99736</v>
      </c>
      <c r="G88" s="18" t="n">
        <f aca="false">SUM(G89:G95)</f>
        <v>538610</v>
      </c>
      <c r="H88" s="18" t="n">
        <f aca="false">SUM(H89:H95)</f>
        <v>770206</v>
      </c>
      <c r="I88" s="19" t="n">
        <f aca="false">IF(D88=0,0,G88/D88)</f>
        <v>0.411524614613513</v>
      </c>
      <c r="J88" s="17"/>
      <c r="K88" s="17"/>
      <c r="L88" s="17"/>
      <c r="M88" s="17"/>
      <c r="N88" s="17"/>
      <c r="O88" s="17"/>
      <c r="P88" s="17"/>
    </row>
    <row r="89" customFormat="false" ht="53.7" hidden="false" customHeight="false" outlineLevel="0" collapsed="false">
      <c r="A89" s="20" t="n">
        <f aca="false">SUBTOTAL(103,$B$6:B89)</f>
        <v>77</v>
      </c>
      <c r="B89" s="20" t="n">
        <v>356</v>
      </c>
      <c r="C89" s="21" t="str">
        <f aca="false">Base!G362</f>
        <v>2676422: MEJORAMIENTO DE LA COMPETITIVIDAD PRODUCTIVA DE LA CERAMICA TRADICIONAL DE CHECCA PUPUJA EN LA ASOCIACION CERAMICA TRADICIONAL ANCESTRAL CHACCA PUPUJA, DISTRITO DE JOSE DOMINGO CHOQUEHUANCA, PROVINCIA DE AZANGARO, REGION PUNO.</v>
      </c>
      <c r="D89" s="22" t="n">
        <f aca="false">Base!H362</f>
        <v>5365</v>
      </c>
      <c r="E89" s="22" t="n">
        <f aca="false">Base!I362</f>
        <v>5364</v>
      </c>
      <c r="F89" s="22" t="n">
        <f aca="false">D89-E89</f>
        <v>1</v>
      </c>
      <c r="G89" s="22" t="n">
        <f aca="false">Base!K362</f>
        <v>5364</v>
      </c>
      <c r="H89" s="22" t="n">
        <f aca="false">D89-G89</f>
        <v>1</v>
      </c>
      <c r="I89" s="23" t="n">
        <f aca="false">IF(D89=0,0,G89/D89)</f>
        <v>0.999813606710158</v>
      </c>
      <c r="J89" s="21" t="str">
        <f aca="false">Base!O362</f>
        <v>Contrata</v>
      </c>
      <c r="K89" s="21" t="str">
        <f aca="false">Base!P362</f>
        <v>Comprometido</v>
      </c>
      <c r="L89" s="22" t="str">
        <f aca="false">Base!Q362</f>
        <v>No registrado en cartera</v>
      </c>
      <c r="M89" s="22" t="str">
        <f aca="false">Base!R362</f>
        <v>No registrado en cartera</v>
      </c>
      <c r="N89" s="22" t="str">
        <f aca="false">Base!S362</f>
        <v>No registrado en cartera</v>
      </c>
      <c r="O89" s="22" t="str">
        <f aca="false">Base!T362</f>
        <v>No registrado en cartera</v>
      </c>
      <c r="P89" s="21" t="str">
        <f aca="false">IF(Base!U362="","",Base!U362)</f>
        <v/>
      </c>
    </row>
    <row r="90" customFormat="false" ht="32.8" hidden="false" customHeight="false" outlineLevel="0" collapsed="false">
      <c r="A90" s="20" t="n">
        <f aca="false">SUBTOTAL(103,$B$6:B90)</f>
        <v>78</v>
      </c>
      <c r="B90" s="20" t="n">
        <v>374</v>
      </c>
      <c r="C90" s="21" t="str">
        <f aca="false">Base!G363</f>
        <v>2681274: MEJORAMIENTO DEL PROCESO DE PRODUCCION DE ARTICULOS MECANICOS EN LA CORPORACION MARSAD S.A.C. DEL DISTRITO DE PUNO, PROVINCIA DE PUNO, REGION DE PUNO</v>
      </c>
      <c r="D90" s="22" t="n">
        <f aca="false">Base!H363</f>
        <v>335890</v>
      </c>
      <c r="E90" s="22" t="n">
        <f aca="false">Base!I363</f>
        <v>314900</v>
      </c>
      <c r="F90" s="22" t="n">
        <f aca="false">D90-E90</f>
        <v>20990</v>
      </c>
      <c r="G90" s="22" t="n">
        <f aca="false">Base!K363</f>
        <v>0</v>
      </c>
      <c r="H90" s="22" t="n">
        <f aca="false">D90-G90</f>
        <v>335890</v>
      </c>
      <c r="I90" s="23" t="n">
        <f aca="false">IF(D90=0,0,G90/D90)</f>
        <v>0</v>
      </c>
      <c r="J90" s="21" t="str">
        <f aca="false">Base!O363</f>
        <v>Equipamiento / Contrata</v>
      </c>
      <c r="K90" s="21" t="str">
        <f aca="false">Base!P363</f>
        <v>Comprometido</v>
      </c>
      <c r="L90" s="22" t="str">
        <f aca="false">Base!Q363</f>
        <v>No registrado en cartera</v>
      </c>
      <c r="M90" s="22" t="str">
        <f aca="false">Base!R363</f>
        <v>No registrado en cartera</v>
      </c>
      <c r="N90" s="22" t="str">
        <f aca="false">Base!S363</f>
        <v>No registrado en cartera</v>
      </c>
      <c r="O90" s="22" t="str">
        <f aca="false">Base!T363</f>
        <v>No registrado en cartera</v>
      </c>
      <c r="P90" s="21" t="str">
        <f aca="false">IF(Base!U363="","",Base!U363)</f>
        <v/>
      </c>
    </row>
    <row r="91" customFormat="false" ht="43.25" hidden="false" customHeight="false" outlineLevel="0" collapsed="false">
      <c r="A91" s="20" t="n">
        <f aca="false">SUBTOTAL(103,$B$6:B91)</f>
        <v>79</v>
      </c>
      <c r="B91" s="20" t="n">
        <v>377</v>
      </c>
      <c r="C91" s="21" t="str">
        <f aca="false">Base!G364</f>
        <v>2681130: MEJORAMIENTO DE LA PRODUCCION DEL ENVASADO DE AGUA DE MESA DE LA EMPRESA GRUPO ANCCASI SOCIEDAD ANONIMA CERRADA DEL DISTRITO DE CORANI, PROVINCIA CARABAYA, DEPARTAMENTO PUNO</v>
      </c>
      <c r="D91" s="22" t="n">
        <f aca="false">Base!H364</f>
        <v>157066</v>
      </c>
      <c r="E91" s="22" t="n">
        <f aca="false">Base!I364</f>
        <v>157066</v>
      </c>
      <c r="F91" s="22" t="n">
        <f aca="false">D91-E91</f>
        <v>0</v>
      </c>
      <c r="G91" s="22" t="n">
        <f aca="false">Base!K364</f>
        <v>157066</v>
      </c>
      <c r="H91" s="22" t="n">
        <f aca="false">D91-G91</f>
        <v>0</v>
      </c>
      <c r="I91" s="23" t="n">
        <f aca="false">IF(D91=0,0,G91/D91)</f>
        <v>1</v>
      </c>
      <c r="J91" s="21" t="str">
        <f aca="false">Base!O364</f>
        <v>Equipamiento / Contrata</v>
      </c>
      <c r="K91" s="21" t="str">
        <f aca="false">Base!P364</f>
        <v>Devengado total</v>
      </c>
      <c r="L91" s="22" t="str">
        <f aca="false">Base!Q364</f>
        <v>No registrado en cartera</v>
      </c>
      <c r="M91" s="22" t="str">
        <f aca="false">Base!R364</f>
        <v>No registrado en cartera</v>
      </c>
      <c r="N91" s="22" t="str">
        <f aca="false">Base!S364</f>
        <v>No registrado en cartera</v>
      </c>
      <c r="O91" s="22" t="str">
        <f aca="false">Base!T364</f>
        <v>No registrado en cartera</v>
      </c>
      <c r="P91" s="21" t="str">
        <f aca="false">IF(Base!U364="","",Base!U364)</f>
        <v/>
      </c>
    </row>
    <row r="92" customFormat="false" ht="43.25" hidden="false" customHeight="false" outlineLevel="0" collapsed="false">
      <c r="A92" s="20" t="n">
        <f aca="false">SUBTOTAL(103,$B$6:B92)</f>
        <v>80</v>
      </c>
      <c r="B92" s="20" t="n">
        <v>386</v>
      </c>
      <c r="C92" s="21" t="str">
        <f aca="false">Base!G365</f>
        <v>2717150.MEJORAMIENTO DEL PROCESO PRODUCTIVO Y EL VALOR CULTURAL DE LAS CERAMICAS DE LA ASOCIACION DE ARTESANOS PRODUCTORES MUSUQ PAQARIY PUKARA, DEL DISTRITO DE PUCARA, PROVINCIA DE LAMPA, DEPARTAMENTO DE PUNO</v>
      </c>
      <c r="D92" s="22" t="n">
        <f aca="false">Base!H365</f>
        <v>159345</v>
      </c>
      <c r="E92" s="22" t="n">
        <f aca="false">Base!I365</f>
        <v>150543</v>
      </c>
      <c r="F92" s="22" t="n">
        <f aca="false">D92-E92</f>
        <v>8802</v>
      </c>
      <c r="G92" s="22" t="n">
        <f aca="false">Base!K365</f>
        <v>150263</v>
      </c>
      <c r="H92" s="22" t="n">
        <f aca="false">D92-G92</f>
        <v>9082</v>
      </c>
      <c r="I92" s="23" t="n">
        <f aca="false">IF(D92=0,0,G92/D92)</f>
        <v>0.943004173334589</v>
      </c>
      <c r="J92" s="21" t="str">
        <f aca="false">Base!O365</f>
        <v>Equipamiento / Contrata</v>
      </c>
      <c r="K92" s="21" t="str">
        <f aca="false">Base!P365</f>
        <v>Comprometido</v>
      </c>
      <c r="L92" s="22" t="str">
        <f aca="false">Base!Q365</f>
        <v>No registrado en cartera</v>
      </c>
      <c r="M92" s="22" t="str">
        <f aca="false">Base!R365</f>
        <v>No registrado en cartera</v>
      </c>
      <c r="N92" s="22" t="str">
        <f aca="false">Base!S365</f>
        <v>No registrado en cartera</v>
      </c>
      <c r="O92" s="22" t="str">
        <f aca="false">Base!T365</f>
        <v>No registrado en cartera</v>
      </c>
      <c r="P92" s="21" t="str">
        <f aca="false">IF(Base!U365="","",Base!U365)</f>
        <v/>
      </c>
    </row>
    <row r="93" customFormat="false" ht="43.25" hidden="false" customHeight="false" outlineLevel="0" collapsed="false">
      <c r="A93" s="20" t="n">
        <f aca="false">SUBTOTAL(103,$B$6:B93)</f>
        <v>81</v>
      </c>
      <c r="B93" s="20" t="n">
        <v>473</v>
      </c>
      <c r="C93" s="21" t="str">
        <f aca="false">Base!G366</f>
        <v>2723295.MEJORAMIENTO DE LA PRODUCCION Y COMERCIALIZACION DE QUESOS TIPO PARIA DE LA ASOCIACION AGROINDUSTRIAL YURAQ WASI DE LA COMUNIDAD CAMPESINA PRIMER JILAHUATA, DISTRITO DE AZANGARO, PROVINCIA DE AZANGARO, REGION PUNO</v>
      </c>
      <c r="D93" s="22" t="n">
        <f aca="false">Base!H366</f>
        <v>160000</v>
      </c>
      <c r="E93" s="22" t="n">
        <f aca="false">Base!I366</f>
        <v>145797</v>
      </c>
      <c r="F93" s="22" t="n">
        <f aca="false">D93-E93</f>
        <v>14203</v>
      </c>
      <c r="G93" s="22" t="n">
        <f aca="false">Base!K366</f>
        <v>139797</v>
      </c>
      <c r="H93" s="22" t="n">
        <f aca="false">D93-G93</f>
        <v>20203</v>
      </c>
      <c r="I93" s="23" t="n">
        <f aca="false">IF(D93=0,0,G93/D93)</f>
        <v>0.87373125</v>
      </c>
      <c r="J93" s="21" t="str">
        <f aca="false">Base!O366</f>
        <v>Equipamiento / Contrata</v>
      </c>
      <c r="K93" s="21" t="str">
        <f aca="false">Base!P366</f>
        <v>Comprometido</v>
      </c>
      <c r="L93" s="22" t="str">
        <f aca="false">Base!Q366</f>
        <v>No registrado en cartera</v>
      </c>
      <c r="M93" s="22" t="str">
        <f aca="false">Base!R366</f>
        <v>No registrado en cartera</v>
      </c>
      <c r="N93" s="22" t="str">
        <f aca="false">Base!S366</f>
        <v>No registrado en cartera</v>
      </c>
      <c r="O93" s="22" t="str">
        <f aca="false">Base!T366</f>
        <v>No registrado en cartera</v>
      </c>
      <c r="P93" s="21" t="str">
        <f aca="false">IF(Base!U366="","",Base!U366)</f>
        <v/>
      </c>
    </row>
    <row r="94" customFormat="false" ht="43.25" hidden="false" customHeight="false" outlineLevel="0" collapsed="false">
      <c r="A94" s="20" t="n">
        <f aca="false">SUBTOTAL(103,$B$6:B94)</f>
        <v>82</v>
      </c>
      <c r="B94" s="20" t="n">
        <v>476</v>
      </c>
      <c r="C94" s="21" t="str">
        <f aca="false">Base!G367</f>
        <v>2723301.MEJORAMIENTO DE LA TRANSFORMACION Y COMERCIALIZACION DE HILOS Y PRENDAS DE TONOS Y TENIDOS NATURALES DE FIBRA DE ALPACA EN LA ASOCIACION DE ARTESANAS KISWAR TIKA, DISTRITO DE OCUVIRI, PROVINCIA LAMPA, REGION PUNO</v>
      </c>
      <c r="D94" s="22" t="n">
        <f aca="false">Base!H367</f>
        <v>141150</v>
      </c>
      <c r="E94" s="22" t="n">
        <f aca="false">Base!I367</f>
        <v>115290</v>
      </c>
      <c r="F94" s="22" t="n">
        <f aca="false">D94-E94</f>
        <v>25860</v>
      </c>
      <c r="G94" s="22" t="n">
        <f aca="false">Base!K367</f>
        <v>0</v>
      </c>
      <c r="H94" s="22" t="n">
        <f aca="false">D94-G94</f>
        <v>141150</v>
      </c>
      <c r="I94" s="23" t="n">
        <f aca="false">IF(D94=0,0,G94/D94)</f>
        <v>0</v>
      </c>
      <c r="J94" s="21" t="str">
        <f aca="false">Base!O367</f>
        <v>Equipamiento / Contrata</v>
      </c>
      <c r="K94" s="21" t="str">
        <f aca="false">Base!P367</f>
        <v>Comprometido</v>
      </c>
      <c r="L94" s="22" t="str">
        <f aca="false">Base!Q367</f>
        <v>No registrado en cartera</v>
      </c>
      <c r="M94" s="22" t="str">
        <f aca="false">Base!R367</f>
        <v>No registrado en cartera</v>
      </c>
      <c r="N94" s="22" t="str">
        <f aca="false">Base!S367</f>
        <v>No registrado en cartera</v>
      </c>
      <c r="O94" s="22" t="str">
        <f aca="false">Base!T367</f>
        <v>No registrado en cartera</v>
      </c>
      <c r="P94" s="21" t="str">
        <f aca="false">IF(Base!U367="","",Base!U367)</f>
        <v/>
      </c>
    </row>
    <row r="95" customFormat="false" ht="53.7" hidden="false" customHeight="false" outlineLevel="0" collapsed="false">
      <c r="A95" s="20" t="n">
        <f aca="false">SUBTOTAL(103,$B$6:B95)</f>
        <v>83</v>
      </c>
      <c r="B95" s="20" t="n">
        <v>477</v>
      </c>
      <c r="C95" s="21" t="str">
        <f aca="false">Base!G368</f>
        <v>2723299.MEJORAMIENTO DE LA CAPACIDAD PRODUCTIVA DE HELADOS ARTESANALES A BASE DE GRANOS ANDINOS DEL GRUPO DE PRODUCTORES, COMERCIALIZACION Y TRANSFORMACION DE CEREALES ANDINOS SAN SANTIAGO S.A.C., DEL DISTRITO DE PUNO, PROVINCIA DE PUNO, REGION DE PUNO.</v>
      </c>
      <c r="D95" s="22" t="n">
        <f aca="false">Base!H368</f>
        <v>350000</v>
      </c>
      <c r="E95" s="22" t="n">
        <f aca="false">Base!I368</f>
        <v>320120</v>
      </c>
      <c r="F95" s="22" t="n">
        <f aca="false">D95-E95</f>
        <v>29880</v>
      </c>
      <c r="G95" s="22" t="n">
        <f aca="false">Base!K368</f>
        <v>86120</v>
      </c>
      <c r="H95" s="22" t="n">
        <f aca="false">D95-G95</f>
        <v>263880</v>
      </c>
      <c r="I95" s="23" t="n">
        <f aca="false">IF(D95=0,0,G95/D95)</f>
        <v>0.246057142857143</v>
      </c>
      <c r="J95" s="21" t="str">
        <f aca="false">Base!O368</f>
        <v>Equipamiento / Contrata</v>
      </c>
      <c r="K95" s="21" t="str">
        <f aca="false">Base!P368</f>
        <v>Comprometido</v>
      </c>
      <c r="L95" s="22" t="str">
        <f aca="false">Base!Q368</f>
        <v>No registrado en cartera</v>
      </c>
      <c r="M95" s="22" t="str">
        <f aca="false">Base!R368</f>
        <v>No registrado en cartera</v>
      </c>
      <c r="N95" s="22" t="str">
        <f aca="false">Base!S368</f>
        <v>No registrado en cartera</v>
      </c>
      <c r="O95" s="22" t="str">
        <f aca="false">Base!T368</f>
        <v>No registrado en cartera</v>
      </c>
      <c r="P95" s="21" t="str">
        <f aca="false">IF(Base!U368="","",Base!U368)</f>
        <v/>
      </c>
    </row>
    <row r="96" customFormat="false" ht="15" hidden="false" customHeight="false" outlineLevel="0" collapsed="false">
      <c r="A96" s="13" t="s">
        <v>15</v>
      </c>
      <c r="B96" s="13"/>
      <c r="C96" s="13"/>
      <c r="D96" s="14" t="n">
        <f aca="false">D97+D101+D103</f>
        <v>18155027</v>
      </c>
      <c r="E96" s="14" t="n">
        <f aca="false">E97+E101+E103</f>
        <v>15578094.31</v>
      </c>
      <c r="F96" s="14" t="n">
        <f aca="false">F97+F101+F103</f>
        <v>2576932.69</v>
      </c>
      <c r="G96" s="14" t="n">
        <f aca="false">G97+G101+G103</f>
        <v>8757642.46</v>
      </c>
      <c r="H96" s="14" t="n">
        <f aca="false">H97+H101+H103</f>
        <v>9397384.54</v>
      </c>
      <c r="I96" s="15" t="n">
        <f aca="false">IF(D96=0,0,G96/D96)</f>
        <v>0.482381131132441</v>
      </c>
      <c r="J96" s="13"/>
      <c r="K96" s="13"/>
      <c r="L96" s="13"/>
      <c r="M96" s="13"/>
      <c r="N96" s="13"/>
      <c r="O96" s="13"/>
      <c r="P96" s="13"/>
    </row>
    <row r="97" customFormat="false" ht="15" hidden="false" customHeight="false" outlineLevel="0" collapsed="false">
      <c r="A97" s="17" t="s">
        <v>69</v>
      </c>
      <c r="B97" s="17"/>
      <c r="C97" s="17"/>
      <c r="D97" s="18" t="n">
        <f aca="false">SUM(D98:D100)</f>
        <v>16120710</v>
      </c>
      <c r="E97" s="18" t="n">
        <f aca="false">SUM(E98:E100)</f>
        <v>15413788.11</v>
      </c>
      <c r="F97" s="18" t="n">
        <f aca="false">SUM(F98:F100)</f>
        <v>706921.889999999</v>
      </c>
      <c r="G97" s="18" t="n">
        <f aca="false">SUM(G98:G100)</f>
        <v>8626797.82</v>
      </c>
      <c r="H97" s="18" t="n">
        <f aca="false">SUM(H98:H100)</f>
        <v>7493912.18</v>
      </c>
      <c r="I97" s="19" t="n">
        <f aca="false">IF(D97=0,0,G97/D97)</f>
        <v>0.535137585131176</v>
      </c>
      <c r="J97" s="17"/>
      <c r="K97" s="17"/>
      <c r="L97" s="17"/>
      <c r="M97" s="17"/>
      <c r="N97" s="17"/>
      <c r="O97" s="17"/>
      <c r="P97" s="17"/>
    </row>
    <row r="98" customFormat="false" ht="53.7" hidden="false" customHeight="false" outlineLevel="0" collapsed="false">
      <c r="A98" s="20" t="n">
        <f aca="false">SUBTOTAL(103,$B$6:B98)</f>
        <v>84</v>
      </c>
      <c r="B98" s="20" t="n">
        <v>4</v>
      </c>
      <c r="C98" s="21" t="str">
        <f aca="false">Base!G369</f>
        <v>2183634: MEJORAMIENTO DE LA DEFENSA RIBEREÑA EN LAS MARGENES DERECHA E IZQUIERDA DEL RIO RAMIS EN LOS TRAMOS DE SACASCO, COLLANA, CHACAMARCA, PATASCACHI, YANAOCO, TUNI GRANDE, RAMIS Y BALSAPATA DE LAS PROVINCIAS DE HUANCANE Y AZANGARO - REGION PUNO</v>
      </c>
      <c r="D98" s="22" t="n">
        <f aca="false">Base!H369</f>
        <v>10918999</v>
      </c>
      <c r="E98" s="22" t="n">
        <f aca="false">Base!I369</f>
        <v>10451686.22</v>
      </c>
      <c r="F98" s="22" t="n">
        <f aca="false">D98-E98</f>
        <v>467312.779999999</v>
      </c>
      <c r="G98" s="22" t="n">
        <f aca="false">Base!K369</f>
        <v>5853517.84</v>
      </c>
      <c r="H98" s="22" t="n">
        <f aca="false">D98-G98</f>
        <v>5065481.16</v>
      </c>
      <c r="I98" s="23" t="n">
        <f aca="false">IF(D98=0,0,G98/D98)</f>
        <v>0.536085573411995</v>
      </c>
      <c r="J98" s="21" t="str">
        <f aca="false">Base!O369</f>
        <v>Administración directa / Contrata / Personal/bienes/servicios</v>
      </c>
      <c r="K98" s="21" t="str">
        <f aca="false">Base!P369</f>
        <v>Comprometido</v>
      </c>
      <c r="L98" s="22" t="n">
        <f aca="false">Base!Q369</f>
        <v>10517000</v>
      </c>
      <c r="M98" s="22" t="n">
        <f aca="false">Base!R369</f>
        <v>7783178</v>
      </c>
      <c r="N98" s="22" t="n">
        <f aca="false">Base!S369</f>
        <v>1598000</v>
      </c>
      <c r="O98" s="22" t="n">
        <f aca="false">Base!T369</f>
        <v>2000000</v>
      </c>
      <c r="P98" s="21" t="str">
        <f aca="false">IF(Base!U369="","",Base!U369)</f>
        <v/>
      </c>
    </row>
    <row r="99" customFormat="false" ht="53.7" hidden="false" customHeight="false" outlineLevel="0" collapsed="false">
      <c r="A99" s="20" t="n">
        <f aca="false">SUBTOTAL(103,$B$6:B99)</f>
        <v>85</v>
      </c>
      <c r="B99" s="20" t="n">
        <v>6</v>
      </c>
      <c r="C99" s="21" t="str">
        <f aca="false">Base!G370</f>
        <v>2532916: CREACION DEL SERVICIO DE PROTECCION EN RIBERAS DEL RIO LORIPONGO Y MOLLA AMBOS MARGENES VULNERABLES ANTE EL PELIGRO DE INUNDACION EN LA LOCALIDAD DE LARAQUERI Y CENTRO POBLADO DE HUARIJUYO DEL DISTRITO DE PICHACANI - PROVINCIA DE PUNO - DEPARTAMENTO DE PUNO</v>
      </c>
      <c r="D99" s="22" t="n">
        <f aca="false">Base!H370</f>
        <v>19658</v>
      </c>
      <c r="E99" s="22" t="n">
        <f aca="false">Base!I370</f>
        <v>3612</v>
      </c>
      <c r="F99" s="22" t="n">
        <f aca="false">D99-E99</f>
        <v>16046</v>
      </c>
      <c r="G99" s="22" t="n">
        <f aca="false">Base!K370</f>
        <v>0</v>
      </c>
      <c r="H99" s="22" t="n">
        <f aca="false">D99-G99</f>
        <v>19658</v>
      </c>
      <c r="I99" s="23" t="n">
        <f aca="false">IF(D99=0,0,G99/D99)</f>
        <v>0</v>
      </c>
      <c r="J99" s="21" t="str">
        <f aca="false">Base!O370</f>
        <v>Expediente técnico</v>
      </c>
      <c r="K99" s="21" t="str">
        <f aca="false">Base!P370</f>
        <v>Solo certificado</v>
      </c>
      <c r="L99" s="22" t="n">
        <f aca="false">Base!Q370</f>
        <v>200000</v>
      </c>
      <c r="M99" s="22" t="n">
        <f aca="false">Base!R370</f>
        <v>2915452</v>
      </c>
      <c r="N99" s="22" t="n">
        <f aca="false">Base!S370</f>
        <v>2124684</v>
      </c>
      <c r="O99" s="22" t="n">
        <f aca="false">Base!T370</f>
        <v>2000000</v>
      </c>
      <c r="P99" s="21" t="str">
        <f aca="false">IF(Base!U370="","",Base!U370)</f>
        <v/>
      </c>
    </row>
    <row r="100" customFormat="false" ht="43.25" hidden="false" customHeight="false" outlineLevel="0" collapsed="false">
      <c r="A100" s="20" t="n">
        <f aca="false">SUBTOTAL(103,$B$6:B100)</f>
        <v>86</v>
      </c>
      <c r="B100" s="20" t="n">
        <v>303</v>
      </c>
      <c r="C100" s="21" t="str">
        <f aca="false">Base!G371</f>
        <v>2520451: CREACION DEL SERVICIO DE PROTECCION EN RIBERAS DEL RIO QUELLOMAYO MARGEN DERECHO VULNERABLES ANTE EL PELIGRO DE INUNDACION EN LA LOCALIDAD DE SAN GABAN, DEL DISTRITO DE SAN GABAN - PROVINCIA DE CARABAYA - DEPARTAMENTO DE PUNO</v>
      </c>
      <c r="D100" s="22" t="n">
        <f aca="false">Base!H371</f>
        <v>5182053</v>
      </c>
      <c r="E100" s="22" t="n">
        <f aca="false">Base!I371</f>
        <v>4958489.89</v>
      </c>
      <c r="F100" s="22" t="n">
        <f aca="false">D100-E100</f>
        <v>223563.109999999</v>
      </c>
      <c r="G100" s="22" t="n">
        <f aca="false">Base!K371</f>
        <v>2773279.98</v>
      </c>
      <c r="H100" s="22" t="n">
        <f aca="false">D100-G100</f>
        <v>2408773.02</v>
      </c>
      <c r="I100" s="23" t="n">
        <f aca="false">IF(D100=0,0,G100/D100)</f>
        <v>0.535170130448299</v>
      </c>
      <c r="J100" s="21" t="str">
        <f aca="false">Base!O371</f>
        <v>Administración directa / Contrata / Personal/bienes/servicios</v>
      </c>
      <c r="K100" s="21" t="str">
        <f aca="false">Base!P371</f>
        <v>Comprometido</v>
      </c>
      <c r="L100" s="22" t="n">
        <f aca="false">Base!Q371</f>
        <v>409040</v>
      </c>
      <c r="M100" s="22" t="n">
        <f aca="false">Base!R371</f>
        <v>29865</v>
      </c>
      <c r="N100" s="22" t="n">
        <f aca="false">Base!S371</f>
        <v>0</v>
      </c>
      <c r="O100" s="22" t="n">
        <f aca="false">Base!T371</f>
        <v>0</v>
      </c>
      <c r="P100" s="21" t="str">
        <f aca="false">IF(Base!U371="","",Base!U371)</f>
        <v/>
      </c>
    </row>
    <row r="101" customFormat="false" ht="15" hidden="false" customHeight="false" outlineLevel="0" collapsed="false">
      <c r="A101" s="17" t="s">
        <v>66</v>
      </c>
      <c r="B101" s="17"/>
      <c r="C101" s="17"/>
      <c r="D101" s="18" t="n">
        <f aca="false">SUM(D102)</f>
        <v>1800000</v>
      </c>
      <c r="E101" s="18" t="n">
        <f aca="false">SUM(E102)</f>
        <v>26893</v>
      </c>
      <c r="F101" s="18" t="n">
        <f aca="false">SUM(F102)</f>
        <v>1773107</v>
      </c>
      <c r="G101" s="18" t="n">
        <f aca="false">SUM(G102)</f>
        <v>26892.69</v>
      </c>
      <c r="H101" s="18" t="n">
        <f aca="false">SUM(H102)</f>
        <v>1773107.31</v>
      </c>
      <c r="I101" s="19" t="n">
        <f aca="false">IF(D101=0,0,G101/D101)</f>
        <v>0.0149403833333333</v>
      </c>
      <c r="J101" s="17"/>
      <c r="K101" s="17"/>
      <c r="L101" s="17"/>
      <c r="M101" s="17"/>
      <c r="N101" s="17"/>
      <c r="O101" s="17"/>
      <c r="P101" s="17"/>
    </row>
    <row r="102" customFormat="false" ht="32.8" hidden="false" customHeight="false" outlineLevel="0" collapsed="false">
      <c r="A102" s="20" t="n">
        <f aca="false">SUBTOTAL(103,$B$6:B102)</f>
        <v>87</v>
      </c>
      <c r="B102" s="20" t="n">
        <v>5</v>
      </c>
      <c r="C102" s="21" t="str">
        <f aca="false">Base!G372</f>
        <v>2474102: MEJORAMIENTO DEL SERVICIO DE PROTECCION FRENTE A TORMENTAS ELECTRICAS EN 4 PROVINCIAS DEL DEPARTAMENTO DE PUNO</v>
      </c>
      <c r="D102" s="22" t="n">
        <f aca="false">Base!H372</f>
        <v>1800000</v>
      </c>
      <c r="E102" s="22" t="n">
        <f aca="false">Base!I372</f>
        <v>26893</v>
      </c>
      <c r="F102" s="22" t="n">
        <f aca="false">D102-E102</f>
        <v>1773107</v>
      </c>
      <c r="G102" s="22" t="n">
        <f aca="false">Base!K372</f>
        <v>26892.69</v>
      </c>
      <c r="H102" s="22" t="n">
        <f aca="false">D102-G102</f>
        <v>1773107.31</v>
      </c>
      <c r="I102" s="23" t="n">
        <f aca="false">IF(D102=0,0,G102/D102)</f>
        <v>0.0149403833333333</v>
      </c>
      <c r="J102" s="21" t="str">
        <f aca="false">Base!O372</f>
        <v>Personal/bienes/servicios / Contrata / Equipamiento / Expediente técnico</v>
      </c>
      <c r="K102" s="21" t="str">
        <f aca="false">Base!P372</f>
        <v>Comprometido</v>
      </c>
      <c r="L102" s="22" t="n">
        <f aca="false">Base!Q372</f>
        <v>300000</v>
      </c>
      <c r="M102" s="22" t="n">
        <f aca="false">Base!R372</f>
        <v>4508196</v>
      </c>
      <c r="N102" s="22" t="n">
        <f aca="false">Base!S372</f>
        <v>5000000</v>
      </c>
      <c r="O102" s="22" t="n">
        <f aca="false">Base!T372</f>
        <v>1000000</v>
      </c>
      <c r="P102" s="21" t="str">
        <f aca="false">IF(Base!U372="","",Base!U372)</f>
        <v/>
      </c>
    </row>
    <row r="103" customFormat="false" ht="15" hidden="false" customHeight="false" outlineLevel="0" collapsed="false">
      <c r="A103" s="17" t="s">
        <v>62</v>
      </c>
      <c r="B103" s="17"/>
      <c r="C103" s="17"/>
      <c r="D103" s="18" t="n">
        <f aca="false">SUM(D104:D110)</f>
        <v>234317</v>
      </c>
      <c r="E103" s="18" t="n">
        <f aca="false">SUM(E104:E110)</f>
        <v>137413.2</v>
      </c>
      <c r="F103" s="18" t="n">
        <f aca="false">SUM(F104:F110)</f>
        <v>96903.8</v>
      </c>
      <c r="G103" s="18" t="n">
        <f aca="false">SUM(G104:G110)</f>
        <v>103951.95</v>
      </c>
      <c r="H103" s="18" t="n">
        <f aca="false">SUM(H104:H110)</f>
        <v>130365.05</v>
      </c>
      <c r="I103" s="19" t="n">
        <f aca="false">IF(D103=0,0,G103/D103)</f>
        <v>0.44363810564321</v>
      </c>
      <c r="J103" s="17"/>
      <c r="K103" s="17"/>
      <c r="L103" s="17"/>
      <c r="M103" s="17"/>
      <c r="N103" s="17"/>
      <c r="O103" s="17"/>
      <c r="P103" s="17"/>
    </row>
    <row r="104" customFormat="false" ht="53.7" hidden="false" customHeight="false" outlineLevel="0" collapsed="false">
      <c r="A104" s="20" t="n">
        <f aca="false">SUBTOTAL(103,$B$6:B104)</f>
        <v>88</v>
      </c>
      <c r="B104" s="20" t="n">
        <v>7</v>
      </c>
      <c r="C104" s="21" t="str">
        <f aca="false">Base!G373</f>
        <v>2533866: RECUPERACION DE ECOSISTEMAS DEGRADADOS POR VERTIMIENTO DE AGUAS RESIDUALES Y RESIDUOS SOLIDOS EN LA DESEMBOCADURA DEL RIO COATA, EN LOS DISTRITOS DE HUATA, COATA, CAPACHICA, JULIACA Y SAN MIGUEL EN LAS PROVINCIAS DE PUNO Y SAN ROMAN DEL DEPARTAMENTO DE PUNO</v>
      </c>
      <c r="D104" s="22" t="n">
        <f aca="false">Base!H373</f>
        <v>32099</v>
      </c>
      <c r="E104" s="22" t="n">
        <f aca="false">Base!I373</f>
        <v>0</v>
      </c>
      <c r="F104" s="22" t="n">
        <f aca="false">D104-E104</f>
        <v>32099</v>
      </c>
      <c r="G104" s="22" t="n">
        <f aca="false">Base!K373</f>
        <v>0</v>
      </c>
      <c r="H104" s="22" t="n">
        <f aca="false">D104-G104</f>
        <v>32099</v>
      </c>
      <c r="I104" s="23" t="n">
        <f aca="false">IF(D104=0,0,G104/D104)</f>
        <v>0</v>
      </c>
      <c r="J104" s="21" t="str">
        <f aca="false">Base!O373</f>
        <v>Contrata</v>
      </c>
      <c r="K104" s="21" t="str">
        <f aca="false">Base!P373</f>
        <v>Sin certificar</v>
      </c>
      <c r="L104" s="22" t="n">
        <f aca="false">Base!Q373</f>
        <v>500000</v>
      </c>
      <c r="M104" s="22" t="n">
        <f aca="false">Base!R373</f>
        <v>0</v>
      </c>
      <c r="N104" s="22" t="n">
        <f aca="false">Base!S373</f>
        <v>0</v>
      </c>
      <c r="O104" s="22" t="n">
        <f aca="false">Base!T373</f>
        <v>0</v>
      </c>
      <c r="P104" s="21" t="str">
        <f aca="false">IF(Base!U373="","",Base!U373)</f>
        <v/>
      </c>
    </row>
    <row r="105" customFormat="false" ht="53.7" hidden="false" customHeight="false" outlineLevel="0" collapsed="false">
      <c r="A105" s="20" t="n">
        <f aca="false">SUBTOTAL(103,$B$6:B105)</f>
        <v>89</v>
      </c>
      <c r="B105" s="20" t="n">
        <v>152</v>
      </c>
      <c r="C105" s="21" t="str">
        <f aca="false">Base!G374</f>
        <v>2250970: MEJORAMIENTO DEL SERVICIO DE CONSERVACION DE LA DIVERSIDAD BIOLOGICA EN SELVA VERDE, SAN GABAN, PUNTA PERDIDA, COTACUCHO, PUNO, JUCUMARINI, CUSHINI, RIO CONDOR, RIO TAVARA, Y PACO PACUNI, DISTRITOS DE AYAPATA, SAN GABAN, SANTA ROSA, VILQUE CHICO-PUNO</v>
      </c>
      <c r="D105" s="22" t="n">
        <f aca="false">Base!H374</f>
        <v>30000</v>
      </c>
      <c r="E105" s="22" t="n">
        <f aca="false">Base!I374</f>
        <v>23434</v>
      </c>
      <c r="F105" s="22" t="n">
        <f aca="false">D105-E105</f>
        <v>6566</v>
      </c>
      <c r="G105" s="22" t="n">
        <f aca="false">Base!K374</f>
        <v>13106.35</v>
      </c>
      <c r="H105" s="22" t="n">
        <f aca="false">D105-G105</f>
        <v>16893.65</v>
      </c>
      <c r="I105" s="23" t="n">
        <f aca="false">IF(D105=0,0,G105/D105)</f>
        <v>0.436878333333333</v>
      </c>
      <c r="J105" s="21" t="str">
        <f aca="false">Base!O374</f>
        <v>Contrata / Personal/bienes/servicios</v>
      </c>
      <c r="K105" s="21" t="str">
        <f aca="false">Base!P374</f>
        <v>Comprometido</v>
      </c>
      <c r="L105" s="22" t="n">
        <f aca="false">Base!Q374</f>
        <v>2080646</v>
      </c>
      <c r="M105" s="22" t="n">
        <f aca="false">Base!R374</f>
        <v>70728</v>
      </c>
      <c r="N105" s="22" t="n">
        <f aca="false">Base!S374</f>
        <v>300000</v>
      </c>
      <c r="O105" s="22" t="n">
        <f aca="false">Base!T374</f>
        <v>300000</v>
      </c>
      <c r="P105" s="21" t="str">
        <f aca="false">IF(Base!U374="","",Base!U374)</f>
        <v/>
      </c>
    </row>
    <row r="106" customFormat="false" ht="32.8" hidden="false" customHeight="false" outlineLevel="0" collapsed="false">
      <c r="A106" s="20" t="n">
        <f aca="false">SUBTOTAL(103,$B$6:B106)</f>
        <v>90</v>
      </c>
      <c r="B106" s="20" t="n">
        <v>154</v>
      </c>
      <c r="C106" s="21" t="str">
        <f aca="false">Base!G375</f>
        <v>2631070: RECUPERACION DE LOS SERVICIOS ECOSISTEMICOS EN 19 UNIDADES PRODUCTORAS 19 DISTRITOS DE 13 PROVINCIAS DEL DEPARTAMENTO DE PUNO</v>
      </c>
      <c r="D106" s="22" t="n">
        <f aca="false">Base!H375</f>
        <v>90586</v>
      </c>
      <c r="E106" s="22" t="n">
        <f aca="false">Base!I375</f>
        <v>90435.2</v>
      </c>
      <c r="F106" s="22" t="n">
        <f aca="false">D106-E106</f>
        <v>150.800000000003</v>
      </c>
      <c r="G106" s="22" t="n">
        <f aca="false">Base!K375</f>
        <v>78301.6</v>
      </c>
      <c r="H106" s="22" t="n">
        <f aca="false">D106-G106</f>
        <v>12284.4</v>
      </c>
      <c r="I106" s="23" t="n">
        <f aca="false">IF(D106=0,0,G106/D106)</f>
        <v>0.864389640783344</v>
      </c>
      <c r="J106" s="21" t="str">
        <f aca="false">Base!O375</f>
        <v>Expediente técnico</v>
      </c>
      <c r="K106" s="21" t="str">
        <f aca="false">Base!P375</f>
        <v>Comprometido</v>
      </c>
      <c r="L106" s="22" t="n">
        <f aca="false">Base!Q375</f>
        <v>100000</v>
      </c>
      <c r="M106" s="22" t="n">
        <f aca="false">Base!R375</f>
        <v>0</v>
      </c>
      <c r="N106" s="22" t="n">
        <f aca="false">Base!S375</f>
        <v>2000000</v>
      </c>
      <c r="O106" s="22" t="n">
        <f aca="false">Base!T375</f>
        <v>2000000</v>
      </c>
      <c r="P106" s="21" t="str">
        <f aca="false">IF(Base!U375="","",Base!U375)</f>
        <v/>
      </c>
    </row>
    <row r="107" customFormat="false" ht="43.25" hidden="false" customHeight="false" outlineLevel="0" collapsed="false">
      <c r="A107" s="20" t="n">
        <f aca="false">SUBTOTAL(103,$B$6:B107)</f>
        <v>91</v>
      </c>
      <c r="B107" s="20" t="n">
        <v>250</v>
      </c>
      <c r="C107" s="21" t="str">
        <f aca="false">Base!G376</f>
        <v>2549395: RECUPERACION DE ECOSISTEMAS DEGRADADOS EN LAS UNIDADES HIDROGRAFICAS: LLALLIMAYO DE LA UH 018 PUCARA Y UH 019 AZANGARO, DE LA CUENCA RAMIS DEL DEPARTAMENTO DE PUNO, REGION PUNO 5 PROVINCIAS DEL DEPARTAMENTO DE PUNO</v>
      </c>
      <c r="D107" s="22" t="n">
        <f aca="false">Base!H376</f>
        <v>0</v>
      </c>
      <c r="E107" s="22" t="n">
        <f aca="false">Base!I376</f>
        <v>0</v>
      </c>
      <c r="F107" s="22" t="n">
        <f aca="false">D107-E107</f>
        <v>0</v>
      </c>
      <c r="G107" s="22" t="n">
        <f aca="false">Base!K376</f>
        <v>0</v>
      </c>
      <c r="H107" s="22" t="n">
        <f aca="false">D107-G107</f>
        <v>0</v>
      </c>
      <c r="I107" s="23" t="n">
        <f aca="false">IF(D107=0,0,G107/D107)</f>
        <v>0</v>
      </c>
      <c r="J107" s="21" t="str">
        <f aca="false">Base!O376</f>
        <v>Contrata</v>
      </c>
      <c r="K107" s="21" t="str">
        <f aca="false">Base!P376</f>
        <v>Sin PIM</v>
      </c>
      <c r="L107" s="22" t="n">
        <f aca="false">Base!Q376</f>
        <v>800000</v>
      </c>
      <c r="M107" s="22" t="n">
        <f aca="false">Base!R376</f>
        <v>0</v>
      </c>
      <c r="N107" s="22" t="n">
        <f aca="false">Base!S376</f>
        <v>0</v>
      </c>
      <c r="O107" s="22" t="n">
        <f aca="false">Base!T376</f>
        <v>0</v>
      </c>
      <c r="P107" s="21" t="str">
        <f aca="false">IF(Base!U376="","",Base!U376)</f>
        <v/>
      </c>
    </row>
    <row r="108" customFormat="false" ht="43.25" hidden="false" customHeight="false" outlineLevel="0" collapsed="false">
      <c r="A108" s="20" t="n">
        <f aca="false">SUBTOTAL(103,$B$6:B108)</f>
        <v>92</v>
      </c>
      <c r="B108" s="20" t="n">
        <v>253</v>
      </c>
      <c r="C108" s="21" t="str">
        <f aca="false">Base!G377</f>
        <v>2566295: RECUPERACION DE ECOSISTEMAS DEGRADADOS EN ZONAS ALTO ANDINAS EN CABECERA DE CUENCA DE LAS UH0172, UH0178 Y UH0171 CUENCA SUCHES EN 4 PROVINCIAS DEL DEPARTAMENTO DE PUNO</v>
      </c>
      <c r="D108" s="22" t="n">
        <f aca="false">Base!H377</f>
        <v>0</v>
      </c>
      <c r="E108" s="22" t="n">
        <f aca="false">Base!I377</f>
        <v>0</v>
      </c>
      <c r="F108" s="22" t="n">
        <f aca="false">D108-E108</f>
        <v>0</v>
      </c>
      <c r="G108" s="22" t="n">
        <f aca="false">Base!K377</f>
        <v>0</v>
      </c>
      <c r="H108" s="22" t="n">
        <f aca="false">D108-G108</f>
        <v>0</v>
      </c>
      <c r="I108" s="23" t="n">
        <f aca="false">IF(D108=0,0,G108/D108)</f>
        <v>0</v>
      </c>
      <c r="J108" s="21" t="str">
        <f aca="false">Base!O377</f>
        <v>Personal/bienes/servicios</v>
      </c>
      <c r="K108" s="21" t="str">
        <f aca="false">Base!P377</f>
        <v>Sin PIM</v>
      </c>
      <c r="L108" s="22" t="n">
        <f aca="false">Base!Q377</f>
        <v>200000</v>
      </c>
      <c r="M108" s="22" t="n">
        <f aca="false">Base!R377</f>
        <v>0</v>
      </c>
      <c r="N108" s="22" t="n">
        <f aca="false">Base!S377</f>
        <v>0</v>
      </c>
      <c r="O108" s="22" t="n">
        <f aca="false">Base!T377</f>
        <v>0</v>
      </c>
      <c r="P108" s="21" t="str">
        <f aca="false">IF(Base!U377="","",Base!U377)</f>
        <v/>
      </c>
    </row>
    <row r="109" customFormat="false" ht="22.35" hidden="false" customHeight="false" outlineLevel="0" collapsed="false">
      <c r="A109" s="20" t="n">
        <f aca="false">SUBTOTAL(103,$B$6:B109)</f>
        <v>93</v>
      </c>
      <c r="B109" s="20" t="n">
        <v>465</v>
      </c>
      <c r="C109" s="21" t="str">
        <f aca="false">Base!G378</f>
        <v>2260735: MEJORAMIENTO DE LA GESTION INTEGRADA DE LOS RECURSOS HIDRICOS EN CUENCAS DE LA REGION PUNO</v>
      </c>
      <c r="D109" s="22" t="n">
        <f aca="false">Base!H378</f>
        <v>70632</v>
      </c>
      <c r="E109" s="22" t="n">
        <f aca="false">Base!I378</f>
        <v>12544</v>
      </c>
      <c r="F109" s="22" t="n">
        <f aca="false">D109-E109</f>
        <v>58088</v>
      </c>
      <c r="G109" s="22" t="n">
        <f aca="false">Base!K378</f>
        <v>12544</v>
      </c>
      <c r="H109" s="22" t="n">
        <f aca="false">D109-G109</f>
        <v>58088</v>
      </c>
      <c r="I109" s="23" t="n">
        <f aca="false">IF(D109=0,0,G109/D109)</f>
        <v>0.17759655680145</v>
      </c>
      <c r="J109" s="21" t="str">
        <f aca="false">Base!O378</f>
        <v>Contrata / Personal/bienes/servicios</v>
      </c>
      <c r="K109" s="21" t="str">
        <f aca="false">Base!P378</f>
        <v>Comprometido</v>
      </c>
      <c r="L109" s="22" t="n">
        <f aca="false">Base!Q378</f>
        <v>70632</v>
      </c>
      <c r="M109" s="22" t="n">
        <f aca="false">Base!R378</f>
        <v>0</v>
      </c>
      <c r="N109" s="22" t="n">
        <f aca="false">Base!S378</f>
        <v>0</v>
      </c>
      <c r="O109" s="22" t="n">
        <f aca="false">Base!T378</f>
        <v>0</v>
      </c>
      <c r="P109" s="21" t="str">
        <f aca="false">IF(Base!U378="","",Base!U378)</f>
        <v/>
      </c>
    </row>
    <row r="110" customFormat="false" ht="32.8" hidden="false" customHeight="false" outlineLevel="0" collapsed="false">
      <c r="A110" s="20" t="n">
        <f aca="false">SUBTOTAL(103,$B$6:B110)</f>
        <v>94</v>
      </c>
      <c r="B110" s="20" t="n">
        <v>471</v>
      </c>
      <c r="C110" s="21" t="str">
        <f aca="false">Base!G379</f>
        <v>2684838.MEJORAMIENTO Y AMPLIACION DEL SERVICIO DE LIMPIEZA PUBLICA EN 7 UNIDADES PRODUCTORAS 7 DISTRITOS DE LA PROVINCIA DE MELGAR DEL DEPARTAMENTO DE PUNO</v>
      </c>
      <c r="D110" s="22" t="n">
        <f aca="false">Base!H379</f>
        <v>11000</v>
      </c>
      <c r="E110" s="22" t="n">
        <f aca="false">Base!I379</f>
        <v>11000</v>
      </c>
      <c r="F110" s="22" t="n">
        <f aca="false">D110-E110</f>
        <v>0</v>
      </c>
      <c r="G110" s="22" t="n">
        <f aca="false">Base!K379</f>
        <v>0</v>
      </c>
      <c r="H110" s="22" t="n">
        <f aca="false">D110-G110</f>
        <v>11000</v>
      </c>
      <c r="I110" s="23" t="n">
        <f aca="false">IF(D110=0,0,G110/D110)</f>
        <v>0</v>
      </c>
      <c r="J110" s="21" t="str">
        <f aca="false">Base!O379</f>
        <v>Contrata / Administración directa</v>
      </c>
      <c r="K110" s="21" t="str">
        <f aca="false">Base!P379</f>
        <v>Solo certificado</v>
      </c>
      <c r="L110" s="22" t="n">
        <f aca="false">Base!Q379</f>
        <v>11000</v>
      </c>
      <c r="M110" s="22" t="n">
        <f aca="false">Base!R379</f>
        <v>164792</v>
      </c>
      <c r="N110" s="22" t="n">
        <f aca="false">Base!S379</f>
        <v>9322563</v>
      </c>
      <c r="O110" s="22" t="n">
        <f aca="false">Base!T379</f>
        <v>9322563</v>
      </c>
      <c r="P110" s="21" t="str">
        <f aca="false">IF(Base!U379="","",Base!U379)</f>
        <v/>
      </c>
    </row>
    <row r="111" customFormat="false" ht="15" hidden="false" customHeight="false" outlineLevel="0" collapsed="false">
      <c r="A111" s="13" t="s">
        <v>16</v>
      </c>
      <c r="B111" s="13"/>
      <c r="C111" s="13"/>
      <c r="D111" s="14" t="n">
        <f aca="false">D112</f>
        <v>13183082</v>
      </c>
      <c r="E111" s="14" t="n">
        <f aca="false">E112</f>
        <v>12706540.85</v>
      </c>
      <c r="F111" s="14" t="n">
        <f aca="false">F112</f>
        <v>476541.15</v>
      </c>
      <c r="G111" s="14" t="n">
        <f aca="false">G112</f>
        <v>3714211.52</v>
      </c>
      <c r="H111" s="14" t="n">
        <f aca="false">H112</f>
        <v>9468870.48</v>
      </c>
      <c r="I111" s="15" t="n">
        <f aca="false">IF(D111=0,0,G111/D111)</f>
        <v>0.281740758344672</v>
      </c>
      <c r="J111" s="13"/>
      <c r="K111" s="13"/>
      <c r="L111" s="13"/>
      <c r="M111" s="13"/>
      <c r="N111" s="13"/>
      <c r="O111" s="13"/>
      <c r="P111" s="13"/>
    </row>
    <row r="112" customFormat="false" ht="15" hidden="false" customHeight="false" outlineLevel="0" collapsed="false">
      <c r="A112" s="17" t="s">
        <v>52</v>
      </c>
      <c r="B112" s="17"/>
      <c r="C112" s="17"/>
      <c r="D112" s="18" t="n">
        <f aca="false">SUM(D113:D115)</f>
        <v>13183082</v>
      </c>
      <c r="E112" s="18" t="n">
        <f aca="false">SUM(E113:E115)</f>
        <v>12706540.85</v>
      </c>
      <c r="F112" s="18" t="n">
        <f aca="false">SUM(F113:F115)</f>
        <v>476541.15</v>
      </c>
      <c r="G112" s="18" t="n">
        <f aca="false">SUM(G113:G115)</f>
        <v>3714211.52</v>
      </c>
      <c r="H112" s="18" t="n">
        <f aca="false">SUM(H113:H115)</f>
        <v>9468870.48</v>
      </c>
      <c r="I112" s="19" t="n">
        <f aca="false">IF(D112=0,0,G112/D112)</f>
        <v>0.281740758344672</v>
      </c>
      <c r="J112" s="17"/>
      <c r="K112" s="17"/>
      <c r="L112" s="17"/>
      <c r="M112" s="17"/>
      <c r="N112" s="17"/>
      <c r="O112" s="17"/>
      <c r="P112" s="17"/>
    </row>
    <row r="113" customFormat="false" ht="22.35" hidden="false" customHeight="false" outlineLevel="0" collapsed="false">
      <c r="A113" s="20" t="n">
        <f aca="false">SUBTOTAL(103,$B$6:B113)</f>
        <v>95</v>
      </c>
      <c r="B113" s="20" t="n">
        <v>59</v>
      </c>
      <c r="C113" s="21" t="str">
        <f aca="false">Base!G380</f>
        <v>2324613: MEJORAMIENTO DE LAS CAPACIDADES TECNOLOGICAS EN EL MANEJO DE CADENA PRODUCTIVA DE TRUCHA EN LA REGION PUNO</v>
      </c>
      <c r="D113" s="22" t="n">
        <f aca="false">Base!H380</f>
        <v>550560</v>
      </c>
      <c r="E113" s="22" t="n">
        <f aca="false">Base!I380</f>
        <v>519500</v>
      </c>
      <c r="F113" s="22" t="n">
        <f aca="false">D113-E113</f>
        <v>31060</v>
      </c>
      <c r="G113" s="22" t="n">
        <f aca="false">Base!K380</f>
        <v>517920.09</v>
      </c>
      <c r="H113" s="22" t="n">
        <f aca="false">D113-G113</f>
        <v>32639.91</v>
      </c>
      <c r="I113" s="23" t="n">
        <f aca="false">IF(D113=0,0,G113/D113)</f>
        <v>0.940715071926766</v>
      </c>
      <c r="J113" s="21" t="str">
        <f aca="false">Base!O380</f>
        <v>Personal/bienes/servicios / Contrata</v>
      </c>
      <c r="K113" s="21" t="str">
        <f aca="false">Base!P380</f>
        <v>Comprometido</v>
      </c>
      <c r="L113" s="22" t="n">
        <f aca="false">Base!Q380</f>
        <v>100560</v>
      </c>
      <c r="M113" s="22" t="n">
        <f aca="false">Base!R380</f>
        <v>93700</v>
      </c>
      <c r="N113" s="22" t="n">
        <f aca="false">Base!S380</f>
        <v>0</v>
      </c>
      <c r="O113" s="22" t="n">
        <f aca="false">Base!T380</f>
        <v>0</v>
      </c>
      <c r="P113" s="21" t="str">
        <f aca="false">IF(Base!U380="","",Base!U380)</f>
        <v/>
      </c>
    </row>
    <row r="114" customFormat="false" ht="32.8" hidden="false" customHeight="false" outlineLevel="0" collapsed="false">
      <c r="A114" s="20" t="n">
        <f aca="false">SUBTOTAL(103,$B$6:B114)</f>
        <v>96</v>
      </c>
      <c r="B114" s="20" t="n">
        <v>60</v>
      </c>
      <c r="C114" s="21" t="str">
        <f aca="false">Base!G381</f>
        <v>2603148: MEJORAMIENTO DE LOS SERVICIOS DE APOYO AL DESARROLLO PRODUCTIVO EN 19 UNIDADES PRODUCTORAS 19 DISTRITOS DE 7 PROVINCIAS DEL DEPARTAMENTO DE PUNO</v>
      </c>
      <c r="D114" s="22" t="n">
        <f aca="false">Base!H381</f>
        <v>12532522</v>
      </c>
      <c r="E114" s="22" t="n">
        <f aca="false">Base!I381</f>
        <v>12187040.85</v>
      </c>
      <c r="F114" s="22" t="n">
        <f aca="false">D114-E114</f>
        <v>345481.15</v>
      </c>
      <c r="G114" s="22" t="n">
        <f aca="false">Base!K381</f>
        <v>3196291.43</v>
      </c>
      <c r="H114" s="22" t="n">
        <f aca="false">D114-G114</f>
        <v>9336230.57</v>
      </c>
      <c r="I114" s="23" t="n">
        <f aca="false">IF(D114=0,0,G114/D114)</f>
        <v>0.255039762148433</v>
      </c>
      <c r="J114" s="21" t="str">
        <f aca="false">Base!O381</f>
        <v>Administración directa / Personal/bienes/servicios / Contrata / Equipamiento</v>
      </c>
      <c r="K114" s="21" t="str">
        <f aca="false">Base!P381</f>
        <v>Comprometido</v>
      </c>
      <c r="L114" s="22" t="n">
        <f aca="false">Base!Q381</f>
        <v>1000000</v>
      </c>
      <c r="M114" s="22" t="n">
        <f aca="false">Base!R381</f>
        <v>4832260</v>
      </c>
      <c r="N114" s="22" t="n">
        <f aca="false">Base!S381</f>
        <v>1000000</v>
      </c>
      <c r="O114" s="22" t="n">
        <f aca="false">Base!T381</f>
        <v>1000000</v>
      </c>
      <c r="P114" s="21" t="str">
        <f aca="false">IF(Base!U381="","",Base!U381)</f>
        <v/>
      </c>
    </row>
    <row r="115" customFormat="false" ht="32.8" hidden="false" customHeight="false" outlineLevel="0" collapsed="false">
      <c r="A115" s="20" t="n">
        <f aca="false">SUBTOTAL(103,$B$6:B115)</f>
        <v>97</v>
      </c>
      <c r="B115" s="20" t="n">
        <v>61</v>
      </c>
      <c r="C115" s="21" t="str">
        <f aca="false">Base!G382</f>
        <v>2603160: MEJORAMIENTO DE LOS SERVICIOS DE APOYO AL DESARROLLO PRODUCTIVO EN 4 UNIDADES PRODUCTORAS 4 DISTRITOS DE LAS PROVINCIAS DE SANDIA, CARABAYA DEL DEPARTAMENTO DE PUNO</v>
      </c>
      <c r="D115" s="22" t="n">
        <f aca="false">Base!H382</f>
        <v>100000</v>
      </c>
      <c r="E115" s="22" t="n">
        <f aca="false">Base!I382</f>
        <v>0</v>
      </c>
      <c r="F115" s="22" t="n">
        <f aca="false">D115-E115</f>
        <v>100000</v>
      </c>
      <c r="G115" s="22" t="n">
        <f aca="false">Base!K382</f>
        <v>0</v>
      </c>
      <c r="H115" s="22" t="n">
        <f aca="false">D115-G115</f>
        <v>100000</v>
      </c>
      <c r="I115" s="23" t="n">
        <f aca="false">IF(D115=0,0,G115/D115)</f>
        <v>0</v>
      </c>
      <c r="J115" s="21" t="str">
        <f aca="false">Base!O382</f>
        <v>Personal/bienes/servicios</v>
      </c>
      <c r="K115" s="21" t="str">
        <f aca="false">Base!P382</f>
        <v>Sin certificar</v>
      </c>
      <c r="L115" s="22" t="n">
        <f aca="false">Base!Q382</f>
        <v>100000</v>
      </c>
      <c r="M115" s="22" t="n">
        <f aca="false">Base!R382</f>
        <v>0</v>
      </c>
      <c r="N115" s="22" t="n">
        <f aca="false">Base!S382</f>
        <v>0</v>
      </c>
      <c r="O115" s="22" t="n">
        <f aca="false">Base!T382</f>
        <v>0</v>
      </c>
      <c r="P115" s="21" t="str">
        <f aca="false">IF(Base!U382="","",Base!U382)</f>
        <v/>
      </c>
    </row>
    <row r="116" customFormat="false" ht="15" hidden="false" customHeight="false" outlineLevel="0" collapsed="false">
      <c r="A116" s="13" t="s">
        <v>17</v>
      </c>
      <c r="B116" s="13"/>
      <c r="C116" s="13"/>
      <c r="D116" s="14" t="n">
        <f aca="false">D117+D119</f>
        <v>5603985</v>
      </c>
      <c r="E116" s="14" t="n">
        <f aca="false">E117+E119</f>
        <v>5402769.95</v>
      </c>
      <c r="F116" s="14" t="n">
        <f aca="false">F117+F119</f>
        <v>201215.05</v>
      </c>
      <c r="G116" s="14" t="n">
        <f aca="false">G117+G119</f>
        <v>3499541.36</v>
      </c>
      <c r="H116" s="14" t="n">
        <f aca="false">H117+H119</f>
        <v>2104443.64</v>
      </c>
      <c r="I116" s="15" t="n">
        <f aca="false">IF(D116=0,0,G116/D116)</f>
        <v>0.624473720040293</v>
      </c>
      <c r="J116" s="13"/>
      <c r="K116" s="13"/>
      <c r="L116" s="13"/>
      <c r="M116" s="13"/>
      <c r="N116" s="13"/>
      <c r="O116" s="13"/>
      <c r="P116" s="13"/>
    </row>
    <row r="117" customFormat="false" ht="15" hidden="false" customHeight="false" outlineLevel="0" collapsed="false">
      <c r="A117" s="17" t="s">
        <v>52</v>
      </c>
      <c r="B117" s="17"/>
      <c r="C117" s="17"/>
      <c r="D117" s="18" t="n">
        <f aca="false">SUM(D118)</f>
        <v>1332387</v>
      </c>
      <c r="E117" s="18" t="n">
        <f aca="false">SUM(E118)</f>
        <v>1332216.61</v>
      </c>
      <c r="F117" s="18" t="n">
        <f aca="false">SUM(F118)</f>
        <v>170.389999999898</v>
      </c>
      <c r="G117" s="18" t="n">
        <f aca="false">SUM(G118)</f>
        <v>1212326</v>
      </c>
      <c r="H117" s="18" t="n">
        <f aca="false">SUM(H118)</f>
        <v>120061</v>
      </c>
      <c r="I117" s="19" t="n">
        <f aca="false">IF(D117=0,0,G117/D117)</f>
        <v>0.909890294636618</v>
      </c>
      <c r="J117" s="17"/>
      <c r="K117" s="17"/>
      <c r="L117" s="17"/>
      <c r="M117" s="17"/>
      <c r="N117" s="17"/>
      <c r="O117" s="17"/>
      <c r="P117" s="17"/>
    </row>
    <row r="118" customFormat="false" ht="22.35" hidden="false" customHeight="false" outlineLevel="0" collapsed="false">
      <c r="A118" s="20" t="n">
        <f aca="false">SUBTOTAL(103,$B$6:B118)</f>
        <v>98</v>
      </c>
      <c r="B118" s="20" t="n">
        <v>218</v>
      </c>
      <c r="C118" s="21" t="str">
        <f aca="false">Base!G383</f>
        <v>2187217: MEJORAMIENTO DE LA CADENA DE VALOR DE LA FIBRA DE ALPACA EN LA REGION PUNO</v>
      </c>
      <c r="D118" s="22" t="n">
        <f aca="false">Base!H383</f>
        <v>1332387</v>
      </c>
      <c r="E118" s="22" t="n">
        <f aca="false">Base!I383</f>
        <v>1332216.61</v>
      </c>
      <c r="F118" s="22" t="n">
        <f aca="false">D118-E118</f>
        <v>170.389999999898</v>
      </c>
      <c r="G118" s="22" t="n">
        <f aca="false">Base!K383</f>
        <v>1212326</v>
      </c>
      <c r="H118" s="22" t="n">
        <f aca="false">D118-G118</f>
        <v>120061</v>
      </c>
      <c r="I118" s="23" t="n">
        <f aca="false">IF(D118=0,0,G118/D118)</f>
        <v>0.909890294636618</v>
      </c>
      <c r="J118" s="21" t="str">
        <f aca="false">Base!O383</f>
        <v>Contrata / Personal/bienes/servicios</v>
      </c>
      <c r="K118" s="21" t="str">
        <f aca="false">Base!P383</f>
        <v>Comprometido</v>
      </c>
      <c r="L118" s="22" t="n">
        <f aca="false">Base!Q383</f>
        <v>630478</v>
      </c>
      <c r="M118" s="22" t="n">
        <f aca="false">Base!R383</f>
        <v>188781</v>
      </c>
      <c r="N118" s="22" t="n">
        <f aca="false">Base!S383</f>
        <v>2845395</v>
      </c>
      <c r="O118" s="22" t="n">
        <f aca="false">Base!T383</f>
        <v>2772809</v>
      </c>
      <c r="P118" s="21" t="str">
        <f aca="false">IF(Base!U383="","",Base!U383)</f>
        <v/>
      </c>
    </row>
    <row r="119" customFormat="false" ht="15" hidden="false" customHeight="false" outlineLevel="0" collapsed="false">
      <c r="A119" s="17" t="s">
        <v>66</v>
      </c>
      <c r="B119" s="17"/>
      <c r="C119" s="17"/>
      <c r="D119" s="18" t="n">
        <f aca="false">SUM(D120)</f>
        <v>4271598</v>
      </c>
      <c r="E119" s="18" t="n">
        <f aca="false">SUM(E120)</f>
        <v>4070553.34</v>
      </c>
      <c r="F119" s="18" t="n">
        <f aca="false">SUM(F120)</f>
        <v>201044.66</v>
      </c>
      <c r="G119" s="18" t="n">
        <f aca="false">SUM(G120)</f>
        <v>2287215.36</v>
      </c>
      <c r="H119" s="18" t="n">
        <f aca="false">SUM(H120)</f>
        <v>1984382.64</v>
      </c>
      <c r="I119" s="19" t="n">
        <f aca="false">IF(D119=0,0,G119/D119)</f>
        <v>0.535447240119506</v>
      </c>
      <c r="J119" s="17"/>
      <c r="K119" s="17"/>
      <c r="L119" s="17"/>
      <c r="M119" s="17"/>
      <c r="N119" s="17"/>
      <c r="O119" s="17"/>
      <c r="P119" s="17"/>
    </row>
    <row r="120" customFormat="false" ht="32.8" hidden="false" customHeight="false" outlineLevel="0" collapsed="false">
      <c r="A120" s="20" t="n">
        <f aca="false">SUBTOTAL(103,$B$6:B120)</f>
        <v>99</v>
      </c>
      <c r="B120" s="20" t="n">
        <v>264</v>
      </c>
      <c r="C120" s="21" t="str">
        <f aca="false">Base!G384</f>
        <v>2603155: MEJORAMIENTO DE LOS SERVICIOS DE APOYO AL DESARROLLO PRODUCTIVO EN 37 UNIDADES PRODUCTORAS 37 DISTRITOS DE 11 PROVINCIAS DEL DEPARTAMENTO DE PUNO</v>
      </c>
      <c r="D120" s="22" t="n">
        <f aca="false">Base!H384</f>
        <v>4271598</v>
      </c>
      <c r="E120" s="22" t="n">
        <f aca="false">Base!I384</f>
        <v>4070553.34</v>
      </c>
      <c r="F120" s="22" t="n">
        <f aca="false">D120-E120</f>
        <v>201044.66</v>
      </c>
      <c r="G120" s="22" t="n">
        <f aca="false">Base!K384</f>
        <v>2287215.36</v>
      </c>
      <c r="H120" s="22" t="n">
        <f aca="false">D120-G120</f>
        <v>1984382.64</v>
      </c>
      <c r="I120" s="23" t="n">
        <f aca="false">IF(D120=0,0,G120/D120)</f>
        <v>0.535447240119506</v>
      </c>
      <c r="J120" s="21" t="str">
        <f aca="false">Base!O384</f>
        <v>Personal/bienes/servicios / Contrata / Equipamiento</v>
      </c>
      <c r="K120" s="21" t="str">
        <f aca="false">Base!P384</f>
        <v>Comprometido</v>
      </c>
      <c r="L120" s="22" t="n">
        <f aca="false">Base!Q384</f>
        <v>1500000</v>
      </c>
      <c r="M120" s="22" t="n">
        <f aca="false">Base!R384</f>
        <v>4950944</v>
      </c>
      <c r="N120" s="22" t="n">
        <f aca="false">Base!S384</f>
        <v>5144103</v>
      </c>
      <c r="O120" s="22" t="n">
        <f aca="false">Base!T384</f>
        <v>4718085</v>
      </c>
      <c r="P120" s="21" t="str">
        <f aca="false">IF(Base!U384="","",Base!U384)</f>
        <v/>
      </c>
    </row>
    <row r="121" customFormat="false" ht="15" hidden="false" customHeight="false" outlineLevel="0" collapsed="false">
      <c r="A121" s="13" t="s">
        <v>18</v>
      </c>
      <c r="B121" s="13"/>
      <c r="C121" s="13"/>
      <c r="D121" s="14" t="n">
        <f aca="false">D122+D150+D162+D165</f>
        <v>74397967</v>
      </c>
      <c r="E121" s="14" t="n">
        <f aca="false">E122+E150+E162+E165</f>
        <v>67208621.58</v>
      </c>
      <c r="F121" s="14" t="n">
        <f aca="false">F122+F150+F162+F165</f>
        <v>7189345.42</v>
      </c>
      <c r="G121" s="14" t="n">
        <f aca="false">G122+G150+G162+G165</f>
        <v>23249589.99</v>
      </c>
      <c r="H121" s="14" t="n">
        <f aca="false">H122+H150+H162+H165</f>
        <v>51148377.01</v>
      </c>
      <c r="I121" s="15" t="n">
        <f aca="false">IF(D121=0,0,G121/D121)</f>
        <v>0.312503028342159</v>
      </c>
      <c r="J121" s="13"/>
      <c r="K121" s="13"/>
      <c r="L121" s="13"/>
      <c r="M121" s="13"/>
      <c r="N121" s="13"/>
      <c r="O121" s="13"/>
      <c r="P121" s="13"/>
    </row>
    <row r="122" customFormat="false" ht="15" hidden="false" customHeight="false" outlineLevel="0" collapsed="false">
      <c r="A122" s="17" t="s">
        <v>48</v>
      </c>
      <c r="B122" s="17"/>
      <c r="C122" s="17"/>
      <c r="D122" s="18" t="n">
        <f aca="false">SUM(D123:D149)</f>
        <v>52935028</v>
      </c>
      <c r="E122" s="18" t="n">
        <f aca="false">SUM(E123:E149)</f>
        <v>48878434.08</v>
      </c>
      <c r="F122" s="18" t="n">
        <f aca="false">SUM(F123:F149)</f>
        <v>4056593.92</v>
      </c>
      <c r="G122" s="18" t="n">
        <f aca="false">SUM(G123:G149)</f>
        <v>17052641.13</v>
      </c>
      <c r="H122" s="18" t="n">
        <f aca="false">SUM(H123:H149)</f>
        <v>35882386.87</v>
      </c>
      <c r="I122" s="19" t="n">
        <f aca="false">IF(D122=0,0,G122/D122)</f>
        <v>0.32214285652215</v>
      </c>
      <c r="J122" s="17"/>
      <c r="K122" s="17"/>
      <c r="L122" s="17"/>
      <c r="M122" s="17"/>
      <c r="N122" s="17"/>
      <c r="O122" s="17"/>
      <c r="P122" s="17"/>
    </row>
    <row r="123" customFormat="false" ht="32.8" hidden="false" customHeight="false" outlineLevel="0" collapsed="false">
      <c r="A123" s="20" t="n">
        <f aca="false">SUBTOTAL(103,$B$6:B123)</f>
        <v>100</v>
      </c>
      <c r="B123" s="20" t="n">
        <v>195</v>
      </c>
      <c r="C123" s="21" t="str">
        <f aca="false">Base!G385</f>
        <v>2154443: MEJORAMIENTO DEL ESTADO NUTRICIONAL DEL NIÑO MENOR DE TRES AÑOS Y LA MADRE GESTANTE EN LAS PROVINCIAS DE AZANGARO, LAMPA Y SAN ROMAN DE LA REGION PUNO</v>
      </c>
      <c r="D123" s="22" t="n">
        <f aca="false">Base!H385</f>
        <v>0</v>
      </c>
      <c r="E123" s="22" t="n">
        <f aca="false">Base!I385</f>
        <v>0</v>
      </c>
      <c r="F123" s="22" t="n">
        <f aca="false">D123-E123</f>
        <v>0</v>
      </c>
      <c r="G123" s="22" t="n">
        <f aca="false">Base!K385</f>
        <v>0</v>
      </c>
      <c r="H123" s="22" t="n">
        <f aca="false">D123-G123</f>
        <v>0</v>
      </c>
      <c r="I123" s="23" t="n">
        <f aca="false">IF(D123=0,0,G123/D123)</f>
        <v>0</v>
      </c>
      <c r="J123" s="21" t="str">
        <f aca="false">Base!O385</f>
        <v>Personal/bienes/servicios</v>
      </c>
      <c r="K123" s="21" t="str">
        <f aca="false">Base!P385</f>
        <v>Sin PIM</v>
      </c>
      <c r="L123" s="22" t="n">
        <f aca="false">Base!Q385</f>
        <v>4098</v>
      </c>
      <c r="M123" s="22" t="n">
        <f aca="false">Base!R385</f>
        <v>0</v>
      </c>
      <c r="N123" s="22" t="n">
        <f aca="false">Base!S385</f>
        <v>0</v>
      </c>
      <c r="O123" s="22" t="n">
        <f aca="false">Base!T385</f>
        <v>0</v>
      </c>
      <c r="P123" s="21" t="str">
        <f aca="false">IF(Base!U385="","",Base!U385)</f>
        <v/>
      </c>
    </row>
    <row r="124" customFormat="false" ht="32.8" hidden="false" customHeight="false" outlineLevel="0" collapsed="false">
      <c r="A124" s="20" t="n">
        <f aca="false">SUBTOTAL(103,$B$6:B124)</f>
        <v>101</v>
      </c>
      <c r="B124" s="20" t="n">
        <v>196</v>
      </c>
      <c r="C124" s="21" t="str">
        <f aca="false">Base!G386</f>
        <v>2159149: MEJORAMIENTO DE LAS CAPACIDADES PARA PREVENIR LA DESNUTRICION CRONICA, EN MENORES DE 3 AÑOS EN LAS PROVINCIAS DE CARABAYA, MELGAR Y SANDIA DE LA REGION PUNO</v>
      </c>
      <c r="D124" s="22" t="n">
        <f aca="false">Base!H386</f>
        <v>0</v>
      </c>
      <c r="E124" s="22" t="n">
        <f aca="false">Base!I386</f>
        <v>0</v>
      </c>
      <c r="F124" s="22" t="n">
        <f aca="false">D124-E124</f>
        <v>0</v>
      </c>
      <c r="G124" s="22" t="n">
        <f aca="false">Base!K386</f>
        <v>0</v>
      </c>
      <c r="H124" s="22" t="n">
        <f aca="false">D124-G124</f>
        <v>0</v>
      </c>
      <c r="I124" s="23" t="n">
        <f aca="false">IF(D124=0,0,G124/D124)</f>
        <v>0</v>
      </c>
      <c r="J124" s="21" t="str">
        <f aca="false">Base!O386</f>
        <v>Personal/bienes/servicios</v>
      </c>
      <c r="K124" s="21" t="str">
        <f aca="false">Base!P386</f>
        <v>Sin PIM</v>
      </c>
      <c r="L124" s="22" t="n">
        <f aca="false">Base!Q386</f>
        <v>87917</v>
      </c>
      <c r="M124" s="22" t="n">
        <f aca="false">Base!R386</f>
        <v>0</v>
      </c>
      <c r="N124" s="22" t="n">
        <f aca="false">Base!S386</f>
        <v>0</v>
      </c>
      <c r="O124" s="22" t="n">
        <f aca="false">Base!T386</f>
        <v>0</v>
      </c>
      <c r="P124" s="21" t="str">
        <f aca="false">IF(Base!U386="","",Base!U386)</f>
        <v/>
      </c>
    </row>
    <row r="125" customFormat="false" ht="43.25" hidden="false" customHeight="false" outlineLevel="0" collapsed="false">
      <c r="A125" s="20" t="n">
        <f aca="false">SUBTOTAL(103,$B$6:B125)</f>
        <v>102</v>
      </c>
      <c r="B125" s="20" t="n">
        <v>239</v>
      </c>
      <c r="C125" s="21" t="str">
        <f aca="false">Base!G387</f>
        <v>2488048: CREACION DEL SERVICIO DE ANALISIS DE BIOLOGIA MOLECULAR DE DIAGNOSTICO COVID-19 EN EL LABORATORIO DE REFERENCIA REGIONAL DE LA DIRESA PUNO, DISTRITO DE PUNO - PROVINCIA DE PUNO - DEPARTAMENTO DE PUNO</v>
      </c>
      <c r="D125" s="22" t="n">
        <f aca="false">Base!H387</f>
        <v>0</v>
      </c>
      <c r="E125" s="22" t="n">
        <f aca="false">Base!I387</f>
        <v>0</v>
      </c>
      <c r="F125" s="22" t="n">
        <f aca="false">D125-E125</f>
        <v>0</v>
      </c>
      <c r="G125" s="22" t="n">
        <f aca="false">Base!K387</f>
        <v>0</v>
      </c>
      <c r="H125" s="22" t="n">
        <f aca="false">D125-G125</f>
        <v>0</v>
      </c>
      <c r="I125" s="23" t="n">
        <f aca="false">IF(D125=0,0,G125/D125)</f>
        <v>0</v>
      </c>
      <c r="J125" s="21" t="str">
        <f aca="false">Base!O387</f>
        <v>Administración directa</v>
      </c>
      <c r="K125" s="21" t="str">
        <f aca="false">Base!P387</f>
        <v>Sin PIM</v>
      </c>
      <c r="L125" s="22" t="n">
        <f aca="false">Base!Q387</f>
        <v>276105</v>
      </c>
      <c r="M125" s="22" t="n">
        <f aca="false">Base!R387</f>
        <v>0</v>
      </c>
      <c r="N125" s="22" t="n">
        <f aca="false">Base!S387</f>
        <v>0</v>
      </c>
      <c r="O125" s="22" t="n">
        <f aca="false">Base!T387</f>
        <v>0</v>
      </c>
      <c r="P125" s="21" t="str">
        <f aca="false">IF(Base!U387="","",Base!U387)</f>
        <v/>
      </c>
    </row>
    <row r="126" customFormat="false" ht="43.25" hidden="false" customHeight="false" outlineLevel="0" collapsed="false">
      <c r="A126" s="20" t="n">
        <f aca="false">SUBTOTAL(103,$B$6:B126)</f>
        <v>103</v>
      </c>
      <c r="B126" s="20" t="n">
        <v>249</v>
      </c>
      <c r="C126" s="21" t="str">
        <f aca="false">Base!G388</f>
        <v>2544369: ADQUISICION DE AMBULANCIA RURAL Y AMBULANCIA RURAL; EN CINCUENTA Y CINCO ESTABLECIMIENTOS DE SALUD I.4, ESTABLECIMIENTOS DE SALUD I.2, ESTABLECIMIENTOS DE SALUD I.3 A NIVEL DEPARTAMENTAL (PUNO)</v>
      </c>
      <c r="D126" s="22" t="n">
        <f aca="false">Base!H388</f>
        <v>0</v>
      </c>
      <c r="E126" s="22" t="n">
        <f aca="false">Base!I388</f>
        <v>0</v>
      </c>
      <c r="F126" s="22" t="n">
        <f aca="false">D126-E126</f>
        <v>0</v>
      </c>
      <c r="G126" s="22" t="n">
        <f aca="false">Base!K388</f>
        <v>0</v>
      </c>
      <c r="H126" s="22" t="n">
        <f aca="false">D126-G126</f>
        <v>0</v>
      </c>
      <c r="I126" s="23" t="n">
        <f aca="false">IF(D126=0,0,G126/D126)</f>
        <v>0</v>
      </c>
      <c r="J126" s="21" t="str">
        <f aca="false">Base!O388</f>
        <v>Personal/bienes/servicios</v>
      </c>
      <c r="K126" s="21" t="str">
        <f aca="false">Base!P388</f>
        <v>Sin PIM</v>
      </c>
      <c r="L126" s="22" t="n">
        <f aca="false">Base!Q388</f>
        <v>89896</v>
      </c>
      <c r="M126" s="22" t="n">
        <f aca="false">Base!R388</f>
        <v>0</v>
      </c>
      <c r="N126" s="22" t="n">
        <f aca="false">Base!S388</f>
        <v>0</v>
      </c>
      <c r="O126" s="22" t="n">
        <f aca="false">Base!T388</f>
        <v>0</v>
      </c>
      <c r="P126" s="21" t="str">
        <f aca="false">IF(Base!U388="","",Base!U388)</f>
        <v/>
      </c>
    </row>
    <row r="127" customFormat="false" ht="32.8" hidden="false" customHeight="false" outlineLevel="0" collapsed="false">
      <c r="A127" s="20" t="n">
        <f aca="false">SUBTOTAL(103,$B$6:B127)</f>
        <v>104</v>
      </c>
      <c r="B127" s="20" t="n">
        <v>254</v>
      </c>
      <c r="C127" s="21" t="str">
        <f aca="false">Base!G389</f>
        <v>2567368: ADQUISICION DE MAMOGRAFO; EN EL(LA) EESS SAN MARTIN DE P. (MACUSANI) - MACUSANI DISTRITO DE MACUSANI, PROVINCIA CARABAYA, DEPARTAMENTO PUNO</v>
      </c>
      <c r="D127" s="22" t="n">
        <f aca="false">Base!H389</f>
        <v>2390440</v>
      </c>
      <c r="E127" s="22" t="n">
        <f aca="false">Base!I389</f>
        <v>2386020</v>
      </c>
      <c r="F127" s="22" t="n">
        <f aca="false">D127-E127</f>
        <v>4420</v>
      </c>
      <c r="G127" s="22" t="n">
        <f aca="false">Base!K389</f>
        <v>824976.09</v>
      </c>
      <c r="H127" s="22" t="n">
        <f aca="false">D127-G127</f>
        <v>1565463.91</v>
      </c>
      <c r="I127" s="23" t="n">
        <f aca="false">IF(D127=0,0,G127/D127)</f>
        <v>0.345114744565854</v>
      </c>
      <c r="J127" s="21" t="str">
        <f aca="false">Base!O389</f>
        <v>Equipamiento / Contrata / Personal/bienes/servicios</v>
      </c>
      <c r="K127" s="21" t="str">
        <f aca="false">Base!P389</f>
        <v>Comprometido</v>
      </c>
      <c r="L127" s="22" t="n">
        <f aca="false">Base!Q389</f>
        <v>21175</v>
      </c>
      <c r="M127" s="22" t="n">
        <f aca="false">Base!R389</f>
        <v>2971</v>
      </c>
      <c r="N127" s="22" t="n">
        <f aca="false">Base!S389</f>
        <v>1</v>
      </c>
      <c r="O127" s="22" t="n">
        <f aca="false">Base!T389</f>
        <v>0</v>
      </c>
      <c r="P127" s="21" t="str">
        <f aca="false">IF(Base!U389="","",Base!U389)</f>
        <v/>
      </c>
    </row>
    <row r="128" customFormat="false" ht="32.8" hidden="false" customHeight="false" outlineLevel="0" collapsed="false">
      <c r="A128" s="20" t="n">
        <f aca="false">SUBTOTAL(103,$B$6:B128)</f>
        <v>105</v>
      </c>
      <c r="B128" s="20" t="n">
        <v>255</v>
      </c>
      <c r="C128" s="21" t="str">
        <f aca="false">Base!G390</f>
        <v>2567375: ADQUISICION DE TOMOGRAFO COMPUTARIZADO MULTICORTE; EN EL(LA) EESS SAN MARTIN DE P. (MACUSANI) - MACUSANI DISTRITO DE MACUSANI, PROVINCIA CARABAYA, DEPARTAMENTO PUNO</v>
      </c>
      <c r="D128" s="22" t="n">
        <f aca="false">Base!H390</f>
        <v>20600</v>
      </c>
      <c r="E128" s="22" t="n">
        <f aca="false">Base!I390</f>
        <v>20600</v>
      </c>
      <c r="F128" s="22" t="n">
        <f aca="false">D128-E128</f>
        <v>0</v>
      </c>
      <c r="G128" s="22" t="n">
        <f aca="false">Base!K390</f>
        <v>17783.6</v>
      </c>
      <c r="H128" s="22" t="n">
        <f aca="false">D128-G128</f>
        <v>2816.4</v>
      </c>
      <c r="I128" s="23" t="n">
        <f aca="false">IF(D128=0,0,G128/D128)</f>
        <v>0.863281553398058</v>
      </c>
      <c r="J128" s="21" t="str">
        <f aca="false">Base!O390</f>
        <v>Contrata</v>
      </c>
      <c r="K128" s="21" t="str">
        <f aca="false">Base!P390</f>
        <v>Comprometido</v>
      </c>
      <c r="L128" s="22" t="n">
        <f aca="false">Base!Q390</f>
        <v>40062</v>
      </c>
      <c r="M128" s="22" t="n">
        <f aca="false">Base!R390</f>
        <v>0</v>
      </c>
      <c r="N128" s="22" t="n">
        <f aca="false">Base!S390</f>
        <v>0</v>
      </c>
      <c r="O128" s="22" t="n">
        <f aca="false">Base!T390</f>
        <v>0</v>
      </c>
      <c r="P128" s="21" t="str">
        <f aca="false">IF(Base!U390="","",Base!U390)</f>
        <v/>
      </c>
    </row>
    <row r="129" customFormat="false" ht="53.7" hidden="false" customHeight="false" outlineLevel="0" collapsed="false">
      <c r="A129" s="20" t="n">
        <f aca="false">SUBTOTAL(103,$B$6:B129)</f>
        <v>106</v>
      </c>
      <c r="B129" s="20" t="n">
        <v>263</v>
      </c>
      <c r="C129" s="21" t="str">
        <f aca="false">Base!G391</f>
        <v>2600443: ADQUISICION DE SISTEMA DE CIRUGIA LAPAROSCOPICA, TOMOGRAFO, MESA DE OPERACIONES HIDRAULICA/ELECTRICA Y LAMPARA QUIRURGICA DE TECHO; ADEMAS DE OTROS ACTIVOS EN EL(LA) YUNGUYO DISTRITO DE YUNGUYO, PROVINCIA YUNGUYO, DEPARTAMENTO PUNO</v>
      </c>
      <c r="D129" s="22" t="n">
        <f aca="false">Base!H391</f>
        <v>3517960</v>
      </c>
      <c r="E129" s="22" t="n">
        <f aca="false">Base!I391</f>
        <v>3461030.1</v>
      </c>
      <c r="F129" s="22" t="n">
        <f aca="false">D129-E129</f>
        <v>56929.8999999999</v>
      </c>
      <c r="G129" s="22" t="n">
        <f aca="false">Base!K391</f>
        <v>2179648.51</v>
      </c>
      <c r="H129" s="22" t="n">
        <f aca="false">D129-G129</f>
        <v>1338311.49</v>
      </c>
      <c r="I129" s="23" t="n">
        <f aca="false">IF(D129=0,0,G129/D129)</f>
        <v>0.619577399970437</v>
      </c>
      <c r="J129" s="21" t="str">
        <f aca="false">Base!O391</f>
        <v>Equipamiento / Contrata / Personal/bienes/servicios</v>
      </c>
      <c r="K129" s="21" t="str">
        <f aca="false">Base!P391</f>
        <v>Comprometido</v>
      </c>
      <c r="L129" s="22" t="n">
        <f aca="false">Base!Q391</f>
        <v>2000000</v>
      </c>
      <c r="M129" s="22" t="n">
        <f aca="false">Base!R391</f>
        <v>64020</v>
      </c>
      <c r="N129" s="22" t="n">
        <f aca="false">Base!S391</f>
        <v>1401972</v>
      </c>
      <c r="O129" s="22" t="n">
        <f aca="false">Base!T391</f>
        <v>495265</v>
      </c>
      <c r="P129" s="21" t="str">
        <f aca="false">IF(Base!U391="","",Base!U391)</f>
        <v/>
      </c>
    </row>
    <row r="130" customFormat="false" ht="53.7" hidden="false" customHeight="false" outlineLevel="0" collapsed="false">
      <c r="A130" s="20" t="n">
        <f aca="false">SUBTOTAL(103,$B$6:B130)</f>
        <v>107</v>
      </c>
      <c r="B130" s="20" t="n">
        <v>281</v>
      </c>
      <c r="C130" s="21" t="str">
        <f aca="false">Base!G392</f>
        <v>2650340: ADQUISICION DE MESA DE OPERACIONES HIDRAULICA/ELECTRICA, ESTERILIZADOR CON GENERADOR ELECTRICO DE VAPOR (INS), EQUIPOS BIOMEDICOS Y COCHE DE PARO; ADEMAS DE OTROS ACTIVOS EN EL(LA) PUTINA DISTRITO DE PUTINA, PROVINCIA SAN ANTONIO DE PUTINA, DEPARTAMENTO PUNO</v>
      </c>
      <c r="D130" s="22" t="n">
        <f aca="false">Base!H392</f>
        <v>2170829</v>
      </c>
      <c r="E130" s="22" t="n">
        <f aca="false">Base!I392</f>
        <v>2170829</v>
      </c>
      <c r="F130" s="22" t="n">
        <f aca="false">D130-E130</f>
        <v>0</v>
      </c>
      <c r="G130" s="22" t="n">
        <f aca="false">Base!K392</f>
        <v>147448.3</v>
      </c>
      <c r="H130" s="22" t="n">
        <f aca="false">D130-G130</f>
        <v>2023380.7</v>
      </c>
      <c r="I130" s="23" t="n">
        <f aca="false">IF(D130=0,0,G130/D130)</f>
        <v>0.067922577043148</v>
      </c>
      <c r="J130" s="21" t="str">
        <f aca="false">Base!O392</f>
        <v>Equipamiento / Contrata</v>
      </c>
      <c r="K130" s="21" t="str">
        <f aca="false">Base!P392</f>
        <v>Comprometido</v>
      </c>
      <c r="L130" s="22" t="n">
        <f aca="false">Base!Q392</f>
        <v>2421000</v>
      </c>
      <c r="M130" s="22" t="n">
        <f aca="false">Base!R392</f>
        <v>2508625</v>
      </c>
      <c r="N130" s="22" t="n">
        <f aca="false">Base!S392</f>
        <v>546908</v>
      </c>
      <c r="O130" s="22" t="n">
        <f aca="false">Base!T392</f>
        <v>170650</v>
      </c>
      <c r="P130" s="21" t="str">
        <f aca="false">IF(Base!U392="","",Base!U392)</f>
        <v/>
      </c>
    </row>
    <row r="131" customFormat="false" ht="32.8" hidden="false" customHeight="false" outlineLevel="0" collapsed="false">
      <c r="A131" s="20" t="n">
        <f aca="false">SUBTOTAL(103,$B$6:B131)</f>
        <v>108</v>
      </c>
      <c r="B131" s="20" t="n">
        <v>285</v>
      </c>
      <c r="C131" s="21" t="str">
        <f aca="false">Base!G393</f>
        <v>2684028: ADQUISICION DE AMBULANCIA URBANA; EN ONCE ESTABLECIMIENTOS DE SALUD II.1, ESTABLECIMIENTOS DE SALUD II.2 A NIVEL DEPARTAMENTAL (PUNO)</v>
      </c>
      <c r="D131" s="22" t="n">
        <f aca="false">Base!H393</f>
        <v>31336</v>
      </c>
      <c r="E131" s="22" t="n">
        <f aca="false">Base!I393</f>
        <v>0</v>
      </c>
      <c r="F131" s="22" t="n">
        <f aca="false">D131-E131</f>
        <v>31336</v>
      </c>
      <c r="G131" s="22" t="n">
        <f aca="false">Base!K393</f>
        <v>0</v>
      </c>
      <c r="H131" s="22" t="n">
        <f aca="false">D131-G131</f>
        <v>31336</v>
      </c>
      <c r="I131" s="23" t="n">
        <f aca="false">IF(D131=0,0,G131/D131)</f>
        <v>0</v>
      </c>
      <c r="J131" s="21" t="str">
        <f aca="false">Base!O393</f>
        <v>Contrata</v>
      </c>
      <c r="K131" s="21" t="str">
        <f aca="false">Base!P393</f>
        <v>Sin certificar</v>
      </c>
      <c r="L131" s="22" t="n">
        <f aca="false">Base!Q393</f>
        <v>513444</v>
      </c>
      <c r="M131" s="22" t="n">
        <f aca="false">Base!R393</f>
        <v>0</v>
      </c>
      <c r="N131" s="22" t="n">
        <f aca="false">Base!S393</f>
        <v>0</v>
      </c>
      <c r="O131" s="22" t="n">
        <f aca="false">Base!T393</f>
        <v>0</v>
      </c>
      <c r="P131" s="21" t="str">
        <f aca="false">IF(Base!U393="","",Base!U393)</f>
        <v/>
      </c>
    </row>
    <row r="132" customFormat="false" ht="43.25" hidden="false" customHeight="false" outlineLevel="0" collapsed="false">
      <c r="A132" s="20" t="n">
        <f aca="false">SUBTOTAL(103,$B$6:B132)</f>
        <v>109</v>
      </c>
      <c r="B132" s="20" t="n">
        <v>287</v>
      </c>
      <c r="C132" s="21" t="str">
        <f aca="false">Base!G394</f>
        <v>2685776: ADQUISICION DE ANALIZADOR DE GASES Y ELECTROLITOS, ESPECTROFOTOMETRO, EQUIPO DE RAYOS X DENTAL Y BIDESTILADOR DE AGUA; ADEMAS DE OTROS ACTIVOS EN EL(LA) MOHO DISTRITO DE MOHO, PROVINCIA MOHO, DEPARTAMENTO PUNO</v>
      </c>
      <c r="D132" s="22" t="n">
        <f aca="false">Base!H394</f>
        <v>1263865</v>
      </c>
      <c r="E132" s="22" t="n">
        <f aca="false">Base!I394</f>
        <v>1181167.94</v>
      </c>
      <c r="F132" s="22" t="n">
        <f aca="false">D132-E132</f>
        <v>82697.0600000001</v>
      </c>
      <c r="G132" s="22" t="n">
        <f aca="false">Base!K394</f>
        <v>146441.28</v>
      </c>
      <c r="H132" s="22" t="n">
        <f aca="false">D132-G132</f>
        <v>1117423.72</v>
      </c>
      <c r="I132" s="23" t="n">
        <f aca="false">IF(D132=0,0,G132/D132)</f>
        <v>0.115867818160959</v>
      </c>
      <c r="J132" s="21" t="str">
        <f aca="false">Base!O394</f>
        <v>Equipamiento / Contrata / Personal/bienes/servicios</v>
      </c>
      <c r="K132" s="21" t="str">
        <f aca="false">Base!P394</f>
        <v>Comprometido</v>
      </c>
      <c r="L132" s="22" t="n">
        <f aca="false">Base!Q394</f>
        <v>894000</v>
      </c>
      <c r="M132" s="22" t="n">
        <f aca="false">Base!R394</f>
        <v>0</v>
      </c>
      <c r="N132" s="22" t="n">
        <f aca="false">Base!S394</f>
        <v>825648</v>
      </c>
      <c r="O132" s="22" t="n">
        <f aca="false">Base!T394</f>
        <v>825648</v>
      </c>
      <c r="P132" s="21" t="str">
        <f aca="false">IF(Base!U394="","",Base!U394)</f>
        <v/>
      </c>
    </row>
    <row r="133" customFormat="false" ht="53.7" hidden="false" customHeight="false" outlineLevel="0" collapsed="false">
      <c r="A133" s="20" t="n">
        <f aca="false">SUBTOTAL(103,$B$6:B133)</f>
        <v>110</v>
      </c>
      <c r="B133" s="20" t="n">
        <v>313</v>
      </c>
      <c r="C133" s="21" t="str">
        <f aca="false">Base!G395</f>
        <v>2694246: ADQUISICION DE MAMOGRAFO, COLONOVIDEOENDOSCOPIO, MESA DE OPERACIONES HIDRAULICA/ELECTRICA Y CALDERO; ADEMAS DE OTROS ACTIVOS EN EL(LA) HOSPITAL REGIONAL MANUEL NUÑEZ BUTRON HOSPITAL REGIONAL MANUEL NUÑEZ BUTRON DISTRITO DE PUNO, PROVINCIA PUNO, DEPARTAMENTO PUNO</v>
      </c>
      <c r="D133" s="22" t="n">
        <f aca="false">Base!H395</f>
        <v>8483998</v>
      </c>
      <c r="E133" s="22" t="n">
        <f aca="false">Base!I395</f>
        <v>8474782.31</v>
      </c>
      <c r="F133" s="22" t="n">
        <f aca="false">D133-E133</f>
        <v>9215.69000000134</v>
      </c>
      <c r="G133" s="22" t="n">
        <f aca="false">Base!K395</f>
        <v>5322446.09</v>
      </c>
      <c r="H133" s="22" t="n">
        <f aca="false">D133-G133</f>
        <v>3161551.91</v>
      </c>
      <c r="I133" s="23" t="n">
        <f aca="false">IF(D133=0,0,G133/D133)</f>
        <v>0.627351172171422</v>
      </c>
      <c r="J133" s="21" t="str">
        <f aca="false">Base!O395</f>
        <v>Equipamiento / Contrata / Personal/bienes/servicios</v>
      </c>
      <c r="K133" s="21" t="str">
        <f aca="false">Base!P395</f>
        <v>Comprometido</v>
      </c>
      <c r="L133" s="22" t="n">
        <f aca="false">Base!Q395</f>
        <v>2578971</v>
      </c>
      <c r="M133" s="22" t="n">
        <f aca="false">Base!R395</f>
        <v>22487</v>
      </c>
      <c r="N133" s="22" t="n">
        <f aca="false">Base!S395</f>
        <v>500000</v>
      </c>
      <c r="O133" s="22" t="n">
        <f aca="false">Base!T395</f>
        <v>500000</v>
      </c>
      <c r="P133" s="21" t="str">
        <f aca="false">IF(Base!U395="","",Base!U395)</f>
        <v/>
      </c>
    </row>
    <row r="134" customFormat="false" ht="53.7" hidden="false" customHeight="false" outlineLevel="0" collapsed="false">
      <c r="A134" s="20" t="n">
        <f aca="false">SUBTOTAL(103,$B$6:B134)</f>
        <v>111</v>
      </c>
      <c r="B134" s="20" t="n">
        <v>314</v>
      </c>
      <c r="C134" s="21" t="str">
        <f aca="false">Base!G396</f>
        <v>2611144: ADQUISICION DE ANALIZADOR DE GASES Y ELECTROLITOS, ASPIRADOR DE SECRECIONES, BOMBA DE INFUSION Y COCHE DE PARO EQUIPADO; ADEMAS DE OTROS ACTIVOS EN EL(LA) CARLOS MONJE MEDRANO DISTRITO DE JULIACA, PROVINCIA SAN ROMAN, DEPARTAMENTO PUNO</v>
      </c>
      <c r="D134" s="22" t="n">
        <f aca="false">Base!H396</f>
        <v>4219373</v>
      </c>
      <c r="E134" s="22" t="n">
        <f aca="false">Base!I396</f>
        <v>4183621.03</v>
      </c>
      <c r="F134" s="22" t="n">
        <f aca="false">D134-E134</f>
        <v>35751.9700000002</v>
      </c>
      <c r="G134" s="22" t="n">
        <f aca="false">Base!K396</f>
        <v>3829328.08</v>
      </c>
      <c r="H134" s="22" t="n">
        <f aca="false">D134-G134</f>
        <v>390044.92</v>
      </c>
      <c r="I134" s="23" t="n">
        <f aca="false">IF(D134=0,0,G134/D134)</f>
        <v>0.907558559056049</v>
      </c>
      <c r="J134" s="21" t="str">
        <f aca="false">Base!O396</f>
        <v>Equipamiento / Contrata</v>
      </c>
      <c r="K134" s="21" t="str">
        <f aca="false">Base!P396</f>
        <v>Comprometido</v>
      </c>
      <c r="L134" s="22" t="n">
        <f aca="false">Base!Q396</f>
        <v>3305500</v>
      </c>
      <c r="M134" s="22" t="n">
        <f aca="false">Base!R396</f>
        <v>177809</v>
      </c>
      <c r="N134" s="22" t="n">
        <f aca="false">Base!S396</f>
        <v>150483</v>
      </c>
      <c r="O134" s="22" t="n">
        <f aca="false">Base!T396</f>
        <v>0</v>
      </c>
      <c r="P134" s="21" t="str">
        <f aca="false">IF(Base!U396="","",Base!U396)</f>
        <v/>
      </c>
    </row>
    <row r="135" customFormat="false" ht="53.7" hidden="false" customHeight="false" outlineLevel="0" collapsed="false">
      <c r="A135" s="20" t="n">
        <f aca="false">SUBTOTAL(103,$B$6:B135)</f>
        <v>112</v>
      </c>
      <c r="B135" s="20" t="n">
        <v>343</v>
      </c>
      <c r="C135" s="21" t="str">
        <f aca="false">Base!G397</f>
        <v>2692290: ADQUISICION DE EQUIPO DE ANESTESIA, VENTILADOR MECANICO, SISTEMA DE CIRUGIA LAPAROSCOPICA Y SISTEMA DE VIDEO GASTROENDOSCOPIA; ADEMAS DE OTROS ACTIVOS EN EL(LA) HOSPITAL SAN MARTIN DE PORRES DISTRITO DE MACUSANI, PROVINCIA CARABAYA, DEPARTAMENTO PUNO</v>
      </c>
      <c r="D135" s="22" t="n">
        <f aca="false">Base!H397</f>
        <v>13926334</v>
      </c>
      <c r="E135" s="22" t="n">
        <f aca="false">Base!I397</f>
        <v>13763618.01</v>
      </c>
      <c r="F135" s="22" t="n">
        <f aca="false">D135-E135</f>
        <v>162715.99</v>
      </c>
      <c r="G135" s="22" t="n">
        <f aca="false">Base!K397</f>
        <v>182925.48</v>
      </c>
      <c r="H135" s="22" t="n">
        <f aca="false">D135-G135</f>
        <v>13743408.52</v>
      </c>
      <c r="I135" s="23" t="n">
        <f aca="false">IF(D135=0,0,G135/D135)</f>
        <v>0.0131352213726886</v>
      </c>
      <c r="J135" s="21" t="str">
        <f aca="false">Base!O397</f>
        <v>Equipamiento / Contrata / Personal/bienes/servicios</v>
      </c>
      <c r="K135" s="21" t="str">
        <f aca="false">Base!P397</f>
        <v>Comprometido</v>
      </c>
      <c r="L135" s="22" t="n">
        <f aca="false">Base!Q397</f>
        <v>923830</v>
      </c>
      <c r="M135" s="22" t="n">
        <f aca="false">Base!R397</f>
        <v>1124828</v>
      </c>
      <c r="N135" s="22" t="n">
        <f aca="false">Base!S397</f>
        <v>450000</v>
      </c>
      <c r="O135" s="22" t="n">
        <f aca="false">Base!T397</f>
        <v>450000</v>
      </c>
      <c r="P135" s="21" t="str">
        <f aca="false">IF(Base!U397="","",Base!U397)</f>
        <v/>
      </c>
    </row>
    <row r="136" customFormat="false" ht="32.8" hidden="false" customHeight="false" outlineLevel="0" collapsed="false">
      <c r="A136" s="20" t="n">
        <f aca="false">SUBTOTAL(103,$B$6:B136)</f>
        <v>113</v>
      </c>
      <c r="B136" s="20" t="n">
        <v>344</v>
      </c>
      <c r="C136" s="21" t="str">
        <f aca="false">Base!G398</f>
        <v>2668521: ADQUISICION DE AMBULANCIA ACUATICA; EN DOS ESTABLECIMIENTOS DE SALUD I.2 A NIVEL PROVINCIAL (PUNO - YUNGUYO)</v>
      </c>
      <c r="D136" s="22" t="n">
        <f aca="false">Base!H398</f>
        <v>1175365</v>
      </c>
      <c r="E136" s="22" t="n">
        <f aca="false">Base!I398</f>
        <v>285679.94</v>
      </c>
      <c r="F136" s="22" t="n">
        <f aca="false">D136-E136</f>
        <v>889685.06</v>
      </c>
      <c r="G136" s="22" t="n">
        <f aca="false">Base!K398</f>
        <v>278011.28</v>
      </c>
      <c r="H136" s="22" t="n">
        <f aca="false">D136-G136</f>
        <v>897353.72</v>
      </c>
      <c r="I136" s="23" t="n">
        <f aca="false">IF(D136=0,0,G136/D136)</f>
        <v>0.236531868823727</v>
      </c>
      <c r="J136" s="21" t="str">
        <f aca="false">Base!O398</f>
        <v>Equipamiento / Contrata / Personal/bienes/servicios</v>
      </c>
      <c r="K136" s="21" t="str">
        <f aca="false">Base!P398</f>
        <v>Comprometido</v>
      </c>
      <c r="L136" s="22" t="n">
        <f aca="false">Base!Q398</f>
        <v>300000</v>
      </c>
      <c r="M136" s="22" t="n">
        <f aca="false">Base!R398</f>
        <v>163232</v>
      </c>
      <c r="N136" s="22" t="n">
        <f aca="false">Base!S398</f>
        <v>0</v>
      </c>
      <c r="O136" s="22" t="n">
        <f aca="false">Base!T398</f>
        <v>0</v>
      </c>
      <c r="P136" s="21" t="str">
        <f aca="false">IF(Base!U398="","",Base!U398)</f>
        <v/>
      </c>
    </row>
    <row r="137" customFormat="false" ht="32.8" hidden="false" customHeight="false" outlineLevel="0" collapsed="false">
      <c r="A137" s="20" t="n">
        <f aca="false">SUBTOTAL(103,$B$6:B137)</f>
        <v>114</v>
      </c>
      <c r="B137" s="20" t="n">
        <v>346</v>
      </c>
      <c r="C137" s="21" t="str">
        <f aca="false">Base!G399</f>
        <v>2613817: ADQUISICION DE ECOCARDIOGRAFO, ARCO EN C, BOMBA DE INFUSION Y EQUIPO ECOGRAFO; ADEMAS DE OTROS ACTIVOS EN SIETE ESTABLECIMIENTOS DE SALUD II.1 A NIVEL DEPARTAMENTAL (PUNO)</v>
      </c>
      <c r="D137" s="22" t="n">
        <f aca="false">Base!H399</f>
        <v>392605</v>
      </c>
      <c r="E137" s="22" t="n">
        <f aca="false">Base!I399</f>
        <v>337020.28</v>
      </c>
      <c r="F137" s="22" t="n">
        <f aca="false">D137-E137</f>
        <v>55584.72</v>
      </c>
      <c r="G137" s="22" t="n">
        <f aca="false">Base!K399</f>
        <v>298073.85</v>
      </c>
      <c r="H137" s="22" t="n">
        <f aca="false">D137-G137</f>
        <v>94531.15</v>
      </c>
      <c r="I137" s="23" t="n">
        <f aca="false">IF(D137=0,0,G137/D137)</f>
        <v>0.759220718024477</v>
      </c>
      <c r="J137" s="21" t="str">
        <f aca="false">Base!O399</f>
        <v>Contrata / Equipamiento / Personal/bienes/servicios</v>
      </c>
      <c r="K137" s="21" t="str">
        <f aca="false">Base!P399</f>
        <v>Comprometido</v>
      </c>
      <c r="L137" s="22" t="n">
        <f aca="false">Base!Q399</f>
        <v>587684</v>
      </c>
      <c r="M137" s="22" t="n">
        <f aca="false">Base!R399</f>
        <v>31681</v>
      </c>
      <c r="N137" s="22" t="n">
        <f aca="false">Base!S399</f>
        <v>755677</v>
      </c>
      <c r="O137" s="22" t="n">
        <f aca="false">Base!T399</f>
        <v>0</v>
      </c>
      <c r="P137" s="21" t="str">
        <f aca="false">IF(Base!U399="","",Base!U399)</f>
        <v/>
      </c>
    </row>
    <row r="138" customFormat="false" ht="53.7" hidden="false" customHeight="false" outlineLevel="0" collapsed="false">
      <c r="A138" s="20" t="n">
        <f aca="false">SUBTOTAL(103,$B$6:B138)</f>
        <v>115</v>
      </c>
      <c r="B138" s="20" t="n">
        <v>379</v>
      </c>
      <c r="C138" s="21" t="str">
        <f aca="false">Base!G400</f>
        <v>2692846: ADQUISICION DE EQUIPO ECOGRAFO, MESA HIDRAULICA PARA OPERACION QUIRURGICA, LAVADORA SECADORA AUTOMATICA Y INCUBADORA DE TRANSPORTE (SAMU); ADEMAS DE OTROS ACTIVOS EN EL(LA) CARLOS CORNEJO ROSELLO DISTRITO DE AZANGARO, PROVINCIA AZANGARO, DEPARTAMENTO PUNO</v>
      </c>
      <c r="D138" s="22" t="n">
        <f aca="false">Base!H400</f>
        <v>167074</v>
      </c>
      <c r="E138" s="22" t="n">
        <f aca="false">Base!I400</f>
        <v>63765.14</v>
      </c>
      <c r="F138" s="22" t="n">
        <f aca="false">D138-E138</f>
        <v>103308.86</v>
      </c>
      <c r="G138" s="22" t="n">
        <f aca="false">Base!K400</f>
        <v>62264.09</v>
      </c>
      <c r="H138" s="22" t="n">
        <f aca="false">D138-G138</f>
        <v>104809.91</v>
      </c>
      <c r="I138" s="23" t="n">
        <f aca="false">IF(D138=0,0,G138/D138)</f>
        <v>0.372673725415086</v>
      </c>
      <c r="J138" s="21" t="str">
        <f aca="false">Base!O400</f>
        <v>Contrata / Equipamiento / Personal/bienes/servicios</v>
      </c>
      <c r="K138" s="21" t="str">
        <f aca="false">Base!P400</f>
        <v>Comprometido</v>
      </c>
      <c r="L138" s="22" t="n">
        <f aca="false">Base!Q400</f>
        <v>295210</v>
      </c>
      <c r="M138" s="22" t="n">
        <f aca="false">Base!R400</f>
        <v>0</v>
      </c>
      <c r="N138" s="22" t="n">
        <f aca="false">Base!S400</f>
        <v>1200001</v>
      </c>
      <c r="O138" s="22" t="n">
        <f aca="false">Base!T400</f>
        <v>1200001</v>
      </c>
      <c r="P138" s="21" t="str">
        <f aca="false">IF(Base!U400="","",Base!U400)</f>
        <v/>
      </c>
    </row>
    <row r="139" customFormat="false" ht="53.7" hidden="false" customHeight="false" outlineLevel="0" collapsed="false">
      <c r="A139" s="20" t="n">
        <f aca="false">SUBTOTAL(103,$B$6:B139)</f>
        <v>116</v>
      </c>
      <c r="B139" s="20" t="n">
        <v>380</v>
      </c>
      <c r="C139" s="21" t="str">
        <f aca="false">Base!G401</f>
        <v>2691682: ADQUISICION DE MESA DE OPERACIONES HIDRAULICA/ELECTRICA, EQUIPO ECOGRAFO - ULTRASONIDO, EQUIPO ECOGRAFO Y ELECTROENCEFALOGRAFO; ADEMAS DE OTROS ACTIVOS EN EL(LA) ANTONIO BARRIONUEVO (LAMPA) DISTRITO DE LAMPA, PROVINCIA LAMPA, DEPARTAMENTO PUNO</v>
      </c>
      <c r="D139" s="22" t="n">
        <f aca="false">Base!H401</f>
        <v>2967206</v>
      </c>
      <c r="E139" s="22" t="n">
        <f aca="false">Base!I401</f>
        <v>2958279.03</v>
      </c>
      <c r="F139" s="22" t="n">
        <f aca="false">D139-E139</f>
        <v>8926.97000000021</v>
      </c>
      <c r="G139" s="22" t="n">
        <f aca="false">Base!K401</f>
        <v>886710.64</v>
      </c>
      <c r="H139" s="22" t="n">
        <f aca="false">D139-G139</f>
        <v>2080495.36</v>
      </c>
      <c r="I139" s="23" t="n">
        <f aca="false">IF(D139=0,0,G139/D139)</f>
        <v>0.298836899089581</v>
      </c>
      <c r="J139" s="21" t="str">
        <f aca="false">Base!O401</f>
        <v>Equipamiento / Contrata / Personal/bienes/servicios</v>
      </c>
      <c r="K139" s="21" t="str">
        <f aca="false">Base!P401</f>
        <v>Comprometido</v>
      </c>
      <c r="L139" s="22" t="n">
        <f aca="false">Base!Q401</f>
        <v>309908</v>
      </c>
      <c r="M139" s="22" t="n">
        <f aca="false">Base!R401</f>
        <v>29240</v>
      </c>
      <c r="N139" s="22" t="n">
        <f aca="false">Base!S401</f>
        <v>1302067</v>
      </c>
      <c r="O139" s="22" t="n">
        <f aca="false">Base!T401</f>
        <v>604135</v>
      </c>
      <c r="P139" s="21" t="str">
        <f aca="false">IF(Base!U401="","",Base!U401)</f>
        <v/>
      </c>
    </row>
    <row r="140" customFormat="false" ht="32.8" hidden="false" customHeight="false" outlineLevel="0" collapsed="false">
      <c r="A140" s="20" t="n">
        <f aca="false">SUBTOTAL(103,$B$6:B140)</f>
        <v>117</v>
      </c>
      <c r="B140" s="20" t="n">
        <v>382</v>
      </c>
      <c r="C140" s="21" t="str">
        <f aca="false">Base!G402</f>
        <v>2711034: ADQUISICION DE ESTERILIZADOR; EN SIETE ESTABLECIMIENTOS DE SALUD II.1, ESTABLECIMIENTOS DE SALUD II.2 DISTRITO DE PUNO, PROVINCIA PUNO, DEPARTAMENTO PUNO</v>
      </c>
      <c r="D140" s="22" t="n">
        <f aca="false">Base!H402</f>
        <v>2040218</v>
      </c>
      <c r="E140" s="22" t="n">
        <f aca="false">Base!I402</f>
        <v>2014066.28</v>
      </c>
      <c r="F140" s="22" t="n">
        <f aca="false">D140-E140</f>
        <v>26151.72</v>
      </c>
      <c r="G140" s="22" t="n">
        <f aca="false">Base!K402</f>
        <v>153737.13</v>
      </c>
      <c r="H140" s="22" t="n">
        <f aca="false">D140-G140</f>
        <v>1886480.87</v>
      </c>
      <c r="I140" s="23" t="n">
        <f aca="false">IF(D140=0,0,G140/D140)</f>
        <v>0.0753532857763239</v>
      </c>
      <c r="J140" s="21" t="str">
        <f aca="false">Base!O402</f>
        <v>Equipamiento / Contrata / Expediente técnico / Personal/bienes/servicios</v>
      </c>
      <c r="K140" s="21" t="str">
        <f aca="false">Base!P402</f>
        <v>Comprometido</v>
      </c>
      <c r="L140" s="22" t="n">
        <f aca="false">Base!Q402</f>
        <v>40218</v>
      </c>
      <c r="M140" s="22" t="n">
        <f aca="false">Base!R402</f>
        <v>3757795</v>
      </c>
      <c r="N140" s="22" t="n">
        <f aca="false">Base!S402</f>
        <v>698171</v>
      </c>
      <c r="O140" s="22" t="n">
        <f aca="false">Base!T402</f>
        <v>0</v>
      </c>
      <c r="P140" s="21" t="str">
        <f aca="false">IF(Base!U402="","",Base!U402)</f>
        <v/>
      </c>
    </row>
    <row r="141" customFormat="false" ht="43.25" hidden="false" customHeight="false" outlineLevel="0" collapsed="false">
      <c r="A141" s="20" t="n">
        <f aca="false">SUBTOTAL(103,$B$6:B141)</f>
        <v>118</v>
      </c>
      <c r="B141" s="20" t="n">
        <v>437</v>
      </c>
      <c r="C141" s="21" t="str">
        <f aca="false">Base!G403</f>
        <v>2693367: ADQUISICION DE EQUIPO DE ANESTESIA, ELECTROBISTURI, ELECTROBISTURI Y ELECTROBISTURI; ADEMAS DE OTROS ACTIVOS EN EL(LA) SAN JUAN DE DIOS (AYAVIRI) JR SANTA ROSA DISTRITO DE AYAVIRI, PROVINCIA MELGAR, DEPARTAMENTO PUNO</v>
      </c>
      <c r="D141" s="22" t="n">
        <f aca="false">Base!H403</f>
        <v>3974680</v>
      </c>
      <c r="E141" s="22" t="n">
        <f aca="false">Base!I403</f>
        <v>3830379.2</v>
      </c>
      <c r="F141" s="22" t="n">
        <f aca="false">D141-E141</f>
        <v>144300.8</v>
      </c>
      <c r="G141" s="22" t="n">
        <f aca="false">Base!K403</f>
        <v>141890.09</v>
      </c>
      <c r="H141" s="22" t="n">
        <f aca="false">D141-G141</f>
        <v>3832789.91</v>
      </c>
      <c r="I141" s="23" t="n">
        <f aca="false">IF(D141=0,0,G141/D141)</f>
        <v>0.0356984939668099</v>
      </c>
      <c r="J141" s="21" t="str">
        <f aca="false">Base!O403</f>
        <v>Equipamiento / Contrata / Personal/bienes/servicios</v>
      </c>
      <c r="K141" s="21" t="str">
        <f aca="false">Base!P403</f>
        <v>Comprometido</v>
      </c>
      <c r="L141" s="22" t="n">
        <f aca="false">Base!Q403</f>
        <v>2900000</v>
      </c>
      <c r="M141" s="22" t="n">
        <f aca="false">Base!R403</f>
        <v>66882</v>
      </c>
      <c r="N141" s="22" t="n">
        <f aca="false">Base!S403</f>
        <v>1</v>
      </c>
      <c r="O141" s="22" t="n">
        <f aca="false">Base!T403</f>
        <v>0</v>
      </c>
      <c r="P141" s="21" t="str">
        <f aca="false">IF(Base!U403="","",Base!U403)</f>
        <v/>
      </c>
    </row>
    <row r="142" customFormat="false" ht="53.7" hidden="false" customHeight="false" outlineLevel="0" collapsed="false">
      <c r="A142" s="20" t="n">
        <f aca="false">SUBTOTAL(103,$B$6:B142)</f>
        <v>119</v>
      </c>
      <c r="B142" s="20" t="n">
        <v>454</v>
      </c>
      <c r="C142" s="21" t="str">
        <f aca="false">Base!G404</f>
        <v>2707256.ADQUISICION DE SISTEMA DE VIDEO GASTROENDOSCOPIA, GRUPO ELECTROGENO, EQUIPO ECOGRAFO - ULTRASONIDO Y LAVADORA SECADORA AUTOMATICA; ADEMAS DE OTROS ACTIVOS EN EL(LA) CARLOS MONJE MEDRANO DISTRITO DE JULIACA, PROVINCIA SAN ROMAN, DEPARTAMENTO PUNO</v>
      </c>
      <c r="D142" s="22" t="n">
        <f aca="false">Base!H404</f>
        <v>80738</v>
      </c>
      <c r="E142" s="22" t="n">
        <f aca="false">Base!I404</f>
        <v>0</v>
      </c>
      <c r="F142" s="22" t="n">
        <f aca="false">D142-E142</f>
        <v>80738</v>
      </c>
      <c r="G142" s="22" t="n">
        <f aca="false">Base!K404</f>
        <v>0</v>
      </c>
      <c r="H142" s="22" t="n">
        <f aca="false">D142-G142</f>
        <v>80738</v>
      </c>
      <c r="I142" s="23" t="n">
        <f aca="false">IF(D142=0,0,G142/D142)</f>
        <v>0</v>
      </c>
      <c r="J142" s="21" t="str">
        <f aca="false">Base!O404</f>
        <v>Expediente técnico</v>
      </c>
      <c r="K142" s="21" t="str">
        <f aca="false">Base!P404</f>
        <v>Sin certificar</v>
      </c>
      <c r="L142" s="22" t="str">
        <f aca="false">Base!Q404</f>
        <v>No registrado en cartera</v>
      </c>
      <c r="M142" s="22" t="str">
        <f aca="false">Base!R404</f>
        <v>No registrado en cartera</v>
      </c>
      <c r="N142" s="22" t="str">
        <f aca="false">Base!S404</f>
        <v>No registrado en cartera</v>
      </c>
      <c r="O142" s="22" t="str">
        <f aca="false">Base!T404</f>
        <v>No registrado en cartera</v>
      </c>
      <c r="P142" s="21" t="str">
        <f aca="false">IF(Base!U404="","",Base!U404)</f>
        <v/>
      </c>
    </row>
    <row r="143" customFormat="false" ht="53.7" hidden="false" customHeight="false" outlineLevel="0" collapsed="false">
      <c r="A143" s="20" t="n">
        <f aca="false">SUBTOTAL(103,$B$6:B143)</f>
        <v>120</v>
      </c>
      <c r="B143" s="20" t="n">
        <v>462</v>
      </c>
      <c r="C143" s="21" t="str">
        <f aca="false">Base!G405</f>
        <v>2650340.ADQUISICION DE MESA DE OPERACIONES HIDRAULICA/ELECTRICA, ESTERILIZADOR CON GENERADOR ELECTRICO DE VAPOR (INS), EQUIPOS BIOMEDICOS Y COCHE DE PARO; ADEMAS DE OTROS ACTIVOS EN EL(LA) PUTINA DISTRITO DE PUTINA, PROVINCIA SAN ANTONIO DE PUTINA, DEPART</v>
      </c>
      <c r="D143" s="22" t="n">
        <f aca="false">Base!H405</f>
        <v>5872577</v>
      </c>
      <c r="E143" s="22" t="n">
        <f aca="false">Base!I405</f>
        <v>3724247.82</v>
      </c>
      <c r="F143" s="22" t="n">
        <f aca="false">D143-E143</f>
        <v>2148329.18</v>
      </c>
      <c r="G143" s="22" t="n">
        <f aca="false">Base!K405</f>
        <v>2558179.3</v>
      </c>
      <c r="H143" s="22" t="n">
        <f aca="false">D143-G143</f>
        <v>3314397.7</v>
      </c>
      <c r="I143" s="23" t="n">
        <f aca="false">IF(D143=0,0,G143/D143)</f>
        <v>0.435614432982318</v>
      </c>
      <c r="J143" s="21" t="str">
        <f aca="false">Base!O405</f>
        <v>Administración directa / Contrata / Personal/bienes/servicios / Equipamiento</v>
      </c>
      <c r="K143" s="21" t="str">
        <f aca="false">Base!P405</f>
        <v>Comprometido</v>
      </c>
      <c r="L143" s="22" t="n">
        <f aca="false">Base!Q405</f>
        <v>2421000</v>
      </c>
      <c r="M143" s="22" t="n">
        <f aca="false">Base!R405</f>
        <v>2508625</v>
      </c>
      <c r="N143" s="22" t="n">
        <f aca="false">Base!S405</f>
        <v>546908</v>
      </c>
      <c r="O143" s="22" t="n">
        <f aca="false">Base!T405</f>
        <v>170650</v>
      </c>
      <c r="P143" s="21" t="str">
        <f aca="false">IF(Base!U405="","",Base!U405)</f>
        <v/>
      </c>
    </row>
    <row r="144" customFormat="false" ht="43.25" hidden="false" customHeight="false" outlineLevel="0" collapsed="false">
      <c r="A144" s="20" t="n">
        <f aca="false">SUBTOTAL(103,$B$6:B144)</f>
        <v>121</v>
      </c>
      <c r="B144" s="20" t="n">
        <v>482</v>
      </c>
      <c r="C144" s="21" t="str">
        <f aca="false">Base!G406</f>
        <v>2531093.ADQUISICION DE INCUBADORA NEONATAL Y CUNA DE CALOR RADIANTE; EN EL(LA) EESS YUNGUYO - YUNGUYO EN LA LOCALIDAD YUNGUYO, DISTRITO DE YUNGUYO, PROVINCIA YUNGUYO, DEPARTAMENTO PUNO</v>
      </c>
      <c r="D144" s="22" t="n">
        <f aca="false">Base!H406</f>
        <v>13758</v>
      </c>
      <c r="E144" s="22" t="n">
        <f aca="false">Base!I406</f>
        <v>13758</v>
      </c>
      <c r="F144" s="22" t="n">
        <f aca="false">D144-E144</f>
        <v>0</v>
      </c>
      <c r="G144" s="22" t="n">
        <f aca="false">Base!K406</f>
        <v>13212.64</v>
      </c>
      <c r="H144" s="22" t="n">
        <f aca="false">D144-G144</f>
        <v>545.360000000001</v>
      </c>
      <c r="I144" s="23" t="n">
        <f aca="false">IF(D144=0,0,G144/D144)</f>
        <v>0.960360517517081</v>
      </c>
      <c r="J144" s="21" t="str">
        <f aca="false">Base!O406</f>
        <v>Contrata</v>
      </c>
      <c r="K144" s="21" t="str">
        <f aca="false">Base!P406</f>
        <v>Comprometido</v>
      </c>
      <c r="L144" s="22" t="n">
        <f aca="false">Base!Q406</f>
        <v>27014</v>
      </c>
      <c r="M144" s="22" t="n">
        <f aca="false">Base!R406</f>
        <v>0</v>
      </c>
      <c r="N144" s="22" t="n">
        <f aca="false">Base!S406</f>
        <v>0</v>
      </c>
      <c r="O144" s="22" t="n">
        <f aca="false">Base!T406</f>
        <v>0</v>
      </c>
      <c r="P144" s="21" t="str">
        <f aca="false">IF(Base!U406="","",Base!U406)</f>
        <v/>
      </c>
    </row>
    <row r="145" customFormat="false" ht="32.8" hidden="false" customHeight="false" outlineLevel="0" collapsed="false">
      <c r="A145" s="20" t="n">
        <f aca="false">SUBTOTAL(103,$B$6:B145)</f>
        <v>122</v>
      </c>
      <c r="B145" s="20" t="n">
        <v>485</v>
      </c>
      <c r="C145" s="21" t="str">
        <f aca="false">Base!G407</f>
        <v>2639523: ADQUISICION DE TOMOGRAFO COMPUTARIZADO MULTICORTE; EN EL(LA) CARLOS MONJE MEDRANO DISTRITO DE JULIACA, PROVINCIA SAN ROMAN, DEPARTAMENTO PUNO</v>
      </c>
      <c r="D145" s="22" t="n">
        <f aca="false">Base!H407</f>
        <v>10277</v>
      </c>
      <c r="E145" s="22" t="n">
        <f aca="false">Base!I407</f>
        <v>9570</v>
      </c>
      <c r="F145" s="22" t="n">
        <f aca="false">D145-E145</f>
        <v>707</v>
      </c>
      <c r="G145" s="22" t="n">
        <f aca="false">Base!K407</f>
        <v>9564.68</v>
      </c>
      <c r="H145" s="22" t="n">
        <f aca="false">D145-G145</f>
        <v>712.32</v>
      </c>
      <c r="I145" s="23" t="n">
        <f aca="false">IF(D145=0,0,G145/D145)</f>
        <v>0.930687943952515</v>
      </c>
      <c r="J145" s="21" t="str">
        <f aca="false">Base!O407</f>
        <v>Contrata</v>
      </c>
      <c r="K145" s="21" t="str">
        <f aca="false">Base!P407</f>
        <v>Comprometido</v>
      </c>
      <c r="L145" s="22" t="n">
        <f aca="false">Base!Q407</f>
        <v>10277</v>
      </c>
      <c r="M145" s="22" t="n">
        <f aca="false">Base!R407</f>
        <v>27636</v>
      </c>
      <c r="N145" s="22" t="n">
        <f aca="false">Base!S407</f>
        <v>0</v>
      </c>
      <c r="O145" s="22" t="n">
        <f aca="false">Base!T407</f>
        <v>0</v>
      </c>
      <c r="P145" s="21" t="str">
        <f aca="false">IF(Base!U407="","",Base!U407)</f>
        <v/>
      </c>
    </row>
    <row r="146" customFormat="false" ht="32.8" hidden="false" customHeight="false" outlineLevel="0" collapsed="false">
      <c r="A146" s="20" t="n">
        <f aca="false">SUBTOTAL(103,$B$6:B146)</f>
        <v>123</v>
      </c>
      <c r="B146" s="20" t="n">
        <v>494</v>
      </c>
      <c r="C146" s="21" t="str">
        <f aca="false">Base!G408</f>
        <v>2695768.REPARACION DE SALA DE CUIDADOS INTENSIVOS; EN EL(LA) CARLOS MONJE MEDRANO DISTRITO DE JULIACA, PROVINCIA SAN ROMAN, DEPARTAMENTO PUNO</v>
      </c>
      <c r="D146" s="22" t="n">
        <f aca="false">Base!H408</f>
        <v>114255</v>
      </c>
      <c r="E146" s="22" t="n">
        <f aca="false">Base!I408</f>
        <v>0</v>
      </c>
      <c r="F146" s="22" t="n">
        <f aca="false">D146-E146</f>
        <v>114255</v>
      </c>
      <c r="G146" s="22" t="n">
        <f aca="false">Base!K408</f>
        <v>0</v>
      </c>
      <c r="H146" s="22" t="n">
        <f aca="false">D146-G146</f>
        <v>114255</v>
      </c>
      <c r="I146" s="23" t="n">
        <f aca="false">IF(D146=0,0,G146/D146)</f>
        <v>0</v>
      </c>
      <c r="J146" s="21" t="str">
        <f aca="false">Base!O408</f>
        <v>Expediente técnico</v>
      </c>
      <c r="K146" s="21" t="str">
        <f aca="false">Base!P408</f>
        <v>Sin certificar</v>
      </c>
      <c r="L146" s="22" t="str">
        <f aca="false">Base!Q408</f>
        <v>No registrado en cartera</v>
      </c>
      <c r="M146" s="22" t="str">
        <f aca="false">Base!R408</f>
        <v>No registrado en cartera</v>
      </c>
      <c r="N146" s="22" t="str">
        <f aca="false">Base!S408</f>
        <v>No registrado en cartera</v>
      </c>
      <c r="O146" s="22" t="str">
        <f aca="false">Base!T408</f>
        <v>No registrado en cartera</v>
      </c>
      <c r="P146" s="21" t="str">
        <f aca="false">IF(Base!U408="","",Base!U408)</f>
        <v/>
      </c>
    </row>
    <row r="147" customFormat="false" ht="53.7" hidden="false" customHeight="false" outlineLevel="0" collapsed="false">
      <c r="A147" s="20" t="n">
        <f aca="false">SUBTOTAL(103,$B$6:B147)</f>
        <v>124</v>
      </c>
      <c r="B147" s="20" t="n">
        <v>497</v>
      </c>
      <c r="C147" s="21" t="str">
        <f aca="false">Base!G409</f>
        <v>2694640.ADQUISICION DE EQUIPO ECOGRAFO, EQUIPO ECOGRAFO, EQUIPO ECOGRAFO Y EQUIPO ECOGRAFO; ADEMAS DE OTROS ACTIVOS EN NUEVE ESTABLECIMIENTOS DE SALUD I.2, ESTABLECIMIENTOS DE SALUD I.3, ESTABLECIMIENTOS DE SALUD I.1 A NIVEL PROVINCIAL (PUNO - MELGAR)</v>
      </c>
      <c r="D147" s="22" t="n">
        <f aca="false">Base!H409</f>
        <v>36445</v>
      </c>
      <c r="E147" s="22" t="n">
        <f aca="false">Base!I409</f>
        <v>0</v>
      </c>
      <c r="F147" s="22" t="n">
        <f aca="false">D147-E147</f>
        <v>36445</v>
      </c>
      <c r="G147" s="22" t="n">
        <f aca="false">Base!K409</f>
        <v>0</v>
      </c>
      <c r="H147" s="22" t="n">
        <f aca="false">D147-G147</f>
        <v>36445</v>
      </c>
      <c r="I147" s="23" t="n">
        <f aca="false">IF(D147=0,0,G147/D147)</f>
        <v>0</v>
      </c>
      <c r="J147" s="21" t="str">
        <f aca="false">Base!O409</f>
        <v>Expediente técnico</v>
      </c>
      <c r="K147" s="21" t="str">
        <f aca="false">Base!P409</f>
        <v>Sin certificar</v>
      </c>
      <c r="L147" s="22" t="str">
        <f aca="false">Base!Q409</f>
        <v>No registrado en cartera</v>
      </c>
      <c r="M147" s="22" t="str">
        <f aca="false">Base!R409</f>
        <v>No registrado en cartera</v>
      </c>
      <c r="N147" s="22" t="str">
        <f aca="false">Base!S409</f>
        <v>No registrado en cartera</v>
      </c>
      <c r="O147" s="22" t="str">
        <f aca="false">Base!T409</f>
        <v>No registrado en cartera</v>
      </c>
      <c r="P147" s="21" t="str">
        <f aca="false">IF(Base!U409="","",Base!U409)</f>
        <v/>
      </c>
    </row>
    <row r="148" customFormat="false" ht="53.7" hidden="false" customHeight="false" outlineLevel="0" collapsed="false">
      <c r="A148" s="20" t="n">
        <f aca="false">SUBTOTAL(103,$B$6:B148)</f>
        <v>125</v>
      </c>
      <c r="B148" s="20" t="n">
        <v>498</v>
      </c>
      <c r="C148" s="21" t="str">
        <f aca="false">Base!G410</f>
        <v>2694772.ADQUISICION DE ANALIZADOR BIOQUIMICO SEMI AUTOMATICO, DETECTOR DE LATIDOS FETALES (TELEMEDICINA), ANALIZADOR BIOQUIMICO SEMI AUTOMATICO Y ANALIZADOR BIOQUIMICO SEMI AUTOMATICO; ADEMAS DE OTROS ACTIVOS EN CATORCE ESTABLECIMIENTOS DE SALUD I.2, ESTA</v>
      </c>
      <c r="D148" s="22" t="n">
        <f aca="false">Base!H410</f>
        <v>39485</v>
      </c>
      <c r="E148" s="22" t="n">
        <f aca="false">Base!I410</f>
        <v>0</v>
      </c>
      <c r="F148" s="22" t="n">
        <f aca="false">D148-E148</f>
        <v>39485</v>
      </c>
      <c r="G148" s="22" t="n">
        <f aca="false">Base!K410</f>
        <v>0</v>
      </c>
      <c r="H148" s="22" t="n">
        <f aca="false">D148-G148</f>
        <v>39485</v>
      </c>
      <c r="I148" s="23" t="n">
        <f aca="false">IF(D148=0,0,G148/D148)</f>
        <v>0</v>
      </c>
      <c r="J148" s="21" t="str">
        <f aca="false">Base!O410</f>
        <v>Expediente técnico</v>
      </c>
      <c r="K148" s="21" t="str">
        <f aca="false">Base!P410</f>
        <v>Sin certificar</v>
      </c>
      <c r="L148" s="22" t="str">
        <f aca="false">Base!Q410</f>
        <v>No registrado en cartera</v>
      </c>
      <c r="M148" s="22" t="str">
        <f aca="false">Base!R410</f>
        <v>No registrado en cartera</v>
      </c>
      <c r="N148" s="22" t="str">
        <f aca="false">Base!S410</f>
        <v>No registrado en cartera</v>
      </c>
      <c r="O148" s="22" t="str">
        <f aca="false">Base!T410</f>
        <v>No registrado en cartera</v>
      </c>
      <c r="P148" s="21" t="str">
        <f aca="false">IF(Base!U410="","",Base!U410)</f>
        <v/>
      </c>
    </row>
    <row r="149" customFormat="false" ht="43.25" hidden="false" customHeight="false" outlineLevel="0" collapsed="false">
      <c r="A149" s="20" t="n">
        <f aca="false">SUBTOTAL(103,$B$6:B149)</f>
        <v>126</v>
      </c>
      <c r="B149" s="20" t="n">
        <v>524</v>
      </c>
      <c r="C149" s="21" t="str">
        <f aca="false">Base!G411</f>
        <v>2733644.ADQUISICION DE PATRULLEROS Y PATRULLEROS; EN EL(LA) FRENTE POLICIAL PUNO - COMISARIAS EN LAS 13 PROVINCIAS DE LA REGION PUNO, DISTRITO DE PUNO, PROVINCIA PUNO, DEPARTAMENTO PUNO</v>
      </c>
      <c r="D149" s="22" t="n">
        <f aca="false">Base!H411</f>
        <v>25610</v>
      </c>
      <c r="E149" s="22" t="n">
        <f aca="false">Base!I411</f>
        <v>0</v>
      </c>
      <c r="F149" s="22" t="n">
        <f aca="false">D149-E149</f>
        <v>25610</v>
      </c>
      <c r="G149" s="22" t="n">
        <f aca="false">Base!K411</f>
        <v>0</v>
      </c>
      <c r="H149" s="22" t="n">
        <f aca="false">D149-G149</f>
        <v>25610</v>
      </c>
      <c r="I149" s="23" t="n">
        <f aca="false">IF(D149=0,0,G149/D149)</f>
        <v>0</v>
      </c>
      <c r="J149" s="21" t="str">
        <f aca="false">Base!O411</f>
        <v>Expediente técnico</v>
      </c>
      <c r="K149" s="21" t="str">
        <f aca="false">Base!P411</f>
        <v>Sin certificar</v>
      </c>
      <c r="L149" s="22" t="str">
        <f aca="false">Base!Q411</f>
        <v>No registrado en cartera</v>
      </c>
      <c r="M149" s="22" t="str">
        <f aca="false">Base!R411</f>
        <v>No registrado en cartera</v>
      </c>
      <c r="N149" s="22" t="str">
        <f aca="false">Base!S411</f>
        <v>No registrado en cartera</v>
      </c>
      <c r="O149" s="22" t="str">
        <f aca="false">Base!T411</f>
        <v>No registrado en cartera</v>
      </c>
      <c r="P149" s="21" t="str">
        <f aca="false">IF(Base!U411="","",Base!U411)</f>
        <v/>
      </c>
    </row>
    <row r="150" customFormat="false" ht="15" hidden="false" customHeight="false" outlineLevel="0" collapsed="false">
      <c r="A150" s="17" t="s">
        <v>49</v>
      </c>
      <c r="B150" s="17"/>
      <c r="C150" s="17"/>
      <c r="D150" s="18" t="n">
        <f aca="false">SUM(D151:D161)</f>
        <v>9526686</v>
      </c>
      <c r="E150" s="18" t="n">
        <f aca="false">SUM(E151:E161)</f>
        <v>7349693.72</v>
      </c>
      <c r="F150" s="18" t="n">
        <f aca="false">SUM(F151:F161)</f>
        <v>2176992.28</v>
      </c>
      <c r="G150" s="18" t="n">
        <f aca="false">SUM(G151:G161)</f>
        <v>335809.26</v>
      </c>
      <c r="H150" s="18" t="n">
        <f aca="false">SUM(H151:H161)</f>
        <v>9190876.74</v>
      </c>
      <c r="I150" s="19" t="n">
        <f aca="false">IF(D150=0,0,G150/D150)</f>
        <v>0.0352493259460845</v>
      </c>
      <c r="J150" s="17"/>
      <c r="K150" s="17"/>
      <c r="L150" s="17"/>
      <c r="M150" s="17"/>
      <c r="N150" s="17"/>
      <c r="O150" s="17"/>
      <c r="P150" s="17"/>
    </row>
    <row r="151" customFormat="false" ht="53.7" hidden="false" customHeight="false" outlineLevel="0" collapsed="false">
      <c r="A151" s="20" t="n">
        <f aca="false">SUBTOTAL(103,$B$6:B151)</f>
        <v>127</v>
      </c>
      <c r="B151" s="20" t="n">
        <v>512</v>
      </c>
      <c r="C151" s="21" t="str">
        <f aca="false">Base!G412</f>
        <v>2721991.RENOVACION DE AULA DE EDUCACION PRIMARIA, AMBIENTE ADMINISTRATIVO, SERVICIOS HIGIENICOS Y/O VESTIDORES Y AMBIENTE DE USOS MULTIPLES; ADEMAS DE OTROS ACTIVOS EN CUATRO II.EE. PRIMARIA A NIVEL DISTRITAL (PUNO - SANDIA - SAN PEDRO DE PUTINA PUNCO)</v>
      </c>
      <c r="D151" s="22" t="n">
        <f aca="false">Base!H412</f>
        <v>3254770</v>
      </c>
      <c r="E151" s="22" t="n">
        <f aca="false">Base!I412</f>
        <v>2925559.55</v>
      </c>
      <c r="F151" s="22" t="n">
        <f aca="false">D151-E151</f>
        <v>329210.45</v>
      </c>
      <c r="G151" s="22" t="n">
        <f aca="false">Base!K412</f>
        <v>0</v>
      </c>
      <c r="H151" s="22" t="n">
        <f aca="false">D151-G151</f>
        <v>3254770</v>
      </c>
      <c r="I151" s="23" t="n">
        <f aca="false">IF(D151=0,0,G151/D151)</f>
        <v>0</v>
      </c>
      <c r="J151" s="21" t="str">
        <f aca="false">Base!O412</f>
        <v>Contrata / Expediente técnico / Personal/bienes/servicios</v>
      </c>
      <c r="K151" s="21" t="str">
        <f aca="false">Base!P412</f>
        <v>Solo certificado</v>
      </c>
      <c r="L151" s="22" t="str">
        <f aca="false">Base!Q412</f>
        <v>No registrado en cartera</v>
      </c>
      <c r="M151" s="22" t="str">
        <f aca="false">Base!R412</f>
        <v>No registrado en cartera</v>
      </c>
      <c r="N151" s="22" t="str">
        <f aca="false">Base!S412</f>
        <v>No registrado en cartera</v>
      </c>
      <c r="O151" s="22" t="str">
        <f aca="false">Base!T412</f>
        <v>No registrado en cartera</v>
      </c>
      <c r="P151" s="21" t="str">
        <f aca="false">IF(Base!U412="","",Base!U412)</f>
        <v/>
      </c>
    </row>
    <row r="152" customFormat="false" ht="53.7" hidden="false" customHeight="false" outlineLevel="0" collapsed="false">
      <c r="A152" s="20" t="n">
        <f aca="false">SUBTOTAL(103,$B$6:B152)</f>
        <v>128</v>
      </c>
      <c r="B152" s="20" t="n">
        <v>513</v>
      </c>
      <c r="C152" s="21" t="str">
        <f aca="false">Base!G413</f>
        <v>2721892.CONSTRUCCION DE AULA DE EDUCACION SECUNDARIA, AMBIENTE ADMINISTRATIVO Y SERVICIOS HIGIENICOS Y/O VESTIDORES; ADQUISICION DE MOBILIARIO DE AULA; EN EL(LA) IE PUERTO DE EDEN DISTRITO DE SAN PEDRO DE PUTINA PUNCO, PROVINCIA SANDIA, DEPARTAMENTO PUNO</v>
      </c>
      <c r="D152" s="22" t="n">
        <f aca="false">Base!H413</f>
        <v>1007572</v>
      </c>
      <c r="E152" s="22" t="n">
        <f aca="false">Base!I413</f>
        <v>838299.38</v>
      </c>
      <c r="F152" s="22" t="n">
        <f aca="false">D152-E152</f>
        <v>169272.62</v>
      </c>
      <c r="G152" s="22" t="n">
        <f aca="false">Base!K413</f>
        <v>0</v>
      </c>
      <c r="H152" s="22" t="n">
        <f aca="false">D152-G152</f>
        <v>1007572</v>
      </c>
      <c r="I152" s="23" t="n">
        <f aca="false">IF(D152=0,0,G152/D152)</f>
        <v>0</v>
      </c>
      <c r="J152" s="21" t="str">
        <f aca="false">Base!O413</f>
        <v>Contrata / Expediente técnico / Personal/bienes/servicios</v>
      </c>
      <c r="K152" s="21" t="str">
        <f aca="false">Base!P413</f>
        <v>Solo certificado</v>
      </c>
      <c r="L152" s="22" t="str">
        <f aca="false">Base!Q413</f>
        <v>No registrado en cartera</v>
      </c>
      <c r="M152" s="22" t="str">
        <f aca="false">Base!R413</f>
        <v>No registrado en cartera</v>
      </c>
      <c r="N152" s="22" t="str">
        <f aca="false">Base!S413</f>
        <v>No registrado en cartera</v>
      </c>
      <c r="O152" s="22" t="str">
        <f aca="false">Base!T413</f>
        <v>No registrado en cartera</v>
      </c>
      <c r="P152" s="21" t="str">
        <f aca="false">IF(Base!U413="","",Base!U413)</f>
        <v/>
      </c>
    </row>
    <row r="153" customFormat="false" ht="43.25" hidden="false" customHeight="false" outlineLevel="0" collapsed="false">
      <c r="A153" s="20" t="n">
        <f aca="false">SUBTOTAL(103,$B$6:B153)</f>
        <v>129</v>
      </c>
      <c r="B153" s="20" t="n">
        <v>515</v>
      </c>
      <c r="C153" s="21" t="str">
        <f aca="false">Base!G414</f>
        <v>2719529.RENOVACION DE AULA DE EDUCACION PRIMARIA, SERVICIOS HIGIENICOS Y/O VESTIDORES Y AMBIENTE DE USOS MULTIPLES; ADQUISICION DE MOBILIARIO DE AULA; EN TRES II.EE. PRIMARIA A NIVEL DISTRITAL (PUNO - SANDIA - ALTO INAMBARI)</v>
      </c>
      <c r="D153" s="22" t="n">
        <f aca="false">Base!H414</f>
        <v>1688098</v>
      </c>
      <c r="E153" s="22" t="n">
        <f aca="false">Base!I414</f>
        <v>1486603.23</v>
      </c>
      <c r="F153" s="22" t="n">
        <f aca="false">D153-E153</f>
        <v>201494.77</v>
      </c>
      <c r="G153" s="22" t="n">
        <f aca="false">Base!K414</f>
        <v>0</v>
      </c>
      <c r="H153" s="22" t="n">
        <f aca="false">D153-G153</f>
        <v>1688098</v>
      </c>
      <c r="I153" s="23" t="n">
        <f aca="false">IF(D153=0,0,G153/D153)</f>
        <v>0</v>
      </c>
      <c r="J153" s="21" t="str">
        <f aca="false">Base!O414</f>
        <v>Contrata / Expediente técnico / Personal/bienes/servicios</v>
      </c>
      <c r="K153" s="21" t="str">
        <f aca="false">Base!P414</f>
        <v>Solo certificado</v>
      </c>
      <c r="L153" s="22" t="str">
        <f aca="false">Base!Q414</f>
        <v>No registrado en cartera</v>
      </c>
      <c r="M153" s="22" t="str">
        <f aca="false">Base!R414</f>
        <v>No registrado en cartera</v>
      </c>
      <c r="N153" s="22" t="str">
        <f aca="false">Base!S414</f>
        <v>No registrado en cartera</v>
      </c>
      <c r="O153" s="22" t="str">
        <f aca="false">Base!T414</f>
        <v>No registrado en cartera</v>
      </c>
      <c r="P153" s="21" t="str">
        <f aca="false">IF(Base!U414="","",Base!U414)</f>
        <v/>
      </c>
    </row>
    <row r="154" customFormat="false" ht="43.25" hidden="false" customHeight="false" outlineLevel="0" collapsed="false">
      <c r="A154" s="20" t="n">
        <f aca="false">SUBTOTAL(103,$B$6:B154)</f>
        <v>130</v>
      </c>
      <c r="B154" s="20" t="n">
        <v>509</v>
      </c>
      <c r="C154" s="21" t="str">
        <f aca="false">Base!G415</f>
        <v>2723359.CONSTRUCCION DE AULA DE EDUCACION SECUNDARIA; ADQUISICION DE MOBILIARIO DE AULA; EN EL(LA) IE SECUNDARIA SANTA ROSA DISTRITO DE ALTO INAMBARI, PROVINCIA SANDIA, DEPARTAMENTO PUNO</v>
      </c>
      <c r="D154" s="22" t="n">
        <f aca="false">Base!H415</f>
        <v>680748</v>
      </c>
      <c r="E154" s="22" t="n">
        <f aca="false">Base!I415</f>
        <v>538302.92</v>
      </c>
      <c r="F154" s="22" t="n">
        <f aca="false">D154-E154</f>
        <v>142445.08</v>
      </c>
      <c r="G154" s="22" t="n">
        <f aca="false">Base!K415</f>
        <v>0</v>
      </c>
      <c r="H154" s="22" t="n">
        <f aca="false">D154-G154</f>
        <v>680748</v>
      </c>
      <c r="I154" s="23" t="n">
        <f aca="false">IF(D154=0,0,G154/D154)</f>
        <v>0</v>
      </c>
      <c r="J154" s="21" t="str">
        <f aca="false">Base!O415</f>
        <v>Contrata / Expediente técnico / Personal/bienes/servicios</v>
      </c>
      <c r="K154" s="21" t="str">
        <f aca="false">Base!P415</f>
        <v>Solo certificado</v>
      </c>
      <c r="L154" s="22" t="str">
        <f aca="false">Base!Q415</f>
        <v>No registrado en cartera</v>
      </c>
      <c r="M154" s="22" t="str">
        <f aca="false">Base!R415</f>
        <v>No registrado en cartera</v>
      </c>
      <c r="N154" s="22" t="str">
        <f aca="false">Base!S415</f>
        <v>No registrado en cartera</v>
      </c>
      <c r="O154" s="22" t="str">
        <f aca="false">Base!T415</f>
        <v>No registrado en cartera</v>
      </c>
      <c r="P154" s="21" t="str">
        <f aca="false">IF(Base!U415="","",Base!U415)</f>
        <v/>
      </c>
    </row>
    <row r="155" customFormat="false" ht="43.25" hidden="false" customHeight="false" outlineLevel="0" collapsed="false">
      <c r="A155" s="20" t="n">
        <f aca="false">SUBTOTAL(103,$B$6:B155)</f>
        <v>131</v>
      </c>
      <c r="B155" s="20" t="n">
        <v>510</v>
      </c>
      <c r="C155" s="21" t="str">
        <f aca="false">Base!G416</f>
        <v>2721888.CONSTRUCCION DE AULA DE EDUCACION SECUNDARIA; ADQUISICION DE MOBILIARIO DE AULA; EN EL(LA) IE I.E. SECUNDARIA JOSE MARIA ARGUEDAS EN LA LOCALIDAD CCAPUNA, DISTRITO DE SANDIA, PROVINCIA SANDIA, DEPARTAMENTO PUNO</v>
      </c>
      <c r="D155" s="22" t="n">
        <f aca="false">Base!H416</f>
        <v>670100</v>
      </c>
      <c r="E155" s="22" t="n">
        <f aca="false">Base!I416</f>
        <v>532791.97</v>
      </c>
      <c r="F155" s="22" t="n">
        <f aca="false">D155-E155</f>
        <v>137308.03</v>
      </c>
      <c r="G155" s="22" t="n">
        <f aca="false">Base!K416</f>
        <v>0</v>
      </c>
      <c r="H155" s="22" t="n">
        <f aca="false">D155-G155</f>
        <v>670100</v>
      </c>
      <c r="I155" s="23" t="n">
        <f aca="false">IF(D155=0,0,G155/D155)</f>
        <v>0</v>
      </c>
      <c r="J155" s="21" t="str">
        <f aca="false">Base!O416</f>
        <v>Contrata / Expediente técnico / Personal/bienes/servicios</v>
      </c>
      <c r="K155" s="21" t="str">
        <f aca="false">Base!P416</f>
        <v>Solo certificado</v>
      </c>
      <c r="L155" s="22" t="str">
        <f aca="false">Base!Q416</f>
        <v>No registrado en cartera</v>
      </c>
      <c r="M155" s="22" t="str">
        <f aca="false">Base!R416</f>
        <v>No registrado en cartera</v>
      </c>
      <c r="N155" s="22" t="str">
        <f aca="false">Base!S416</f>
        <v>No registrado en cartera</v>
      </c>
      <c r="O155" s="22" t="str">
        <f aca="false">Base!T416</f>
        <v>No registrado en cartera</v>
      </c>
      <c r="P155" s="21" t="str">
        <f aca="false">IF(Base!U416="","",Base!U416)</f>
        <v/>
      </c>
    </row>
    <row r="156" customFormat="false" ht="32.8" hidden="false" customHeight="false" outlineLevel="0" collapsed="false">
      <c r="A156" s="20" t="n">
        <f aca="false">SUBTOTAL(103,$B$6:B156)</f>
        <v>132</v>
      </c>
      <c r="B156" s="20" t="n">
        <v>511</v>
      </c>
      <c r="C156" s="21" t="str">
        <f aca="false">Base!G417</f>
        <v>2721886.CONSTRUCCION DE AULA DE EDUCACION INICIAL; ADQUISICION DE MOBILIARIO DE AULA; EN EL(LA) IE INICIAL N° 1048 DE HUENCALLA DISTRITO DE SANDIA, PROVINCIA SANDIA, DEPARTAMENTO PUNO</v>
      </c>
      <c r="D156" s="22" t="n">
        <f aca="false">Base!H417</f>
        <v>388514</v>
      </c>
      <c r="E156" s="22" t="n">
        <f aca="false">Base!I417</f>
        <v>269223.84</v>
      </c>
      <c r="F156" s="22" t="n">
        <f aca="false">D156-E156</f>
        <v>119290.16</v>
      </c>
      <c r="G156" s="22" t="n">
        <f aca="false">Base!K417</f>
        <v>0</v>
      </c>
      <c r="H156" s="22" t="n">
        <f aca="false">D156-G156</f>
        <v>388514</v>
      </c>
      <c r="I156" s="23" t="n">
        <f aca="false">IF(D156=0,0,G156/D156)</f>
        <v>0</v>
      </c>
      <c r="J156" s="21" t="str">
        <f aca="false">Base!O417</f>
        <v>Contrata / Expediente técnico / Personal/bienes/servicios</v>
      </c>
      <c r="K156" s="21" t="str">
        <f aca="false">Base!P417</f>
        <v>Solo certificado</v>
      </c>
      <c r="L156" s="22" t="str">
        <f aca="false">Base!Q417</f>
        <v>No registrado en cartera</v>
      </c>
      <c r="M156" s="22" t="str">
        <f aca="false">Base!R417</f>
        <v>No registrado en cartera</v>
      </c>
      <c r="N156" s="22" t="str">
        <f aca="false">Base!S417</f>
        <v>No registrado en cartera</v>
      </c>
      <c r="O156" s="22" t="str">
        <f aca="false">Base!T417</f>
        <v>No registrado en cartera</v>
      </c>
      <c r="P156" s="21" t="str">
        <f aca="false">IF(Base!U417="","",Base!U417)</f>
        <v/>
      </c>
    </row>
    <row r="157" customFormat="false" ht="43.25" hidden="false" customHeight="false" outlineLevel="0" collapsed="false">
      <c r="A157" s="20" t="n">
        <f aca="false">SUBTOTAL(103,$B$6:B157)</f>
        <v>133</v>
      </c>
      <c r="B157" s="20" t="n">
        <v>514</v>
      </c>
      <c r="C157" s="21" t="str">
        <f aca="false">Base!G418</f>
        <v>2721889.CONSTRUCCION DE AULA DE EDUCACION INICIAL Y AMBIENTE ADMINISTRATIVO; ADQUISICION DE MOBILIARIO DE AULA Y EQUIPAMIENTO DE AULA; EN EL(LA) IE 1027 EN LA LOCALIDAD ISILLUMA, DISTRITO DE ALTO INAMBARI, PROVINCIA SANDIA, DEPARTAMENTO PUNO</v>
      </c>
      <c r="D157" s="22" t="n">
        <f aca="false">Base!H418</f>
        <v>542416</v>
      </c>
      <c r="E157" s="22" t="n">
        <f aca="false">Base!I418</f>
        <v>401911.51</v>
      </c>
      <c r="F157" s="22" t="n">
        <f aca="false">D157-E157</f>
        <v>140504.49</v>
      </c>
      <c r="G157" s="22" t="n">
        <f aca="false">Base!K418</f>
        <v>0</v>
      </c>
      <c r="H157" s="22" t="n">
        <f aca="false">D157-G157</f>
        <v>542416</v>
      </c>
      <c r="I157" s="23" t="n">
        <f aca="false">IF(D157=0,0,G157/D157)</f>
        <v>0</v>
      </c>
      <c r="J157" s="21" t="str">
        <f aca="false">Base!O418</f>
        <v>Contrata / Expediente técnico / Personal/bienes/servicios</v>
      </c>
      <c r="K157" s="21" t="str">
        <f aca="false">Base!P418</f>
        <v>Solo certificado</v>
      </c>
      <c r="L157" s="22" t="str">
        <f aca="false">Base!Q418</f>
        <v>No registrado en cartera</v>
      </c>
      <c r="M157" s="22" t="str">
        <f aca="false">Base!R418</f>
        <v>No registrado en cartera</v>
      </c>
      <c r="N157" s="22" t="str">
        <f aca="false">Base!S418</f>
        <v>No registrado en cartera</v>
      </c>
      <c r="O157" s="22" t="str">
        <f aca="false">Base!T418</f>
        <v>No registrado en cartera</v>
      </c>
      <c r="P157" s="21" t="str">
        <f aca="false">IF(Base!U418="","",Base!U418)</f>
        <v/>
      </c>
    </row>
    <row r="158" customFormat="false" ht="53.7" hidden="false" customHeight="false" outlineLevel="0" collapsed="false">
      <c r="A158" s="20" t="n">
        <f aca="false">SUBTOTAL(103,$B$6:B158)</f>
        <v>134</v>
      </c>
      <c r="B158" s="20" t="n">
        <v>516</v>
      </c>
      <c r="C158" s="21" t="str">
        <f aca="false">Base!G419</f>
        <v>2729834.CONSTRUCCION DE AULA DE EDUCACION PRIMARIA, SERVICIOS HIGIENICOS Y/O VESTIDORES PARA ESTUDIANTES Y AMBIENTE DE GESTION ADMINISTRATIVA Y DIRECCION; ADQUISICION DE MOBILIARIO DE AULA; EN EL(LA) I.E. 72544 DISTRITO DE ALTO INAMBARI, PROVINCIA SANDIA,</v>
      </c>
      <c r="D158" s="22" t="n">
        <f aca="false">Base!H419</f>
        <v>928545</v>
      </c>
      <c r="E158" s="22" t="n">
        <f aca="false">Base!I419</f>
        <v>0</v>
      </c>
      <c r="F158" s="22" t="n">
        <f aca="false">D158-E158</f>
        <v>928545</v>
      </c>
      <c r="G158" s="22" t="n">
        <f aca="false">Base!K419</f>
        <v>0</v>
      </c>
      <c r="H158" s="22" t="n">
        <f aca="false">D158-G158</f>
        <v>928545</v>
      </c>
      <c r="I158" s="23" t="n">
        <f aca="false">IF(D158=0,0,G158/D158)</f>
        <v>0</v>
      </c>
      <c r="J158" s="21" t="str">
        <f aca="false">Base!O419</f>
        <v>Contrata / Expediente técnico</v>
      </c>
      <c r="K158" s="21" t="str">
        <f aca="false">Base!P419</f>
        <v>Sin certificar</v>
      </c>
      <c r="L158" s="22" t="str">
        <f aca="false">Base!Q419</f>
        <v>No registrado en cartera</v>
      </c>
      <c r="M158" s="22" t="str">
        <f aca="false">Base!R419</f>
        <v>No registrado en cartera</v>
      </c>
      <c r="N158" s="22" t="str">
        <f aca="false">Base!S419</f>
        <v>No registrado en cartera</v>
      </c>
      <c r="O158" s="22" t="str">
        <f aca="false">Base!T419</f>
        <v>No registrado en cartera</v>
      </c>
      <c r="P158" s="21" t="str">
        <f aca="false">IF(Base!U419="","",Base!U419)</f>
        <v/>
      </c>
    </row>
    <row r="159" customFormat="false" ht="32.8" hidden="false" customHeight="false" outlineLevel="0" collapsed="false">
      <c r="A159" s="20" t="n">
        <f aca="false">SUBTOTAL(103,$B$6:B159)</f>
        <v>135</v>
      </c>
      <c r="B159" s="20" t="n">
        <v>348</v>
      </c>
      <c r="C159" s="21" t="str">
        <f aca="false">Base!G420</f>
        <v>2693441: ADQUISICION DE EQUIPO DE AULA DE EDUCACION SECUNDARIA; EN EL(LA) I.E. GLORIOSO SAN CARLOS DISTRITO DE PUNO, PROVINCIA PUNO, DEPARTAMENTO PUNO</v>
      </c>
      <c r="D159" s="22" t="n">
        <f aca="false">Base!H420</f>
        <v>70059</v>
      </c>
      <c r="E159" s="22" t="n">
        <f aca="false">Base!I420</f>
        <v>70057.9</v>
      </c>
      <c r="F159" s="22" t="n">
        <f aca="false">D159-E159</f>
        <v>1.10000000000582</v>
      </c>
      <c r="G159" s="22" t="n">
        <f aca="false">Base!K420</f>
        <v>70029.94</v>
      </c>
      <c r="H159" s="22" t="n">
        <f aca="false">D159-G159</f>
        <v>29.0599999999977</v>
      </c>
      <c r="I159" s="23" t="n">
        <f aca="false">IF(D159=0,0,G159/D159)</f>
        <v>0.999585206754307</v>
      </c>
      <c r="J159" s="21" t="str">
        <f aca="false">Base!O420</f>
        <v>Otro (SOFTWARES) / Contrata / Personal/bienes/servicios</v>
      </c>
      <c r="K159" s="21" t="str">
        <f aca="false">Base!P420</f>
        <v>Comprometido</v>
      </c>
      <c r="L159" s="22" t="n">
        <f aca="false">Base!Q420</f>
        <v>105988</v>
      </c>
      <c r="M159" s="22" t="n">
        <f aca="false">Base!R420</f>
        <v>0</v>
      </c>
      <c r="N159" s="22" t="n">
        <f aca="false">Base!S420</f>
        <v>35929</v>
      </c>
      <c r="O159" s="22" t="n">
        <f aca="false">Base!T420</f>
        <v>0</v>
      </c>
      <c r="P159" s="21" t="str">
        <f aca="false">IF(Base!U420="","",Base!U420)</f>
        <v/>
      </c>
    </row>
    <row r="160" customFormat="false" ht="32.8" hidden="false" customHeight="false" outlineLevel="0" collapsed="false">
      <c r="A160" s="20" t="n">
        <f aca="false">SUBTOTAL(103,$B$6:B160)</f>
        <v>136</v>
      </c>
      <c r="B160" s="20" t="n">
        <v>349</v>
      </c>
      <c r="C160" s="21" t="str">
        <f aca="false">Base!G421</f>
        <v>2692840: ADQUISICION DE EQUIPO DE AULA DE EDUCACION PRIMARIA; EN EL(LA) I.E. GLORIOSO SAN CARLOS DISTRITO DE PUNO, PROVINCIA PUNO, DEPARTAMENTO PUNO</v>
      </c>
      <c r="D160" s="22" t="n">
        <f aca="false">Base!H421</f>
        <v>100785</v>
      </c>
      <c r="E160" s="22" t="n">
        <f aca="false">Base!I421</f>
        <v>100589.42</v>
      </c>
      <c r="F160" s="22" t="n">
        <f aca="false">D160-E160</f>
        <v>195.580000000002</v>
      </c>
      <c r="G160" s="22" t="n">
        <f aca="false">Base!K421</f>
        <v>88974.89</v>
      </c>
      <c r="H160" s="22" t="n">
        <f aca="false">D160-G160</f>
        <v>11810.11</v>
      </c>
      <c r="I160" s="23" t="n">
        <f aca="false">IF(D160=0,0,G160/D160)</f>
        <v>0.882818772634817</v>
      </c>
      <c r="J160" s="21" t="str">
        <f aca="false">Base!O421</f>
        <v>Contrata / Otro (SOFTWARES) / Personal/bienes/servicios</v>
      </c>
      <c r="K160" s="21" t="str">
        <f aca="false">Base!P421</f>
        <v>Comprometido</v>
      </c>
      <c r="L160" s="22" t="n">
        <f aca="false">Base!Q421</f>
        <v>155899</v>
      </c>
      <c r="M160" s="22" t="n">
        <f aca="false">Base!R421</f>
        <v>0</v>
      </c>
      <c r="N160" s="22" t="n">
        <f aca="false">Base!S421</f>
        <v>55114</v>
      </c>
      <c r="O160" s="22" t="n">
        <f aca="false">Base!T421</f>
        <v>0</v>
      </c>
      <c r="P160" s="21" t="str">
        <f aca="false">IF(Base!U421="","",Base!U421)</f>
        <v/>
      </c>
    </row>
    <row r="161" customFormat="false" ht="32.8" hidden="false" customHeight="false" outlineLevel="0" collapsed="false">
      <c r="A161" s="20" t="n">
        <f aca="false">SUBTOTAL(103,$B$6:B161)</f>
        <v>137</v>
      </c>
      <c r="B161" s="20" t="n">
        <v>461</v>
      </c>
      <c r="C161" s="21" t="str">
        <f aca="false">Base!G422</f>
        <v>2699544: ADQUISICION DE EQUIPAMIENTO DE AULA; EN SIETE II.EE. INICIAL DISTRITO DE SAN JUAN DE SALINAS, PROVINCIA AZANGARO, DEPARTAMENTO PUNO</v>
      </c>
      <c r="D161" s="22" t="n">
        <f aca="false">Base!H422</f>
        <v>195079</v>
      </c>
      <c r="E161" s="22" t="n">
        <f aca="false">Base!I422</f>
        <v>186354</v>
      </c>
      <c r="F161" s="22" t="n">
        <f aca="false">D161-E161</f>
        <v>8725</v>
      </c>
      <c r="G161" s="22" t="n">
        <f aca="false">Base!K422</f>
        <v>176804.43</v>
      </c>
      <c r="H161" s="22" t="n">
        <f aca="false">D161-G161</f>
        <v>18274.57</v>
      </c>
      <c r="I161" s="23" t="n">
        <f aca="false">IF(D161=0,0,G161/D161)</f>
        <v>0.90632220792602</v>
      </c>
      <c r="J161" s="21" t="str">
        <f aca="false">Base!O422</f>
        <v>Administración directa / Equipamiento / Contrata / Personal/bienes/servicios</v>
      </c>
      <c r="K161" s="21" t="str">
        <f aca="false">Base!P422</f>
        <v>Comprometido</v>
      </c>
      <c r="L161" s="22" t="n">
        <f aca="false">Base!Q422</f>
        <v>195079</v>
      </c>
      <c r="M161" s="22" t="n">
        <f aca="false">Base!R422</f>
        <v>23547</v>
      </c>
      <c r="N161" s="22" t="n">
        <f aca="false">Base!S422</f>
        <v>1</v>
      </c>
      <c r="O161" s="22" t="n">
        <f aca="false">Base!T422</f>
        <v>0</v>
      </c>
      <c r="P161" s="21" t="str">
        <f aca="false">IF(Base!U422="","",Base!U422)</f>
        <v/>
      </c>
    </row>
    <row r="162" customFormat="false" ht="15" hidden="false" customHeight="false" outlineLevel="0" collapsed="false">
      <c r="A162" s="17" t="s">
        <v>69</v>
      </c>
      <c r="B162" s="17"/>
      <c r="C162" s="17"/>
      <c r="D162" s="18" t="n">
        <f aca="false">SUM(D163:D164)</f>
        <v>11936253</v>
      </c>
      <c r="E162" s="18" t="n">
        <f aca="false">SUM(E163:E164)</f>
        <v>10980493.78</v>
      </c>
      <c r="F162" s="18" t="n">
        <f aca="false">SUM(F163:F164)</f>
        <v>955759.220000002</v>
      </c>
      <c r="G162" s="18" t="n">
        <f aca="false">SUM(G163:G164)</f>
        <v>5861139.6</v>
      </c>
      <c r="H162" s="18" t="n">
        <f aca="false">SUM(H163:H164)</f>
        <v>6075113.4</v>
      </c>
      <c r="I162" s="19" t="n">
        <f aca="false">IF(D162=0,0,G162/D162)</f>
        <v>0.491036810295492</v>
      </c>
      <c r="J162" s="17"/>
      <c r="K162" s="17"/>
      <c r="L162" s="17"/>
      <c r="M162" s="17"/>
      <c r="N162" s="17"/>
      <c r="O162" s="17"/>
      <c r="P162" s="17"/>
    </row>
    <row r="163" customFormat="false" ht="43.25" hidden="false" customHeight="false" outlineLevel="0" collapsed="false">
      <c r="A163" s="20" t="n">
        <f aca="false">SUBTOTAL(103,$B$6:B163)</f>
        <v>138</v>
      </c>
      <c r="B163" s="20" t="n">
        <v>3</v>
      </c>
      <c r="C163" s="21" t="str">
        <f aca="false">Base!G423</f>
        <v>2683535: MEJORAMIENTO DEL SERVICIO DE SEGURIDAD CIUDADANA LOCAL EN 73 UNIDADES PRODUCTORAS 73 DISTRITOS DE 11 PROVINCIAS DEL DEPARTAMENTO DE PUNO 11 PROVINCIAS DEL DEPARTAMENTO DE PUNO</v>
      </c>
      <c r="D163" s="22" t="n">
        <f aca="false">Base!H423</f>
        <v>6654893</v>
      </c>
      <c r="E163" s="22" t="n">
        <f aca="false">Base!I423</f>
        <v>6543805.69</v>
      </c>
      <c r="F163" s="22" t="n">
        <f aca="false">D163-E163</f>
        <v>111087.310000001</v>
      </c>
      <c r="G163" s="22" t="n">
        <f aca="false">Base!K423</f>
        <v>5720622.97</v>
      </c>
      <c r="H163" s="22" t="n">
        <f aca="false">D163-G163</f>
        <v>934270.03</v>
      </c>
      <c r="I163" s="23" t="n">
        <f aca="false">IF(D163=0,0,G163/D163)</f>
        <v>0.859611562499953</v>
      </c>
      <c r="J163" s="21" t="str">
        <f aca="false">Base!O423</f>
        <v>Equipamiento / Contrata / Personal/bienes/servicios</v>
      </c>
      <c r="K163" s="21" t="str">
        <f aca="false">Base!P423</f>
        <v>Comprometido</v>
      </c>
      <c r="L163" s="22" t="n">
        <f aca="false">Base!Q423</f>
        <v>100000</v>
      </c>
      <c r="M163" s="22" t="n">
        <f aca="false">Base!R423</f>
        <v>218816</v>
      </c>
      <c r="N163" s="22" t="n">
        <f aca="false">Base!S423</f>
        <v>309853</v>
      </c>
      <c r="O163" s="22" t="n">
        <f aca="false">Base!T423</f>
        <v>0</v>
      </c>
      <c r="P163" s="21" t="str">
        <f aca="false">IF(Base!U423="","",Base!U423)</f>
        <v/>
      </c>
    </row>
    <row r="164" customFormat="false" ht="32.8" hidden="false" customHeight="false" outlineLevel="0" collapsed="false">
      <c r="A164" s="20" t="n">
        <f aca="false">SUBTOTAL(103,$B$6:B164)</f>
        <v>139</v>
      </c>
      <c r="B164" s="20" t="n">
        <v>286</v>
      </c>
      <c r="C164" s="21" t="str">
        <f aca="false">Base!G424</f>
        <v>2685431: ADQUISICION DE AMBULANCIA URBANA, CAMIONETA, CAMION PLATAFORMA Y CAMION CISTERNA; ADEMAS DE OTROS ACTIVOS EN CINCO COMPAÑIA DE BOMBEROS</v>
      </c>
      <c r="D164" s="22" t="n">
        <f aca="false">Base!H424</f>
        <v>5281360</v>
      </c>
      <c r="E164" s="22" t="n">
        <f aca="false">Base!I424</f>
        <v>4436688.09</v>
      </c>
      <c r="F164" s="22" t="n">
        <f aca="false">D164-E164</f>
        <v>844671.91</v>
      </c>
      <c r="G164" s="22" t="n">
        <f aca="false">Base!K424</f>
        <v>140516.63</v>
      </c>
      <c r="H164" s="22" t="n">
        <f aca="false">D164-G164</f>
        <v>5140843.37</v>
      </c>
      <c r="I164" s="23" t="n">
        <f aca="false">IF(D164=0,0,G164/D164)</f>
        <v>0.026606145008104</v>
      </c>
      <c r="J164" s="21" t="str">
        <f aca="false">Base!O424</f>
        <v>Equipamiento / Contrata / Personal/bienes/servicios</v>
      </c>
      <c r="K164" s="21" t="str">
        <f aca="false">Base!P424</f>
        <v>Comprometido</v>
      </c>
      <c r="L164" s="22" t="n">
        <f aca="false">Base!Q424</f>
        <v>5358341</v>
      </c>
      <c r="M164" s="22" t="n">
        <f aca="false">Base!R424</f>
        <v>6902686</v>
      </c>
      <c r="N164" s="22" t="n">
        <f aca="false">Base!S424</f>
        <v>800000</v>
      </c>
      <c r="O164" s="22" t="n">
        <f aca="false">Base!T424</f>
        <v>800000</v>
      </c>
      <c r="P164" s="21" t="str">
        <f aca="false">IF(Base!U424="","",Base!U424)</f>
        <v/>
      </c>
    </row>
    <row r="165" customFormat="false" ht="15" hidden="false" customHeight="false" outlineLevel="0" collapsed="false">
      <c r="A165" s="17" t="s">
        <v>53</v>
      </c>
      <c r="B165" s="17"/>
      <c r="C165" s="17"/>
      <c r="D165" s="18" t="n">
        <f aca="false">SUM(D166)</f>
        <v>0</v>
      </c>
      <c r="E165" s="18" t="n">
        <f aca="false">SUM(E166)</f>
        <v>0</v>
      </c>
      <c r="F165" s="18" t="n">
        <f aca="false">SUM(F166)</f>
        <v>0</v>
      </c>
      <c r="G165" s="18" t="n">
        <f aca="false">SUM(G166)</f>
        <v>0</v>
      </c>
      <c r="H165" s="18" t="n">
        <f aca="false">SUM(H166)</f>
        <v>0</v>
      </c>
      <c r="I165" s="19" t="n">
        <f aca="false">IF(D165=0,0,G165/D165)</f>
        <v>0</v>
      </c>
      <c r="J165" s="17"/>
      <c r="K165" s="17"/>
      <c r="L165" s="17"/>
      <c r="M165" s="17"/>
      <c r="N165" s="17"/>
      <c r="O165" s="17"/>
      <c r="P165" s="17"/>
    </row>
    <row r="166" customFormat="false" ht="53.7" hidden="false" customHeight="false" outlineLevel="0" collapsed="false">
      <c r="A166" s="20" t="n">
        <f aca="false">SUBTOTAL(103,$B$6:B166)</f>
        <v>140</v>
      </c>
      <c r="B166" s="20" t="n">
        <v>266</v>
      </c>
      <c r="C166" s="21" t="str">
        <f aca="false">Base!G425</f>
        <v>2608728: REPARACION DE AMBIENTE DE RESIDENCIA; ADQUISICION DE EQUIPAMIENTO DE AMBIENTES DE BIENESTAR Y SERVICIOS GENERALES Y MOBILIARIO DE AMBIENTES DE BIENESTAR Y SERVICIOS GENERALES; EN EL(LA) ALDEA INFANTIL NIÑO SAN SALVADOR DEL DISTRITO DE CAPACHICA, PROVINCIA PUNO, DEPARTAMENTO PUNO</v>
      </c>
      <c r="D166" s="22" t="n">
        <f aca="false">Base!H425</f>
        <v>0</v>
      </c>
      <c r="E166" s="22" t="n">
        <f aca="false">Base!I425</f>
        <v>0</v>
      </c>
      <c r="F166" s="22" t="n">
        <f aca="false">D166-E166</f>
        <v>0</v>
      </c>
      <c r="G166" s="22" t="n">
        <f aca="false">Base!K425</f>
        <v>0</v>
      </c>
      <c r="H166" s="22" t="n">
        <f aca="false">D166-G166</f>
        <v>0</v>
      </c>
      <c r="I166" s="23" t="n">
        <f aca="false">IF(D166=0,0,G166/D166)</f>
        <v>0</v>
      </c>
      <c r="J166" s="21" t="str">
        <f aca="false">Base!O425</f>
        <v>Contrata</v>
      </c>
      <c r="K166" s="21" t="str">
        <f aca="false">Base!P425</f>
        <v>Sin PIM</v>
      </c>
      <c r="L166" s="22" t="n">
        <f aca="false">Base!Q425</f>
        <v>200000</v>
      </c>
      <c r="M166" s="22" t="n">
        <f aca="false">Base!R425</f>
        <v>0</v>
      </c>
      <c r="N166" s="22" t="n">
        <f aca="false">Base!S425</f>
        <v>0</v>
      </c>
      <c r="O166" s="22" t="n">
        <f aca="false">Base!T425</f>
        <v>0</v>
      </c>
      <c r="P166" s="21" t="str">
        <f aca="false">IF(Base!U425="","",Base!U425)</f>
        <v/>
      </c>
    </row>
    <row r="167" customFormat="false" ht="15" hidden="false" customHeight="false" outlineLevel="0" collapsed="false">
      <c r="A167" s="13" t="s">
        <v>19</v>
      </c>
      <c r="B167" s="13"/>
      <c r="C167" s="13"/>
      <c r="D167" s="14" t="n">
        <f aca="false">SUM(D168:D177)</f>
        <v>7151039</v>
      </c>
      <c r="E167" s="14" t="n">
        <f aca="false">SUM(E168:E177)</f>
        <v>5777500.99</v>
      </c>
      <c r="F167" s="14" t="n">
        <f aca="false">SUM(F168:F177)</f>
        <v>1373538.01</v>
      </c>
      <c r="G167" s="14" t="n">
        <f aca="false">SUM(G168:G177)</f>
        <v>5400403.31</v>
      </c>
      <c r="H167" s="14" t="n">
        <f aca="false">SUM(H168:H177)</f>
        <v>1750635.69</v>
      </c>
      <c r="I167" s="15" t="n">
        <f aca="false">IF(D167=0,0,G167/D167)</f>
        <v>0.755191421833946</v>
      </c>
      <c r="J167" s="13"/>
      <c r="K167" s="13"/>
      <c r="L167" s="13"/>
      <c r="M167" s="13"/>
      <c r="N167" s="13"/>
      <c r="O167" s="13"/>
      <c r="P167" s="13"/>
    </row>
    <row r="168" customFormat="false" ht="15" hidden="false" customHeight="false" outlineLevel="0" collapsed="false">
      <c r="A168" s="20" t="n">
        <f aca="false">SUBTOTAL(103,$B$6:B168)</f>
        <v>141</v>
      </c>
      <c r="B168" s="20" t="n">
        <v>213</v>
      </c>
      <c r="C168" s="21" t="str">
        <f aca="false">Base!G426</f>
        <v>2001621: ESTUDIOS DE PRE-INVERSION</v>
      </c>
      <c r="D168" s="22" t="n">
        <f aca="false">Base!H426</f>
        <v>185239</v>
      </c>
      <c r="E168" s="22" t="n">
        <f aca="false">Base!I426</f>
        <v>0</v>
      </c>
      <c r="F168" s="22" t="n">
        <f aca="false">D168-E168</f>
        <v>185239</v>
      </c>
      <c r="G168" s="22" t="n">
        <f aca="false">Base!K426</f>
        <v>0</v>
      </c>
      <c r="H168" s="22" t="n">
        <f aca="false">D168-G168</f>
        <v>185239</v>
      </c>
      <c r="I168" s="23" t="n">
        <f aca="false">IF(D168=0,0,G168/D168)</f>
        <v>0</v>
      </c>
      <c r="J168" s="21" t="str">
        <f aca="false">Base!O426</f>
        <v>Estudio de preinversión</v>
      </c>
      <c r="K168" s="21" t="str">
        <f aca="false">Base!P426</f>
        <v>Sin certificar</v>
      </c>
      <c r="L168" s="22" t="str">
        <f aca="false">Base!Q426</f>
        <v>No registrado en cartera</v>
      </c>
      <c r="M168" s="22" t="str">
        <f aca="false">Base!R426</f>
        <v>No registrado en cartera</v>
      </c>
      <c r="N168" s="22" t="str">
        <f aca="false">Base!S426</f>
        <v>No registrado en cartera</v>
      </c>
      <c r="O168" s="22" t="str">
        <f aca="false">Base!T426</f>
        <v>No registrado en cartera</v>
      </c>
      <c r="P168" s="21" t="str">
        <f aca="false">IF(Base!U426="","",Base!U426)</f>
        <v/>
      </c>
    </row>
    <row r="169" customFormat="false" ht="15" hidden="false" customHeight="false" outlineLevel="0" collapsed="false">
      <c r="A169" s="20" t="n">
        <f aca="false">SUBTOTAL(103,$B$6:B169)</f>
        <v>142</v>
      </c>
      <c r="B169" s="20" t="n">
        <v>214</v>
      </c>
      <c r="C169" s="21" t="str">
        <f aca="false">Base!G427</f>
        <v>2001621: ESTUDIOS DE PRE-INVERSION</v>
      </c>
      <c r="D169" s="22" t="n">
        <f aca="false">Base!H427</f>
        <v>39457</v>
      </c>
      <c r="E169" s="22" t="n">
        <f aca="false">Base!I427</f>
        <v>0</v>
      </c>
      <c r="F169" s="22" t="n">
        <f aca="false">D169-E169</f>
        <v>39457</v>
      </c>
      <c r="G169" s="22" t="n">
        <f aca="false">Base!K427</f>
        <v>0</v>
      </c>
      <c r="H169" s="22" t="n">
        <f aca="false">D169-G169</f>
        <v>39457</v>
      </c>
      <c r="I169" s="23" t="n">
        <f aca="false">IF(D169=0,0,G169/D169)</f>
        <v>0</v>
      </c>
      <c r="J169" s="21" t="str">
        <f aca="false">Base!O427</f>
        <v>Estudio de preinversión</v>
      </c>
      <c r="K169" s="21" t="str">
        <f aca="false">Base!P427</f>
        <v>Sin certificar</v>
      </c>
      <c r="L169" s="22" t="str">
        <f aca="false">Base!Q427</f>
        <v>No registrado en cartera</v>
      </c>
      <c r="M169" s="22" t="str">
        <f aca="false">Base!R427</f>
        <v>No registrado en cartera</v>
      </c>
      <c r="N169" s="22" t="str">
        <f aca="false">Base!S427</f>
        <v>No registrado en cartera</v>
      </c>
      <c r="O169" s="22" t="str">
        <f aca="false">Base!T427</f>
        <v>No registrado en cartera</v>
      </c>
      <c r="P169" s="21" t="str">
        <f aca="false">IF(Base!U427="","",Base!U427)</f>
        <v/>
      </c>
    </row>
    <row r="170" customFormat="false" ht="15" hidden="false" customHeight="false" outlineLevel="0" collapsed="false">
      <c r="A170" s="20" t="n">
        <f aca="false">SUBTOTAL(103,$B$6:B170)</f>
        <v>143</v>
      </c>
      <c r="B170" s="20" t="n">
        <v>215</v>
      </c>
      <c r="C170" s="21" t="str">
        <f aca="false">Base!G428</f>
        <v>2001621: ESTUDIOS DE PRE-INVERSION</v>
      </c>
      <c r="D170" s="22" t="n">
        <f aca="false">Base!H428</f>
        <v>0</v>
      </c>
      <c r="E170" s="22" t="n">
        <f aca="false">Base!I428</f>
        <v>0</v>
      </c>
      <c r="F170" s="22" t="n">
        <f aca="false">D170-E170</f>
        <v>0</v>
      </c>
      <c r="G170" s="22" t="n">
        <f aca="false">Base!K428</f>
        <v>0</v>
      </c>
      <c r="H170" s="22" t="n">
        <f aca="false">D170-G170</f>
        <v>0</v>
      </c>
      <c r="I170" s="23" t="n">
        <f aca="false">IF(D170=0,0,G170/D170)</f>
        <v>0</v>
      </c>
      <c r="J170" s="21" t="str">
        <f aca="false">Base!O428</f>
        <v>Estudio de preinversión</v>
      </c>
      <c r="K170" s="21" t="str">
        <f aca="false">Base!P428</f>
        <v>Sin PIM</v>
      </c>
      <c r="L170" s="22" t="str">
        <f aca="false">Base!Q428</f>
        <v>No registrado en cartera</v>
      </c>
      <c r="M170" s="22" t="str">
        <f aca="false">Base!R428</f>
        <v>No registrado en cartera</v>
      </c>
      <c r="N170" s="22" t="str">
        <f aca="false">Base!S428</f>
        <v>No registrado en cartera</v>
      </c>
      <c r="O170" s="22" t="str">
        <f aca="false">Base!T428</f>
        <v>No registrado en cartera</v>
      </c>
      <c r="P170" s="21" t="str">
        <f aca="false">IF(Base!U428="","",Base!U428)</f>
        <v/>
      </c>
    </row>
    <row r="171" customFormat="false" ht="15" hidden="false" customHeight="false" outlineLevel="0" collapsed="false">
      <c r="A171" s="20" t="n">
        <f aca="false">SUBTOTAL(103,$B$6:B171)</f>
        <v>144</v>
      </c>
      <c r="B171" s="20" t="n">
        <v>428</v>
      </c>
      <c r="C171" s="21" t="str">
        <f aca="false">Base!G429</f>
        <v>2001621: ESTUDIOS DE PRE-INVERSION</v>
      </c>
      <c r="D171" s="22" t="n">
        <f aca="false">Base!H429</f>
        <v>1185238</v>
      </c>
      <c r="E171" s="22" t="n">
        <f aca="false">Base!I429</f>
        <v>1131681.41</v>
      </c>
      <c r="F171" s="22" t="n">
        <f aca="false">D171-E171</f>
        <v>53556.5900000001</v>
      </c>
      <c r="G171" s="22" t="n">
        <f aca="false">Base!K429</f>
        <v>1093656.38</v>
      </c>
      <c r="H171" s="22" t="n">
        <f aca="false">D171-G171</f>
        <v>91581.6200000001</v>
      </c>
      <c r="I171" s="23" t="n">
        <f aca="false">IF(D171=0,0,G171/D171)</f>
        <v>0.922731451404697</v>
      </c>
      <c r="J171" s="21" t="str">
        <f aca="false">Base!O429</f>
        <v>Estudio de preinversión</v>
      </c>
      <c r="K171" s="21" t="str">
        <f aca="false">Base!P429</f>
        <v>Comprometido</v>
      </c>
      <c r="L171" s="22" t="str">
        <f aca="false">Base!Q429</f>
        <v>No registrado en cartera</v>
      </c>
      <c r="M171" s="22" t="str">
        <f aca="false">Base!R429</f>
        <v>No registrado en cartera</v>
      </c>
      <c r="N171" s="22" t="str">
        <f aca="false">Base!S429</f>
        <v>No registrado en cartera</v>
      </c>
      <c r="O171" s="22" t="str">
        <f aca="false">Base!T429</f>
        <v>No registrado en cartera</v>
      </c>
      <c r="P171" s="21" t="str">
        <f aca="false">IF(Base!U429="","",Base!U429)</f>
        <v/>
      </c>
    </row>
    <row r="172" customFormat="false" ht="15" hidden="false" customHeight="false" outlineLevel="0" collapsed="false">
      <c r="A172" s="20" t="n">
        <f aca="false">SUBTOTAL(103,$B$6:B172)</f>
        <v>145</v>
      </c>
      <c r="B172" s="20" t="n">
        <v>429</v>
      </c>
      <c r="C172" s="21" t="str">
        <f aca="false">Base!G430</f>
        <v>2001621: ESTUDIOS DE PRE-INVERSION</v>
      </c>
      <c r="D172" s="22" t="n">
        <f aca="false">Base!H430</f>
        <v>303086</v>
      </c>
      <c r="E172" s="22" t="n">
        <f aca="false">Base!I430</f>
        <v>276239.45</v>
      </c>
      <c r="F172" s="22" t="n">
        <f aca="false">D172-E172</f>
        <v>26846.55</v>
      </c>
      <c r="G172" s="22" t="n">
        <f aca="false">Base!K430</f>
        <v>275941</v>
      </c>
      <c r="H172" s="22" t="n">
        <f aca="false">D172-G172</f>
        <v>27145</v>
      </c>
      <c r="I172" s="23" t="n">
        <f aca="false">IF(D172=0,0,G172/D172)</f>
        <v>0.910437961502676</v>
      </c>
      <c r="J172" s="21" t="str">
        <f aca="false">Base!O430</f>
        <v>Estudio de preinversión</v>
      </c>
      <c r="K172" s="21" t="str">
        <f aca="false">Base!P430</f>
        <v>Comprometido</v>
      </c>
      <c r="L172" s="22" t="str">
        <f aca="false">Base!Q430</f>
        <v>No registrado en cartera</v>
      </c>
      <c r="M172" s="22" t="str">
        <f aca="false">Base!R430</f>
        <v>No registrado en cartera</v>
      </c>
      <c r="N172" s="22" t="str">
        <f aca="false">Base!S430</f>
        <v>No registrado en cartera</v>
      </c>
      <c r="O172" s="22" t="str">
        <f aca="false">Base!T430</f>
        <v>No registrado en cartera</v>
      </c>
      <c r="P172" s="21" t="str">
        <f aca="false">IF(Base!U430="","",Base!U430)</f>
        <v/>
      </c>
    </row>
    <row r="173" customFormat="false" ht="15" hidden="false" customHeight="false" outlineLevel="0" collapsed="false">
      <c r="A173" s="20" t="n">
        <f aca="false">SUBTOTAL(103,$B$6:B173)</f>
        <v>146</v>
      </c>
      <c r="B173" s="20" t="n">
        <v>430</v>
      </c>
      <c r="C173" s="21" t="str">
        <f aca="false">Base!G431</f>
        <v>2001621: ESTUDIOS DE PRE-INVERSION</v>
      </c>
      <c r="D173" s="22" t="n">
        <f aca="false">Base!H431</f>
        <v>1857675</v>
      </c>
      <c r="E173" s="22" t="n">
        <f aca="false">Base!I431</f>
        <v>1434566.03</v>
      </c>
      <c r="F173" s="22" t="n">
        <f aca="false">D173-E173</f>
        <v>423108.97</v>
      </c>
      <c r="G173" s="22" t="n">
        <f aca="false">Base!K431</f>
        <v>1386835.53</v>
      </c>
      <c r="H173" s="22" t="n">
        <f aca="false">D173-G173</f>
        <v>470839.47</v>
      </c>
      <c r="I173" s="23" t="n">
        <f aca="false">IF(D173=0,0,G173/D173)</f>
        <v>0.746543679599499</v>
      </c>
      <c r="J173" s="21" t="str">
        <f aca="false">Base!O431</f>
        <v>Estudio de preinversión</v>
      </c>
      <c r="K173" s="21" t="str">
        <f aca="false">Base!P431</f>
        <v>Comprometido</v>
      </c>
      <c r="L173" s="22" t="str">
        <f aca="false">Base!Q431</f>
        <v>No registrado en cartera</v>
      </c>
      <c r="M173" s="22" t="str">
        <f aca="false">Base!R431</f>
        <v>No registrado en cartera</v>
      </c>
      <c r="N173" s="22" t="str">
        <f aca="false">Base!S431</f>
        <v>No registrado en cartera</v>
      </c>
      <c r="O173" s="22" t="str">
        <f aca="false">Base!T431</f>
        <v>No registrado en cartera</v>
      </c>
      <c r="P173" s="21" t="str">
        <f aca="false">IF(Base!U431="","",Base!U431)</f>
        <v/>
      </c>
    </row>
    <row r="174" customFormat="false" ht="15" hidden="false" customHeight="false" outlineLevel="0" collapsed="false">
      <c r="A174" s="20" t="n">
        <f aca="false">SUBTOTAL(103,$B$6:B174)</f>
        <v>147</v>
      </c>
      <c r="B174" s="20" t="n">
        <v>431</v>
      </c>
      <c r="C174" s="21" t="str">
        <f aca="false">Base!G432</f>
        <v>2001621: ESTUDIOS DE PRE-INVERSION</v>
      </c>
      <c r="D174" s="22" t="n">
        <f aca="false">Base!H432</f>
        <v>969006</v>
      </c>
      <c r="E174" s="22" t="n">
        <f aca="false">Base!I432</f>
        <v>950663.44</v>
      </c>
      <c r="F174" s="22" t="n">
        <f aca="false">D174-E174</f>
        <v>18342.5600000001</v>
      </c>
      <c r="G174" s="22" t="n">
        <f aca="false">Base!K432</f>
        <v>931576.35</v>
      </c>
      <c r="H174" s="22" t="n">
        <f aca="false">D174-G174</f>
        <v>37429.6499999999</v>
      </c>
      <c r="I174" s="23" t="n">
        <f aca="false">IF(D174=0,0,G174/D174)</f>
        <v>0.961373149392264</v>
      </c>
      <c r="J174" s="21" t="str">
        <f aca="false">Base!O432</f>
        <v>Estudio de preinversión</v>
      </c>
      <c r="K174" s="21" t="str">
        <f aca="false">Base!P432</f>
        <v>Comprometido</v>
      </c>
      <c r="L174" s="22" t="str">
        <f aca="false">Base!Q432</f>
        <v>No registrado en cartera</v>
      </c>
      <c r="M174" s="22" t="str">
        <f aca="false">Base!R432</f>
        <v>No registrado en cartera</v>
      </c>
      <c r="N174" s="22" t="str">
        <f aca="false">Base!S432</f>
        <v>No registrado en cartera</v>
      </c>
      <c r="O174" s="22" t="str">
        <f aca="false">Base!T432</f>
        <v>No registrado en cartera</v>
      </c>
      <c r="P174" s="21" t="str">
        <f aca="false">IF(Base!U432="","",Base!U432)</f>
        <v/>
      </c>
    </row>
    <row r="175" customFormat="false" ht="15" hidden="false" customHeight="false" outlineLevel="0" collapsed="false">
      <c r="A175" s="20" t="n">
        <f aca="false">SUBTOTAL(103,$B$6:B175)</f>
        <v>148</v>
      </c>
      <c r="B175" s="20" t="n">
        <v>432</v>
      </c>
      <c r="C175" s="21" t="str">
        <f aca="false">Base!G433</f>
        <v>2001621: ESTUDIOS DE PRE-INVERSION</v>
      </c>
      <c r="D175" s="22" t="n">
        <f aca="false">Base!H433</f>
        <v>1758508</v>
      </c>
      <c r="E175" s="22" t="n">
        <f aca="false">Base!I433</f>
        <v>1286418.47</v>
      </c>
      <c r="F175" s="22" t="n">
        <f aca="false">D175-E175</f>
        <v>472089.53</v>
      </c>
      <c r="G175" s="22" t="n">
        <f aca="false">Base!K433</f>
        <v>1212625.87</v>
      </c>
      <c r="H175" s="22" t="n">
        <f aca="false">D175-G175</f>
        <v>545882.13</v>
      </c>
      <c r="I175" s="23" t="n">
        <f aca="false">IF(D175=0,0,G175/D175)</f>
        <v>0.689576544434259</v>
      </c>
      <c r="J175" s="21" t="str">
        <f aca="false">Base!O433</f>
        <v>Estudio de preinversión</v>
      </c>
      <c r="K175" s="21" t="str">
        <f aca="false">Base!P433</f>
        <v>Comprometido</v>
      </c>
      <c r="L175" s="22" t="str">
        <f aca="false">Base!Q433</f>
        <v>No registrado en cartera</v>
      </c>
      <c r="M175" s="22" t="str">
        <f aca="false">Base!R433</f>
        <v>No registrado en cartera</v>
      </c>
      <c r="N175" s="22" t="str">
        <f aca="false">Base!S433</f>
        <v>No registrado en cartera</v>
      </c>
      <c r="O175" s="22" t="str">
        <f aca="false">Base!T433</f>
        <v>No registrado en cartera</v>
      </c>
      <c r="P175" s="21" t="str">
        <f aca="false">IF(Base!U433="","",Base!U433)</f>
        <v/>
      </c>
    </row>
    <row r="176" customFormat="false" ht="22.35" hidden="false" customHeight="false" outlineLevel="0" collapsed="false">
      <c r="A176" s="20" t="n">
        <f aca="false">SUBTOTAL(103,$B$6:B176)</f>
        <v>149</v>
      </c>
      <c r="B176" s="20" t="n">
        <v>436</v>
      </c>
      <c r="C176" s="21" t="str">
        <f aca="false">Base!G434</f>
        <v>2001621: ESTUDIOS DE PRE-INVERSION</v>
      </c>
      <c r="D176" s="22" t="n">
        <f aca="false">Base!H434</f>
        <v>768405</v>
      </c>
      <c r="E176" s="22" t="n">
        <f aca="false">Base!I434</f>
        <v>618712.31</v>
      </c>
      <c r="F176" s="22" t="n">
        <f aca="false">D176-E176</f>
        <v>149692.69</v>
      </c>
      <c r="G176" s="22" t="n">
        <f aca="false">Base!K434</f>
        <v>420548.3</v>
      </c>
      <c r="H176" s="22" t="n">
        <f aca="false">D176-G176</f>
        <v>347856.7</v>
      </c>
      <c r="I176" s="23" t="n">
        <f aca="false">IF(D176=0,0,G176/D176)</f>
        <v>0.547300316890182</v>
      </c>
      <c r="J176" s="21" t="str">
        <f aca="false">Base!O434</f>
        <v>Estudio de preinversión / Equipamiento</v>
      </c>
      <c r="K176" s="21" t="str">
        <f aca="false">Base!P434</f>
        <v>Comprometido</v>
      </c>
      <c r="L176" s="22" t="str">
        <f aca="false">Base!Q434</f>
        <v>No registrado en cartera</v>
      </c>
      <c r="M176" s="22" t="str">
        <f aca="false">Base!R434</f>
        <v>No registrado en cartera</v>
      </c>
      <c r="N176" s="22" t="str">
        <f aca="false">Base!S434</f>
        <v>No registrado en cartera</v>
      </c>
      <c r="O176" s="22" t="str">
        <f aca="false">Base!T434</f>
        <v>No registrado en cartera</v>
      </c>
      <c r="P176" s="21" t="str">
        <f aca="false">IF(Base!U434="","",Base!U434)</f>
        <v/>
      </c>
    </row>
    <row r="177" customFormat="false" ht="15" hidden="false" customHeight="false" outlineLevel="0" collapsed="false">
      <c r="A177" s="20" t="n">
        <f aca="false">SUBTOTAL(103,$B$6:B177)</f>
        <v>150</v>
      </c>
      <c r="B177" s="20" t="n">
        <v>481</v>
      </c>
      <c r="C177" s="21" t="str">
        <f aca="false">Base!G435</f>
        <v>2001621: ESTUDIOS DE PRE-INVERSION</v>
      </c>
      <c r="D177" s="22" t="n">
        <f aca="false">Base!H435</f>
        <v>84425</v>
      </c>
      <c r="E177" s="22" t="n">
        <f aca="false">Base!I435</f>
        <v>79219.88</v>
      </c>
      <c r="F177" s="22" t="n">
        <f aca="false">D177-E177</f>
        <v>5205.12</v>
      </c>
      <c r="G177" s="22" t="n">
        <f aca="false">Base!K435</f>
        <v>79219.88</v>
      </c>
      <c r="H177" s="22" t="n">
        <f aca="false">D177-G177</f>
        <v>5205.12</v>
      </c>
      <c r="I177" s="23" t="n">
        <f aca="false">IF(D177=0,0,G177/D177)</f>
        <v>0.93834622445958</v>
      </c>
      <c r="J177" s="21" t="str">
        <f aca="false">Base!O435</f>
        <v>Estudio de preinversión</v>
      </c>
      <c r="K177" s="21" t="str">
        <f aca="false">Base!P435</f>
        <v>Comprometido</v>
      </c>
      <c r="L177" s="22" t="str">
        <f aca="false">Base!Q435</f>
        <v>No registrado en cartera</v>
      </c>
      <c r="M177" s="22" t="str">
        <f aca="false">Base!R435</f>
        <v>No registrado en cartera</v>
      </c>
      <c r="N177" s="22" t="str">
        <f aca="false">Base!S435</f>
        <v>No registrado en cartera</v>
      </c>
      <c r="O177" s="22" t="str">
        <f aca="false">Base!T435</f>
        <v>No registrado en cartera</v>
      </c>
      <c r="P177" s="21" t="str">
        <f aca="false">IF(Base!U435="","",Base!U435)</f>
        <v/>
      </c>
    </row>
    <row r="179" customFormat="false" ht="15" hidden="false" customHeight="false" outlineLevel="0" collapsed="false">
      <c r="A179" s="24" t="s">
        <v>70</v>
      </c>
      <c r="B179" s="24"/>
      <c r="C179" s="24"/>
      <c r="D179" s="25" t="n">
        <f aca="false">D6+D96+D111+D116+D121+D167</f>
        <v>133929188</v>
      </c>
      <c r="E179" s="25" t="n">
        <f aca="false">E6+E96+E111+E116+E121+E167</f>
        <v>119919951.55</v>
      </c>
      <c r="F179" s="25" t="n">
        <f aca="false">F6+F96+F111+F116+F121+F167</f>
        <v>14009236.45</v>
      </c>
      <c r="G179" s="25" t="n">
        <f aca="false">G6+G96+G111+G116+G121+G167</f>
        <v>51559345.43</v>
      </c>
      <c r="H179" s="25" t="n">
        <f aca="false">H6+H96+H111+H116+H121+H167</f>
        <v>82369842.57</v>
      </c>
      <c r="I179" s="26" t="n">
        <f aca="false">IF(D179=0,0,G179/D179)</f>
        <v>0.384974673556596</v>
      </c>
      <c r="J179" s="24"/>
      <c r="K179" s="24"/>
      <c r="L179" s="24"/>
      <c r="M179" s="24"/>
      <c r="N179" s="24"/>
      <c r="O179" s="24"/>
      <c r="P179" s="2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62"/>
    <col collapsed="false" customWidth="true" hidden="false" outlineLevel="0" max="5" min="4" style="0" width="15"/>
    <col collapsed="false" customWidth="true" hidden="false" outlineLevel="0" max="6" min="6" style="0" width="14"/>
    <col collapsed="false" customWidth="true" hidden="false" outlineLevel="0" max="8" min="7" style="0" width="15"/>
    <col collapsed="false" customWidth="true" hidden="false" outlineLevel="0" max="9" min="9" style="0" width="9"/>
    <col collapsed="false" customWidth="true" hidden="false" outlineLevel="0" max="10" min="10" style="0" width="26"/>
    <col collapsed="false" customWidth="true" hidden="false" outlineLevel="0" max="11" min="11" style="0" width="18"/>
    <col collapsed="false" customWidth="true" hidden="false" outlineLevel="0" max="15" min="12" style="0" width="15"/>
    <col collapsed="false" customWidth="true" hidden="false" outlineLevel="0" max="16" min="16" style="0" width="20"/>
  </cols>
  <sheetData>
    <row r="1" customFormat="false" ht="15" hidden="false" customHeight="false" outlineLevel="0" collapsed="false">
      <c r="C1" s="10" t="s">
        <v>71</v>
      </c>
    </row>
    <row r="2" customFormat="false" ht="15" hidden="false" customHeight="false" outlineLevel="0" collapsed="false">
      <c r="B2" s="8" t="s">
        <v>29</v>
      </c>
    </row>
    <row r="4" customFormat="false" ht="42" hidden="false" customHeight="true" outlineLevel="0" collapsed="false">
      <c r="A4" s="11" t="s">
        <v>30</v>
      </c>
      <c r="B4" s="11" t="s">
        <v>31</v>
      </c>
      <c r="C4" s="11" t="s">
        <v>32</v>
      </c>
      <c r="D4" s="11" t="s">
        <v>33</v>
      </c>
      <c r="E4" s="11" t="s">
        <v>34</v>
      </c>
      <c r="F4" s="11" t="s">
        <v>35</v>
      </c>
      <c r="G4" s="11" t="s">
        <v>36</v>
      </c>
      <c r="H4" s="11" t="s">
        <v>37</v>
      </c>
      <c r="I4" s="11" t="s">
        <v>38</v>
      </c>
      <c r="J4" s="12" t="s">
        <v>39</v>
      </c>
      <c r="K4" s="12" t="s">
        <v>40</v>
      </c>
      <c r="L4" s="12" t="s">
        <v>41</v>
      </c>
      <c r="M4" s="12" t="s">
        <v>42</v>
      </c>
      <c r="N4" s="12" t="s">
        <v>43</v>
      </c>
      <c r="O4" s="12" t="s">
        <v>44</v>
      </c>
      <c r="P4" s="12" t="s">
        <v>45</v>
      </c>
    </row>
    <row r="6" customFormat="false" ht="15" hidden="false" customHeight="false" outlineLevel="0" collapsed="false">
      <c r="A6" s="13" t="s">
        <v>20</v>
      </c>
      <c r="B6" s="13"/>
      <c r="C6" s="13"/>
      <c r="D6" s="14" t="n">
        <f aca="false">D7+D10</f>
        <v>892982</v>
      </c>
      <c r="E6" s="14" t="n">
        <f aca="false">E7+E10</f>
        <v>573620.69</v>
      </c>
      <c r="F6" s="14" t="n">
        <f aca="false">F7+F10</f>
        <v>319361.31</v>
      </c>
      <c r="G6" s="14" t="n">
        <f aca="false">G7+G10</f>
        <v>288990.91</v>
      </c>
      <c r="H6" s="14" t="n">
        <f aca="false">H7+H10</f>
        <v>603991.09</v>
      </c>
      <c r="I6" s="15" t="n">
        <f aca="false">IF(D6=0,0,G6/D6)</f>
        <v>0.323624563541034</v>
      </c>
      <c r="J6" s="13"/>
      <c r="K6" s="13"/>
      <c r="L6" s="13"/>
      <c r="M6" s="13"/>
      <c r="N6" s="13"/>
      <c r="O6" s="13"/>
      <c r="P6" s="13"/>
    </row>
    <row r="7" customFormat="false" ht="15" hidden="false" customHeight="false" outlineLevel="0" collapsed="false">
      <c r="A7" s="17" t="s">
        <v>48</v>
      </c>
      <c r="B7" s="17"/>
      <c r="C7" s="17"/>
      <c r="D7" s="18" t="n">
        <f aca="false">SUM(D8:D9)</f>
        <v>382553</v>
      </c>
      <c r="E7" s="18" t="n">
        <f aca="false">SUM(E8:E9)</f>
        <v>282553</v>
      </c>
      <c r="F7" s="18" t="n">
        <f aca="false">SUM(F8:F9)</f>
        <v>100000</v>
      </c>
      <c r="G7" s="18" t="n">
        <f aca="false">SUM(G8:G9)</f>
        <v>0</v>
      </c>
      <c r="H7" s="18" t="n">
        <f aca="false">SUM(H8:H9)</f>
        <v>382553</v>
      </c>
      <c r="I7" s="19" t="n">
        <f aca="false">IF(D7=0,0,G7/D7)</f>
        <v>0</v>
      </c>
      <c r="J7" s="17"/>
      <c r="K7" s="17"/>
      <c r="L7" s="17"/>
      <c r="M7" s="17"/>
      <c r="N7" s="17"/>
      <c r="O7" s="17"/>
      <c r="P7" s="17"/>
    </row>
    <row r="8" customFormat="false" ht="32.8" hidden="false" customHeight="false" outlineLevel="0" collapsed="false">
      <c r="A8" s="20" t="n">
        <f aca="false">SUBTOTAL(103,$B$6:B8)</f>
        <v>1</v>
      </c>
      <c r="B8" s="20" t="n">
        <v>284</v>
      </c>
      <c r="C8" s="21" t="str">
        <f aca="false">Base!G436</f>
        <v>2662519: MEJORAMIENTO DEL SERVICIO DE ATENCIÓN DE SALUD BÁSICOS EN C.S. CLAS PUSI   DISTRITO DE PUSI DE LA PROVINCIA DE HUANCANE DEL DEPARTAMENTO DE PUNO</v>
      </c>
      <c r="D8" s="22" t="n">
        <f aca="false">Base!H436</f>
        <v>282553</v>
      </c>
      <c r="E8" s="22" t="n">
        <f aca="false">Base!I436</f>
        <v>282553</v>
      </c>
      <c r="F8" s="22" t="n">
        <f aca="false">D8-E8</f>
        <v>0</v>
      </c>
      <c r="G8" s="22" t="n">
        <f aca="false">Base!K436</f>
        <v>0</v>
      </c>
      <c r="H8" s="22" t="n">
        <f aca="false">D8-G8</f>
        <v>282553</v>
      </c>
      <c r="I8" s="23" t="n">
        <f aca="false">IF(D8=0,0,G8/D8)</f>
        <v>0</v>
      </c>
      <c r="J8" s="21" t="str">
        <f aca="false">Base!O436</f>
        <v>Expediente técnico</v>
      </c>
      <c r="K8" s="21" t="str">
        <f aca="false">Base!P436</f>
        <v>Comprometido</v>
      </c>
      <c r="L8" s="22" t="n">
        <f aca="false">Base!Q436</f>
        <v>50000</v>
      </c>
      <c r="M8" s="22" t="n">
        <f aca="false">Base!R436</f>
        <v>0</v>
      </c>
      <c r="N8" s="22" t="n">
        <f aca="false">Base!S436</f>
        <v>0</v>
      </c>
      <c r="O8" s="22" t="n">
        <f aca="false">Base!T436</f>
        <v>1000000</v>
      </c>
      <c r="P8" s="21" t="str">
        <f aca="false">IF(Base!U436="","",Base!U436)</f>
        <v/>
      </c>
    </row>
    <row r="9" customFormat="false" ht="32.8" hidden="false" customHeight="false" outlineLevel="0" collapsed="false">
      <c r="A9" s="20" t="n">
        <f aca="false">SUBTOTAL(103,$B$6:B9)</f>
        <v>2</v>
      </c>
      <c r="B9" s="20" t="n">
        <v>533</v>
      </c>
      <c r="C9" s="21" t="str">
        <f aca="false">Base!G439</f>
        <v>2681141: MEJORAMIENTO DEL SERVICIO DE ATENCIÓN DE SALUD BÁSICOS EN HUACULLANI   DISTRITO DE HUACULLANI DE LA PROVINCIA DE CHUCUITO DEL DEPARTAMENTO DE PUNO</v>
      </c>
      <c r="D9" s="22" t="n">
        <f aca="false">Base!H439</f>
        <v>100000</v>
      </c>
      <c r="E9" s="22" t="n">
        <f aca="false">Base!I439</f>
        <v>0</v>
      </c>
      <c r="F9" s="22" t="n">
        <f aca="false">D9-E9</f>
        <v>100000</v>
      </c>
      <c r="G9" s="22" t="n">
        <f aca="false">Base!K439</f>
        <v>0</v>
      </c>
      <c r="H9" s="22" t="n">
        <f aca="false">D9-G9</f>
        <v>100000</v>
      </c>
      <c r="I9" s="23" t="n">
        <f aca="false">IF(D9=0,0,G9/D9)</f>
        <v>0</v>
      </c>
      <c r="J9" s="21" t="str">
        <f aca="false">Base!O439</f>
        <v>Expediente técnico</v>
      </c>
      <c r="K9" s="21" t="str">
        <f aca="false">Base!P439</f>
        <v>Sin certificar</v>
      </c>
      <c r="L9" s="22" t="n">
        <f aca="false">Base!Q439</f>
        <v>100000</v>
      </c>
      <c r="M9" s="22" t="n">
        <f aca="false">Base!R439</f>
        <v>0</v>
      </c>
      <c r="N9" s="22" t="n">
        <f aca="false">Base!S439</f>
        <v>3681052</v>
      </c>
      <c r="O9" s="22" t="n">
        <f aca="false">Base!T439</f>
        <v>4156140</v>
      </c>
      <c r="P9" s="21" t="str">
        <f aca="false">IF(Base!U439="","",Base!U439)</f>
        <v/>
      </c>
    </row>
    <row r="10" customFormat="false" ht="15" hidden="false" customHeight="false" outlineLevel="0" collapsed="false">
      <c r="A10" s="17" t="s">
        <v>49</v>
      </c>
      <c r="B10" s="17"/>
      <c r="C10" s="17"/>
      <c r="D10" s="18" t="n">
        <f aca="false">SUM(D11:D13)</f>
        <v>510429</v>
      </c>
      <c r="E10" s="18" t="n">
        <f aca="false">SUM(E11:E13)</f>
        <v>291067.69</v>
      </c>
      <c r="F10" s="18" t="n">
        <f aca="false">SUM(F11:F13)</f>
        <v>219361.31</v>
      </c>
      <c r="G10" s="18" t="n">
        <f aca="false">SUM(G11:G13)</f>
        <v>288990.91</v>
      </c>
      <c r="H10" s="18" t="n">
        <f aca="false">SUM(H11:H13)</f>
        <v>221438.09</v>
      </c>
      <c r="I10" s="19" t="n">
        <f aca="false">IF(D10=0,0,G10/D10)</f>
        <v>0.56617259207451</v>
      </c>
      <c r="J10" s="17"/>
      <c r="K10" s="17"/>
      <c r="L10" s="17"/>
      <c r="M10" s="17"/>
      <c r="N10" s="17"/>
      <c r="O10" s="17"/>
      <c r="P10" s="17"/>
    </row>
    <row r="11" customFormat="false" ht="32.8" hidden="false" customHeight="false" outlineLevel="0" collapsed="false">
      <c r="A11" s="20" t="n">
        <f aca="false">SUBTOTAL(103,$B$6:B11)</f>
        <v>3</v>
      </c>
      <c r="B11" s="20" t="n">
        <v>345</v>
      </c>
      <c r="C11" s="21" t="str">
        <f aca="false">Base!G437</f>
        <v>2699546: ADQUISICION DE EQUIPAMIENTO DE AULA DE INNOVACION PEDAGOGICA; EN OCHO II.EE. PRIMARIA  DISTRITO DE SAN JUAN DE SALINAS, PROVINCIA AZANGARO, DEPARTAMENTO PUNO</v>
      </c>
      <c r="D11" s="22" t="n">
        <f aca="false">Base!H437</f>
        <v>271707</v>
      </c>
      <c r="E11" s="22" t="n">
        <f aca="false">Base!I437</f>
        <v>271705.69</v>
      </c>
      <c r="F11" s="22" t="n">
        <f aca="false">D11-E11</f>
        <v>1.30999999999767</v>
      </c>
      <c r="G11" s="22" t="n">
        <f aca="false">Base!K437</f>
        <v>270842.66</v>
      </c>
      <c r="H11" s="22" t="n">
        <f aca="false">D11-G11</f>
        <v>864.340000000026</v>
      </c>
      <c r="I11" s="23" t="n">
        <f aca="false">IF(D11=0,0,G11/D11)</f>
        <v>0.996818852661139</v>
      </c>
      <c r="J11" s="21" t="str">
        <f aca="false">Base!O437</f>
        <v>Equipamiento / Administración directa / Contrata / Personal/bienes/servicios</v>
      </c>
      <c r="K11" s="21" t="str">
        <f aca="false">Base!P437</f>
        <v>Comprometido</v>
      </c>
      <c r="L11" s="22" t="n">
        <f aca="false">Base!Q437</f>
        <v>267733</v>
      </c>
      <c r="M11" s="22" t="n">
        <f aca="false">Base!R437</f>
        <v>20886</v>
      </c>
      <c r="N11" s="22" t="n">
        <f aca="false">Base!S437</f>
        <v>0</v>
      </c>
      <c r="O11" s="22" t="n">
        <f aca="false">Base!T437</f>
        <v>0</v>
      </c>
      <c r="P11" s="21" t="str">
        <f aca="false">IF(Base!U437="","",Base!U437)</f>
        <v/>
      </c>
    </row>
    <row r="12" customFormat="false" ht="22.35" hidden="false" customHeight="false" outlineLevel="0" collapsed="false">
      <c r="A12" s="20" t="n">
        <f aca="false">SUBTOTAL(103,$B$6:B12)</f>
        <v>4</v>
      </c>
      <c r="B12" s="20" t="n">
        <v>532</v>
      </c>
      <c r="C12" s="21" t="str">
        <f aca="false">Base!G438</f>
        <v>2617364: (MEJORAMIENTO DE INFRAESTRUCTURA DE EDUCACION BASICA REGULAR - nombre no disponible en fuentes)</v>
      </c>
      <c r="D12" s="22" t="n">
        <f aca="false">Base!H438</f>
        <v>218556</v>
      </c>
      <c r="E12" s="22" t="n">
        <f aca="false">Base!I438</f>
        <v>0</v>
      </c>
      <c r="F12" s="22" t="n">
        <f aca="false">D12-E12</f>
        <v>218556</v>
      </c>
      <c r="G12" s="22" t="n">
        <f aca="false">Base!K438</f>
        <v>0</v>
      </c>
      <c r="H12" s="22" t="n">
        <f aca="false">D12-G12</f>
        <v>218556</v>
      </c>
      <c r="I12" s="23" t="n">
        <f aca="false">IF(D12=0,0,G12/D12)</f>
        <v>0</v>
      </c>
      <c r="J12" s="21" t="str">
        <f aca="false">Base!O438</f>
        <v>Contrata</v>
      </c>
      <c r="K12" s="21" t="str">
        <f aca="false">Base!P438</f>
        <v>Sin certificar</v>
      </c>
      <c r="L12" s="22" t="str">
        <f aca="false">Base!Q438</f>
        <v>No registrado en cartera</v>
      </c>
      <c r="M12" s="22" t="str">
        <f aca="false">Base!R438</f>
        <v>No registrado en cartera</v>
      </c>
      <c r="N12" s="22" t="str">
        <f aca="false">Base!S438</f>
        <v>No registrado en cartera</v>
      </c>
      <c r="O12" s="22" t="str">
        <f aca="false">Base!T438</f>
        <v>No registrado en cartera</v>
      </c>
      <c r="P12" s="21" t="str">
        <f aca="false">IF(Base!U438="","",Base!U438)</f>
        <v/>
      </c>
    </row>
    <row r="13" customFormat="false" ht="32.8" hidden="false" customHeight="false" outlineLevel="0" collapsed="false">
      <c r="A13" s="20" t="n">
        <f aca="false">SUBTOTAL(103,$B$6:B13)</f>
        <v>5</v>
      </c>
      <c r="B13" s="20" t="n">
        <v>499</v>
      </c>
      <c r="C13" s="21" t="str">
        <f aca="false">Base!G440</f>
        <v>2231037:  MEJORAMIENTO DE LOS SERVICIOS EDUCATIVOS EN LA I.E.I. N 596 MUNAYPATA DEL CENTRO POBLADO DE MUNAYPATA, DISTRITO DE OLLACHEA  PROVINCIA DE CARABAYA  PUNO</v>
      </c>
      <c r="D13" s="22" t="n">
        <f aca="false">Base!H440</f>
        <v>20166</v>
      </c>
      <c r="E13" s="22" t="n">
        <f aca="false">Base!I440</f>
        <v>19362</v>
      </c>
      <c r="F13" s="22" t="n">
        <f aca="false">D13-E13</f>
        <v>804</v>
      </c>
      <c r="G13" s="22" t="n">
        <f aca="false">Base!K440</f>
        <v>18148.25</v>
      </c>
      <c r="H13" s="22" t="n">
        <f aca="false">D13-G13</f>
        <v>2017.75</v>
      </c>
      <c r="I13" s="23" t="n">
        <f aca="false">IF(D13=0,0,G13/D13)</f>
        <v>0.899942973321432</v>
      </c>
      <c r="J13" s="21" t="str">
        <f aca="false">Base!O440</f>
        <v>Contrata / Personal/bienes/servicios</v>
      </c>
      <c r="K13" s="21" t="str">
        <f aca="false">Base!P440</f>
        <v>Comprometido</v>
      </c>
      <c r="L13" s="22" t="n">
        <f aca="false">Base!Q440</f>
        <v>20166</v>
      </c>
      <c r="M13" s="22" t="n">
        <f aca="false">Base!R440</f>
        <v>0</v>
      </c>
      <c r="N13" s="22" t="n">
        <f aca="false">Base!S440</f>
        <v>0</v>
      </c>
      <c r="O13" s="22" t="n">
        <f aca="false">Base!T440</f>
        <v>0</v>
      </c>
      <c r="P13" s="21" t="str">
        <f aca="false">IF(Base!U440="","",Base!U440)</f>
        <v/>
      </c>
    </row>
    <row r="15" customFormat="false" ht="15" hidden="false" customHeight="false" outlineLevel="0" collapsed="false">
      <c r="A15" s="24" t="s">
        <v>72</v>
      </c>
      <c r="B15" s="24"/>
      <c r="C15" s="24"/>
      <c r="D15" s="25" t="n">
        <f aca="false">D6</f>
        <v>892982</v>
      </c>
      <c r="E15" s="25" t="n">
        <f aca="false">E6</f>
        <v>573620.69</v>
      </c>
      <c r="F15" s="25" t="n">
        <f aca="false">F6</f>
        <v>319361.31</v>
      </c>
      <c r="G15" s="25" t="n">
        <f aca="false">G6</f>
        <v>288990.91</v>
      </c>
      <c r="H15" s="25" t="n">
        <f aca="false">H6</f>
        <v>603991.09</v>
      </c>
      <c r="I15" s="26" t="n">
        <f aca="false">IF(D15=0,0,G15/D15)</f>
        <v>0.323624563541034</v>
      </c>
      <c r="J15" s="24"/>
      <c r="K15" s="24"/>
      <c r="L15" s="24"/>
      <c r="M15" s="24"/>
      <c r="N15" s="24"/>
      <c r="O15" s="24"/>
      <c r="P15" s="2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32"/>
    <col collapsed="false" customWidth="true" hidden="false" outlineLevel="0" max="4" min="4" style="0" width="26"/>
    <col collapsed="false" customWidth="true" hidden="false" outlineLevel="0" max="5" min="5" style="0" width="9"/>
    <col collapsed="false" customWidth="true" hidden="false" outlineLevel="0" max="6" min="6" style="0" width="7"/>
    <col collapsed="false" customWidth="true" hidden="false" outlineLevel="0" max="7" min="7" style="0" width="60"/>
    <col collapsed="false" customWidth="true" hidden="false" outlineLevel="0" max="14" min="8" style="0" width="14"/>
    <col collapsed="false" customWidth="true" hidden="false" outlineLevel="0" max="15" min="15" style="0" width="30"/>
    <col collapsed="false" customWidth="true" hidden="false" outlineLevel="0" max="16" min="16" style="0" width="17"/>
    <col collapsed="false" customWidth="true" hidden="false" outlineLevel="0" max="20" min="17" style="0" width="14"/>
    <col collapsed="false" customWidth="true" hidden="false" outlineLevel="0" max="21" min="21" style="0" width="12"/>
    <col collapsed="false" customWidth="true" hidden="false" outlineLevel="0" max="22" min="22" style="0" width="48"/>
  </cols>
  <sheetData>
    <row r="1" customFormat="false" ht="15" hidden="false" customHeight="false" outlineLevel="0" collapsed="false">
      <c r="A1" s="27" t="s">
        <v>73</v>
      </c>
    </row>
    <row r="2" customFormat="false" ht="15" hidden="false" customHeight="false" outlineLevel="0" collapsed="false">
      <c r="A2" s="2" t="s">
        <v>74</v>
      </c>
    </row>
    <row r="4" customFormat="false" ht="37.5" hidden="false" customHeight="true" outlineLevel="0" collapsed="false">
      <c r="A4" s="3" t="s">
        <v>75</v>
      </c>
      <c r="B4" s="3" t="s">
        <v>2</v>
      </c>
      <c r="C4" s="3" t="s">
        <v>76</v>
      </c>
      <c r="D4" s="3" t="s">
        <v>77</v>
      </c>
      <c r="E4" s="3" t="s">
        <v>78</v>
      </c>
      <c r="F4" s="3" t="s">
        <v>79</v>
      </c>
      <c r="G4" s="3" t="s">
        <v>80</v>
      </c>
      <c r="H4" s="3" t="s">
        <v>4</v>
      </c>
      <c r="I4" s="3" t="s">
        <v>5</v>
      </c>
      <c r="J4" s="3" t="s">
        <v>81</v>
      </c>
      <c r="K4" s="3" t="s">
        <v>7</v>
      </c>
      <c r="L4" s="3" t="s">
        <v>82</v>
      </c>
      <c r="M4" s="3" t="s">
        <v>83</v>
      </c>
      <c r="N4" s="3" t="s">
        <v>84</v>
      </c>
      <c r="O4" s="3" t="s">
        <v>85</v>
      </c>
      <c r="P4" s="3" t="s">
        <v>86</v>
      </c>
      <c r="Q4" s="3" t="s">
        <v>41</v>
      </c>
      <c r="R4" s="3" t="s">
        <v>42</v>
      </c>
      <c r="S4" s="3" t="s">
        <v>43</v>
      </c>
      <c r="T4" s="3" t="s">
        <v>44</v>
      </c>
      <c r="U4" s="3" t="s">
        <v>87</v>
      </c>
      <c r="V4" s="3" t="s">
        <v>88</v>
      </c>
    </row>
    <row r="5" customFormat="false" ht="22.35" hidden="false" customHeight="false" outlineLevel="0" collapsed="false">
      <c r="A5" s="9" t="s">
        <v>89</v>
      </c>
      <c r="B5" s="9" t="s">
        <v>13</v>
      </c>
      <c r="C5" s="9" t="s">
        <v>90</v>
      </c>
      <c r="D5" s="9" t="s">
        <v>48</v>
      </c>
      <c r="E5" s="9" t="s">
        <v>91</v>
      </c>
      <c r="F5" s="9" t="n">
        <v>1</v>
      </c>
      <c r="G5" s="28" t="s">
        <v>92</v>
      </c>
      <c r="H5" s="29" t="n">
        <v>167354</v>
      </c>
      <c r="I5" s="29" t="n">
        <v>149951.3</v>
      </c>
      <c r="J5" s="29" t="n">
        <v>149951.3</v>
      </c>
      <c r="K5" s="29" t="n">
        <v>102781.21</v>
      </c>
      <c r="L5" s="30" t="n">
        <f aca="false">H5-I5</f>
        <v>17402.7</v>
      </c>
      <c r="M5" s="30" t="n">
        <f aca="false">H5-J5</f>
        <v>17402.7</v>
      </c>
      <c r="N5" s="30" t="n">
        <f aca="false">H5-K5</f>
        <v>64572.79</v>
      </c>
      <c r="O5" s="9" t="s">
        <v>93</v>
      </c>
      <c r="P5" s="9" t="str">
        <f aca="false">IF(H5=0,"Sin PIM",IF(ROUND(K5-H5,2)&gt;=0,"Devengado total",IF(J5&gt;0.005,"Comprometido",IF(I5&gt;0.005,"Solo certificado","Sin certificar"))))</f>
        <v>Comprometido</v>
      </c>
      <c r="Q5" s="30" t="n">
        <v>12460540</v>
      </c>
      <c r="R5" s="30" t="n">
        <v>5731000</v>
      </c>
      <c r="S5" s="30" t="n">
        <v>5000000</v>
      </c>
      <c r="T5" s="30" t="n">
        <v>5000000</v>
      </c>
      <c r="U5" s="9"/>
      <c r="V5" s="9"/>
    </row>
    <row r="6" customFormat="false" ht="22.35" hidden="false" customHeight="false" outlineLevel="0" collapsed="false">
      <c r="A6" s="9" t="s">
        <v>89</v>
      </c>
      <c r="B6" s="9" t="s">
        <v>13</v>
      </c>
      <c r="C6" s="9" t="s">
        <v>90</v>
      </c>
      <c r="D6" s="9" t="s">
        <v>48</v>
      </c>
      <c r="E6" s="9" t="s">
        <v>94</v>
      </c>
      <c r="F6" s="9" t="n">
        <v>220</v>
      </c>
      <c r="G6" s="28" t="s">
        <v>95</v>
      </c>
      <c r="H6" s="29" t="n">
        <v>53759397</v>
      </c>
      <c r="I6" s="29" t="n">
        <v>53759396.9</v>
      </c>
      <c r="J6" s="29" t="n">
        <v>262914.25</v>
      </c>
      <c r="K6" s="29" t="n">
        <v>261343.05</v>
      </c>
      <c r="L6" s="30" t="n">
        <f aca="false">H6-I6</f>
        <v>0.100000001490116</v>
      </c>
      <c r="M6" s="30" t="n">
        <f aca="false">H6-J6</f>
        <v>53496482.75</v>
      </c>
      <c r="N6" s="30" t="n">
        <f aca="false">H6-K6</f>
        <v>53498053.95</v>
      </c>
      <c r="O6" s="9" t="s">
        <v>96</v>
      </c>
      <c r="P6" s="9" t="str">
        <f aca="false">IF(H6=0,"Sin PIM",IF(ROUND(K6-H6,2)&gt;=0,"Devengado total",IF(J6&gt;0.005,"Comprometido",IF(I6&gt;0.005,"Solo certificado","Sin certificar"))))</f>
        <v>Comprometido</v>
      </c>
      <c r="Q6" s="30" t="s">
        <v>97</v>
      </c>
      <c r="R6" s="30" t="s">
        <v>97</v>
      </c>
      <c r="S6" s="30" t="s">
        <v>97</v>
      </c>
      <c r="T6" s="30" t="s">
        <v>97</v>
      </c>
      <c r="U6" s="9"/>
      <c r="V6" s="9"/>
    </row>
    <row r="7" customFormat="false" ht="53.7" hidden="false" customHeight="false" outlineLevel="0" collapsed="false">
      <c r="A7" s="9" t="s">
        <v>89</v>
      </c>
      <c r="B7" s="9" t="s">
        <v>13</v>
      </c>
      <c r="C7" s="9" t="s">
        <v>90</v>
      </c>
      <c r="D7" s="9" t="s">
        <v>49</v>
      </c>
      <c r="E7" s="9" t="s">
        <v>98</v>
      </c>
      <c r="F7" s="9" t="n">
        <v>223</v>
      </c>
      <c r="G7" s="28" t="s">
        <v>99</v>
      </c>
      <c r="H7" s="29" t="n">
        <v>10519577</v>
      </c>
      <c r="I7" s="29" t="n">
        <v>10386241.22</v>
      </c>
      <c r="J7" s="29" t="n">
        <v>8483089.22</v>
      </c>
      <c r="K7" s="29" t="n">
        <v>7596372.68</v>
      </c>
      <c r="L7" s="30" t="n">
        <f aca="false">H7-I7</f>
        <v>133335.779999999</v>
      </c>
      <c r="M7" s="30" t="n">
        <f aca="false">H7-J7</f>
        <v>2036487.78</v>
      </c>
      <c r="N7" s="30" t="n">
        <f aca="false">H7-K7</f>
        <v>2923204.32</v>
      </c>
      <c r="O7" s="9" t="s">
        <v>100</v>
      </c>
      <c r="P7" s="9" t="str">
        <f aca="false">IF(H7=0,"Sin PIM",IF(ROUND(K7-H7,2)&gt;=0,"Devengado total",IF(J7&gt;0.005,"Comprometido",IF(I7&gt;0.005,"Solo certificado","Sin certificar"))))</f>
        <v>Comprometido</v>
      </c>
      <c r="Q7" s="30" t="n">
        <v>2546207</v>
      </c>
      <c r="R7" s="30" t="n">
        <v>638376</v>
      </c>
      <c r="S7" s="30" t="n">
        <v>2568939</v>
      </c>
      <c r="T7" s="30" t="n">
        <v>0</v>
      </c>
      <c r="U7" s="9"/>
      <c r="V7" s="9"/>
    </row>
    <row r="8" customFormat="false" ht="43.25" hidden="false" customHeight="false" outlineLevel="0" collapsed="false">
      <c r="A8" s="9" t="s">
        <v>89</v>
      </c>
      <c r="B8" s="9" t="s">
        <v>13</v>
      </c>
      <c r="C8" s="9" t="s">
        <v>90</v>
      </c>
      <c r="D8" s="9" t="s">
        <v>49</v>
      </c>
      <c r="E8" s="9" t="s">
        <v>101</v>
      </c>
      <c r="F8" s="9" t="n">
        <v>224</v>
      </c>
      <c r="G8" s="28" t="s">
        <v>102</v>
      </c>
      <c r="H8" s="29" t="n">
        <v>10208307</v>
      </c>
      <c r="I8" s="29" t="n">
        <v>9968469.62</v>
      </c>
      <c r="J8" s="29" t="n">
        <v>9951805.04</v>
      </c>
      <c r="K8" s="29" t="n">
        <v>6440724.48</v>
      </c>
      <c r="L8" s="30" t="n">
        <f aca="false">H8-I8</f>
        <v>239837.380000001</v>
      </c>
      <c r="M8" s="30" t="n">
        <f aca="false">H8-J8</f>
        <v>256501.959999999</v>
      </c>
      <c r="N8" s="30" t="n">
        <f aca="false">H8-K8</f>
        <v>3767582.52</v>
      </c>
      <c r="O8" s="9" t="s">
        <v>103</v>
      </c>
      <c r="P8" s="9" t="str">
        <f aca="false">IF(H8=0,"Sin PIM",IF(ROUND(K8-H8,2)&gt;=0,"Devengado total",IF(J8&gt;0.005,"Comprometido",IF(I8&gt;0.005,"Solo certificado","Sin certificar"))))</f>
        <v>Comprometido</v>
      </c>
      <c r="Q8" s="30" t="n">
        <v>5597990</v>
      </c>
      <c r="R8" s="30" t="n">
        <v>1254673</v>
      </c>
      <c r="S8" s="30" t="n">
        <v>2493351</v>
      </c>
      <c r="T8" s="30" t="n">
        <v>0</v>
      </c>
      <c r="U8" s="9"/>
      <c r="V8" s="9"/>
    </row>
    <row r="9" customFormat="false" ht="43.25" hidden="false" customHeight="false" outlineLevel="0" collapsed="false">
      <c r="A9" s="9" t="s">
        <v>89</v>
      </c>
      <c r="B9" s="9" t="s">
        <v>13</v>
      </c>
      <c r="C9" s="9" t="s">
        <v>90</v>
      </c>
      <c r="D9" s="9" t="s">
        <v>49</v>
      </c>
      <c r="E9" s="9" t="s">
        <v>104</v>
      </c>
      <c r="F9" s="9" t="n">
        <v>245</v>
      </c>
      <c r="G9" s="28" t="s">
        <v>105</v>
      </c>
      <c r="H9" s="29" t="n">
        <v>11203165</v>
      </c>
      <c r="I9" s="29" t="n">
        <v>10889668.59</v>
      </c>
      <c r="J9" s="29" t="n">
        <v>8942137.87</v>
      </c>
      <c r="K9" s="29" t="n">
        <v>6395813.34</v>
      </c>
      <c r="L9" s="30" t="n">
        <f aca="false">H9-I9</f>
        <v>313496.41</v>
      </c>
      <c r="M9" s="30" t="n">
        <f aca="false">H9-J9</f>
        <v>2261027.13</v>
      </c>
      <c r="N9" s="30" t="n">
        <f aca="false">H9-K9</f>
        <v>4807351.66</v>
      </c>
      <c r="O9" s="9" t="s">
        <v>103</v>
      </c>
      <c r="P9" s="9" t="str">
        <f aca="false">IF(H9=0,"Sin PIM",IF(ROUND(K9-H9,2)&gt;=0,"Devengado total",IF(J9&gt;0.005,"Comprometido",IF(I9&gt;0.005,"Solo certificado","Sin certificar"))))</f>
        <v>Comprometido</v>
      </c>
      <c r="Q9" s="30" t="n">
        <v>4902849</v>
      </c>
      <c r="R9" s="30" t="n">
        <v>60001</v>
      </c>
      <c r="S9" s="30" t="n">
        <v>2722594</v>
      </c>
      <c r="T9" s="30" t="n">
        <v>0</v>
      </c>
      <c r="U9" s="9"/>
      <c r="V9" s="9"/>
    </row>
    <row r="10" customFormat="false" ht="32.8" hidden="false" customHeight="false" outlineLevel="0" collapsed="false">
      <c r="A10" s="9" t="s">
        <v>89</v>
      </c>
      <c r="B10" s="9" t="s">
        <v>13</v>
      </c>
      <c r="C10" s="9" t="s">
        <v>90</v>
      </c>
      <c r="D10" s="9" t="s">
        <v>49</v>
      </c>
      <c r="E10" s="9" t="s">
        <v>106</v>
      </c>
      <c r="F10" s="9" t="n">
        <v>29</v>
      </c>
      <c r="G10" s="28" t="s">
        <v>107</v>
      </c>
      <c r="H10" s="29" t="n">
        <v>2079431</v>
      </c>
      <c r="I10" s="29" t="n">
        <v>1994037.46</v>
      </c>
      <c r="J10" s="29" t="n">
        <v>1986740.46</v>
      </c>
      <c r="K10" s="29" t="n">
        <v>1946470.94</v>
      </c>
      <c r="L10" s="30" t="n">
        <f aca="false">H10-I10</f>
        <v>85393.54</v>
      </c>
      <c r="M10" s="30" t="n">
        <f aca="false">H10-J10</f>
        <v>92690.54</v>
      </c>
      <c r="N10" s="30" t="n">
        <f aca="false">H10-K10</f>
        <v>132960.06</v>
      </c>
      <c r="O10" s="9" t="s">
        <v>103</v>
      </c>
      <c r="P10" s="9" t="str">
        <f aca="false">IF(H10=0,"Sin PIM",IF(ROUND(K10-H10,2)&gt;=0,"Devengado total",IF(J10&gt;0.005,"Comprometido",IF(I10&gt;0.005,"Solo certificado","Sin certificar"))))</f>
        <v>Comprometido</v>
      </c>
      <c r="Q10" s="30" t="n">
        <v>298669</v>
      </c>
      <c r="R10" s="30" t="n">
        <v>349669</v>
      </c>
      <c r="S10" s="30" t="n">
        <v>84977</v>
      </c>
      <c r="T10" s="30" t="n">
        <v>0</v>
      </c>
      <c r="U10" s="9"/>
      <c r="V10" s="9"/>
    </row>
    <row r="11" customFormat="false" ht="43.25" hidden="false" customHeight="false" outlineLevel="0" collapsed="false">
      <c r="A11" s="9" t="s">
        <v>89</v>
      </c>
      <c r="B11" s="9" t="s">
        <v>13</v>
      </c>
      <c r="C11" s="9" t="s">
        <v>90</v>
      </c>
      <c r="D11" s="9" t="s">
        <v>49</v>
      </c>
      <c r="E11" s="9" t="s">
        <v>108</v>
      </c>
      <c r="F11" s="9" t="n">
        <v>315</v>
      </c>
      <c r="G11" s="28" t="s">
        <v>109</v>
      </c>
      <c r="H11" s="29" t="n">
        <v>1425006</v>
      </c>
      <c r="I11" s="29" t="n">
        <v>1239788.9</v>
      </c>
      <c r="J11" s="29" t="n">
        <v>1239288.9</v>
      </c>
      <c r="K11" s="29" t="n">
        <v>1170436.98</v>
      </c>
      <c r="L11" s="30" t="n">
        <f aca="false">H11-I11</f>
        <v>185217.1</v>
      </c>
      <c r="M11" s="30" t="n">
        <f aca="false">H11-J11</f>
        <v>185717.1</v>
      </c>
      <c r="N11" s="30" t="n">
        <f aca="false">H11-K11</f>
        <v>254569.02</v>
      </c>
      <c r="O11" s="9" t="s">
        <v>103</v>
      </c>
      <c r="P11" s="9" t="str">
        <f aca="false">IF(H11=0,"Sin PIM",IF(ROUND(K11-H11,2)&gt;=0,"Devengado total",IF(J11&gt;0.005,"Comprometido",IF(I11&gt;0.005,"Solo certificado","Sin certificar"))))</f>
        <v>Comprometido</v>
      </c>
      <c r="Q11" s="30" t="n">
        <v>1122019</v>
      </c>
      <c r="R11" s="30" t="n">
        <v>0</v>
      </c>
      <c r="S11" s="30" t="n">
        <v>32869</v>
      </c>
      <c r="T11" s="30" t="n">
        <v>0</v>
      </c>
      <c r="U11" s="9"/>
      <c r="V11" s="9"/>
    </row>
    <row r="12" customFormat="false" ht="43.25" hidden="false" customHeight="false" outlineLevel="0" collapsed="false">
      <c r="A12" s="9" t="s">
        <v>89</v>
      </c>
      <c r="B12" s="9" t="s">
        <v>13</v>
      </c>
      <c r="C12" s="9" t="s">
        <v>90</v>
      </c>
      <c r="D12" s="9" t="s">
        <v>49</v>
      </c>
      <c r="E12" s="9" t="s">
        <v>110</v>
      </c>
      <c r="F12" s="9" t="n">
        <v>160</v>
      </c>
      <c r="G12" s="28" t="s">
        <v>111</v>
      </c>
      <c r="H12" s="29" t="n">
        <v>9222405</v>
      </c>
      <c r="I12" s="29" t="n">
        <v>9003232.53</v>
      </c>
      <c r="J12" s="29" t="n">
        <v>6544074.64</v>
      </c>
      <c r="K12" s="29" t="n">
        <v>5421356.61</v>
      </c>
      <c r="L12" s="30" t="n">
        <f aca="false">H12-I12</f>
        <v>219172.469999999</v>
      </c>
      <c r="M12" s="30" t="n">
        <f aca="false">H12-J12</f>
        <v>2678330.36</v>
      </c>
      <c r="N12" s="30" t="n">
        <f aca="false">H12-K12</f>
        <v>3801048.39</v>
      </c>
      <c r="O12" s="9" t="s">
        <v>103</v>
      </c>
      <c r="P12" s="9" t="str">
        <f aca="false">IF(H12=0,"Sin PIM",IF(ROUND(K12-H12,2)&gt;=0,"Devengado total",IF(J12&gt;0.005,"Comprometido",IF(I12&gt;0.005,"Solo certificado","Sin certificar"))))</f>
        <v>Comprometido</v>
      </c>
      <c r="Q12" s="30" t="n">
        <v>2595053</v>
      </c>
      <c r="R12" s="30" t="n">
        <v>255676</v>
      </c>
      <c r="S12" s="30" t="n">
        <v>1817178</v>
      </c>
      <c r="T12" s="30" t="n">
        <v>0</v>
      </c>
      <c r="U12" s="9"/>
      <c r="V12" s="9"/>
    </row>
    <row r="13" customFormat="false" ht="53.7" hidden="false" customHeight="false" outlineLevel="0" collapsed="false">
      <c r="A13" s="9" t="s">
        <v>89</v>
      </c>
      <c r="B13" s="9" t="s">
        <v>13</v>
      </c>
      <c r="C13" s="9" t="s">
        <v>90</v>
      </c>
      <c r="D13" s="9" t="s">
        <v>49</v>
      </c>
      <c r="E13" s="9" t="s">
        <v>112</v>
      </c>
      <c r="F13" s="9" t="n">
        <v>162</v>
      </c>
      <c r="G13" s="28" t="s">
        <v>113</v>
      </c>
      <c r="H13" s="29" t="n">
        <v>5194033</v>
      </c>
      <c r="I13" s="29" t="n">
        <v>5106124.77</v>
      </c>
      <c r="J13" s="29" t="n">
        <v>4283978.64</v>
      </c>
      <c r="K13" s="29" t="n">
        <v>1941765.29</v>
      </c>
      <c r="L13" s="30" t="n">
        <f aca="false">H13-I13</f>
        <v>87908.2300000005</v>
      </c>
      <c r="M13" s="30" t="n">
        <f aca="false">H13-J13</f>
        <v>910054.36</v>
      </c>
      <c r="N13" s="30" t="n">
        <f aca="false">H13-K13</f>
        <v>3252267.71</v>
      </c>
      <c r="O13" s="9" t="s">
        <v>114</v>
      </c>
      <c r="P13" s="9" t="str">
        <f aca="false">IF(H13=0,"Sin PIM",IF(ROUND(K13-H13,2)&gt;=0,"Devengado total",IF(J13&gt;0.005,"Comprometido",IF(I13&gt;0.005,"Solo certificado","Sin certificar"))))</f>
        <v>Comprometido</v>
      </c>
      <c r="Q13" s="30" t="n">
        <v>5194033</v>
      </c>
      <c r="R13" s="30" t="n">
        <v>6569076</v>
      </c>
      <c r="S13" s="30" t="n">
        <v>1</v>
      </c>
      <c r="T13" s="30" t="n">
        <v>0</v>
      </c>
      <c r="U13" s="9"/>
      <c r="V13" s="9"/>
    </row>
    <row r="14" customFormat="false" ht="43.25" hidden="false" customHeight="false" outlineLevel="0" collapsed="false">
      <c r="A14" s="9" t="s">
        <v>89</v>
      </c>
      <c r="B14" s="9" t="s">
        <v>13</v>
      </c>
      <c r="C14" s="9" t="s">
        <v>90</v>
      </c>
      <c r="D14" s="9" t="s">
        <v>49</v>
      </c>
      <c r="E14" s="9" t="s">
        <v>115</v>
      </c>
      <c r="F14" s="9" t="n">
        <v>44</v>
      </c>
      <c r="G14" s="28" t="s">
        <v>116</v>
      </c>
      <c r="H14" s="29" t="n">
        <v>3656326</v>
      </c>
      <c r="I14" s="29" t="n">
        <v>3383177.1</v>
      </c>
      <c r="J14" s="29" t="n">
        <v>3097239.47</v>
      </c>
      <c r="K14" s="29" t="n">
        <v>2126125.38</v>
      </c>
      <c r="L14" s="30" t="n">
        <f aca="false">H14-I14</f>
        <v>273148.9</v>
      </c>
      <c r="M14" s="30" t="n">
        <f aca="false">H14-J14</f>
        <v>559086.53</v>
      </c>
      <c r="N14" s="30" t="n">
        <f aca="false">H14-K14</f>
        <v>1530200.62</v>
      </c>
      <c r="O14" s="9" t="s">
        <v>117</v>
      </c>
      <c r="P14" s="9" t="str">
        <f aca="false">IF(H14=0,"Sin PIM",IF(ROUND(K14-H14,2)&gt;=0,"Devengado total",IF(J14&gt;0.005,"Comprometido",IF(I14&gt;0.005,"Solo certificado","Sin certificar"))))</f>
        <v>Comprometido</v>
      </c>
      <c r="Q14" s="30" t="n">
        <v>2278000</v>
      </c>
      <c r="R14" s="30" t="n">
        <v>1683936</v>
      </c>
      <c r="S14" s="30" t="n">
        <v>1459275</v>
      </c>
      <c r="T14" s="30" t="n">
        <v>0</v>
      </c>
      <c r="U14" s="9"/>
      <c r="V14" s="9"/>
    </row>
    <row r="15" customFormat="false" ht="43.25" hidden="false" customHeight="false" outlineLevel="0" collapsed="false">
      <c r="A15" s="9" t="s">
        <v>89</v>
      </c>
      <c r="B15" s="9" t="s">
        <v>13</v>
      </c>
      <c r="C15" s="9" t="s">
        <v>90</v>
      </c>
      <c r="D15" s="9" t="s">
        <v>49</v>
      </c>
      <c r="E15" s="9" t="s">
        <v>118</v>
      </c>
      <c r="F15" s="9" t="n">
        <v>248</v>
      </c>
      <c r="G15" s="28" t="s">
        <v>119</v>
      </c>
      <c r="H15" s="29" t="n">
        <v>2000000</v>
      </c>
      <c r="I15" s="29" t="n">
        <v>2000000</v>
      </c>
      <c r="J15" s="29" t="n">
        <v>0</v>
      </c>
      <c r="K15" s="29" t="n">
        <v>0</v>
      </c>
      <c r="L15" s="30" t="n">
        <f aca="false">H15-I15</f>
        <v>0</v>
      </c>
      <c r="M15" s="30" t="n">
        <f aca="false">H15-J15</f>
        <v>2000000</v>
      </c>
      <c r="N15" s="30" t="n">
        <f aca="false">H15-K15</f>
        <v>2000000</v>
      </c>
      <c r="O15" s="9" t="s">
        <v>120</v>
      </c>
      <c r="P15" s="9" t="str">
        <f aca="false">IF(H15=0,"Sin PIM",IF(ROUND(K15-H15,2)&gt;=0,"Devengado total",IF(J15&gt;0.005,"Comprometido",IF(I15&gt;0.005,"Solo certificado","Sin certificar"))))</f>
        <v>Solo certificado</v>
      </c>
      <c r="Q15" s="30" t="n">
        <v>12000000</v>
      </c>
      <c r="R15" s="30" t="n">
        <v>14558623</v>
      </c>
      <c r="S15" s="30" t="n">
        <v>14894208</v>
      </c>
      <c r="T15" s="30" t="n">
        <v>10928387</v>
      </c>
      <c r="U15" s="9"/>
      <c r="V15" s="9"/>
    </row>
    <row r="16" customFormat="false" ht="32.8" hidden="false" customHeight="false" outlineLevel="0" collapsed="false">
      <c r="A16" s="9" t="s">
        <v>89</v>
      </c>
      <c r="B16" s="9" t="s">
        <v>13</v>
      </c>
      <c r="C16" s="9" t="s">
        <v>90</v>
      </c>
      <c r="D16" s="9" t="s">
        <v>49</v>
      </c>
      <c r="E16" s="9" t="s">
        <v>121</v>
      </c>
      <c r="F16" s="9" t="n">
        <v>45</v>
      </c>
      <c r="G16" s="28" t="s">
        <v>122</v>
      </c>
      <c r="H16" s="29" t="n">
        <v>0</v>
      </c>
      <c r="I16" s="29" t="n">
        <v>0</v>
      </c>
      <c r="J16" s="29" t="n">
        <v>0</v>
      </c>
      <c r="K16" s="29" t="n">
        <v>0</v>
      </c>
      <c r="L16" s="30" t="n">
        <f aca="false">H16-I16</f>
        <v>0</v>
      </c>
      <c r="M16" s="30" t="n">
        <f aca="false">H16-J16</f>
        <v>0</v>
      </c>
      <c r="N16" s="30" t="n">
        <f aca="false">H16-K16</f>
        <v>0</v>
      </c>
      <c r="O16" s="9" t="s">
        <v>120</v>
      </c>
      <c r="P16" s="9" t="str">
        <f aca="false">IF(H16=0,"Sin PIM",IF(ROUND(K16-H16,2)&gt;=0,"Devengado total",IF(J16&gt;0.005,"Comprometido",IF(I16&gt;0.005,"Solo certificado","Sin certificar"))))</f>
        <v>Sin PIM</v>
      </c>
      <c r="Q16" s="30" t="n">
        <v>100000</v>
      </c>
      <c r="R16" s="30" t="n">
        <v>1234564</v>
      </c>
      <c r="S16" s="30" t="n">
        <v>0</v>
      </c>
      <c r="T16" s="30" t="n">
        <v>3335545</v>
      </c>
      <c r="U16" s="9"/>
      <c r="V16" s="9"/>
    </row>
    <row r="17" customFormat="false" ht="32.8" hidden="false" customHeight="false" outlineLevel="0" collapsed="false">
      <c r="A17" s="9" t="s">
        <v>89</v>
      </c>
      <c r="B17" s="9" t="s">
        <v>13</v>
      </c>
      <c r="C17" s="9" t="s">
        <v>90</v>
      </c>
      <c r="D17" s="9" t="s">
        <v>49</v>
      </c>
      <c r="E17" s="9" t="s">
        <v>123</v>
      </c>
      <c r="F17" s="9" t="n">
        <v>193</v>
      </c>
      <c r="G17" s="28" t="s">
        <v>124</v>
      </c>
      <c r="H17" s="29" t="n">
        <v>1861270</v>
      </c>
      <c r="I17" s="29" t="n">
        <v>1466941.41</v>
      </c>
      <c r="J17" s="29" t="n">
        <v>1458946.41</v>
      </c>
      <c r="K17" s="29" t="n">
        <v>1164545.37</v>
      </c>
      <c r="L17" s="30" t="n">
        <f aca="false">H17-I17</f>
        <v>394328.59</v>
      </c>
      <c r="M17" s="30" t="n">
        <f aca="false">H17-J17</f>
        <v>402323.59</v>
      </c>
      <c r="N17" s="30" t="n">
        <f aca="false">H17-K17</f>
        <v>696724.63</v>
      </c>
      <c r="O17" s="9" t="s">
        <v>125</v>
      </c>
      <c r="P17" s="9" t="str">
        <f aca="false">IF(H17=0,"Sin PIM",IF(ROUND(K17-H17,2)&gt;=0,"Devengado total",IF(J17&gt;0.005,"Comprometido",IF(I17&gt;0.005,"Solo certificado","Sin certificar"))))</f>
        <v>Comprometido</v>
      </c>
      <c r="Q17" s="30" t="n">
        <v>1410000</v>
      </c>
      <c r="R17" s="30" t="n">
        <v>833474</v>
      </c>
      <c r="S17" s="30" t="n">
        <v>0</v>
      </c>
      <c r="T17" s="30" t="n">
        <v>0</v>
      </c>
      <c r="U17" s="9"/>
      <c r="V17" s="9"/>
    </row>
    <row r="18" customFormat="false" ht="32.8" hidden="false" customHeight="false" outlineLevel="0" collapsed="false">
      <c r="A18" s="9" t="s">
        <v>89</v>
      </c>
      <c r="B18" s="9" t="s">
        <v>13</v>
      </c>
      <c r="C18" s="9" t="s">
        <v>90</v>
      </c>
      <c r="D18" s="9" t="s">
        <v>49</v>
      </c>
      <c r="E18" s="9" t="s">
        <v>126</v>
      </c>
      <c r="F18" s="9" t="n">
        <v>46</v>
      </c>
      <c r="G18" s="28" t="s">
        <v>127</v>
      </c>
      <c r="H18" s="29" t="n">
        <v>304829</v>
      </c>
      <c r="I18" s="29" t="n">
        <v>0</v>
      </c>
      <c r="J18" s="29" t="n">
        <v>0</v>
      </c>
      <c r="K18" s="29" t="n">
        <v>0</v>
      </c>
      <c r="L18" s="30" t="n">
        <f aca="false">H18-I18</f>
        <v>304829</v>
      </c>
      <c r="M18" s="30" t="n">
        <f aca="false">H18-J18</f>
        <v>304829</v>
      </c>
      <c r="N18" s="30" t="n">
        <f aca="false">H18-K18</f>
        <v>304829</v>
      </c>
      <c r="O18" s="9" t="s">
        <v>120</v>
      </c>
      <c r="P18" s="9" t="str">
        <f aca="false">IF(H18=0,"Sin PIM",IF(ROUND(K18-H18,2)&gt;=0,"Devengado total",IF(J18&gt;0.005,"Comprometido",IF(I18&gt;0.005,"Solo certificado","Sin certificar"))))</f>
        <v>Sin certificar</v>
      </c>
      <c r="Q18" s="30" t="n">
        <v>100000</v>
      </c>
      <c r="R18" s="30" t="n">
        <v>0</v>
      </c>
      <c r="S18" s="30" t="n">
        <v>0</v>
      </c>
      <c r="T18" s="30" t="n">
        <v>4317457</v>
      </c>
      <c r="U18" s="9"/>
      <c r="V18" s="9"/>
    </row>
    <row r="19" customFormat="false" ht="43.25" hidden="false" customHeight="false" outlineLevel="0" collapsed="false">
      <c r="A19" s="9" t="s">
        <v>89</v>
      </c>
      <c r="B19" s="9" t="s">
        <v>13</v>
      </c>
      <c r="C19" s="9" t="s">
        <v>90</v>
      </c>
      <c r="D19" s="9" t="s">
        <v>49</v>
      </c>
      <c r="E19" s="9" t="s">
        <v>128</v>
      </c>
      <c r="F19" s="9" t="n">
        <v>480</v>
      </c>
      <c r="G19" s="28" t="s">
        <v>129</v>
      </c>
      <c r="H19" s="29" t="n">
        <v>677644</v>
      </c>
      <c r="I19" s="29" t="n">
        <v>607692.88</v>
      </c>
      <c r="J19" s="29" t="n">
        <v>331244.1</v>
      </c>
      <c r="K19" s="29" t="n">
        <v>131223.38</v>
      </c>
      <c r="L19" s="30" t="n">
        <f aca="false">H19-I19</f>
        <v>69951.12</v>
      </c>
      <c r="M19" s="30" t="n">
        <f aca="false">H19-J19</f>
        <v>346399.9</v>
      </c>
      <c r="N19" s="30" t="n">
        <f aca="false">H19-K19</f>
        <v>546420.62</v>
      </c>
      <c r="O19" s="9" t="s">
        <v>130</v>
      </c>
      <c r="P19" s="9" t="str">
        <f aca="false">IF(H19=0,"Sin PIM",IF(ROUND(K19-H19,2)&gt;=0,"Devengado total",IF(J19&gt;0.005,"Comprometido",IF(I19&gt;0.005,"Solo certificado","Sin certificar"))))</f>
        <v>Comprometido</v>
      </c>
      <c r="Q19" s="30" t="s">
        <v>97</v>
      </c>
      <c r="R19" s="30" t="s">
        <v>97</v>
      </c>
      <c r="S19" s="30" t="s">
        <v>97</v>
      </c>
      <c r="T19" s="30" t="s">
        <v>97</v>
      </c>
      <c r="U19" s="9"/>
      <c r="V19" s="9"/>
    </row>
    <row r="20" customFormat="false" ht="32.8" hidden="false" customHeight="false" outlineLevel="0" collapsed="false">
      <c r="A20" s="9" t="s">
        <v>89</v>
      </c>
      <c r="B20" s="9" t="s">
        <v>13</v>
      </c>
      <c r="C20" s="9" t="s">
        <v>90</v>
      </c>
      <c r="D20" s="9" t="s">
        <v>49</v>
      </c>
      <c r="E20" s="9" t="s">
        <v>131</v>
      </c>
      <c r="F20" s="9" t="n">
        <v>479</v>
      </c>
      <c r="G20" s="28" t="s">
        <v>132</v>
      </c>
      <c r="H20" s="29" t="n">
        <v>492669</v>
      </c>
      <c r="I20" s="29" t="n">
        <v>464894</v>
      </c>
      <c r="J20" s="29" t="n">
        <v>413671.98</v>
      </c>
      <c r="K20" s="29" t="n">
        <v>211662.5</v>
      </c>
      <c r="L20" s="30" t="n">
        <f aca="false">H20-I20</f>
        <v>27775</v>
      </c>
      <c r="M20" s="30" t="n">
        <f aca="false">H20-J20</f>
        <v>78997.02</v>
      </c>
      <c r="N20" s="30" t="n">
        <f aca="false">H20-K20</f>
        <v>281006.5</v>
      </c>
      <c r="O20" s="9" t="s">
        <v>133</v>
      </c>
      <c r="P20" s="9" t="str">
        <f aca="false">IF(H20=0,"Sin PIM",IF(ROUND(K20-H20,2)&gt;=0,"Devengado total",IF(J20&gt;0.005,"Comprometido",IF(I20&gt;0.005,"Solo certificado","Sin certificar"))))</f>
        <v>Comprometido</v>
      </c>
      <c r="Q20" s="30" t="s">
        <v>97</v>
      </c>
      <c r="R20" s="30" t="s">
        <v>97</v>
      </c>
      <c r="S20" s="30" t="s">
        <v>97</v>
      </c>
      <c r="T20" s="30" t="s">
        <v>97</v>
      </c>
      <c r="U20" s="9"/>
      <c r="V20" s="9"/>
    </row>
    <row r="21" customFormat="false" ht="32.8" hidden="false" customHeight="false" outlineLevel="0" collapsed="false">
      <c r="A21" s="9" t="s">
        <v>89</v>
      </c>
      <c r="B21" s="9" t="s">
        <v>13</v>
      </c>
      <c r="C21" s="9" t="s">
        <v>90</v>
      </c>
      <c r="D21" s="9" t="s">
        <v>49</v>
      </c>
      <c r="E21" s="9" t="s">
        <v>134</v>
      </c>
      <c r="F21" s="9" t="n">
        <v>170</v>
      </c>
      <c r="G21" s="28" t="s">
        <v>135</v>
      </c>
      <c r="H21" s="29" t="n">
        <v>118539</v>
      </c>
      <c r="I21" s="29" t="n">
        <v>70562.13</v>
      </c>
      <c r="J21" s="29" t="n">
        <v>70562.13</v>
      </c>
      <c r="K21" s="29" t="n">
        <v>70562.13</v>
      </c>
      <c r="L21" s="30" t="n">
        <f aca="false">H21-I21</f>
        <v>47976.87</v>
      </c>
      <c r="M21" s="30" t="n">
        <f aca="false">H21-J21</f>
        <v>47976.87</v>
      </c>
      <c r="N21" s="30" t="n">
        <f aca="false">H21-K21</f>
        <v>47976.87</v>
      </c>
      <c r="O21" s="9" t="s">
        <v>136</v>
      </c>
      <c r="P21" s="9" t="str">
        <f aca="false">IF(H21=0,"Sin PIM",IF(ROUND(K21-H21,2)&gt;=0,"Devengado total",IF(J21&gt;0.005,"Comprometido",IF(I21&gt;0.005,"Solo certificado","Sin certificar"))))</f>
        <v>Comprometido</v>
      </c>
      <c r="Q21" s="30" t="n">
        <v>159740</v>
      </c>
      <c r="R21" s="30" t="n">
        <v>0</v>
      </c>
      <c r="S21" s="30" t="n">
        <v>0</v>
      </c>
      <c r="T21" s="30" t="n">
        <v>0</v>
      </c>
      <c r="U21" s="9"/>
      <c r="V21" s="9"/>
    </row>
    <row r="22" customFormat="false" ht="32.8" hidden="false" customHeight="false" outlineLevel="0" collapsed="false">
      <c r="A22" s="9" t="s">
        <v>89</v>
      </c>
      <c r="B22" s="9" t="s">
        <v>13</v>
      </c>
      <c r="C22" s="9" t="s">
        <v>90</v>
      </c>
      <c r="D22" s="9" t="s">
        <v>49</v>
      </c>
      <c r="E22" s="9" t="s">
        <v>137</v>
      </c>
      <c r="F22" s="9" t="n">
        <v>490</v>
      </c>
      <c r="G22" s="28" t="s">
        <v>138</v>
      </c>
      <c r="H22" s="29" t="n">
        <v>28700</v>
      </c>
      <c r="I22" s="29" t="n">
        <v>0</v>
      </c>
      <c r="J22" s="29" t="n">
        <v>0</v>
      </c>
      <c r="K22" s="29" t="n">
        <v>0</v>
      </c>
      <c r="L22" s="30" t="n">
        <f aca="false">H22-I22</f>
        <v>28700</v>
      </c>
      <c r="M22" s="30" t="n">
        <f aca="false">H22-J22</f>
        <v>28700</v>
      </c>
      <c r="N22" s="30" t="n">
        <f aca="false">H22-K22</f>
        <v>28700</v>
      </c>
      <c r="O22" s="9" t="s">
        <v>139</v>
      </c>
      <c r="P22" s="9" t="str">
        <f aca="false">IF(H22=0,"Sin PIM",IF(ROUND(K22-H22,2)&gt;=0,"Devengado total",IF(J22&gt;0.005,"Comprometido",IF(I22&gt;0.005,"Solo certificado","Sin certificar"))))</f>
        <v>Sin certificar</v>
      </c>
      <c r="Q22" s="30" t="n">
        <v>539829</v>
      </c>
      <c r="R22" s="30" t="n">
        <v>504509</v>
      </c>
      <c r="S22" s="30" t="n">
        <v>0</v>
      </c>
      <c r="T22" s="30" t="n">
        <v>0</v>
      </c>
      <c r="U22" s="9"/>
      <c r="V22" s="9"/>
    </row>
    <row r="23" customFormat="false" ht="32.8" hidden="false" customHeight="false" outlineLevel="0" collapsed="false">
      <c r="A23" s="9" t="s">
        <v>89</v>
      </c>
      <c r="B23" s="9" t="s">
        <v>13</v>
      </c>
      <c r="C23" s="9" t="s">
        <v>90</v>
      </c>
      <c r="D23" s="9" t="s">
        <v>49</v>
      </c>
      <c r="E23" s="9" t="s">
        <v>137</v>
      </c>
      <c r="F23" s="9" t="n">
        <v>489</v>
      </c>
      <c r="G23" s="28" t="s">
        <v>138</v>
      </c>
      <c r="H23" s="29" t="n">
        <v>25000</v>
      </c>
      <c r="I23" s="29" t="n">
        <v>0</v>
      </c>
      <c r="J23" s="29" t="n">
        <v>0</v>
      </c>
      <c r="K23" s="29" t="n">
        <v>0</v>
      </c>
      <c r="L23" s="30" t="n">
        <f aca="false">H23-I23</f>
        <v>25000</v>
      </c>
      <c r="M23" s="30" t="n">
        <f aca="false">H23-J23</f>
        <v>25000</v>
      </c>
      <c r="N23" s="30" t="n">
        <f aca="false">H23-K23</f>
        <v>25000</v>
      </c>
      <c r="O23" s="9" t="s">
        <v>139</v>
      </c>
      <c r="P23" s="9" t="str">
        <f aca="false">IF(H23=0,"Sin PIM",IF(ROUND(K23-H23,2)&gt;=0,"Devengado total",IF(J23&gt;0.005,"Comprometido",IF(I23&gt;0.005,"Solo certificado","Sin certificar"))))</f>
        <v>Sin certificar</v>
      </c>
      <c r="Q23" s="30" t="n">
        <v>539829</v>
      </c>
      <c r="R23" s="30" t="n">
        <v>504509</v>
      </c>
      <c r="S23" s="30" t="n">
        <v>0</v>
      </c>
      <c r="T23" s="30" t="n">
        <v>0</v>
      </c>
      <c r="U23" s="9"/>
      <c r="V23" s="9"/>
    </row>
    <row r="24" customFormat="false" ht="64.15" hidden="false" customHeight="false" outlineLevel="0" collapsed="false">
      <c r="A24" s="9" t="s">
        <v>89</v>
      </c>
      <c r="B24" s="9" t="s">
        <v>13</v>
      </c>
      <c r="C24" s="9" t="s">
        <v>90</v>
      </c>
      <c r="D24" s="9" t="s">
        <v>49</v>
      </c>
      <c r="E24" s="9" t="s">
        <v>140</v>
      </c>
      <c r="F24" s="9" t="n">
        <v>484</v>
      </c>
      <c r="G24" s="28" t="s">
        <v>141</v>
      </c>
      <c r="H24" s="29" t="n">
        <v>23560</v>
      </c>
      <c r="I24" s="29" t="n">
        <v>22650</v>
      </c>
      <c r="J24" s="29" t="n">
        <v>22650</v>
      </c>
      <c r="K24" s="29" t="n">
        <v>14282.09</v>
      </c>
      <c r="L24" s="30" t="n">
        <f aca="false">H24-I24</f>
        <v>910</v>
      </c>
      <c r="M24" s="30" t="n">
        <f aca="false">H24-J24</f>
        <v>910</v>
      </c>
      <c r="N24" s="30" t="n">
        <f aca="false">H24-K24</f>
        <v>9277.91</v>
      </c>
      <c r="O24" s="9" t="s">
        <v>114</v>
      </c>
      <c r="P24" s="9" t="str">
        <f aca="false">IF(H24=0,"Sin PIM",IF(ROUND(K24-H24,2)&gt;=0,"Devengado total",IF(J24&gt;0.005,"Comprometido",IF(I24&gt;0.005,"Solo certificado","Sin certificar"))))</f>
        <v>Comprometido</v>
      </c>
      <c r="Q24" s="30" t="n">
        <v>23560</v>
      </c>
      <c r="R24" s="30" t="n">
        <v>27080</v>
      </c>
      <c r="S24" s="30" t="n">
        <v>0</v>
      </c>
      <c r="T24" s="30" t="n">
        <v>0</v>
      </c>
      <c r="U24" s="9"/>
      <c r="V24" s="9"/>
    </row>
    <row r="25" customFormat="false" ht="32.8" hidden="false" customHeight="false" outlineLevel="0" collapsed="false">
      <c r="A25" s="9" t="s">
        <v>89</v>
      </c>
      <c r="B25" s="9" t="s">
        <v>13</v>
      </c>
      <c r="C25" s="9" t="s">
        <v>90</v>
      </c>
      <c r="D25" s="9" t="s">
        <v>49</v>
      </c>
      <c r="E25" s="9" t="s">
        <v>142</v>
      </c>
      <c r="F25" s="9" t="n">
        <v>453</v>
      </c>
      <c r="G25" s="28" t="s">
        <v>143</v>
      </c>
      <c r="H25" s="29" t="n">
        <v>17714</v>
      </c>
      <c r="I25" s="29" t="n">
        <v>14228.68</v>
      </c>
      <c r="J25" s="29" t="n">
        <v>14228.68</v>
      </c>
      <c r="K25" s="29" t="n">
        <v>9749.8</v>
      </c>
      <c r="L25" s="30" t="n">
        <f aca="false">H25-I25</f>
        <v>3485.32</v>
      </c>
      <c r="M25" s="30" t="n">
        <f aca="false">H25-J25</f>
        <v>3485.32</v>
      </c>
      <c r="N25" s="30" t="n">
        <f aca="false">H25-K25</f>
        <v>7964.2</v>
      </c>
      <c r="O25" s="9" t="s">
        <v>144</v>
      </c>
      <c r="P25" s="9" t="str">
        <f aca="false">IF(H25=0,"Sin PIM",IF(ROUND(K25-H25,2)&gt;=0,"Devengado total",IF(J25&gt;0.005,"Comprometido",IF(I25&gt;0.005,"Solo certificado","Sin certificar"))))</f>
        <v>Comprometido</v>
      </c>
      <c r="Q25" s="30" t="n">
        <v>13915</v>
      </c>
      <c r="R25" s="30" t="n">
        <v>0</v>
      </c>
      <c r="S25" s="30" t="n">
        <v>0</v>
      </c>
      <c r="T25" s="30" t="n">
        <v>0</v>
      </c>
      <c r="U25" s="9"/>
      <c r="V25" s="9"/>
    </row>
    <row r="26" customFormat="false" ht="32.8" hidden="false" customHeight="false" outlineLevel="0" collapsed="false">
      <c r="A26" s="9" t="s">
        <v>89</v>
      </c>
      <c r="B26" s="9" t="s">
        <v>13</v>
      </c>
      <c r="C26" s="9" t="s">
        <v>90</v>
      </c>
      <c r="D26" s="9" t="s">
        <v>49</v>
      </c>
      <c r="E26" s="9" t="s">
        <v>145</v>
      </c>
      <c r="F26" s="9" t="n">
        <v>24</v>
      </c>
      <c r="G26" s="28" t="s">
        <v>146</v>
      </c>
      <c r="H26" s="29" t="n">
        <v>0</v>
      </c>
      <c r="I26" s="29" t="n">
        <v>0</v>
      </c>
      <c r="J26" s="29" t="n">
        <v>0</v>
      </c>
      <c r="K26" s="29" t="n">
        <v>0</v>
      </c>
      <c r="L26" s="30" t="n">
        <f aca="false">H26-I26</f>
        <v>0</v>
      </c>
      <c r="M26" s="30" t="n">
        <f aca="false">H26-J26</f>
        <v>0</v>
      </c>
      <c r="N26" s="30" t="n">
        <f aca="false">H26-K26</f>
        <v>0</v>
      </c>
      <c r="O26" s="9" t="s">
        <v>120</v>
      </c>
      <c r="P26" s="9" t="str">
        <f aca="false">IF(H26=0,"Sin PIM",IF(ROUND(K26-H26,2)&gt;=0,"Devengado total",IF(J26&gt;0.005,"Comprometido",IF(I26&gt;0.005,"Solo certificado","Sin certificar"))))</f>
        <v>Sin PIM</v>
      </c>
      <c r="Q26" s="30" t="s">
        <v>97</v>
      </c>
      <c r="R26" s="30" t="s">
        <v>97</v>
      </c>
      <c r="S26" s="30" t="s">
        <v>97</v>
      </c>
      <c r="T26" s="30" t="s">
        <v>97</v>
      </c>
      <c r="U26" s="9"/>
      <c r="V26" s="9"/>
    </row>
    <row r="27" customFormat="false" ht="32.8" hidden="false" customHeight="false" outlineLevel="0" collapsed="false">
      <c r="A27" s="9" t="s">
        <v>89</v>
      </c>
      <c r="B27" s="9" t="s">
        <v>13</v>
      </c>
      <c r="C27" s="9" t="s">
        <v>90</v>
      </c>
      <c r="D27" s="9" t="s">
        <v>49</v>
      </c>
      <c r="E27" s="9" t="s">
        <v>147</v>
      </c>
      <c r="F27" s="9" t="n">
        <v>168</v>
      </c>
      <c r="G27" s="28" t="s">
        <v>148</v>
      </c>
      <c r="H27" s="29" t="n">
        <v>728529</v>
      </c>
      <c r="I27" s="29" t="n">
        <v>0</v>
      </c>
      <c r="J27" s="29" t="n">
        <v>0</v>
      </c>
      <c r="K27" s="29" t="n">
        <v>0</v>
      </c>
      <c r="L27" s="30" t="n">
        <f aca="false">H27-I27</f>
        <v>728529</v>
      </c>
      <c r="M27" s="30" t="n">
        <f aca="false">H27-J27</f>
        <v>728529</v>
      </c>
      <c r="N27" s="30" t="n">
        <f aca="false">H27-K27</f>
        <v>728529</v>
      </c>
      <c r="O27" s="9" t="s">
        <v>149</v>
      </c>
      <c r="P27" s="9" t="str">
        <f aca="false">IF(H27=0,"Sin PIM",IF(ROUND(K27-H27,2)&gt;=0,"Devengado total",IF(J27&gt;0.005,"Comprometido",IF(I27&gt;0.005,"Solo certificado","Sin certificar"))))</f>
        <v>Sin certificar</v>
      </c>
      <c r="Q27" s="30" t="n">
        <v>699403</v>
      </c>
      <c r="R27" s="30" t="n">
        <v>0</v>
      </c>
      <c r="S27" s="30" t="n">
        <v>0</v>
      </c>
      <c r="T27" s="30" t="n">
        <v>0</v>
      </c>
      <c r="U27" s="9"/>
      <c r="V27" s="9"/>
    </row>
    <row r="28" customFormat="false" ht="32.8" hidden="false" customHeight="false" outlineLevel="0" collapsed="false">
      <c r="A28" s="9" t="s">
        <v>89</v>
      </c>
      <c r="B28" s="9" t="s">
        <v>13</v>
      </c>
      <c r="C28" s="9" t="s">
        <v>90</v>
      </c>
      <c r="D28" s="9" t="s">
        <v>49</v>
      </c>
      <c r="E28" s="9" t="s">
        <v>150</v>
      </c>
      <c r="F28" s="9" t="n">
        <v>464</v>
      </c>
      <c r="G28" s="28" t="s">
        <v>151</v>
      </c>
      <c r="H28" s="29" t="n">
        <v>40621</v>
      </c>
      <c r="I28" s="29" t="n">
        <v>28914.4</v>
      </c>
      <c r="J28" s="29" t="n">
        <v>28914.4</v>
      </c>
      <c r="K28" s="29" t="n">
        <v>27953.93</v>
      </c>
      <c r="L28" s="30" t="n">
        <f aca="false">H28-I28</f>
        <v>11706.6</v>
      </c>
      <c r="M28" s="30" t="n">
        <f aca="false">H28-J28</f>
        <v>11706.6</v>
      </c>
      <c r="N28" s="30" t="n">
        <f aca="false">H28-K28</f>
        <v>12667.07</v>
      </c>
      <c r="O28" s="9" t="s">
        <v>152</v>
      </c>
      <c r="P28" s="9" t="str">
        <f aca="false">IF(H28=0,"Sin PIM",IF(ROUND(K28-H28,2)&gt;=0,"Devengado total",IF(J28&gt;0.005,"Comprometido",IF(I28&gt;0.005,"Solo certificado","Sin certificar"))))</f>
        <v>Comprometido</v>
      </c>
      <c r="Q28" s="30" t="n">
        <v>2455</v>
      </c>
      <c r="R28" s="30" t="n">
        <v>0</v>
      </c>
      <c r="S28" s="30" t="n">
        <v>0</v>
      </c>
      <c r="T28" s="30" t="n">
        <v>0</v>
      </c>
      <c r="U28" s="9"/>
      <c r="V28" s="9"/>
    </row>
    <row r="29" customFormat="false" ht="32.8" hidden="false" customHeight="false" outlineLevel="0" collapsed="false">
      <c r="A29" s="9" t="s">
        <v>89</v>
      </c>
      <c r="B29" s="9" t="s">
        <v>13</v>
      </c>
      <c r="C29" s="9" t="s">
        <v>90</v>
      </c>
      <c r="D29" s="9" t="s">
        <v>49</v>
      </c>
      <c r="E29" s="9" t="s">
        <v>153</v>
      </c>
      <c r="F29" s="9" t="n">
        <v>169</v>
      </c>
      <c r="G29" s="28" t="s">
        <v>154</v>
      </c>
      <c r="H29" s="29" t="n">
        <v>0</v>
      </c>
      <c r="I29" s="29" t="n">
        <v>0</v>
      </c>
      <c r="J29" s="29" t="n">
        <v>0</v>
      </c>
      <c r="K29" s="29" t="n">
        <v>0</v>
      </c>
      <c r="L29" s="30" t="n">
        <f aca="false">H29-I29</f>
        <v>0</v>
      </c>
      <c r="M29" s="30" t="n">
        <f aca="false">H29-J29</f>
        <v>0</v>
      </c>
      <c r="N29" s="30" t="n">
        <f aca="false">H29-K29</f>
        <v>0</v>
      </c>
      <c r="O29" s="9" t="s">
        <v>120</v>
      </c>
      <c r="P29" s="9" t="str">
        <f aca="false">IF(H29=0,"Sin PIM",IF(ROUND(K29-H29,2)&gt;=0,"Devengado total",IF(J29&gt;0.005,"Comprometido",IF(I29&gt;0.005,"Solo certificado","Sin certificar"))))</f>
        <v>Sin PIM</v>
      </c>
      <c r="Q29" s="30" t="n">
        <v>2878733</v>
      </c>
      <c r="R29" s="30" t="n">
        <v>0</v>
      </c>
      <c r="S29" s="30" t="n">
        <v>0</v>
      </c>
      <c r="T29" s="30" t="n">
        <v>0</v>
      </c>
      <c r="U29" s="9"/>
      <c r="V29" s="9"/>
    </row>
    <row r="30" customFormat="false" ht="32.8" hidden="false" customHeight="false" outlineLevel="0" collapsed="false">
      <c r="A30" s="9" t="s">
        <v>89</v>
      </c>
      <c r="B30" s="9" t="s">
        <v>13</v>
      </c>
      <c r="C30" s="9" t="s">
        <v>90</v>
      </c>
      <c r="D30" s="9" t="s">
        <v>49</v>
      </c>
      <c r="E30" s="9" t="s">
        <v>137</v>
      </c>
      <c r="F30" s="9" t="n">
        <v>27</v>
      </c>
      <c r="G30" s="28" t="s">
        <v>138</v>
      </c>
      <c r="H30" s="29" t="n">
        <v>855386</v>
      </c>
      <c r="I30" s="29" t="n">
        <v>725859.11</v>
      </c>
      <c r="J30" s="29" t="n">
        <v>718409.61</v>
      </c>
      <c r="K30" s="29" t="n">
        <v>715665.61</v>
      </c>
      <c r="L30" s="30" t="n">
        <f aca="false">H30-I30</f>
        <v>129526.89</v>
      </c>
      <c r="M30" s="30" t="n">
        <f aca="false">H30-J30</f>
        <v>136976.39</v>
      </c>
      <c r="N30" s="30" t="n">
        <f aca="false">H30-K30</f>
        <v>139720.39</v>
      </c>
      <c r="O30" s="9" t="s">
        <v>125</v>
      </c>
      <c r="P30" s="9" t="str">
        <f aca="false">IF(H30=0,"Sin PIM",IF(ROUND(K30-H30,2)&gt;=0,"Devengado total",IF(J30&gt;0.005,"Comprometido",IF(I30&gt;0.005,"Solo certificado","Sin certificar"))))</f>
        <v>Comprometido</v>
      </c>
      <c r="Q30" s="30" t="n">
        <v>539829</v>
      </c>
      <c r="R30" s="30" t="n">
        <v>504509</v>
      </c>
      <c r="S30" s="30" t="n">
        <v>0</v>
      </c>
      <c r="T30" s="30" t="n">
        <v>0</v>
      </c>
      <c r="U30" s="9"/>
      <c r="V30" s="9"/>
    </row>
    <row r="31" customFormat="false" ht="32.8" hidden="false" customHeight="false" outlineLevel="0" collapsed="false">
      <c r="A31" s="9" t="s">
        <v>89</v>
      </c>
      <c r="B31" s="9" t="s">
        <v>13</v>
      </c>
      <c r="C31" s="9" t="s">
        <v>90</v>
      </c>
      <c r="D31" s="9" t="s">
        <v>49</v>
      </c>
      <c r="E31" s="9" t="s">
        <v>155</v>
      </c>
      <c r="F31" s="9" t="n">
        <v>22</v>
      </c>
      <c r="G31" s="28" t="s">
        <v>156</v>
      </c>
      <c r="H31" s="29" t="n">
        <v>77590</v>
      </c>
      <c r="I31" s="29" t="n">
        <v>76159.18</v>
      </c>
      <c r="J31" s="29" t="n">
        <v>76159.18</v>
      </c>
      <c r="K31" s="29" t="n">
        <v>76159.18</v>
      </c>
      <c r="L31" s="30" t="n">
        <f aca="false">H31-I31</f>
        <v>1430.82000000001</v>
      </c>
      <c r="M31" s="30" t="n">
        <f aca="false">H31-J31</f>
        <v>1430.82000000001</v>
      </c>
      <c r="N31" s="30" t="n">
        <f aca="false">H31-K31</f>
        <v>1430.82000000001</v>
      </c>
      <c r="O31" s="9" t="s">
        <v>114</v>
      </c>
      <c r="P31" s="9" t="str">
        <f aca="false">IF(H31=0,"Sin PIM",IF(ROUND(K31-H31,2)&gt;=0,"Devengado total",IF(J31&gt;0.005,"Comprometido",IF(I31&gt;0.005,"Solo certificado","Sin certificar"))))</f>
        <v>Comprometido</v>
      </c>
      <c r="Q31" s="30" t="n">
        <v>357505</v>
      </c>
      <c r="R31" s="30" t="n">
        <v>0</v>
      </c>
      <c r="S31" s="30" t="n">
        <v>0</v>
      </c>
      <c r="T31" s="30" t="n">
        <v>344884</v>
      </c>
      <c r="U31" s="9"/>
      <c r="V31" s="9"/>
    </row>
    <row r="32" customFormat="false" ht="32.8" hidden="false" customHeight="false" outlineLevel="0" collapsed="false">
      <c r="A32" s="9" t="s">
        <v>89</v>
      </c>
      <c r="B32" s="9" t="s">
        <v>13</v>
      </c>
      <c r="C32" s="9" t="s">
        <v>90</v>
      </c>
      <c r="D32" s="9" t="s">
        <v>49</v>
      </c>
      <c r="E32" s="9" t="s">
        <v>157</v>
      </c>
      <c r="F32" s="9" t="n">
        <v>37</v>
      </c>
      <c r="G32" s="28" t="s">
        <v>158</v>
      </c>
      <c r="H32" s="29" t="n">
        <v>50132</v>
      </c>
      <c r="I32" s="29" t="n">
        <v>47450.05</v>
      </c>
      <c r="J32" s="29" t="n">
        <v>47450.05</v>
      </c>
      <c r="K32" s="29" t="n">
        <v>47450.05</v>
      </c>
      <c r="L32" s="30" t="n">
        <f aca="false">H32-I32</f>
        <v>2681.95</v>
      </c>
      <c r="M32" s="30" t="n">
        <f aca="false">H32-J32</f>
        <v>2681.95</v>
      </c>
      <c r="N32" s="30" t="n">
        <f aca="false">H32-K32</f>
        <v>2681.95</v>
      </c>
      <c r="O32" s="9" t="s">
        <v>120</v>
      </c>
      <c r="P32" s="9" t="str">
        <f aca="false">IF(H32=0,"Sin PIM",IF(ROUND(K32-H32,2)&gt;=0,"Devengado total",IF(J32&gt;0.005,"Comprometido",IF(I32&gt;0.005,"Solo certificado","Sin certificar"))))</f>
        <v>Comprometido</v>
      </c>
      <c r="Q32" s="30" t="n">
        <v>175369</v>
      </c>
      <c r="R32" s="30" t="n">
        <v>79091</v>
      </c>
      <c r="S32" s="30" t="n">
        <v>583672</v>
      </c>
      <c r="T32" s="30" t="n">
        <v>0</v>
      </c>
      <c r="U32" s="9"/>
      <c r="V32" s="9"/>
    </row>
    <row r="33" customFormat="false" ht="22.35" hidden="false" customHeight="false" outlineLevel="0" collapsed="false">
      <c r="A33" s="9" t="s">
        <v>89</v>
      </c>
      <c r="B33" s="9" t="s">
        <v>13</v>
      </c>
      <c r="C33" s="9" t="s">
        <v>90</v>
      </c>
      <c r="D33" s="9" t="s">
        <v>50</v>
      </c>
      <c r="E33" s="9" t="s">
        <v>159</v>
      </c>
      <c r="F33" s="9" t="n">
        <v>95</v>
      </c>
      <c r="G33" s="28" t="s">
        <v>160</v>
      </c>
      <c r="H33" s="29" t="n">
        <v>18401182</v>
      </c>
      <c r="I33" s="29" t="n">
        <v>17764557.93</v>
      </c>
      <c r="J33" s="29" t="n">
        <v>17200006.53</v>
      </c>
      <c r="K33" s="29" t="n">
        <v>15484259.86</v>
      </c>
      <c r="L33" s="30" t="n">
        <f aca="false">H33-I33</f>
        <v>636624.07</v>
      </c>
      <c r="M33" s="30" t="n">
        <f aca="false">H33-J33</f>
        <v>1201175.47</v>
      </c>
      <c r="N33" s="30" t="n">
        <f aca="false">H33-K33</f>
        <v>2916922.14</v>
      </c>
      <c r="O33" s="9" t="s">
        <v>100</v>
      </c>
      <c r="P33" s="9" t="str">
        <f aca="false">IF(H33=0,"Sin PIM",IF(ROUND(K33-H33,2)&gt;=0,"Devengado total",IF(J33&gt;0.005,"Comprometido",IF(I33&gt;0.005,"Solo certificado","Sin certificar"))))</f>
        <v>Comprometido</v>
      </c>
      <c r="Q33" s="30" t="n">
        <v>9922902</v>
      </c>
      <c r="R33" s="30" t="n">
        <v>180000</v>
      </c>
      <c r="S33" s="30" t="n">
        <v>0</v>
      </c>
      <c r="T33" s="30" t="n">
        <v>0</v>
      </c>
      <c r="U33" s="9"/>
      <c r="V33" s="9"/>
    </row>
    <row r="34" customFormat="false" ht="43.25" hidden="false" customHeight="false" outlineLevel="0" collapsed="false">
      <c r="A34" s="9" t="s">
        <v>89</v>
      </c>
      <c r="B34" s="9" t="s">
        <v>13</v>
      </c>
      <c r="C34" s="9" t="s">
        <v>90</v>
      </c>
      <c r="D34" s="9" t="s">
        <v>50</v>
      </c>
      <c r="E34" s="9" t="s">
        <v>161</v>
      </c>
      <c r="F34" s="9" t="n">
        <v>98</v>
      </c>
      <c r="G34" s="28" t="s">
        <v>162</v>
      </c>
      <c r="H34" s="29" t="n">
        <v>10002053</v>
      </c>
      <c r="I34" s="29" t="n">
        <v>9636351.48</v>
      </c>
      <c r="J34" s="29" t="n">
        <v>9595158.27</v>
      </c>
      <c r="K34" s="29" t="n">
        <v>5473965.06</v>
      </c>
      <c r="L34" s="30" t="n">
        <f aca="false">H34-I34</f>
        <v>365701.519999998</v>
      </c>
      <c r="M34" s="30" t="n">
        <f aca="false">H34-J34</f>
        <v>406894.73</v>
      </c>
      <c r="N34" s="30" t="n">
        <f aca="false">H34-K34</f>
        <v>4528087.94</v>
      </c>
      <c r="O34" s="9" t="s">
        <v>100</v>
      </c>
      <c r="P34" s="9" t="str">
        <f aca="false">IF(H34=0,"Sin PIM",IF(ROUND(K34-H34,2)&gt;=0,"Devengado total",IF(J34&gt;0.005,"Comprometido",IF(I34&gt;0.005,"Solo certificado","Sin certificar"))))</f>
        <v>Comprometido</v>
      </c>
      <c r="Q34" s="30" t="n">
        <v>4289351</v>
      </c>
      <c r="R34" s="30" t="n">
        <v>500000</v>
      </c>
      <c r="S34" s="30" t="n">
        <v>109570</v>
      </c>
      <c r="T34" s="30" t="n">
        <v>0</v>
      </c>
      <c r="U34" s="9"/>
      <c r="V34" s="9"/>
    </row>
    <row r="35" customFormat="false" ht="43.25" hidden="false" customHeight="false" outlineLevel="0" collapsed="false">
      <c r="A35" s="9" t="s">
        <v>89</v>
      </c>
      <c r="B35" s="9" t="s">
        <v>13</v>
      </c>
      <c r="C35" s="9" t="s">
        <v>90</v>
      </c>
      <c r="D35" s="9" t="s">
        <v>50</v>
      </c>
      <c r="E35" s="9" t="s">
        <v>163</v>
      </c>
      <c r="F35" s="9" t="n">
        <v>112</v>
      </c>
      <c r="G35" s="28" t="s">
        <v>164</v>
      </c>
      <c r="H35" s="29" t="n">
        <v>3297813</v>
      </c>
      <c r="I35" s="29" t="n">
        <v>3286650.45</v>
      </c>
      <c r="J35" s="29" t="n">
        <v>3286650.45</v>
      </c>
      <c r="K35" s="29" t="n">
        <v>3269277.28</v>
      </c>
      <c r="L35" s="30" t="n">
        <f aca="false">H35-I35</f>
        <v>11162.5499999998</v>
      </c>
      <c r="M35" s="30" t="n">
        <f aca="false">H35-J35</f>
        <v>11162.5499999998</v>
      </c>
      <c r="N35" s="30" t="n">
        <f aca="false">H35-K35</f>
        <v>28535.7200000002</v>
      </c>
      <c r="O35" s="9" t="s">
        <v>165</v>
      </c>
      <c r="P35" s="9" t="str">
        <f aca="false">IF(H35=0,"Sin PIM",IF(ROUND(K35-H35,2)&gt;=0,"Devengado total",IF(J35&gt;0.005,"Comprometido",IF(I35&gt;0.005,"Solo certificado","Sin certificar"))))</f>
        <v>Comprometido</v>
      </c>
      <c r="Q35" s="30" t="n">
        <v>5406629</v>
      </c>
      <c r="R35" s="30" t="n">
        <v>0</v>
      </c>
      <c r="S35" s="30" t="n">
        <v>304959</v>
      </c>
      <c r="T35" s="30" t="n">
        <v>0</v>
      </c>
      <c r="U35" s="9"/>
      <c r="V35" s="9"/>
    </row>
    <row r="36" customFormat="false" ht="64.15" hidden="false" customHeight="false" outlineLevel="0" collapsed="false">
      <c r="A36" s="9" t="s">
        <v>89</v>
      </c>
      <c r="B36" s="9" t="s">
        <v>13</v>
      </c>
      <c r="C36" s="9" t="s">
        <v>90</v>
      </c>
      <c r="D36" s="9" t="s">
        <v>50</v>
      </c>
      <c r="E36" s="9" t="s">
        <v>166</v>
      </c>
      <c r="F36" s="9" t="n">
        <v>99</v>
      </c>
      <c r="G36" s="28" t="s">
        <v>167</v>
      </c>
      <c r="H36" s="29" t="n">
        <v>2394023</v>
      </c>
      <c r="I36" s="29" t="n">
        <v>2316938.79</v>
      </c>
      <c r="J36" s="29" t="n">
        <v>2310743.79</v>
      </c>
      <c r="K36" s="29" t="n">
        <v>1138698.84</v>
      </c>
      <c r="L36" s="30" t="n">
        <f aca="false">H36-I36</f>
        <v>77084.21</v>
      </c>
      <c r="M36" s="30" t="n">
        <f aca="false">H36-J36</f>
        <v>83279.21</v>
      </c>
      <c r="N36" s="30" t="n">
        <f aca="false">H36-K36</f>
        <v>1255324.16</v>
      </c>
      <c r="O36" s="9" t="s">
        <v>100</v>
      </c>
      <c r="P36" s="9" t="str">
        <f aca="false">IF(H36=0,"Sin PIM",IF(ROUND(K36-H36,2)&gt;=0,"Devengado total",IF(J36&gt;0.005,"Comprometido",IF(I36&gt;0.005,"Solo certificado","Sin certificar"))))</f>
        <v>Comprometido</v>
      </c>
      <c r="Q36" s="30" t="n">
        <v>3545977</v>
      </c>
      <c r="R36" s="30" t="n">
        <v>1000000</v>
      </c>
      <c r="S36" s="30" t="n">
        <v>3651450</v>
      </c>
      <c r="T36" s="30" t="n">
        <v>1489826</v>
      </c>
      <c r="U36" s="9"/>
      <c r="V36" s="9"/>
    </row>
    <row r="37" customFormat="false" ht="32.8" hidden="false" customHeight="false" outlineLevel="0" collapsed="false">
      <c r="A37" s="9" t="s">
        <v>89</v>
      </c>
      <c r="B37" s="9" t="s">
        <v>13</v>
      </c>
      <c r="C37" s="9" t="s">
        <v>90</v>
      </c>
      <c r="D37" s="9" t="s">
        <v>50</v>
      </c>
      <c r="E37" s="9" t="s">
        <v>168</v>
      </c>
      <c r="F37" s="9" t="n">
        <v>87</v>
      </c>
      <c r="G37" s="28" t="s">
        <v>169</v>
      </c>
      <c r="H37" s="29" t="n">
        <v>1122559</v>
      </c>
      <c r="I37" s="29" t="n">
        <v>1117871.05</v>
      </c>
      <c r="J37" s="29" t="n">
        <v>1117871.05</v>
      </c>
      <c r="K37" s="29" t="n">
        <v>1042098.56</v>
      </c>
      <c r="L37" s="30" t="n">
        <f aca="false">H37-I37</f>
        <v>4687.94999999995</v>
      </c>
      <c r="M37" s="30" t="n">
        <f aca="false">H37-J37</f>
        <v>4687.94999999995</v>
      </c>
      <c r="N37" s="30" t="n">
        <f aca="false">H37-K37</f>
        <v>80460.4399999999</v>
      </c>
      <c r="O37" s="9" t="s">
        <v>100</v>
      </c>
      <c r="P37" s="9" t="str">
        <f aca="false">IF(H37=0,"Sin PIM",IF(ROUND(K37-H37,2)&gt;=0,"Devengado total",IF(J37&gt;0.005,"Comprometido",IF(I37&gt;0.005,"Solo certificado","Sin certificar"))))</f>
        <v>Comprometido</v>
      </c>
      <c r="Q37" s="30" t="n">
        <v>1404195</v>
      </c>
      <c r="R37" s="30" t="n">
        <v>324567</v>
      </c>
      <c r="S37" s="30" t="n">
        <v>0</v>
      </c>
      <c r="T37" s="30" t="n">
        <v>936265</v>
      </c>
      <c r="U37" s="9"/>
      <c r="V37" s="9"/>
    </row>
    <row r="38" customFormat="false" ht="22.35" hidden="false" customHeight="false" outlineLevel="0" collapsed="false">
      <c r="A38" s="9" t="s">
        <v>89</v>
      </c>
      <c r="B38" s="9" t="s">
        <v>13</v>
      </c>
      <c r="C38" s="9" t="s">
        <v>90</v>
      </c>
      <c r="D38" s="9" t="s">
        <v>50</v>
      </c>
      <c r="E38" s="9" t="s">
        <v>170</v>
      </c>
      <c r="F38" s="9" t="n">
        <v>92</v>
      </c>
      <c r="G38" s="28" t="s">
        <v>171</v>
      </c>
      <c r="H38" s="29" t="n">
        <v>1202934</v>
      </c>
      <c r="I38" s="29" t="n">
        <v>1151623.79</v>
      </c>
      <c r="J38" s="29" t="n">
        <v>1151623.79</v>
      </c>
      <c r="K38" s="29" t="n">
        <v>1105100.42</v>
      </c>
      <c r="L38" s="30" t="n">
        <f aca="false">H38-I38</f>
        <v>51310.21</v>
      </c>
      <c r="M38" s="30" t="n">
        <f aca="false">H38-J38</f>
        <v>51310.21</v>
      </c>
      <c r="N38" s="30" t="n">
        <f aca="false">H38-K38</f>
        <v>97833.5800000001</v>
      </c>
      <c r="O38" s="9" t="s">
        <v>100</v>
      </c>
      <c r="P38" s="9" t="str">
        <f aca="false">IF(H38=0,"Sin PIM",IF(ROUND(K38-H38,2)&gt;=0,"Devengado total",IF(J38&gt;0.005,"Comprometido",IF(I38&gt;0.005,"Solo certificado","Sin certificar"))))</f>
        <v>Comprometido</v>
      </c>
      <c r="Q38" s="30" t="n">
        <v>2596051</v>
      </c>
      <c r="R38" s="30" t="n">
        <v>120000</v>
      </c>
      <c r="S38" s="30" t="n">
        <v>2215461</v>
      </c>
      <c r="T38" s="30" t="n">
        <v>3675255</v>
      </c>
      <c r="U38" s="9"/>
      <c r="V38" s="9"/>
    </row>
    <row r="39" customFormat="false" ht="32.8" hidden="false" customHeight="false" outlineLevel="0" collapsed="false">
      <c r="A39" s="9" t="s">
        <v>89</v>
      </c>
      <c r="B39" s="9" t="s">
        <v>13</v>
      </c>
      <c r="C39" s="9" t="s">
        <v>90</v>
      </c>
      <c r="D39" s="9" t="s">
        <v>50</v>
      </c>
      <c r="E39" s="9" t="s">
        <v>172</v>
      </c>
      <c r="F39" s="9" t="n">
        <v>104</v>
      </c>
      <c r="G39" s="28" t="s">
        <v>173</v>
      </c>
      <c r="H39" s="29" t="n">
        <v>167638</v>
      </c>
      <c r="I39" s="29" t="n">
        <v>167637.03</v>
      </c>
      <c r="J39" s="29" t="n">
        <v>167637.03</v>
      </c>
      <c r="K39" s="29" t="n">
        <v>124800.07</v>
      </c>
      <c r="L39" s="30" t="n">
        <f aca="false">H39-I39</f>
        <v>0.970000000001164</v>
      </c>
      <c r="M39" s="30" t="n">
        <f aca="false">H39-J39</f>
        <v>0.970000000001164</v>
      </c>
      <c r="N39" s="30" t="n">
        <f aca="false">H39-K39</f>
        <v>42837.93</v>
      </c>
      <c r="O39" s="9" t="s">
        <v>139</v>
      </c>
      <c r="P39" s="9" t="str">
        <f aca="false">IF(H39=0,"Sin PIM",IF(ROUND(K39-H39,2)&gt;=0,"Devengado total",IF(J39&gt;0.005,"Comprometido",IF(I39&gt;0.005,"Solo certificado","Sin certificar"))))</f>
        <v>Comprometido</v>
      </c>
      <c r="Q39" s="30" t="n">
        <v>1200000</v>
      </c>
      <c r="R39" s="30" t="n">
        <v>2500000</v>
      </c>
      <c r="S39" s="30" t="n">
        <v>2882362</v>
      </c>
      <c r="T39" s="30" t="n">
        <v>1526602</v>
      </c>
      <c r="U39" s="9"/>
      <c r="V39" s="9"/>
    </row>
    <row r="40" customFormat="false" ht="43.25" hidden="false" customHeight="false" outlineLevel="0" collapsed="false">
      <c r="A40" s="9" t="s">
        <v>89</v>
      </c>
      <c r="B40" s="9" t="s">
        <v>13</v>
      </c>
      <c r="C40" s="9" t="s">
        <v>90</v>
      </c>
      <c r="D40" s="9" t="s">
        <v>50</v>
      </c>
      <c r="E40" s="9" t="s">
        <v>174</v>
      </c>
      <c r="F40" s="9" t="n">
        <v>101</v>
      </c>
      <c r="G40" s="28" t="s">
        <v>175</v>
      </c>
      <c r="H40" s="29" t="n">
        <v>844818</v>
      </c>
      <c r="I40" s="29" t="n">
        <v>75387.03</v>
      </c>
      <c r="J40" s="29" t="n">
        <v>75387.03</v>
      </c>
      <c r="K40" s="29" t="n">
        <v>75387.03</v>
      </c>
      <c r="L40" s="30" t="n">
        <f aca="false">H40-I40</f>
        <v>769430.97</v>
      </c>
      <c r="M40" s="30" t="n">
        <f aca="false">H40-J40</f>
        <v>769430.97</v>
      </c>
      <c r="N40" s="30" t="n">
        <f aca="false">H40-K40</f>
        <v>769430.97</v>
      </c>
      <c r="O40" s="9" t="s">
        <v>176</v>
      </c>
      <c r="P40" s="9" t="str">
        <f aca="false">IF(H40=0,"Sin PIM",IF(ROUND(K40-H40,2)&gt;=0,"Devengado total",IF(J40&gt;0.005,"Comprometido",IF(I40&gt;0.005,"Solo certificado","Sin certificar"))))</f>
        <v>Comprometido</v>
      </c>
      <c r="Q40" s="30" t="n">
        <v>1050000</v>
      </c>
      <c r="R40" s="30" t="n">
        <v>50000</v>
      </c>
      <c r="S40" s="30" t="n">
        <v>1054806</v>
      </c>
      <c r="T40" s="30" t="n">
        <v>0</v>
      </c>
      <c r="U40" s="9"/>
      <c r="V40" s="9"/>
    </row>
    <row r="41" customFormat="false" ht="43.25" hidden="false" customHeight="false" outlineLevel="0" collapsed="false">
      <c r="A41" s="9" t="s">
        <v>89</v>
      </c>
      <c r="B41" s="9" t="s">
        <v>13</v>
      </c>
      <c r="C41" s="9" t="s">
        <v>90</v>
      </c>
      <c r="D41" s="9" t="s">
        <v>50</v>
      </c>
      <c r="E41" s="9" t="s">
        <v>177</v>
      </c>
      <c r="F41" s="9" t="n">
        <v>166</v>
      </c>
      <c r="G41" s="28" t="s">
        <v>178</v>
      </c>
      <c r="H41" s="29" t="n">
        <v>0</v>
      </c>
      <c r="I41" s="29" t="n">
        <v>0</v>
      </c>
      <c r="J41" s="29" t="n">
        <v>0</v>
      </c>
      <c r="K41" s="29" t="n">
        <v>0</v>
      </c>
      <c r="L41" s="30" t="n">
        <f aca="false">H41-I41</f>
        <v>0</v>
      </c>
      <c r="M41" s="30" t="n">
        <f aca="false">H41-J41</f>
        <v>0</v>
      </c>
      <c r="N41" s="30" t="n">
        <f aca="false">H41-K41</f>
        <v>0</v>
      </c>
      <c r="O41" s="9" t="s">
        <v>139</v>
      </c>
      <c r="P41" s="9" t="str">
        <f aca="false">IF(H41=0,"Sin PIM",IF(ROUND(K41-H41,2)&gt;=0,"Devengado total",IF(J41&gt;0.005,"Comprometido",IF(I41&gt;0.005,"Solo certificado","Sin certificar"))))</f>
        <v>Sin PIM</v>
      </c>
      <c r="Q41" s="30" t="n">
        <v>675842</v>
      </c>
      <c r="R41" s="30" t="n">
        <v>110000</v>
      </c>
      <c r="S41" s="30" t="n">
        <v>0</v>
      </c>
      <c r="T41" s="30" t="n">
        <v>0</v>
      </c>
      <c r="U41" s="9"/>
      <c r="V41" s="9"/>
    </row>
    <row r="42" customFormat="false" ht="22.35" hidden="false" customHeight="false" outlineLevel="0" collapsed="false">
      <c r="A42" s="9" t="s">
        <v>89</v>
      </c>
      <c r="B42" s="9" t="s">
        <v>13</v>
      </c>
      <c r="C42" s="9" t="s">
        <v>90</v>
      </c>
      <c r="D42" s="9" t="s">
        <v>50</v>
      </c>
      <c r="E42" s="9" t="s">
        <v>179</v>
      </c>
      <c r="F42" s="9" t="n">
        <v>90</v>
      </c>
      <c r="G42" s="28" t="s">
        <v>180</v>
      </c>
      <c r="H42" s="29" t="n">
        <v>459851</v>
      </c>
      <c r="I42" s="29" t="n">
        <v>344060.18</v>
      </c>
      <c r="J42" s="29" t="n">
        <v>344060.18</v>
      </c>
      <c r="K42" s="29" t="n">
        <v>300345.76</v>
      </c>
      <c r="L42" s="30" t="n">
        <f aca="false">H42-I42</f>
        <v>115790.82</v>
      </c>
      <c r="M42" s="30" t="n">
        <f aca="false">H42-J42</f>
        <v>115790.82</v>
      </c>
      <c r="N42" s="30" t="n">
        <f aca="false">H42-K42</f>
        <v>159505.24</v>
      </c>
      <c r="O42" s="9" t="s">
        <v>181</v>
      </c>
      <c r="P42" s="9" t="str">
        <f aca="false">IF(H42=0,"Sin PIM",IF(ROUND(K42-H42,2)&gt;=0,"Devengado total",IF(J42&gt;0.005,"Comprometido",IF(I42&gt;0.005,"Solo certificado","Sin certificar"))))</f>
        <v>Comprometido</v>
      </c>
      <c r="Q42" s="30" t="n">
        <v>4800690</v>
      </c>
      <c r="R42" s="30" t="n">
        <v>4000000</v>
      </c>
      <c r="S42" s="30" t="n">
        <v>14883202</v>
      </c>
      <c r="T42" s="30" t="n">
        <v>19038629</v>
      </c>
      <c r="U42" s="9"/>
      <c r="V42" s="9"/>
    </row>
    <row r="43" customFormat="false" ht="32.8" hidden="false" customHeight="false" outlineLevel="0" collapsed="false">
      <c r="A43" s="9" t="s">
        <v>89</v>
      </c>
      <c r="B43" s="9" t="s">
        <v>13</v>
      </c>
      <c r="C43" s="9" t="s">
        <v>90</v>
      </c>
      <c r="D43" s="9" t="s">
        <v>50</v>
      </c>
      <c r="E43" s="9" t="s">
        <v>182</v>
      </c>
      <c r="F43" s="9" t="n">
        <v>96</v>
      </c>
      <c r="G43" s="28" t="s">
        <v>183</v>
      </c>
      <c r="H43" s="29" t="n">
        <v>91759</v>
      </c>
      <c r="I43" s="29" t="n">
        <v>91758.5</v>
      </c>
      <c r="J43" s="29" t="n">
        <v>82308.5</v>
      </c>
      <c r="K43" s="29" t="n">
        <v>82094.58</v>
      </c>
      <c r="L43" s="30" t="n">
        <f aca="false">H43-I43</f>
        <v>0.5</v>
      </c>
      <c r="M43" s="30" t="n">
        <f aca="false">H43-J43</f>
        <v>9450.5</v>
      </c>
      <c r="N43" s="30" t="n">
        <f aca="false">H43-K43</f>
        <v>9664.42</v>
      </c>
      <c r="O43" s="9" t="s">
        <v>144</v>
      </c>
      <c r="P43" s="9" t="str">
        <f aca="false">IF(H43=0,"Sin PIM",IF(ROUND(K43-H43,2)&gt;=0,"Devengado total",IF(J43&gt;0.005,"Comprometido",IF(I43&gt;0.005,"Solo certificado","Sin certificar"))))</f>
        <v>Comprometido</v>
      </c>
      <c r="Q43" s="30" t="n">
        <v>774665</v>
      </c>
      <c r="R43" s="30" t="n">
        <v>0</v>
      </c>
      <c r="S43" s="30" t="n">
        <v>707599</v>
      </c>
      <c r="T43" s="30" t="n">
        <v>0</v>
      </c>
      <c r="U43" s="9"/>
      <c r="V43" s="9"/>
    </row>
    <row r="44" customFormat="false" ht="32.8" hidden="false" customHeight="false" outlineLevel="0" collapsed="false">
      <c r="A44" s="9" t="s">
        <v>89</v>
      </c>
      <c r="B44" s="9" t="s">
        <v>13</v>
      </c>
      <c r="C44" s="9" t="s">
        <v>90</v>
      </c>
      <c r="D44" s="9" t="s">
        <v>50</v>
      </c>
      <c r="E44" s="9" t="s">
        <v>184</v>
      </c>
      <c r="F44" s="9" t="n">
        <v>113</v>
      </c>
      <c r="G44" s="28" t="s">
        <v>185</v>
      </c>
      <c r="H44" s="29" t="n">
        <v>104124</v>
      </c>
      <c r="I44" s="29" t="n">
        <v>48234.88</v>
      </c>
      <c r="J44" s="29" t="n">
        <v>48234.88</v>
      </c>
      <c r="K44" s="29" t="n">
        <v>48234.88</v>
      </c>
      <c r="L44" s="30" t="n">
        <f aca="false">H44-I44</f>
        <v>55889.12</v>
      </c>
      <c r="M44" s="30" t="n">
        <f aca="false">H44-J44</f>
        <v>55889.12</v>
      </c>
      <c r="N44" s="30" t="n">
        <f aca="false">H44-K44</f>
        <v>55889.12</v>
      </c>
      <c r="O44" s="9" t="s">
        <v>100</v>
      </c>
      <c r="P44" s="9" t="str">
        <f aca="false">IF(H44=0,"Sin PIM",IF(ROUND(K44-H44,2)&gt;=0,"Devengado total",IF(J44&gt;0.005,"Comprometido",IF(I44&gt;0.005,"Solo certificado","Sin certificar"))))</f>
        <v>Comprometido</v>
      </c>
      <c r="Q44" s="30" t="n">
        <v>228677</v>
      </c>
      <c r="R44" s="30" t="n">
        <v>0</v>
      </c>
      <c r="S44" s="30" t="n">
        <v>0</v>
      </c>
      <c r="T44" s="30" t="n">
        <v>865181</v>
      </c>
      <c r="U44" s="9"/>
      <c r="V44" s="9"/>
    </row>
    <row r="45" customFormat="false" ht="32.8" hidden="false" customHeight="false" outlineLevel="0" collapsed="false">
      <c r="A45" s="9" t="s">
        <v>89</v>
      </c>
      <c r="B45" s="9" t="s">
        <v>13</v>
      </c>
      <c r="C45" s="9" t="s">
        <v>90</v>
      </c>
      <c r="D45" s="9" t="s">
        <v>50</v>
      </c>
      <c r="E45" s="9" t="s">
        <v>186</v>
      </c>
      <c r="F45" s="9" t="n">
        <v>107</v>
      </c>
      <c r="G45" s="28" t="s">
        <v>187</v>
      </c>
      <c r="H45" s="29" t="n">
        <v>22224878</v>
      </c>
      <c r="I45" s="29" t="n">
        <v>21946068.2</v>
      </c>
      <c r="J45" s="29" t="n">
        <v>18817053.32</v>
      </c>
      <c r="K45" s="29" t="n">
        <v>7073509.56</v>
      </c>
      <c r="L45" s="30" t="n">
        <f aca="false">H45-I45</f>
        <v>278809.800000001</v>
      </c>
      <c r="M45" s="30" t="n">
        <f aca="false">H45-J45</f>
        <v>3407824.68</v>
      </c>
      <c r="N45" s="30" t="n">
        <f aca="false">H45-K45</f>
        <v>15151368.44</v>
      </c>
      <c r="O45" s="9" t="s">
        <v>188</v>
      </c>
      <c r="P45" s="9" t="str">
        <f aca="false">IF(H45=0,"Sin PIM",IF(ROUND(K45-H45,2)&gt;=0,"Devengado total",IF(J45&gt;0.005,"Comprometido",IF(I45&gt;0.005,"Solo certificado","Sin certificar"))))</f>
        <v>Comprometido</v>
      </c>
      <c r="Q45" s="30" t="s">
        <v>97</v>
      </c>
      <c r="R45" s="30" t="s">
        <v>97</v>
      </c>
      <c r="S45" s="30" t="s">
        <v>97</v>
      </c>
      <c r="T45" s="30" t="s">
        <v>97</v>
      </c>
      <c r="U45" s="9"/>
      <c r="V45" s="9"/>
    </row>
    <row r="46" customFormat="false" ht="53.7" hidden="false" customHeight="false" outlineLevel="0" collapsed="false">
      <c r="A46" s="9" t="s">
        <v>89</v>
      </c>
      <c r="B46" s="9" t="s">
        <v>13</v>
      </c>
      <c r="C46" s="9" t="s">
        <v>90</v>
      </c>
      <c r="D46" s="9" t="s">
        <v>50</v>
      </c>
      <c r="E46" s="9" t="s">
        <v>189</v>
      </c>
      <c r="F46" s="9" t="n">
        <v>124</v>
      </c>
      <c r="G46" s="28" t="s">
        <v>190</v>
      </c>
      <c r="H46" s="29" t="n">
        <v>11412366</v>
      </c>
      <c r="I46" s="29" t="n">
        <v>10878205.23</v>
      </c>
      <c r="J46" s="29" t="n">
        <v>8794639.23</v>
      </c>
      <c r="K46" s="29" t="n">
        <v>6860678.42</v>
      </c>
      <c r="L46" s="30" t="n">
        <f aca="false">H46-I46</f>
        <v>534160.77</v>
      </c>
      <c r="M46" s="30" t="n">
        <f aca="false">H46-J46</f>
        <v>2617726.77</v>
      </c>
      <c r="N46" s="30" t="n">
        <f aca="false">H46-K46</f>
        <v>4551687.58</v>
      </c>
      <c r="O46" s="9" t="s">
        <v>191</v>
      </c>
      <c r="P46" s="9" t="str">
        <f aca="false">IF(H46=0,"Sin PIM",IF(ROUND(K46-H46,2)&gt;=0,"Devengado total",IF(J46&gt;0.005,"Comprometido",IF(I46&gt;0.005,"Solo certificado","Sin certificar"))))</f>
        <v>Comprometido</v>
      </c>
      <c r="Q46" s="30" t="n">
        <v>2800000</v>
      </c>
      <c r="R46" s="30" t="n">
        <v>10234564</v>
      </c>
      <c r="S46" s="30" t="n">
        <v>6182303</v>
      </c>
      <c r="T46" s="30" t="n">
        <v>9563936</v>
      </c>
      <c r="U46" s="9"/>
      <c r="V46" s="9"/>
    </row>
    <row r="47" customFormat="false" ht="53.7" hidden="false" customHeight="false" outlineLevel="0" collapsed="false">
      <c r="A47" s="9" t="s">
        <v>89</v>
      </c>
      <c r="B47" s="9" t="s">
        <v>13</v>
      </c>
      <c r="C47" s="9" t="s">
        <v>90</v>
      </c>
      <c r="D47" s="9" t="s">
        <v>50</v>
      </c>
      <c r="E47" s="9" t="s">
        <v>192</v>
      </c>
      <c r="F47" s="9" t="n">
        <v>116</v>
      </c>
      <c r="G47" s="28" t="s">
        <v>193</v>
      </c>
      <c r="H47" s="29" t="n">
        <v>6736048</v>
      </c>
      <c r="I47" s="29" t="n">
        <v>6652871.21</v>
      </c>
      <c r="J47" s="29" t="n">
        <v>5551874.71</v>
      </c>
      <c r="K47" s="29" t="n">
        <v>3336854.35</v>
      </c>
      <c r="L47" s="30" t="n">
        <f aca="false">H47-I47</f>
        <v>83176.79</v>
      </c>
      <c r="M47" s="30" t="n">
        <f aca="false">H47-J47</f>
        <v>1184173.29</v>
      </c>
      <c r="N47" s="30" t="n">
        <f aca="false">H47-K47</f>
        <v>3399193.65</v>
      </c>
      <c r="O47" s="9" t="s">
        <v>194</v>
      </c>
      <c r="P47" s="9" t="str">
        <f aca="false">IF(H47=0,"Sin PIM",IF(ROUND(K47-H47,2)&gt;=0,"Devengado total",IF(J47&gt;0.005,"Comprometido",IF(I47&gt;0.005,"Solo certificado","Sin certificar"))))</f>
        <v>Comprometido</v>
      </c>
      <c r="Q47" s="30" t="n">
        <v>800000</v>
      </c>
      <c r="R47" s="30" t="n">
        <v>12057170</v>
      </c>
      <c r="S47" s="30" t="n">
        <v>6000000</v>
      </c>
      <c r="T47" s="30" t="n">
        <v>7375100</v>
      </c>
      <c r="U47" s="9"/>
      <c r="V47" s="9"/>
    </row>
    <row r="48" customFormat="false" ht="43.25" hidden="false" customHeight="false" outlineLevel="0" collapsed="false">
      <c r="A48" s="9" t="s">
        <v>89</v>
      </c>
      <c r="B48" s="9" t="s">
        <v>13</v>
      </c>
      <c r="C48" s="9" t="s">
        <v>90</v>
      </c>
      <c r="D48" s="9" t="s">
        <v>50</v>
      </c>
      <c r="E48" s="9" t="s">
        <v>195</v>
      </c>
      <c r="F48" s="9" t="n">
        <v>123</v>
      </c>
      <c r="G48" s="28" t="s">
        <v>196</v>
      </c>
      <c r="H48" s="29" t="n">
        <v>9037622</v>
      </c>
      <c r="I48" s="29" t="n">
        <v>8236997.09</v>
      </c>
      <c r="J48" s="29" t="n">
        <v>7212897.09</v>
      </c>
      <c r="K48" s="29" t="n">
        <v>5290297.7</v>
      </c>
      <c r="L48" s="30" t="n">
        <f aca="false">H48-I48</f>
        <v>800624.91</v>
      </c>
      <c r="M48" s="30" t="n">
        <f aca="false">H48-J48</f>
        <v>1824724.91</v>
      </c>
      <c r="N48" s="30" t="n">
        <f aca="false">H48-K48</f>
        <v>3747324.3</v>
      </c>
      <c r="O48" s="9" t="s">
        <v>197</v>
      </c>
      <c r="P48" s="9" t="str">
        <f aca="false">IF(H48=0,"Sin PIM",IF(ROUND(K48-H48,2)&gt;=0,"Devengado total",IF(J48&gt;0.005,"Comprometido",IF(I48&gt;0.005,"Solo certificado","Sin certificar"))))</f>
        <v>Comprometido</v>
      </c>
      <c r="Q48" s="30" t="n">
        <v>2500000</v>
      </c>
      <c r="R48" s="30" t="n">
        <v>6578987</v>
      </c>
      <c r="S48" s="30" t="n">
        <v>6552040</v>
      </c>
      <c r="T48" s="30" t="n">
        <v>2921013</v>
      </c>
      <c r="U48" s="9"/>
      <c r="V48" s="9"/>
    </row>
    <row r="49" customFormat="false" ht="22.35" hidden="false" customHeight="false" outlineLevel="0" collapsed="false">
      <c r="A49" s="9" t="s">
        <v>89</v>
      </c>
      <c r="B49" s="9" t="s">
        <v>13</v>
      </c>
      <c r="C49" s="9" t="s">
        <v>90</v>
      </c>
      <c r="D49" s="9" t="s">
        <v>50</v>
      </c>
      <c r="E49" s="9" t="s">
        <v>198</v>
      </c>
      <c r="F49" s="9" t="n">
        <v>94</v>
      </c>
      <c r="G49" s="28" t="s">
        <v>199</v>
      </c>
      <c r="H49" s="29" t="n">
        <v>67139</v>
      </c>
      <c r="I49" s="29" t="n">
        <v>0</v>
      </c>
      <c r="J49" s="29" t="n">
        <v>0</v>
      </c>
      <c r="K49" s="29" t="n">
        <v>0</v>
      </c>
      <c r="L49" s="30" t="n">
        <f aca="false">H49-I49</f>
        <v>67139</v>
      </c>
      <c r="M49" s="30" t="n">
        <f aca="false">H49-J49</f>
        <v>67139</v>
      </c>
      <c r="N49" s="30" t="n">
        <f aca="false">H49-K49</f>
        <v>67139</v>
      </c>
      <c r="O49" s="9" t="s">
        <v>120</v>
      </c>
      <c r="P49" s="9" t="str">
        <f aca="false">IF(H49=0,"Sin PIM",IF(ROUND(K49-H49,2)&gt;=0,"Devengado total",IF(J49&gt;0.005,"Comprometido",IF(I49&gt;0.005,"Solo certificado","Sin certificar"))))</f>
        <v>Sin certificar</v>
      </c>
      <c r="Q49" s="30" t="n">
        <v>1732548</v>
      </c>
      <c r="R49" s="30" t="n">
        <v>0</v>
      </c>
      <c r="S49" s="30" t="n">
        <v>2325267</v>
      </c>
      <c r="T49" s="30" t="n">
        <v>0</v>
      </c>
      <c r="U49" s="9"/>
      <c r="V49" s="9"/>
    </row>
    <row r="50" customFormat="false" ht="43.25" hidden="false" customHeight="false" outlineLevel="0" collapsed="false">
      <c r="A50" s="9" t="s">
        <v>89</v>
      </c>
      <c r="B50" s="9" t="s">
        <v>13</v>
      </c>
      <c r="C50" s="9" t="s">
        <v>90</v>
      </c>
      <c r="D50" s="9" t="s">
        <v>50</v>
      </c>
      <c r="E50" s="9" t="s">
        <v>200</v>
      </c>
      <c r="F50" s="9" t="n">
        <v>433</v>
      </c>
      <c r="G50" s="28" t="s">
        <v>201</v>
      </c>
      <c r="H50" s="29" t="n">
        <v>105000</v>
      </c>
      <c r="I50" s="29" t="n">
        <v>44312.3</v>
      </c>
      <c r="J50" s="29" t="n">
        <v>44312.3</v>
      </c>
      <c r="K50" s="29" t="n">
        <v>39935.87</v>
      </c>
      <c r="L50" s="30" t="n">
        <f aca="false">H50-I50</f>
        <v>60687.7</v>
      </c>
      <c r="M50" s="30" t="n">
        <f aca="false">H50-J50</f>
        <v>60687.7</v>
      </c>
      <c r="N50" s="30" t="n">
        <f aca="false">H50-K50</f>
        <v>65064.13</v>
      </c>
      <c r="O50" s="9" t="s">
        <v>100</v>
      </c>
      <c r="P50" s="9" t="str">
        <f aca="false">IF(H50=0,"Sin PIM",IF(ROUND(K50-H50,2)&gt;=0,"Devengado total",IF(J50&gt;0.005,"Comprometido",IF(I50&gt;0.005,"Solo certificado","Sin certificar"))))</f>
        <v>Comprometido</v>
      </c>
      <c r="Q50" s="30" t="n">
        <v>105000</v>
      </c>
      <c r="R50" s="30" t="n">
        <v>0</v>
      </c>
      <c r="S50" s="30" t="n">
        <v>0</v>
      </c>
      <c r="T50" s="30" t="n">
        <v>0</v>
      </c>
      <c r="U50" s="9"/>
      <c r="V50" s="9"/>
    </row>
    <row r="51" customFormat="false" ht="53.7" hidden="false" customHeight="false" outlineLevel="0" collapsed="false">
      <c r="A51" s="9" t="s">
        <v>89</v>
      </c>
      <c r="B51" s="9" t="s">
        <v>13</v>
      </c>
      <c r="C51" s="9" t="s">
        <v>90</v>
      </c>
      <c r="D51" s="9" t="s">
        <v>50</v>
      </c>
      <c r="E51" s="9" t="s">
        <v>192</v>
      </c>
      <c r="F51" s="9" t="n">
        <v>508</v>
      </c>
      <c r="G51" s="28" t="s">
        <v>202</v>
      </c>
      <c r="H51" s="29" t="n">
        <v>94054</v>
      </c>
      <c r="I51" s="29" t="n">
        <v>94054</v>
      </c>
      <c r="J51" s="29" t="n">
        <v>94054</v>
      </c>
      <c r="K51" s="29" t="n">
        <v>60075.86</v>
      </c>
      <c r="L51" s="30" t="n">
        <f aca="false">H51-I51</f>
        <v>0</v>
      </c>
      <c r="M51" s="30" t="n">
        <f aca="false">H51-J51</f>
        <v>0</v>
      </c>
      <c r="N51" s="30" t="n">
        <f aca="false">H51-K51</f>
        <v>33978.14</v>
      </c>
      <c r="O51" s="9" t="s">
        <v>133</v>
      </c>
      <c r="P51" s="9" t="str">
        <f aca="false">IF(H51=0,"Sin PIM",IF(ROUND(K51-H51,2)&gt;=0,"Devengado total",IF(J51&gt;0.005,"Comprometido",IF(I51&gt;0.005,"Solo certificado","Sin certificar"))))</f>
        <v>Comprometido</v>
      </c>
      <c r="Q51" s="30" t="n">
        <v>800000</v>
      </c>
      <c r="R51" s="30" t="n">
        <v>12057170</v>
      </c>
      <c r="S51" s="30" t="n">
        <v>6000000</v>
      </c>
      <c r="T51" s="30" t="n">
        <v>7375100</v>
      </c>
      <c r="U51" s="9"/>
      <c r="V51" s="9"/>
    </row>
    <row r="52" customFormat="false" ht="43.25" hidden="false" customHeight="false" outlineLevel="0" collapsed="false">
      <c r="A52" s="9" t="s">
        <v>89</v>
      </c>
      <c r="B52" s="9" t="s">
        <v>13</v>
      </c>
      <c r="C52" s="9" t="s">
        <v>90</v>
      </c>
      <c r="D52" s="9" t="s">
        <v>50</v>
      </c>
      <c r="E52" s="9" t="s">
        <v>203</v>
      </c>
      <c r="F52" s="9" t="n">
        <v>457</v>
      </c>
      <c r="G52" s="28" t="s">
        <v>204</v>
      </c>
      <c r="H52" s="29" t="n">
        <v>28752</v>
      </c>
      <c r="I52" s="29" t="n">
        <v>28751.6</v>
      </c>
      <c r="J52" s="29" t="n">
        <v>28751.6</v>
      </c>
      <c r="K52" s="29" t="n">
        <v>28751.6</v>
      </c>
      <c r="L52" s="30" t="n">
        <f aca="false">H52-I52</f>
        <v>0.400000000001455</v>
      </c>
      <c r="M52" s="30" t="n">
        <f aca="false">H52-J52</f>
        <v>0.400000000001455</v>
      </c>
      <c r="N52" s="30" t="n">
        <f aca="false">H52-K52</f>
        <v>0.400000000001455</v>
      </c>
      <c r="O52" s="9" t="s">
        <v>139</v>
      </c>
      <c r="P52" s="9" t="str">
        <f aca="false">IF(H52=0,"Sin PIM",IF(ROUND(K52-H52,2)&gt;=0,"Devengado total",IF(J52&gt;0.005,"Comprometido",IF(I52&gt;0.005,"Solo certificado","Sin certificar"))))</f>
        <v>Comprometido</v>
      </c>
      <c r="Q52" s="30" t="n">
        <v>28752</v>
      </c>
      <c r="R52" s="30" t="n">
        <v>50000</v>
      </c>
      <c r="S52" s="30" t="n">
        <v>0</v>
      </c>
      <c r="T52" s="30" t="n">
        <v>0</v>
      </c>
      <c r="U52" s="9"/>
      <c r="V52" s="9"/>
    </row>
    <row r="53" customFormat="false" ht="22.35" hidden="false" customHeight="false" outlineLevel="0" collapsed="false">
      <c r="A53" s="9" t="s">
        <v>89</v>
      </c>
      <c r="B53" s="9" t="s">
        <v>13</v>
      </c>
      <c r="C53" s="9" t="s">
        <v>90</v>
      </c>
      <c r="D53" s="9" t="s">
        <v>50</v>
      </c>
      <c r="E53" s="9" t="s">
        <v>205</v>
      </c>
      <c r="F53" s="9" t="n">
        <v>88</v>
      </c>
      <c r="G53" s="28" t="s">
        <v>206</v>
      </c>
      <c r="H53" s="29" t="n">
        <v>0</v>
      </c>
      <c r="I53" s="29" t="n">
        <v>0</v>
      </c>
      <c r="J53" s="29" t="n">
        <v>0</v>
      </c>
      <c r="K53" s="29" t="n">
        <v>0</v>
      </c>
      <c r="L53" s="30" t="n">
        <f aca="false">H53-I53</f>
        <v>0</v>
      </c>
      <c r="M53" s="30" t="n">
        <f aca="false">H53-J53</f>
        <v>0</v>
      </c>
      <c r="N53" s="30" t="n">
        <f aca="false">H53-K53</f>
        <v>0</v>
      </c>
      <c r="O53" s="9" t="s">
        <v>207</v>
      </c>
      <c r="P53" s="9" t="str">
        <f aca="false">IF(H53=0,"Sin PIM",IF(ROUND(K53-H53,2)&gt;=0,"Devengado total",IF(J53&gt;0.005,"Comprometido",IF(I53&gt;0.005,"Solo certificado","Sin certificar"))))</f>
        <v>Sin PIM</v>
      </c>
      <c r="Q53" s="30" t="n">
        <v>7600000</v>
      </c>
      <c r="R53" s="30" t="n">
        <v>413080</v>
      </c>
      <c r="S53" s="30" t="n">
        <v>1413086</v>
      </c>
      <c r="T53" s="30" t="n">
        <v>5797708</v>
      </c>
      <c r="U53" s="9"/>
      <c r="V53" s="9"/>
    </row>
    <row r="54" customFormat="false" ht="32.8" hidden="false" customHeight="false" outlineLevel="0" collapsed="false">
      <c r="A54" s="9" t="s">
        <v>89</v>
      </c>
      <c r="B54" s="9" t="s">
        <v>13</v>
      </c>
      <c r="C54" s="9" t="s">
        <v>90</v>
      </c>
      <c r="D54" s="9" t="s">
        <v>50</v>
      </c>
      <c r="E54" s="9" t="s">
        <v>208</v>
      </c>
      <c r="F54" s="9" t="n">
        <v>89</v>
      </c>
      <c r="G54" s="28" t="s">
        <v>209</v>
      </c>
      <c r="H54" s="29" t="n">
        <v>0</v>
      </c>
      <c r="I54" s="29" t="n">
        <v>0</v>
      </c>
      <c r="J54" s="29" t="n">
        <v>0</v>
      </c>
      <c r="K54" s="29" t="n">
        <v>0</v>
      </c>
      <c r="L54" s="30" t="n">
        <f aca="false">H54-I54</f>
        <v>0</v>
      </c>
      <c r="M54" s="30" t="n">
        <f aca="false">H54-J54</f>
        <v>0</v>
      </c>
      <c r="N54" s="30" t="n">
        <f aca="false">H54-K54</f>
        <v>0</v>
      </c>
      <c r="O54" s="9" t="s">
        <v>120</v>
      </c>
      <c r="P54" s="9" t="str">
        <f aca="false">IF(H54=0,"Sin PIM",IF(ROUND(K54-H54,2)&gt;=0,"Devengado total",IF(J54&gt;0.005,"Comprometido",IF(I54&gt;0.005,"Solo certificado","Sin certificar"))))</f>
        <v>Sin PIM</v>
      </c>
      <c r="Q54" s="30" t="n">
        <v>3778561</v>
      </c>
      <c r="R54" s="30" t="n">
        <v>0</v>
      </c>
      <c r="S54" s="30" t="n">
        <v>0</v>
      </c>
      <c r="T54" s="30" t="n">
        <v>1047863</v>
      </c>
      <c r="U54" s="9"/>
      <c r="V54" s="9"/>
    </row>
    <row r="55" customFormat="false" ht="32.8" hidden="false" customHeight="false" outlineLevel="0" collapsed="false">
      <c r="A55" s="9" t="s">
        <v>89</v>
      </c>
      <c r="B55" s="9" t="s">
        <v>13</v>
      </c>
      <c r="C55" s="9" t="s">
        <v>90</v>
      </c>
      <c r="D55" s="9" t="s">
        <v>50</v>
      </c>
      <c r="E55" s="9" t="s">
        <v>210</v>
      </c>
      <c r="F55" s="9" t="n">
        <v>97</v>
      </c>
      <c r="G55" s="28" t="s">
        <v>211</v>
      </c>
      <c r="H55" s="29" t="n">
        <v>0</v>
      </c>
      <c r="I55" s="29" t="n">
        <v>0</v>
      </c>
      <c r="J55" s="29" t="n">
        <v>0</v>
      </c>
      <c r="K55" s="29" t="n">
        <v>0</v>
      </c>
      <c r="L55" s="30" t="n">
        <f aca="false">H55-I55</f>
        <v>0</v>
      </c>
      <c r="M55" s="30" t="n">
        <f aca="false">H55-J55</f>
        <v>0</v>
      </c>
      <c r="N55" s="30" t="n">
        <f aca="false">H55-K55</f>
        <v>0</v>
      </c>
      <c r="O55" s="9" t="s">
        <v>120</v>
      </c>
      <c r="P55" s="9" t="str">
        <f aca="false">IF(H55=0,"Sin PIM",IF(ROUND(K55-H55,2)&gt;=0,"Devengado total",IF(J55&gt;0.005,"Comprometido",IF(I55&gt;0.005,"Solo certificado","Sin certificar"))))</f>
        <v>Sin PIM</v>
      </c>
      <c r="Q55" s="30" t="n">
        <v>1023926</v>
      </c>
      <c r="R55" s="30" t="n">
        <v>0</v>
      </c>
      <c r="S55" s="30" t="n">
        <v>0</v>
      </c>
      <c r="T55" s="30" t="n">
        <v>0</v>
      </c>
      <c r="U55" s="9"/>
      <c r="V55" s="9"/>
    </row>
    <row r="56" customFormat="false" ht="53.7" hidden="false" customHeight="false" outlineLevel="0" collapsed="false">
      <c r="A56" s="9" t="s">
        <v>89</v>
      </c>
      <c r="B56" s="9" t="s">
        <v>13</v>
      </c>
      <c r="C56" s="9" t="s">
        <v>90</v>
      </c>
      <c r="D56" s="9" t="s">
        <v>50</v>
      </c>
      <c r="E56" s="9" t="s">
        <v>212</v>
      </c>
      <c r="F56" s="9" t="n">
        <v>108</v>
      </c>
      <c r="G56" s="28" t="s">
        <v>213</v>
      </c>
      <c r="H56" s="29" t="n">
        <v>0</v>
      </c>
      <c r="I56" s="29" t="n">
        <v>0</v>
      </c>
      <c r="J56" s="29" t="n">
        <v>0</v>
      </c>
      <c r="K56" s="29" t="n">
        <v>0</v>
      </c>
      <c r="L56" s="30" t="n">
        <f aca="false">H56-I56</f>
        <v>0</v>
      </c>
      <c r="M56" s="30" t="n">
        <f aca="false">H56-J56</f>
        <v>0</v>
      </c>
      <c r="N56" s="30" t="n">
        <f aca="false">H56-K56</f>
        <v>0</v>
      </c>
      <c r="O56" s="9" t="s">
        <v>120</v>
      </c>
      <c r="P56" s="9" t="str">
        <f aca="false">IF(H56=0,"Sin PIM",IF(ROUND(K56-H56,2)&gt;=0,"Devengado total",IF(J56&gt;0.005,"Comprometido",IF(I56&gt;0.005,"Solo certificado","Sin certificar"))))</f>
        <v>Sin PIM</v>
      </c>
      <c r="Q56" s="30" t="n">
        <v>800000</v>
      </c>
      <c r="R56" s="30" t="n">
        <v>2345478</v>
      </c>
      <c r="S56" s="30" t="n">
        <v>9005306</v>
      </c>
      <c r="T56" s="30" t="n">
        <v>19493721</v>
      </c>
      <c r="U56" s="9"/>
      <c r="V56" s="9"/>
    </row>
    <row r="57" customFormat="false" ht="32.8" hidden="false" customHeight="false" outlineLevel="0" collapsed="false">
      <c r="A57" s="9" t="s">
        <v>89</v>
      </c>
      <c r="B57" s="9" t="s">
        <v>13</v>
      </c>
      <c r="C57" s="9" t="s">
        <v>90</v>
      </c>
      <c r="D57" s="9" t="s">
        <v>51</v>
      </c>
      <c r="E57" s="9" t="s">
        <v>214</v>
      </c>
      <c r="F57" s="9" t="n">
        <v>217</v>
      </c>
      <c r="G57" s="28" t="s">
        <v>215</v>
      </c>
      <c r="H57" s="29" t="n">
        <v>5810277</v>
      </c>
      <c r="I57" s="29" t="n">
        <v>5204423.6</v>
      </c>
      <c r="J57" s="29" t="n">
        <v>3160250.05</v>
      </c>
      <c r="K57" s="29" t="n">
        <v>1157372.6</v>
      </c>
      <c r="L57" s="30" t="n">
        <f aca="false">H57-I57</f>
        <v>605853.4</v>
      </c>
      <c r="M57" s="30" t="n">
        <f aca="false">H57-J57</f>
        <v>2650026.95</v>
      </c>
      <c r="N57" s="30" t="n">
        <f aca="false">H57-K57</f>
        <v>4652904.4</v>
      </c>
      <c r="O57" s="9" t="s">
        <v>100</v>
      </c>
      <c r="P57" s="9" t="str">
        <f aca="false">IF(H57=0,"Sin PIM",IF(ROUND(K57-H57,2)&gt;=0,"Devengado total",IF(J57&gt;0.005,"Comprometido",IF(I57&gt;0.005,"Solo certificado","Sin certificar"))))</f>
        <v>Comprometido</v>
      </c>
      <c r="Q57" s="30" t="n">
        <v>6269000</v>
      </c>
      <c r="R57" s="30" t="n">
        <v>1345765</v>
      </c>
      <c r="S57" s="30" t="n">
        <v>5566267</v>
      </c>
      <c r="T57" s="30" t="n">
        <v>0</v>
      </c>
      <c r="U57" s="9"/>
      <c r="V57" s="9"/>
    </row>
    <row r="58" customFormat="false" ht="43.25" hidden="false" customHeight="false" outlineLevel="0" collapsed="false">
      <c r="A58" s="9" t="s">
        <v>89</v>
      </c>
      <c r="B58" s="9" t="s">
        <v>13</v>
      </c>
      <c r="C58" s="9" t="s">
        <v>90</v>
      </c>
      <c r="D58" s="9" t="s">
        <v>51</v>
      </c>
      <c r="E58" s="9" t="s">
        <v>216</v>
      </c>
      <c r="F58" s="9" t="n">
        <v>63</v>
      </c>
      <c r="G58" s="28" t="s">
        <v>217</v>
      </c>
      <c r="H58" s="29" t="n">
        <v>5921783</v>
      </c>
      <c r="I58" s="29" t="n">
        <v>5612635.52</v>
      </c>
      <c r="J58" s="29" t="n">
        <v>2263180.37</v>
      </c>
      <c r="K58" s="29" t="n">
        <v>1271806.72</v>
      </c>
      <c r="L58" s="30" t="n">
        <f aca="false">H58-I58</f>
        <v>309147.48</v>
      </c>
      <c r="M58" s="30" t="n">
        <f aca="false">H58-J58</f>
        <v>3658602.63</v>
      </c>
      <c r="N58" s="30" t="n">
        <f aca="false">H58-K58</f>
        <v>4649976.28</v>
      </c>
      <c r="O58" s="9" t="s">
        <v>218</v>
      </c>
      <c r="P58" s="9" t="str">
        <f aca="false">IF(H58=0,"Sin PIM",IF(ROUND(K58-H58,2)&gt;=0,"Devengado total",IF(J58&gt;0.005,"Comprometido",IF(I58&gt;0.005,"Solo certificado","Sin certificar"))))</f>
        <v>Comprometido</v>
      </c>
      <c r="Q58" s="30" t="n">
        <v>1139986</v>
      </c>
      <c r="R58" s="30" t="n">
        <v>500000</v>
      </c>
      <c r="S58" s="30" t="n">
        <v>3220643</v>
      </c>
      <c r="T58" s="30" t="n">
        <v>0</v>
      </c>
      <c r="U58" s="9"/>
      <c r="V58" s="9"/>
    </row>
    <row r="59" customFormat="false" ht="22.35" hidden="false" customHeight="false" outlineLevel="0" collapsed="false">
      <c r="A59" s="9" t="s">
        <v>89</v>
      </c>
      <c r="B59" s="9" t="s">
        <v>13</v>
      </c>
      <c r="C59" s="9" t="s">
        <v>90</v>
      </c>
      <c r="D59" s="9" t="s">
        <v>51</v>
      </c>
      <c r="E59" s="9" t="s">
        <v>219</v>
      </c>
      <c r="F59" s="9" t="n">
        <v>62</v>
      </c>
      <c r="G59" s="28" t="s">
        <v>220</v>
      </c>
      <c r="H59" s="29" t="n">
        <v>1180793</v>
      </c>
      <c r="I59" s="29" t="n">
        <v>1110291.73</v>
      </c>
      <c r="J59" s="29" t="n">
        <v>1110291.73</v>
      </c>
      <c r="K59" s="29" t="n">
        <v>1081390.27</v>
      </c>
      <c r="L59" s="30" t="n">
        <f aca="false">H59-I59</f>
        <v>70501.27</v>
      </c>
      <c r="M59" s="30" t="n">
        <f aca="false">H59-J59</f>
        <v>70501.27</v>
      </c>
      <c r="N59" s="30" t="n">
        <f aca="false">H59-K59</f>
        <v>99402.73</v>
      </c>
      <c r="O59" s="9" t="s">
        <v>139</v>
      </c>
      <c r="P59" s="9" t="str">
        <f aca="false">IF(H59=0,"Sin PIM",IF(ROUND(K59-H59,2)&gt;=0,"Devengado total",IF(J59&gt;0.005,"Comprometido",IF(I59&gt;0.005,"Solo certificado","Sin certificar"))))</f>
        <v>Comprometido</v>
      </c>
      <c r="Q59" s="30" t="n">
        <v>11675669</v>
      </c>
      <c r="R59" s="30" t="n">
        <v>6000000</v>
      </c>
      <c r="S59" s="30" t="n">
        <v>6503691</v>
      </c>
      <c r="T59" s="30" t="n">
        <v>7526858</v>
      </c>
      <c r="U59" s="9"/>
      <c r="V59" s="9"/>
    </row>
    <row r="60" customFormat="false" ht="53.7" hidden="false" customHeight="false" outlineLevel="0" collapsed="false">
      <c r="A60" s="9" t="s">
        <v>89</v>
      </c>
      <c r="B60" s="9" t="s">
        <v>13</v>
      </c>
      <c r="C60" s="9" t="s">
        <v>90</v>
      </c>
      <c r="D60" s="9" t="s">
        <v>51</v>
      </c>
      <c r="E60" s="9" t="s">
        <v>221</v>
      </c>
      <c r="F60" s="9" t="n">
        <v>72</v>
      </c>
      <c r="G60" s="28" t="s">
        <v>222</v>
      </c>
      <c r="H60" s="29" t="n">
        <v>2167000</v>
      </c>
      <c r="I60" s="29" t="n">
        <v>1860545</v>
      </c>
      <c r="J60" s="29" t="n">
        <v>1856334.8</v>
      </c>
      <c r="K60" s="29" t="n">
        <v>33059.94</v>
      </c>
      <c r="L60" s="30" t="n">
        <f aca="false">H60-I60</f>
        <v>306455</v>
      </c>
      <c r="M60" s="30" t="n">
        <f aca="false">H60-J60</f>
        <v>310665.2</v>
      </c>
      <c r="N60" s="30" t="n">
        <f aca="false">H60-K60</f>
        <v>2133940.06</v>
      </c>
      <c r="O60" s="9" t="s">
        <v>114</v>
      </c>
      <c r="P60" s="9" t="str">
        <f aca="false">IF(H60=0,"Sin PIM",IF(ROUND(K60-H60,2)&gt;=0,"Devengado total",IF(J60&gt;0.005,"Comprometido",IF(I60&gt;0.005,"Solo certificado","Sin certificar"))))</f>
        <v>Comprometido</v>
      </c>
      <c r="Q60" s="30" t="n">
        <v>2000000</v>
      </c>
      <c r="R60" s="30" t="n">
        <v>1547463</v>
      </c>
      <c r="S60" s="30" t="n">
        <v>0</v>
      </c>
      <c r="T60" s="30" t="n">
        <v>0</v>
      </c>
      <c r="U60" s="9"/>
      <c r="V60" s="9"/>
    </row>
    <row r="61" customFormat="false" ht="53.7" hidden="false" customHeight="false" outlineLevel="0" collapsed="false">
      <c r="A61" s="9" t="s">
        <v>89</v>
      </c>
      <c r="B61" s="9" t="s">
        <v>13</v>
      </c>
      <c r="C61" s="9" t="s">
        <v>90</v>
      </c>
      <c r="D61" s="9" t="s">
        <v>51</v>
      </c>
      <c r="E61" s="9" t="s">
        <v>223</v>
      </c>
      <c r="F61" s="9" t="n">
        <v>67</v>
      </c>
      <c r="G61" s="28" t="s">
        <v>224</v>
      </c>
      <c r="H61" s="29" t="n">
        <v>2575916</v>
      </c>
      <c r="I61" s="29" t="n">
        <v>2503779</v>
      </c>
      <c r="J61" s="29" t="n">
        <v>2111560</v>
      </c>
      <c r="K61" s="29" t="n">
        <v>23527.19</v>
      </c>
      <c r="L61" s="30" t="n">
        <f aca="false">H61-I61</f>
        <v>72137</v>
      </c>
      <c r="M61" s="30" t="n">
        <f aca="false">H61-J61</f>
        <v>464356</v>
      </c>
      <c r="N61" s="30" t="n">
        <f aca="false">H61-K61</f>
        <v>2552388.81</v>
      </c>
      <c r="O61" s="9" t="s">
        <v>114</v>
      </c>
      <c r="P61" s="9" t="str">
        <f aca="false">IF(H61=0,"Sin PIM",IF(ROUND(K61-H61,2)&gt;=0,"Devengado total",IF(J61&gt;0.005,"Comprometido",IF(I61&gt;0.005,"Solo certificado","Sin certificar"))))</f>
        <v>Comprometido</v>
      </c>
      <c r="Q61" s="30" t="n">
        <v>2575916</v>
      </c>
      <c r="R61" s="30" t="n">
        <v>2345678</v>
      </c>
      <c r="S61" s="30" t="n">
        <v>1558799</v>
      </c>
      <c r="T61" s="30" t="n">
        <v>0</v>
      </c>
      <c r="U61" s="9"/>
      <c r="V61" s="9"/>
    </row>
    <row r="62" customFormat="false" ht="43.25" hidden="false" customHeight="false" outlineLevel="0" collapsed="false">
      <c r="A62" s="9" t="s">
        <v>89</v>
      </c>
      <c r="B62" s="9" t="s">
        <v>13</v>
      </c>
      <c r="C62" s="9" t="s">
        <v>90</v>
      </c>
      <c r="D62" s="9" t="s">
        <v>51</v>
      </c>
      <c r="E62" s="9" t="s">
        <v>225</v>
      </c>
      <c r="F62" s="9" t="n">
        <v>71</v>
      </c>
      <c r="G62" s="28" t="s">
        <v>226</v>
      </c>
      <c r="H62" s="29" t="n">
        <v>2054253</v>
      </c>
      <c r="I62" s="29" t="n">
        <v>1854253</v>
      </c>
      <c r="J62" s="29" t="n">
        <v>0</v>
      </c>
      <c r="K62" s="29" t="n">
        <v>0</v>
      </c>
      <c r="L62" s="30" t="n">
        <f aca="false">H62-I62</f>
        <v>200000</v>
      </c>
      <c r="M62" s="30" t="n">
        <f aca="false">H62-J62</f>
        <v>2054253</v>
      </c>
      <c r="N62" s="30" t="n">
        <f aca="false">H62-K62</f>
        <v>2054253</v>
      </c>
      <c r="O62" s="9" t="s">
        <v>120</v>
      </c>
      <c r="P62" s="9" t="str">
        <f aca="false">IF(H62=0,"Sin PIM",IF(ROUND(K62-H62,2)&gt;=0,"Devengado total",IF(J62&gt;0.005,"Comprometido",IF(I62&gt;0.005,"Solo certificado","Sin certificar"))))</f>
        <v>Solo certificado</v>
      </c>
      <c r="Q62" s="30" t="n">
        <v>2054253</v>
      </c>
      <c r="R62" s="30" t="n">
        <v>2546789</v>
      </c>
      <c r="S62" s="30" t="n">
        <v>0</v>
      </c>
      <c r="T62" s="30" t="n">
        <v>0</v>
      </c>
      <c r="U62" s="9"/>
      <c r="V62" s="9"/>
    </row>
    <row r="63" customFormat="false" ht="43.25" hidden="false" customHeight="false" outlineLevel="0" collapsed="false">
      <c r="A63" s="9" t="s">
        <v>89</v>
      </c>
      <c r="B63" s="9" t="s">
        <v>13</v>
      </c>
      <c r="C63" s="9" t="s">
        <v>90</v>
      </c>
      <c r="D63" s="9" t="s">
        <v>51</v>
      </c>
      <c r="E63" s="9" t="s">
        <v>227</v>
      </c>
      <c r="F63" s="9" t="n">
        <v>65</v>
      </c>
      <c r="G63" s="28" t="s">
        <v>228</v>
      </c>
      <c r="H63" s="29" t="n">
        <v>2038388</v>
      </c>
      <c r="I63" s="29" t="n">
        <v>2031210.5</v>
      </c>
      <c r="J63" s="29" t="n">
        <v>2031210.37</v>
      </c>
      <c r="K63" s="29" t="n">
        <v>1711781.12</v>
      </c>
      <c r="L63" s="30" t="n">
        <f aca="false">H63-I63</f>
        <v>7177.5</v>
      </c>
      <c r="M63" s="30" t="n">
        <f aca="false">H63-J63</f>
        <v>7177.62999999989</v>
      </c>
      <c r="N63" s="30" t="n">
        <f aca="false">H63-K63</f>
        <v>326606.88</v>
      </c>
      <c r="O63" s="9" t="s">
        <v>114</v>
      </c>
      <c r="P63" s="9" t="str">
        <f aca="false">IF(H63=0,"Sin PIM",IF(ROUND(K63-H63,2)&gt;=0,"Devengado total",IF(J63&gt;0.005,"Comprometido",IF(I63&gt;0.005,"Solo certificado","Sin certificar"))))</f>
        <v>Comprometido</v>
      </c>
      <c r="Q63" s="30" t="n">
        <v>2028388</v>
      </c>
      <c r="R63" s="30" t="n">
        <v>2258011</v>
      </c>
      <c r="S63" s="30" t="n">
        <v>0</v>
      </c>
      <c r="T63" s="30" t="n">
        <v>0</v>
      </c>
      <c r="U63" s="9"/>
      <c r="V63" s="9"/>
    </row>
    <row r="64" customFormat="false" ht="43.25" hidden="false" customHeight="false" outlineLevel="0" collapsed="false">
      <c r="A64" s="9" t="s">
        <v>89</v>
      </c>
      <c r="B64" s="9" t="s">
        <v>13</v>
      </c>
      <c r="C64" s="9" t="s">
        <v>90</v>
      </c>
      <c r="D64" s="9" t="s">
        <v>51</v>
      </c>
      <c r="E64" s="9" t="s">
        <v>229</v>
      </c>
      <c r="F64" s="9" t="n">
        <v>252</v>
      </c>
      <c r="G64" s="28" t="s">
        <v>230</v>
      </c>
      <c r="H64" s="29" t="n">
        <v>2047936</v>
      </c>
      <c r="I64" s="29" t="n">
        <v>377863</v>
      </c>
      <c r="J64" s="29" t="n">
        <v>366632.23</v>
      </c>
      <c r="K64" s="29" t="n">
        <v>318047.53</v>
      </c>
      <c r="L64" s="30" t="n">
        <f aca="false">H64-I64</f>
        <v>1670073</v>
      </c>
      <c r="M64" s="30" t="n">
        <f aca="false">H64-J64</f>
        <v>1681303.77</v>
      </c>
      <c r="N64" s="30" t="n">
        <f aca="false">H64-K64</f>
        <v>1729888.47</v>
      </c>
      <c r="O64" s="9" t="s">
        <v>114</v>
      </c>
      <c r="P64" s="9" t="str">
        <f aca="false">IF(H64=0,"Sin PIM",IF(ROUND(K64-H64,2)&gt;=0,"Devengado total",IF(J64&gt;0.005,"Comprometido",IF(I64&gt;0.005,"Solo certificado","Sin certificar"))))</f>
        <v>Comprometido</v>
      </c>
      <c r="Q64" s="30" t="n">
        <v>327863</v>
      </c>
      <c r="R64" s="30" t="n">
        <v>1876545</v>
      </c>
      <c r="S64" s="30" t="n">
        <v>0</v>
      </c>
      <c r="T64" s="30" t="n">
        <v>0</v>
      </c>
      <c r="U64" s="9"/>
      <c r="V64" s="9"/>
    </row>
    <row r="65" customFormat="false" ht="43.25" hidden="false" customHeight="false" outlineLevel="0" collapsed="false">
      <c r="A65" s="9" t="s">
        <v>89</v>
      </c>
      <c r="B65" s="9" t="s">
        <v>13</v>
      </c>
      <c r="C65" s="9" t="s">
        <v>90</v>
      </c>
      <c r="D65" s="9" t="s">
        <v>51</v>
      </c>
      <c r="E65" s="9" t="s">
        <v>231</v>
      </c>
      <c r="F65" s="9" t="n">
        <v>260</v>
      </c>
      <c r="G65" s="28" t="s">
        <v>232</v>
      </c>
      <c r="H65" s="29" t="n">
        <v>290270</v>
      </c>
      <c r="I65" s="29" t="n">
        <v>100000</v>
      </c>
      <c r="J65" s="29" t="n">
        <v>0</v>
      </c>
      <c r="K65" s="29" t="n">
        <v>0</v>
      </c>
      <c r="L65" s="30" t="n">
        <f aca="false">H65-I65</f>
        <v>190270</v>
      </c>
      <c r="M65" s="30" t="n">
        <f aca="false">H65-J65</f>
        <v>290270</v>
      </c>
      <c r="N65" s="30" t="n">
        <f aca="false">H65-K65</f>
        <v>290270</v>
      </c>
      <c r="O65" s="9" t="s">
        <v>120</v>
      </c>
      <c r="P65" s="9" t="str">
        <f aca="false">IF(H65=0,"Sin PIM",IF(ROUND(K65-H65,2)&gt;=0,"Devengado total",IF(J65&gt;0.005,"Comprometido",IF(I65&gt;0.005,"Solo certificado","Sin certificar"))))</f>
        <v>Solo certificado</v>
      </c>
      <c r="Q65" s="30" t="n">
        <v>100000</v>
      </c>
      <c r="R65" s="30" t="n">
        <v>2089685</v>
      </c>
      <c r="S65" s="30" t="n">
        <v>3000000</v>
      </c>
      <c r="T65" s="30" t="n">
        <v>11639950</v>
      </c>
      <c r="U65" s="9"/>
      <c r="V65" s="9"/>
    </row>
    <row r="66" customFormat="false" ht="43.25" hidden="false" customHeight="false" outlineLevel="0" collapsed="false">
      <c r="A66" s="9" t="s">
        <v>89</v>
      </c>
      <c r="B66" s="9" t="s">
        <v>13</v>
      </c>
      <c r="C66" s="9" t="s">
        <v>90</v>
      </c>
      <c r="D66" s="9" t="s">
        <v>52</v>
      </c>
      <c r="E66" s="9" t="s">
        <v>233</v>
      </c>
      <c r="F66" s="9" t="n">
        <v>259</v>
      </c>
      <c r="G66" s="28" t="s">
        <v>234</v>
      </c>
      <c r="H66" s="29" t="n">
        <v>7609099</v>
      </c>
      <c r="I66" s="29" t="n">
        <v>7595390.88</v>
      </c>
      <c r="J66" s="29" t="n">
        <v>7595390.88</v>
      </c>
      <c r="K66" s="29" t="n">
        <v>7570246.39</v>
      </c>
      <c r="L66" s="30" t="n">
        <f aca="false">H66-I66</f>
        <v>13708.1200000001</v>
      </c>
      <c r="M66" s="30" t="n">
        <f aca="false">H66-J66</f>
        <v>13708.1200000001</v>
      </c>
      <c r="N66" s="30" t="n">
        <f aca="false">H66-K66</f>
        <v>38852.6099999994</v>
      </c>
      <c r="O66" s="9" t="s">
        <v>235</v>
      </c>
      <c r="P66" s="9" t="str">
        <f aca="false">IF(H66=0,"Sin PIM",IF(ROUND(K66-H66,2)&gt;=0,"Devengado total",IF(J66&gt;0.005,"Comprometido",IF(I66&gt;0.005,"Solo certificado","Sin certificar"))))</f>
        <v>Comprometido</v>
      </c>
      <c r="Q66" s="30" t="n">
        <v>6185000</v>
      </c>
      <c r="R66" s="30" t="n">
        <v>1000000</v>
      </c>
      <c r="S66" s="30" t="n">
        <v>0</v>
      </c>
      <c r="T66" s="30" t="n">
        <v>1000000</v>
      </c>
      <c r="U66" s="9"/>
      <c r="V66" s="9"/>
    </row>
    <row r="67" customFormat="false" ht="43.25" hidden="false" customHeight="false" outlineLevel="0" collapsed="false">
      <c r="A67" s="9" t="s">
        <v>89</v>
      </c>
      <c r="B67" s="9" t="s">
        <v>13</v>
      </c>
      <c r="C67" s="9" t="s">
        <v>90</v>
      </c>
      <c r="D67" s="9" t="s">
        <v>53</v>
      </c>
      <c r="E67" s="9" t="s">
        <v>236</v>
      </c>
      <c r="F67" s="9" t="n">
        <v>456</v>
      </c>
      <c r="G67" s="28" t="s">
        <v>237</v>
      </c>
      <c r="H67" s="29" t="n">
        <v>99230</v>
      </c>
      <c r="I67" s="29" t="n">
        <v>99007.59</v>
      </c>
      <c r="J67" s="29" t="n">
        <v>96667.59</v>
      </c>
      <c r="K67" s="29" t="n">
        <v>96198.77</v>
      </c>
      <c r="L67" s="30" t="n">
        <f aca="false">H67-I67</f>
        <v>222.410000000004</v>
      </c>
      <c r="M67" s="30" t="n">
        <f aca="false">H67-J67</f>
        <v>2562.41</v>
      </c>
      <c r="N67" s="30" t="n">
        <f aca="false">H67-K67</f>
        <v>3031.23000000001</v>
      </c>
      <c r="O67" s="9" t="s">
        <v>100</v>
      </c>
      <c r="P67" s="9" t="str">
        <f aca="false">IF(H67=0,"Sin PIM",IF(ROUND(K67-H67,2)&gt;=0,"Devengado total",IF(J67&gt;0.005,"Comprometido",IF(I67&gt;0.005,"Solo certificado","Sin certificar"))))</f>
        <v>Comprometido</v>
      </c>
      <c r="Q67" s="30" t="n">
        <v>99230</v>
      </c>
      <c r="R67" s="30" t="n">
        <v>0</v>
      </c>
      <c r="S67" s="30" t="n">
        <v>0</v>
      </c>
      <c r="T67" s="30" t="n">
        <v>0</v>
      </c>
      <c r="U67" s="9"/>
      <c r="V67" s="9"/>
    </row>
    <row r="68" customFormat="false" ht="43.25" hidden="false" customHeight="false" outlineLevel="0" collapsed="false">
      <c r="A68" s="9" t="s">
        <v>89</v>
      </c>
      <c r="B68" s="9" t="s">
        <v>13</v>
      </c>
      <c r="C68" s="9" t="s">
        <v>90</v>
      </c>
      <c r="D68" s="9" t="s">
        <v>53</v>
      </c>
      <c r="E68" s="9" t="s">
        <v>238</v>
      </c>
      <c r="F68" s="9" t="n">
        <v>458</v>
      </c>
      <c r="G68" s="28" t="s">
        <v>239</v>
      </c>
      <c r="H68" s="29" t="n">
        <v>133512</v>
      </c>
      <c r="I68" s="29" t="n">
        <v>0</v>
      </c>
      <c r="J68" s="29" t="n">
        <v>0</v>
      </c>
      <c r="K68" s="29" t="n">
        <v>0</v>
      </c>
      <c r="L68" s="30" t="n">
        <f aca="false">H68-I68</f>
        <v>133512</v>
      </c>
      <c r="M68" s="30" t="n">
        <f aca="false">H68-J68</f>
        <v>133512</v>
      </c>
      <c r="N68" s="30" t="n">
        <f aca="false">H68-K68</f>
        <v>133512</v>
      </c>
      <c r="O68" s="9" t="s">
        <v>139</v>
      </c>
      <c r="P68" s="9" t="str">
        <f aca="false">IF(H68=0,"Sin PIM",IF(ROUND(K68-H68,2)&gt;=0,"Devengado total",IF(J68&gt;0.005,"Comprometido",IF(I68&gt;0.005,"Solo certificado","Sin certificar"))))</f>
        <v>Sin certificar</v>
      </c>
      <c r="Q68" s="30" t="s">
        <v>97</v>
      </c>
      <c r="R68" s="30" t="s">
        <v>97</v>
      </c>
      <c r="S68" s="30" t="s">
        <v>97</v>
      </c>
      <c r="T68" s="30" t="s">
        <v>97</v>
      </c>
      <c r="U68" s="9"/>
      <c r="V68" s="9" t="s">
        <v>240</v>
      </c>
    </row>
    <row r="69" customFormat="false" ht="43.25" hidden="false" customHeight="false" outlineLevel="0" collapsed="false">
      <c r="A69" s="9" t="s">
        <v>89</v>
      </c>
      <c r="B69" s="9" t="s">
        <v>13</v>
      </c>
      <c r="C69" s="9" t="s">
        <v>241</v>
      </c>
      <c r="D69" s="9" t="s">
        <v>48</v>
      </c>
      <c r="E69" s="9" t="s">
        <v>242</v>
      </c>
      <c r="F69" s="9" t="n">
        <v>242</v>
      </c>
      <c r="G69" s="28" t="s">
        <v>243</v>
      </c>
      <c r="H69" s="29" t="n">
        <v>8256172</v>
      </c>
      <c r="I69" s="29" t="n">
        <v>7527846.91</v>
      </c>
      <c r="J69" s="29" t="n">
        <v>5727178.37</v>
      </c>
      <c r="K69" s="29" t="n">
        <v>4485721.81</v>
      </c>
      <c r="L69" s="30" t="n">
        <f aca="false">H69-I69</f>
        <v>728325.09</v>
      </c>
      <c r="M69" s="30" t="n">
        <f aca="false">H69-J69</f>
        <v>2528993.63</v>
      </c>
      <c r="N69" s="30" t="n">
        <f aca="false">H69-K69</f>
        <v>3770450.19</v>
      </c>
      <c r="O69" s="9" t="s">
        <v>103</v>
      </c>
      <c r="P69" s="9" t="str">
        <f aca="false">IF(H69=0,"Sin PIM",IF(ROUND(K69-H69,2)&gt;=0,"Devengado total",IF(J69&gt;0.005,"Comprometido",IF(I69&gt;0.005,"Solo certificado","Sin certificar"))))</f>
        <v>Comprometido</v>
      </c>
      <c r="Q69" s="30" t="n">
        <v>9468125</v>
      </c>
      <c r="R69" s="30" t="n">
        <v>933429</v>
      </c>
      <c r="S69" s="30" t="n">
        <v>6042788</v>
      </c>
      <c r="T69" s="30" t="n">
        <v>2500000</v>
      </c>
      <c r="U69" s="9"/>
      <c r="V69" s="9"/>
    </row>
    <row r="70" customFormat="false" ht="43.25" hidden="false" customHeight="false" outlineLevel="0" collapsed="false">
      <c r="A70" s="9" t="s">
        <v>89</v>
      </c>
      <c r="B70" s="9" t="s">
        <v>13</v>
      </c>
      <c r="C70" s="9" t="s">
        <v>241</v>
      </c>
      <c r="D70" s="9" t="s">
        <v>48</v>
      </c>
      <c r="E70" s="9" t="s">
        <v>244</v>
      </c>
      <c r="F70" s="9" t="n">
        <v>237</v>
      </c>
      <c r="G70" s="28" t="s">
        <v>245</v>
      </c>
      <c r="H70" s="29" t="n">
        <v>7374992</v>
      </c>
      <c r="I70" s="29" t="n">
        <v>7374802</v>
      </c>
      <c r="J70" s="29" t="n">
        <v>0</v>
      </c>
      <c r="K70" s="29" t="n">
        <v>0</v>
      </c>
      <c r="L70" s="30" t="n">
        <f aca="false">H70-I70</f>
        <v>190</v>
      </c>
      <c r="M70" s="30" t="n">
        <f aca="false">H70-J70</f>
        <v>7374992</v>
      </c>
      <c r="N70" s="30" t="n">
        <f aca="false">H70-K70</f>
        <v>7374992</v>
      </c>
      <c r="O70" s="9" t="s">
        <v>120</v>
      </c>
      <c r="P70" s="9" t="str">
        <f aca="false">IF(H70=0,"Sin PIM",IF(ROUND(K70-H70,2)&gt;=0,"Devengado total",IF(J70&gt;0.005,"Comprometido",IF(I70&gt;0.005,"Solo certificado","Sin certificar"))))</f>
        <v>Solo certificado</v>
      </c>
      <c r="Q70" s="30" t="n">
        <v>8000000</v>
      </c>
      <c r="R70" s="30" t="n">
        <v>8258658</v>
      </c>
      <c r="S70" s="30" t="n">
        <v>10741348</v>
      </c>
      <c r="T70" s="30" t="n">
        <v>1075057</v>
      </c>
      <c r="U70" s="9"/>
      <c r="V70" s="9"/>
    </row>
    <row r="71" customFormat="false" ht="43.25" hidden="false" customHeight="false" outlineLevel="0" collapsed="false">
      <c r="A71" s="9" t="s">
        <v>89</v>
      </c>
      <c r="B71" s="9" t="s">
        <v>13</v>
      </c>
      <c r="C71" s="9" t="s">
        <v>241</v>
      </c>
      <c r="D71" s="9" t="s">
        <v>48</v>
      </c>
      <c r="E71" s="9" t="s">
        <v>246</v>
      </c>
      <c r="F71" s="9" t="n">
        <v>228</v>
      </c>
      <c r="G71" s="28" t="s">
        <v>247</v>
      </c>
      <c r="H71" s="29" t="n">
        <v>6997430</v>
      </c>
      <c r="I71" s="29" t="n">
        <v>6787158.81</v>
      </c>
      <c r="J71" s="29" t="n">
        <v>5340502.38</v>
      </c>
      <c r="K71" s="29" t="n">
        <v>2630352.42</v>
      </c>
      <c r="L71" s="30" t="n">
        <f aca="false">H71-I71</f>
        <v>210271.189999999</v>
      </c>
      <c r="M71" s="30" t="n">
        <f aca="false">H71-J71</f>
        <v>1656927.62</v>
      </c>
      <c r="N71" s="30" t="n">
        <f aca="false">H71-K71</f>
        <v>4367077.58</v>
      </c>
      <c r="O71" s="9" t="s">
        <v>117</v>
      </c>
      <c r="P71" s="9" t="str">
        <f aca="false">IF(H71=0,"Sin PIM",IF(ROUND(K71-H71,2)&gt;=0,"Devengado total",IF(J71&gt;0.005,"Comprometido",IF(I71&gt;0.005,"Solo certificado","Sin certificar"))))</f>
        <v>Comprometido</v>
      </c>
      <c r="Q71" s="30" t="n">
        <v>8000000</v>
      </c>
      <c r="R71" s="30" t="n">
        <v>10256256</v>
      </c>
      <c r="S71" s="30" t="n">
        <v>15069544</v>
      </c>
      <c r="T71" s="30" t="n">
        <v>4478827</v>
      </c>
      <c r="U71" s="9"/>
      <c r="V71" s="9"/>
    </row>
    <row r="72" customFormat="false" ht="43.25" hidden="false" customHeight="false" outlineLevel="0" collapsed="false">
      <c r="A72" s="9" t="s">
        <v>89</v>
      </c>
      <c r="B72" s="9" t="s">
        <v>13</v>
      </c>
      <c r="C72" s="9" t="s">
        <v>241</v>
      </c>
      <c r="D72" s="9" t="s">
        <v>48</v>
      </c>
      <c r="E72" s="9" t="s">
        <v>248</v>
      </c>
      <c r="F72" s="9" t="n">
        <v>241</v>
      </c>
      <c r="G72" s="28" t="s">
        <v>249</v>
      </c>
      <c r="H72" s="29" t="n">
        <v>6688287</v>
      </c>
      <c r="I72" s="29" t="n">
        <v>6156914.23</v>
      </c>
      <c r="J72" s="29" t="n">
        <v>4915105.74</v>
      </c>
      <c r="K72" s="29" t="n">
        <v>3692512.7</v>
      </c>
      <c r="L72" s="30" t="n">
        <f aca="false">H72-I72</f>
        <v>531372.77</v>
      </c>
      <c r="M72" s="30" t="n">
        <f aca="false">H72-J72</f>
        <v>1773181.26</v>
      </c>
      <c r="N72" s="30" t="n">
        <f aca="false">H72-K72</f>
        <v>2995774.3</v>
      </c>
      <c r="O72" s="9" t="s">
        <v>103</v>
      </c>
      <c r="P72" s="9" t="str">
        <f aca="false">IF(H72=0,"Sin PIM",IF(ROUND(K72-H72,2)&gt;=0,"Devengado total",IF(J72&gt;0.005,"Comprometido",IF(I72&gt;0.005,"Solo certificado","Sin certificar"))))</f>
        <v>Comprometido</v>
      </c>
      <c r="Q72" s="30" t="n">
        <v>2822702</v>
      </c>
      <c r="R72" s="30" t="n">
        <v>65844</v>
      </c>
      <c r="S72" s="30" t="n">
        <v>0</v>
      </c>
      <c r="T72" s="30" t="n">
        <v>0</v>
      </c>
      <c r="U72" s="9"/>
      <c r="V72" s="9"/>
    </row>
    <row r="73" customFormat="false" ht="43.25" hidden="false" customHeight="false" outlineLevel="0" collapsed="false">
      <c r="A73" s="9" t="s">
        <v>89</v>
      </c>
      <c r="B73" s="9" t="s">
        <v>13</v>
      </c>
      <c r="C73" s="9" t="s">
        <v>241</v>
      </c>
      <c r="D73" s="9" t="s">
        <v>48</v>
      </c>
      <c r="E73" s="9" t="s">
        <v>250</v>
      </c>
      <c r="F73" s="9" t="n">
        <v>221</v>
      </c>
      <c r="G73" s="28" t="s">
        <v>251</v>
      </c>
      <c r="H73" s="29" t="n">
        <v>3318026</v>
      </c>
      <c r="I73" s="29" t="n">
        <v>3154441.57</v>
      </c>
      <c r="J73" s="29" t="n">
        <v>2893837.57</v>
      </c>
      <c r="K73" s="29" t="n">
        <v>2243366.71</v>
      </c>
      <c r="L73" s="30" t="n">
        <f aca="false">H73-I73</f>
        <v>163584.43</v>
      </c>
      <c r="M73" s="30" t="n">
        <f aca="false">H73-J73</f>
        <v>424188.43</v>
      </c>
      <c r="N73" s="30" t="n">
        <f aca="false">H73-K73</f>
        <v>1074659.29</v>
      </c>
      <c r="O73" s="9" t="s">
        <v>252</v>
      </c>
      <c r="P73" s="9" t="str">
        <f aca="false">IF(H73=0,"Sin PIM",IF(ROUND(K73-H73,2)&gt;=0,"Devengado total",IF(J73&gt;0.005,"Comprometido",IF(I73&gt;0.005,"Solo certificado","Sin certificar"))))</f>
        <v>Comprometido</v>
      </c>
      <c r="Q73" s="30" t="n">
        <v>821892</v>
      </c>
      <c r="R73" s="30" t="n">
        <v>47336</v>
      </c>
      <c r="S73" s="30" t="n">
        <v>0</v>
      </c>
      <c r="T73" s="30" t="n">
        <v>0</v>
      </c>
      <c r="U73" s="9"/>
      <c r="V73" s="9"/>
    </row>
    <row r="74" customFormat="false" ht="43.25" hidden="false" customHeight="false" outlineLevel="0" collapsed="false">
      <c r="A74" s="9" t="s">
        <v>89</v>
      </c>
      <c r="B74" s="9" t="s">
        <v>13</v>
      </c>
      <c r="C74" s="9" t="s">
        <v>241</v>
      </c>
      <c r="D74" s="9" t="s">
        <v>48</v>
      </c>
      <c r="E74" s="9" t="s">
        <v>253</v>
      </c>
      <c r="F74" s="9" t="n">
        <v>235</v>
      </c>
      <c r="G74" s="28" t="s">
        <v>254</v>
      </c>
      <c r="H74" s="29" t="n">
        <v>0</v>
      </c>
      <c r="I74" s="29" t="n">
        <v>0</v>
      </c>
      <c r="J74" s="29" t="n">
        <v>0</v>
      </c>
      <c r="K74" s="29" t="n">
        <v>0</v>
      </c>
      <c r="L74" s="30" t="n">
        <f aca="false">H74-I74</f>
        <v>0</v>
      </c>
      <c r="M74" s="30" t="n">
        <f aca="false">H74-J74</f>
        <v>0</v>
      </c>
      <c r="N74" s="30" t="n">
        <f aca="false">H74-K74</f>
        <v>0</v>
      </c>
      <c r="O74" s="9" t="s">
        <v>120</v>
      </c>
      <c r="P74" s="9" t="str">
        <f aca="false">IF(H74=0,"Sin PIM",IF(ROUND(K74-H74,2)&gt;=0,"Devengado total",IF(J74&gt;0.005,"Comprometido",IF(I74&gt;0.005,"Solo certificado","Sin certificar"))))</f>
        <v>Sin PIM</v>
      </c>
      <c r="Q74" s="30" t="n">
        <v>12571000</v>
      </c>
      <c r="R74" s="30" t="n">
        <v>5987564</v>
      </c>
      <c r="S74" s="30" t="n">
        <v>16094501</v>
      </c>
      <c r="T74" s="30" t="n">
        <v>22576094</v>
      </c>
      <c r="U74" s="9"/>
      <c r="V74" s="9"/>
    </row>
    <row r="75" customFormat="false" ht="32.8" hidden="false" customHeight="false" outlineLevel="0" collapsed="false">
      <c r="A75" s="9" t="s">
        <v>89</v>
      </c>
      <c r="B75" s="9" t="s">
        <v>13</v>
      </c>
      <c r="C75" s="9" t="s">
        <v>241</v>
      </c>
      <c r="D75" s="9" t="s">
        <v>49</v>
      </c>
      <c r="E75" s="9" t="s">
        <v>255</v>
      </c>
      <c r="F75" s="9" t="n">
        <v>35</v>
      </c>
      <c r="G75" s="28" t="s">
        <v>256</v>
      </c>
      <c r="H75" s="29" t="n">
        <v>21914154</v>
      </c>
      <c r="I75" s="29" t="n">
        <v>21776068.06</v>
      </c>
      <c r="J75" s="29" t="n">
        <v>20527324.14</v>
      </c>
      <c r="K75" s="29" t="n">
        <v>15564867.44</v>
      </c>
      <c r="L75" s="30" t="n">
        <f aca="false">H75-I75</f>
        <v>138085.940000001</v>
      </c>
      <c r="M75" s="30" t="n">
        <f aca="false">H75-J75</f>
        <v>1386829.86</v>
      </c>
      <c r="N75" s="30" t="n">
        <f aca="false">H75-K75</f>
        <v>6349286.56</v>
      </c>
      <c r="O75" s="9" t="s">
        <v>257</v>
      </c>
      <c r="P75" s="9" t="str">
        <f aca="false">IF(H75=0,"Sin PIM",IF(ROUND(K75-H75,2)&gt;=0,"Devengado total",IF(J75&gt;0.005,"Comprometido",IF(I75&gt;0.005,"Solo certificado","Sin certificar"))))</f>
        <v>Comprometido</v>
      </c>
      <c r="Q75" s="30" t="n">
        <v>11955231</v>
      </c>
      <c r="R75" s="30" t="n">
        <v>2500000</v>
      </c>
      <c r="S75" s="30" t="n">
        <v>3884089</v>
      </c>
      <c r="T75" s="30" t="n">
        <v>0</v>
      </c>
      <c r="U75" s="9"/>
      <c r="V75" s="9"/>
    </row>
    <row r="76" customFormat="false" ht="32.8" hidden="false" customHeight="false" outlineLevel="0" collapsed="false">
      <c r="A76" s="9" t="s">
        <v>89</v>
      </c>
      <c r="B76" s="9" t="s">
        <v>13</v>
      </c>
      <c r="C76" s="9" t="s">
        <v>241</v>
      </c>
      <c r="D76" s="9" t="s">
        <v>49</v>
      </c>
      <c r="E76" s="9" t="s">
        <v>258</v>
      </c>
      <c r="F76" s="9" t="n">
        <v>25</v>
      </c>
      <c r="G76" s="28" t="s">
        <v>259</v>
      </c>
      <c r="H76" s="29" t="n">
        <v>22276780</v>
      </c>
      <c r="I76" s="29" t="n">
        <v>17912911.21</v>
      </c>
      <c r="J76" s="29" t="n">
        <v>17718756.72</v>
      </c>
      <c r="K76" s="29" t="n">
        <v>15417466.05</v>
      </c>
      <c r="L76" s="30" t="n">
        <f aca="false">H76-I76</f>
        <v>4363868.79</v>
      </c>
      <c r="M76" s="30" t="n">
        <f aca="false">H76-J76</f>
        <v>4558023.28</v>
      </c>
      <c r="N76" s="30" t="n">
        <f aca="false">H76-K76</f>
        <v>6859313.95</v>
      </c>
      <c r="O76" s="9" t="s">
        <v>117</v>
      </c>
      <c r="P76" s="9" t="str">
        <f aca="false">IF(H76=0,"Sin PIM",IF(ROUND(K76-H76,2)&gt;=0,"Devengado total",IF(J76&gt;0.005,"Comprometido",IF(I76&gt;0.005,"Solo certificado","Sin certificar"))))</f>
        <v>Comprometido</v>
      </c>
      <c r="Q76" s="30" t="n">
        <v>15800000</v>
      </c>
      <c r="R76" s="30" t="n">
        <v>14789542</v>
      </c>
      <c r="S76" s="30" t="n">
        <v>15918407</v>
      </c>
      <c r="T76" s="30" t="n">
        <v>10295229</v>
      </c>
      <c r="U76" s="9"/>
      <c r="V76" s="9"/>
    </row>
    <row r="77" customFormat="false" ht="53.7" hidden="false" customHeight="false" outlineLevel="0" collapsed="false">
      <c r="A77" s="9" t="s">
        <v>89</v>
      </c>
      <c r="B77" s="9" t="s">
        <v>13</v>
      </c>
      <c r="C77" s="9" t="s">
        <v>241</v>
      </c>
      <c r="D77" s="9" t="s">
        <v>49</v>
      </c>
      <c r="E77" s="9" t="s">
        <v>260</v>
      </c>
      <c r="F77" s="9" t="n">
        <v>229</v>
      </c>
      <c r="G77" s="28" t="s">
        <v>261</v>
      </c>
      <c r="H77" s="29" t="n">
        <v>17354707</v>
      </c>
      <c r="I77" s="29" t="n">
        <v>17083718.42</v>
      </c>
      <c r="J77" s="29" t="n">
        <v>13323232.12</v>
      </c>
      <c r="K77" s="29" t="n">
        <v>8610007.65</v>
      </c>
      <c r="L77" s="30" t="n">
        <f aca="false">H77-I77</f>
        <v>270988.579999998</v>
      </c>
      <c r="M77" s="30" t="n">
        <f aca="false">H77-J77</f>
        <v>4031474.88</v>
      </c>
      <c r="N77" s="30" t="n">
        <f aca="false">H77-K77</f>
        <v>8744699.35</v>
      </c>
      <c r="O77" s="9" t="s">
        <v>103</v>
      </c>
      <c r="P77" s="9" t="str">
        <f aca="false">IF(H77=0,"Sin PIM",IF(ROUND(K77-H77,2)&gt;=0,"Devengado total",IF(J77&gt;0.005,"Comprometido",IF(I77&gt;0.005,"Solo certificado","Sin certificar"))))</f>
        <v>Comprometido</v>
      </c>
      <c r="Q77" s="30" t="n">
        <v>12500000</v>
      </c>
      <c r="R77" s="30" t="n">
        <v>4806839</v>
      </c>
      <c r="S77" s="30" t="n">
        <v>753613</v>
      </c>
      <c r="T77" s="30" t="n">
        <v>0</v>
      </c>
      <c r="U77" s="9"/>
      <c r="V77" s="9"/>
    </row>
    <row r="78" customFormat="false" ht="32.8" hidden="false" customHeight="false" outlineLevel="0" collapsed="false">
      <c r="A78" s="9" t="s">
        <v>89</v>
      </c>
      <c r="B78" s="9" t="s">
        <v>13</v>
      </c>
      <c r="C78" s="9" t="s">
        <v>241</v>
      </c>
      <c r="D78" s="9" t="s">
        <v>49</v>
      </c>
      <c r="E78" s="9" t="s">
        <v>262</v>
      </c>
      <c r="F78" s="9" t="n">
        <v>30</v>
      </c>
      <c r="G78" s="28" t="s">
        <v>263</v>
      </c>
      <c r="H78" s="29" t="n">
        <v>19795501</v>
      </c>
      <c r="I78" s="29" t="n">
        <v>19793411.72</v>
      </c>
      <c r="J78" s="29" t="n">
        <v>18134194.74</v>
      </c>
      <c r="K78" s="29" t="n">
        <v>14545766.24</v>
      </c>
      <c r="L78" s="30" t="n">
        <f aca="false">H78-I78</f>
        <v>2089.28000000119</v>
      </c>
      <c r="M78" s="30" t="n">
        <f aca="false">H78-J78</f>
        <v>1661306.26</v>
      </c>
      <c r="N78" s="30" t="n">
        <f aca="false">H78-K78</f>
        <v>5249734.76</v>
      </c>
      <c r="O78" s="9" t="s">
        <v>103</v>
      </c>
      <c r="P78" s="9" t="str">
        <f aca="false">IF(H78=0,"Sin PIM",IF(ROUND(K78-H78,2)&gt;=0,"Devengado total",IF(J78&gt;0.005,"Comprometido",IF(I78&gt;0.005,"Solo certificado","Sin certificar"))))</f>
        <v>Comprometido</v>
      </c>
      <c r="Q78" s="30" t="n">
        <v>9609000</v>
      </c>
      <c r="R78" s="30" t="n">
        <v>897867</v>
      </c>
      <c r="S78" s="30" t="n">
        <v>6124874</v>
      </c>
      <c r="T78" s="30" t="n">
        <v>0</v>
      </c>
      <c r="U78" s="9"/>
      <c r="V78" s="9"/>
    </row>
    <row r="79" customFormat="false" ht="32.8" hidden="false" customHeight="false" outlineLevel="0" collapsed="false">
      <c r="A79" s="9" t="s">
        <v>89</v>
      </c>
      <c r="B79" s="9" t="s">
        <v>13</v>
      </c>
      <c r="C79" s="9" t="s">
        <v>241</v>
      </c>
      <c r="D79" s="9" t="s">
        <v>49</v>
      </c>
      <c r="E79" s="9" t="s">
        <v>264</v>
      </c>
      <c r="F79" s="9" t="n">
        <v>33</v>
      </c>
      <c r="G79" s="28" t="s">
        <v>265</v>
      </c>
      <c r="H79" s="29" t="n">
        <v>17241964</v>
      </c>
      <c r="I79" s="29" t="n">
        <v>17144704.56</v>
      </c>
      <c r="J79" s="29" t="n">
        <v>14900492.38</v>
      </c>
      <c r="K79" s="29" t="n">
        <v>11639796.34</v>
      </c>
      <c r="L79" s="30" t="n">
        <f aca="false">H79-I79</f>
        <v>97259.4400000013</v>
      </c>
      <c r="M79" s="30" t="n">
        <f aca="false">H79-J79</f>
        <v>2341471.62</v>
      </c>
      <c r="N79" s="30" t="n">
        <f aca="false">H79-K79</f>
        <v>5602167.66</v>
      </c>
      <c r="O79" s="9" t="s">
        <v>117</v>
      </c>
      <c r="P79" s="9" t="str">
        <f aca="false">IF(H79=0,"Sin PIM",IF(ROUND(K79-H79,2)&gt;=0,"Devengado total",IF(J79&gt;0.005,"Comprometido",IF(I79&gt;0.005,"Solo certificado","Sin certificar"))))</f>
        <v>Comprometido</v>
      </c>
      <c r="Q79" s="30" t="n">
        <v>8016014</v>
      </c>
      <c r="R79" s="30" t="n">
        <v>10000000</v>
      </c>
      <c r="S79" s="30" t="n">
        <v>1057112</v>
      </c>
      <c r="T79" s="30" t="n">
        <v>2541629</v>
      </c>
      <c r="U79" s="9"/>
      <c r="V79" s="9"/>
    </row>
    <row r="80" customFormat="false" ht="43.25" hidden="false" customHeight="false" outlineLevel="0" collapsed="false">
      <c r="A80" s="9" t="s">
        <v>89</v>
      </c>
      <c r="B80" s="9" t="s">
        <v>13</v>
      </c>
      <c r="C80" s="9" t="s">
        <v>241</v>
      </c>
      <c r="D80" s="9" t="s">
        <v>49</v>
      </c>
      <c r="E80" s="9" t="s">
        <v>266</v>
      </c>
      <c r="F80" s="9" t="n">
        <v>161</v>
      </c>
      <c r="G80" s="28" t="s">
        <v>267</v>
      </c>
      <c r="H80" s="29" t="n">
        <v>15380884</v>
      </c>
      <c r="I80" s="29" t="n">
        <v>14270657.16</v>
      </c>
      <c r="J80" s="29" t="n">
        <v>11275906.71</v>
      </c>
      <c r="K80" s="29" t="n">
        <v>9463521.46</v>
      </c>
      <c r="L80" s="30" t="n">
        <f aca="false">H80-I80</f>
        <v>1110226.84</v>
      </c>
      <c r="M80" s="30" t="n">
        <f aca="false">H80-J80</f>
        <v>4104977.29</v>
      </c>
      <c r="N80" s="30" t="n">
        <f aca="false">H80-K80</f>
        <v>5917362.54</v>
      </c>
      <c r="O80" s="9" t="s">
        <v>103</v>
      </c>
      <c r="P80" s="9" t="str">
        <f aca="false">IF(H80=0,"Sin PIM",IF(ROUND(K80-H80,2)&gt;=0,"Devengado total",IF(J80&gt;0.005,"Comprometido",IF(I80&gt;0.005,"Solo certificado","Sin certificar"))))</f>
        <v>Comprometido</v>
      </c>
      <c r="Q80" s="30" t="n">
        <v>6000000</v>
      </c>
      <c r="R80" s="30" t="n">
        <v>3456765</v>
      </c>
      <c r="S80" s="30" t="n">
        <v>1108030</v>
      </c>
      <c r="T80" s="30" t="n">
        <v>0</v>
      </c>
      <c r="U80" s="9"/>
      <c r="V80" s="9"/>
    </row>
    <row r="81" customFormat="false" ht="43.25" hidden="false" customHeight="false" outlineLevel="0" collapsed="false">
      <c r="A81" s="9" t="s">
        <v>89</v>
      </c>
      <c r="B81" s="9" t="s">
        <v>13</v>
      </c>
      <c r="C81" s="9" t="s">
        <v>241</v>
      </c>
      <c r="D81" s="9" t="s">
        <v>49</v>
      </c>
      <c r="E81" s="9" t="s">
        <v>268</v>
      </c>
      <c r="F81" s="9" t="n">
        <v>247</v>
      </c>
      <c r="G81" s="28" t="s">
        <v>269</v>
      </c>
      <c r="H81" s="29" t="n">
        <v>9666000</v>
      </c>
      <c r="I81" s="29" t="n">
        <v>9191703.83</v>
      </c>
      <c r="J81" s="29" t="n">
        <v>6884607.53</v>
      </c>
      <c r="K81" s="29" t="n">
        <v>5594991.06</v>
      </c>
      <c r="L81" s="30" t="n">
        <f aca="false">H81-I81</f>
        <v>474296.17</v>
      </c>
      <c r="M81" s="30" t="n">
        <f aca="false">H81-J81</f>
        <v>2781392.47</v>
      </c>
      <c r="N81" s="30" t="n">
        <f aca="false">H81-K81</f>
        <v>4071008.94</v>
      </c>
      <c r="O81" s="9" t="s">
        <v>100</v>
      </c>
      <c r="P81" s="9" t="str">
        <f aca="false">IF(H81=0,"Sin PIM",IF(ROUND(K81-H81,2)&gt;=0,"Devengado total",IF(J81&gt;0.005,"Comprometido",IF(I81&gt;0.005,"Solo certificado","Sin certificar"))))</f>
        <v>Comprometido</v>
      </c>
      <c r="Q81" s="30" t="n">
        <v>7546000</v>
      </c>
      <c r="R81" s="30" t="n">
        <v>1410563</v>
      </c>
      <c r="S81" s="30" t="n">
        <v>1509243</v>
      </c>
      <c r="T81" s="30" t="n">
        <v>0</v>
      </c>
      <c r="U81" s="9"/>
      <c r="V81" s="9"/>
    </row>
    <row r="82" customFormat="false" ht="32.8" hidden="false" customHeight="false" outlineLevel="0" collapsed="false">
      <c r="A82" s="9" t="s">
        <v>89</v>
      </c>
      <c r="B82" s="9" t="s">
        <v>13</v>
      </c>
      <c r="C82" s="9" t="s">
        <v>241</v>
      </c>
      <c r="D82" s="9" t="s">
        <v>49</v>
      </c>
      <c r="E82" s="9" t="s">
        <v>270</v>
      </c>
      <c r="F82" s="9" t="n">
        <v>39</v>
      </c>
      <c r="G82" s="28" t="s">
        <v>271</v>
      </c>
      <c r="H82" s="29" t="n">
        <v>6765264</v>
      </c>
      <c r="I82" s="29" t="n">
        <v>6659441.19</v>
      </c>
      <c r="J82" s="29" t="n">
        <v>5339669.79</v>
      </c>
      <c r="K82" s="29" t="n">
        <v>4177875.53</v>
      </c>
      <c r="L82" s="30" t="n">
        <f aca="false">H82-I82</f>
        <v>105822.809999999</v>
      </c>
      <c r="M82" s="30" t="n">
        <f aca="false">H82-J82</f>
        <v>1425594.21</v>
      </c>
      <c r="N82" s="30" t="n">
        <f aca="false">H82-K82</f>
        <v>2587388.47</v>
      </c>
      <c r="O82" s="9" t="s">
        <v>103</v>
      </c>
      <c r="P82" s="9" t="str">
        <f aca="false">IF(H82=0,"Sin PIM",IF(ROUND(K82-H82,2)&gt;=0,"Devengado total",IF(J82&gt;0.005,"Comprometido",IF(I82&gt;0.005,"Solo certificado","Sin certificar"))))</f>
        <v>Comprometido</v>
      </c>
      <c r="Q82" s="30" t="s">
        <v>97</v>
      </c>
      <c r="R82" s="30" t="s">
        <v>97</v>
      </c>
      <c r="S82" s="30" t="s">
        <v>97</v>
      </c>
      <c r="T82" s="30" t="s">
        <v>97</v>
      </c>
      <c r="U82" s="9"/>
      <c r="V82" s="9"/>
    </row>
    <row r="83" customFormat="false" ht="32.8" hidden="false" customHeight="false" outlineLevel="0" collapsed="false">
      <c r="A83" s="9" t="s">
        <v>89</v>
      </c>
      <c r="B83" s="9" t="s">
        <v>13</v>
      </c>
      <c r="C83" s="9" t="s">
        <v>241</v>
      </c>
      <c r="D83" s="9" t="s">
        <v>49</v>
      </c>
      <c r="E83" s="9" t="s">
        <v>272</v>
      </c>
      <c r="F83" s="9" t="n">
        <v>26</v>
      </c>
      <c r="G83" s="28" t="s">
        <v>273</v>
      </c>
      <c r="H83" s="29" t="n">
        <v>4291327</v>
      </c>
      <c r="I83" s="29" t="n">
        <v>4093667.05</v>
      </c>
      <c r="J83" s="29" t="n">
        <v>4092925.67</v>
      </c>
      <c r="K83" s="29" t="n">
        <v>3891386.79</v>
      </c>
      <c r="L83" s="30" t="n">
        <f aca="false">H83-I83</f>
        <v>197659.95</v>
      </c>
      <c r="M83" s="30" t="n">
        <f aca="false">H83-J83</f>
        <v>198401.33</v>
      </c>
      <c r="N83" s="30" t="n">
        <f aca="false">H83-K83</f>
        <v>399940.21</v>
      </c>
      <c r="O83" s="9" t="s">
        <v>149</v>
      </c>
      <c r="P83" s="9" t="str">
        <f aca="false">IF(H83=0,"Sin PIM",IF(ROUND(K83-H83,2)&gt;=0,"Devengado total",IF(J83&gt;0.005,"Comprometido",IF(I83&gt;0.005,"Solo certificado","Sin certificar"))))</f>
        <v>Comprometido</v>
      </c>
      <c r="Q83" s="30" t="s">
        <v>97</v>
      </c>
      <c r="R83" s="30" t="s">
        <v>97</v>
      </c>
      <c r="S83" s="30" t="s">
        <v>97</v>
      </c>
      <c r="T83" s="30" t="s">
        <v>97</v>
      </c>
      <c r="U83" s="9"/>
      <c r="V83" s="9"/>
    </row>
    <row r="84" customFormat="false" ht="32.8" hidden="false" customHeight="false" outlineLevel="0" collapsed="false">
      <c r="A84" s="9" t="s">
        <v>89</v>
      </c>
      <c r="B84" s="9" t="s">
        <v>13</v>
      </c>
      <c r="C84" s="9" t="s">
        <v>241</v>
      </c>
      <c r="D84" s="9" t="s">
        <v>49</v>
      </c>
      <c r="E84" s="9" t="s">
        <v>274</v>
      </c>
      <c r="F84" s="9" t="n">
        <v>41</v>
      </c>
      <c r="G84" s="28" t="s">
        <v>275</v>
      </c>
      <c r="H84" s="29" t="n">
        <v>5799805</v>
      </c>
      <c r="I84" s="29" t="n">
        <v>5459070.3</v>
      </c>
      <c r="J84" s="29" t="n">
        <v>4960247.27</v>
      </c>
      <c r="K84" s="29" t="n">
        <v>3888315.88</v>
      </c>
      <c r="L84" s="30" t="n">
        <f aca="false">H84-I84</f>
        <v>340734.7</v>
      </c>
      <c r="M84" s="30" t="n">
        <f aca="false">H84-J84</f>
        <v>839557.73</v>
      </c>
      <c r="N84" s="30" t="n">
        <f aca="false">H84-K84</f>
        <v>1911489.12</v>
      </c>
      <c r="O84" s="9" t="s">
        <v>149</v>
      </c>
      <c r="P84" s="9" t="str">
        <f aca="false">IF(H84=0,"Sin PIM",IF(ROUND(K84-H84,2)&gt;=0,"Devengado total",IF(J84&gt;0.005,"Comprometido",IF(I84&gt;0.005,"Solo certificado","Sin certificar"))))</f>
        <v>Comprometido</v>
      </c>
      <c r="Q84" s="30" t="s">
        <v>97</v>
      </c>
      <c r="R84" s="30" t="s">
        <v>97</v>
      </c>
      <c r="S84" s="30" t="s">
        <v>97</v>
      </c>
      <c r="T84" s="30" t="s">
        <v>97</v>
      </c>
      <c r="U84" s="9"/>
      <c r="V84" s="9"/>
    </row>
    <row r="85" customFormat="false" ht="64.15" hidden="false" customHeight="false" outlineLevel="0" collapsed="false">
      <c r="A85" s="9" t="s">
        <v>89</v>
      </c>
      <c r="B85" s="9" t="s">
        <v>13</v>
      </c>
      <c r="C85" s="9" t="s">
        <v>241</v>
      </c>
      <c r="D85" s="9" t="s">
        <v>49</v>
      </c>
      <c r="E85" s="9" t="s">
        <v>276</v>
      </c>
      <c r="F85" s="9" t="n">
        <v>36</v>
      </c>
      <c r="G85" s="28" t="s">
        <v>277</v>
      </c>
      <c r="H85" s="29" t="n">
        <v>4802506</v>
      </c>
      <c r="I85" s="29" t="n">
        <v>4376181.62</v>
      </c>
      <c r="J85" s="29" t="n">
        <v>4092158.62</v>
      </c>
      <c r="K85" s="29" t="n">
        <v>3250907.82</v>
      </c>
      <c r="L85" s="30" t="n">
        <f aca="false">H85-I85</f>
        <v>426324.38</v>
      </c>
      <c r="M85" s="30" t="n">
        <f aca="false">H85-J85</f>
        <v>710347.38</v>
      </c>
      <c r="N85" s="30" t="n">
        <f aca="false">H85-K85</f>
        <v>1551598.18</v>
      </c>
      <c r="O85" s="9" t="s">
        <v>149</v>
      </c>
      <c r="P85" s="9" t="str">
        <f aca="false">IF(H85=0,"Sin PIM",IF(ROUND(K85-H85,2)&gt;=0,"Devengado total",IF(J85&gt;0.005,"Comprometido",IF(I85&gt;0.005,"Solo certificado","Sin certificar"))))</f>
        <v>Comprometido</v>
      </c>
      <c r="Q85" s="30" t="n">
        <v>3770000</v>
      </c>
      <c r="R85" s="30" t="n">
        <v>876556</v>
      </c>
      <c r="S85" s="30" t="n">
        <v>4649244</v>
      </c>
      <c r="T85" s="30" t="n">
        <v>7795363</v>
      </c>
      <c r="U85" s="9"/>
      <c r="V85" s="9"/>
    </row>
    <row r="86" customFormat="false" ht="64.15" hidden="false" customHeight="false" outlineLevel="0" collapsed="false">
      <c r="A86" s="9" t="s">
        <v>89</v>
      </c>
      <c r="B86" s="9" t="s">
        <v>13</v>
      </c>
      <c r="C86" s="9" t="s">
        <v>241</v>
      </c>
      <c r="D86" s="9" t="s">
        <v>49</v>
      </c>
      <c r="E86" s="9" t="s">
        <v>276</v>
      </c>
      <c r="F86" s="9" t="n">
        <v>311</v>
      </c>
      <c r="G86" s="28" t="s">
        <v>277</v>
      </c>
      <c r="H86" s="29" t="n">
        <v>4992699</v>
      </c>
      <c r="I86" s="29" t="n">
        <v>4276945.21</v>
      </c>
      <c r="J86" s="29" t="n">
        <v>4118771.96</v>
      </c>
      <c r="K86" s="29" t="n">
        <v>3252598.59</v>
      </c>
      <c r="L86" s="30" t="n">
        <f aca="false">H86-I86</f>
        <v>715753.79</v>
      </c>
      <c r="M86" s="30" t="n">
        <f aca="false">H86-J86</f>
        <v>873927.04</v>
      </c>
      <c r="N86" s="30" t="n">
        <f aca="false">H86-K86</f>
        <v>1740100.41</v>
      </c>
      <c r="O86" s="9" t="s">
        <v>149</v>
      </c>
      <c r="P86" s="9" t="str">
        <f aca="false">IF(H86=0,"Sin PIM",IF(ROUND(K86-H86,2)&gt;=0,"Devengado total",IF(J86&gt;0.005,"Comprometido",IF(I86&gt;0.005,"Solo certificado","Sin certificar"))))</f>
        <v>Comprometido</v>
      </c>
      <c r="Q86" s="30" t="n">
        <v>3770000</v>
      </c>
      <c r="R86" s="30" t="n">
        <v>876556</v>
      </c>
      <c r="S86" s="30" t="n">
        <v>4649244</v>
      </c>
      <c r="T86" s="30" t="n">
        <v>7795363</v>
      </c>
      <c r="U86" s="9"/>
      <c r="V86" s="9"/>
    </row>
    <row r="87" customFormat="false" ht="32.8" hidden="false" customHeight="false" outlineLevel="0" collapsed="false">
      <c r="A87" s="9" t="s">
        <v>89</v>
      </c>
      <c r="B87" s="9" t="s">
        <v>13</v>
      </c>
      <c r="C87" s="9" t="s">
        <v>241</v>
      </c>
      <c r="D87" s="9" t="s">
        <v>49</v>
      </c>
      <c r="E87" s="9" t="s">
        <v>278</v>
      </c>
      <c r="F87" s="9" t="n">
        <v>306</v>
      </c>
      <c r="G87" s="28" t="s">
        <v>279</v>
      </c>
      <c r="H87" s="29" t="n">
        <v>3853164</v>
      </c>
      <c r="I87" s="29" t="n">
        <v>3701445.63</v>
      </c>
      <c r="J87" s="29" t="n">
        <v>3685448.76</v>
      </c>
      <c r="K87" s="29" t="n">
        <v>3036070.05</v>
      </c>
      <c r="L87" s="30" t="n">
        <f aca="false">H87-I87</f>
        <v>151718.37</v>
      </c>
      <c r="M87" s="30" t="n">
        <f aca="false">H87-J87</f>
        <v>167715.24</v>
      </c>
      <c r="N87" s="30" t="n">
        <f aca="false">H87-K87</f>
        <v>817093.95</v>
      </c>
      <c r="O87" s="9" t="s">
        <v>149</v>
      </c>
      <c r="P87" s="9" t="str">
        <f aca="false">IF(H87=0,"Sin PIM",IF(ROUND(K87-H87,2)&gt;=0,"Devengado total",IF(J87&gt;0.005,"Comprometido",IF(I87&gt;0.005,"Solo certificado","Sin certificar"))))</f>
        <v>Comprometido</v>
      </c>
      <c r="Q87" s="30" t="s">
        <v>97</v>
      </c>
      <c r="R87" s="30" t="s">
        <v>97</v>
      </c>
      <c r="S87" s="30" t="s">
        <v>97</v>
      </c>
      <c r="T87" s="30" t="s">
        <v>97</v>
      </c>
      <c r="U87" s="9"/>
      <c r="V87" s="9"/>
    </row>
    <row r="88" customFormat="false" ht="32.8" hidden="false" customHeight="false" outlineLevel="0" collapsed="false">
      <c r="A88" s="9" t="s">
        <v>89</v>
      </c>
      <c r="B88" s="9" t="s">
        <v>13</v>
      </c>
      <c r="C88" s="9" t="s">
        <v>241</v>
      </c>
      <c r="D88" s="9" t="s">
        <v>49</v>
      </c>
      <c r="E88" s="9" t="s">
        <v>280</v>
      </c>
      <c r="F88" s="9" t="n">
        <v>181</v>
      </c>
      <c r="G88" s="28" t="s">
        <v>281</v>
      </c>
      <c r="H88" s="29" t="n">
        <v>1142346</v>
      </c>
      <c r="I88" s="29" t="n">
        <v>911210.56</v>
      </c>
      <c r="J88" s="29" t="n">
        <v>703126.63</v>
      </c>
      <c r="K88" s="29" t="n">
        <v>18478.9</v>
      </c>
      <c r="L88" s="30" t="n">
        <f aca="false">H88-I88</f>
        <v>231135.44</v>
      </c>
      <c r="M88" s="30" t="n">
        <f aca="false">H88-J88</f>
        <v>439219.37</v>
      </c>
      <c r="N88" s="30" t="n">
        <f aca="false">H88-K88</f>
        <v>1123867.1</v>
      </c>
      <c r="O88" s="9" t="s">
        <v>117</v>
      </c>
      <c r="P88" s="9" t="str">
        <f aca="false">IF(H88=0,"Sin PIM",IF(ROUND(K88-H88,2)&gt;=0,"Devengado total",IF(J88&gt;0.005,"Comprometido",IF(I88&gt;0.005,"Solo certificado","Sin certificar"))))</f>
        <v>Comprometido</v>
      </c>
      <c r="Q88" s="30" t="n">
        <v>100000</v>
      </c>
      <c r="R88" s="30" t="n">
        <v>0</v>
      </c>
      <c r="S88" s="30" t="n">
        <v>959009</v>
      </c>
      <c r="T88" s="30" t="n">
        <v>0</v>
      </c>
      <c r="U88" s="9"/>
      <c r="V88" s="9"/>
    </row>
    <row r="89" customFormat="false" ht="32.8" hidden="false" customHeight="false" outlineLevel="0" collapsed="false">
      <c r="A89" s="9" t="s">
        <v>89</v>
      </c>
      <c r="B89" s="9" t="s">
        <v>13</v>
      </c>
      <c r="C89" s="9" t="s">
        <v>241</v>
      </c>
      <c r="D89" s="9" t="s">
        <v>49</v>
      </c>
      <c r="E89" s="9" t="s">
        <v>282</v>
      </c>
      <c r="F89" s="9" t="n">
        <v>187</v>
      </c>
      <c r="G89" s="28" t="s">
        <v>283</v>
      </c>
      <c r="H89" s="29" t="n">
        <v>2361641</v>
      </c>
      <c r="I89" s="29" t="n">
        <v>1509241.36</v>
      </c>
      <c r="J89" s="29" t="n">
        <v>1501265.72</v>
      </c>
      <c r="K89" s="29" t="n">
        <v>1059463.81</v>
      </c>
      <c r="L89" s="30" t="n">
        <f aca="false">H89-I89</f>
        <v>852399.64</v>
      </c>
      <c r="M89" s="30" t="n">
        <f aca="false">H89-J89</f>
        <v>860375.28</v>
      </c>
      <c r="N89" s="30" t="n">
        <f aca="false">H89-K89</f>
        <v>1302177.19</v>
      </c>
      <c r="O89" s="9" t="s">
        <v>149</v>
      </c>
      <c r="P89" s="9" t="str">
        <f aca="false">IF(H89=0,"Sin PIM",IF(ROUND(K89-H89,2)&gt;=0,"Devengado total",IF(J89&gt;0.005,"Comprometido",IF(I89&gt;0.005,"Solo certificado","Sin certificar"))))</f>
        <v>Comprometido</v>
      </c>
      <c r="Q89" s="30" t="n">
        <v>100000</v>
      </c>
      <c r="R89" s="30" t="n">
        <v>45539</v>
      </c>
      <c r="S89" s="30" t="n">
        <v>0</v>
      </c>
      <c r="T89" s="30" t="n">
        <v>0</v>
      </c>
      <c r="U89" s="9"/>
      <c r="V89" s="9"/>
    </row>
    <row r="90" customFormat="false" ht="32.8" hidden="false" customHeight="false" outlineLevel="0" collapsed="false">
      <c r="A90" s="9" t="s">
        <v>89</v>
      </c>
      <c r="B90" s="9" t="s">
        <v>13</v>
      </c>
      <c r="C90" s="9" t="s">
        <v>241</v>
      </c>
      <c r="D90" s="9" t="s">
        <v>49</v>
      </c>
      <c r="E90" s="9" t="s">
        <v>284</v>
      </c>
      <c r="F90" s="9" t="n">
        <v>307</v>
      </c>
      <c r="G90" s="28" t="s">
        <v>285</v>
      </c>
      <c r="H90" s="29" t="n">
        <v>1272735</v>
      </c>
      <c r="I90" s="29" t="n">
        <v>1253656.86</v>
      </c>
      <c r="J90" s="29" t="n">
        <v>1253656.86</v>
      </c>
      <c r="K90" s="29" t="n">
        <v>1181486.15</v>
      </c>
      <c r="L90" s="30" t="n">
        <f aca="false">H90-I90</f>
        <v>19078.1399999999</v>
      </c>
      <c r="M90" s="30" t="n">
        <f aca="false">H90-J90</f>
        <v>19078.1399999999</v>
      </c>
      <c r="N90" s="30" t="n">
        <f aca="false">H90-K90</f>
        <v>91248.8500000001</v>
      </c>
      <c r="O90" s="9" t="s">
        <v>117</v>
      </c>
      <c r="P90" s="9" t="str">
        <f aca="false">IF(H90=0,"Sin PIM",IF(ROUND(K90-H90,2)&gt;=0,"Devengado total",IF(J90&gt;0.005,"Comprometido",IF(I90&gt;0.005,"Solo certificado","Sin certificar"))))</f>
        <v>Comprometido</v>
      </c>
      <c r="Q90" s="30" t="n">
        <v>1216856</v>
      </c>
      <c r="R90" s="30" t="n">
        <v>370264</v>
      </c>
      <c r="S90" s="30" t="n">
        <v>0</v>
      </c>
      <c r="T90" s="30" t="n">
        <v>0</v>
      </c>
      <c r="U90" s="9"/>
      <c r="V90" s="9"/>
    </row>
    <row r="91" customFormat="false" ht="32.8" hidden="false" customHeight="false" outlineLevel="0" collapsed="false">
      <c r="A91" s="9" t="s">
        <v>89</v>
      </c>
      <c r="B91" s="9" t="s">
        <v>13</v>
      </c>
      <c r="C91" s="9" t="s">
        <v>241</v>
      </c>
      <c r="D91" s="9" t="s">
        <v>49</v>
      </c>
      <c r="E91" s="9" t="s">
        <v>286</v>
      </c>
      <c r="F91" s="9" t="n">
        <v>333</v>
      </c>
      <c r="G91" s="28" t="s">
        <v>287</v>
      </c>
      <c r="H91" s="29" t="n">
        <v>919876</v>
      </c>
      <c r="I91" s="29" t="n">
        <v>340967.6</v>
      </c>
      <c r="J91" s="29" t="n">
        <v>242000</v>
      </c>
      <c r="K91" s="29" t="n">
        <v>7840.91</v>
      </c>
      <c r="L91" s="30" t="n">
        <f aca="false">H91-I91</f>
        <v>578908.4</v>
      </c>
      <c r="M91" s="30" t="n">
        <f aca="false">H91-J91</f>
        <v>677876</v>
      </c>
      <c r="N91" s="30" t="n">
        <f aca="false">H91-K91</f>
        <v>912035.09</v>
      </c>
      <c r="O91" s="9" t="s">
        <v>117</v>
      </c>
      <c r="P91" s="9" t="str">
        <f aca="false">IF(H91=0,"Sin PIM",IF(ROUND(K91-H91,2)&gt;=0,"Devengado total",IF(J91&gt;0.005,"Comprometido",IF(I91&gt;0.005,"Solo certificado","Sin certificar"))))</f>
        <v>Comprometido</v>
      </c>
      <c r="Q91" s="30" t="n">
        <v>903516</v>
      </c>
      <c r="R91" s="30" t="n">
        <v>919620</v>
      </c>
      <c r="S91" s="30" t="n">
        <v>268263</v>
      </c>
      <c r="T91" s="30" t="n">
        <v>0</v>
      </c>
      <c r="U91" s="9"/>
      <c r="V91" s="9"/>
    </row>
    <row r="92" customFormat="false" ht="43.25" hidden="false" customHeight="false" outlineLevel="0" collapsed="false">
      <c r="A92" s="9" t="s">
        <v>89</v>
      </c>
      <c r="B92" s="9" t="s">
        <v>13</v>
      </c>
      <c r="C92" s="9" t="s">
        <v>241</v>
      </c>
      <c r="D92" s="9" t="s">
        <v>49</v>
      </c>
      <c r="E92" s="9" t="s">
        <v>288</v>
      </c>
      <c r="F92" s="9" t="n">
        <v>173</v>
      </c>
      <c r="G92" s="28" t="s">
        <v>289</v>
      </c>
      <c r="H92" s="29" t="n">
        <v>41720</v>
      </c>
      <c r="I92" s="29" t="n">
        <v>31883.37</v>
      </c>
      <c r="J92" s="29" t="n">
        <v>31883.37</v>
      </c>
      <c r="K92" s="29" t="n">
        <v>31883.37</v>
      </c>
      <c r="L92" s="30" t="n">
        <f aca="false">H92-I92</f>
        <v>9836.63</v>
      </c>
      <c r="M92" s="30" t="n">
        <f aca="false">H92-J92</f>
        <v>9836.63</v>
      </c>
      <c r="N92" s="30" t="n">
        <f aca="false">H92-K92</f>
        <v>9836.63</v>
      </c>
      <c r="O92" s="9" t="s">
        <v>114</v>
      </c>
      <c r="P92" s="9" t="str">
        <f aca="false">IF(H92=0,"Sin PIM",IF(ROUND(K92-H92,2)&gt;=0,"Devengado total",IF(J92&gt;0.005,"Comprometido",IF(I92&gt;0.005,"Solo certificado","Sin certificar"))))</f>
        <v>Comprometido</v>
      </c>
      <c r="Q92" s="30" t="n">
        <v>120201</v>
      </c>
      <c r="R92" s="30" t="n">
        <v>0</v>
      </c>
      <c r="S92" s="30" t="n">
        <v>0</v>
      </c>
      <c r="T92" s="30" t="n">
        <v>0</v>
      </c>
      <c r="U92" s="9"/>
      <c r="V92" s="9"/>
    </row>
    <row r="93" customFormat="false" ht="32.8" hidden="false" customHeight="false" outlineLevel="0" collapsed="false">
      <c r="A93" s="9" t="s">
        <v>89</v>
      </c>
      <c r="B93" s="9" t="s">
        <v>13</v>
      </c>
      <c r="C93" s="9" t="s">
        <v>241</v>
      </c>
      <c r="D93" s="9" t="s">
        <v>49</v>
      </c>
      <c r="E93" s="9" t="s">
        <v>290</v>
      </c>
      <c r="F93" s="9" t="n">
        <v>180</v>
      </c>
      <c r="G93" s="28" t="s">
        <v>291</v>
      </c>
      <c r="H93" s="29" t="n">
        <v>704972</v>
      </c>
      <c r="I93" s="29" t="n">
        <v>309066</v>
      </c>
      <c r="J93" s="29" t="n">
        <v>255972</v>
      </c>
      <c r="K93" s="29" t="n">
        <v>15770.09</v>
      </c>
      <c r="L93" s="30" t="n">
        <f aca="false">H93-I93</f>
        <v>395906</v>
      </c>
      <c r="M93" s="30" t="n">
        <f aca="false">H93-J93</f>
        <v>449000</v>
      </c>
      <c r="N93" s="30" t="n">
        <f aca="false">H93-K93</f>
        <v>689201.91</v>
      </c>
      <c r="O93" s="9" t="s">
        <v>194</v>
      </c>
      <c r="P93" s="9" t="str">
        <f aca="false">IF(H93=0,"Sin PIM",IF(ROUND(K93-H93,2)&gt;=0,"Devengado total",IF(J93&gt;0.005,"Comprometido",IF(I93&gt;0.005,"Solo certificado","Sin certificar"))))</f>
        <v>Comprometido</v>
      </c>
      <c r="Q93" s="30" t="n">
        <v>100000</v>
      </c>
      <c r="R93" s="30" t="n">
        <v>0</v>
      </c>
      <c r="S93" s="30" t="n">
        <v>921923</v>
      </c>
      <c r="T93" s="30" t="n">
        <v>0</v>
      </c>
      <c r="U93" s="9"/>
      <c r="V93" s="9"/>
    </row>
    <row r="94" customFormat="false" ht="64.15" hidden="false" customHeight="false" outlineLevel="0" collapsed="false">
      <c r="A94" s="9" t="s">
        <v>89</v>
      </c>
      <c r="B94" s="9" t="s">
        <v>13</v>
      </c>
      <c r="C94" s="9" t="s">
        <v>241</v>
      </c>
      <c r="D94" s="9" t="s">
        <v>49</v>
      </c>
      <c r="E94" s="9" t="s">
        <v>292</v>
      </c>
      <c r="F94" s="9" t="n">
        <v>83</v>
      </c>
      <c r="G94" s="28" t="s">
        <v>293</v>
      </c>
      <c r="H94" s="29" t="n">
        <v>61203</v>
      </c>
      <c r="I94" s="29" t="n">
        <v>0</v>
      </c>
      <c r="J94" s="29" t="n">
        <v>0</v>
      </c>
      <c r="K94" s="29" t="n">
        <v>0</v>
      </c>
      <c r="L94" s="30" t="n">
        <f aca="false">H94-I94</f>
        <v>61203</v>
      </c>
      <c r="M94" s="30" t="n">
        <f aca="false">H94-J94</f>
        <v>61203</v>
      </c>
      <c r="N94" s="30" t="n">
        <f aca="false">H94-K94</f>
        <v>61203</v>
      </c>
      <c r="O94" s="9" t="s">
        <v>139</v>
      </c>
      <c r="P94" s="9" t="str">
        <f aca="false">IF(H94=0,"Sin PIM",IF(ROUND(K94-H94,2)&gt;=0,"Devengado total",IF(J94&gt;0.005,"Comprometido",IF(I94&gt;0.005,"Solo certificado","Sin certificar"))))</f>
        <v>Sin certificar</v>
      </c>
      <c r="Q94" s="30" t="n">
        <v>61203</v>
      </c>
      <c r="R94" s="30" t="n">
        <v>0</v>
      </c>
      <c r="S94" s="30" t="n">
        <v>0</v>
      </c>
      <c r="T94" s="30" t="n">
        <v>0</v>
      </c>
      <c r="U94" s="9"/>
      <c r="V94" s="9"/>
    </row>
    <row r="95" customFormat="false" ht="32.8" hidden="false" customHeight="false" outlineLevel="0" collapsed="false">
      <c r="A95" s="9" t="s">
        <v>89</v>
      </c>
      <c r="B95" s="9" t="s">
        <v>13</v>
      </c>
      <c r="C95" s="9" t="s">
        <v>241</v>
      </c>
      <c r="D95" s="9" t="s">
        <v>50</v>
      </c>
      <c r="E95" s="9" t="s">
        <v>294</v>
      </c>
      <c r="F95" s="9" t="n">
        <v>110</v>
      </c>
      <c r="G95" s="28" t="s">
        <v>295</v>
      </c>
      <c r="H95" s="29" t="n">
        <v>23143575</v>
      </c>
      <c r="I95" s="29" t="n">
        <v>22275710.84</v>
      </c>
      <c r="J95" s="29" t="n">
        <v>19031848.84</v>
      </c>
      <c r="K95" s="29" t="n">
        <v>12059018.4</v>
      </c>
      <c r="L95" s="30" t="n">
        <f aca="false">H95-I95</f>
        <v>867864.16</v>
      </c>
      <c r="M95" s="30" t="n">
        <f aca="false">H95-J95</f>
        <v>4111726.16</v>
      </c>
      <c r="N95" s="30" t="n">
        <f aca="false">H95-K95</f>
        <v>11084556.6</v>
      </c>
      <c r="O95" s="9" t="s">
        <v>100</v>
      </c>
      <c r="P95" s="9" t="str">
        <f aca="false">IF(H95=0,"Sin PIM",IF(ROUND(K95-H95,2)&gt;=0,"Devengado total",IF(J95&gt;0.005,"Comprometido",IF(I95&gt;0.005,"Solo certificado","Sin certificar"))))</f>
        <v>Comprometido</v>
      </c>
      <c r="Q95" s="30" t="n">
        <v>15500800</v>
      </c>
      <c r="R95" s="30" t="n">
        <v>4458489</v>
      </c>
      <c r="S95" s="30" t="n">
        <v>450011</v>
      </c>
      <c r="T95" s="30" t="n">
        <v>0</v>
      </c>
      <c r="U95" s="9"/>
      <c r="V95" s="9"/>
    </row>
    <row r="96" customFormat="false" ht="32.8" hidden="false" customHeight="false" outlineLevel="0" collapsed="false">
      <c r="A96" s="9" t="s">
        <v>89</v>
      </c>
      <c r="B96" s="9" t="s">
        <v>13</v>
      </c>
      <c r="C96" s="9" t="s">
        <v>241</v>
      </c>
      <c r="D96" s="9" t="s">
        <v>50</v>
      </c>
      <c r="E96" s="9" t="s">
        <v>296</v>
      </c>
      <c r="F96" s="9" t="n">
        <v>103</v>
      </c>
      <c r="G96" s="28" t="s">
        <v>297</v>
      </c>
      <c r="H96" s="29" t="n">
        <v>14991498</v>
      </c>
      <c r="I96" s="29" t="n">
        <v>14685002.97</v>
      </c>
      <c r="J96" s="29" t="n">
        <v>13584705.06</v>
      </c>
      <c r="K96" s="29" t="n">
        <v>11502166.71</v>
      </c>
      <c r="L96" s="30" t="n">
        <f aca="false">H96-I96</f>
        <v>306495.029999999</v>
      </c>
      <c r="M96" s="30" t="n">
        <f aca="false">H96-J96</f>
        <v>1406792.94</v>
      </c>
      <c r="N96" s="30" t="n">
        <f aca="false">H96-K96</f>
        <v>3489331.29</v>
      </c>
      <c r="O96" s="9" t="s">
        <v>100</v>
      </c>
      <c r="P96" s="9" t="str">
        <f aca="false">IF(H96=0,"Sin PIM",IF(ROUND(K96-H96,2)&gt;=0,"Devengado total",IF(J96&gt;0.005,"Comprometido",IF(I96&gt;0.005,"Solo certificado","Sin certificar"))))</f>
        <v>Comprometido</v>
      </c>
      <c r="Q96" s="30" t="n">
        <v>12491498</v>
      </c>
      <c r="R96" s="30" t="n">
        <v>632388</v>
      </c>
      <c r="S96" s="30" t="n">
        <v>41870</v>
      </c>
      <c r="T96" s="30" t="n">
        <v>0</v>
      </c>
      <c r="U96" s="9"/>
      <c r="V96" s="9"/>
    </row>
    <row r="97" customFormat="false" ht="32.8" hidden="false" customHeight="false" outlineLevel="0" collapsed="false">
      <c r="A97" s="9" t="s">
        <v>89</v>
      </c>
      <c r="B97" s="9" t="s">
        <v>13</v>
      </c>
      <c r="C97" s="9" t="s">
        <v>241</v>
      </c>
      <c r="D97" s="9" t="s">
        <v>50</v>
      </c>
      <c r="E97" s="9" t="s">
        <v>298</v>
      </c>
      <c r="F97" s="9" t="n">
        <v>106</v>
      </c>
      <c r="G97" s="28" t="s">
        <v>299</v>
      </c>
      <c r="H97" s="29" t="n">
        <v>5270087</v>
      </c>
      <c r="I97" s="29" t="n">
        <v>5222084.29</v>
      </c>
      <c r="J97" s="29" t="n">
        <v>5222084.29</v>
      </c>
      <c r="K97" s="29" t="n">
        <v>5220159.29</v>
      </c>
      <c r="L97" s="30" t="n">
        <f aca="false">H97-I97</f>
        <v>48002.709999999</v>
      </c>
      <c r="M97" s="30" t="n">
        <f aca="false">H97-J97</f>
        <v>48002.709999999</v>
      </c>
      <c r="N97" s="30" t="n">
        <f aca="false">H97-K97</f>
        <v>49927.709999999</v>
      </c>
      <c r="O97" s="9" t="s">
        <v>100</v>
      </c>
      <c r="P97" s="9" t="str">
        <f aca="false">IF(H97=0,"Sin PIM",IF(ROUND(K97-H97,2)&gt;=0,"Devengado total",IF(J97&gt;0.005,"Comprometido",IF(I97&gt;0.005,"Solo certificado","Sin certificar"))))</f>
        <v>Comprometido</v>
      </c>
      <c r="Q97" s="30" t="s">
        <v>97</v>
      </c>
      <c r="R97" s="30" t="s">
        <v>97</v>
      </c>
      <c r="S97" s="30" t="s">
        <v>97</v>
      </c>
      <c r="T97" s="30" t="s">
        <v>97</v>
      </c>
      <c r="U97" s="9"/>
      <c r="V97" s="9"/>
    </row>
    <row r="98" customFormat="false" ht="53.7" hidden="false" customHeight="false" outlineLevel="0" collapsed="false">
      <c r="A98" s="9" t="s">
        <v>89</v>
      </c>
      <c r="B98" s="9" t="s">
        <v>13</v>
      </c>
      <c r="C98" s="9" t="s">
        <v>241</v>
      </c>
      <c r="D98" s="9" t="s">
        <v>50</v>
      </c>
      <c r="E98" s="9" t="s">
        <v>300</v>
      </c>
      <c r="F98" s="9" t="n">
        <v>119</v>
      </c>
      <c r="G98" s="28" t="s">
        <v>301</v>
      </c>
      <c r="H98" s="29" t="n">
        <v>6770858</v>
      </c>
      <c r="I98" s="29" t="n">
        <v>6051014.29</v>
      </c>
      <c r="J98" s="29" t="n">
        <v>5148470.1</v>
      </c>
      <c r="K98" s="29" t="n">
        <v>3961148.72</v>
      </c>
      <c r="L98" s="30" t="n">
        <f aca="false">H98-I98</f>
        <v>719843.710000001</v>
      </c>
      <c r="M98" s="30" t="n">
        <f aca="false">H98-J98</f>
        <v>1622387.9</v>
      </c>
      <c r="N98" s="30" t="n">
        <f aca="false">H98-K98</f>
        <v>2809709.28</v>
      </c>
      <c r="O98" s="9" t="s">
        <v>117</v>
      </c>
      <c r="P98" s="9" t="str">
        <f aca="false">IF(H98=0,"Sin PIM",IF(ROUND(K98-H98,2)&gt;=0,"Devengado total",IF(J98&gt;0.005,"Comprometido",IF(I98&gt;0.005,"Solo certificado","Sin certificar"))))</f>
        <v>Comprometido</v>
      </c>
      <c r="Q98" s="30" t="s">
        <v>97</v>
      </c>
      <c r="R98" s="30" t="s">
        <v>97</v>
      </c>
      <c r="S98" s="30" t="s">
        <v>97</v>
      </c>
      <c r="T98" s="30" t="s">
        <v>97</v>
      </c>
      <c r="U98" s="9"/>
      <c r="V98" s="9"/>
    </row>
    <row r="99" customFormat="false" ht="64.15" hidden="false" customHeight="false" outlineLevel="0" collapsed="false">
      <c r="A99" s="9" t="s">
        <v>89</v>
      </c>
      <c r="B99" s="9" t="s">
        <v>13</v>
      </c>
      <c r="C99" s="9" t="s">
        <v>241</v>
      </c>
      <c r="D99" s="9" t="s">
        <v>50</v>
      </c>
      <c r="E99" s="9" t="s">
        <v>302</v>
      </c>
      <c r="F99" s="9" t="n">
        <v>121</v>
      </c>
      <c r="G99" s="28" t="s">
        <v>303</v>
      </c>
      <c r="H99" s="29" t="n">
        <v>2308286</v>
      </c>
      <c r="I99" s="29" t="n">
        <v>0</v>
      </c>
      <c r="J99" s="29" t="n">
        <v>0</v>
      </c>
      <c r="K99" s="29" t="n">
        <v>0</v>
      </c>
      <c r="L99" s="30" t="n">
        <f aca="false">H99-I99</f>
        <v>2308286</v>
      </c>
      <c r="M99" s="30" t="n">
        <f aca="false">H99-J99</f>
        <v>2308286</v>
      </c>
      <c r="N99" s="30" t="n">
        <f aca="false">H99-K99</f>
        <v>2308286</v>
      </c>
      <c r="O99" s="9" t="s">
        <v>165</v>
      </c>
      <c r="P99" s="9" t="str">
        <f aca="false">IF(H99=0,"Sin PIM",IF(ROUND(K99-H99,2)&gt;=0,"Devengado total",IF(J99&gt;0.005,"Comprometido",IF(I99&gt;0.005,"Solo certificado","Sin certificar"))))</f>
        <v>Sin certificar</v>
      </c>
      <c r="Q99" s="30" t="n">
        <v>800000</v>
      </c>
      <c r="R99" s="30" t="n">
        <v>10345657</v>
      </c>
      <c r="S99" s="30" t="n">
        <v>0</v>
      </c>
      <c r="T99" s="30" t="n">
        <v>10973904</v>
      </c>
      <c r="U99" s="9"/>
      <c r="V99" s="9"/>
    </row>
    <row r="100" customFormat="false" ht="32.8" hidden="false" customHeight="false" outlineLevel="0" collapsed="false">
      <c r="A100" s="9" t="s">
        <v>89</v>
      </c>
      <c r="B100" s="9" t="s">
        <v>13</v>
      </c>
      <c r="C100" s="9" t="s">
        <v>241</v>
      </c>
      <c r="D100" s="9" t="s">
        <v>50</v>
      </c>
      <c r="E100" s="9" t="s">
        <v>304</v>
      </c>
      <c r="F100" s="9" t="n">
        <v>463</v>
      </c>
      <c r="G100" s="28" t="s">
        <v>305</v>
      </c>
      <c r="H100" s="29" t="n">
        <v>1827737</v>
      </c>
      <c r="I100" s="29" t="n">
        <v>1014425.98</v>
      </c>
      <c r="J100" s="29" t="n">
        <v>393791.6</v>
      </c>
      <c r="K100" s="29" t="n">
        <v>13810.34</v>
      </c>
      <c r="L100" s="30" t="n">
        <f aca="false">H100-I100</f>
        <v>813311.02</v>
      </c>
      <c r="M100" s="30" t="n">
        <f aca="false">H100-J100</f>
        <v>1433945.4</v>
      </c>
      <c r="N100" s="30" t="n">
        <f aca="false">H100-K100</f>
        <v>1813926.66</v>
      </c>
      <c r="O100" s="9" t="s">
        <v>165</v>
      </c>
      <c r="P100" s="9" t="str">
        <f aca="false">IF(H100=0,"Sin PIM",IF(ROUND(K100-H100,2)&gt;=0,"Devengado total",IF(J100&gt;0.005,"Comprometido",IF(I100&gt;0.005,"Solo certificado","Sin certificar"))))</f>
        <v>Comprometido</v>
      </c>
      <c r="Q100" s="30" t="s">
        <v>97</v>
      </c>
      <c r="R100" s="30" t="s">
        <v>97</v>
      </c>
      <c r="S100" s="30" t="s">
        <v>97</v>
      </c>
      <c r="T100" s="30" t="s">
        <v>97</v>
      </c>
      <c r="U100" s="9"/>
      <c r="V100" s="9"/>
    </row>
    <row r="101" customFormat="false" ht="53.7" hidden="false" customHeight="false" outlineLevel="0" collapsed="false">
      <c r="A101" s="9" t="s">
        <v>89</v>
      </c>
      <c r="B101" s="9" t="s">
        <v>13</v>
      </c>
      <c r="C101" s="9" t="s">
        <v>241</v>
      </c>
      <c r="D101" s="9" t="s">
        <v>50</v>
      </c>
      <c r="E101" s="9" t="s">
        <v>306</v>
      </c>
      <c r="F101" s="9" t="n">
        <v>128</v>
      </c>
      <c r="G101" s="28" t="s">
        <v>307</v>
      </c>
      <c r="H101" s="29" t="n">
        <v>4106961</v>
      </c>
      <c r="I101" s="29" t="n">
        <v>3355560.21</v>
      </c>
      <c r="J101" s="29" t="n">
        <v>2782790.94</v>
      </c>
      <c r="K101" s="29" t="n">
        <v>1831598.54</v>
      </c>
      <c r="L101" s="30" t="n">
        <f aca="false">H101-I101</f>
        <v>751400.79</v>
      </c>
      <c r="M101" s="30" t="n">
        <f aca="false">H101-J101</f>
        <v>1324170.06</v>
      </c>
      <c r="N101" s="30" t="n">
        <f aca="false">H101-K101</f>
        <v>2275362.46</v>
      </c>
      <c r="O101" s="9" t="s">
        <v>100</v>
      </c>
      <c r="P101" s="9" t="str">
        <f aca="false">IF(H101=0,"Sin PIM",IF(ROUND(K101-H101,2)&gt;=0,"Devengado total",IF(J101&gt;0.005,"Comprometido",IF(I101&gt;0.005,"Solo certificado","Sin certificar"))))</f>
        <v>Comprometido</v>
      </c>
      <c r="Q101" s="30" t="s">
        <v>97</v>
      </c>
      <c r="R101" s="30" t="s">
        <v>97</v>
      </c>
      <c r="S101" s="30" t="s">
        <v>97</v>
      </c>
      <c r="T101" s="30" t="s">
        <v>97</v>
      </c>
      <c r="U101" s="9"/>
      <c r="V101" s="9"/>
    </row>
    <row r="102" customFormat="false" ht="32.8" hidden="false" customHeight="false" outlineLevel="0" collapsed="false">
      <c r="A102" s="9" t="s">
        <v>89</v>
      </c>
      <c r="B102" s="9" t="s">
        <v>13</v>
      </c>
      <c r="C102" s="9" t="s">
        <v>241</v>
      </c>
      <c r="D102" s="9" t="s">
        <v>50</v>
      </c>
      <c r="E102" s="9" t="s">
        <v>308</v>
      </c>
      <c r="F102" s="9" t="n">
        <v>105</v>
      </c>
      <c r="G102" s="28" t="s">
        <v>309</v>
      </c>
      <c r="H102" s="29" t="n">
        <v>7751873</v>
      </c>
      <c r="I102" s="29" t="n">
        <v>7482027.37</v>
      </c>
      <c r="J102" s="29" t="n">
        <v>6440682.89</v>
      </c>
      <c r="K102" s="29" t="n">
        <v>5292812.77</v>
      </c>
      <c r="L102" s="30" t="n">
        <f aca="false">H102-I102</f>
        <v>269845.63</v>
      </c>
      <c r="M102" s="30" t="n">
        <f aca="false">H102-J102</f>
        <v>1311190.11</v>
      </c>
      <c r="N102" s="30" t="n">
        <f aca="false">H102-K102</f>
        <v>2459060.23</v>
      </c>
      <c r="O102" s="9" t="s">
        <v>117</v>
      </c>
      <c r="P102" s="9" t="str">
        <f aca="false">IF(H102=0,"Sin PIM",IF(ROUND(K102-H102,2)&gt;=0,"Devengado total",IF(J102&gt;0.005,"Comprometido",IF(I102&gt;0.005,"Solo certificado","Sin certificar"))))</f>
        <v>Comprometido</v>
      </c>
      <c r="Q102" s="30" t="s">
        <v>97</v>
      </c>
      <c r="R102" s="30" t="s">
        <v>97</v>
      </c>
      <c r="S102" s="30" t="s">
        <v>97</v>
      </c>
      <c r="T102" s="30" t="s">
        <v>97</v>
      </c>
      <c r="U102" s="9"/>
      <c r="V102" s="9"/>
    </row>
    <row r="103" customFormat="false" ht="32.8" hidden="false" customHeight="false" outlineLevel="0" collapsed="false">
      <c r="A103" s="9" t="s">
        <v>89</v>
      </c>
      <c r="B103" s="9" t="s">
        <v>13</v>
      </c>
      <c r="C103" s="9" t="s">
        <v>241</v>
      </c>
      <c r="D103" s="9" t="s">
        <v>50</v>
      </c>
      <c r="E103" s="9" t="s">
        <v>310</v>
      </c>
      <c r="F103" s="9" t="n">
        <v>114</v>
      </c>
      <c r="G103" s="28" t="s">
        <v>311</v>
      </c>
      <c r="H103" s="29" t="n">
        <v>936343</v>
      </c>
      <c r="I103" s="29" t="n">
        <v>868354.77</v>
      </c>
      <c r="J103" s="29" t="n">
        <v>868354.77</v>
      </c>
      <c r="K103" s="29" t="n">
        <v>868354.72</v>
      </c>
      <c r="L103" s="30" t="n">
        <f aca="false">H103-I103</f>
        <v>67988.23</v>
      </c>
      <c r="M103" s="30" t="n">
        <f aca="false">H103-J103</f>
        <v>67988.23</v>
      </c>
      <c r="N103" s="30" t="n">
        <f aca="false">H103-K103</f>
        <v>67988.28</v>
      </c>
      <c r="O103" s="9" t="s">
        <v>100</v>
      </c>
      <c r="P103" s="9" t="str">
        <f aca="false">IF(H103=0,"Sin PIM",IF(ROUND(K103-H103,2)&gt;=0,"Devengado total",IF(J103&gt;0.005,"Comprometido",IF(I103&gt;0.005,"Solo certificado","Sin certificar"))))</f>
        <v>Comprometido</v>
      </c>
      <c r="Q103" s="30" t="s">
        <v>97</v>
      </c>
      <c r="R103" s="30" t="s">
        <v>97</v>
      </c>
      <c r="S103" s="30" t="s">
        <v>97</v>
      </c>
      <c r="T103" s="30" t="s">
        <v>97</v>
      </c>
      <c r="U103" s="9"/>
      <c r="V103" s="9"/>
    </row>
    <row r="104" customFormat="false" ht="43.25" hidden="false" customHeight="false" outlineLevel="0" collapsed="false">
      <c r="A104" s="9" t="s">
        <v>89</v>
      </c>
      <c r="B104" s="9" t="s">
        <v>13</v>
      </c>
      <c r="C104" s="9" t="s">
        <v>241</v>
      </c>
      <c r="D104" s="9" t="s">
        <v>50</v>
      </c>
      <c r="E104" s="9" t="s">
        <v>312</v>
      </c>
      <c r="F104" s="9" t="n">
        <v>167</v>
      </c>
      <c r="G104" s="28" t="s">
        <v>313</v>
      </c>
      <c r="H104" s="29" t="n">
        <v>565870</v>
      </c>
      <c r="I104" s="29" t="n">
        <v>502948.57</v>
      </c>
      <c r="J104" s="29" t="n">
        <v>500422.57</v>
      </c>
      <c r="K104" s="29" t="n">
        <v>446229.16</v>
      </c>
      <c r="L104" s="30" t="n">
        <f aca="false">H104-I104</f>
        <v>62921.43</v>
      </c>
      <c r="M104" s="30" t="n">
        <f aca="false">H104-J104</f>
        <v>65447.43</v>
      </c>
      <c r="N104" s="30" t="n">
        <f aca="false">H104-K104</f>
        <v>119640.84</v>
      </c>
      <c r="O104" s="9" t="s">
        <v>100</v>
      </c>
      <c r="P104" s="9" t="str">
        <f aca="false">IF(H104=0,"Sin PIM",IF(ROUND(K104-H104,2)&gt;=0,"Devengado total",IF(J104&gt;0.005,"Comprometido",IF(I104&gt;0.005,"Solo certificado","Sin certificar"))))</f>
        <v>Comprometido</v>
      </c>
      <c r="Q104" s="30" t="s">
        <v>97</v>
      </c>
      <c r="R104" s="30" t="s">
        <v>97</v>
      </c>
      <c r="S104" s="30" t="s">
        <v>97</v>
      </c>
      <c r="T104" s="30" t="s">
        <v>97</v>
      </c>
      <c r="U104" s="9"/>
      <c r="V104" s="9"/>
    </row>
    <row r="105" customFormat="false" ht="43.25" hidden="false" customHeight="false" outlineLevel="0" collapsed="false">
      <c r="A105" s="9" t="s">
        <v>89</v>
      </c>
      <c r="B105" s="9" t="s">
        <v>13</v>
      </c>
      <c r="C105" s="9" t="s">
        <v>241</v>
      </c>
      <c r="D105" s="9" t="s">
        <v>51</v>
      </c>
      <c r="E105" s="9" t="s">
        <v>314</v>
      </c>
      <c r="F105" s="9" t="n">
        <v>69</v>
      </c>
      <c r="G105" s="28" t="s">
        <v>315</v>
      </c>
      <c r="H105" s="29" t="n">
        <v>1075076</v>
      </c>
      <c r="I105" s="29" t="n">
        <v>1062250</v>
      </c>
      <c r="J105" s="29" t="n">
        <v>25418</v>
      </c>
      <c r="K105" s="29" t="n">
        <v>20822.47</v>
      </c>
      <c r="L105" s="30" t="n">
        <f aca="false">H105-I105</f>
        <v>12826</v>
      </c>
      <c r="M105" s="30" t="n">
        <f aca="false">H105-J105</f>
        <v>1049658</v>
      </c>
      <c r="N105" s="30" t="n">
        <f aca="false">H105-K105</f>
        <v>1054253.53</v>
      </c>
      <c r="O105" s="9" t="s">
        <v>316</v>
      </c>
      <c r="P105" s="9" t="str">
        <f aca="false">IF(H105=0,"Sin PIM",IF(ROUND(K105-H105,2)&gt;=0,"Devengado total",IF(J105&gt;0.005,"Comprometido",IF(I105&gt;0.005,"Solo certificado","Sin certificar"))))</f>
        <v>Comprometido</v>
      </c>
      <c r="Q105" s="30" t="n">
        <v>1062638</v>
      </c>
      <c r="R105" s="30" t="n">
        <v>245874</v>
      </c>
      <c r="S105" s="30" t="n">
        <v>0</v>
      </c>
      <c r="T105" s="30" t="n">
        <v>0</v>
      </c>
      <c r="U105" s="9"/>
      <c r="V105" s="9"/>
    </row>
    <row r="106" customFormat="false" ht="43.25" hidden="false" customHeight="false" outlineLevel="0" collapsed="false">
      <c r="A106" s="9" t="s">
        <v>89</v>
      </c>
      <c r="B106" s="9" t="s">
        <v>13</v>
      </c>
      <c r="C106" s="9" t="s">
        <v>241</v>
      </c>
      <c r="D106" s="9" t="s">
        <v>51</v>
      </c>
      <c r="E106" s="9" t="s">
        <v>317</v>
      </c>
      <c r="F106" s="9" t="n">
        <v>73</v>
      </c>
      <c r="G106" s="28" t="s">
        <v>318</v>
      </c>
      <c r="H106" s="29" t="n">
        <v>4474004</v>
      </c>
      <c r="I106" s="29" t="n">
        <v>4473905</v>
      </c>
      <c r="J106" s="29" t="n">
        <v>0</v>
      </c>
      <c r="K106" s="29" t="n">
        <v>0</v>
      </c>
      <c r="L106" s="30" t="n">
        <f aca="false">H106-I106</f>
        <v>99</v>
      </c>
      <c r="M106" s="30" t="n">
        <f aca="false">H106-J106</f>
        <v>4474004</v>
      </c>
      <c r="N106" s="30" t="n">
        <f aca="false">H106-K106</f>
        <v>4474004</v>
      </c>
      <c r="O106" s="9" t="s">
        <v>316</v>
      </c>
      <c r="P106" s="9" t="str">
        <f aca="false">IF(H106=0,"Sin PIM",IF(ROUND(K106-H106,2)&gt;=0,"Devengado total",IF(J106&gt;0.005,"Comprometido",IF(I106&gt;0.005,"Solo certificado","Sin certificar"))))</f>
        <v>Solo certificado</v>
      </c>
      <c r="Q106" s="30" t="n">
        <v>1556258</v>
      </c>
      <c r="R106" s="30" t="n">
        <v>2054256</v>
      </c>
      <c r="S106" s="30" t="n">
        <v>0</v>
      </c>
      <c r="T106" s="30" t="n">
        <v>994904</v>
      </c>
      <c r="U106" s="9"/>
      <c r="V106" s="9"/>
    </row>
    <row r="107" customFormat="false" ht="43.25" hidden="false" customHeight="false" outlineLevel="0" collapsed="false">
      <c r="A107" s="9" t="s">
        <v>89</v>
      </c>
      <c r="B107" s="9" t="s">
        <v>13</v>
      </c>
      <c r="C107" s="9" t="s">
        <v>241</v>
      </c>
      <c r="D107" s="9" t="s">
        <v>51</v>
      </c>
      <c r="E107" s="9" t="s">
        <v>319</v>
      </c>
      <c r="F107" s="9" t="n">
        <v>504</v>
      </c>
      <c r="G107" s="28" t="s">
        <v>320</v>
      </c>
      <c r="H107" s="29" t="n">
        <v>900000</v>
      </c>
      <c r="I107" s="29" t="n">
        <v>855389.64</v>
      </c>
      <c r="J107" s="29" t="n">
        <v>536922.54</v>
      </c>
      <c r="K107" s="29" t="n">
        <v>187642.38</v>
      </c>
      <c r="L107" s="30" t="n">
        <f aca="false">H107-I107</f>
        <v>44610.36</v>
      </c>
      <c r="M107" s="30" t="n">
        <f aca="false">H107-J107</f>
        <v>363077.46</v>
      </c>
      <c r="N107" s="30" t="n">
        <f aca="false">H107-K107</f>
        <v>712357.62</v>
      </c>
      <c r="O107" s="9" t="s">
        <v>117</v>
      </c>
      <c r="P107" s="9" t="str">
        <f aca="false">IF(H107=0,"Sin PIM",IF(ROUND(K107-H107,2)&gt;=0,"Devengado total",IF(J107&gt;0.005,"Comprometido",IF(I107&gt;0.005,"Solo certificado","Sin certificar"))))</f>
        <v>Comprometido</v>
      </c>
      <c r="Q107" s="30" t="s">
        <v>97</v>
      </c>
      <c r="R107" s="30" t="s">
        <v>97</v>
      </c>
      <c r="S107" s="30" t="s">
        <v>97</v>
      </c>
      <c r="T107" s="30" t="s">
        <v>97</v>
      </c>
      <c r="U107" s="9"/>
      <c r="V107" s="9"/>
    </row>
    <row r="108" customFormat="false" ht="43.25" hidden="false" customHeight="false" outlineLevel="0" collapsed="false">
      <c r="A108" s="9" t="s">
        <v>89</v>
      </c>
      <c r="B108" s="9" t="s">
        <v>13</v>
      </c>
      <c r="C108" s="9" t="s">
        <v>55</v>
      </c>
      <c r="D108" s="9" t="s">
        <v>49</v>
      </c>
      <c r="E108" s="9" t="s">
        <v>321</v>
      </c>
      <c r="F108" s="9" t="n">
        <v>34</v>
      </c>
      <c r="G108" s="28" t="s">
        <v>322</v>
      </c>
      <c r="H108" s="29" t="n">
        <v>18692228</v>
      </c>
      <c r="I108" s="29" t="n">
        <v>18634477.36</v>
      </c>
      <c r="J108" s="29" t="n">
        <v>18159978.8</v>
      </c>
      <c r="K108" s="29" t="n">
        <v>4987667.55</v>
      </c>
      <c r="L108" s="30" t="n">
        <f aca="false">H108-I108</f>
        <v>57750.6400000006</v>
      </c>
      <c r="M108" s="30" t="n">
        <f aca="false">H108-J108</f>
        <v>532249.199999999</v>
      </c>
      <c r="N108" s="30" t="n">
        <f aca="false">H108-K108</f>
        <v>13704560.45</v>
      </c>
      <c r="O108" s="9" t="s">
        <v>323</v>
      </c>
      <c r="P108" s="9" t="str">
        <f aca="false">IF(H108=0,"Sin PIM",IF(ROUND(K108-H108,2)&gt;=0,"Devengado total",IF(J108&gt;0.005,"Comprometido",IF(I108&gt;0.005,"Solo certificado","Sin certificar"))))</f>
        <v>Comprometido</v>
      </c>
      <c r="Q108" s="30" t="n">
        <v>12431185</v>
      </c>
      <c r="R108" s="30" t="n">
        <v>4843790</v>
      </c>
      <c r="S108" s="30" t="n">
        <v>2910115</v>
      </c>
      <c r="T108" s="30" t="n">
        <v>0</v>
      </c>
      <c r="U108" s="9"/>
      <c r="V108" s="9"/>
    </row>
    <row r="109" customFormat="false" ht="32.8" hidden="false" customHeight="false" outlineLevel="0" collapsed="false">
      <c r="A109" s="9" t="s">
        <v>89</v>
      </c>
      <c r="B109" s="9" t="s">
        <v>13</v>
      </c>
      <c r="C109" s="9" t="s">
        <v>55</v>
      </c>
      <c r="D109" s="9" t="s">
        <v>49</v>
      </c>
      <c r="E109" s="9" t="s">
        <v>324</v>
      </c>
      <c r="F109" s="9" t="n">
        <v>460</v>
      </c>
      <c r="G109" s="28" t="s">
        <v>325</v>
      </c>
      <c r="H109" s="29" t="n">
        <v>4437995</v>
      </c>
      <c r="I109" s="29" t="n">
        <v>3573868.86</v>
      </c>
      <c r="J109" s="29" t="n">
        <v>3194520.99</v>
      </c>
      <c r="K109" s="29" t="n">
        <v>2493396.69</v>
      </c>
      <c r="L109" s="30" t="n">
        <f aca="false">H109-I109</f>
        <v>864126.14</v>
      </c>
      <c r="M109" s="30" t="n">
        <f aca="false">H109-J109</f>
        <v>1243474.01</v>
      </c>
      <c r="N109" s="30" t="n">
        <f aca="false">H109-K109</f>
        <v>1944598.31</v>
      </c>
      <c r="O109" s="9" t="s">
        <v>149</v>
      </c>
      <c r="P109" s="9" t="str">
        <f aca="false">IF(H109=0,"Sin PIM",IF(ROUND(K109-H109,2)&gt;=0,"Devengado total",IF(J109&gt;0.005,"Comprometido",IF(I109&gt;0.005,"Solo certificado","Sin certificar"))))</f>
        <v>Comprometido</v>
      </c>
      <c r="Q109" s="30" t="s">
        <v>97</v>
      </c>
      <c r="R109" s="30" t="s">
        <v>97</v>
      </c>
      <c r="S109" s="30" t="s">
        <v>97</v>
      </c>
      <c r="T109" s="30" t="s">
        <v>97</v>
      </c>
      <c r="U109" s="9"/>
      <c r="V109" s="9"/>
    </row>
    <row r="110" customFormat="false" ht="43.25" hidden="false" customHeight="false" outlineLevel="0" collapsed="false">
      <c r="A110" s="9" t="s">
        <v>89</v>
      </c>
      <c r="B110" s="9" t="s">
        <v>13</v>
      </c>
      <c r="C110" s="9" t="s">
        <v>55</v>
      </c>
      <c r="D110" s="9" t="s">
        <v>49</v>
      </c>
      <c r="E110" s="9" t="s">
        <v>326</v>
      </c>
      <c r="F110" s="9" t="n">
        <v>455</v>
      </c>
      <c r="G110" s="28" t="s">
        <v>327</v>
      </c>
      <c r="H110" s="29" t="n">
        <v>4265759</v>
      </c>
      <c r="I110" s="29" t="n">
        <v>3847052.94</v>
      </c>
      <c r="J110" s="29" t="n">
        <v>3704328.13</v>
      </c>
      <c r="K110" s="29" t="n">
        <v>2741829.61</v>
      </c>
      <c r="L110" s="30" t="n">
        <f aca="false">H110-I110</f>
        <v>418706.06</v>
      </c>
      <c r="M110" s="30" t="n">
        <f aca="false">H110-J110</f>
        <v>561430.87</v>
      </c>
      <c r="N110" s="30" t="n">
        <f aca="false">H110-K110</f>
        <v>1523929.39</v>
      </c>
      <c r="O110" s="9" t="s">
        <v>149</v>
      </c>
      <c r="P110" s="9" t="str">
        <f aca="false">IF(H110=0,"Sin PIM",IF(ROUND(K110-H110,2)&gt;=0,"Devengado total",IF(J110&gt;0.005,"Comprometido",IF(I110&gt;0.005,"Solo certificado","Sin certificar"))))</f>
        <v>Comprometido</v>
      </c>
      <c r="Q110" s="30" t="s">
        <v>97</v>
      </c>
      <c r="R110" s="30" t="s">
        <v>97</v>
      </c>
      <c r="S110" s="30" t="s">
        <v>97</v>
      </c>
      <c r="T110" s="30" t="s">
        <v>97</v>
      </c>
      <c r="U110" s="9"/>
      <c r="V110" s="9"/>
    </row>
    <row r="111" customFormat="false" ht="32.8" hidden="false" customHeight="false" outlineLevel="0" collapsed="false">
      <c r="A111" s="9" t="s">
        <v>89</v>
      </c>
      <c r="B111" s="9" t="s">
        <v>13</v>
      </c>
      <c r="C111" s="9" t="s">
        <v>55</v>
      </c>
      <c r="D111" s="9" t="s">
        <v>49</v>
      </c>
      <c r="E111" s="9" t="s">
        <v>328</v>
      </c>
      <c r="F111" s="9" t="n">
        <v>172</v>
      </c>
      <c r="G111" s="28" t="s">
        <v>329</v>
      </c>
      <c r="H111" s="29" t="n">
        <v>2342684</v>
      </c>
      <c r="I111" s="29" t="n">
        <v>2159343.33</v>
      </c>
      <c r="J111" s="29" t="n">
        <v>1923794.96</v>
      </c>
      <c r="K111" s="29" t="n">
        <v>1123789.35</v>
      </c>
      <c r="L111" s="30" t="n">
        <f aca="false">H111-I111</f>
        <v>183340.67</v>
      </c>
      <c r="M111" s="30" t="n">
        <f aca="false">H111-J111</f>
        <v>418889.04</v>
      </c>
      <c r="N111" s="30" t="n">
        <f aca="false">H111-K111</f>
        <v>1218894.65</v>
      </c>
      <c r="O111" s="9" t="s">
        <v>100</v>
      </c>
      <c r="P111" s="9" t="str">
        <f aca="false">IF(H111=0,"Sin PIM",IF(ROUND(K111-H111,2)&gt;=0,"Devengado total",IF(J111&gt;0.005,"Comprometido",IF(I111&gt;0.005,"Solo certificado","Sin certificar"))))</f>
        <v>Comprometido</v>
      </c>
      <c r="Q111" s="30" t="n">
        <v>800000</v>
      </c>
      <c r="R111" s="30" t="n">
        <v>26969</v>
      </c>
      <c r="S111" s="30" t="n">
        <v>0</v>
      </c>
      <c r="T111" s="30" t="n">
        <v>0</v>
      </c>
      <c r="U111" s="9"/>
      <c r="V111" s="9"/>
    </row>
    <row r="112" customFormat="false" ht="43.25" hidden="false" customHeight="false" outlineLevel="0" collapsed="false">
      <c r="A112" s="9" t="s">
        <v>89</v>
      </c>
      <c r="B112" s="9" t="s">
        <v>13</v>
      </c>
      <c r="C112" s="9" t="s">
        <v>55</v>
      </c>
      <c r="D112" s="9" t="s">
        <v>49</v>
      </c>
      <c r="E112" s="9" t="s">
        <v>330</v>
      </c>
      <c r="F112" s="9" t="n">
        <v>28</v>
      </c>
      <c r="G112" s="28" t="s">
        <v>331</v>
      </c>
      <c r="H112" s="29" t="n">
        <v>4026127</v>
      </c>
      <c r="I112" s="29" t="n">
        <v>3933834.94</v>
      </c>
      <c r="J112" s="29" t="n">
        <v>2228280.54</v>
      </c>
      <c r="K112" s="29" t="n">
        <v>1387806.25</v>
      </c>
      <c r="L112" s="30" t="n">
        <f aca="false">H112-I112</f>
        <v>92292.0600000001</v>
      </c>
      <c r="M112" s="30" t="n">
        <f aca="false">H112-J112</f>
        <v>1797846.46</v>
      </c>
      <c r="N112" s="30" t="n">
        <f aca="false">H112-K112</f>
        <v>2638320.75</v>
      </c>
      <c r="O112" s="9" t="s">
        <v>114</v>
      </c>
      <c r="P112" s="9" t="str">
        <f aca="false">IF(H112=0,"Sin PIM",IF(ROUND(K112-H112,2)&gt;=0,"Devengado total",IF(J112&gt;0.005,"Comprometido",IF(I112&gt;0.005,"Solo certificado","Sin certificar"))))</f>
        <v>Comprometido</v>
      </c>
      <c r="Q112" s="30" t="n">
        <v>2120577</v>
      </c>
      <c r="R112" s="30" t="n">
        <v>5094106</v>
      </c>
      <c r="S112" s="30" t="n">
        <v>4994536</v>
      </c>
      <c r="T112" s="30" t="n">
        <v>0</v>
      </c>
      <c r="U112" s="9"/>
      <c r="V112" s="9"/>
    </row>
    <row r="113" customFormat="false" ht="32.8" hidden="false" customHeight="false" outlineLevel="0" collapsed="false">
      <c r="A113" s="9" t="s">
        <v>89</v>
      </c>
      <c r="B113" s="9" t="s">
        <v>13</v>
      </c>
      <c r="C113" s="9" t="s">
        <v>55</v>
      </c>
      <c r="D113" s="9" t="s">
        <v>49</v>
      </c>
      <c r="E113" s="9" t="s">
        <v>332</v>
      </c>
      <c r="F113" s="9" t="n">
        <v>32</v>
      </c>
      <c r="G113" s="28" t="s">
        <v>333</v>
      </c>
      <c r="H113" s="29" t="n">
        <v>4927527</v>
      </c>
      <c r="I113" s="29" t="n">
        <v>4223260.69</v>
      </c>
      <c r="J113" s="29" t="n">
        <v>2264680.17</v>
      </c>
      <c r="K113" s="29" t="n">
        <v>1725644.14</v>
      </c>
      <c r="L113" s="30" t="n">
        <f aca="false">H113-I113</f>
        <v>704266.310000002</v>
      </c>
      <c r="M113" s="30" t="n">
        <f aca="false">H113-J113</f>
        <v>2662846.83</v>
      </c>
      <c r="N113" s="30" t="n">
        <f aca="false">H113-K113</f>
        <v>3201882.86</v>
      </c>
      <c r="O113" s="9" t="s">
        <v>149</v>
      </c>
      <c r="P113" s="9" t="str">
        <f aca="false">IF(H113=0,"Sin PIM",IF(ROUND(K113-H113,2)&gt;=0,"Devengado total",IF(J113&gt;0.005,"Comprometido",IF(I113&gt;0.005,"Solo certificado","Sin certificar"))))</f>
        <v>Comprometido</v>
      </c>
      <c r="Q113" s="30" t="n">
        <v>2000000</v>
      </c>
      <c r="R113" s="30" t="n">
        <v>8000000</v>
      </c>
      <c r="S113" s="30" t="n">
        <v>9133500</v>
      </c>
      <c r="T113" s="30" t="n">
        <v>8629252</v>
      </c>
      <c r="U113" s="9"/>
      <c r="V113" s="9"/>
    </row>
    <row r="114" customFormat="false" ht="43.25" hidden="false" customHeight="false" outlineLevel="0" collapsed="false">
      <c r="A114" s="9" t="s">
        <v>89</v>
      </c>
      <c r="B114" s="9" t="s">
        <v>13</v>
      </c>
      <c r="C114" s="9" t="s">
        <v>55</v>
      </c>
      <c r="D114" s="9" t="s">
        <v>49</v>
      </c>
      <c r="E114" s="9" t="s">
        <v>334</v>
      </c>
      <c r="F114" s="9" t="n">
        <v>156</v>
      </c>
      <c r="G114" s="28" t="s">
        <v>335</v>
      </c>
      <c r="H114" s="29" t="n">
        <v>1479604</v>
      </c>
      <c r="I114" s="29" t="n">
        <v>1473924.03</v>
      </c>
      <c r="J114" s="29" t="n">
        <v>9462.03</v>
      </c>
      <c r="K114" s="29" t="n">
        <v>7416.86</v>
      </c>
      <c r="L114" s="30" t="n">
        <f aca="false">H114-I114</f>
        <v>5679.96999999997</v>
      </c>
      <c r="M114" s="30" t="n">
        <f aca="false">H114-J114</f>
        <v>1470141.97</v>
      </c>
      <c r="N114" s="30" t="n">
        <f aca="false">H114-K114</f>
        <v>1472187.14</v>
      </c>
      <c r="O114" s="9" t="s">
        <v>316</v>
      </c>
      <c r="P114" s="9" t="str">
        <f aca="false">IF(H114=0,"Sin PIM",IF(ROUND(K114-H114,2)&gt;=0,"Devengado total",IF(J114&gt;0.005,"Comprometido",IF(I114&gt;0.005,"Solo certificado","Sin certificar"))))</f>
        <v>Comprometido</v>
      </c>
      <c r="Q114" s="30" t="n">
        <v>3000000</v>
      </c>
      <c r="R114" s="30" t="n">
        <v>6984785</v>
      </c>
      <c r="S114" s="30" t="n">
        <v>0</v>
      </c>
      <c r="T114" s="30" t="n">
        <v>6681576</v>
      </c>
      <c r="U114" s="9"/>
      <c r="V114" s="9"/>
    </row>
    <row r="115" customFormat="false" ht="43.25" hidden="false" customHeight="false" outlineLevel="0" collapsed="false">
      <c r="A115" s="9" t="s">
        <v>89</v>
      </c>
      <c r="B115" s="9" t="s">
        <v>13</v>
      </c>
      <c r="C115" s="9" t="s">
        <v>55</v>
      </c>
      <c r="D115" s="9" t="s">
        <v>49</v>
      </c>
      <c r="E115" s="9" t="s">
        <v>336</v>
      </c>
      <c r="F115" s="9" t="n">
        <v>506</v>
      </c>
      <c r="G115" s="28" t="s">
        <v>337</v>
      </c>
      <c r="H115" s="29" t="n">
        <v>1038097</v>
      </c>
      <c r="I115" s="29" t="n">
        <v>1038097</v>
      </c>
      <c r="J115" s="29" t="n">
        <v>0</v>
      </c>
      <c r="K115" s="29" t="n">
        <v>0</v>
      </c>
      <c r="L115" s="30" t="n">
        <f aca="false">H115-I115</f>
        <v>0</v>
      </c>
      <c r="M115" s="30" t="n">
        <f aca="false">H115-J115</f>
        <v>1038097</v>
      </c>
      <c r="N115" s="30" t="n">
        <f aca="false">H115-K115</f>
        <v>1038097</v>
      </c>
      <c r="O115" s="9" t="s">
        <v>120</v>
      </c>
      <c r="P115" s="9" t="str">
        <f aca="false">IF(H115=0,"Sin PIM",IF(ROUND(K115-H115,2)&gt;=0,"Devengado total",IF(J115&gt;0.005,"Comprometido",IF(I115&gt;0.005,"Solo certificado","Sin certificar"))))</f>
        <v>Solo certificado</v>
      </c>
      <c r="Q115" s="30" t="s">
        <v>97</v>
      </c>
      <c r="R115" s="30" t="s">
        <v>97</v>
      </c>
      <c r="S115" s="30" t="s">
        <v>97</v>
      </c>
      <c r="T115" s="30" t="s">
        <v>97</v>
      </c>
      <c r="U115" s="9"/>
      <c r="V115" s="9"/>
    </row>
    <row r="116" customFormat="false" ht="32.8" hidden="false" customHeight="false" outlineLevel="0" collapsed="false">
      <c r="A116" s="9" t="s">
        <v>89</v>
      </c>
      <c r="B116" s="9" t="s">
        <v>13</v>
      </c>
      <c r="C116" s="9" t="s">
        <v>55</v>
      </c>
      <c r="D116" s="9" t="s">
        <v>49</v>
      </c>
      <c r="E116" s="9" t="s">
        <v>338</v>
      </c>
      <c r="F116" s="9" t="n">
        <v>23</v>
      </c>
      <c r="G116" s="28" t="s">
        <v>339</v>
      </c>
      <c r="H116" s="29" t="n">
        <v>0</v>
      </c>
      <c r="I116" s="29" t="n">
        <v>0</v>
      </c>
      <c r="J116" s="29" t="n">
        <v>0</v>
      </c>
      <c r="K116" s="29" t="n">
        <v>0</v>
      </c>
      <c r="L116" s="30" t="n">
        <f aca="false">H116-I116</f>
        <v>0</v>
      </c>
      <c r="M116" s="30" t="n">
        <f aca="false">H116-J116</f>
        <v>0</v>
      </c>
      <c r="N116" s="30" t="n">
        <f aca="false">H116-K116</f>
        <v>0</v>
      </c>
      <c r="O116" s="9" t="s">
        <v>207</v>
      </c>
      <c r="P116" s="9" t="str">
        <f aca="false">IF(H116=0,"Sin PIM",IF(ROUND(K116-H116,2)&gt;=0,"Devengado total",IF(J116&gt;0.005,"Comprometido",IF(I116&gt;0.005,"Solo certificado","Sin certificar"))))</f>
        <v>Sin PIM</v>
      </c>
      <c r="Q116" s="30" t="n">
        <v>144908</v>
      </c>
      <c r="R116" s="30" t="n">
        <v>229001</v>
      </c>
      <c r="S116" s="30" t="n">
        <v>0</v>
      </c>
      <c r="T116" s="30" t="n">
        <v>0</v>
      </c>
      <c r="U116" s="9"/>
      <c r="V116" s="9"/>
    </row>
    <row r="117" customFormat="false" ht="32.8" hidden="false" customHeight="false" outlineLevel="0" collapsed="false">
      <c r="A117" s="9" t="s">
        <v>89</v>
      </c>
      <c r="B117" s="9" t="s">
        <v>13</v>
      </c>
      <c r="C117" s="9" t="s">
        <v>55</v>
      </c>
      <c r="D117" s="9" t="s">
        <v>48</v>
      </c>
      <c r="E117" s="9" t="s">
        <v>340</v>
      </c>
      <c r="F117" s="9" t="n">
        <v>219</v>
      </c>
      <c r="G117" s="28" t="s">
        <v>341</v>
      </c>
      <c r="H117" s="29" t="n">
        <v>56150305</v>
      </c>
      <c r="I117" s="29" t="n">
        <v>56150304.02</v>
      </c>
      <c r="J117" s="29" t="n">
        <v>55370047.94</v>
      </c>
      <c r="K117" s="29" t="n">
        <v>29724123.72</v>
      </c>
      <c r="L117" s="30" t="n">
        <f aca="false">H117-I117</f>
        <v>0.979999996721745</v>
      </c>
      <c r="M117" s="30" t="n">
        <f aca="false">H117-J117</f>
        <v>780257.059999988</v>
      </c>
      <c r="N117" s="30" t="n">
        <f aca="false">H117-K117</f>
        <v>26426181.28</v>
      </c>
      <c r="O117" s="9" t="s">
        <v>114</v>
      </c>
      <c r="P117" s="9" t="str">
        <f aca="false">IF(H117=0,"Sin PIM",IF(ROUND(K117-H117,2)&gt;=0,"Devengado total",IF(J117&gt;0.005,"Comprometido",IF(I117&gt;0.005,"Solo certificado","Sin certificar"))))</f>
        <v>Comprometido</v>
      </c>
      <c r="Q117" s="30" t="s">
        <v>97</v>
      </c>
      <c r="R117" s="30" t="s">
        <v>97</v>
      </c>
      <c r="S117" s="30" t="s">
        <v>97</v>
      </c>
      <c r="T117" s="30" t="s">
        <v>97</v>
      </c>
      <c r="U117" s="9"/>
      <c r="V117" s="9"/>
    </row>
    <row r="118" customFormat="false" ht="43.25" hidden="false" customHeight="false" outlineLevel="0" collapsed="false">
      <c r="A118" s="9" t="s">
        <v>89</v>
      </c>
      <c r="B118" s="9" t="s">
        <v>13</v>
      </c>
      <c r="C118" s="9" t="s">
        <v>55</v>
      </c>
      <c r="D118" s="9" t="s">
        <v>48</v>
      </c>
      <c r="E118" s="9" t="s">
        <v>342</v>
      </c>
      <c r="F118" s="9" t="n">
        <v>240</v>
      </c>
      <c r="G118" s="28" t="s">
        <v>343</v>
      </c>
      <c r="H118" s="29" t="n">
        <v>8766661</v>
      </c>
      <c r="I118" s="29" t="n">
        <v>8493624.37</v>
      </c>
      <c r="J118" s="29" t="n">
        <v>4063268.09</v>
      </c>
      <c r="K118" s="29" t="n">
        <v>3843826.37</v>
      </c>
      <c r="L118" s="30" t="n">
        <f aca="false">H118-I118</f>
        <v>273036.629999999</v>
      </c>
      <c r="M118" s="30" t="n">
        <f aca="false">H118-J118</f>
        <v>4703392.91</v>
      </c>
      <c r="N118" s="30" t="n">
        <f aca="false">H118-K118</f>
        <v>4922834.63</v>
      </c>
      <c r="O118" s="9" t="s">
        <v>114</v>
      </c>
      <c r="P118" s="9" t="str">
        <f aca="false">IF(H118=0,"Sin PIM",IF(ROUND(K118-H118,2)&gt;=0,"Devengado total",IF(J118&gt;0.005,"Comprometido",IF(I118&gt;0.005,"Solo certificado","Sin certificar"))))</f>
        <v>Comprometido</v>
      </c>
      <c r="Q118" s="30" t="n">
        <v>22181694</v>
      </c>
      <c r="R118" s="30" t="n">
        <v>12443559</v>
      </c>
      <c r="S118" s="30" t="n">
        <v>23194677</v>
      </c>
      <c r="T118" s="30" t="n">
        <v>529157</v>
      </c>
      <c r="U118" s="9"/>
      <c r="V118" s="9"/>
    </row>
    <row r="119" customFormat="false" ht="43.25" hidden="false" customHeight="false" outlineLevel="0" collapsed="false">
      <c r="A119" s="9" t="s">
        <v>89</v>
      </c>
      <c r="B119" s="9" t="s">
        <v>13</v>
      </c>
      <c r="C119" s="9" t="s">
        <v>55</v>
      </c>
      <c r="D119" s="9" t="s">
        <v>48</v>
      </c>
      <c r="E119" s="9" t="s">
        <v>344</v>
      </c>
      <c r="F119" s="9" t="n">
        <v>226</v>
      </c>
      <c r="G119" s="28" t="s">
        <v>345</v>
      </c>
      <c r="H119" s="29" t="n">
        <v>18753537</v>
      </c>
      <c r="I119" s="29" t="n">
        <v>18471517.02</v>
      </c>
      <c r="J119" s="29" t="n">
        <v>17212318.05</v>
      </c>
      <c r="K119" s="29" t="n">
        <v>17212318.05</v>
      </c>
      <c r="L119" s="30" t="n">
        <f aca="false">H119-I119</f>
        <v>282019.98</v>
      </c>
      <c r="M119" s="30" t="n">
        <f aca="false">H119-J119</f>
        <v>1541218.95</v>
      </c>
      <c r="N119" s="30" t="n">
        <f aca="false">H119-K119</f>
        <v>1541218.95</v>
      </c>
      <c r="O119" s="9" t="s">
        <v>120</v>
      </c>
      <c r="P119" s="9" t="str">
        <f aca="false">IF(H119=0,"Sin PIM",IF(ROUND(K119-H119,2)&gt;=0,"Devengado total",IF(J119&gt;0.005,"Comprometido",IF(I119&gt;0.005,"Solo certificado","Sin certificar"))))</f>
        <v>Comprometido</v>
      </c>
      <c r="Q119" s="30" t="n">
        <v>12200258</v>
      </c>
      <c r="R119" s="30" t="n">
        <v>14587856</v>
      </c>
      <c r="S119" s="30" t="n">
        <v>16487882</v>
      </c>
      <c r="T119" s="30" t="n">
        <v>20726909</v>
      </c>
      <c r="U119" s="9"/>
      <c r="V119" s="9"/>
    </row>
    <row r="120" customFormat="false" ht="32.8" hidden="false" customHeight="false" outlineLevel="0" collapsed="false">
      <c r="A120" s="9" t="s">
        <v>89</v>
      </c>
      <c r="B120" s="9" t="s">
        <v>13</v>
      </c>
      <c r="C120" s="9" t="s">
        <v>55</v>
      </c>
      <c r="D120" s="9" t="s">
        <v>48</v>
      </c>
      <c r="E120" s="9" t="s">
        <v>346</v>
      </c>
      <c r="F120" s="9" t="n">
        <v>234</v>
      </c>
      <c r="G120" s="28" t="s">
        <v>347</v>
      </c>
      <c r="H120" s="29" t="n">
        <v>17484286</v>
      </c>
      <c r="I120" s="29" t="n">
        <v>17380462.93</v>
      </c>
      <c r="J120" s="29" t="n">
        <v>16260021.31</v>
      </c>
      <c r="K120" s="29" t="n">
        <v>15761867.26</v>
      </c>
      <c r="L120" s="30" t="n">
        <f aca="false">H120-I120</f>
        <v>103823.07</v>
      </c>
      <c r="M120" s="30" t="n">
        <f aca="false">H120-J120</f>
        <v>1224264.69</v>
      </c>
      <c r="N120" s="30" t="n">
        <f aca="false">H120-K120</f>
        <v>1722418.74</v>
      </c>
      <c r="O120" s="9" t="s">
        <v>120</v>
      </c>
      <c r="P120" s="9" t="str">
        <f aca="false">IF(H120=0,"Sin PIM",IF(ROUND(K120-H120,2)&gt;=0,"Devengado total",IF(J120&gt;0.005,"Comprometido",IF(I120&gt;0.005,"Solo certificado","Sin certificar"))))</f>
        <v>Comprometido</v>
      </c>
      <c r="Q120" s="30" t="n">
        <v>12000000</v>
      </c>
      <c r="R120" s="30" t="n">
        <v>14587598</v>
      </c>
      <c r="S120" s="30" t="n">
        <v>26545222</v>
      </c>
      <c r="T120" s="30" t="n">
        <v>3405517</v>
      </c>
      <c r="U120" s="9"/>
      <c r="V120" s="9"/>
    </row>
    <row r="121" customFormat="false" ht="32.8" hidden="false" customHeight="false" outlineLevel="0" collapsed="false">
      <c r="A121" s="9" t="s">
        <v>89</v>
      </c>
      <c r="B121" s="9" t="s">
        <v>13</v>
      </c>
      <c r="C121" s="9" t="s">
        <v>55</v>
      </c>
      <c r="D121" s="9" t="s">
        <v>48</v>
      </c>
      <c r="E121" s="9" t="s">
        <v>348</v>
      </c>
      <c r="F121" s="9" t="n">
        <v>434</v>
      </c>
      <c r="G121" s="28" t="s">
        <v>349</v>
      </c>
      <c r="H121" s="29" t="n">
        <v>41519761</v>
      </c>
      <c r="I121" s="29" t="n">
        <v>39201248.73</v>
      </c>
      <c r="J121" s="29" t="n">
        <v>10839278.54</v>
      </c>
      <c r="K121" s="29" t="n">
        <v>10652959.62</v>
      </c>
      <c r="L121" s="30" t="n">
        <f aca="false">H121-I121</f>
        <v>2318512.27</v>
      </c>
      <c r="M121" s="30" t="n">
        <f aca="false">H121-J121</f>
        <v>30680482.46</v>
      </c>
      <c r="N121" s="30" t="n">
        <f aca="false">H121-K121</f>
        <v>30866801.38</v>
      </c>
      <c r="O121" s="9" t="s">
        <v>120</v>
      </c>
      <c r="P121" s="9" t="str">
        <f aca="false">IF(H121=0,"Sin PIM",IF(ROUND(K121-H121,2)&gt;=0,"Devengado total",IF(J121&gt;0.005,"Comprometido",IF(I121&gt;0.005,"Solo certificado","Sin certificar"))))</f>
        <v>Comprometido</v>
      </c>
      <c r="Q121" s="30" t="s">
        <v>97</v>
      </c>
      <c r="R121" s="30" t="s">
        <v>97</v>
      </c>
      <c r="S121" s="30" t="s">
        <v>97</v>
      </c>
      <c r="T121" s="30" t="s">
        <v>97</v>
      </c>
      <c r="U121" s="9"/>
      <c r="V121" s="9"/>
    </row>
    <row r="122" customFormat="false" ht="32.8" hidden="false" customHeight="false" outlineLevel="0" collapsed="false">
      <c r="A122" s="9" t="s">
        <v>89</v>
      </c>
      <c r="B122" s="9" t="s">
        <v>13</v>
      </c>
      <c r="C122" s="9" t="s">
        <v>55</v>
      </c>
      <c r="D122" s="9" t="s">
        <v>48</v>
      </c>
      <c r="E122" s="9" t="s">
        <v>350</v>
      </c>
      <c r="F122" s="9" t="n">
        <v>233</v>
      </c>
      <c r="G122" s="28" t="s">
        <v>351</v>
      </c>
      <c r="H122" s="29" t="n">
        <v>966193</v>
      </c>
      <c r="I122" s="29" t="n">
        <v>746819.06</v>
      </c>
      <c r="J122" s="29" t="n">
        <v>6257.4</v>
      </c>
      <c r="K122" s="29" t="n">
        <v>6257.4</v>
      </c>
      <c r="L122" s="30" t="n">
        <f aca="false">H122-I122</f>
        <v>219373.94</v>
      </c>
      <c r="M122" s="30" t="n">
        <f aca="false">H122-J122</f>
        <v>959935.6</v>
      </c>
      <c r="N122" s="30" t="n">
        <f aca="false">H122-K122</f>
        <v>959935.6</v>
      </c>
      <c r="O122" s="9" t="s">
        <v>352</v>
      </c>
      <c r="P122" s="9" t="str">
        <f aca="false">IF(H122=0,"Sin PIM",IF(ROUND(K122-H122,2)&gt;=0,"Devengado total",IF(J122&gt;0.005,"Comprometido",IF(I122&gt;0.005,"Solo certificado","Sin certificar"))))</f>
        <v>Comprometido</v>
      </c>
      <c r="Q122" s="30" t="s">
        <v>97</v>
      </c>
      <c r="R122" s="30" t="s">
        <v>97</v>
      </c>
      <c r="S122" s="30" t="s">
        <v>97</v>
      </c>
      <c r="T122" s="30" t="s">
        <v>97</v>
      </c>
      <c r="U122" s="9"/>
      <c r="V122" s="9"/>
    </row>
    <row r="123" customFormat="false" ht="32.8" hidden="false" customHeight="false" outlineLevel="0" collapsed="false">
      <c r="A123" s="9" t="s">
        <v>89</v>
      </c>
      <c r="B123" s="9" t="s">
        <v>13</v>
      </c>
      <c r="C123" s="9" t="s">
        <v>55</v>
      </c>
      <c r="D123" s="9" t="s">
        <v>48</v>
      </c>
      <c r="E123" s="9" t="s">
        <v>353</v>
      </c>
      <c r="F123" s="9" t="n">
        <v>2</v>
      </c>
      <c r="G123" s="28" t="s">
        <v>354</v>
      </c>
      <c r="H123" s="29" t="n">
        <v>4068561</v>
      </c>
      <c r="I123" s="29" t="n">
        <v>4043454.41</v>
      </c>
      <c r="J123" s="29" t="n">
        <v>4043454.41</v>
      </c>
      <c r="K123" s="29" t="n">
        <v>4043454.41</v>
      </c>
      <c r="L123" s="30" t="n">
        <f aca="false">H123-I123</f>
        <v>25106.5899999999</v>
      </c>
      <c r="M123" s="30" t="n">
        <f aca="false">H123-J123</f>
        <v>25106.5899999999</v>
      </c>
      <c r="N123" s="30" t="n">
        <f aca="false">H123-K123</f>
        <v>25106.5899999999</v>
      </c>
      <c r="O123" s="9" t="s">
        <v>355</v>
      </c>
      <c r="P123" s="9" t="str">
        <f aca="false">IF(H123=0,"Sin PIM",IF(ROUND(K123-H123,2)&gt;=0,"Devengado total",IF(J123&gt;0.005,"Comprometido",IF(I123&gt;0.005,"Solo certificado","Sin certificar"))))</f>
        <v>Comprometido</v>
      </c>
      <c r="Q123" s="30" t="n">
        <v>100000</v>
      </c>
      <c r="R123" s="30" t="n">
        <v>0</v>
      </c>
      <c r="S123" s="30" t="n">
        <v>0</v>
      </c>
      <c r="T123" s="30" t="n">
        <v>900000</v>
      </c>
      <c r="U123" s="9"/>
      <c r="V123" s="9"/>
    </row>
    <row r="124" customFormat="false" ht="32.8" hidden="false" customHeight="false" outlineLevel="0" collapsed="false">
      <c r="A124" s="9" t="s">
        <v>89</v>
      </c>
      <c r="B124" s="9" t="s">
        <v>13</v>
      </c>
      <c r="C124" s="9" t="s">
        <v>55</v>
      </c>
      <c r="D124" s="9" t="s">
        <v>48</v>
      </c>
      <c r="E124" s="9" t="s">
        <v>356</v>
      </c>
      <c r="F124" s="9" t="n">
        <v>282</v>
      </c>
      <c r="G124" s="28" t="s">
        <v>357</v>
      </c>
      <c r="H124" s="29" t="n">
        <v>1382457</v>
      </c>
      <c r="I124" s="29" t="n">
        <v>1382455.8</v>
      </c>
      <c r="J124" s="29" t="n">
        <v>1076855.8</v>
      </c>
      <c r="K124" s="29" t="n">
        <v>215371.16</v>
      </c>
      <c r="L124" s="30" t="n">
        <f aca="false">H124-I124</f>
        <v>1.19999999995343</v>
      </c>
      <c r="M124" s="30" t="n">
        <f aca="false">H124-J124</f>
        <v>305601.2</v>
      </c>
      <c r="N124" s="30" t="n">
        <f aca="false">H124-K124</f>
        <v>1167085.84</v>
      </c>
      <c r="O124" s="9" t="s">
        <v>358</v>
      </c>
      <c r="P124" s="9" t="str">
        <f aca="false">IF(H124=0,"Sin PIM",IF(ROUND(K124-H124,2)&gt;=0,"Devengado total",IF(J124&gt;0.005,"Comprometido",IF(I124&gt;0.005,"Solo certificado","Sin certificar"))))</f>
        <v>Comprometido</v>
      </c>
      <c r="Q124" s="30" t="n">
        <v>5480901</v>
      </c>
      <c r="R124" s="30" t="n">
        <v>12000000</v>
      </c>
      <c r="S124" s="30" t="n">
        <v>0</v>
      </c>
      <c r="T124" s="30" t="n">
        <v>100000</v>
      </c>
      <c r="U124" s="9"/>
      <c r="V124" s="9"/>
    </row>
    <row r="125" customFormat="false" ht="43.25" hidden="false" customHeight="false" outlineLevel="0" collapsed="false">
      <c r="A125" s="9" t="s">
        <v>89</v>
      </c>
      <c r="B125" s="9" t="s">
        <v>13</v>
      </c>
      <c r="C125" s="9" t="s">
        <v>55</v>
      </c>
      <c r="D125" s="9" t="s">
        <v>48</v>
      </c>
      <c r="E125" s="9" t="s">
        <v>359</v>
      </c>
      <c r="F125" s="9" t="n">
        <v>197</v>
      </c>
      <c r="G125" s="28" t="s">
        <v>360</v>
      </c>
      <c r="H125" s="29" t="n">
        <v>3866926</v>
      </c>
      <c r="I125" s="29" t="n">
        <v>2225809.46</v>
      </c>
      <c r="J125" s="29" t="n">
        <v>2101121.26</v>
      </c>
      <c r="K125" s="29" t="n">
        <v>1977904.63</v>
      </c>
      <c r="L125" s="30" t="n">
        <f aca="false">H125-I125</f>
        <v>1641116.54</v>
      </c>
      <c r="M125" s="30" t="n">
        <f aca="false">H125-J125</f>
        <v>1765804.74</v>
      </c>
      <c r="N125" s="30" t="n">
        <f aca="false">H125-K125</f>
        <v>1889021.37</v>
      </c>
      <c r="O125" s="9" t="s">
        <v>120</v>
      </c>
      <c r="P125" s="9" t="str">
        <f aca="false">IF(H125=0,"Sin PIM",IF(ROUND(K125-H125,2)&gt;=0,"Devengado total",IF(J125&gt;0.005,"Comprometido",IF(I125&gt;0.005,"Solo certificado","Sin certificar"))))</f>
        <v>Comprometido</v>
      </c>
      <c r="Q125" s="30" t="n">
        <v>200000</v>
      </c>
      <c r="R125" s="30" t="n">
        <v>0</v>
      </c>
      <c r="S125" s="30" t="n">
        <v>522166</v>
      </c>
      <c r="T125" s="30" t="n">
        <v>0</v>
      </c>
      <c r="U125" s="9"/>
      <c r="V125" s="9"/>
    </row>
    <row r="126" customFormat="false" ht="43.25" hidden="false" customHeight="false" outlineLevel="0" collapsed="false">
      <c r="A126" s="9" t="s">
        <v>89</v>
      </c>
      <c r="B126" s="9" t="s">
        <v>13</v>
      </c>
      <c r="C126" s="9" t="s">
        <v>55</v>
      </c>
      <c r="D126" s="9" t="s">
        <v>48</v>
      </c>
      <c r="E126" s="9" t="s">
        <v>361</v>
      </c>
      <c r="F126" s="9" t="n">
        <v>222</v>
      </c>
      <c r="G126" s="28" t="s">
        <v>362</v>
      </c>
      <c r="H126" s="29" t="n">
        <v>407088</v>
      </c>
      <c r="I126" s="29" t="n">
        <v>327566</v>
      </c>
      <c r="J126" s="29" t="n">
        <v>323566</v>
      </c>
      <c r="K126" s="29" t="n">
        <v>287714.38</v>
      </c>
      <c r="L126" s="30" t="n">
        <f aca="false">H126-I126</f>
        <v>79522</v>
      </c>
      <c r="M126" s="30" t="n">
        <f aca="false">H126-J126</f>
        <v>83522</v>
      </c>
      <c r="N126" s="30" t="n">
        <f aca="false">H126-K126</f>
        <v>119373.62</v>
      </c>
      <c r="O126" s="9" t="s">
        <v>358</v>
      </c>
      <c r="P126" s="9" t="str">
        <f aca="false">IF(H126=0,"Sin PIM",IF(ROUND(K126-H126,2)&gt;=0,"Devengado total",IF(J126&gt;0.005,"Comprometido",IF(I126&gt;0.005,"Solo certificado","Sin certificar"))))</f>
        <v>Comprometido</v>
      </c>
      <c r="Q126" s="30" t="n">
        <v>1199085</v>
      </c>
      <c r="R126" s="30" t="n">
        <v>5128392</v>
      </c>
      <c r="S126" s="30" t="n">
        <v>53288</v>
      </c>
      <c r="T126" s="30" t="n">
        <v>0</v>
      </c>
      <c r="U126" s="9"/>
      <c r="V126" s="9"/>
    </row>
    <row r="127" customFormat="false" ht="53.7" hidden="false" customHeight="false" outlineLevel="0" collapsed="false">
      <c r="A127" s="9" t="s">
        <v>89</v>
      </c>
      <c r="B127" s="9" t="s">
        <v>13</v>
      </c>
      <c r="C127" s="9" t="s">
        <v>55</v>
      </c>
      <c r="D127" s="9" t="s">
        <v>50</v>
      </c>
      <c r="E127" s="9" t="s">
        <v>363</v>
      </c>
      <c r="F127" s="9" t="n">
        <v>109</v>
      </c>
      <c r="G127" s="28" t="s">
        <v>364</v>
      </c>
      <c r="H127" s="29" t="n">
        <v>3978899</v>
      </c>
      <c r="I127" s="29" t="n">
        <v>3978899</v>
      </c>
      <c r="J127" s="29" t="n">
        <v>3978899</v>
      </c>
      <c r="K127" s="29" t="n">
        <v>0</v>
      </c>
      <c r="L127" s="30" t="n">
        <f aca="false">H127-I127</f>
        <v>0</v>
      </c>
      <c r="M127" s="30" t="n">
        <f aca="false">H127-J127</f>
        <v>0</v>
      </c>
      <c r="N127" s="30" t="n">
        <f aca="false">H127-K127</f>
        <v>3978899</v>
      </c>
      <c r="O127" s="9" t="s">
        <v>120</v>
      </c>
      <c r="P127" s="9" t="str">
        <f aca="false">IF(H127=0,"Sin PIM",IF(ROUND(K127-H127,2)&gt;=0,"Devengado total",IF(J127&gt;0.005,"Comprometido",IF(I127&gt;0.005,"Solo certificado","Sin certificar"))))</f>
        <v>Comprometido</v>
      </c>
      <c r="Q127" s="30" t="n">
        <v>4000000</v>
      </c>
      <c r="R127" s="30" t="n">
        <v>8256356</v>
      </c>
      <c r="S127" s="30" t="n">
        <v>4200001</v>
      </c>
      <c r="T127" s="30" t="n">
        <v>103192</v>
      </c>
      <c r="U127" s="9"/>
      <c r="V127" s="9"/>
    </row>
    <row r="128" customFormat="false" ht="32.8" hidden="false" customHeight="false" outlineLevel="0" collapsed="false">
      <c r="A128" s="9" t="s">
        <v>89</v>
      </c>
      <c r="B128" s="9" t="s">
        <v>13</v>
      </c>
      <c r="C128" s="9" t="s">
        <v>55</v>
      </c>
      <c r="D128" s="9" t="s">
        <v>51</v>
      </c>
      <c r="E128" s="9" t="s">
        <v>365</v>
      </c>
      <c r="F128" s="9" t="n">
        <v>64</v>
      </c>
      <c r="G128" s="28" t="s">
        <v>366</v>
      </c>
      <c r="H128" s="29" t="n">
        <v>6912542</v>
      </c>
      <c r="I128" s="29" t="n">
        <v>6855594.06</v>
      </c>
      <c r="J128" s="29" t="n">
        <v>5864788.6</v>
      </c>
      <c r="K128" s="29" t="n">
        <v>4377038.86</v>
      </c>
      <c r="L128" s="30" t="n">
        <f aca="false">H128-I128</f>
        <v>56947.9400000004</v>
      </c>
      <c r="M128" s="30" t="n">
        <f aca="false">H128-J128</f>
        <v>1047753.4</v>
      </c>
      <c r="N128" s="30" t="n">
        <f aca="false">H128-K128</f>
        <v>2535503.14</v>
      </c>
      <c r="O128" s="9" t="s">
        <v>114</v>
      </c>
      <c r="P128" s="9" t="str">
        <f aca="false">IF(H128=0,"Sin PIM",IF(ROUND(K128-H128,2)&gt;=0,"Devengado total",IF(J128&gt;0.005,"Comprometido",IF(I128&gt;0.005,"Solo certificado","Sin certificar"))))</f>
        <v>Comprometido</v>
      </c>
      <c r="Q128" s="30" t="n">
        <v>3160785</v>
      </c>
      <c r="R128" s="30" t="n">
        <v>5000000</v>
      </c>
      <c r="S128" s="30" t="n">
        <v>0</v>
      </c>
      <c r="T128" s="30" t="n">
        <v>1000000</v>
      </c>
      <c r="U128" s="9"/>
      <c r="V128" s="9"/>
    </row>
    <row r="129" customFormat="false" ht="53.7" hidden="false" customHeight="false" outlineLevel="0" collapsed="false">
      <c r="A129" s="9" t="s">
        <v>89</v>
      </c>
      <c r="B129" s="9" t="s">
        <v>13</v>
      </c>
      <c r="C129" s="9" t="s">
        <v>55</v>
      </c>
      <c r="D129" s="9" t="s">
        <v>51</v>
      </c>
      <c r="E129" s="9" t="s">
        <v>367</v>
      </c>
      <c r="F129" s="9" t="n">
        <v>66</v>
      </c>
      <c r="G129" s="28" t="s">
        <v>368</v>
      </c>
      <c r="H129" s="29" t="n">
        <v>3796481</v>
      </c>
      <c r="I129" s="29" t="n">
        <v>3705791.48</v>
      </c>
      <c r="J129" s="29" t="n">
        <v>3372727.48</v>
      </c>
      <c r="K129" s="29" t="n">
        <v>1897532.92</v>
      </c>
      <c r="L129" s="30" t="n">
        <f aca="false">H129-I129</f>
        <v>90689.52</v>
      </c>
      <c r="M129" s="30" t="n">
        <f aca="false">H129-J129</f>
        <v>423753.52</v>
      </c>
      <c r="N129" s="30" t="n">
        <f aca="false">H129-K129</f>
        <v>1898948.08</v>
      </c>
      <c r="O129" s="9" t="s">
        <v>114</v>
      </c>
      <c r="P129" s="9" t="str">
        <f aca="false">IF(H129=0,"Sin PIM",IF(ROUND(K129-H129,2)&gt;=0,"Devengado total",IF(J129&gt;0.005,"Comprometido",IF(I129&gt;0.005,"Solo certificado","Sin certificar"))))</f>
        <v>Comprometido</v>
      </c>
      <c r="Q129" s="30" t="n">
        <v>3796481</v>
      </c>
      <c r="R129" s="30" t="n">
        <v>1394507</v>
      </c>
      <c r="S129" s="30" t="n">
        <v>0</v>
      </c>
      <c r="T129" s="30" t="n">
        <v>0</v>
      </c>
      <c r="U129" s="9"/>
      <c r="V129" s="9"/>
    </row>
    <row r="130" customFormat="false" ht="43.25" hidden="false" customHeight="false" outlineLevel="0" collapsed="false">
      <c r="A130" s="9" t="s">
        <v>89</v>
      </c>
      <c r="B130" s="9" t="s">
        <v>13</v>
      </c>
      <c r="C130" s="9" t="s">
        <v>55</v>
      </c>
      <c r="D130" s="9" t="s">
        <v>56</v>
      </c>
      <c r="E130" s="9" t="s">
        <v>369</v>
      </c>
      <c r="F130" s="9" t="n">
        <v>470</v>
      </c>
      <c r="G130" s="28" t="s">
        <v>370</v>
      </c>
      <c r="H130" s="29" t="n">
        <v>11000</v>
      </c>
      <c r="I130" s="29" t="n">
        <v>11000</v>
      </c>
      <c r="J130" s="29" t="n">
        <v>0</v>
      </c>
      <c r="K130" s="29" t="n">
        <v>0</v>
      </c>
      <c r="L130" s="30" t="n">
        <f aca="false">H130-I130</f>
        <v>0</v>
      </c>
      <c r="M130" s="30" t="n">
        <f aca="false">H130-J130</f>
        <v>11000</v>
      </c>
      <c r="N130" s="30" t="n">
        <f aca="false">H130-K130</f>
        <v>11000</v>
      </c>
      <c r="O130" s="9" t="s">
        <v>371</v>
      </c>
      <c r="P130" s="9" t="str">
        <f aca="false">IF(H130=0,"Sin PIM",IF(ROUND(K130-H130,2)&gt;=0,"Devengado total",IF(J130&gt;0.005,"Comprometido",IF(I130&gt;0.005,"Solo certificado","Sin certificar"))))</f>
        <v>Solo certificado</v>
      </c>
      <c r="Q130" s="30" t="s">
        <v>97</v>
      </c>
      <c r="R130" s="30" t="s">
        <v>97</v>
      </c>
      <c r="S130" s="30" t="s">
        <v>97</v>
      </c>
      <c r="T130" s="30" t="s">
        <v>97</v>
      </c>
      <c r="U130" s="9"/>
      <c r="V130" s="9"/>
    </row>
    <row r="131" customFormat="false" ht="43.25" hidden="false" customHeight="false" outlineLevel="0" collapsed="false">
      <c r="A131" s="9" t="s">
        <v>89</v>
      </c>
      <c r="B131" s="9" t="s">
        <v>13</v>
      </c>
      <c r="C131" s="9" t="s">
        <v>57</v>
      </c>
      <c r="D131" s="9" t="s">
        <v>48</v>
      </c>
      <c r="E131" s="9" t="s">
        <v>372</v>
      </c>
      <c r="F131" s="9" t="n">
        <v>341</v>
      </c>
      <c r="G131" s="28" t="s">
        <v>373</v>
      </c>
      <c r="H131" s="29" t="n">
        <v>123816</v>
      </c>
      <c r="I131" s="29" t="n">
        <v>123816</v>
      </c>
      <c r="J131" s="29" t="n">
        <v>123816</v>
      </c>
      <c r="K131" s="29" t="n">
        <v>113941.65</v>
      </c>
      <c r="L131" s="30" t="n">
        <f aca="false">H131-I131</f>
        <v>0</v>
      </c>
      <c r="M131" s="30" t="n">
        <f aca="false">H131-J131</f>
        <v>0</v>
      </c>
      <c r="N131" s="30" t="n">
        <f aca="false">H131-K131</f>
        <v>9874.35000000001</v>
      </c>
      <c r="O131" s="9" t="s">
        <v>133</v>
      </c>
      <c r="P131" s="9" t="str">
        <f aca="false">IF(H131=0,"Sin PIM",IF(ROUND(K131-H131,2)&gt;=0,"Devengado total",IF(J131&gt;0.005,"Comprometido",IF(I131&gt;0.005,"Solo certificado","Sin certificar"))))</f>
        <v>Comprometido</v>
      </c>
      <c r="Q131" s="30" t="n">
        <v>111816</v>
      </c>
      <c r="R131" s="30" t="n">
        <v>978654</v>
      </c>
      <c r="S131" s="30" t="n">
        <v>625659</v>
      </c>
      <c r="T131" s="30" t="n">
        <v>0</v>
      </c>
      <c r="U131" s="9"/>
      <c r="V131" s="9"/>
    </row>
    <row r="132" customFormat="false" ht="32.8" hidden="false" customHeight="false" outlineLevel="0" collapsed="false">
      <c r="A132" s="9" t="s">
        <v>89</v>
      </c>
      <c r="B132" s="9" t="s">
        <v>13</v>
      </c>
      <c r="C132" s="9" t="s">
        <v>57</v>
      </c>
      <c r="D132" s="9" t="s">
        <v>48</v>
      </c>
      <c r="E132" s="9" t="s">
        <v>374</v>
      </c>
      <c r="F132" s="9" t="n">
        <v>528</v>
      </c>
      <c r="G132" s="28" t="s">
        <v>375</v>
      </c>
      <c r="H132" s="29" t="n">
        <v>150000</v>
      </c>
      <c r="I132" s="29" t="n">
        <v>150000</v>
      </c>
      <c r="J132" s="29" t="n">
        <v>150000</v>
      </c>
      <c r="K132" s="29" t="n">
        <v>0</v>
      </c>
      <c r="L132" s="30" t="n">
        <f aca="false">H132-I132</f>
        <v>0</v>
      </c>
      <c r="M132" s="30" t="n">
        <f aca="false">H132-J132</f>
        <v>0</v>
      </c>
      <c r="N132" s="30" t="n">
        <f aca="false">H132-K132</f>
        <v>150000</v>
      </c>
      <c r="O132" s="9" t="s">
        <v>133</v>
      </c>
      <c r="P132" s="9" t="str">
        <f aca="false">IF(H132=0,"Sin PIM",IF(ROUND(K132-H132,2)&gt;=0,"Devengado total",IF(J132&gt;0.005,"Comprometido",IF(I132&gt;0.005,"Solo certificado","Sin certificar"))))</f>
        <v>Comprometido</v>
      </c>
      <c r="Q132" s="30" t="n">
        <v>150000</v>
      </c>
      <c r="R132" s="30" t="n">
        <v>0</v>
      </c>
      <c r="S132" s="30" t="n">
        <v>0</v>
      </c>
      <c r="T132" s="30" t="n">
        <v>1000000</v>
      </c>
      <c r="U132" s="9"/>
      <c r="V132" s="9"/>
    </row>
    <row r="133" customFormat="false" ht="43.25" hidden="false" customHeight="false" outlineLevel="0" collapsed="false">
      <c r="A133" s="9" t="s">
        <v>89</v>
      </c>
      <c r="B133" s="9" t="s">
        <v>13</v>
      </c>
      <c r="C133" s="9" t="s">
        <v>57</v>
      </c>
      <c r="D133" s="9" t="s">
        <v>49</v>
      </c>
      <c r="E133" s="9" t="s">
        <v>376</v>
      </c>
      <c r="F133" s="9" t="n">
        <v>165</v>
      </c>
      <c r="G133" s="28" t="s">
        <v>377</v>
      </c>
      <c r="H133" s="29" t="n">
        <v>57442</v>
      </c>
      <c r="I133" s="29" t="n">
        <v>57136.9</v>
      </c>
      <c r="J133" s="29" t="n">
        <v>57136.9</v>
      </c>
      <c r="K133" s="29" t="n">
        <v>54415.03</v>
      </c>
      <c r="L133" s="30" t="n">
        <f aca="false">H133-I133</f>
        <v>305.099999999999</v>
      </c>
      <c r="M133" s="30" t="n">
        <f aca="false">H133-J133</f>
        <v>305.099999999999</v>
      </c>
      <c r="N133" s="30" t="n">
        <f aca="false">H133-K133</f>
        <v>3026.97</v>
      </c>
      <c r="O133" s="9" t="s">
        <v>133</v>
      </c>
      <c r="P133" s="9" t="str">
        <f aca="false">IF(H133=0,"Sin PIM",IF(ROUND(K133-H133,2)&gt;=0,"Devengado total",IF(J133&gt;0.005,"Comprometido",IF(I133&gt;0.005,"Solo certificado","Sin certificar"))))</f>
        <v>Comprometido</v>
      </c>
      <c r="Q133" s="30" t="n">
        <v>1500000</v>
      </c>
      <c r="R133" s="30" t="n">
        <v>2568954</v>
      </c>
      <c r="S133" s="30" t="n">
        <v>0</v>
      </c>
      <c r="T133" s="30" t="n">
        <v>500000</v>
      </c>
      <c r="U133" s="9"/>
      <c r="V133" s="9"/>
    </row>
    <row r="134" customFormat="false" ht="32.8" hidden="false" customHeight="false" outlineLevel="0" collapsed="false">
      <c r="A134" s="9" t="s">
        <v>89</v>
      </c>
      <c r="B134" s="9" t="s">
        <v>13</v>
      </c>
      <c r="C134" s="9" t="s">
        <v>57</v>
      </c>
      <c r="D134" s="9" t="s">
        <v>49</v>
      </c>
      <c r="E134" s="9" t="s">
        <v>378</v>
      </c>
      <c r="F134" s="9" t="n">
        <v>188</v>
      </c>
      <c r="G134" s="28" t="s">
        <v>379</v>
      </c>
      <c r="H134" s="29" t="n">
        <v>53010</v>
      </c>
      <c r="I134" s="29" t="n">
        <v>24506.97</v>
      </c>
      <c r="J134" s="29" t="n">
        <v>24506.97</v>
      </c>
      <c r="K134" s="29" t="n">
        <v>24506.97</v>
      </c>
      <c r="L134" s="30" t="n">
        <f aca="false">H134-I134</f>
        <v>28503.03</v>
      </c>
      <c r="M134" s="30" t="n">
        <f aca="false">H134-J134</f>
        <v>28503.03</v>
      </c>
      <c r="N134" s="30" t="n">
        <f aca="false">H134-K134</f>
        <v>28503.03</v>
      </c>
      <c r="O134" s="9" t="s">
        <v>133</v>
      </c>
      <c r="P134" s="9" t="str">
        <f aca="false">IF(H134=0,"Sin PIM",IF(ROUND(K134-H134,2)&gt;=0,"Devengado total",IF(J134&gt;0.005,"Comprometido",IF(I134&gt;0.005,"Solo certificado","Sin certificar"))))</f>
        <v>Comprometido</v>
      </c>
      <c r="Q134" s="30" t="n">
        <v>100000</v>
      </c>
      <c r="R134" s="30" t="n">
        <v>1254675</v>
      </c>
      <c r="S134" s="30" t="n">
        <v>0</v>
      </c>
      <c r="T134" s="30" t="n">
        <v>747276</v>
      </c>
      <c r="U134" s="9"/>
      <c r="V134" s="9"/>
    </row>
    <row r="135" customFormat="false" ht="32.8" hidden="false" customHeight="false" outlineLevel="0" collapsed="false">
      <c r="A135" s="9" t="s">
        <v>89</v>
      </c>
      <c r="B135" s="9" t="s">
        <v>13</v>
      </c>
      <c r="C135" s="9" t="s">
        <v>57</v>
      </c>
      <c r="D135" s="9" t="s">
        <v>49</v>
      </c>
      <c r="E135" s="9" t="s">
        <v>380</v>
      </c>
      <c r="F135" s="9" t="n">
        <v>191</v>
      </c>
      <c r="G135" s="28" t="s">
        <v>381</v>
      </c>
      <c r="H135" s="29" t="n">
        <v>40486</v>
      </c>
      <c r="I135" s="29" t="n">
        <v>40486</v>
      </c>
      <c r="J135" s="29" t="n">
        <v>40486</v>
      </c>
      <c r="K135" s="29" t="n">
        <v>25380.63</v>
      </c>
      <c r="L135" s="30" t="n">
        <f aca="false">H135-I135</f>
        <v>0</v>
      </c>
      <c r="M135" s="30" t="n">
        <f aca="false">H135-J135</f>
        <v>0</v>
      </c>
      <c r="N135" s="30" t="n">
        <f aca="false">H135-K135</f>
        <v>15105.37</v>
      </c>
      <c r="O135" s="9" t="s">
        <v>133</v>
      </c>
      <c r="P135" s="9" t="str">
        <f aca="false">IF(H135=0,"Sin PIM",IF(ROUND(K135-H135,2)&gt;=0,"Devengado total",IF(J135&gt;0.005,"Comprometido",IF(I135&gt;0.005,"Solo certificado","Sin certificar"))))</f>
        <v>Comprometido</v>
      </c>
      <c r="Q135" s="30" t="n">
        <v>100000</v>
      </c>
      <c r="R135" s="30" t="n">
        <v>0</v>
      </c>
      <c r="S135" s="30" t="n">
        <v>0</v>
      </c>
      <c r="T135" s="30" t="n">
        <v>1247609</v>
      </c>
      <c r="U135" s="9"/>
      <c r="V135" s="9"/>
    </row>
    <row r="136" customFormat="false" ht="43.25" hidden="false" customHeight="false" outlineLevel="0" collapsed="false">
      <c r="A136" s="9" t="s">
        <v>89</v>
      </c>
      <c r="B136" s="9" t="s">
        <v>13</v>
      </c>
      <c r="C136" s="9" t="s">
        <v>57</v>
      </c>
      <c r="D136" s="9" t="s">
        <v>49</v>
      </c>
      <c r="E136" s="9" t="s">
        <v>382</v>
      </c>
      <c r="F136" s="9" t="n">
        <v>316</v>
      </c>
      <c r="G136" s="28" t="s">
        <v>383</v>
      </c>
      <c r="H136" s="29" t="n">
        <v>350000</v>
      </c>
      <c r="I136" s="29" t="n">
        <v>350000</v>
      </c>
      <c r="J136" s="29" t="n">
        <v>350000</v>
      </c>
      <c r="K136" s="29" t="n">
        <v>163264.48</v>
      </c>
      <c r="L136" s="30" t="n">
        <f aca="false">H136-I136</f>
        <v>0</v>
      </c>
      <c r="M136" s="30" t="n">
        <f aca="false">H136-J136</f>
        <v>0</v>
      </c>
      <c r="N136" s="30" t="n">
        <f aca="false">H136-K136</f>
        <v>186735.52</v>
      </c>
      <c r="O136" s="9" t="s">
        <v>133</v>
      </c>
      <c r="P136" s="9" t="str">
        <f aca="false">IF(H136=0,"Sin PIM",IF(ROUND(K136-H136,2)&gt;=0,"Devengado total",IF(J136&gt;0.005,"Comprometido",IF(I136&gt;0.005,"Solo certificado","Sin certificar"))))</f>
        <v>Comprometido</v>
      </c>
      <c r="Q136" s="30" t="n">
        <v>350000</v>
      </c>
      <c r="R136" s="30" t="n">
        <v>575452</v>
      </c>
      <c r="S136" s="30" t="n">
        <v>0</v>
      </c>
      <c r="T136" s="30" t="n">
        <v>1000000</v>
      </c>
      <c r="U136" s="9"/>
      <c r="V136" s="9"/>
    </row>
    <row r="137" customFormat="false" ht="32.8" hidden="false" customHeight="false" outlineLevel="0" collapsed="false">
      <c r="A137" s="9" t="s">
        <v>89</v>
      </c>
      <c r="B137" s="9" t="s">
        <v>13</v>
      </c>
      <c r="C137" s="9" t="s">
        <v>57</v>
      </c>
      <c r="D137" s="9" t="s">
        <v>49</v>
      </c>
      <c r="E137" s="9" t="s">
        <v>384</v>
      </c>
      <c r="F137" s="9" t="n">
        <v>317</v>
      </c>
      <c r="G137" s="28" t="s">
        <v>385</v>
      </c>
      <c r="H137" s="29" t="n">
        <v>81646</v>
      </c>
      <c r="I137" s="29" t="n">
        <v>0</v>
      </c>
      <c r="J137" s="29" t="n">
        <v>0</v>
      </c>
      <c r="K137" s="29" t="n">
        <v>0</v>
      </c>
      <c r="L137" s="30" t="n">
        <f aca="false">H137-I137</f>
        <v>81646</v>
      </c>
      <c r="M137" s="30" t="n">
        <f aca="false">H137-J137</f>
        <v>81646</v>
      </c>
      <c r="N137" s="30" t="n">
        <f aca="false">H137-K137</f>
        <v>81646</v>
      </c>
      <c r="O137" s="9" t="s">
        <v>133</v>
      </c>
      <c r="P137" s="9" t="str">
        <f aca="false">IF(H137=0,"Sin PIM",IF(ROUND(K137-H137,2)&gt;=0,"Devengado total",IF(J137&gt;0.005,"Comprometido",IF(I137&gt;0.005,"Solo certificado","Sin certificar"))))</f>
        <v>Sin certificar</v>
      </c>
      <c r="Q137" s="30" t="s">
        <v>97</v>
      </c>
      <c r="R137" s="30" t="s">
        <v>97</v>
      </c>
      <c r="S137" s="30" t="s">
        <v>97</v>
      </c>
      <c r="T137" s="30" t="s">
        <v>97</v>
      </c>
      <c r="U137" s="9"/>
      <c r="V137" s="9"/>
    </row>
    <row r="138" customFormat="false" ht="43.25" hidden="false" customHeight="false" outlineLevel="0" collapsed="false">
      <c r="A138" s="9" t="s">
        <v>89</v>
      </c>
      <c r="B138" s="9" t="s">
        <v>13</v>
      </c>
      <c r="C138" s="9" t="s">
        <v>57</v>
      </c>
      <c r="D138" s="9" t="s">
        <v>49</v>
      </c>
      <c r="E138" s="9" t="s">
        <v>386</v>
      </c>
      <c r="F138" s="9" t="n">
        <v>318</v>
      </c>
      <c r="G138" s="28" t="s">
        <v>387</v>
      </c>
      <c r="H138" s="29" t="n">
        <v>292573</v>
      </c>
      <c r="I138" s="29" t="n">
        <v>0</v>
      </c>
      <c r="J138" s="29" t="n">
        <v>0</v>
      </c>
      <c r="K138" s="29" t="n">
        <v>0</v>
      </c>
      <c r="L138" s="30" t="n">
        <f aca="false">H138-I138</f>
        <v>292573</v>
      </c>
      <c r="M138" s="30" t="n">
        <f aca="false">H138-J138</f>
        <v>292573</v>
      </c>
      <c r="N138" s="30" t="n">
        <f aca="false">H138-K138</f>
        <v>292573</v>
      </c>
      <c r="O138" s="9" t="s">
        <v>133</v>
      </c>
      <c r="P138" s="9" t="str">
        <f aca="false">IF(H138=0,"Sin PIM",IF(ROUND(K138-H138,2)&gt;=0,"Devengado total",IF(J138&gt;0.005,"Comprometido",IF(I138&gt;0.005,"Solo certificado","Sin certificar"))))</f>
        <v>Sin certificar</v>
      </c>
      <c r="Q138" s="30" t="s">
        <v>97</v>
      </c>
      <c r="R138" s="30" t="s">
        <v>97</v>
      </c>
      <c r="S138" s="30" t="s">
        <v>97</v>
      </c>
      <c r="T138" s="30" t="s">
        <v>97</v>
      </c>
      <c r="U138" s="9"/>
      <c r="V138" s="9"/>
    </row>
    <row r="139" customFormat="false" ht="32.8" hidden="false" customHeight="false" outlineLevel="0" collapsed="false">
      <c r="A139" s="9" t="s">
        <v>89</v>
      </c>
      <c r="B139" s="9" t="s">
        <v>13</v>
      </c>
      <c r="C139" s="9" t="s">
        <v>57</v>
      </c>
      <c r="D139" s="9" t="s">
        <v>49</v>
      </c>
      <c r="E139" s="9" t="s">
        <v>388</v>
      </c>
      <c r="F139" s="9" t="n">
        <v>319</v>
      </c>
      <c r="G139" s="28" t="s">
        <v>389</v>
      </c>
      <c r="H139" s="29" t="n">
        <v>645412</v>
      </c>
      <c r="I139" s="29" t="n">
        <v>615249.5</v>
      </c>
      <c r="J139" s="29" t="n">
        <v>612652.43</v>
      </c>
      <c r="K139" s="29" t="n">
        <v>558544.31</v>
      </c>
      <c r="L139" s="30" t="n">
        <f aca="false">H139-I139</f>
        <v>30162.5</v>
      </c>
      <c r="M139" s="30" t="n">
        <f aca="false">H139-J139</f>
        <v>32759.57</v>
      </c>
      <c r="N139" s="30" t="n">
        <f aca="false">H139-K139</f>
        <v>86867.6899999999</v>
      </c>
      <c r="O139" s="9" t="s">
        <v>133</v>
      </c>
      <c r="P139" s="9" t="str">
        <f aca="false">IF(H139=0,"Sin PIM",IF(ROUND(K139-H139,2)&gt;=0,"Devengado total",IF(J139&gt;0.005,"Comprometido",IF(I139&gt;0.005,"Solo certificado","Sin certificar"))))</f>
        <v>Comprometido</v>
      </c>
      <c r="Q139" s="30" t="n">
        <v>300000</v>
      </c>
      <c r="R139" s="30" t="n">
        <v>6325512</v>
      </c>
      <c r="S139" s="30" t="n">
        <v>500000</v>
      </c>
      <c r="T139" s="30" t="n">
        <v>3000000</v>
      </c>
      <c r="U139" s="9"/>
      <c r="V139" s="9"/>
    </row>
    <row r="140" customFormat="false" ht="53.7" hidden="false" customHeight="false" outlineLevel="0" collapsed="false">
      <c r="A140" s="9" t="s">
        <v>89</v>
      </c>
      <c r="B140" s="9" t="s">
        <v>13</v>
      </c>
      <c r="C140" s="9" t="s">
        <v>57</v>
      </c>
      <c r="D140" s="9" t="s">
        <v>49</v>
      </c>
      <c r="E140" s="9" t="s">
        <v>390</v>
      </c>
      <c r="F140" s="9" t="n">
        <v>320</v>
      </c>
      <c r="G140" s="28" t="s">
        <v>391</v>
      </c>
      <c r="H140" s="29" t="n">
        <v>45161</v>
      </c>
      <c r="I140" s="29" t="n">
        <v>45161</v>
      </c>
      <c r="J140" s="29" t="n">
        <v>45161</v>
      </c>
      <c r="K140" s="29" t="n">
        <v>30772.66</v>
      </c>
      <c r="L140" s="30" t="n">
        <f aca="false">H140-I140</f>
        <v>0</v>
      </c>
      <c r="M140" s="30" t="n">
        <f aca="false">H140-J140</f>
        <v>0</v>
      </c>
      <c r="N140" s="30" t="n">
        <f aca="false">H140-K140</f>
        <v>14388.34</v>
      </c>
      <c r="O140" s="9" t="s">
        <v>133</v>
      </c>
      <c r="P140" s="9" t="str">
        <f aca="false">IF(H140=0,"Sin PIM",IF(ROUND(K140-H140,2)&gt;=0,"Devengado total",IF(J140&gt;0.005,"Comprometido",IF(I140&gt;0.005,"Solo certificado","Sin certificar"))))</f>
        <v>Comprometido</v>
      </c>
      <c r="Q140" s="30" t="n">
        <v>45161</v>
      </c>
      <c r="R140" s="30" t="n">
        <v>254874</v>
      </c>
      <c r="S140" s="30" t="n">
        <v>133958</v>
      </c>
      <c r="T140" s="30" t="n">
        <v>133958</v>
      </c>
      <c r="U140" s="9"/>
      <c r="V140" s="9"/>
    </row>
    <row r="141" customFormat="false" ht="43.25" hidden="false" customHeight="false" outlineLevel="0" collapsed="false">
      <c r="A141" s="9" t="s">
        <v>89</v>
      </c>
      <c r="B141" s="9" t="s">
        <v>13</v>
      </c>
      <c r="C141" s="9" t="s">
        <v>57</v>
      </c>
      <c r="D141" s="9" t="s">
        <v>49</v>
      </c>
      <c r="E141" s="9" t="s">
        <v>392</v>
      </c>
      <c r="F141" s="9" t="n">
        <v>323</v>
      </c>
      <c r="G141" s="28" t="s">
        <v>393</v>
      </c>
      <c r="H141" s="29" t="n">
        <v>58627</v>
      </c>
      <c r="I141" s="29" t="n">
        <v>0</v>
      </c>
      <c r="J141" s="29" t="n">
        <v>0</v>
      </c>
      <c r="K141" s="29" t="n">
        <v>0</v>
      </c>
      <c r="L141" s="30" t="n">
        <f aca="false">H141-I141</f>
        <v>58627</v>
      </c>
      <c r="M141" s="30" t="n">
        <f aca="false">H141-J141</f>
        <v>58627</v>
      </c>
      <c r="N141" s="30" t="n">
        <f aca="false">H141-K141</f>
        <v>58627</v>
      </c>
      <c r="O141" s="9" t="s">
        <v>133</v>
      </c>
      <c r="P141" s="9" t="str">
        <f aca="false">IF(H141=0,"Sin PIM",IF(ROUND(K141-H141,2)&gt;=0,"Devengado total",IF(J141&gt;0.005,"Comprometido",IF(I141&gt;0.005,"Solo certificado","Sin certificar"))))</f>
        <v>Sin certificar</v>
      </c>
      <c r="Q141" s="30" t="s">
        <v>97</v>
      </c>
      <c r="R141" s="30" t="s">
        <v>97</v>
      </c>
      <c r="S141" s="30" t="s">
        <v>97</v>
      </c>
      <c r="T141" s="30" t="s">
        <v>97</v>
      </c>
      <c r="U141" s="9"/>
      <c r="V141" s="9"/>
    </row>
    <row r="142" customFormat="false" ht="43.25" hidden="false" customHeight="false" outlineLevel="0" collapsed="false">
      <c r="A142" s="9" t="s">
        <v>89</v>
      </c>
      <c r="B142" s="9" t="s">
        <v>13</v>
      </c>
      <c r="C142" s="9" t="s">
        <v>57</v>
      </c>
      <c r="D142" s="9" t="s">
        <v>49</v>
      </c>
      <c r="E142" s="9" t="s">
        <v>394</v>
      </c>
      <c r="F142" s="9" t="n">
        <v>331</v>
      </c>
      <c r="G142" s="28" t="s">
        <v>395</v>
      </c>
      <c r="H142" s="29" t="n">
        <v>220496</v>
      </c>
      <c r="I142" s="29" t="n">
        <v>220392</v>
      </c>
      <c r="J142" s="29" t="n">
        <v>175392</v>
      </c>
      <c r="K142" s="29" t="n">
        <v>174510.41</v>
      </c>
      <c r="L142" s="30" t="n">
        <f aca="false">H142-I142</f>
        <v>104</v>
      </c>
      <c r="M142" s="30" t="n">
        <f aca="false">H142-J142</f>
        <v>45104</v>
      </c>
      <c r="N142" s="30" t="n">
        <f aca="false">H142-K142</f>
        <v>45985.59</v>
      </c>
      <c r="O142" s="9" t="s">
        <v>133</v>
      </c>
      <c r="P142" s="9" t="str">
        <f aca="false">IF(H142=0,"Sin PIM",IF(ROUND(K142-H142,2)&gt;=0,"Devengado total",IF(J142&gt;0.005,"Comprometido",IF(I142&gt;0.005,"Solo certificado","Sin certificar"))))</f>
        <v>Comprometido</v>
      </c>
      <c r="Q142" s="30" t="s">
        <v>97</v>
      </c>
      <c r="R142" s="30" t="s">
        <v>97</v>
      </c>
      <c r="S142" s="30" t="s">
        <v>97</v>
      </c>
      <c r="T142" s="30" t="s">
        <v>97</v>
      </c>
      <c r="U142" s="9"/>
      <c r="V142" s="9"/>
    </row>
    <row r="143" customFormat="false" ht="32.8" hidden="false" customHeight="false" outlineLevel="0" collapsed="false">
      <c r="A143" s="9" t="s">
        <v>89</v>
      </c>
      <c r="B143" s="9" t="s">
        <v>13</v>
      </c>
      <c r="C143" s="9" t="s">
        <v>57</v>
      </c>
      <c r="D143" s="9" t="s">
        <v>49</v>
      </c>
      <c r="E143" s="9" t="s">
        <v>396</v>
      </c>
      <c r="F143" s="9" t="n">
        <v>332</v>
      </c>
      <c r="G143" s="28" t="s">
        <v>397</v>
      </c>
      <c r="H143" s="29" t="n">
        <v>129991</v>
      </c>
      <c r="I143" s="29" t="n">
        <v>129991</v>
      </c>
      <c r="J143" s="29" t="n">
        <v>129991</v>
      </c>
      <c r="K143" s="29" t="n">
        <v>129329.12</v>
      </c>
      <c r="L143" s="30" t="n">
        <f aca="false">H143-I143</f>
        <v>0</v>
      </c>
      <c r="M143" s="30" t="n">
        <f aca="false">H143-J143</f>
        <v>0</v>
      </c>
      <c r="N143" s="30" t="n">
        <f aca="false">H143-K143</f>
        <v>661.880000000005</v>
      </c>
      <c r="O143" s="9" t="s">
        <v>133</v>
      </c>
      <c r="P143" s="9" t="str">
        <f aca="false">IF(H143=0,"Sin PIM",IF(ROUND(K143-H143,2)&gt;=0,"Devengado total",IF(J143&gt;0.005,"Comprometido",IF(I143&gt;0.005,"Solo certificado","Sin certificar"))))</f>
        <v>Comprometido</v>
      </c>
      <c r="Q143" s="30" t="n">
        <v>129991</v>
      </c>
      <c r="R143" s="30" t="n">
        <v>245854</v>
      </c>
      <c r="S143" s="30" t="n">
        <v>0</v>
      </c>
      <c r="T143" s="30" t="n">
        <v>200000</v>
      </c>
      <c r="U143" s="9"/>
      <c r="V143" s="9"/>
    </row>
    <row r="144" customFormat="false" ht="32.8" hidden="false" customHeight="false" outlineLevel="0" collapsed="false">
      <c r="A144" s="9" t="s">
        <v>89</v>
      </c>
      <c r="B144" s="9" t="s">
        <v>13</v>
      </c>
      <c r="C144" s="9" t="s">
        <v>57</v>
      </c>
      <c r="D144" s="9" t="s">
        <v>49</v>
      </c>
      <c r="E144" s="9" t="s">
        <v>398</v>
      </c>
      <c r="F144" s="9" t="n">
        <v>334</v>
      </c>
      <c r="G144" s="28" t="s">
        <v>399</v>
      </c>
      <c r="H144" s="29" t="n">
        <v>24413</v>
      </c>
      <c r="I144" s="29" t="n">
        <v>23994.5</v>
      </c>
      <c r="J144" s="29" t="n">
        <v>23994.5</v>
      </c>
      <c r="K144" s="29" t="n">
        <v>19205.73</v>
      </c>
      <c r="L144" s="30" t="n">
        <f aca="false">H144-I144</f>
        <v>418.5</v>
      </c>
      <c r="M144" s="30" t="n">
        <f aca="false">H144-J144</f>
        <v>418.5</v>
      </c>
      <c r="N144" s="30" t="n">
        <f aca="false">H144-K144</f>
        <v>5207.27</v>
      </c>
      <c r="O144" s="9" t="s">
        <v>133</v>
      </c>
      <c r="P144" s="9" t="str">
        <f aca="false">IF(H144=0,"Sin PIM",IF(ROUND(K144-H144,2)&gt;=0,"Devengado total",IF(J144&gt;0.005,"Comprometido",IF(I144&gt;0.005,"Solo certificado","Sin certificar"))))</f>
        <v>Comprometido</v>
      </c>
      <c r="Q144" s="30" t="n">
        <v>24413</v>
      </c>
      <c r="R144" s="30" t="n">
        <v>753784</v>
      </c>
      <c r="S144" s="30" t="n">
        <v>0</v>
      </c>
      <c r="T144" s="30" t="n">
        <v>1846698</v>
      </c>
      <c r="U144" s="9"/>
      <c r="V144" s="9"/>
    </row>
    <row r="145" customFormat="false" ht="32.8" hidden="false" customHeight="false" outlineLevel="0" collapsed="false">
      <c r="A145" s="9" t="s">
        <v>89</v>
      </c>
      <c r="B145" s="9" t="s">
        <v>13</v>
      </c>
      <c r="C145" s="9" t="s">
        <v>57</v>
      </c>
      <c r="D145" s="9" t="s">
        <v>49</v>
      </c>
      <c r="E145" s="9" t="s">
        <v>400</v>
      </c>
      <c r="F145" s="9" t="n">
        <v>459</v>
      </c>
      <c r="G145" s="28" t="s">
        <v>401</v>
      </c>
      <c r="H145" s="29" t="n">
        <v>621845</v>
      </c>
      <c r="I145" s="29" t="n">
        <v>621845</v>
      </c>
      <c r="J145" s="29" t="n">
        <v>521845</v>
      </c>
      <c r="K145" s="29" t="n">
        <v>396842.78</v>
      </c>
      <c r="L145" s="30" t="n">
        <f aca="false">H145-I145</f>
        <v>0</v>
      </c>
      <c r="M145" s="30" t="n">
        <f aca="false">H145-J145</f>
        <v>100000</v>
      </c>
      <c r="N145" s="30" t="n">
        <f aca="false">H145-K145</f>
        <v>225002.22</v>
      </c>
      <c r="O145" s="9" t="s">
        <v>133</v>
      </c>
      <c r="P145" s="9" t="str">
        <f aca="false">IF(H145=0,"Sin PIM",IF(ROUND(K145-H145,2)&gt;=0,"Devengado total",IF(J145&gt;0.005,"Comprometido",IF(I145&gt;0.005,"Solo certificado","Sin certificar"))))</f>
        <v>Comprometido</v>
      </c>
      <c r="Q145" s="30" t="n">
        <v>521845</v>
      </c>
      <c r="R145" s="30" t="n">
        <v>2345678</v>
      </c>
      <c r="S145" s="30" t="n">
        <v>0</v>
      </c>
      <c r="T145" s="30" t="n">
        <v>1000000</v>
      </c>
      <c r="U145" s="9"/>
      <c r="V145" s="9"/>
    </row>
    <row r="146" customFormat="false" ht="32.8" hidden="false" customHeight="false" outlineLevel="0" collapsed="false">
      <c r="A146" s="9" t="s">
        <v>89</v>
      </c>
      <c r="B146" s="9" t="s">
        <v>13</v>
      </c>
      <c r="C146" s="9" t="s">
        <v>57</v>
      </c>
      <c r="D146" s="9" t="s">
        <v>49</v>
      </c>
      <c r="E146" s="9" t="s">
        <v>402</v>
      </c>
      <c r="F146" s="9" t="n">
        <v>492</v>
      </c>
      <c r="G146" s="28" t="s">
        <v>403</v>
      </c>
      <c r="H146" s="29" t="n">
        <v>784869</v>
      </c>
      <c r="I146" s="29" t="n">
        <v>784869</v>
      </c>
      <c r="J146" s="29" t="n">
        <v>634747.9</v>
      </c>
      <c r="K146" s="29" t="n">
        <v>631813.71</v>
      </c>
      <c r="L146" s="30" t="n">
        <f aca="false">H146-I146</f>
        <v>0</v>
      </c>
      <c r="M146" s="30" t="n">
        <f aca="false">H146-J146</f>
        <v>150121.1</v>
      </c>
      <c r="N146" s="30" t="n">
        <f aca="false">H146-K146</f>
        <v>153055.29</v>
      </c>
      <c r="O146" s="9" t="s">
        <v>133</v>
      </c>
      <c r="P146" s="9" t="str">
        <f aca="false">IF(H146=0,"Sin PIM",IF(ROUND(K146-H146,2)&gt;=0,"Devengado total",IF(J146&gt;0.005,"Comprometido",IF(I146&gt;0.005,"Solo certificado","Sin certificar"))))</f>
        <v>Comprometido</v>
      </c>
      <c r="Q146" s="30" t="n">
        <v>340000</v>
      </c>
      <c r="R146" s="30" t="n">
        <v>254845</v>
      </c>
      <c r="S146" s="30" t="n">
        <v>0</v>
      </c>
      <c r="T146" s="30" t="n">
        <v>300000</v>
      </c>
      <c r="U146" s="9"/>
      <c r="V146" s="9"/>
    </row>
    <row r="147" customFormat="false" ht="32.8" hidden="false" customHeight="false" outlineLevel="0" collapsed="false">
      <c r="A147" s="9" t="s">
        <v>89</v>
      </c>
      <c r="B147" s="9" t="s">
        <v>13</v>
      </c>
      <c r="C147" s="9" t="s">
        <v>57</v>
      </c>
      <c r="D147" s="9" t="s">
        <v>49</v>
      </c>
      <c r="E147" s="9" t="s">
        <v>404</v>
      </c>
      <c r="F147" s="9" t="n">
        <v>495</v>
      </c>
      <c r="G147" s="28" t="s">
        <v>405</v>
      </c>
      <c r="H147" s="29" t="n">
        <v>373203</v>
      </c>
      <c r="I147" s="29" t="n">
        <v>199545</v>
      </c>
      <c r="J147" s="29" t="n">
        <v>199545</v>
      </c>
      <c r="K147" s="29" t="n">
        <v>127534.07</v>
      </c>
      <c r="L147" s="30" t="n">
        <f aca="false">H147-I147</f>
        <v>173658</v>
      </c>
      <c r="M147" s="30" t="n">
        <f aca="false">H147-J147</f>
        <v>173658</v>
      </c>
      <c r="N147" s="30" t="n">
        <f aca="false">H147-K147</f>
        <v>245668.93</v>
      </c>
      <c r="O147" s="9" t="s">
        <v>133</v>
      </c>
      <c r="P147" s="9" t="str">
        <f aca="false">IF(H147=0,"Sin PIM",IF(ROUND(K147-H147,2)&gt;=0,"Devengado total",IF(J147&gt;0.005,"Comprometido",IF(I147&gt;0.005,"Solo certificado","Sin certificar"))))</f>
        <v>Comprometido</v>
      </c>
      <c r="Q147" s="30" t="n">
        <v>199545</v>
      </c>
      <c r="R147" s="30" t="n">
        <v>5256354</v>
      </c>
      <c r="S147" s="30" t="n">
        <v>0</v>
      </c>
      <c r="T147" s="30" t="n">
        <v>0</v>
      </c>
      <c r="U147" s="9"/>
      <c r="V147" s="9"/>
    </row>
    <row r="148" customFormat="false" ht="32.8" hidden="false" customHeight="false" outlineLevel="0" collapsed="false">
      <c r="A148" s="9" t="s">
        <v>89</v>
      </c>
      <c r="B148" s="9" t="s">
        <v>13</v>
      </c>
      <c r="C148" s="9" t="s">
        <v>57</v>
      </c>
      <c r="D148" s="9" t="s">
        <v>49</v>
      </c>
      <c r="E148" s="9" t="s">
        <v>406</v>
      </c>
      <c r="F148" s="9" t="n">
        <v>496</v>
      </c>
      <c r="G148" s="28" t="s">
        <v>407</v>
      </c>
      <c r="H148" s="29" t="n">
        <v>192812</v>
      </c>
      <c r="I148" s="29" t="n">
        <v>180485</v>
      </c>
      <c r="J148" s="29" t="n">
        <v>180485</v>
      </c>
      <c r="K148" s="29" t="n">
        <v>176515.68</v>
      </c>
      <c r="L148" s="30" t="n">
        <f aca="false">H148-I148</f>
        <v>12327</v>
      </c>
      <c r="M148" s="30" t="n">
        <f aca="false">H148-J148</f>
        <v>12327</v>
      </c>
      <c r="N148" s="30" t="n">
        <f aca="false">H148-K148</f>
        <v>16296.32</v>
      </c>
      <c r="O148" s="9" t="s">
        <v>133</v>
      </c>
      <c r="P148" s="9" t="str">
        <f aca="false">IF(H148=0,"Sin PIM",IF(ROUND(K148-H148,2)&gt;=0,"Devengado total",IF(J148&gt;0.005,"Comprometido",IF(I148&gt;0.005,"Solo certificado","Sin certificar"))))</f>
        <v>Comprometido</v>
      </c>
      <c r="Q148" s="30" t="n">
        <v>192812</v>
      </c>
      <c r="R148" s="30" t="n">
        <v>0</v>
      </c>
      <c r="S148" s="30" t="n">
        <v>500000</v>
      </c>
      <c r="T148" s="30" t="n">
        <v>0</v>
      </c>
      <c r="U148" s="9"/>
      <c r="V148" s="9"/>
    </row>
    <row r="149" customFormat="false" ht="32.8" hidden="false" customHeight="false" outlineLevel="0" collapsed="false">
      <c r="A149" s="9" t="s">
        <v>89</v>
      </c>
      <c r="B149" s="9" t="s">
        <v>13</v>
      </c>
      <c r="C149" s="9" t="s">
        <v>57</v>
      </c>
      <c r="D149" s="9" t="s">
        <v>49</v>
      </c>
      <c r="E149" s="9" t="s">
        <v>408</v>
      </c>
      <c r="F149" s="9" t="n">
        <v>501</v>
      </c>
      <c r="G149" s="28" t="s">
        <v>409</v>
      </c>
      <c r="H149" s="29" t="n">
        <v>287709</v>
      </c>
      <c r="I149" s="29" t="n">
        <v>287709</v>
      </c>
      <c r="J149" s="29" t="n">
        <v>287709</v>
      </c>
      <c r="K149" s="29" t="n">
        <v>108740.53</v>
      </c>
      <c r="L149" s="30" t="n">
        <f aca="false">H149-I149</f>
        <v>0</v>
      </c>
      <c r="M149" s="30" t="n">
        <f aca="false">H149-J149</f>
        <v>0</v>
      </c>
      <c r="N149" s="30" t="n">
        <f aca="false">H149-K149</f>
        <v>178968.47</v>
      </c>
      <c r="O149" s="9" t="s">
        <v>133</v>
      </c>
      <c r="P149" s="9" t="str">
        <f aca="false">IF(H149=0,"Sin PIM",IF(ROUND(K149-H149,2)&gt;=0,"Devengado total",IF(J149&gt;0.005,"Comprometido",IF(I149&gt;0.005,"Solo certificado","Sin certificar"))))</f>
        <v>Comprometido</v>
      </c>
      <c r="Q149" s="30" t="n">
        <v>287709</v>
      </c>
      <c r="R149" s="30" t="n">
        <v>0</v>
      </c>
      <c r="S149" s="30" t="n">
        <v>0</v>
      </c>
      <c r="T149" s="30" t="n">
        <v>3000000</v>
      </c>
      <c r="U149" s="9"/>
      <c r="V149" s="9"/>
    </row>
    <row r="150" customFormat="false" ht="32.8" hidden="false" customHeight="false" outlineLevel="0" collapsed="false">
      <c r="A150" s="9" t="s">
        <v>89</v>
      </c>
      <c r="B150" s="9" t="s">
        <v>13</v>
      </c>
      <c r="C150" s="9" t="s">
        <v>57</v>
      </c>
      <c r="D150" s="9" t="s">
        <v>49</v>
      </c>
      <c r="E150" s="9" t="s">
        <v>410</v>
      </c>
      <c r="F150" s="9" t="n">
        <v>502</v>
      </c>
      <c r="G150" s="28" t="s">
        <v>411</v>
      </c>
      <c r="H150" s="29" t="n">
        <v>140000</v>
      </c>
      <c r="I150" s="29" t="n">
        <v>140000</v>
      </c>
      <c r="J150" s="29" t="n">
        <v>140000</v>
      </c>
      <c r="K150" s="29" t="n">
        <v>131428.18</v>
      </c>
      <c r="L150" s="30" t="n">
        <f aca="false">H150-I150</f>
        <v>0</v>
      </c>
      <c r="M150" s="30" t="n">
        <f aca="false">H150-J150</f>
        <v>0</v>
      </c>
      <c r="N150" s="30" t="n">
        <f aca="false">H150-K150</f>
        <v>8571.82000000001</v>
      </c>
      <c r="O150" s="9" t="s">
        <v>133</v>
      </c>
      <c r="P150" s="9" t="str">
        <f aca="false">IF(H150=0,"Sin PIM",IF(ROUND(K150-H150,2)&gt;=0,"Devengado total",IF(J150&gt;0.005,"Comprometido",IF(I150&gt;0.005,"Solo certificado","Sin certificar"))))</f>
        <v>Comprometido</v>
      </c>
      <c r="Q150" s="30" t="n">
        <v>140000</v>
      </c>
      <c r="R150" s="30" t="n">
        <v>0</v>
      </c>
      <c r="S150" s="30" t="n">
        <v>0</v>
      </c>
      <c r="T150" s="30" t="n">
        <v>500000</v>
      </c>
      <c r="U150" s="9"/>
      <c r="V150" s="9"/>
    </row>
    <row r="151" customFormat="false" ht="32.8" hidden="false" customHeight="false" outlineLevel="0" collapsed="false">
      <c r="A151" s="9" t="s">
        <v>89</v>
      </c>
      <c r="B151" s="9" t="s">
        <v>13</v>
      </c>
      <c r="C151" s="9" t="s">
        <v>57</v>
      </c>
      <c r="D151" s="9" t="s">
        <v>49</v>
      </c>
      <c r="E151" s="9" t="s">
        <v>412</v>
      </c>
      <c r="F151" s="9" t="n">
        <v>517</v>
      </c>
      <c r="G151" s="28" t="s">
        <v>413</v>
      </c>
      <c r="H151" s="29" t="n">
        <v>200000</v>
      </c>
      <c r="I151" s="29" t="n">
        <v>200000</v>
      </c>
      <c r="J151" s="29" t="n">
        <v>200000</v>
      </c>
      <c r="K151" s="29" t="n">
        <v>0</v>
      </c>
      <c r="L151" s="30" t="n">
        <f aca="false">H151-I151</f>
        <v>0</v>
      </c>
      <c r="M151" s="30" t="n">
        <f aca="false">H151-J151</f>
        <v>0</v>
      </c>
      <c r="N151" s="30" t="n">
        <f aca="false">H151-K151</f>
        <v>200000</v>
      </c>
      <c r="O151" s="9" t="s">
        <v>133</v>
      </c>
      <c r="P151" s="9" t="str">
        <f aca="false">IF(H151=0,"Sin PIM",IF(ROUND(K151-H151,2)&gt;=0,"Devengado total",IF(J151&gt;0.005,"Comprometido",IF(I151&gt;0.005,"Solo certificado","Sin certificar"))))</f>
        <v>Comprometido</v>
      </c>
      <c r="Q151" s="30" t="s">
        <v>97</v>
      </c>
      <c r="R151" s="30" t="s">
        <v>97</v>
      </c>
      <c r="S151" s="30" t="s">
        <v>97</v>
      </c>
      <c r="T151" s="30" t="s">
        <v>97</v>
      </c>
      <c r="U151" s="9"/>
      <c r="V151" s="9"/>
    </row>
    <row r="152" customFormat="false" ht="43.25" hidden="false" customHeight="false" outlineLevel="0" collapsed="false">
      <c r="A152" s="9" t="s">
        <v>89</v>
      </c>
      <c r="B152" s="9" t="s">
        <v>13</v>
      </c>
      <c r="C152" s="9" t="s">
        <v>57</v>
      </c>
      <c r="D152" s="9" t="s">
        <v>49</v>
      </c>
      <c r="E152" s="9" t="s">
        <v>414</v>
      </c>
      <c r="F152" s="9" t="n">
        <v>518</v>
      </c>
      <c r="G152" s="28" t="s">
        <v>415</v>
      </c>
      <c r="H152" s="29" t="n">
        <v>200000</v>
      </c>
      <c r="I152" s="29" t="n">
        <v>200000</v>
      </c>
      <c r="J152" s="29" t="n">
        <v>200000</v>
      </c>
      <c r="K152" s="29" t="n">
        <v>30838.26</v>
      </c>
      <c r="L152" s="30" t="n">
        <f aca="false">H152-I152</f>
        <v>0</v>
      </c>
      <c r="M152" s="30" t="n">
        <f aca="false">H152-J152</f>
        <v>0</v>
      </c>
      <c r="N152" s="30" t="n">
        <f aca="false">H152-K152</f>
        <v>169161.74</v>
      </c>
      <c r="O152" s="9" t="s">
        <v>133</v>
      </c>
      <c r="P152" s="9" t="str">
        <f aca="false">IF(H152=0,"Sin PIM",IF(ROUND(K152-H152,2)&gt;=0,"Devengado total",IF(J152&gt;0.005,"Comprometido",IF(I152&gt;0.005,"Solo certificado","Sin certificar"))))</f>
        <v>Comprometido</v>
      </c>
      <c r="Q152" s="30" t="n">
        <v>200000</v>
      </c>
      <c r="R152" s="30" t="n">
        <v>0</v>
      </c>
      <c r="S152" s="30" t="n">
        <v>3000000</v>
      </c>
      <c r="T152" s="30" t="n">
        <v>8896729</v>
      </c>
      <c r="U152" s="9"/>
      <c r="V152" s="9"/>
    </row>
    <row r="153" customFormat="false" ht="53.7" hidden="false" customHeight="false" outlineLevel="0" collapsed="false">
      <c r="A153" s="9" t="s">
        <v>89</v>
      </c>
      <c r="B153" s="9" t="s">
        <v>13</v>
      </c>
      <c r="C153" s="9" t="s">
        <v>57</v>
      </c>
      <c r="D153" s="9" t="s">
        <v>50</v>
      </c>
      <c r="E153" s="9" t="s">
        <v>416</v>
      </c>
      <c r="F153" s="9" t="n">
        <v>304</v>
      </c>
      <c r="G153" s="28" t="s">
        <v>417</v>
      </c>
      <c r="H153" s="29" t="n">
        <v>412686</v>
      </c>
      <c r="I153" s="29" t="n">
        <v>364067</v>
      </c>
      <c r="J153" s="29" t="n">
        <v>364067</v>
      </c>
      <c r="K153" s="29" t="n">
        <v>189727.76</v>
      </c>
      <c r="L153" s="30" t="n">
        <f aca="false">H153-I153</f>
        <v>48619</v>
      </c>
      <c r="M153" s="30" t="n">
        <f aca="false">H153-J153</f>
        <v>48619</v>
      </c>
      <c r="N153" s="30" t="n">
        <f aca="false">H153-K153</f>
        <v>222958.24</v>
      </c>
      <c r="O153" s="9" t="s">
        <v>133</v>
      </c>
      <c r="P153" s="9" t="str">
        <f aca="false">IF(H153=0,"Sin PIM",IF(ROUND(K153-H153,2)&gt;=0,"Devengado total",IF(J153&gt;0.005,"Comprometido",IF(I153&gt;0.005,"Solo certificado","Sin certificar"))))</f>
        <v>Comprometido</v>
      </c>
      <c r="Q153" s="30" t="s">
        <v>97</v>
      </c>
      <c r="R153" s="30" t="s">
        <v>97</v>
      </c>
      <c r="S153" s="30" t="s">
        <v>97</v>
      </c>
      <c r="T153" s="30" t="s">
        <v>97</v>
      </c>
      <c r="U153" s="9"/>
      <c r="V153" s="9"/>
    </row>
    <row r="154" customFormat="false" ht="53.7" hidden="false" customHeight="false" outlineLevel="0" collapsed="false">
      <c r="A154" s="9" t="s">
        <v>89</v>
      </c>
      <c r="B154" s="9" t="s">
        <v>13</v>
      </c>
      <c r="C154" s="9" t="s">
        <v>57</v>
      </c>
      <c r="D154" s="9" t="s">
        <v>50</v>
      </c>
      <c r="E154" s="9" t="s">
        <v>418</v>
      </c>
      <c r="F154" s="9" t="n">
        <v>308</v>
      </c>
      <c r="G154" s="28" t="s">
        <v>419</v>
      </c>
      <c r="H154" s="29" t="n">
        <v>563376</v>
      </c>
      <c r="I154" s="29" t="n">
        <v>563376</v>
      </c>
      <c r="J154" s="29" t="n">
        <v>193545</v>
      </c>
      <c r="K154" s="29" t="n">
        <v>65074.96</v>
      </c>
      <c r="L154" s="30" t="n">
        <f aca="false">H154-I154</f>
        <v>0</v>
      </c>
      <c r="M154" s="30" t="n">
        <f aca="false">H154-J154</f>
        <v>369831</v>
      </c>
      <c r="N154" s="30" t="n">
        <f aca="false">H154-K154</f>
        <v>498301.04</v>
      </c>
      <c r="O154" s="9" t="s">
        <v>133</v>
      </c>
      <c r="P154" s="9" t="str">
        <f aca="false">IF(H154=0,"Sin PIM",IF(ROUND(K154-H154,2)&gt;=0,"Devengado total",IF(J154&gt;0.005,"Comprometido",IF(I154&gt;0.005,"Solo certificado","Sin certificar"))))</f>
        <v>Comprometido</v>
      </c>
      <c r="Q154" s="30" t="n">
        <v>350000</v>
      </c>
      <c r="R154" s="30" t="n">
        <v>7563584</v>
      </c>
      <c r="S154" s="30" t="n">
        <v>500000</v>
      </c>
      <c r="T154" s="30" t="n">
        <v>700000</v>
      </c>
      <c r="U154" s="9"/>
      <c r="V154" s="9"/>
    </row>
    <row r="155" customFormat="false" ht="53.7" hidden="false" customHeight="false" outlineLevel="0" collapsed="false">
      <c r="A155" s="9" t="s">
        <v>89</v>
      </c>
      <c r="B155" s="9" t="s">
        <v>13</v>
      </c>
      <c r="C155" s="9" t="s">
        <v>57</v>
      </c>
      <c r="D155" s="9" t="s">
        <v>50</v>
      </c>
      <c r="E155" s="9" t="s">
        <v>420</v>
      </c>
      <c r="F155" s="9" t="n">
        <v>309</v>
      </c>
      <c r="G155" s="28" t="s">
        <v>421</v>
      </c>
      <c r="H155" s="29" t="n">
        <v>400000</v>
      </c>
      <c r="I155" s="29" t="n">
        <v>400000</v>
      </c>
      <c r="J155" s="29" t="n">
        <v>400000</v>
      </c>
      <c r="K155" s="29" t="n">
        <v>285245.05</v>
      </c>
      <c r="L155" s="30" t="n">
        <f aca="false">H155-I155</f>
        <v>0</v>
      </c>
      <c r="M155" s="30" t="n">
        <f aca="false">H155-J155</f>
        <v>0</v>
      </c>
      <c r="N155" s="30" t="n">
        <f aca="false">H155-K155</f>
        <v>114754.95</v>
      </c>
      <c r="O155" s="9" t="s">
        <v>133</v>
      </c>
      <c r="P155" s="9" t="str">
        <f aca="false">IF(H155=0,"Sin PIM",IF(ROUND(K155-H155,2)&gt;=0,"Devengado total",IF(J155&gt;0.005,"Comprometido",IF(I155&gt;0.005,"Solo certificado","Sin certificar"))))</f>
        <v>Comprometido</v>
      </c>
      <c r="Q155" s="30" t="n">
        <v>400000</v>
      </c>
      <c r="R155" s="30" t="n">
        <v>358745</v>
      </c>
      <c r="S155" s="30" t="n">
        <v>0</v>
      </c>
      <c r="T155" s="30" t="n">
        <v>1000000</v>
      </c>
      <c r="U155" s="9"/>
      <c r="V155" s="9"/>
    </row>
    <row r="156" customFormat="false" ht="53.7" hidden="false" customHeight="false" outlineLevel="0" collapsed="false">
      <c r="A156" s="9" t="s">
        <v>89</v>
      </c>
      <c r="B156" s="9" t="s">
        <v>13</v>
      </c>
      <c r="C156" s="9" t="s">
        <v>57</v>
      </c>
      <c r="D156" s="9" t="s">
        <v>50</v>
      </c>
      <c r="E156" s="9" t="s">
        <v>422</v>
      </c>
      <c r="F156" s="9" t="n">
        <v>310</v>
      </c>
      <c r="G156" s="28" t="s">
        <v>423</v>
      </c>
      <c r="H156" s="29" t="n">
        <v>386035</v>
      </c>
      <c r="I156" s="29" t="n">
        <v>365592.91</v>
      </c>
      <c r="J156" s="29" t="n">
        <v>365592.91</v>
      </c>
      <c r="K156" s="29" t="n">
        <v>246262.9</v>
      </c>
      <c r="L156" s="30" t="n">
        <f aca="false">H156-I156</f>
        <v>20442.09</v>
      </c>
      <c r="M156" s="30" t="n">
        <f aca="false">H156-J156</f>
        <v>20442.09</v>
      </c>
      <c r="N156" s="30" t="n">
        <f aca="false">H156-K156</f>
        <v>139772.1</v>
      </c>
      <c r="O156" s="9" t="s">
        <v>133</v>
      </c>
      <c r="P156" s="9" t="str">
        <f aca="false">IF(H156=0,"Sin PIM",IF(ROUND(K156-H156,2)&gt;=0,"Devengado total",IF(J156&gt;0.005,"Comprometido",IF(I156&gt;0.005,"Solo certificado","Sin certificar"))))</f>
        <v>Comprometido</v>
      </c>
      <c r="Q156" s="30" t="n">
        <v>386035</v>
      </c>
      <c r="R156" s="30" t="n">
        <v>310542</v>
      </c>
      <c r="S156" s="30" t="n">
        <v>0</v>
      </c>
      <c r="T156" s="30" t="n">
        <v>1000000</v>
      </c>
      <c r="U156" s="9"/>
      <c r="V156" s="9"/>
    </row>
    <row r="157" customFormat="false" ht="43.25" hidden="false" customHeight="false" outlineLevel="0" collapsed="false">
      <c r="A157" s="9" t="s">
        <v>89</v>
      </c>
      <c r="B157" s="9" t="s">
        <v>13</v>
      </c>
      <c r="C157" s="9" t="s">
        <v>57</v>
      </c>
      <c r="D157" s="9" t="s">
        <v>50</v>
      </c>
      <c r="E157" s="9" t="s">
        <v>424</v>
      </c>
      <c r="F157" s="9" t="n">
        <v>325</v>
      </c>
      <c r="G157" s="28" t="s">
        <v>425</v>
      </c>
      <c r="H157" s="29" t="n">
        <v>18371</v>
      </c>
      <c r="I157" s="29" t="n">
        <v>0</v>
      </c>
      <c r="J157" s="29" t="n">
        <v>0</v>
      </c>
      <c r="K157" s="29" t="n">
        <v>0</v>
      </c>
      <c r="L157" s="30" t="n">
        <f aca="false">H157-I157</f>
        <v>18371</v>
      </c>
      <c r="M157" s="30" t="n">
        <f aca="false">H157-J157</f>
        <v>18371</v>
      </c>
      <c r="N157" s="30" t="n">
        <f aca="false">H157-K157</f>
        <v>18371</v>
      </c>
      <c r="O157" s="9" t="s">
        <v>133</v>
      </c>
      <c r="P157" s="9" t="str">
        <f aca="false">IF(H157=0,"Sin PIM",IF(ROUND(K157-H157,2)&gt;=0,"Devengado total",IF(J157&gt;0.005,"Comprometido",IF(I157&gt;0.005,"Solo certificado","Sin certificar"))))</f>
        <v>Sin certificar</v>
      </c>
      <c r="Q157" s="30" t="s">
        <v>97</v>
      </c>
      <c r="R157" s="30" t="s">
        <v>97</v>
      </c>
      <c r="S157" s="30" t="s">
        <v>97</v>
      </c>
      <c r="T157" s="30" t="s">
        <v>97</v>
      </c>
      <c r="U157" s="9"/>
      <c r="V157" s="9"/>
    </row>
    <row r="158" customFormat="false" ht="53.7" hidden="false" customHeight="false" outlineLevel="0" collapsed="false">
      <c r="A158" s="9" t="s">
        <v>89</v>
      </c>
      <c r="B158" s="9" t="s">
        <v>13</v>
      </c>
      <c r="C158" s="9" t="s">
        <v>57</v>
      </c>
      <c r="D158" s="9" t="s">
        <v>50</v>
      </c>
      <c r="E158" s="9" t="s">
        <v>426</v>
      </c>
      <c r="F158" s="9" t="n">
        <v>326</v>
      </c>
      <c r="G158" s="28" t="s">
        <v>427</v>
      </c>
      <c r="H158" s="29" t="n">
        <v>225183</v>
      </c>
      <c r="I158" s="29" t="n">
        <v>180000</v>
      </c>
      <c r="J158" s="29" t="n">
        <v>180000</v>
      </c>
      <c r="K158" s="29" t="n">
        <v>179898.4</v>
      </c>
      <c r="L158" s="30" t="n">
        <f aca="false">H158-I158</f>
        <v>45183</v>
      </c>
      <c r="M158" s="30" t="n">
        <f aca="false">H158-J158</f>
        <v>45183</v>
      </c>
      <c r="N158" s="30" t="n">
        <f aca="false">H158-K158</f>
        <v>45284.6</v>
      </c>
      <c r="O158" s="9" t="s">
        <v>133</v>
      </c>
      <c r="P158" s="9" t="str">
        <f aca="false">IF(H158=0,"Sin PIM",IF(ROUND(K158-H158,2)&gt;=0,"Devengado total",IF(J158&gt;0.005,"Comprometido",IF(I158&gt;0.005,"Solo certificado","Sin certificar"))))</f>
        <v>Comprometido</v>
      </c>
      <c r="Q158" s="30" t="s">
        <v>97</v>
      </c>
      <c r="R158" s="30" t="s">
        <v>97</v>
      </c>
      <c r="S158" s="30" t="s">
        <v>97</v>
      </c>
      <c r="T158" s="30" t="s">
        <v>97</v>
      </c>
      <c r="U158" s="9"/>
      <c r="V158" s="9"/>
    </row>
    <row r="159" customFormat="false" ht="53.7" hidden="false" customHeight="false" outlineLevel="0" collapsed="false">
      <c r="A159" s="9" t="s">
        <v>89</v>
      </c>
      <c r="B159" s="9" t="s">
        <v>13</v>
      </c>
      <c r="C159" s="9" t="s">
        <v>57</v>
      </c>
      <c r="D159" s="9" t="s">
        <v>50</v>
      </c>
      <c r="E159" s="9" t="s">
        <v>428</v>
      </c>
      <c r="F159" s="9" t="n">
        <v>327</v>
      </c>
      <c r="G159" s="28" t="s">
        <v>429</v>
      </c>
      <c r="H159" s="29" t="n">
        <v>680000</v>
      </c>
      <c r="I159" s="29" t="n">
        <v>676480</v>
      </c>
      <c r="J159" s="29" t="n">
        <v>626480</v>
      </c>
      <c r="K159" s="29" t="n">
        <v>463894.66</v>
      </c>
      <c r="L159" s="30" t="n">
        <f aca="false">H159-I159</f>
        <v>3520</v>
      </c>
      <c r="M159" s="30" t="n">
        <f aca="false">H159-J159</f>
        <v>53520</v>
      </c>
      <c r="N159" s="30" t="n">
        <f aca="false">H159-K159</f>
        <v>216105.34</v>
      </c>
      <c r="O159" s="9" t="s">
        <v>133</v>
      </c>
      <c r="P159" s="9" t="str">
        <f aca="false">IF(H159=0,"Sin PIM",IF(ROUND(K159-H159,2)&gt;=0,"Devengado total",IF(J159&gt;0.005,"Comprometido",IF(I159&gt;0.005,"Solo certificado","Sin certificar"))))</f>
        <v>Comprometido</v>
      </c>
      <c r="Q159" s="30" t="n">
        <v>380000</v>
      </c>
      <c r="R159" s="30" t="n">
        <v>6625412</v>
      </c>
      <c r="S159" s="30" t="n">
        <v>0</v>
      </c>
      <c r="T159" s="30" t="n">
        <v>1000000</v>
      </c>
      <c r="U159" s="9"/>
      <c r="V159" s="9"/>
    </row>
    <row r="160" customFormat="false" ht="53.7" hidden="false" customHeight="false" outlineLevel="0" collapsed="false">
      <c r="A160" s="9" t="s">
        <v>89</v>
      </c>
      <c r="B160" s="9" t="s">
        <v>13</v>
      </c>
      <c r="C160" s="9" t="s">
        <v>57</v>
      </c>
      <c r="D160" s="9" t="s">
        <v>50</v>
      </c>
      <c r="E160" s="9" t="s">
        <v>430</v>
      </c>
      <c r="F160" s="9" t="n">
        <v>328</v>
      </c>
      <c r="G160" s="28" t="s">
        <v>431</v>
      </c>
      <c r="H160" s="29" t="n">
        <v>519111</v>
      </c>
      <c r="I160" s="29" t="n">
        <v>519111</v>
      </c>
      <c r="J160" s="29" t="n">
        <v>518575.2</v>
      </c>
      <c r="K160" s="29" t="n">
        <v>211182.68</v>
      </c>
      <c r="L160" s="30" t="n">
        <f aca="false">H160-I160</f>
        <v>0</v>
      </c>
      <c r="M160" s="30" t="n">
        <f aca="false">H160-J160</f>
        <v>535.799999999988</v>
      </c>
      <c r="N160" s="30" t="n">
        <f aca="false">H160-K160</f>
        <v>307928.32</v>
      </c>
      <c r="O160" s="9" t="s">
        <v>133</v>
      </c>
      <c r="P160" s="9" t="str">
        <f aca="false">IF(H160=0,"Sin PIM",IF(ROUND(K160-H160,2)&gt;=0,"Devengado total",IF(J160&gt;0.005,"Comprometido",IF(I160&gt;0.005,"Solo certificado","Sin certificar"))))</f>
        <v>Comprometido</v>
      </c>
      <c r="Q160" s="30" t="n">
        <v>300000</v>
      </c>
      <c r="R160" s="30" t="n">
        <v>5285426</v>
      </c>
      <c r="S160" s="30" t="n">
        <v>0</v>
      </c>
      <c r="T160" s="30" t="n">
        <v>1000000</v>
      </c>
      <c r="U160" s="9"/>
      <c r="V160" s="9"/>
    </row>
    <row r="161" customFormat="false" ht="53.7" hidden="false" customHeight="false" outlineLevel="0" collapsed="false">
      <c r="A161" s="9" t="s">
        <v>89</v>
      </c>
      <c r="B161" s="9" t="s">
        <v>13</v>
      </c>
      <c r="C161" s="9" t="s">
        <v>57</v>
      </c>
      <c r="D161" s="9" t="s">
        <v>50</v>
      </c>
      <c r="E161" s="9" t="s">
        <v>432</v>
      </c>
      <c r="F161" s="9" t="n">
        <v>329</v>
      </c>
      <c r="G161" s="28" t="s">
        <v>433</v>
      </c>
      <c r="H161" s="29" t="n">
        <v>206971</v>
      </c>
      <c r="I161" s="29" t="n">
        <v>206970.5</v>
      </c>
      <c r="J161" s="29" t="n">
        <v>206970.5</v>
      </c>
      <c r="K161" s="29" t="n">
        <v>110370.29</v>
      </c>
      <c r="L161" s="30" t="n">
        <f aca="false">H161-I161</f>
        <v>0.5</v>
      </c>
      <c r="M161" s="30" t="n">
        <f aca="false">H161-J161</f>
        <v>0.5</v>
      </c>
      <c r="N161" s="30" t="n">
        <f aca="false">H161-K161</f>
        <v>96600.71</v>
      </c>
      <c r="O161" s="9" t="s">
        <v>133</v>
      </c>
      <c r="P161" s="9" t="str">
        <f aca="false">IF(H161=0,"Sin PIM",IF(ROUND(K161-H161,2)&gt;=0,"Devengado total",IF(J161&gt;0.005,"Comprometido",IF(I161&gt;0.005,"Solo certificado","Sin certificar"))))</f>
        <v>Comprometido</v>
      </c>
      <c r="Q161" s="30" t="n">
        <v>206972</v>
      </c>
      <c r="R161" s="30" t="n">
        <v>254584</v>
      </c>
      <c r="S161" s="30" t="n">
        <v>0</v>
      </c>
      <c r="T161" s="30" t="n">
        <v>500000</v>
      </c>
      <c r="U161" s="9"/>
      <c r="V161" s="9"/>
    </row>
    <row r="162" customFormat="false" ht="43.25" hidden="false" customHeight="false" outlineLevel="0" collapsed="false">
      <c r="A162" s="9" t="s">
        <v>89</v>
      </c>
      <c r="B162" s="9" t="s">
        <v>13</v>
      </c>
      <c r="C162" s="9" t="s">
        <v>57</v>
      </c>
      <c r="D162" s="9" t="s">
        <v>50</v>
      </c>
      <c r="E162" s="9" t="s">
        <v>434</v>
      </c>
      <c r="F162" s="9" t="n">
        <v>342</v>
      </c>
      <c r="G162" s="28" t="s">
        <v>435</v>
      </c>
      <c r="H162" s="29" t="n">
        <v>654463</v>
      </c>
      <c r="I162" s="29" t="n">
        <v>639329.5</v>
      </c>
      <c r="J162" s="29" t="n">
        <v>639329.5</v>
      </c>
      <c r="K162" s="29" t="n">
        <v>548829.69</v>
      </c>
      <c r="L162" s="30" t="n">
        <f aca="false">H162-I162</f>
        <v>15133.5</v>
      </c>
      <c r="M162" s="30" t="n">
        <f aca="false">H162-J162</f>
        <v>15133.5</v>
      </c>
      <c r="N162" s="30" t="n">
        <f aca="false">H162-K162</f>
        <v>105633.31</v>
      </c>
      <c r="O162" s="9" t="s">
        <v>133</v>
      </c>
      <c r="P162" s="9" t="str">
        <f aca="false">IF(H162=0,"Sin PIM",IF(ROUND(K162-H162,2)&gt;=0,"Devengado total",IF(J162&gt;0.005,"Comprometido",IF(I162&gt;0.005,"Solo certificado","Sin certificar"))))</f>
        <v>Comprometido</v>
      </c>
      <c r="Q162" s="30" t="n">
        <v>380000</v>
      </c>
      <c r="R162" s="30" t="n">
        <v>1421799</v>
      </c>
      <c r="S162" s="30" t="n">
        <v>0</v>
      </c>
      <c r="T162" s="30" t="n">
        <v>1000000</v>
      </c>
      <c r="U162" s="9"/>
      <c r="V162" s="9"/>
    </row>
    <row r="163" customFormat="false" ht="22.35" hidden="false" customHeight="false" outlineLevel="0" collapsed="false">
      <c r="A163" s="9" t="s">
        <v>89</v>
      </c>
      <c r="B163" s="9" t="s">
        <v>13</v>
      </c>
      <c r="C163" s="9" t="s">
        <v>57</v>
      </c>
      <c r="D163" s="9" t="s">
        <v>50</v>
      </c>
      <c r="E163" s="9" t="s">
        <v>179</v>
      </c>
      <c r="F163" s="9" t="n">
        <v>347</v>
      </c>
      <c r="G163" s="28" t="s">
        <v>436</v>
      </c>
      <c r="H163" s="29" t="n">
        <v>100000</v>
      </c>
      <c r="I163" s="29" t="n">
        <v>0</v>
      </c>
      <c r="J163" s="29" t="n">
        <v>0</v>
      </c>
      <c r="K163" s="29" t="n">
        <v>0</v>
      </c>
      <c r="L163" s="30" t="n">
        <f aca="false">H163-I163</f>
        <v>100000</v>
      </c>
      <c r="M163" s="30" t="n">
        <f aca="false">H163-J163</f>
        <v>100000</v>
      </c>
      <c r="N163" s="30" t="n">
        <f aca="false">H163-K163</f>
        <v>100000</v>
      </c>
      <c r="O163" s="9" t="s">
        <v>133</v>
      </c>
      <c r="P163" s="9" t="str">
        <f aca="false">IF(H163=0,"Sin PIM",IF(ROUND(K163-H163,2)&gt;=0,"Devengado total",IF(J163&gt;0.005,"Comprometido",IF(I163&gt;0.005,"Solo certificado","Sin certificar"))))</f>
        <v>Sin certificar</v>
      </c>
      <c r="Q163" s="30" t="n">
        <v>4800690</v>
      </c>
      <c r="R163" s="30" t="n">
        <v>4000000</v>
      </c>
      <c r="S163" s="30" t="n">
        <v>14883202</v>
      </c>
      <c r="T163" s="30" t="n">
        <v>19038629</v>
      </c>
      <c r="U163" s="9"/>
      <c r="V163" s="9"/>
    </row>
    <row r="164" customFormat="false" ht="43.25" hidden="false" customHeight="false" outlineLevel="0" collapsed="false">
      <c r="A164" s="9" t="s">
        <v>89</v>
      </c>
      <c r="B164" s="9" t="s">
        <v>13</v>
      </c>
      <c r="C164" s="9" t="s">
        <v>57</v>
      </c>
      <c r="D164" s="9" t="s">
        <v>50</v>
      </c>
      <c r="E164" s="9" t="s">
        <v>437</v>
      </c>
      <c r="F164" s="9" t="n">
        <v>521</v>
      </c>
      <c r="G164" s="28" t="s">
        <v>438</v>
      </c>
      <c r="H164" s="29" t="n">
        <v>40572</v>
      </c>
      <c r="I164" s="29" t="n">
        <v>0</v>
      </c>
      <c r="J164" s="29" t="n">
        <v>0</v>
      </c>
      <c r="K164" s="29" t="n">
        <v>0</v>
      </c>
      <c r="L164" s="30" t="n">
        <f aca="false">H164-I164</f>
        <v>40572</v>
      </c>
      <c r="M164" s="30" t="n">
        <f aca="false">H164-J164</f>
        <v>40572</v>
      </c>
      <c r="N164" s="30" t="n">
        <f aca="false">H164-K164</f>
        <v>40572</v>
      </c>
      <c r="O164" s="9" t="s">
        <v>133</v>
      </c>
      <c r="P164" s="9" t="str">
        <f aca="false">IF(H164=0,"Sin PIM",IF(ROUND(K164-H164,2)&gt;=0,"Devengado total",IF(J164&gt;0.005,"Comprometido",IF(I164&gt;0.005,"Solo certificado","Sin certificar"))))</f>
        <v>Sin certificar</v>
      </c>
      <c r="Q164" s="30" t="s">
        <v>97</v>
      </c>
      <c r="R164" s="30" t="s">
        <v>97</v>
      </c>
      <c r="S164" s="30" t="s">
        <v>97</v>
      </c>
      <c r="T164" s="30" t="s">
        <v>97</v>
      </c>
      <c r="U164" s="9"/>
      <c r="V164" s="9"/>
    </row>
    <row r="165" customFormat="false" ht="32.8" hidden="false" customHeight="false" outlineLevel="0" collapsed="false">
      <c r="A165" s="9" t="s">
        <v>89</v>
      </c>
      <c r="B165" s="9" t="s">
        <v>13</v>
      </c>
      <c r="C165" s="9" t="s">
        <v>57</v>
      </c>
      <c r="D165" s="9" t="s">
        <v>50</v>
      </c>
      <c r="E165" s="9" t="s">
        <v>439</v>
      </c>
      <c r="F165" s="9" t="n">
        <v>522</v>
      </c>
      <c r="G165" s="28" t="s">
        <v>440</v>
      </c>
      <c r="H165" s="29" t="n">
        <v>75291</v>
      </c>
      <c r="I165" s="29" t="n">
        <v>0</v>
      </c>
      <c r="J165" s="29" t="n">
        <v>0</v>
      </c>
      <c r="K165" s="29" t="n">
        <v>0</v>
      </c>
      <c r="L165" s="30" t="n">
        <f aca="false">H165-I165</f>
        <v>75291</v>
      </c>
      <c r="M165" s="30" t="n">
        <f aca="false">H165-J165</f>
        <v>75291</v>
      </c>
      <c r="N165" s="30" t="n">
        <f aca="false">H165-K165</f>
        <v>75291</v>
      </c>
      <c r="O165" s="9" t="s">
        <v>133</v>
      </c>
      <c r="P165" s="9" t="str">
        <f aca="false">IF(H165=0,"Sin PIM",IF(ROUND(K165-H165,2)&gt;=0,"Devengado total",IF(J165&gt;0.005,"Comprometido",IF(I165&gt;0.005,"Solo certificado","Sin certificar"))))</f>
        <v>Sin certificar</v>
      </c>
      <c r="Q165" s="30" t="s">
        <v>97</v>
      </c>
      <c r="R165" s="30" t="s">
        <v>97</v>
      </c>
      <c r="S165" s="30" t="s">
        <v>97</v>
      </c>
      <c r="T165" s="30" t="s">
        <v>97</v>
      </c>
      <c r="U165" s="9"/>
      <c r="V165" s="9"/>
    </row>
    <row r="166" customFormat="false" ht="22.35" hidden="false" customHeight="false" outlineLevel="0" collapsed="false">
      <c r="A166" s="9" t="s">
        <v>89</v>
      </c>
      <c r="B166" s="9" t="s">
        <v>13</v>
      </c>
      <c r="C166" s="9" t="s">
        <v>57</v>
      </c>
      <c r="D166" s="9" t="s">
        <v>51</v>
      </c>
      <c r="E166" s="9" t="s">
        <v>219</v>
      </c>
      <c r="F166" s="9" t="n">
        <v>321</v>
      </c>
      <c r="G166" s="28" t="s">
        <v>441</v>
      </c>
      <c r="H166" s="29" t="n">
        <v>325721</v>
      </c>
      <c r="I166" s="29" t="n">
        <v>325721</v>
      </c>
      <c r="J166" s="29" t="n">
        <v>325721</v>
      </c>
      <c r="K166" s="29" t="n">
        <v>159147.06</v>
      </c>
      <c r="L166" s="30" t="n">
        <f aca="false">H166-I166</f>
        <v>0</v>
      </c>
      <c r="M166" s="30" t="n">
        <f aca="false">H166-J166</f>
        <v>0</v>
      </c>
      <c r="N166" s="30" t="n">
        <f aca="false">H166-K166</f>
        <v>166573.94</v>
      </c>
      <c r="O166" s="9" t="s">
        <v>133</v>
      </c>
      <c r="P166" s="9" t="str">
        <f aca="false">IF(H166=0,"Sin PIM",IF(ROUND(K166-H166,2)&gt;=0,"Devengado total",IF(J166&gt;0.005,"Comprometido",IF(I166&gt;0.005,"Solo certificado","Sin certificar"))))</f>
        <v>Comprometido</v>
      </c>
      <c r="Q166" s="30" t="n">
        <v>11675669</v>
      </c>
      <c r="R166" s="30" t="n">
        <v>6000000</v>
      </c>
      <c r="S166" s="30" t="n">
        <v>6503691</v>
      </c>
      <c r="T166" s="30" t="n">
        <v>7526858</v>
      </c>
      <c r="U166" s="9"/>
      <c r="V166" s="9"/>
    </row>
    <row r="167" customFormat="false" ht="32.8" hidden="false" customHeight="false" outlineLevel="0" collapsed="false">
      <c r="A167" s="9" t="s">
        <v>89</v>
      </c>
      <c r="B167" s="9" t="s">
        <v>13</v>
      </c>
      <c r="C167" s="9" t="s">
        <v>57</v>
      </c>
      <c r="D167" s="9" t="s">
        <v>51</v>
      </c>
      <c r="E167" s="9" t="s">
        <v>442</v>
      </c>
      <c r="F167" s="9" t="n">
        <v>491</v>
      </c>
      <c r="G167" s="28" t="s">
        <v>443</v>
      </c>
      <c r="H167" s="29" t="n">
        <v>100021</v>
      </c>
      <c r="I167" s="29" t="n">
        <v>59652</v>
      </c>
      <c r="J167" s="29" t="n">
        <v>59652</v>
      </c>
      <c r="K167" s="29" t="n">
        <v>48247.51</v>
      </c>
      <c r="L167" s="30" t="n">
        <f aca="false">H167-I167</f>
        <v>40369</v>
      </c>
      <c r="M167" s="30" t="n">
        <f aca="false">H167-J167</f>
        <v>40369</v>
      </c>
      <c r="N167" s="30" t="n">
        <f aca="false">H167-K167</f>
        <v>51773.49</v>
      </c>
      <c r="O167" s="9" t="s">
        <v>133</v>
      </c>
      <c r="P167" s="9" t="str">
        <f aca="false">IF(H167=0,"Sin PIM",IF(ROUND(K167-H167,2)&gt;=0,"Devengado total",IF(J167&gt;0.005,"Comprometido",IF(I167&gt;0.005,"Solo certificado","Sin certificar"))))</f>
        <v>Comprometido</v>
      </c>
      <c r="Q167" s="30" t="n">
        <v>50000</v>
      </c>
      <c r="R167" s="30" t="n">
        <v>0</v>
      </c>
      <c r="S167" s="30" t="n">
        <v>0</v>
      </c>
      <c r="T167" s="30" t="n">
        <v>1500000</v>
      </c>
      <c r="U167" s="9"/>
      <c r="V167" s="9"/>
    </row>
    <row r="168" customFormat="false" ht="43.25" hidden="false" customHeight="false" outlineLevel="0" collapsed="false">
      <c r="A168" s="9" t="s">
        <v>89</v>
      </c>
      <c r="B168" s="9" t="s">
        <v>13</v>
      </c>
      <c r="C168" s="9" t="s">
        <v>57</v>
      </c>
      <c r="D168" s="9" t="s">
        <v>58</v>
      </c>
      <c r="E168" s="9" t="s">
        <v>444</v>
      </c>
      <c r="F168" s="9" t="n">
        <v>337</v>
      </c>
      <c r="G168" s="28" t="s">
        <v>445</v>
      </c>
      <c r="H168" s="29" t="n">
        <v>500000</v>
      </c>
      <c r="I168" s="29" t="n">
        <v>0</v>
      </c>
      <c r="J168" s="29" t="n">
        <v>0</v>
      </c>
      <c r="K168" s="29" t="n">
        <v>0</v>
      </c>
      <c r="L168" s="30" t="n">
        <f aca="false">H168-I168</f>
        <v>500000</v>
      </c>
      <c r="M168" s="30" t="n">
        <f aca="false">H168-J168</f>
        <v>500000</v>
      </c>
      <c r="N168" s="30" t="n">
        <f aca="false">H168-K168</f>
        <v>500000</v>
      </c>
      <c r="O168" s="9" t="s">
        <v>133</v>
      </c>
      <c r="P168" s="9" t="str">
        <f aca="false">IF(H168=0,"Sin PIM",IF(ROUND(K168-H168,2)&gt;=0,"Devengado total",IF(J168&gt;0.005,"Comprometido",IF(I168&gt;0.005,"Solo certificado","Sin certificar"))))</f>
        <v>Sin certificar</v>
      </c>
      <c r="Q168" s="30" t="s">
        <v>97</v>
      </c>
      <c r="R168" s="30" t="s">
        <v>97</v>
      </c>
      <c r="S168" s="30" t="s">
        <v>97</v>
      </c>
      <c r="T168" s="30" t="s">
        <v>97</v>
      </c>
      <c r="U168" s="9"/>
      <c r="V168" s="9"/>
    </row>
    <row r="169" customFormat="false" ht="43.25" hidden="false" customHeight="false" outlineLevel="0" collapsed="false">
      <c r="A169" s="9" t="s">
        <v>89</v>
      </c>
      <c r="B169" s="9" t="s">
        <v>13</v>
      </c>
      <c r="C169" s="9" t="s">
        <v>59</v>
      </c>
      <c r="D169" s="9" t="s">
        <v>48</v>
      </c>
      <c r="E169" s="9" t="s">
        <v>446</v>
      </c>
      <c r="F169" s="9" t="n">
        <v>227</v>
      </c>
      <c r="G169" s="28" t="s">
        <v>447</v>
      </c>
      <c r="H169" s="29" t="n">
        <v>10399190</v>
      </c>
      <c r="I169" s="29" t="n">
        <v>9609876</v>
      </c>
      <c r="J169" s="29" t="n">
        <v>0</v>
      </c>
      <c r="K169" s="29" t="n">
        <v>0</v>
      </c>
      <c r="L169" s="30" t="n">
        <f aca="false">H169-I169</f>
        <v>789314</v>
      </c>
      <c r="M169" s="30" t="n">
        <f aca="false">H169-J169</f>
        <v>10399190</v>
      </c>
      <c r="N169" s="30" t="n">
        <f aca="false">H169-K169</f>
        <v>10399190</v>
      </c>
      <c r="O169" s="9" t="s">
        <v>120</v>
      </c>
      <c r="P169" s="9" t="str">
        <f aca="false">IF(H169=0,"Sin PIM",IF(ROUND(K169-H169,2)&gt;=0,"Devengado total",IF(J169&gt;0.005,"Comprometido",IF(I169&gt;0.005,"Solo certificado","Sin certificar"))))</f>
        <v>Solo certificado</v>
      </c>
      <c r="Q169" s="30" t="n">
        <v>8282615</v>
      </c>
      <c r="R169" s="30" t="n">
        <v>10255200</v>
      </c>
      <c r="S169" s="30" t="n">
        <v>10389972</v>
      </c>
      <c r="T169" s="30" t="n">
        <v>10574977</v>
      </c>
      <c r="U169" s="9"/>
      <c r="V169" s="9"/>
    </row>
    <row r="170" customFormat="false" ht="43.25" hidden="false" customHeight="false" outlineLevel="0" collapsed="false">
      <c r="A170" s="9" t="s">
        <v>89</v>
      </c>
      <c r="B170" s="9" t="s">
        <v>13</v>
      </c>
      <c r="C170" s="9" t="s">
        <v>59</v>
      </c>
      <c r="D170" s="9" t="s">
        <v>48</v>
      </c>
      <c r="E170" s="9" t="s">
        <v>448</v>
      </c>
      <c r="F170" s="9" t="n">
        <v>230</v>
      </c>
      <c r="G170" s="28" t="s">
        <v>449</v>
      </c>
      <c r="H170" s="29" t="n">
        <v>0</v>
      </c>
      <c r="I170" s="29" t="n">
        <v>0</v>
      </c>
      <c r="J170" s="29" t="n">
        <v>0</v>
      </c>
      <c r="K170" s="29" t="n">
        <v>0</v>
      </c>
      <c r="L170" s="30" t="n">
        <f aca="false">H170-I170</f>
        <v>0</v>
      </c>
      <c r="M170" s="30" t="n">
        <f aca="false">H170-J170</f>
        <v>0</v>
      </c>
      <c r="N170" s="30" t="n">
        <f aca="false">H170-K170</f>
        <v>0</v>
      </c>
      <c r="O170" s="9" t="s">
        <v>120</v>
      </c>
      <c r="P170" s="9" t="str">
        <f aca="false">IF(H170=0,"Sin PIM",IF(ROUND(K170-H170,2)&gt;=0,"Devengado total",IF(J170&gt;0.005,"Comprometido",IF(I170&gt;0.005,"Solo certificado","Sin certificar"))))</f>
        <v>Sin PIM</v>
      </c>
      <c r="Q170" s="30" t="n">
        <v>1950000</v>
      </c>
      <c r="R170" s="30" t="n">
        <v>0</v>
      </c>
      <c r="S170" s="30" t="n">
        <v>1500000</v>
      </c>
      <c r="T170" s="30" t="n">
        <v>2450000</v>
      </c>
      <c r="U170" s="9"/>
      <c r="V170" s="9"/>
    </row>
    <row r="171" customFormat="false" ht="32.8" hidden="false" customHeight="false" outlineLevel="0" collapsed="false">
      <c r="A171" s="9" t="s">
        <v>89</v>
      </c>
      <c r="B171" s="9" t="s">
        <v>13</v>
      </c>
      <c r="C171" s="9" t="s">
        <v>59</v>
      </c>
      <c r="D171" s="9" t="s">
        <v>48</v>
      </c>
      <c r="E171" s="9" t="s">
        <v>450</v>
      </c>
      <c r="F171" s="9" t="n">
        <v>238</v>
      </c>
      <c r="G171" s="28" t="s">
        <v>451</v>
      </c>
      <c r="H171" s="29" t="n">
        <v>184669</v>
      </c>
      <c r="I171" s="29" t="n">
        <v>184669</v>
      </c>
      <c r="J171" s="29" t="n">
        <v>0</v>
      </c>
      <c r="K171" s="29" t="n">
        <v>0</v>
      </c>
      <c r="L171" s="30" t="n">
        <f aca="false">H171-I171</f>
        <v>0</v>
      </c>
      <c r="M171" s="30" t="n">
        <f aca="false">H171-J171</f>
        <v>184669</v>
      </c>
      <c r="N171" s="30" t="n">
        <f aca="false">H171-K171</f>
        <v>184669</v>
      </c>
      <c r="O171" s="9" t="s">
        <v>120</v>
      </c>
      <c r="P171" s="9" t="str">
        <f aca="false">IF(H171=0,"Sin PIM",IF(ROUND(K171-H171,2)&gt;=0,"Devengado total",IF(J171&gt;0.005,"Comprometido",IF(I171&gt;0.005,"Solo certificado","Sin certificar"))))</f>
        <v>Solo certificado</v>
      </c>
      <c r="Q171" s="30" t="n">
        <v>5319000</v>
      </c>
      <c r="R171" s="30" t="n">
        <v>8587485</v>
      </c>
      <c r="S171" s="30" t="n">
        <v>0</v>
      </c>
      <c r="T171" s="30" t="n">
        <v>1000000</v>
      </c>
      <c r="U171" s="9"/>
      <c r="V171" s="9"/>
    </row>
    <row r="172" customFormat="false" ht="32.8" hidden="false" customHeight="false" outlineLevel="0" collapsed="false">
      <c r="A172" s="9" t="s">
        <v>89</v>
      </c>
      <c r="B172" s="9" t="s">
        <v>13</v>
      </c>
      <c r="C172" s="9" t="s">
        <v>59</v>
      </c>
      <c r="D172" s="9" t="s">
        <v>48</v>
      </c>
      <c r="E172" s="9" t="s">
        <v>452</v>
      </c>
      <c r="F172" s="9" t="n">
        <v>244</v>
      </c>
      <c r="G172" s="28" t="s">
        <v>453</v>
      </c>
      <c r="H172" s="29" t="n">
        <v>200000</v>
      </c>
      <c r="I172" s="29" t="n">
        <v>50000</v>
      </c>
      <c r="J172" s="29" t="n">
        <v>0</v>
      </c>
      <c r="K172" s="29" t="n">
        <v>0</v>
      </c>
      <c r="L172" s="30" t="n">
        <f aca="false">H172-I172</f>
        <v>150000</v>
      </c>
      <c r="M172" s="30" t="n">
        <f aca="false">H172-J172</f>
        <v>200000</v>
      </c>
      <c r="N172" s="30" t="n">
        <f aca="false">H172-K172</f>
        <v>200000</v>
      </c>
      <c r="O172" s="9" t="s">
        <v>358</v>
      </c>
      <c r="P172" s="9" t="str">
        <f aca="false">IF(H172=0,"Sin PIM",IF(ROUND(K172-H172,2)&gt;=0,"Devengado total",IF(J172&gt;0.005,"Comprometido",IF(I172&gt;0.005,"Solo certificado","Sin certificar"))))</f>
        <v>Solo certificado</v>
      </c>
      <c r="Q172" s="30" t="n">
        <v>200000</v>
      </c>
      <c r="R172" s="30" t="n">
        <v>1474000</v>
      </c>
      <c r="S172" s="30" t="n">
        <v>0</v>
      </c>
      <c r="T172" s="30" t="n">
        <v>0</v>
      </c>
      <c r="U172" s="9"/>
      <c r="V172" s="9"/>
    </row>
    <row r="173" customFormat="false" ht="32.8" hidden="false" customHeight="false" outlineLevel="0" collapsed="false">
      <c r="A173" s="9" t="s">
        <v>89</v>
      </c>
      <c r="B173" s="9" t="s">
        <v>13</v>
      </c>
      <c r="C173" s="9" t="s">
        <v>59</v>
      </c>
      <c r="D173" s="9" t="s">
        <v>48</v>
      </c>
      <c r="E173" s="9" t="s">
        <v>454</v>
      </c>
      <c r="F173" s="9" t="n">
        <v>251</v>
      </c>
      <c r="G173" s="28" t="s">
        <v>455</v>
      </c>
      <c r="H173" s="29" t="n">
        <v>654662</v>
      </c>
      <c r="I173" s="29" t="n">
        <v>654662</v>
      </c>
      <c r="J173" s="29" t="n">
        <v>480065.3</v>
      </c>
      <c r="K173" s="29" t="n">
        <v>0</v>
      </c>
      <c r="L173" s="30" t="n">
        <f aca="false">H173-I173</f>
        <v>0</v>
      </c>
      <c r="M173" s="30" t="n">
        <f aca="false">H173-J173</f>
        <v>174596.7</v>
      </c>
      <c r="N173" s="30" t="n">
        <f aca="false">H173-K173</f>
        <v>654662</v>
      </c>
      <c r="O173" s="9" t="s">
        <v>133</v>
      </c>
      <c r="P173" s="9" t="str">
        <f aca="false">IF(H173=0,"Sin PIM",IF(ROUND(K173-H173,2)&gt;=0,"Devengado total",IF(J173&gt;0.005,"Comprometido",IF(I173&gt;0.005,"Solo certificado","Sin certificar"))))</f>
        <v>Comprometido</v>
      </c>
      <c r="Q173" s="30" t="s">
        <v>97</v>
      </c>
      <c r="R173" s="30" t="s">
        <v>97</v>
      </c>
      <c r="S173" s="30" t="s">
        <v>97</v>
      </c>
      <c r="T173" s="30" t="s">
        <v>97</v>
      </c>
      <c r="U173" s="9"/>
      <c r="V173" s="9"/>
    </row>
    <row r="174" customFormat="false" ht="32.8" hidden="false" customHeight="false" outlineLevel="0" collapsed="false">
      <c r="A174" s="9" t="s">
        <v>89</v>
      </c>
      <c r="B174" s="9" t="s">
        <v>13</v>
      </c>
      <c r="C174" s="9" t="s">
        <v>59</v>
      </c>
      <c r="D174" s="9" t="s">
        <v>48</v>
      </c>
      <c r="E174" s="9" t="s">
        <v>456</v>
      </c>
      <c r="F174" s="9" t="n">
        <v>256</v>
      </c>
      <c r="G174" s="28" t="s">
        <v>457</v>
      </c>
      <c r="H174" s="29" t="n">
        <v>82568</v>
      </c>
      <c r="I174" s="29" t="n">
        <v>82568</v>
      </c>
      <c r="J174" s="29" t="n">
        <v>62568</v>
      </c>
      <c r="K174" s="29" t="n">
        <v>57743.81</v>
      </c>
      <c r="L174" s="30" t="n">
        <f aca="false">H174-I174</f>
        <v>0</v>
      </c>
      <c r="M174" s="30" t="n">
        <f aca="false">H174-J174</f>
        <v>20000</v>
      </c>
      <c r="N174" s="30" t="n">
        <f aca="false">H174-K174</f>
        <v>24824.19</v>
      </c>
      <c r="O174" s="9" t="s">
        <v>133</v>
      </c>
      <c r="P174" s="9" t="str">
        <f aca="false">IF(H174=0,"Sin PIM",IF(ROUND(K174-H174,2)&gt;=0,"Devengado total",IF(J174&gt;0.005,"Comprometido",IF(I174&gt;0.005,"Solo certificado","Sin certificar"))))</f>
        <v>Comprometido</v>
      </c>
      <c r="Q174" s="30" t="n">
        <v>4190000</v>
      </c>
      <c r="R174" s="30" t="n">
        <v>7462800</v>
      </c>
      <c r="S174" s="30" t="n">
        <v>7500000</v>
      </c>
      <c r="T174" s="30" t="n">
        <v>12829438</v>
      </c>
      <c r="U174" s="9"/>
      <c r="V174" s="9"/>
    </row>
    <row r="175" customFormat="false" ht="32.8" hidden="false" customHeight="false" outlineLevel="0" collapsed="false">
      <c r="A175" s="9" t="s">
        <v>89</v>
      </c>
      <c r="B175" s="9" t="s">
        <v>13</v>
      </c>
      <c r="C175" s="9" t="s">
        <v>59</v>
      </c>
      <c r="D175" s="9" t="s">
        <v>48</v>
      </c>
      <c r="E175" s="9" t="s">
        <v>458</v>
      </c>
      <c r="F175" s="9" t="n">
        <v>257</v>
      </c>
      <c r="G175" s="28" t="s">
        <v>459</v>
      </c>
      <c r="H175" s="29" t="n">
        <v>100000</v>
      </c>
      <c r="I175" s="29" t="n">
        <v>100000</v>
      </c>
      <c r="J175" s="29" t="n">
        <v>100000</v>
      </c>
      <c r="K175" s="29" t="n">
        <v>85262.53</v>
      </c>
      <c r="L175" s="30" t="n">
        <f aca="false">H175-I175</f>
        <v>0</v>
      </c>
      <c r="M175" s="30" t="n">
        <f aca="false">H175-J175</f>
        <v>0</v>
      </c>
      <c r="N175" s="30" t="n">
        <f aca="false">H175-K175</f>
        <v>14737.47</v>
      </c>
      <c r="O175" s="9" t="s">
        <v>133</v>
      </c>
      <c r="P175" s="9" t="str">
        <f aca="false">IF(H175=0,"Sin PIM",IF(ROUND(K175-H175,2)&gt;=0,"Devengado total",IF(J175&gt;0.005,"Comprometido",IF(I175&gt;0.005,"Solo certificado","Sin certificar"))))</f>
        <v>Comprometido</v>
      </c>
      <c r="Q175" s="30" t="n">
        <v>100000</v>
      </c>
      <c r="R175" s="30" t="n">
        <v>7898542</v>
      </c>
      <c r="S175" s="30" t="n">
        <v>0</v>
      </c>
      <c r="T175" s="30" t="n">
        <v>1000000</v>
      </c>
      <c r="U175" s="9"/>
      <c r="V175" s="9"/>
    </row>
    <row r="176" customFormat="false" ht="32.8" hidden="false" customHeight="false" outlineLevel="0" collapsed="false">
      <c r="A176" s="9" t="s">
        <v>89</v>
      </c>
      <c r="B176" s="9" t="s">
        <v>13</v>
      </c>
      <c r="C176" s="9" t="s">
        <v>59</v>
      </c>
      <c r="D176" s="9" t="s">
        <v>48</v>
      </c>
      <c r="E176" s="9" t="s">
        <v>460</v>
      </c>
      <c r="F176" s="9" t="n">
        <v>258</v>
      </c>
      <c r="G176" s="28" t="s">
        <v>461</v>
      </c>
      <c r="H176" s="29" t="n">
        <v>0</v>
      </c>
      <c r="I176" s="29" t="n">
        <v>0</v>
      </c>
      <c r="J176" s="29" t="n">
        <v>0</v>
      </c>
      <c r="K176" s="29" t="n">
        <v>0</v>
      </c>
      <c r="L176" s="30" t="n">
        <f aca="false">H176-I176</f>
        <v>0</v>
      </c>
      <c r="M176" s="30" t="n">
        <f aca="false">H176-J176</f>
        <v>0</v>
      </c>
      <c r="N176" s="30" t="n">
        <f aca="false">H176-K176</f>
        <v>0</v>
      </c>
      <c r="O176" s="9" t="s">
        <v>120</v>
      </c>
      <c r="P176" s="9" t="str">
        <f aca="false">IF(H176=0,"Sin PIM",IF(ROUND(K176-H176,2)&gt;=0,"Devengado total",IF(J176&gt;0.005,"Comprometido",IF(I176&gt;0.005,"Solo certificado","Sin certificar"))))</f>
        <v>Sin PIM</v>
      </c>
      <c r="Q176" s="30" t="n">
        <v>100000</v>
      </c>
      <c r="R176" s="30" t="n">
        <v>0</v>
      </c>
      <c r="S176" s="30" t="n">
        <v>0</v>
      </c>
      <c r="T176" s="30" t="n">
        <v>0</v>
      </c>
      <c r="U176" s="9"/>
      <c r="V176" s="9"/>
    </row>
    <row r="177" customFormat="false" ht="32.8" hidden="false" customHeight="false" outlineLevel="0" collapsed="false">
      <c r="A177" s="9" t="s">
        <v>89</v>
      </c>
      <c r="B177" s="9" t="s">
        <v>13</v>
      </c>
      <c r="C177" s="9" t="s">
        <v>59</v>
      </c>
      <c r="D177" s="9" t="s">
        <v>48</v>
      </c>
      <c r="E177" s="9" t="s">
        <v>462</v>
      </c>
      <c r="F177" s="9" t="n">
        <v>261</v>
      </c>
      <c r="G177" s="28" t="s">
        <v>463</v>
      </c>
      <c r="H177" s="29" t="n">
        <v>154665</v>
      </c>
      <c r="I177" s="29" t="n">
        <v>154665</v>
      </c>
      <c r="J177" s="29" t="n">
        <v>154665</v>
      </c>
      <c r="K177" s="29" t="n">
        <v>154066.77</v>
      </c>
      <c r="L177" s="30" t="n">
        <f aca="false">H177-I177</f>
        <v>0</v>
      </c>
      <c r="M177" s="30" t="n">
        <f aca="false">H177-J177</f>
        <v>0</v>
      </c>
      <c r="N177" s="30" t="n">
        <f aca="false">H177-K177</f>
        <v>598.230000000011</v>
      </c>
      <c r="O177" s="9" t="s">
        <v>133</v>
      </c>
      <c r="P177" s="9" t="str">
        <f aca="false">IF(H177=0,"Sin PIM",IF(ROUND(K177-H177,2)&gt;=0,"Devengado total",IF(J177&gt;0.005,"Comprometido",IF(I177&gt;0.005,"Solo certificado","Sin certificar"))))</f>
        <v>Comprometido</v>
      </c>
      <c r="Q177" s="30" t="n">
        <v>200000</v>
      </c>
      <c r="R177" s="30" t="n">
        <v>8562546</v>
      </c>
      <c r="S177" s="30" t="n">
        <v>5000000</v>
      </c>
      <c r="T177" s="30" t="n">
        <v>5168291</v>
      </c>
      <c r="U177" s="9"/>
      <c r="V177" s="9"/>
    </row>
    <row r="178" customFormat="false" ht="32.8" hidden="false" customHeight="false" outlineLevel="0" collapsed="false">
      <c r="A178" s="9" t="s">
        <v>89</v>
      </c>
      <c r="B178" s="9" t="s">
        <v>13</v>
      </c>
      <c r="C178" s="9" t="s">
        <v>59</v>
      </c>
      <c r="D178" s="9" t="s">
        <v>48</v>
      </c>
      <c r="E178" s="9" t="s">
        <v>464</v>
      </c>
      <c r="F178" s="9" t="n">
        <v>262</v>
      </c>
      <c r="G178" s="28" t="s">
        <v>465</v>
      </c>
      <c r="H178" s="29" t="n">
        <v>1750696</v>
      </c>
      <c r="I178" s="29" t="n">
        <v>1750696</v>
      </c>
      <c r="J178" s="29" t="n">
        <v>0</v>
      </c>
      <c r="K178" s="29" t="n">
        <v>0</v>
      </c>
      <c r="L178" s="30" t="n">
        <f aca="false">H178-I178</f>
        <v>0</v>
      </c>
      <c r="M178" s="30" t="n">
        <f aca="false">H178-J178</f>
        <v>1750696</v>
      </c>
      <c r="N178" s="30" t="n">
        <f aca="false">H178-K178</f>
        <v>1750696</v>
      </c>
      <c r="O178" s="9" t="s">
        <v>120</v>
      </c>
      <c r="P178" s="9" t="str">
        <f aca="false">IF(H178=0,"Sin PIM",IF(ROUND(K178-H178,2)&gt;=0,"Devengado total",IF(J178&gt;0.005,"Comprometido",IF(I178&gt;0.005,"Solo certificado","Sin certificar"))))</f>
        <v>Solo certificado</v>
      </c>
      <c r="Q178" s="30" t="n">
        <v>4083424</v>
      </c>
      <c r="R178" s="30" t="n">
        <v>8803099</v>
      </c>
      <c r="S178" s="30" t="n">
        <v>5321398</v>
      </c>
      <c r="T178" s="30" t="n">
        <v>0</v>
      </c>
      <c r="U178" s="9"/>
      <c r="V178" s="9"/>
    </row>
    <row r="179" customFormat="false" ht="32.8" hidden="false" customHeight="false" outlineLevel="0" collapsed="false">
      <c r="A179" s="9" t="s">
        <v>89</v>
      </c>
      <c r="B179" s="9" t="s">
        <v>13</v>
      </c>
      <c r="C179" s="9" t="s">
        <v>59</v>
      </c>
      <c r="D179" s="9" t="s">
        <v>48</v>
      </c>
      <c r="E179" s="9" t="s">
        <v>466</v>
      </c>
      <c r="F179" s="9" t="n">
        <v>265</v>
      </c>
      <c r="G179" s="28" t="s">
        <v>467</v>
      </c>
      <c r="H179" s="29" t="n">
        <v>0</v>
      </c>
      <c r="I179" s="29" t="n">
        <v>0</v>
      </c>
      <c r="J179" s="29" t="n">
        <v>0</v>
      </c>
      <c r="K179" s="29" t="n">
        <v>0</v>
      </c>
      <c r="L179" s="30" t="n">
        <f aca="false">H179-I179</f>
        <v>0</v>
      </c>
      <c r="M179" s="30" t="n">
        <f aca="false">H179-J179</f>
        <v>0</v>
      </c>
      <c r="N179" s="30" t="n">
        <f aca="false">H179-K179</f>
        <v>0</v>
      </c>
      <c r="O179" s="9" t="s">
        <v>120</v>
      </c>
      <c r="P179" s="9" t="str">
        <f aca="false">IF(H179=0,"Sin PIM",IF(ROUND(K179-H179,2)&gt;=0,"Devengado total",IF(J179&gt;0.005,"Comprometido",IF(I179&gt;0.005,"Solo certificado","Sin certificar"))))</f>
        <v>Sin PIM</v>
      </c>
      <c r="Q179" s="30" t="n">
        <v>100000</v>
      </c>
      <c r="R179" s="30" t="n">
        <v>0</v>
      </c>
      <c r="S179" s="30" t="n">
        <v>0</v>
      </c>
      <c r="T179" s="30" t="n">
        <v>500000</v>
      </c>
      <c r="U179" s="9"/>
      <c r="V179" s="9"/>
    </row>
    <row r="180" customFormat="false" ht="32.8" hidden="false" customHeight="false" outlineLevel="0" collapsed="false">
      <c r="A180" s="9" t="s">
        <v>89</v>
      </c>
      <c r="B180" s="9" t="s">
        <v>13</v>
      </c>
      <c r="C180" s="9" t="s">
        <v>59</v>
      </c>
      <c r="D180" s="9" t="s">
        <v>48</v>
      </c>
      <c r="E180" s="9" t="s">
        <v>468</v>
      </c>
      <c r="F180" s="9" t="n">
        <v>267</v>
      </c>
      <c r="G180" s="28" t="s">
        <v>469</v>
      </c>
      <c r="H180" s="29" t="n">
        <v>656461</v>
      </c>
      <c r="I180" s="29" t="n">
        <v>656461</v>
      </c>
      <c r="J180" s="29" t="n">
        <v>0</v>
      </c>
      <c r="K180" s="29" t="n">
        <v>0</v>
      </c>
      <c r="L180" s="30" t="n">
        <f aca="false">H180-I180</f>
        <v>0</v>
      </c>
      <c r="M180" s="30" t="n">
        <f aca="false">H180-J180</f>
        <v>656461</v>
      </c>
      <c r="N180" s="30" t="n">
        <f aca="false">H180-K180</f>
        <v>656461</v>
      </c>
      <c r="O180" s="9" t="s">
        <v>133</v>
      </c>
      <c r="P180" s="9" t="str">
        <f aca="false">IF(H180=0,"Sin PIM",IF(ROUND(K180-H180,2)&gt;=0,"Devengado total",IF(J180&gt;0.005,"Comprometido",IF(I180&gt;0.005,"Solo certificado","Sin certificar"))))</f>
        <v>Solo certificado</v>
      </c>
      <c r="Q180" s="30" t="n">
        <v>50000</v>
      </c>
      <c r="R180" s="30" t="n">
        <v>7005844</v>
      </c>
      <c r="S180" s="30" t="n">
        <v>0</v>
      </c>
      <c r="T180" s="30" t="n">
        <v>3544143</v>
      </c>
      <c r="U180" s="9"/>
      <c r="V180" s="9"/>
    </row>
    <row r="181" customFormat="false" ht="32.8" hidden="false" customHeight="false" outlineLevel="0" collapsed="false">
      <c r="A181" s="9" t="s">
        <v>89</v>
      </c>
      <c r="B181" s="9" t="s">
        <v>13</v>
      </c>
      <c r="C181" s="9" t="s">
        <v>59</v>
      </c>
      <c r="D181" s="9" t="s">
        <v>48</v>
      </c>
      <c r="E181" s="9" t="s">
        <v>470</v>
      </c>
      <c r="F181" s="9" t="n">
        <v>268</v>
      </c>
      <c r="G181" s="28" t="s">
        <v>471</v>
      </c>
      <c r="H181" s="29" t="n">
        <v>606461</v>
      </c>
      <c r="I181" s="29" t="n">
        <v>606460.53</v>
      </c>
      <c r="J181" s="29" t="n">
        <v>0</v>
      </c>
      <c r="K181" s="29" t="n">
        <v>0</v>
      </c>
      <c r="L181" s="30" t="n">
        <f aca="false">H181-I181</f>
        <v>0.46999999997206</v>
      </c>
      <c r="M181" s="30" t="n">
        <f aca="false">H181-J181</f>
        <v>606461</v>
      </c>
      <c r="N181" s="30" t="n">
        <f aca="false">H181-K181</f>
        <v>606461</v>
      </c>
      <c r="O181" s="9" t="s">
        <v>133</v>
      </c>
      <c r="P181" s="9" t="str">
        <f aca="false">IF(H181=0,"Sin PIM",IF(ROUND(K181-H181,2)&gt;=0,"Devengado total",IF(J181&gt;0.005,"Comprometido",IF(I181&gt;0.005,"Solo certificado","Sin certificar"))))</f>
        <v>Solo certificado</v>
      </c>
      <c r="Q181" s="30" t="n">
        <v>706461</v>
      </c>
      <c r="R181" s="30" t="n">
        <v>7021584</v>
      </c>
      <c r="S181" s="30" t="n">
        <v>0</v>
      </c>
      <c r="T181" s="30" t="n">
        <v>1000000</v>
      </c>
      <c r="U181" s="9"/>
      <c r="V181" s="9"/>
    </row>
    <row r="182" customFormat="false" ht="32.8" hidden="false" customHeight="false" outlineLevel="0" collapsed="false">
      <c r="A182" s="9" t="s">
        <v>89</v>
      </c>
      <c r="B182" s="9" t="s">
        <v>13</v>
      </c>
      <c r="C182" s="9" t="s">
        <v>59</v>
      </c>
      <c r="D182" s="9" t="s">
        <v>48</v>
      </c>
      <c r="E182" s="9" t="s">
        <v>472</v>
      </c>
      <c r="F182" s="9" t="n">
        <v>269</v>
      </c>
      <c r="G182" s="28" t="s">
        <v>473</v>
      </c>
      <c r="H182" s="29" t="n">
        <v>0</v>
      </c>
      <c r="I182" s="29" t="n">
        <v>0</v>
      </c>
      <c r="J182" s="29" t="n">
        <v>0</v>
      </c>
      <c r="K182" s="29" t="n">
        <v>0</v>
      </c>
      <c r="L182" s="30" t="n">
        <f aca="false">H182-I182</f>
        <v>0</v>
      </c>
      <c r="M182" s="30" t="n">
        <f aca="false">H182-J182</f>
        <v>0</v>
      </c>
      <c r="N182" s="30" t="n">
        <f aca="false">H182-K182</f>
        <v>0</v>
      </c>
      <c r="O182" s="9" t="s">
        <v>120</v>
      </c>
      <c r="P182" s="9" t="str">
        <f aca="false">IF(H182=0,"Sin PIM",IF(ROUND(K182-H182,2)&gt;=0,"Devengado total",IF(J182&gt;0.005,"Comprometido",IF(I182&gt;0.005,"Solo certificado","Sin certificar"))))</f>
        <v>Sin PIM</v>
      </c>
      <c r="Q182" s="30" t="n">
        <v>100000</v>
      </c>
      <c r="R182" s="30" t="n">
        <v>0</v>
      </c>
      <c r="S182" s="30" t="n">
        <v>0</v>
      </c>
      <c r="T182" s="30" t="n">
        <v>1000000</v>
      </c>
      <c r="U182" s="9"/>
      <c r="V182" s="9"/>
    </row>
    <row r="183" customFormat="false" ht="32.8" hidden="false" customHeight="false" outlineLevel="0" collapsed="false">
      <c r="A183" s="9" t="s">
        <v>89</v>
      </c>
      <c r="B183" s="9" t="s">
        <v>13</v>
      </c>
      <c r="C183" s="9" t="s">
        <v>59</v>
      </c>
      <c r="D183" s="9" t="s">
        <v>48</v>
      </c>
      <c r="E183" s="9" t="s">
        <v>474</v>
      </c>
      <c r="F183" s="9" t="n">
        <v>271</v>
      </c>
      <c r="G183" s="28" t="s">
        <v>475</v>
      </c>
      <c r="H183" s="29" t="n">
        <v>50000</v>
      </c>
      <c r="I183" s="29" t="n">
        <v>50000</v>
      </c>
      <c r="J183" s="29" t="n">
        <v>50000</v>
      </c>
      <c r="K183" s="29" t="n">
        <v>47929.33</v>
      </c>
      <c r="L183" s="30" t="n">
        <f aca="false">H183-I183</f>
        <v>0</v>
      </c>
      <c r="M183" s="30" t="n">
        <f aca="false">H183-J183</f>
        <v>0</v>
      </c>
      <c r="N183" s="30" t="n">
        <f aca="false">H183-K183</f>
        <v>2070.67</v>
      </c>
      <c r="O183" s="9" t="s">
        <v>133</v>
      </c>
      <c r="P183" s="9" t="str">
        <f aca="false">IF(H183=0,"Sin PIM",IF(ROUND(K183-H183,2)&gt;=0,"Devengado total",IF(J183&gt;0.005,"Comprometido",IF(I183&gt;0.005,"Solo certificado","Sin certificar"))))</f>
        <v>Comprometido</v>
      </c>
      <c r="Q183" s="30" t="n">
        <v>50000</v>
      </c>
      <c r="R183" s="30" t="n">
        <v>1543234</v>
      </c>
      <c r="S183" s="30" t="n">
        <v>0</v>
      </c>
      <c r="T183" s="30" t="n">
        <v>1008002</v>
      </c>
      <c r="U183" s="9"/>
      <c r="V183" s="9"/>
    </row>
    <row r="184" customFormat="false" ht="32.8" hidden="false" customHeight="false" outlineLevel="0" collapsed="false">
      <c r="A184" s="9" t="s">
        <v>89</v>
      </c>
      <c r="B184" s="9" t="s">
        <v>13</v>
      </c>
      <c r="C184" s="9" t="s">
        <v>59</v>
      </c>
      <c r="D184" s="9" t="s">
        <v>48</v>
      </c>
      <c r="E184" s="9" t="s">
        <v>476</v>
      </c>
      <c r="F184" s="9" t="n">
        <v>272</v>
      </c>
      <c r="G184" s="28" t="s">
        <v>477</v>
      </c>
      <c r="H184" s="29" t="n">
        <v>0</v>
      </c>
      <c r="I184" s="29" t="n">
        <v>0</v>
      </c>
      <c r="J184" s="29" t="n">
        <v>0</v>
      </c>
      <c r="K184" s="29" t="n">
        <v>0</v>
      </c>
      <c r="L184" s="30" t="n">
        <f aca="false">H184-I184</f>
        <v>0</v>
      </c>
      <c r="M184" s="30" t="n">
        <f aca="false">H184-J184</f>
        <v>0</v>
      </c>
      <c r="N184" s="30" t="n">
        <f aca="false">H184-K184</f>
        <v>0</v>
      </c>
      <c r="O184" s="9" t="s">
        <v>120</v>
      </c>
      <c r="P184" s="9" t="str">
        <f aca="false">IF(H184=0,"Sin PIM",IF(ROUND(K184-H184,2)&gt;=0,"Devengado total",IF(J184&gt;0.005,"Comprometido",IF(I184&gt;0.005,"Solo certificado","Sin certificar"))))</f>
        <v>Sin PIM</v>
      </c>
      <c r="Q184" s="30" t="n">
        <v>50000</v>
      </c>
      <c r="R184" s="30" t="n">
        <v>0</v>
      </c>
      <c r="S184" s="30" t="n">
        <v>300000</v>
      </c>
      <c r="T184" s="30" t="n">
        <v>2629159</v>
      </c>
      <c r="U184" s="9"/>
      <c r="V184" s="9"/>
    </row>
    <row r="185" customFormat="false" ht="32.8" hidden="false" customHeight="false" outlineLevel="0" collapsed="false">
      <c r="A185" s="9" t="s">
        <v>89</v>
      </c>
      <c r="B185" s="9" t="s">
        <v>13</v>
      </c>
      <c r="C185" s="9" t="s">
        <v>59</v>
      </c>
      <c r="D185" s="9" t="s">
        <v>48</v>
      </c>
      <c r="E185" s="9" t="s">
        <v>478</v>
      </c>
      <c r="F185" s="9" t="n">
        <v>273</v>
      </c>
      <c r="G185" s="28" t="s">
        <v>479</v>
      </c>
      <c r="H185" s="29" t="n">
        <v>82042</v>
      </c>
      <c r="I185" s="29" t="n">
        <v>73137.02</v>
      </c>
      <c r="J185" s="29" t="n">
        <v>53137.02</v>
      </c>
      <c r="K185" s="29" t="n">
        <v>48346.77</v>
      </c>
      <c r="L185" s="30" t="n">
        <f aca="false">H185-I185</f>
        <v>8904.98</v>
      </c>
      <c r="M185" s="30" t="n">
        <f aca="false">H185-J185</f>
        <v>28904.98</v>
      </c>
      <c r="N185" s="30" t="n">
        <f aca="false">H185-K185</f>
        <v>33695.23</v>
      </c>
      <c r="O185" s="9" t="s">
        <v>133</v>
      </c>
      <c r="P185" s="9" t="str">
        <f aca="false">IF(H185=0,"Sin PIM",IF(ROUND(K185-H185,2)&gt;=0,"Devengado total",IF(J185&gt;0.005,"Comprometido",IF(I185&gt;0.005,"Solo certificado","Sin certificar"))))</f>
        <v>Comprometido</v>
      </c>
      <c r="Q185" s="30" t="n">
        <v>50000</v>
      </c>
      <c r="R185" s="30" t="n">
        <v>254525</v>
      </c>
      <c r="S185" s="30" t="n">
        <v>0</v>
      </c>
      <c r="T185" s="30" t="n">
        <v>1345475</v>
      </c>
      <c r="U185" s="9"/>
      <c r="V185" s="9"/>
    </row>
    <row r="186" customFormat="false" ht="32.8" hidden="false" customHeight="false" outlineLevel="0" collapsed="false">
      <c r="A186" s="9" t="s">
        <v>89</v>
      </c>
      <c r="B186" s="9" t="s">
        <v>13</v>
      </c>
      <c r="C186" s="9" t="s">
        <v>59</v>
      </c>
      <c r="D186" s="9" t="s">
        <v>48</v>
      </c>
      <c r="E186" s="9" t="s">
        <v>480</v>
      </c>
      <c r="F186" s="9" t="n">
        <v>274</v>
      </c>
      <c r="G186" s="28" t="s">
        <v>481</v>
      </c>
      <c r="H186" s="29" t="n">
        <v>0</v>
      </c>
      <c r="I186" s="29" t="n">
        <v>0</v>
      </c>
      <c r="J186" s="29" t="n">
        <v>0</v>
      </c>
      <c r="K186" s="29" t="n">
        <v>0</v>
      </c>
      <c r="L186" s="30" t="n">
        <f aca="false">H186-I186</f>
        <v>0</v>
      </c>
      <c r="M186" s="30" t="n">
        <f aca="false">H186-J186</f>
        <v>0</v>
      </c>
      <c r="N186" s="30" t="n">
        <f aca="false">H186-K186</f>
        <v>0</v>
      </c>
      <c r="O186" s="9" t="s">
        <v>120</v>
      </c>
      <c r="P186" s="9" t="str">
        <f aca="false">IF(H186=0,"Sin PIM",IF(ROUND(K186-H186,2)&gt;=0,"Devengado total",IF(J186&gt;0.005,"Comprometido",IF(I186&gt;0.005,"Solo certificado","Sin certificar"))))</f>
        <v>Sin PIM</v>
      </c>
      <c r="Q186" s="30" t="n">
        <v>50000</v>
      </c>
      <c r="R186" s="30" t="n">
        <v>0</v>
      </c>
      <c r="S186" s="30" t="n">
        <v>0</v>
      </c>
      <c r="T186" s="30" t="n">
        <v>150000</v>
      </c>
      <c r="U186" s="9"/>
      <c r="V186" s="9"/>
    </row>
    <row r="187" customFormat="false" ht="32.8" hidden="false" customHeight="false" outlineLevel="0" collapsed="false">
      <c r="A187" s="9" t="s">
        <v>89</v>
      </c>
      <c r="B187" s="9" t="s">
        <v>13</v>
      </c>
      <c r="C187" s="9" t="s">
        <v>59</v>
      </c>
      <c r="D187" s="9" t="s">
        <v>48</v>
      </c>
      <c r="E187" s="9" t="s">
        <v>482</v>
      </c>
      <c r="F187" s="9" t="n">
        <v>275</v>
      </c>
      <c r="G187" s="28" t="s">
        <v>483</v>
      </c>
      <c r="H187" s="29" t="n">
        <v>72190</v>
      </c>
      <c r="I187" s="29" t="n">
        <v>62384.34</v>
      </c>
      <c r="J187" s="29" t="n">
        <v>62384.34</v>
      </c>
      <c r="K187" s="29" t="n">
        <v>59404.06</v>
      </c>
      <c r="L187" s="30" t="n">
        <f aca="false">H187-I187</f>
        <v>9805.66</v>
      </c>
      <c r="M187" s="30" t="n">
        <f aca="false">H187-J187</f>
        <v>9805.66</v>
      </c>
      <c r="N187" s="30" t="n">
        <f aca="false">H187-K187</f>
        <v>12785.94</v>
      </c>
      <c r="O187" s="9" t="s">
        <v>133</v>
      </c>
      <c r="P187" s="9" t="str">
        <f aca="false">IF(H187=0,"Sin PIM",IF(ROUND(K187-H187,2)&gt;=0,"Devengado total",IF(J187&gt;0.005,"Comprometido",IF(I187&gt;0.005,"Solo certificado","Sin certificar"))))</f>
        <v>Comprometido</v>
      </c>
      <c r="Q187" s="30" t="n">
        <v>50000</v>
      </c>
      <c r="R187" s="30" t="n">
        <v>0</v>
      </c>
      <c r="S187" s="30" t="n">
        <v>0</v>
      </c>
      <c r="T187" s="30" t="n">
        <v>2707132</v>
      </c>
      <c r="U187" s="9"/>
      <c r="V187" s="9"/>
    </row>
    <row r="188" customFormat="false" ht="32.8" hidden="false" customHeight="false" outlineLevel="0" collapsed="false">
      <c r="A188" s="9" t="s">
        <v>89</v>
      </c>
      <c r="B188" s="9" t="s">
        <v>13</v>
      </c>
      <c r="C188" s="9" t="s">
        <v>59</v>
      </c>
      <c r="D188" s="9" t="s">
        <v>48</v>
      </c>
      <c r="E188" s="9" t="s">
        <v>484</v>
      </c>
      <c r="F188" s="9" t="n">
        <v>276</v>
      </c>
      <c r="G188" s="28" t="s">
        <v>485</v>
      </c>
      <c r="H188" s="29" t="n">
        <v>69837</v>
      </c>
      <c r="I188" s="29" t="n">
        <v>50000</v>
      </c>
      <c r="J188" s="29" t="n">
        <v>50000</v>
      </c>
      <c r="K188" s="29" t="n">
        <v>24166.33</v>
      </c>
      <c r="L188" s="30" t="n">
        <f aca="false">H188-I188</f>
        <v>19837</v>
      </c>
      <c r="M188" s="30" t="n">
        <f aca="false">H188-J188</f>
        <v>19837</v>
      </c>
      <c r="N188" s="30" t="n">
        <f aca="false">H188-K188</f>
        <v>45670.67</v>
      </c>
      <c r="O188" s="9" t="s">
        <v>133</v>
      </c>
      <c r="P188" s="9" t="str">
        <f aca="false">IF(H188=0,"Sin PIM",IF(ROUND(K188-H188,2)&gt;=0,"Devengado total",IF(J188&gt;0.005,"Comprometido",IF(I188&gt;0.005,"Solo certificado","Sin certificar"))))</f>
        <v>Comprometido</v>
      </c>
      <c r="Q188" s="30" t="n">
        <v>50000</v>
      </c>
      <c r="R188" s="30" t="n">
        <v>1543466</v>
      </c>
      <c r="S188" s="30" t="n">
        <v>0</v>
      </c>
      <c r="T188" s="30" t="n">
        <v>500000</v>
      </c>
      <c r="U188" s="9"/>
      <c r="V188" s="9"/>
    </row>
    <row r="189" customFormat="false" ht="32.8" hidden="false" customHeight="false" outlineLevel="0" collapsed="false">
      <c r="A189" s="9" t="s">
        <v>89</v>
      </c>
      <c r="B189" s="9" t="s">
        <v>13</v>
      </c>
      <c r="C189" s="9" t="s">
        <v>59</v>
      </c>
      <c r="D189" s="9" t="s">
        <v>48</v>
      </c>
      <c r="E189" s="9" t="s">
        <v>486</v>
      </c>
      <c r="F189" s="9" t="n">
        <v>277</v>
      </c>
      <c r="G189" s="28" t="s">
        <v>487</v>
      </c>
      <c r="H189" s="29" t="n">
        <v>50000</v>
      </c>
      <c r="I189" s="29" t="n">
        <v>50000</v>
      </c>
      <c r="J189" s="29" t="n">
        <v>50000</v>
      </c>
      <c r="K189" s="29" t="n">
        <v>48541.71</v>
      </c>
      <c r="L189" s="30" t="n">
        <f aca="false">H189-I189</f>
        <v>0</v>
      </c>
      <c r="M189" s="30" t="n">
        <f aca="false">H189-J189</f>
        <v>0</v>
      </c>
      <c r="N189" s="30" t="n">
        <f aca="false">H189-K189</f>
        <v>1458.29</v>
      </c>
      <c r="O189" s="9" t="s">
        <v>133</v>
      </c>
      <c r="P189" s="9" t="str">
        <f aca="false">IF(H189=0,"Sin PIM",IF(ROUND(K189-H189,2)&gt;=0,"Devengado total",IF(J189&gt;0.005,"Comprometido",IF(I189&gt;0.005,"Solo certificado","Sin certificar"))))</f>
        <v>Comprometido</v>
      </c>
      <c r="Q189" s="30" t="n">
        <v>50000</v>
      </c>
      <c r="R189" s="30" t="n">
        <v>1525657</v>
      </c>
      <c r="S189" s="30" t="n">
        <v>0</v>
      </c>
      <c r="T189" s="30" t="n">
        <v>1145070</v>
      </c>
      <c r="U189" s="9"/>
      <c r="V189" s="9"/>
    </row>
    <row r="190" customFormat="false" ht="32.8" hidden="false" customHeight="false" outlineLevel="0" collapsed="false">
      <c r="A190" s="9" t="s">
        <v>89</v>
      </c>
      <c r="B190" s="9" t="s">
        <v>13</v>
      </c>
      <c r="C190" s="9" t="s">
        <v>59</v>
      </c>
      <c r="D190" s="9" t="s">
        <v>48</v>
      </c>
      <c r="E190" s="9" t="s">
        <v>488</v>
      </c>
      <c r="F190" s="9" t="n">
        <v>278</v>
      </c>
      <c r="G190" s="28" t="s">
        <v>489</v>
      </c>
      <c r="H190" s="29" t="n">
        <v>304060</v>
      </c>
      <c r="I190" s="29" t="n">
        <v>291997.5</v>
      </c>
      <c r="J190" s="29" t="n">
        <v>291997.5</v>
      </c>
      <c r="K190" s="29" t="n">
        <v>267446.91</v>
      </c>
      <c r="L190" s="30" t="n">
        <f aca="false">H190-I190</f>
        <v>12062.5</v>
      </c>
      <c r="M190" s="30" t="n">
        <f aca="false">H190-J190</f>
        <v>12062.5</v>
      </c>
      <c r="N190" s="30" t="n">
        <f aca="false">H190-K190</f>
        <v>36613.09</v>
      </c>
      <c r="O190" s="9" t="s">
        <v>133</v>
      </c>
      <c r="P190" s="9" t="str">
        <f aca="false">IF(H190=0,"Sin PIM",IF(ROUND(K190-H190,2)&gt;=0,"Devengado total",IF(J190&gt;0.005,"Comprometido",IF(I190&gt;0.005,"Solo certificado","Sin certificar"))))</f>
        <v>Comprometido</v>
      </c>
      <c r="Q190" s="30" t="n">
        <v>50000</v>
      </c>
      <c r="R190" s="30" t="n">
        <v>0</v>
      </c>
      <c r="S190" s="30" t="n">
        <v>0</v>
      </c>
      <c r="T190" s="30" t="n">
        <v>1809535</v>
      </c>
      <c r="U190" s="9"/>
      <c r="V190" s="9"/>
    </row>
    <row r="191" customFormat="false" ht="32.8" hidden="false" customHeight="false" outlineLevel="0" collapsed="false">
      <c r="A191" s="9" t="s">
        <v>89</v>
      </c>
      <c r="B191" s="9" t="s">
        <v>13</v>
      </c>
      <c r="C191" s="9" t="s">
        <v>59</v>
      </c>
      <c r="D191" s="9" t="s">
        <v>48</v>
      </c>
      <c r="E191" s="9" t="s">
        <v>490</v>
      </c>
      <c r="F191" s="9" t="n">
        <v>279</v>
      </c>
      <c r="G191" s="28" t="s">
        <v>491</v>
      </c>
      <c r="H191" s="29" t="n">
        <v>0</v>
      </c>
      <c r="I191" s="29" t="n">
        <v>0</v>
      </c>
      <c r="J191" s="29" t="n">
        <v>0</v>
      </c>
      <c r="K191" s="29" t="n">
        <v>0</v>
      </c>
      <c r="L191" s="30" t="n">
        <f aca="false">H191-I191</f>
        <v>0</v>
      </c>
      <c r="M191" s="30" t="n">
        <f aca="false">H191-J191</f>
        <v>0</v>
      </c>
      <c r="N191" s="30" t="n">
        <f aca="false">H191-K191</f>
        <v>0</v>
      </c>
      <c r="O191" s="9" t="s">
        <v>120</v>
      </c>
      <c r="P191" s="9" t="str">
        <f aca="false">IF(H191=0,"Sin PIM",IF(ROUND(K191-H191,2)&gt;=0,"Devengado total",IF(J191&gt;0.005,"Comprometido",IF(I191&gt;0.005,"Solo certificado","Sin certificar"))))</f>
        <v>Sin PIM</v>
      </c>
      <c r="Q191" s="30" t="n">
        <v>50000</v>
      </c>
      <c r="R191" s="30" t="n">
        <v>0</v>
      </c>
      <c r="S191" s="30" t="n">
        <v>0</v>
      </c>
      <c r="T191" s="30" t="n">
        <v>600000</v>
      </c>
      <c r="U191" s="9"/>
      <c r="V191" s="9"/>
    </row>
    <row r="192" customFormat="false" ht="32.8" hidden="false" customHeight="false" outlineLevel="0" collapsed="false">
      <c r="A192" s="9" t="s">
        <v>89</v>
      </c>
      <c r="B192" s="9" t="s">
        <v>13</v>
      </c>
      <c r="C192" s="9" t="s">
        <v>59</v>
      </c>
      <c r="D192" s="9" t="s">
        <v>48</v>
      </c>
      <c r="E192" s="9" t="s">
        <v>492</v>
      </c>
      <c r="F192" s="9" t="n">
        <v>280</v>
      </c>
      <c r="G192" s="28" t="s">
        <v>493</v>
      </c>
      <c r="H192" s="29" t="n">
        <v>0</v>
      </c>
      <c r="I192" s="29" t="n">
        <v>0</v>
      </c>
      <c r="J192" s="29" t="n">
        <v>0</v>
      </c>
      <c r="K192" s="29" t="n">
        <v>0</v>
      </c>
      <c r="L192" s="30" t="n">
        <f aca="false">H192-I192</f>
        <v>0</v>
      </c>
      <c r="M192" s="30" t="n">
        <f aca="false">H192-J192</f>
        <v>0</v>
      </c>
      <c r="N192" s="30" t="n">
        <f aca="false">H192-K192</f>
        <v>0</v>
      </c>
      <c r="O192" s="9" t="s">
        <v>120</v>
      </c>
      <c r="P192" s="9" t="str">
        <f aca="false">IF(H192=0,"Sin PIM",IF(ROUND(K192-H192,2)&gt;=0,"Devengado total",IF(J192&gt;0.005,"Comprometido",IF(I192&gt;0.005,"Solo certificado","Sin certificar"))))</f>
        <v>Sin PIM</v>
      </c>
      <c r="Q192" s="30" t="n">
        <v>50000</v>
      </c>
      <c r="R192" s="30" t="n">
        <v>0</v>
      </c>
      <c r="S192" s="30" t="n">
        <v>0</v>
      </c>
      <c r="T192" s="30" t="n">
        <v>120000</v>
      </c>
      <c r="U192" s="9"/>
      <c r="V192" s="9"/>
    </row>
    <row r="193" customFormat="false" ht="32.8" hidden="false" customHeight="false" outlineLevel="0" collapsed="false">
      <c r="A193" s="9" t="s">
        <v>89</v>
      </c>
      <c r="B193" s="9" t="s">
        <v>13</v>
      </c>
      <c r="C193" s="9" t="s">
        <v>59</v>
      </c>
      <c r="D193" s="9" t="s">
        <v>48</v>
      </c>
      <c r="E193" s="9" t="s">
        <v>494</v>
      </c>
      <c r="F193" s="9" t="n">
        <v>283</v>
      </c>
      <c r="G193" s="28" t="s">
        <v>495</v>
      </c>
      <c r="H193" s="29" t="n">
        <v>340317</v>
      </c>
      <c r="I193" s="29" t="n">
        <v>335271.5</v>
      </c>
      <c r="J193" s="29" t="n">
        <v>335271.5</v>
      </c>
      <c r="K193" s="29" t="n">
        <v>228699.2</v>
      </c>
      <c r="L193" s="30" t="n">
        <f aca="false">H193-I193</f>
        <v>5045.5</v>
      </c>
      <c r="M193" s="30" t="n">
        <f aca="false">H193-J193</f>
        <v>5045.5</v>
      </c>
      <c r="N193" s="30" t="n">
        <f aca="false">H193-K193</f>
        <v>111617.8</v>
      </c>
      <c r="O193" s="9" t="s">
        <v>133</v>
      </c>
      <c r="P193" s="9" t="str">
        <f aca="false">IF(H193=0,"Sin PIM",IF(ROUND(K193-H193,2)&gt;=0,"Devengado total",IF(J193&gt;0.005,"Comprometido",IF(I193&gt;0.005,"Solo certificado","Sin certificar"))))</f>
        <v>Comprometido</v>
      </c>
      <c r="Q193" s="30" t="n">
        <v>50000</v>
      </c>
      <c r="R193" s="30" t="n">
        <v>0</v>
      </c>
      <c r="S193" s="30" t="n">
        <v>0</v>
      </c>
      <c r="T193" s="30" t="n">
        <v>1523839</v>
      </c>
      <c r="U193" s="9"/>
      <c r="V193" s="9"/>
    </row>
    <row r="194" customFormat="false" ht="32.8" hidden="false" customHeight="false" outlineLevel="0" collapsed="false">
      <c r="A194" s="9" t="s">
        <v>89</v>
      </c>
      <c r="B194" s="9" t="s">
        <v>13</v>
      </c>
      <c r="C194" s="9" t="s">
        <v>59</v>
      </c>
      <c r="D194" s="9" t="s">
        <v>49</v>
      </c>
      <c r="E194" s="9" t="s">
        <v>496</v>
      </c>
      <c r="F194" s="9" t="n">
        <v>21</v>
      </c>
      <c r="G194" s="28" t="s">
        <v>497</v>
      </c>
      <c r="H194" s="29" t="n">
        <v>0</v>
      </c>
      <c r="I194" s="29" t="n">
        <v>0</v>
      </c>
      <c r="J194" s="29" t="n">
        <v>0</v>
      </c>
      <c r="K194" s="29" t="n">
        <v>0</v>
      </c>
      <c r="L194" s="30" t="n">
        <f aca="false">H194-I194</f>
        <v>0</v>
      </c>
      <c r="M194" s="30" t="n">
        <f aca="false">H194-J194</f>
        <v>0</v>
      </c>
      <c r="N194" s="30" t="n">
        <f aca="false">H194-K194</f>
        <v>0</v>
      </c>
      <c r="O194" s="9" t="s">
        <v>120</v>
      </c>
      <c r="P194" s="9" t="str">
        <f aca="false">IF(H194=0,"Sin PIM",IF(ROUND(K194-H194,2)&gt;=0,"Devengado total",IF(J194&gt;0.005,"Comprometido",IF(I194&gt;0.005,"Solo certificado","Sin certificar"))))</f>
        <v>Sin PIM</v>
      </c>
      <c r="Q194" s="30" t="n">
        <v>1792000</v>
      </c>
      <c r="R194" s="30" t="n">
        <v>0</v>
      </c>
      <c r="S194" s="30" t="n">
        <v>0</v>
      </c>
      <c r="T194" s="30" t="n">
        <v>0</v>
      </c>
      <c r="U194" s="9"/>
      <c r="V194" s="9"/>
    </row>
    <row r="195" customFormat="false" ht="43.25" hidden="false" customHeight="false" outlineLevel="0" collapsed="false">
      <c r="A195" s="9" t="s">
        <v>89</v>
      </c>
      <c r="B195" s="9" t="s">
        <v>13</v>
      </c>
      <c r="C195" s="9" t="s">
        <v>59</v>
      </c>
      <c r="D195" s="9" t="s">
        <v>49</v>
      </c>
      <c r="E195" s="9" t="s">
        <v>498</v>
      </c>
      <c r="F195" s="9" t="n">
        <v>31</v>
      </c>
      <c r="G195" s="28" t="s">
        <v>499</v>
      </c>
      <c r="H195" s="29" t="n">
        <v>100000</v>
      </c>
      <c r="I195" s="29" t="n">
        <v>85000</v>
      </c>
      <c r="J195" s="29" t="n">
        <v>60000</v>
      </c>
      <c r="K195" s="29" t="n">
        <v>58662.71</v>
      </c>
      <c r="L195" s="30" t="n">
        <f aca="false">H195-I195</f>
        <v>15000</v>
      </c>
      <c r="M195" s="30" t="n">
        <f aca="false">H195-J195</f>
        <v>40000</v>
      </c>
      <c r="N195" s="30" t="n">
        <f aca="false">H195-K195</f>
        <v>41337.29</v>
      </c>
      <c r="O195" s="9" t="s">
        <v>133</v>
      </c>
      <c r="P195" s="9" t="str">
        <f aca="false">IF(H195=0,"Sin PIM",IF(ROUND(K195-H195,2)&gt;=0,"Devengado total",IF(J195&gt;0.005,"Comprometido",IF(I195&gt;0.005,"Solo certificado","Sin certificar"))))</f>
        <v>Comprometido</v>
      </c>
      <c r="Q195" s="30" t="n">
        <v>100000</v>
      </c>
      <c r="R195" s="30" t="n">
        <v>1000000</v>
      </c>
      <c r="S195" s="30" t="n">
        <v>0</v>
      </c>
      <c r="T195" s="30" t="n">
        <v>0</v>
      </c>
      <c r="U195" s="9"/>
      <c r="V195" s="9"/>
    </row>
    <row r="196" customFormat="false" ht="43.25" hidden="false" customHeight="false" outlineLevel="0" collapsed="false">
      <c r="A196" s="9" t="s">
        <v>89</v>
      </c>
      <c r="B196" s="9" t="s">
        <v>13</v>
      </c>
      <c r="C196" s="9" t="s">
        <v>59</v>
      </c>
      <c r="D196" s="9" t="s">
        <v>49</v>
      </c>
      <c r="E196" s="9" t="s">
        <v>500</v>
      </c>
      <c r="F196" s="9" t="n">
        <v>38</v>
      </c>
      <c r="G196" s="28" t="s">
        <v>501</v>
      </c>
      <c r="H196" s="29" t="n">
        <v>0</v>
      </c>
      <c r="I196" s="29" t="n">
        <v>0</v>
      </c>
      <c r="J196" s="29" t="n">
        <v>0</v>
      </c>
      <c r="K196" s="29" t="n">
        <v>0</v>
      </c>
      <c r="L196" s="30" t="n">
        <f aca="false">H196-I196</f>
        <v>0</v>
      </c>
      <c r="M196" s="30" t="n">
        <f aca="false">H196-J196</f>
        <v>0</v>
      </c>
      <c r="N196" s="30" t="n">
        <f aca="false">H196-K196</f>
        <v>0</v>
      </c>
      <c r="O196" s="9" t="s">
        <v>120</v>
      </c>
      <c r="P196" s="9" t="str">
        <f aca="false">IF(H196=0,"Sin PIM",IF(ROUND(K196-H196,2)&gt;=0,"Devengado total",IF(J196&gt;0.005,"Comprometido",IF(I196&gt;0.005,"Solo certificado","Sin certificar"))))</f>
        <v>Sin PIM</v>
      </c>
      <c r="Q196" s="30" t="n">
        <v>500000</v>
      </c>
      <c r="R196" s="30" t="n">
        <v>0</v>
      </c>
      <c r="S196" s="30" t="n">
        <v>0</v>
      </c>
      <c r="T196" s="30" t="n">
        <v>0</v>
      </c>
      <c r="U196" s="9"/>
      <c r="V196" s="9"/>
    </row>
    <row r="197" customFormat="false" ht="32.8" hidden="false" customHeight="false" outlineLevel="0" collapsed="false">
      <c r="A197" s="9" t="s">
        <v>89</v>
      </c>
      <c r="B197" s="9" t="s">
        <v>13</v>
      </c>
      <c r="C197" s="9" t="s">
        <v>59</v>
      </c>
      <c r="D197" s="9" t="s">
        <v>49</v>
      </c>
      <c r="E197" s="9" t="s">
        <v>502</v>
      </c>
      <c r="F197" s="9" t="n">
        <v>40</v>
      </c>
      <c r="G197" s="28" t="s">
        <v>503</v>
      </c>
      <c r="H197" s="29" t="n">
        <v>58259</v>
      </c>
      <c r="I197" s="29" t="n">
        <v>58259</v>
      </c>
      <c r="J197" s="29" t="n">
        <v>58259</v>
      </c>
      <c r="K197" s="29" t="n">
        <v>50730.47</v>
      </c>
      <c r="L197" s="30" t="n">
        <f aca="false">H197-I197</f>
        <v>0</v>
      </c>
      <c r="M197" s="30" t="n">
        <f aca="false">H197-J197</f>
        <v>0</v>
      </c>
      <c r="N197" s="30" t="n">
        <f aca="false">H197-K197</f>
        <v>7528.53</v>
      </c>
      <c r="O197" s="9" t="s">
        <v>133</v>
      </c>
      <c r="P197" s="9" t="str">
        <f aca="false">IF(H197=0,"Sin PIM",IF(ROUND(K197-H197,2)&gt;=0,"Devengado total",IF(J197&gt;0.005,"Comprometido",IF(I197&gt;0.005,"Solo certificado","Sin certificar"))))</f>
        <v>Comprometido</v>
      </c>
      <c r="Q197" s="30" t="n">
        <v>3860273</v>
      </c>
      <c r="R197" s="30" t="n">
        <v>7764202</v>
      </c>
      <c r="S197" s="30" t="n">
        <v>0</v>
      </c>
      <c r="T197" s="30" t="n">
        <v>500000</v>
      </c>
      <c r="U197" s="9"/>
      <c r="V197" s="9"/>
    </row>
    <row r="198" customFormat="false" ht="32.8" hidden="false" customHeight="false" outlineLevel="0" collapsed="false">
      <c r="A198" s="9" t="s">
        <v>89</v>
      </c>
      <c r="B198" s="9" t="s">
        <v>13</v>
      </c>
      <c r="C198" s="9" t="s">
        <v>59</v>
      </c>
      <c r="D198" s="9" t="s">
        <v>49</v>
      </c>
      <c r="E198" s="9" t="s">
        <v>504</v>
      </c>
      <c r="F198" s="9" t="n">
        <v>42</v>
      </c>
      <c r="G198" s="28" t="s">
        <v>505</v>
      </c>
      <c r="H198" s="29" t="n">
        <v>100000</v>
      </c>
      <c r="I198" s="29" t="n">
        <v>100000</v>
      </c>
      <c r="J198" s="29" t="n">
        <v>50000</v>
      </c>
      <c r="K198" s="29" t="n">
        <v>45460.23</v>
      </c>
      <c r="L198" s="30" t="n">
        <f aca="false">H198-I198</f>
        <v>0</v>
      </c>
      <c r="M198" s="30" t="n">
        <f aca="false">H198-J198</f>
        <v>50000</v>
      </c>
      <c r="N198" s="30" t="n">
        <f aca="false">H198-K198</f>
        <v>54539.77</v>
      </c>
      <c r="O198" s="9" t="s">
        <v>133</v>
      </c>
      <c r="P198" s="9" t="str">
        <f aca="false">IF(H198=0,"Sin PIM",IF(ROUND(K198-H198,2)&gt;=0,"Devengado total",IF(J198&gt;0.005,"Comprometido",IF(I198&gt;0.005,"Solo certificado","Sin certificar"))))</f>
        <v>Comprometido</v>
      </c>
      <c r="Q198" s="30" t="n">
        <v>1800000</v>
      </c>
      <c r="R198" s="30" t="n">
        <v>1234564</v>
      </c>
      <c r="S198" s="30" t="n">
        <v>0</v>
      </c>
      <c r="T198" s="30" t="n">
        <v>680854</v>
      </c>
      <c r="U198" s="9"/>
      <c r="V198" s="9"/>
    </row>
    <row r="199" customFormat="false" ht="32.8" hidden="false" customHeight="false" outlineLevel="0" collapsed="false">
      <c r="A199" s="9" t="s">
        <v>89</v>
      </c>
      <c r="B199" s="9" t="s">
        <v>13</v>
      </c>
      <c r="C199" s="9" t="s">
        <v>59</v>
      </c>
      <c r="D199" s="9" t="s">
        <v>49</v>
      </c>
      <c r="E199" s="9" t="s">
        <v>506</v>
      </c>
      <c r="F199" s="9" t="n">
        <v>43</v>
      </c>
      <c r="G199" s="28" t="s">
        <v>507</v>
      </c>
      <c r="H199" s="29" t="n">
        <v>100000</v>
      </c>
      <c r="I199" s="29" t="n">
        <v>98580</v>
      </c>
      <c r="J199" s="29" t="n">
        <v>98580</v>
      </c>
      <c r="K199" s="29" t="n">
        <v>83195.4</v>
      </c>
      <c r="L199" s="30" t="n">
        <f aca="false">H199-I199</f>
        <v>1420</v>
      </c>
      <c r="M199" s="30" t="n">
        <f aca="false">H199-J199</f>
        <v>1420</v>
      </c>
      <c r="N199" s="30" t="n">
        <f aca="false">H199-K199</f>
        <v>16804.6</v>
      </c>
      <c r="O199" s="9" t="s">
        <v>358</v>
      </c>
      <c r="P199" s="9" t="str">
        <f aca="false">IF(H199=0,"Sin PIM",IF(ROUND(K199-H199,2)&gt;=0,"Devengado total",IF(J199&gt;0.005,"Comprometido",IF(I199&gt;0.005,"Solo certificado","Sin certificar"))))</f>
        <v>Comprometido</v>
      </c>
      <c r="Q199" s="30" t="n">
        <v>100000</v>
      </c>
      <c r="R199" s="30" t="n">
        <v>2565482</v>
      </c>
      <c r="S199" s="30" t="n">
        <v>0</v>
      </c>
      <c r="T199" s="30" t="n">
        <v>534518</v>
      </c>
      <c r="U199" s="9"/>
      <c r="V199" s="9"/>
    </row>
    <row r="200" customFormat="false" ht="32.8" hidden="false" customHeight="false" outlineLevel="0" collapsed="false">
      <c r="A200" s="9" t="s">
        <v>89</v>
      </c>
      <c r="B200" s="9" t="s">
        <v>13</v>
      </c>
      <c r="C200" s="9" t="s">
        <v>59</v>
      </c>
      <c r="D200" s="9" t="s">
        <v>49</v>
      </c>
      <c r="E200" s="9" t="s">
        <v>508</v>
      </c>
      <c r="F200" s="9" t="n">
        <v>47</v>
      </c>
      <c r="G200" s="28" t="s">
        <v>509</v>
      </c>
      <c r="H200" s="29" t="n">
        <v>500172</v>
      </c>
      <c r="I200" s="29" t="n">
        <v>0</v>
      </c>
      <c r="J200" s="29" t="n">
        <v>0</v>
      </c>
      <c r="K200" s="29" t="n">
        <v>0</v>
      </c>
      <c r="L200" s="30" t="n">
        <f aca="false">H200-I200</f>
        <v>500172</v>
      </c>
      <c r="M200" s="30" t="n">
        <f aca="false">H200-J200</f>
        <v>500172</v>
      </c>
      <c r="N200" s="30" t="n">
        <f aca="false">H200-K200</f>
        <v>500172</v>
      </c>
      <c r="O200" s="9" t="s">
        <v>120</v>
      </c>
      <c r="P200" s="9" t="str">
        <f aca="false">IF(H200=0,"Sin PIM",IF(ROUND(K200-H200,2)&gt;=0,"Devengado total",IF(J200&gt;0.005,"Comprometido",IF(I200&gt;0.005,"Solo certificado","Sin certificar"))))</f>
        <v>Sin certificar</v>
      </c>
      <c r="Q200" s="30" t="n">
        <v>700000</v>
      </c>
      <c r="R200" s="30" t="n">
        <v>1243456</v>
      </c>
      <c r="S200" s="30" t="n">
        <v>0</v>
      </c>
      <c r="T200" s="30" t="n">
        <v>2984900</v>
      </c>
      <c r="U200" s="9"/>
      <c r="V200" s="9"/>
    </row>
    <row r="201" customFormat="false" ht="32.8" hidden="false" customHeight="false" outlineLevel="0" collapsed="false">
      <c r="A201" s="9" t="s">
        <v>89</v>
      </c>
      <c r="B201" s="9" t="s">
        <v>13</v>
      </c>
      <c r="C201" s="9" t="s">
        <v>59</v>
      </c>
      <c r="D201" s="9" t="s">
        <v>49</v>
      </c>
      <c r="E201" s="9" t="s">
        <v>510</v>
      </c>
      <c r="F201" s="9" t="n">
        <v>48</v>
      </c>
      <c r="G201" s="28" t="s">
        <v>511</v>
      </c>
      <c r="H201" s="29" t="n">
        <v>310000</v>
      </c>
      <c r="I201" s="29" t="n">
        <v>310000</v>
      </c>
      <c r="J201" s="29" t="n">
        <v>250000</v>
      </c>
      <c r="K201" s="29" t="n">
        <v>240998.16</v>
      </c>
      <c r="L201" s="30" t="n">
        <f aca="false">H201-I201</f>
        <v>0</v>
      </c>
      <c r="M201" s="30" t="n">
        <f aca="false">H201-J201</f>
        <v>60000</v>
      </c>
      <c r="N201" s="30" t="n">
        <f aca="false">H201-K201</f>
        <v>69001.84</v>
      </c>
      <c r="O201" s="9" t="s">
        <v>133</v>
      </c>
      <c r="P201" s="9" t="str">
        <f aca="false">IF(H201=0,"Sin PIM",IF(ROUND(K201-H201,2)&gt;=0,"Devengado total",IF(J201&gt;0.005,"Comprometido",IF(I201&gt;0.005,"Solo certificado","Sin certificar"))))</f>
        <v>Comprometido</v>
      </c>
      <c r="Q201" s="30" t="n">
        <v>50000</v>
      </c>
      <c r="R201" s="30" t="n">
        <v>0</v>
      </c>
      <c r="S201" s="30" t="n">
        <v>0</v>
      </c>
      <c r="T201" s="30" t="n">
        <v>1000000</v>
      </c>
      <c r="U201" s="9"/>
      <c r="V201" s="9"/>
    </row>
    <row r="202" customFormat="false" ht="32.8" hidden="false" customHeight="false" outlineLevel="0" collapsed="false">
      <c r="A202" s="9" t="s">
        <v>89</v>
      </c>
      <c r="B202" s="9" t="s">
        <v>13</v>
      </c>
      <c r="C202" s="9" t="s">
        <v>59</v>
      </c>
      <c r="D202" s="9" t="s">
        <v>49</v>
      </c>
      <c r="E202" s="9" t="s">
        <v>512</v>
      </c>
      <c r="F202" s="9" t="n">
        <v>49</v>
      </c>
      <c r="G202" s="28" t="s">
        <v>513</v>
      </c>
      <c r="H202" s="29" t="n">
        <v>100000</v>
      </c>
      <c r="I202" s="29" t="n">
        <v>98287</v>
      </c>
      <c r="J202" s="29" t="n">
        <v>98287</v>
      </c>
      <c r="K202" s="29" t="n">
        <v>19750.31</v>
      </c>
      <c r="L202" s="30" t="n">
        <f aca="false">H202-I202</f>
        <v>1713</v>
      </c>
      <c r="M202" s="30" t="n">
        <f aca="false">H202-J202</f>
        <v>1713</v>
      </c>
      <c r="N202" s="30" t="n">
        <f aca="false">H202-K202</f>
        <v>80249.69</v>
      </c>
      <c r="O202" s="9" t="s">
        <v>133</v>
      </c>
      <c r="P202" s="9" t="str">
        <f aca="false">IF(H202=0,"Sin PIM",IF(ROUND(K202-H202,2)&gt;=0,"Devengado total",IF(J202&gt;0.005,"Comprometido",IF(I202&gt;0.005,"Solo certificado","Sin certificar"))))</f>
        <v>Comprometido</v>
      </c>
      <c r="Q202" s="30" t="n">
        <v>100000</v>
      </c>
      <c r="R202" s="30" t="n">
        <v>254875</v>
      </c>
      <c r="S202" s="30" t="n">
        <v>0</v>
      </c>
      <c r="T202" s="30" t="n">
        <v>500000</v>
      </c>
      <c r="U202" s="9"/>
      <c r="V202" s="9"/>
    </row>
    <row r="203" customFormat="false" ht="32.8" hidden="false" customHeight="false" outlineLevel="0" collapsed="false">
      <c r="A203" s="9" t="s">
        <v>89</v>
      </c>
      <c r="B203" s="9" t="s">
        <v>13</v>
      </c>
      <c r="C203" s="9" t="s">
        <v>59</v>
      </c>
      <c r="D203" s="9" t="s">
        <v>49</v>
      </c>
      <c r="E203" s="9" t="s">
        <v>514</v>
      </c>
      <c r="F203" s="9" t="n">
        <v>50</v>
      </c>
      <c r="G203" s="28" t="s">
        <v>515</v>
      </c>
      <c r="H203" s="29" t="n">
        <v>400214</v>
      </c>
      <c r="I203" s="29" t="n">
        <v>400214</v>
      </c>
      <c r="J203" s="29" t="n">
        <v>350213.5</v>
      </c>
      <c r="K203" s="29" t="n">
        <v>330372.18</v>
      </c>
      <c r="L203" s="30" t="n">
        <f aca="false">H203-I203</f>
        <v>0</v>
      </c>
      <c r="M203" s="30" t="n">
        <f aca="false">H203-J203</f>
        <v>50000.5</v>
      </c>
      <c r="N203" s="30" t="n">
        <f aca="false">H203-K203</f>
        <v>69841.82</v>
      </c>
      <c r="O203" s="9" t="s">
        <v>133</v>
      </c>
      <c r="P203" s="9" t="str">
        <f aca="false">IF(H203=0,"Sin PIM",IF(ROUND(K203-H203,2)&gt;=0,"Devengado total",IF(J203&gt;0.005,"Comprometido",IF(I203&gt;0.005,"Solo certificado","Sin certificar"))))</f>
        <v>Comprometido</v>
      </c>
      <c r="Q203" s="30" t="n">
        <v>50000</v>
      </c>
      <c r="R203" s="30" t="n">
        <v>0</v>
      </c>
      <c r="S203" s="30" t="n">
        <v>0</v>
      </c>
      <c r="T203" s="30" t="n">
        <v>1299636</v>
      </c>
      <c r="U203" s="9"/>
      <c r="V203" s="9"/>
    </row>
    <row r="204" customFormat="false" ht="43.25" hidden="false" customHeight="false" outlineLevel="0" collapsed="false">
      <c r="A204" s="9" t="s">
        <v>89</v>
      </c>
      <c r="B204" s="9" t="s">
        <v>13</v>
      </c>
      <c r="C204" s="9" t="s">
        <v>59</v>
      </c>
      <c r="D204" s="9" t="s">
        <v>49</v>
      </c>
      <c r="E204" s="9" t="s">
        <v>516</v>
      </c>
      <c r="F204" s="9" t="n">
        <v>51</v>
      </c>
      <c r="G204" s="28" t="s">
        <v>517</v>
      </c>
      <c r="H204" s="29" t="n">
        <v>0</v>
      </c>
      <c r="I204" s="29" t="n">
        <v>0</v>
      </c>
      <c r="J204" s="29" t="n">
        <v>0</v>
      </c>
      <c r="K204" s="29" t="n">
        <v>0</v>
      </c>
      <c r="L204" s="30" t="n">
        <f aca="false">H204-I204</f>
        <v>0</v>
      </c>
      <c r="M204" s="30" t="n">
        <f aca="false">H204-J204</f>
        <v>0</v>
      </c>
      <c r="N204" s="30" t="n">
        <f aca="false">H204-K204</f>
        <v>0</v>
      </c>
      <c r="O204" s="9" t="s">
        <v>120</v>
      </c>
      <c r="P204" s="9" t="str">
        <f aca="false">IF(H204=0,"Sin PIM",IF(ROUND(K204-H204,2)&gt;=0,"Devengado total",IF(J204&gt;0.005,"Comprometido",IF(I204&gt;0.005,"Solo certificado","Sin certificar"))))</f>
        <v>Sin PIM</v>
      </c>
      <c r="Q204" s="30" t="n">
        <v>50000</v>
      </c>
      <c r="R204" s="30" t="n">
        <v>0</v>
      </c>
      <c r="S204" s="30" t="n">
        <v>0</v>
      </c>
      <c r="T204" s="30" t="n">
        <v>300000</v>
      </c>
      <c r="U204" s="9"/>
      <c r="V204" s="9"/>
    </row>
    <row r="205" customFormat="false" ht="53.7" hidden="false" customHeight="false" outlineLevel="0" collapsed="false">
      <c r="A205" s="9" t="s">
        <v>89</v>
      </c>
      <c r="B205" s="9" t="s">
        <v>13</v>
      </c>
      <c r="C205" s="9" t="s">
        <v>59</v>
      </c>
      <c r="D205" s="9" t="s">
        <v>49</v>
      </c>
      <c r="E205" s="9" t="s">
        <v>518</v>
      </c>
      <c r="F205" s="9" t="n">
        <v>52</v>
      </c>
      <c r="G205" s="28" t="s">
        <v>519</v>
      </c>
      <c r="H205" s="29" t="n">
        <v>126982</v>
      </c>
      <c r="I205" s="29" t="n">
        <v>126982</v>
      </c>
      <c r="J205" s="29" t="n">
        <v>126982</v>
      </c>
      <c r="K205" s="29" t="n">
        <v>120317.21</v>
      </c>
      <c r="L205" s="30" t="n">
        <f aca="false">H205-I205</f>
        <v>0</v>
      </c>
      <c r="M205" s="30" t="n">
        <f aca="false">H205-J205</f>
        <v>0</v>
      </c>
      <c r="N205" s="30" t="n">
        <f aca="false">H205-K205</f>
        <v>6664.78999999999</v>
      </c>
      <c r="O205" s="9" t="s">
        <v>133</v>
      </c>
      <c r="P205" s="9" t="str">
        <f aca="false">IF(H205=0,"Sin PIM",IF(ROUND(K205-H205,2)&gt;=0,"Devengado total",IF(J205&gt;0.005,"Comprometido",IF(I205&gt;0.005,"Solo certificado","Sin certificar"))))</f>
        <v>Comprometido</v>
      </c>
      <c r="Q205" s="30" t="n">
        <v>50000</v>
      </c>
      <c r="R205" s="30" t="n">
        <v>251478</v>
      </c>
      <c r="S205" s="30" t="n">
        <v>0</v>
      </c>
      <c r="T205" s="30" t="n">
        <v>300000</v>
      </c>
      <c r="U205" s="9"/>
      <c r="V205" s="9"/>
    </row>
    <row r="206" customFormat="false" ht="32.8" hidden="false" customHeight="false" outlineLevel="0" collapsed="false">
      <c r="A206" s="9" t="s">
        <v>89</v>
      </c>
      <c r="B206" s="9" t="s">
        <v>13</v>
      </c>
      <c r="C206" s="9" t="s">
        <v>59</v>
      </c>
      <c r="D206" s="9" t="s">
        <v>49</v>
      </c>
      <c r="E206" s="9" t="s">
        <v>520</v>
      </c>
      <c r="F206" s="9" t="n">
        <v>53</v>
      </c>
      <c r="G206" s="28" t="s">
        <v>521</v>
      </c>
      <c r="H206" s="29" t="n">
        <v>0</v>
      </c>
      <c r="I206" s="29" t="n">
        <v>0</v>
      </c>
      <c r="J206" s="29" t="n">
        <v>0</v>
      </c>
      <c r="K206" s="29" t="n">
        <v>0</v>
      </c>
      <c r="L206" s="30" t="n">
        <f aca="false">H206-I206</f>
        <v>0</v>
      </c>
      <c r="M206" s="30" t="n">
        <f aca="false">H206-J206</f>
        <v>0</v>
      </c>
      <c r="N206" s="30" t="n">
        <f aca="false">H206-K206</f>
        <v>0</v>
      </c>
      <c r="O206" s="9" t="s">
        <v>120</v>
      </c>
      <c r="P206" s="9" t="str">
        <f aca="false">IF(H206=0,"Sin PIM",IF(ROUND(K206-H206,2)&gt;=0,"Devengado total",IF(J206&gt;0.005,"Comprometido",IF(I206&gt;0.005,"Solo certificado","Sin certificar"))))</f>
        <v>Sin PIM</v>
      </c>
      <c r="Q206" s="30" t="n">
        <v>50000</v>
      </c>
      <c r="R206" s="30" t="n">
        <v>0</v>
      </c>
      <c r="S206" s="30" t="n">
        <v>0</v>
      </c>
      <c r="T206" s="30" t="n">
        <v>150000</v>
      </c>
      <c r="U206" s="9"/>
      <c r="V206" s="9"/>
    </row>
    <row r="207" customFormat="false" ht="32.8" hidden="false" customHeight="false" outlineLevel="0" collapsed="false">
      <c r="A207" s="9" t="s">
        <v>89</v>
      </c>
      <c r="B207" s="9" t="s">
        <v>13</v>
      </c>
      <c r="C207" s="9" t="s">
        <v>59</v>
      </c>
      <c r="D207" s="9" t="s">
        <v>49</v>
      </c>
      <c r="E207" s="9" t="s">
        <v>522</v>
      </c>
      <c r="F207" s="9" t="n">
        <v>54</v>
      </c>
      <c r="G207" s="28" t="s">
        <v>523</v>
      </c>
      <c r="H207" s="29" t="n">
        <v>112244</v>
      </c>
      <c r="I207" s="29" t="n">
        <v>112243.56</v>
      </c>
      <c r="J207" s="29" t="n">
        <v>82243.56</v>
      </c>
      <c r="K207" s="29" t="n">
        <v>78030.97</v>
      </c>
      <c r="L207" s="30" t="n">
        <f aca="false">H207-I207</f>
        <v>0.440000000002328</v>
      </c>
      <c r="M207" s="30" t="n">
        <f aca="false">H207-J207</f>
        <v>30000.44</v>
      </c>
      <c r="N207" s="30" t="n">
        <f aca="false">H207-K207</f>
        <v>34213.03</v>
      </c>
      <c r="O207" s="9" t="s">
        <v>133</v>
      </c>
      <c r="P207" s="9" t="str">
        <f aca="false">IF(H207=0,"Sin PIM",IF(ROUND(K207-H207,2)&gt;=0,"Devengado total",IF(J207&gt;0.005,"Comprometido",IF(I207&gt;0.005,"Solo certificado","Sin certificar"))))</f>
        <v>Comprometido</v>
      </c>
      <c r="Q207" s="30" t="n">
        <v>50000</v>
      </c>
      <c r="R207" s="30" t="n">
        <v>3985654</v>
      </c>
      <c r="S207" s="30" t="n">
        <v>0</v>
      </c>
      <c r="T207" s="30" t="n">
        <v>500000</v>
      </c>
      <c r="U207" s="9"/>
      <c r="V207" s="9"/>
    </row>
    <row r="208" customFormat="false" ht="43.25" hidden="false" customHeight="false" outlineLevel="0" collapsed="false">
      <c r="A208" s="9" t="s">
        <v>89</v>
      </c>
      <c r="B208" s="9" t="s">
        <v>13</v>
      </c>
      <c r="C208" s="9" t="s">
        <v>59</v>
      </c>
      <c r="D208" s="9" t="s">
        <v>49</v>
      </c>
      <c r="E208" s="9" t="s">
        <v>524</v>
      </c>
      <c r="F208" s="9" t="n">
        <v>55</v>
      </c>
      <c r="G208" s="28" t="s">
        <v>525</v>
      </c>
      <c r="H208" s="29" t="n">
        <v>164979</v>
      </c>
      <c r="I208" s="29" t="n">
        <v>164976.5</v>
      </c>
      <c r="J208" s="29" t="n">
        <v>164976.5</v>
      </c>
      <c r="K208" s="29" t="n">
        <v>152477.04</v>
      </c>
      <c r="L208" s="30" t="n">
        <f aca="false">H208-I208</f>
        <v>2.5</v>
      </c>
      <c r="M208" s="30" t="n">
        <f aca="false">H208-J208</f>
        <v>2.5</v>
      </c>
      <c r="N208" s="30" t="n">
        <f aca="false">H208-K208</f>
        <v>12501.96</v>
      </c>
      <c r="O208" s="9" t="s">
        <v>133</v>
      </c>
      <c r="P208" s="9" t="str">
        <f aca="false">IF(H208=0,"Sin PIM",IF(ROUND(K208-H208,2)&gt;=0,"Devengado total",IF(J208&gt;0.005,"Comprometido",IF(I208&gt;0.005,"Solo certificado","Sin certificar"))))</f>
        <v>Comprometido</v>
      </c>
      <c r="Q208" s="30" t="n">
        <v>50000</v>
      </c>
      <c r="R208" s="30" t="n">
        <v>2375675</v>
      </c>
      <c r="S208" s="30" t="n">
        <v>0</v>
      </c>
      <c r="T208" s="30" t="n">
        <v>0</v>
      </c>
      <c r="U208" s="9"/>
      <c r="V208" s="9"/>
    </row>
    <row r="209" customFormat="false" ht="43.25" hidden="false" customHeight="false" outlineLevel="0" collapsed="false">
      <c r="A209" s="9" t="s">
        <v>89</v>
      </c>
      <c r="B209" s="9" t="s">
        <v>13</v>
      </c>
      <c r="C209" s="9" t="s">
        <v>59</v>
      </c>
      <c r="D209" s="9" t="s">
        <v>49</v>
      </c>
      <c r="E209" s="9" t="s">
        <v>526</v>
      </c>
      <c r="F209" s="9" t="n">
        <v>56</v>
      </c>
      <c r="G209" s="28" t="s">
        <v>527</v>
      </c>
      <c r="H209" s="29" t="n">
        <v>99897</v>
      </c>
      <c r="I209" s="29" t="n">
        <v>99879.63</v>
      </c>
      <c r="J209" s="29" t="n">
        <v>99879.63</v>
      </c>
      <c r="K209" s="29" t="n">
        <v>91645.05</v>
      </c>
      <c r="L209" s="30" t="n">
        <f aca="false">H209-I209</f>
        <v>17.3699999999953</v>
      </c>
      <c r="M209" s="30" t="n">
        <f aca="false">H209-J209</f>
        <v>17.3699999999953</v>
      </c>
      <c r="N209" s="30" t="n">
        <f aca="false">H209-K209</f>
        <v>8251.95</v>
      </c>
      <c r="O209" s="9" t="s">
        <v>133</v>
      </c>
      <c r="P209" s="9" t="str">
        <f aca="false">IF(H209=0,"Sin PIM",IF(ROUND(K209-H209,2)&gt;=0,"Devengado total",IF(J209&gt;0.005,"Comprometido",IF(I209&gt;0.005,"Solo certificado","Sin certificar"))))</f>
        <v>Comprometido</v>
      </c>
      <c r="Q209" s="30" t="n">
        <v>50000</v>
      </c>
      <c r="R209" s="30" t="n">
        <v>1278678</v>
      </c>
      <c r="S209" s="30" t="n">
        <v>0</v>
      </c>
      <c r="T209" s="30" t="n">
        <v>1000000</v>
      </c>
      <c r="U209" s="9"/>
      <c r="V209" s="9"/>
    </row>
    <row r="210" customFormat="false" ht="32.8" hidden="false" customHeight="false" outlineLevel="0" collapsed="false">
      <c r="A210" s="9" t="s">
        <v>89</v>
      </c>
      <c r="B210" s="9" t="s">
        <v>13</v>
      </c>
      <c r="C210" s="9" t="s">
        <v>59</v>
      </c>
      <c r="D210" s="9" t="s">
        <v>49</v>
      </c>
      <c r="E210" s="9" t="s">
        <v>528</v>
      </c>
      <c r="F210" s="9" t="n">
        <v>57</v>
      </c>
      <c r="G210" s="28" t="s">
        <v>529</v>
      </c>
      <c r="H210" s="29" t="n">
        <v>332000</v>
      </c>
      <c r="I210" s="29" t="n">
        <v>332000</v>
      </c>
      <c r="J210" s="29" t="n">
        <v>250000</v>
      </c>
      <c r="K210" s="29" t="n">
        <v>165235.17</v>
      </c>
      <c r="L210" s="30" t="n">
        <f aca="false">H210-I210</f>
        <v>0</v>
      </c>
      <c r="M210" s="30" t="n">
        <f aca="false">H210-J210</f>
        <v>82000</v>
      </c>
      <c r="N210" s="30" t="n">
        <f aca="false">H210-K210</f>
        <v>166764.83</v>
      </c>
      <c r="O210" s="9" t="s">
        <v>133</v>
      </c>
      <c r="P210" s="9" t="str">
        <f aca="false">IF(H210=0,"Sin PIM",IF(ROUND(K210-H210,2)&gt;=0,"Devengado total",IF(J210&gt;0.005,"Comprometido",IF(I210&gt;0.005,"Solo certificado","Sin certificar"))))</f>
        <v>Comprometido</v>
      </c>
      <c r="Q210" s="30" t="n">
        <v>50000</v>
      </c>
      <c r="R210" s="30" t="n">
        <v>0</v>
      </c>
      <c r="S210" s="30" t="n">
        <v>0</v>
      </c>
      <c r="T210" s="30" t="n">
        <v>50000</v>
      </c>
      <c r="U210" s="9"/>
      <c r="V210" s="9"/>
    </row>
    <row r="211" customFormat="false" ht="32.8" hidden="false" customHeight="false" outlineLevel="0" collapsed="false">
      <c r="A211" s="9" t="s">
        <v>89</v>
      </c>
      <c r="B211" s="9" t="s">
        <v>13</v>
      </c>
      <c r="C211" s="9" t="s">
        <v>59</v>
      </c>
      <c r="D211" s="9" t="s">
        <v>49</v>
      </c>
      <c r="E211" s="9" t="s">
        <v>530</v>
      </c>
      <c r="F211" s="9" t="n">
        <v>58</v>
      </c>
      <c r="G211" s="28" t="s">
        <v>531</v>
      </c>
      <c r="H211" s="29" t="n">
        <v>0</v>
      </c>
      <c r="I211" s="29" t="n">
        <v>0</v>
      </c>
      <c r="J211" s="29" t="n">
        <v>0</v>
      </c>
      <c r="K211" s="29" t="n">
        <v>0</v>
      </c>
      <c r="L211" s="30" t="n">
        <f aca="false">H211-I211</f>
        <v>0</v>
      </c>
      <c r="M211" s="30" t="n">
        <f aca="false">H211-J211</f>
        <v>0</v>
      </c>
      <c r="N211" s="30" t="n">
        <f aca="false">H211-K211</f>
        <v>0</v>
      </c>
      <c r="O211" s="9" t="s">
        <v>120</v>
      </c>
      <c r="P211" s="9" t="str">
        <f aca="false">IF(H211=0,"Sin PIM",IF(ROUND(K211-H211,2)&gt;=0,"Devengado total",IF(J211&gt;0.005,"Comprometido",IF(I211&gt;0.005,"Solo certificado","Sin certificar"))))</f>
        <v>Sin PIM</v>
      </c>
      <c r="Q211" s="30" t="n">
        <v>50000</v>
      </c>
      <c r="R211" s="30" t="n">
        <v>0</v>
      </c>
      <c r="S211" s="30" t="n">
        <v>0</v>
      </c>
      <c r="T211" s="30" t="n">
        <v>2500000</v>
      </c>
      <c r="U211" s="9"/>
      <c r="V211" s="9"/>
    </row>
    <row r="212" customFormat="false" ht="32.8" hidden="false" customHeight="false" outlineLevel="0" collapsed="false">
      <c r="A212" s="9" t="s">
        <v>89</v>
      </c>
      <c r="B212" s="9" t="s">
        <v>13</v>
      </c>
      <c r="C212" s="9" t="s">
        <v>59</v>
      </c>
      <c r="D212" s="9" t="s">
        <v>49</v>
      </c>
      <c r="E212" s="9" t="s">
        <v>532</v>
      </c>
      <c r="F212" s="9" t="n">
        <v>81</v>
      </c>
      <c r="G212" s="28" t="s">
        <v>533</v>
      </c>
      <c r="H212" s="29" t="n">
        <v>100000</v>
      </c>
      <c r="I212" s="29" t="n">
        <v>50000</v>
      </c>
      <c r="J212" s="29" t="n">
        <v>50000</v>
      </c>
      <c r="K212" s="29" t="n">
        <v>0</v>
      </c>
      <c r="L212" s="30" t="n">
        <f aca="false">H212-I212</f>
        <v>50000</v>
      </c>
      <c r="M212" s="30" t="n">
        <f aca="false">H212-J212</f>
        <v>50000</v>
      </c>
      <c r="N212" s="30" t="n">
        <f aca="false">H212-K212</f>
        <v>100000</v>
      </c>
      <c r="O212" s="9" t="s">
        <v>133</v>
      </c>
      <c r="P212" s="9" t="str">
        <f aca="false">IF(H212=0,"Sin PIM",IF(ROUND(K212-H212,2)&gt;=0,"Devengado total",IF(J212&gt;0.005,"Comprometido",IF(I212&gt;0.005,"Solo certificado","Sin certificar"))))</f>
        <v>Comprometido</v>
      </c>
      <c r="Q212" s="30" t="n">
        <v>100000</v>
      </c>
      <c r="R212" s="30" t="n">
        <v>567456</v>
      </c>
      <c r="S212" s="30" t="n">
        <v>15577911</v>
      </c>
      <c r="T212" s="30" t="n">
        <v>23141649</v>
      </c>
      <c r="U212" s="9"/>
      <c r="V212" s="9"/>
    </row>
    <row r="213" customFormat="false" ht="43.25" hidden="false" customHeight="false" outlineLevel="0" collapsed="false">
      <c r="A213" s="9" t="s">
        <v>89</v>
      </c>
      <c r="B213" s="9" t="s">
        <v>13</v>
      </c>
      <c r="C213" s="9" t="s">
        <v>59</v>
      </c>
      <c r="D213" s="9" t="s">
        <v>49</v>
      </c>
      <c r="E213" s="9" t="s">
        <v>534</v>
      </c>
      <c r="F213" s="9" t="n">
        <v>82</v>
      </c>
      <c r="G213" s="28" t="s">
        <v>535</v>
      </c>
      <c r="H213" s="29" t="n">
        <v>408761</v>
      </c>
      <c r="I213" s="29" t="n">
        <v>356083</v>
      </c>
      <c r="J213" s="29" t="n">
        <v>356083</v>
      </c>
      <c r="K213" s="29" t="n">
        <v>242446.26</v>
      </c>
      <c r="L213" s="30" t="n">
        <f aca="false">H213-I213</f>
        <v>52678</v>
      </c>
      <c r="M213" s="30" t="n">
        <f aca="false">H213-J213</f>
        <v>52678</v>
      </c>
      <c r="N213" s="30" t="n">
        <f aca="false">H213-K213</f>
        <v>166314.74</v>
      </c>
      <c r="O213" s="9" t="s">
        <v>133</v>
      </c>
      <c r="P213" s="9" t="str">
        <f aca="false">IF(H213=0,"Sin PIM",IF(ROUND(K213-H213,2)&gt;=0,"Devengado total",IF(J213&gt;0.005,"Comprometido",IF(I213&gt;0.005,"Solo certificado","Sin certificar"))))</f>
        <v>Comprometido</v>
      </c>
      <c r="Q213" s="30" t="n">
        <v>2981000</v>
      </c>
      <c r="R213" s="30" t="n">
        <v>2654845</v>
      </c>
      <c r="S213" s="30" t="n">
        <v>0</v>
      </c>
      <c r="T213" s="30" t="n">
        <v>1000000</v>
      </c>
      <c r="U213" s="9"/>
      <c r="V213" s="9"/>
    </row>
    <row r="214" customFormat="false" ht="43.25" hidden="false" customHeight="false" outlineLevel="0" collapsed="false">
      <c r="A214" s="9" t="s">
        <v>89</v>
      </c>
      <c r="B214" s="9" t="s">
        <v>13</v>
      </c>
      <c r="C214" s="9" t="s">
        <v>59</v>
      </c>
      <c r="D214" s="9" t="s">
        <v>49</v>
      </c>
      <c r="E214" s="9" t="s">
        <v>536</v>
      </c>
      <c r="F214" s="9" t="n">
        <v>155</v>
      </c>
      <c r="G214" s="28" t="s">
        <v>537</v>
      </c>
      <c r="H214" s="29" t="n">
        <v>261704</v>
      </c>
      <c r="I214" s="29" t="n">
        <v>261704</v>
      </c>
      <c r="J214" s="29" t="n">
        <v>261704</v>
      </c>
      <c r="K214" s="29" t="n">
        <v>134683.19</v>
      </c>
      <c r="L214" s="30" t="n">
        <f aca="false">H214-I214</f>
        <v>0</v>
      </c>
      <c r="M214" s="30" t="n">
        <f aca="false">H214-J214</f>
        <v>0</v>
      </c>
      <c r="N214" s="30" t="n">
        <f aca="false">H214-K214</f>
        <v>127020.81</v>
      </c>
      <c r="O214" s="9" t="s">
        <v>133</v>
      </c>
      <c r="P214" s="9" t="str">
        <f aca="false">IF(H214=0,"Sin PIM",IF(ROUND(K214-H214,2)&gt;=0,"Devengado total",IF(J214&gt;0.005,"Comprometido",IF(I214&gt;0.005,"Solo certificado","Sin certificar"))))</f>
        <v>Comprometido</v>
      </c>
      <c r="Q214" s="30" t="n">
        <v>3500504</v>
      </c>
      <c r="R214" s="30" t="n">
        <v>587541</v>
      </c>
      <c r="S214" s="30" t="n">
        <v>0</v>
      </c>
      <c r="T214" s="30" t="n">
        <v>1000000</v>
      </c>
      <c r="U214" s="9"/>
      <c r="V214" s="9"/>
    </row>
    <row r="215" customFormat="false" ht="43.25" hidden="false" customHeight="false" outlineLevel="0" collapsed="false">
      <c r="A215" s="9" t="s">
        <v>89</v>
      </c>
      <c r="B215" s="9" t="s">
        <v>13</v>
      </c>
      <c r="C215" s="9" t="s">
        <v>59</v>
      </c>
      <c r="D215" s="9" t="s">
        <v>49</v>
      </c>
      <c r="E215" s="9" t="s">
        <v>538</v>
      </c>
      <c r="F215" s="9" t="n">
        <v>157</v>
      </c>
      <c r="G215" s="28" t="s">
        <v>539</v>
      </c>
      <c r="H215" s="29" t="n">
        <v>5089845</v>
      </c>
      <c r="I215" s="29" t="n">
        <v>5089845</v>
      </c>
      <c r="J215" s="29" t="n">
        <v>5064673</v>
      </c>
      <c r="K215" s="29" t="n">
        <v>1952934.61</v>
      </c>
      <c r="L215" s="30" t="n">
        <f aca="false">H215-I215</f>
        <v>0</v>
      </c>
      <c r="M215" s="30" t="n">
        <f aca="false">H215-J215</f>
        <v>25172</v>
      </c>
      <c r="N215" s="30" t="n">
        <f aca="false">H215-K215</f>
        <v>3136910.39</v>
      </c>
      <c r="O215" s="9" t="s">
        <v>120</v>
      </c>
      <c r="P215" s="9" t="str">
        <f aca="false">IF(H215=0,"Sin PIM",IF(ROUND(K215-H215,2)&gt;=0,"Devengado total",IF(J215&gt;0.005,"Comprometido",IF(I215&gt;0.005,"Solo certificado","Sin certificar"))))</f>
        <v>Comprometido</v>
      </c>
      <c r="Q215" s="30" t="n">
        <v>6239845</v>
      </c>
      <c r="R215" s="30" t="n">
        <v>8796121</v>
      </c>
      <c r="S215" s="30" t="n">
        <v>0</v>
      </c>
      <c r="T215" s="30" t="n">
        <v>7055000</v>
      </c>
      <c r="U215" s="9"/>
      <c r="V215" s="9"/>
    </row>
    <row r="216" customFormat="false" ht="32.8" hidden="false" customHeight="false" outlineLevel="0" collapsed="false">
      <c r="A216" s="9" t="s">
        <v>89</v>
      </c>
      <c r="B216" s="9" t="s">
        <v>13</v>
      </c>
      <c r="C216" s="9" t="s">
        <v>59</v>
      </c>
      <c r="D216" s="9" t="s">
        <v>49</v>
      </c>
      <c r="E216" s="9" t="s">
        <v>540</v>
      </c>
      <c r="F216" s="9" t="n">
        <v>158</v>
      </c>
      <c r="G216" s="28" t="s">
        <v>541</v>
      </c>
      <c r="H216" s="29" t="n">
        <v>4863</v>
      </c>
      <c r="I216" s="29" t="n">
        <v>4863</v>
      </c>
      <c r="J216" s="29" t="n">
        <v>0</v>
      </c>
      <c r="K216" s="29" t="n">
        <v>0</v>
      </c>
      <c r="L216" s="30" t="n">
        <f aca="false">H216-I216</f>
        <v>0</v>
      </c>
      <c r="M216" s="30" t="n">
        <f aca="false">H216-J216</f>
        <v>4863</v>
      </c>
      <c r="N216" s="30" t="n">
        <f aca="false">H216-K216</f>
        <v>4863</v>
      </c>
      <c r="O216" s="9" t="s">
        <v>133</v>
      </c>
      <c r="P216" s="9" t="str">
        <f aca="false">IF(H216=0,"Sin PIM",IF(ROUND(K216-H216,2)&gt;=0,"Devengado total",IF(J216&gt;0.005,"Comprometido",IF(I216&gt;0.005,"Solo certificado","Sin certificar"))))</f>
        <v>Solo certificado</v>
      </c>
      <c r="Q216" s="30" t="n">
        <v>3832600</v>
      </c>
      <c r="R216" s="30" t="n">
        <v>5698456</v>
      </c>
      <c r="S216" s="30" t="n">
        <v>6500000</v>
      </c>
      <c r="T216" s="30" t="n">
        <v>7136543</v>
      </c>
      <c r="U216" s="9"/>
      <c r="V216" s="9"/>
    </row>
    <row r="217" customFormat="false" ht="32.8" hidden="false" customHeight="false" outlineLevel="0" collapsed="false">
      <c r="A217" s="9" t="s">
        <v>89</v>
      </c>
      <c r="B217" s="9" t="s">
        <v>13</v>
      </c>
      <c r="C217" s="9" t="s">
        <v>59</v>
      </c>
      <c r="D217" s="9" t="s">
        <v>49</v>
      </c>
      <c r="E217" s="9" t="s">
        <v>542</v>
      </c>
      <c r="F217" s="9" t="n">
        <v>159</v>
      </c>
      <c r="G217" s="28" t="s">
        <v>543</v>
      </c>
      <c r="H217" s="29" t="n">
        <v>5931027</v>
      </c>
      <c r="I217" s="29" t="n">
        <v>5660459</v>
      </c>
      <c r="J217" s="29" t="n">
        <v>5660459</v>
      </c>
      <c r="K217" s="29" t="n">
        <v>1327663.78</v>
      </c>
      <c r="L217" s="30" t="n">
        <f aca="false">H217-I217</f>
        <v>270568</v>
      </c>
      <c r="M217" s="30" t="n">
        <f aca="false">H217-J217</f>
        <v>270568</v>
      </c>
      <c r="N217" s="30" t="n">
        <f aca="false">H217-K217</f>
        <v>4603363.22</v>
      </c>
      <c r="O217" s="9" t="s">
        <v>120</v>
      </c>
      <c r="P217" s="9" t="str">
        <f aca="false">IF(H217=0,"Sin PIM",IF(ROUND(K217-H217,2)&gt;=0,"Devengado total",IF(J217&gt;0.005,"Comprometido",IF(I217&gt;0.005,"Solo certificado","Sin certificar"))))</f>
        <v>Comprometido</v>
      </c>
      <c r="Q217" s="30" t="n">
        <v>2769903</v>
      </c>
      <c r="R217" s="30" t="n">
        <v>8258956</v>
      </c>
      <c r="S217" s="30" t="n">
        <v>6230701</v>
      </c>
      <c r="T217" s="30" t="n">
        <v>366030</v>
      </c>
      <c r="U217" s="9"/>
      <c r="V217" s="9"/>
    </row>
    <row r="218" customFormat="false" ht="43.25" hidden="false" customHeight="false" outlineLevel="0" collapsed="false">
      <c r="A218" s="9" t="s">
        <v>89</v>
      </c>
      <c r="B218" s="9" t="s">
        <v>13</v>
      </c>
      <c r="C218" s="9" t="s">
        <v>59</v>
      </c>
      <c r="D218" s="9" t="s">
        <v>49</v>
      </c>
      <c r="E218" s="9" t="s">
        <v>544</v>
      </c>
      <c r="F218" s="9" t="n">
        <v>163</v>
      </c>
      <c r="G218" s="28" t="s">
        <v>545</v>
      </c>
      <c r="H218" s="29" t="n">
        <v>178134</v>
      </c>
      <c r="I218" s="29" t="n">
        <v>178134</v>
      </c>
      <c r="J218" s="29" t="n">
        <v>178134</v>
      </c>
      <c r="K218" s="29" t="n">
        <v>122423.54</v>
      </c>
      <c r="L218" s="30" t="n">
        <f aca="false">H218-I218</f>
        <v>0</v>
      </c>
      <c r="M218" s="30" t="n">
        <f aca="false">H218-J218</f>
        <v>0</v>
      </c>
      <c r="N218" s="30" t="n">
        <f aca="false">H218-K218</f>
        <v>55710.46</v>
      </c>
      <c r="O218" s="9" t="s">
        <v>133</v>
      </c>
      <c r="P218" s="9" t="str">
        <f aca="false">IF(H218=0,"Sin PIM",IF(ROUND(K218-H218,2)&gt;=0,"Devengado total",IF(J218&gt;0.005,"Comprometido",IF(I218&gt;0.005,"Solo certificado","Sin certificar"))))</f>
        <v>Comprometido</v>
      </c>
      <c r="Q218" s="30" t="n">
        <v>2805112</v>
      </c>
      <c r="R218" s="30" t="n">
        <v>4556857</v>
      </c>
      <c r="S218" s="30" t="n">
        <v>0</v>
      </c>
      <c r="T218" s="30" t="n">
        <v>0</v>
      </c>
      <c r="U218" s="9"/>
      <c r="V218" s="9"/>
    </row>
    <row r="219" customFormat="false" ht="43.25" hidden="false" customHeight="false" outlineLevel="0" collapsed="false">
      <c r="A219" s="9" t="s">
        <v>89</v>
      </c>
      <c r="B219" s="9" t="s">
        <v>13</v>
      </c>
      <c r="C219" s="9" t="s">
        <v>59</v>
      </c>
      <c r="D219" s="9" t="s">
        <v>49</v>
      </c>
      <c r="E219" s="9" t="s">
        <v>546</v>
      </c>
      <c r="F219" s="9" t="n">
        <v>164</v>
      </c>
      <c r="G219" s="28" t="s">
        <v>547</v>
      </c>
      <c r="H219" s="29" t="n">
        <v>220481</v>
      </c>
      <c r="I219" s="29" t="n">
        <v>194522</v>
      </c>
      <c r="J219" s="29" t="n">
        <v>194522</v>
      </c>
      <c r="K219" s="29" t="n">
        <v>80473.12</v>
      </c>
      <c r="L219" s="30" t="n">
        <f aca="false">H219-I219</f>
        <v>25959</v>
      </c>
      <c r="M219" s="30" t="n">
        <f aca="false">H219-J219</f>
        <v>25959</v>
      </c>
      <c r="N219" s="30" t="n">
        <f aca="false">H219-K219</f>
        <v>140007.88</v>
      </c>
      <c r="O219" s="9" t="s">
        <v>133</v>
      </c>
      <c r="P219" s="9" t="str">
        <f aca="false">IF(H219=0,"Sin PIM",IF(ROUND(K219-H219,2)&gt;=0,"Devengado total",IF(J219&gt;0.005,"Comprometido",IF(I219&gt;0.005,"Solo certificado","Sin certificar"))))</f>
        <v>Comprometido</v>
      </c>
      <c r="Q219" s="30" t="n">
        <v>2000000</v>
      </c>
      <c r="R219" s="30" t="n">
        <v>5654259</v>
      </c>
      <c r="S219" s="30" t="n">
        <v>0</v>
      </c>
      <c r="T219" s="30" t="n">
        <v>500000</v>
      </c>
      <c r="U219" s="9"/>
      <c r="V219" s="9"/>
    </row>
    <row r="220" customFormat="false" ht="32.8" hidden="false" customHeight="false" outlineLevel="0" collapsed="false">
      <c r="A220" s="9" t="s">
        <v>89</v>
      </c>
      <c r="B220" s="9" t="s">
        <v>13</v>
      </c>
      <c r="C220" s="9" t="s">
        <v>59</v>
      </c>
      <c r="D220" s="9" t="s">
        <v>49</v>
      </c>
      <c r="E220" s="9" t="s">
        <v>548</v>
      </c>
      <c r="F220" s="9" t="n">
        <v>171</v>
      </c>
      <c r="G220" s="28" t="s">
        <v>549</v>
      </c>
      <c r="H220" s="29" t="n">
        <v>0</v>
      </c>
      <c r="I220" s="29" t="n">
        <v>0</v>
      </c>
      <c r="J220" s="29" t="n">
        <v>0</v>
      </c>
      <c r="K220" s="29" t="n">
        <v>0</v>
      </c>
      <c r="L220" s="30" t="n">
        <f aca="false">H220-I220</f>
        <v>0</v>
      </c>
      <c r="M220" s="30" t="n">
        <f aca="false">H220-J220</f>
        <v>0</v>
      </c>
      <c r="N220" s="30" t="n">
        <f aca="false">H220-K220</f>
        <v>0</v>
      </c>
      <c r="O220" s="9" t="s">
        <v>120</v>
      </c>
      <c r="P220" s="9" t="str">
        <f aca="false">IF(H220=0,"Sin PIM",IF(ROUND(K220-H220,2)&gt;=0,"Devengado total",IF(J220&gt;0.005,"Comprometido",IF(I220&gt;0.005,"Solo certificado","Sin certificar"))))</f>
        <v>Sin PIM</v>
      </c>
      <c r="Q220" s="30" t="n">
        <v>100000</v>
      </c>
      <c r="R220" s="30" t="n">
        <v>0</v>
      </c>
      <c r="S220" s="30" t="n">
        <v>0</v>
      </c>
      <c r="T220" s="30" t="n">
        <v>0</v>
      </c>
      <c r="U220" s="9"/>
      <c r="V220" s="9"/>
    </row>
    <row r="221" customFormat="false" ht="32.8" hidden="false" customHeight="false" outlineLevel="0" collapsed="false">
      <c r="A221" s="9" t="s">
        <v>89</v>
      </c>
      <c r="B221" s="9" t="s">
        <v>13</v>
      </c>
      <c r="C221" s="9" t="s">
        <v>59</v>
      </c>
      <c r="D221" s="9" t="s">
        <v>49</v>
      </c>
      <c r="E221" s="9" t="s">
        <v>550</v>
      </c>
      <c r="F221" s="9" t="n">
        <v>174</v>
      </c>
      <c r="G221" s="28" t="s">
        <v>551</v>
      </c>
      <c r="H221" s="29" t="n">
        <v>0</v>
      </c>
      <c r="I221" s="29" t="n">
        <v>0</v>
      </c>
      <c r="J221" s="29" t="n">
        <v>0</v>
      </c>
      <c r="K221" s="29" t="n">
        <v>0</v>
      </c>
      <c r="L221" s="30" t="n">
        <f aca="false">H221-I221</f>
        <v>0</v>
      </c>
      <c r="M221" s="30" t="n">
        <f aca="false">H221-J221</f>
        <v>0</v>
      </c>
      <c r="N221" s="30" t="n">
        <f aca="false">H221-K221</f>
        <v>0</v>
      </c>
      <c r="O221" s="9" t="s">
        <v>120</v>
      </c>
      <c r="P221" s="9" t="str">
        <f aca="false">IF(H221=0,"Sin PIM",IF(ROUND(K221-H221,2)&gt;=0,"Devengado total",IF(J221&gt;0.005,"Comprometido",IF(I221&gt;0.005,"Solo certificado","Sin certificar"))))</f>
        <v>Sin PIM</v>
      </c>
      <c r="Q221" s="30" t="n">
        <v>60000</v>
      </c>
      <c r="R221" s="30" t="n">
        <v>0</v>
      </c>
      <c r="S221" s="30" t="n">
        <v>0</v>
      </c>
      <c r="T221" s="30" t="n">
        <v>0</v>
      </c>
      <c r="U221" s="9"/>
      <c r="V221" s="9"/>
    </row>
    <row r="222" customFormat="false" ht="32.8" hidden="false" customHeight="false" outlineLevel="0" collapsed="false">
      <c r="A222" s="9" t="s">
        <v>89</v>
      </c>
      <c r="B222" s="9" t="s">
        <v>13</v>
      </c>
      <c r="C222" s="9" t="s">
        <v>59</v>
      </c>
      <c r="D222" s="9" t="s">
        <v>49</v>
      </c>
      <c r="E222" s="9" t="s">
        <v>552</v>
      </c>
      <c r="F222" s="9" t="n">
        <v>175</v>
      </c>
      <c r="G222" s="28" t="s">
        <v>553</v>
      </c>
      <c r="H222" s="29" t="n">
        <v>29298</v>
      </c>
      <c r="I222" s="29" t="n">
        <v>29298</v>
      </c>
      <c r="J222" s="29" t="n">
        <v>0</v>
      </c>
      <c r="K222" s="29" t="n">
        <v>0</v>
      </c>
      <c r="L222" s="30" t="n">
        <f aca="false">H222-I222</f>
        <v>0</v>
      </c>
      <c r="M222" s="30" t="n">
        <f aca="false">H222-J222</f>
        <v>29298</v>
      </c>
      <c r="N222" s="30" t="n">
        <f aca="false">H222-K222</f>
        <v>29298</v>
      </c>
      <c r="O222" s="9" t="s">
        <v>133</v>
      </c>
      <c r="P222" s="9" t="str">
        <f aca="false">IF(H222=0,"Sin PIM",IF(ROUND(K222-H222,2)&gt;=0,"Devengado total",IF(J222&gt;0.005,"Comprometido",IF(I222&gt;0.005,"Solo certificado","Sin certificar"))))</f>
        <v>Solo certificado</v>
      </c>
      <c r="Q222" s="30" t="n">
        <v>100000</v>
      </c>
      <c r="R222" s="30" t="n">
        <v>0</v>
      </c>
      <c r="S222" s="30" t="n">
        <v>0</v>
      </c>
      <c r="T222" s="30" t="n">
        <v>2483946</v>
      </c>
      <c r="U222" s="9"/>
      <c r="V222" s="9"/>
    </row>
    <row r="223" customFormat="false" ht="32.8" hidden="false" customHeight="false" outlineLevel="0" collapsed="false">
      <c r="A223" s="9" t="s">
        <v>89</v>
      </c>
      <c r="B223" s="9" t="s">
        <v>13</v>
      </c>
      <c r="C223" s="9" t="s">
        <v>59</v>
      </c>
      <c r="D223" s="9" t="s">
        <v>49</v>
      </c>
      <c r="E223" s="9" t="s">
        <v>554</v>
      </c>
      <c r="F223" s="9" t="n">
        <v>176</v>
      </c>
      <c r="G223" s="28" t="s">
        <v>555</v>
      </c>
      <c r="H223" s="29" t="n">
        <v>80000</v>
      </c>
      <c r="I223" s="29" t="n">
        <v>55480</v>
      </c>
      <c r="J223" s="29" t="n">
        <v>55480</v>
      </c>
      <c r="K223" s="29" t="n">
        <v>33156.76</v>
      </c>
      <c r="L223" s="30" t="n">
        <f aca="false">H223-I223</f>
        <v>24520</v>
      </c>
      <c r="M223" s="30" t="n">
        <f aca="false">H223-J223</f>
        <v>24520</v>
      </c>
      <c r="N223" s="30" t="n">
        <f aca="false">H223-K223</f>
        <v>46843.24</v>
      </c>
      <c r="O223" s="9" t="s">
        <v>358</v>
      </c>
      <c r="P223" s="9" t="str">
        <f aca="false">IF(H223=0,"Sin PIM",IF(ROUND(K223-H223,2)&gt;=0,"Devengado total",IF(J223&gt;0.005,"Comprometido",IF(I223&gt;0.005,"Solo certificado","Sin certificar"))))</f>
        <v>Comprometido</v>
      </c>
      <c r="Q223" s="30" t="n">
        <v>80000</v>
      </c>
      <c r="R223" s="30" t="n">
        <v>0</v>
      </c>
      <c r="S223" s="30" t="n">
        <v>0</v>
      </c>
      <c r="T223" s="30" t="n">
        <v>500000</v>
      </c>
      <c r="U223" s="9"/>
      <c r="V223" s="9"/>
    </row>
    <row r="224" customFormat="false" ht="32.8" hidden="false" customHeight="false" outlineLevel="0" collapsed="false">
      <c r="A224" s="9" t="s">
        <v>89</v>
      </c>
      <c r="B224" s="9" t="s">
        <v>13</v>
      </c>
      <c r="C224" s="9" t="s">
        <v>59</v>
      </c>
      <c r="D224" s="9" t="s">
        <v>49</v>
      </c>
      <c r="E224" s="9" t="s">
        <v>556</v>
      </c>
      <c r="F224" s="9" t="n">
        <v>177</v>
      </c>
      <c r="G224" s="28" t="s">
        <v>557</v>
      </c>
      <c r="H224" s="29" t="n">
        <v>0</v>
      </c>
      <c r="I224" s="29" t="n">
        <v>0</v>
      </c>
      <c r="J224" s="29" t="n">
        <v>0</v>
      </c>
      <c r="K224" s="29" t="n">
        <v>0</v>
      </c>
      <c r="L224" s="30" t="n">
        <f aca="false">H224-I224</f>
        <v>0</v>
      </c>
      <c r="M224" s="30" t="n">
        <f aca="false">H224-J224</f>
        <v>0</v>
      </c>
      <c r="N224" s="30" t="n">
        <f aca="false">H224-K224</f>
        <v>0</v>
      </c>
      <c r="O224" s="9" t="s">
        <v>120</v>
      </c>
      <c r="P224" s="9" t="str">
        <f aca="false">IF(H224=0,"Sin PIM",IF(ROUND(K224-H224,2)&gt;=0,"Devengado total",IF(J224&gt;0.005,"Comprometido",IF(I224&gt;0.005,"Solo certificado","Sin certificar"))))</f>
        <v>Sin PIM</v>
      </c>
      <c r="Q224" s="30" t="n">
        <v>50000</v>
      </c>
      <c r="R224" s="30" t="n">
        <v>0</v>
      </c>
      <c r="S224" s="30" t="n">
        <v>0</v>
      </c>
      <c r="T224" s="30" t="n">
        <v>150000</v>
      </c>
      <c r="U224" s="9"/>
      <c r="V224" s="9"/>
    </row>
    <row r="225" customFormat="false" ht="32.8" hidden="false" customHeight="false" outlineLevel="0" collapsed="false">
      <c r="A225" s="9" t="s">
        <v>89</v>
      </c>
      <c r="B225" s="9" t="s">
        <v>13</v>
      </c>
      <c r="C225" s="9" t="s">
        <v>59</v>
      </c>
      <c r="D225" s="9" t="s">
        <v>49</v>
      </c>
      <c r="E225" s="9" t="s">
        <v>558</v>
      </c>
      <c r="F225" s="9" t="n">
        <v>178</v>
      </c>
      <c r="G225" s="28" t="s">
        <v>559</v>
      </c>
      <c r="H225" s="29" t="n">
        <v>209495</v>
      </c>
      <c r="I225" s="29" t="n">
        <v>209495</v>
      </c>
      <c r="J225" s="29" t="n">
        <v>171495</v>
      </c>
      <c r="K225" s="29" t="n">
        <v>98043.32</v>
      </c>
      <c r="L225" s="30" t="n">
        <f aca="false">H225-I225</f>
        <v>0</v>
      </c>
      <c r="M225" s="30" t="n">
        <f aca="false">H225-J225</f>
        <v>38000</v>
      </c>
      <c r="N225" s="30" t="n">
        <f aca="false">H225-K225</f>
        <v>111451.68</v>
      </c>
      <c r="O225" s="9" t="s">
        <v>133</v>
      </c>
      <c r="P225" s="9" t="str">
        <f aca="false">IF(H225=0,"Sin PIM",IF(ROUND(K225-H225,2)&gt;=0,"Devengado total",IF(J225&gt;0.005,"Comprometido",IF(I225&gt;0.005,"Solo certificado","Sin certificar"))))</f>
        <v>Comprometido</v>
      </c>
      <c r="Q225" s="30" t="n">
        <v>50000</v>
      </c>
      <c r="R225" s="30" t="n">
        <v>0</v>
      </c>
      <c r="S225" s="30" t="n">
        <v>0</v>
      </c>
      <c r="T225" s="30" t="n">
        <v>500000</v>
      </c>
      <c r="U225" s="9"/>
      <c r="V225" s="9"/>
    </row>
    <row r="226" customFormat="false" ht="32.8" hidden="false" customHeight="false" outlineLevel="0" collapsed="false">
      <c r="A226" s="9" t="s">
        <v>89</v>
      </c>
      <c r="B226" s="9" t="s">
        <v>13</v>
      </c>
      <c r="C226" s="9" t="s">
        <v>59</v>
      </c>
      <c r="D226" s="9" t="s">
        <v>49</v>
      </c>
      <c r="E226" s="9" t="s">
        <v>560</v>
      </c>
      <c r="F226" s="9" t="n">
        <v>179</v>
      </c>
      <c r="G226" s="28" t="s">
        <v>561</v>
      </c>
      <c r="H226" s="29" t="n">
        <v>400000</v>
      </c>
      <c r="I226" s="29" t="n">
        <v>0</v>
      </c>
      <c r="J226" s="29" t="n">
        <v>0</v>
      </c>
      <c r="K226" s="29" t="n">
        <v>0</v>
      </c>
      <c r="L226" s="30" t="n">
        <f aca="false">H226-I226</f>
        <v>400000</v>
      </c>
      <c r="M226" s="30" t="n">
        <f aca="false">H226-J226</f>
        <v>400000</v>
      </c>
      <c r="N226" s="30" t="n">
        <f aca="false">H226-K226</f>
        <v>400000</v>
      </c>
      <c r="O226" s="9" t="s">
        <v>120</v>
      </c>
      <c r="P226" s="9" t="str">
        <f aca="false">IF(H226=0,"Sin PIM",IF(ROUND(K226-H226,2)&gt;=0,"Devengado total",IF(J226&gt;0.005,"Comprometido",IF(I226&gt;0.005,"Solo certificado","Sin certificar"))))</f>
        <v>Sin certificar</v>
      </c>
      <c r="Q226" s="30" t="n">
        <v>100000</v>
      </c>
      <c r="R226" s="30" t="n">
        <v>1246345</v>
      </c>
      <c r="S226" s="30" t="n">
        <v>0</v>
      </c>
      <c r="T226" s="30" t="n">
        <v>464365</v>
      </c>
      <c r="U226" s="9"/>
      <c r="V226" s="9"/>
    </row>
    <row r="227" customFormat="false" ht="32.8" hidden="false" customHeight="false" outlineLevel="0" collapsed="false">
      <c r="A227" s="9" t="s">
        <v>89</v>
      </c>
      <c r="B227" s="9" t="s">
        <v>13</v>
      </c>
      <c r="C227" s="9" t="s">
        <v>59</v>
      </c>
      <c r="D227" s="9" t="s">
        <v>49</v>
      </c>
      <c r="E227" s="9" t="s">
        <v>562</v>
      </c>
      <c r="F227" s="9" t="n">
        <v>182</v>
      </c>
      <c r="G227" s="28" t="s">
        <v>563</v>
      </c>
      <c r="H227" s="29" t="n">
        <v>179528</v>
      </c>
      <c r="I227" s="29" t="n">
        <v>178381</v>
      </c>
      <c r="J227" s="29" t="n">
        <v>148381</v>
      </c>
      <c r="K227" s="29" t="n">
        <v>136766.03</v>
      </c>
      <c r="L227" s="30" t="n">
        <f aca="false">H227-I227</f>
        <v>1147</v>
      </c>
      <c r="M227" s="30" t="n">
        <f aca="false">H227-J227</f>
        <v>31147</v>
      </c>
      <c r="N227" s="30" t="n">
        <f aca="false">H227-K227</f>
        <v>42761.97</v>
      </c>
      <c r="O227" s="9" t="s">
        <v>133</v>
      </c>
      <c r="P227" s="9" t="str">
        <f aca="false">IF(H227=0,"Sin PIM",IF(ROUND(K227-H227,2)&gt;=0,"Devengado total",IF(J227&gt;0.005,"Comprometido",IF(I227&gt;0.005,"Solo certificado","Sin certificar"))))</f>
        <v>Comprometido</v>
      </c>
      <c r="Q227" s="30" t="n">
        <v>50000</v>
      </c>
      <c r="R227" s="30" t="n">
        <v>0</v>
      </c>
      <c r="S227" s="30" t="n">
        <v>201078</v>
      </c>
      <c r="T227" s="30" t="n">
        <v>201078</v>
      </c>
      <c r="U227" s="9"/>
      <c r="V227" s="9"/>
    </row>
    <row r="228" customFormat="false" ht="32.8" hidden="false" customHeight="false" outlineLevel="0" collapsed="false">
      <c r="A228" s="9" t="s">
        <v>89</v>
      </c>
      <c r="B228" s="9" t="s">
        <v>13</v>
      </c>
      <c r="C228" s="9" t="s">
        <v>59</v>
      </c>
      <c r="D228" s="9" t="s">
        <v>49</v>
      </c>
      <c r="E228" s="9" t="s">
        <v>564</v>
      </c>
      <c r="F228" s="9" t="n">
        <v>183</v>
      </c>
      <c r="G228" s="28" t="s">
        <v>565</v>
      </c>
      <c r="H228" s="29" t="n">
        <v>0</v>
      </c>
      <c r="I228" s="29" t="n">
        <v>0</v>
      </c>
      <c r="J228" s="29" t="n">
        <v>0</v>
      </c>
      <c r="K228" s="29" t="n">
        <v>0</v>
      </c>
      <c r="L228" s="30" t="n">
        <f aca="false">H228-I228</f>
        <v>0</v>
      </c>
      <c r="M228" s="30" t="n">
        <f aca="false">H228-J228</f>
        <v>0</v>
      </c>
      <c r="N228" s="30" t="n">
        <f aca="false">H228-K228</f>
        <v>0</v>
      </c>
      <c r="O228" s="9" t="s">
        <v>120</v>
      </c>
      <c r="P228" s="9" t="str">
        <f aca="false">IF(H228=0,"Sin PIM",IF(ROUND(K228-H228,2)&gt;=0,"Devengado total",IF(J228&gt;0.005,"Comprometido",IF(I228&gt;0.005,"Solo certificado","Sin certificar"))))</f>
        <v>Sin PIM</v>
      </c>
      <c r="Q228" s="30" t="n">
        <v>100000</v>
      </c>
      <c r="R228" s="30" t="n">
        <v>1243456</v>
      </c>
      <c r="S228" s="30" t="n">
        <v>0</v>
      </c>
      <c r="T228" s="30" t="n">
        <v>575449</v>
      </c>
      <c r="U228" s="9"/>
      <c r="V228" s="9"/>
    </row>
    <row r="229" customFormat="false" ht="32.8" hidden="false" customHeight="false" outlineLevel="0" collapsed="false">
      <c r="A229" s="9" t="s">
        <v>89</v>
      </c>
      <c r="B229" s="9" t="s">
        <v>13</v>
      </c>
      <c r="C229" s="9" t="s">
        <v>59</v>
      </c>
      <c r="D229" s="9" t="s">
        <v>49</v>
      </c>
      <c r="E229" s="9" t="s">
        <v>566</v>
      </c>
      <c r="F229" s="9" t="n">
        <v>184</v>
      </c>
      <c r="G229" s="28" t="s">
        <v>567</v>
      </c>
      <c r="H229" s="29" t="n">
        <v>33556</v>
      </c>
      <c r="I229" s="29" t="n">
        <v>33489.5</v>
      </c>
      <c r="J229" s="29" t="n">
        <v>33489.5</v>
      </c>
      <c r="K229" s="29" t="n">
        <v>28428.44</v>
      </c>
      <c r="L229" s="30" t="n">
        <f aca="false">H229-I229</f>
        <v>66.5</v>
      </c>
      <c r="M229" s="30" t="n">
        <f aca="false">H229-J229</f>
        <v>66.5</v>
      </c>
      <c r="N229" s="30" t="n">
        <f aca="false">H229-K229</f>
        <v>5127.56</v>
      </c>
      <c r="O229" s="9" t="s">
        <v>133</v>
      </c>
      <c r="P229" s="9" t="str">
        <f aca="false">IF(H229=0,"Sin PIM",IF(ROUND(K229-H229,2)&gt;=0,"Devengado total",IF(J229&gt;0.005,"Comprometido",IF(I229&gt;0.005,"Solo certificado","Sin certificar"))))</f>
        <v>Comprometido</v>
      </c>
      <c r="Q229" s="30" t="n">
        <v>100000</v>
      </c>
      <c r="R229" s="30" t="n">
        <v>0</v>
      </c>
      <c r="S229" s="30" t="n">
        <v>0</v>
      </c>
      <c r="T229" s="30" t="n">
        <v>849356</v>
      </c>
      <c r="U229" s="9"/>
      <c r="V229" s="9"/>
    </row>
    <row r="230" customFormat="false" ht="32.8" hidden="false" customHeight="false" outlineLevel="0" collapsed="false">
      <c r="A230" s="9" t="s">
        <v>89</v>
      </c>
      <c r="B230" s="9" t="s">
        <v>13</v>
      </c>
      <c r="C230" s="9" t="s">
        <v>59</v>
      </c>
      <c r="D230" s="9" t="s">
        <v>49</v>
      </c>
      <c r="E230" s="9" t="s">
        <v>568</v>
      </c>
      <c r="F230" s="9" t="n">
        <v>185</v>
      </c>
      <c r="G230" s="28" t="s">
        <v>569</v>
      </c>
      <c r="H230" s="29" t="n">
        <v>0</v>
      </c>
      <c r="I230" s="29" t="n">
        <v>0</v>
      </c>
      <c r="J230" s="29" t="n">
        <v>0</v>
      </c>
      <c r="K230" s="29" t="n">
        <v>0</v>
      </c>
      <c r="L230" s="30" t="n">
        <f aca="false">H230-I230</f>
        <v>0</v>
      </c>
      <c r="M230" s="30" t="n">
        <f aca="false">H230-J230</f>
        <v>0</v>
      </c>
      <c r="N230" s="30" t="n">
        <f aca="false">H230-K230</f>
        <v>0</v>
      </c>
      <c r="O230" s="9" t="s">
        <v>120</v>
      </c>
      <c r="P230" s="9" t="str">
        <f aca="false">IF(H230=0,"Sin PIM",IF(ROUND(K230-H230,2)&gt;=0,"Devengado total",IF(J230&gt;0.005,"Comprometido",IF(I230&gt;0.005,"Solo certificado","Sin certificar"))))</f>
        <v>Sin PIM</v>
      </c>
      <c r="Q230" s="30" t="n">
        <v>100000</v>
      </c>
      <c r="R230" s="30" t="n">
        <v>1254345</v>
      </c>
      <c r="S230" s="30" t="n">
        <v>0</v>
      </c>
      <c r="T230" s="30" t="n">
        <v>1672886</v>
      </c>
      <c r="U230" s="9"/>
      <c r="V230" s="9"/>
    </row>
    <row r="231" customFormat="false" ht="32.8" hidden="false" customHeight="false" outlineLevel="0" collapsed="false">
      <c r="A231" s="9" t="s">
        <v>89</v>
      </c>
      <c r="B231" s="9" t="s">
        <v>13</v>
      </c>
      <c r="C231" s="9" t="s">
        <v>59</v>
      </c>
      <c r="D231" s="9" t="s">
        <v>49</v>
      </c>
      <c r="E231" s="9" t="s">
        <v>570</v>
      </c>
      <c r="F231" s="9" t="n">
        <v>186</v>
      </c>
      <c r="G231" s="28" t="s">
        <v>571</v>
      </c>
      <c r="H231" s="29" t="n">
        <v>0</v>
      </c>
      <c r="I231" s="29" t="n">
        <v>0</v>
      </c>
      <c r="J231" s="29" t="n">
        <v>0</v>
      </c>
      <c r="K231" s="29" t="n">
        <v>0</v>
      </c>
      <c r="L231" s="30" t="n">
        <f aca="false">H231-I231</f>
        <v>0</v>
      </c>
      <c r="M231" s="30" t="n">
        <f aca="false">H231-J231</f>
        <v>0</v>
      </c>
      <c r="N231" s="30" t="n">
        <f aca="false">H231-K231</f>
        <v>0</v>
      </c>
      <c r="O231" s="9" t="s">
        <v>120</v>
      </c>
      <c r="P231" s="9" t="str">
        <f aca="false">IF(H231=0,"Sin PIM",IF(ROUND(K231-H231,2)&gt;=0,"Devengado total",IF(J231&gt;0.005,"Comprometido",IF(I231&gt;0.005,"Solo certificado","Sin certificar"))))</f>
        <v>Sin PIM</v>
      </c>
      <c r="Q231" s="30" t="n">
        <v>50000</v>
      </c>
      <c r="R231" s="30" t="n">
        <v>0</v>
      </c>
      <c r="S231" s="30" t="n">
        <v>0</v>
      </c>
      <c r="T231" s="30" t="n">
        <v>1077897</v>
      </c>
      <c r="U231" s="9"/>
      <c r="V231" s="9"/>
    </row>
    <row r="232" customFormat="false" ht="32.8" hidden="false" customHeight="false" outlineLevel="0" collapsed="false">
      <c r="A232" s="9" t="s">
        <v>89</v>
      </c>
      <c r="B232" s="9" t="s">
        <v>13</v>
      </c>
      <c r="C232" s="9" t="s">
        <v>59</v>
      </c>
      <c r="D232" s="9" t="s">
        <v>49</v>
      </c>
      <c r="E232" s="9" t="s">
        <v>572</v>
      </c>
      <c r="F232" s="9" t="n">
        <v>189</v>
      </c>
      <c r="G232" s="28" t="s">
        <v>573</v>
      </c>
      <c r="H232" s="29" t="n">
        <v>106670</v>
      </c>
      <c r="I232" s="29" t="n">
        <v>106670</v>
      </c>
      <c r="J232" s="29" t="n">
        <v>106670</v>
      </c>
      <c r="K232" s="29" t="n">
        <v>96622.29</v>
      </c>
      <c r="L232" s="30" t="n">
        <f aca="false">H232-I232</f>
        <v>0</v>
      </c>
      <c r="M232" s="30" t="n">
        <f aca="false">H232-J232</f>
        <v>0</v>
      </c>
      <c r="N232" s="30" t="n">
        <f aca="false">H232-K232</f>
        <v>10047.71</v>
      </c>
      <c r="O232" s="9" t="s">
        <v>133</v>
      </c>
      <c r="P232" s="9" t="str">
        <f aca="false">IF(H232=0,"Sin PIM",IF(ROUND(K232-H232,2)&gt;=0,"Devengado total",IF(J232&gt;0.005,"Comprometido",IF(I232&gt;0.005,"Solo certificado","Sin certificar"))))</f>
        <v>Comprometido</v>
      </c>
      <c r="Q232" s="30" t="n">
        <v>50000</v>
      </c>
      <c r="R232" s="30" t="n">
        <v>248751</v>
      </c>
      <c r="S232" s="30" t="n">
        <v>290379</v>
      </c>
      <c r="T232" s="30" t="n">
        <v>0</v>
      </c>
      <c r="U232" s="9"/>
      <c r="V232" s="9"/>
    </row>
    <row r="233" customFormat="false" ht="32.8" hidden="false" customHeight="false" outlineLevel="0" collapsed="false">
      <c r="A233" s="9" t="s">
        <v>89</v>
      </c>
      <c r="B233" s="9" t="s">
        <v>13</v>
      </c>
      <c r="C233" s="9" t="s">
        <v>59</v>
      </c>
      <c r="D233" s="9" t="s">
        <v>49</v>
      </c>
      <c r="E233" s="9" t="s">
        <v>574</v>
      </c>
      <c r="F233" s="9" t="n">
        <v>190</v>
      </c>
      <c r="G233" s="28" t="s">
        <v>575</v>
      </c>
      <c r="H233" s="29" t="n">
        <v>306148</v>
      </c>
      <c r="I233" s="29" t="n">
        <v>306148</v>
      </c>
      <c r="J233" s="29" t="n">
        <v>306148</v>
      </c>
      <c r="K233" s="29" t="n">
        <v>268544.1</v>
      </c>
      <c r="L233" s="30" t="n">
        <f aca="false">H233-I233</f>
        <v>0</v>
      </c>
      <c r="M233" s="30" t="n">
        <f aca="false">H233-J233</f>
        <v>0</v>
      </c>
      <c r="N233" s="30" t="n">
        <f aca="false">H233-K233</f>
        <v>37603.9</v>
      </c>
      <c r="O233" s="9" t="s">
        <v>133</v>
      </c>
      <c r="P233" s="9" t="str">
        <f aca="false">IF(H233=0,"Sin PIM",IF(ROUND(K233-H233,2)&gt;=0,"Devengado total",IF(J233&gt;0.005,"Comprometido",IF(I233&gt;0.005,"Solo certificado","Sin certificar"))))</f>
        <v>Comprometido</v>
      </c>
      <c r="Q233" s="30" t="n">
        <v>50000</v>
      </c>
      <c r="R233" s="30" t="n">
        <v>0</v>
      </c>
      <c r="S233" s="30" t="n">
        <v>0</v>
      </c>
      <c r="T233" s="30" t="n">
        <v>1982942</v>
      </c>
      <c r="U233" s="9"/>
      <c r="V233" s="9"/>
    </row>
    <row r="234" customFormat="false" ht="32.8" hidden="false" customHeight="false" outlineLevel="0" collapsed="false">
      <c r="A234" s="9" t="s">
        <v>89</v>
      </c>
      <c r="B234" s="9" t="s">
        <v>13</v>
      </c>
      <c r="C234" s="9" t="s">
        <v>59</v>
      </c>
      <c r="D234" s="9" t="s">
        <v>49</v>
      </c>
      <c r="E234" s="9" t="s">
        <v>576</v>
      </c>
      <c r="F234" s="9" t="n">
        <v>192</v>
      </c>
      <c r="G234" s="28" t="s">
        <v>577</v>
      </c>
      <c r="H234" s="29" t="n">
        <v>159574</v>
      </c>
      <c r="I234" s="29" t="n">
        <v>125168.92</v>
      </c>
      <c r="J234" s="29" t="n">
        <v>125168.92</v>
      </c>
      <c r="K234" s="29" t="n">
        <v>80461.59</v>
      </c>
      <c r="L234" s="30" t="n">
        <f aca="false">H234-I234</f>
        <v>34405.08</v>
      </c>
      <c r="M234" s="30" t="n">
        <f aca="false">H234-J234</f>
        <v>34405.08</v>
      </c>
      <c r="N234" s="30" t="n">
        <f aca="false">H234-K234</f>
        <v>79112.41</v>
      </c>
      <c r="O234" s="9" t="s">
        <v>133</v>
      </c>
      <c r="P234" s="9" t="str">
        <f aca="false">IF(H234=0,"Sin PIM",IF(ROUND(K234-H234,2)&gt;=0,"Devengado total",IF(J234&gt;0.005,"Comprometido",IF(I234&gt;0.005,"Solo certificado","Sin certificar"))))</f>
        <v>Comprometido</v>
      </c>
      <c r="Q234" s="30" t="n">
        <v>50000</v>
      </c>
      <c r="R234" s="30" t="n">
        <v>245742</v>
      </c>
      <c r="S234" s="30" t="n">
        <v>1095319</v>
      </c>
      <c r="T234" s="30" t="n">
        <v>0</v>
      </c>
      <c r="U234" s="9"/>
      <c r="V234" s="9"/>
    </row>
    <row r="235" customFormat="false" ht="43.25" hidden="false" customHeight="false" outlineLevel="0" collapsed="false">
      <c r="A235" s="9" t="s">
        <v>89</v>
      </c>
      <c r="B235" s="9" t="s">
        <v>13</v>
      </c>
      <c r="C235" s="9" t="s">
        <v>59</v>
      </c>
      <c r="D235" s="9" t="s">
        <v>49</v>
      </c>
      <c r="E235" s="9" t="s">
        <v>578</v>
      </c>
      <c r="F235" s="9" t="n">
        <v>194</v>
      </c>
      <c r="G235" s="28" t="s">
        <v>579</v>
      </c>
      <c r="H235" s="29" t="n">
        <v>50467</v>
      </c>
      <c r="I235" s="29" t="n">
        <v>50466.81</v>
      </c>
      <c r="J235" s="29" t="n">
        <v>50466.81</v>
      </c>
      <c r="K235" s="29" t="n">
        <v>48902.8</v>
      </c>
      <c r="L235" s="30" t="n">
        <f aca="false">H235-I235</f>
        <v>0.190000000002328</v>
      </c>
      <c r="M235" s="30" t="n">
        <f aca="false">H235-J235</f>
        <v>0.190000000002328</v>
      </c>
      <c r="N235" s="30" t="n">
        <f aca="false">H235-K235</f>
        <v>1564.2</v>
      </c>
      <c r="O235" s="9" t="s">
        <v>133</v>
      </c>
      <c r="P235" s="9" t="str">
        <f aca="false">IF(H235=0,"Sin PIM",IF(ROUND(K235-H235,2)&gt;=0,"Devengado total",IF(J235&gt;0.005,"Comprometido",IF(I235&gt;0.005,"Solo certificado","Sin certificar"))))</f>
        <v>Comprometido</v>
      </c>
      <c r="Q235" s="30" t="n">
        <v>100000</v>
      </c>
      <c r="R235" s="30" t="n">
        <v>0</v>
      </c>
      <c r="S235" s="30" t="n">
        <v>0</v>
      </c>
      <c r="T235" s="30" t="n">
        <v>1272222</v>
      </c>
      <c r="U235" s="9"/>
      <c r="V235" s="9"/>
    </row>
    <row r="236" customFormat="false" ht="32.8" hidden="false" customHeight="false" outlineLevel="0" collapsed="false">
      <c r="A236" s="9" t="s">
        <v>89</v>
      </c>
      <c r="B236" s="9" t="s">
        <v>13</v>
      </c>
      <c r="C236" s="9" t="s">
        <v>59</v>
      </c>
      <c r="D236" s="9" t="s">
        <v>49</v>
      </c>
      <c r="E236" s="9" t="s">
        <v>580</v>
      </c>
      <c r="F236" s="9" t="n">
        <v>243</v>
      </c>
      <c r="G236" s="28" t="s">
        <v>581</v>
      </c>
      <c r="H236" s="29" t="n">
        <v>0</v>
      </c>
      <c r="I236" s="29" t="n">
        <v>0</v>
      </c>
      <c r="J236" s="29" t="n">
        <v>0</v>
      </c>
      <c r="K236" s="29" t="n">
        <v>0</v>
      </c>
      <c r="L236" s="30" t="n">
        <f aca="false">H236-I236</f>
        <v>0</v>
      </c>
      <c r="M236" s="30" t="n">
        <f aca="false">H236-J236</f>
        <v>0</v>
      </c>
      <c r="N236" s="30" t="n">
        <f aca="false">H236-K236</f>
        <v>0</v>
      </c>
      <c r="O236" s="9" t="s">
        <v>120</v>
      </c>
      <c r="P236" s="9" t="str">
        <f aca="false">IF(H236=0,"Sin PIM",IF(ROUND(K236-H236,2)&gt;=0,"Devengado total",IF(J236&gt;0.005,"Comprometido",IF(I236&gt;0.005,"Solo certificado","Sin certificar"))))</f>
        <v>Sin PIM</v>
      </c>
      <c r="Q236" s="30" t="n">
        <v>1000000</v>
      </c>
      <c r="R236" s="30" t="n">
        <v>0</v>
      </c>
      <c r="S236" s="30" t="n">
        <v>0</v>
      </c>
      <c r="T236" s="30" t="n">
        <v>0</v>
      </c>
      <c r="U236" s="9"/>
      <c r="V236" s="9"/>
    </row>
    <row r="237" customFormat="false" ht="53.7" hidden="false" customHeight="false" outlineLevel="0" collapsed="false">
      <c r="A237" s="9" t="s">
        <v>89</v>
      </c>
      <c r="B237" s="9" t="s">
        <v>13</v>
      </c>
      <c r="C237" s="9" t="s">
        <v>59</v>
      </c>
      <c r="D237" s="9" t="s">
        <v>49</v>
      </c>
      <c r="E237" s="9" t="s">
        <v>582</v>
      </c>
      <c r="F237" s="9" t="n">
        <v>525</v>
      </c>
      <c r="G237" s="28" t="s">
        <v>583</v>
      </c>
      <c r="H237" s="29" t="n">
        <v>2394005</v>
      </c>
      <c r="I237" s="29" t="n">
        <v>0</v>
      </c>
      <c r="J237" s="29" t="n">
        <v>0</v>
      </c>
      <c r="K237" s="29" t="n">
        <v>0</v>
      </c>
      <c r="L237" s="30" t="n">
        <f aca="false">H237-I237</f>
        <v>2394005</v>
      </c>
      <c r="M237" s="30" t="n">
        <f aca="false">H237-J237</f>
        <v>2394005</v>
      </c>
      <c r="N237" s="30" t="n">
        <f aca="false">H237-K237</f>
        <v>2394005</v>
      </c>
      <c r="O237" s="9" t="s">
        <v>120</v>
      </c>
      <c r="P237" s="9" t="str">
        <f aca="false">IF(H237=0,"Sin PIM",IF(ROUND(K237-H237,2)&gt;=0,"Devengado total",IF(J237&gt;0.005,"Comprometido",IF(I237&gt;0.005,"Solo certificado","Sin certificar"))))</f>
        <v>Sin certificar</v>
      </c>
      <c r="Q237" s="30" t="s">
        <v>97</v>
      </c>
      <c r="R237" s="30" t="s">
        <v>97</v>
      </c>
      <c r="S237" s="30" t="s">
        <v>97</v>
      </c>
      <c r="T237" s="30" t="s">
        <v>97</v>
      </c>
      <c r="U237" s="9"/>
      <c r="V237" s="9"/>
    </row>
    <row r="238" customFormat="false" ht="22.35" hidden="false" customHeight="false" outlineLevel="0" collapsed="false">
      <c r="A238" s="9" t="s">
        <v>89</v>
      </c>
      <c r="B238" s="9" t="s">
        <v>13</v>
      </c>
      <c r="C238" s="9" t="s">
        <v>59</v>
      </c>
      <c r="D238" s="9" t="s">
        <v>50</v>
      </c>
      <c r="E238" s="9" t="s">
        <v>584</v>
      </c>
      <c r="F238" s="9" t="n">
        <v>91</v>
      </c>
      <c r="G238" s="28" t="s">
        <v>585</v>
      </c>
      <c r="H238" s="29" t="n">
        <v>350198</v>
      </c>
      <c r="I238" s="29" t="n">
        <v>287570</v>
      </c>
      <c r="J238" s="29" t="n">
        <v>287570</v>
      </c>
      <c r="K238" s="29" t="n">
        <v>252136.73</v>
      </c>
      <c r="L238" s="30" t="n">
        <f aca="false">H238-I238</f>
        <v>62628</v>
      </c>
      <c r="M238" s="30" t="n">
        <f aca="false">H238-J238</f>
        <v>62628</v>
      </c>
      <c r="N238" s="30" t="n">
        <f aca="false">H238-K238</f>
        <v>98061.27</v>
      </c>
      <c r="O238" s="9" t="s">
        <v>133</v>
      </c>
      <c r="P238" s="9" t="str">
        <f aca="false">IF(H238=0,"Sin PIM",IF(ROUND(K238-H238,2)&gt;=0,"Devengado total",IF(J238&gt;0.005,"Comprometido",IF(I238&gt;0.005,"Solo certificado","Sin certificar"))))</f>
        <v>Comprometido</v>
      </c>
      <c r="Q238" s="30" t="n">
        <v>100000</v>
      </c>
      <c r="R238" s="30" t="n">
        <v>0</v>
      </c>
      <c r="S238" s="30" t="n">
        <v>0</v>
      </c>
      <c r="T238" s="30" t="n">
        <v>0</v>
      </c>
      <c r="U238" s="9"/>
      <c r="V238" s="9"/>
    </row>
    <row r="239" customFormat="false" ht="32.8" hidden="false" customHeight="false" outlineLevel="0" collapsed="false">
      <c r="A239" s="9" t="s">
        <v>89</v>
      </c>
      <c r="B239" s="9" t="s">
        <v>13</v>
      </c>
      <c r="C239" s="9" t="s">
        <v>59</v>
      </c>
      <c r="D239" s="9" t="s">
        <v>50</v>
      </c>
      <c r="E239" s="9" t="s">
        <v>586</v>
      </c>
      <c r="F239" s="9" t="n">
        <v>93</v>
      </c>
      <c r="G239" s="28" t="s">
        <v>587</v>
      </c>
      <c r="H239" s="29" t="n">
        <v>0</v>
      </c>
      <c r="I239" s="29" t="n">
        <v>0</v>
      </c>
      <c r="J239" s="29" t="n">
        <v>0</v>
      </c>
      <c r="K239" s="29" t="n">
        <v>0</v>
      </c>
      <c r="L239" s="30" t="n">
        <f aca="false">H239-I239</f>
        <v>0</v>
      </c>
      <c r="M239" s="30" t="n">
        <f aca="false">H239-J239</f>
        <v>0</v>
      </c>
      <c r="N239" s="30" t="n">
        <f aca="false">H239-K239</f>
        <v>0</v>
      </c>
      <c r="O239" s="9" t="s">
        <v>120</v>
      </c>
      <c r="P239" s="9" t="str">
        <f aca="false">IF(H239=0,"Sin PIM",IF(ROUND(K239-H239,2)&gt;=0,"Devengado total",IF(J239&gt;0.005,"Comprometido",IF(I239&gt;0.005,"Solo certificado","Sin certificar"))))</f>
        <v>Sin PIM</v>
      </c>
      <c r="Q239" s="30" t="n">
        <v>100000</v>
      </c>
      <c r="R239" s="30" t="n">
        <v>0</v>
      </c>
      <c r="S239" s="30" t="n">
        <v>0</v>
      </c>
      <c r="T239" s="30" t="n">
        <v>0</v>
      </c>
      <c r="U239" s="9"/>
      <c r="V239" s="9"/>
    </row>
    <row r="240" customFormat="false" ht="64.15" hidden="false" customHeight="false" outlineLevel="0" collapsed="false">
      <c r="A240" s="9" t="s">
        <v>89</v>
      </c>
      <c r="B240" s="9" t="s">
        <v>13</v>
      </c>
      <c r="C240" s="9" t="s">
        <v>59</v>
      </c>
      <c r="D240" s="9" t="s">
        <v>50</v>
      </c>
      <c r="E240" s="9" t="s">
        <v>588</v>
      </c>
      <c r="F240" s="9" t="n">
        <v>102</v>
      </c>
      <c r="G240" s="28" t="s">
        <v>589</v>
      </c>
      <c r="H240" s="29" t="n">
        <v>0</v>
      </c>
      <c r="I240" s="29" t="n">
        <v>0</v>
      </c>
      <c r="J240" s="29" t="n">
        <v>0</v>
      </c>
      <c r="K240" s="29" t="n">
        <v>0</v>
      </c>
      <c r="L240" s="30" t="n">
        <f aca="false">H240-I240</f>
        <v>0</v>
      </c>
      <c r="M240" s="30" t="n">
        <f aca="false">H240-J240</f>
        <v>0</v>
      </c>
      <c r="N240" s="30" t="n">
        <f aca="false">H240-K240</f>
        <v>0</v>
      </c>
      <c r="O240" s="9" t="s">
        <v>120</v>
      </c>
      <c r="P240" s="9" t="str">
        <f aca="false">IF(H240=0,"Sin PIM",IF(ROUND(K240-H240,2)&gt;=0,"Devengado total",IF(J240&gt;0.005,"Comprometido",IF(I240&gt;0.005,"Solo certificado","Sin certificar"))))</f>
        <v>Sin PIM</v>
      </c>
      <c r="Q240" s="30" t="s">
        <v>97</v>
      </c>
      <c r="R240" s="30" t="s">
        <v>97</v>
      </c>
      <c r="S240" s="30" t="s">
        <v>97</v>
      </c>
      <c r="T240" s="30" t="s">
        <v>97</v>
      </c>
      <c r="U240" s="9"/>
      <c r="V240" s="9"/>
    </row>
    <row r="241" customFormat="false" ht="32.8" hidden="false" customHeight="false" outlineLevel="0" collapsed="false">
      <c r="A241" s="9" t="s">
        <v>89</v>
      </c>
      <c r="B241" s="9" t="s">
        <v>13</v>
      </c>
      <c r="C241" s="9" t="s">
        <v>59</v>
      </c>
      <c r="D241" s="9" t="s">
        <v>50</v>
      </c>
      <c r="E241" s="9" t="s">
        <v>590</v>
      </c>
      <c r="F241" s="9" t="n">
        <v>100</v>
      </c>
      <c r="G241" s="28" t="s">
        <v>591</v>
      </c>
      <c r="H241" s="29" t="n">
        <v>0</v>
      </c>
      <c r="I241" s="29" t="n">
        <v>0</v>
      </c>
      <c r="J241" s="29" t="n">
        <v>0</v>
      </c>
      <c r="K241" s="29" t="n">
        <v>0</v>
      </c>
      <c r="L241" s="30" t="n">
        <f aca="false">H241-I241</f>
        <v>0</v>
      </c>
      <c r="M241" s="30" t="n">
        <f aca="false">H241-J241</f>
        <v>0</v>
      </c>
      <c r="N241" s="30" t="n">
        <f aca="false">H241-K241</f>
        <v>0</v>
      </c>
      <c r="O241" s="9" t="s">
        <v>120</v>
      </c>
      <c r="P241" s="9" t="str">
        <f aca="false">IF(H241=0,"Sin PIM",IF(ROUND(K241-H241,2)&gt;=0,"Devengado total",IF(J241&gt;0.005,"Comprometido",IF(I241&gt;0.005,"Solo certificado","Sin certificar"))))</f>
        <v>Sin PIM</v>
      </c>
      <c r="Q241" s="30" t="n">
        <v>7946662</v>
      </c>
      <c r="R241" s="30" t="n">
        <v>0</v>
      </c>
      <c r="S241" s="30" t="n">
        <v>0</v>
      </c>
      <c r="T241" s="30" t="n">
        <v>0</v>
      </c>
      <c r="U241" s="9"/>
      <c r="V241" s="9"/>
    </row>
    <row r="242" customFormat="false" ht="32.8" hidden="false" customHeight="false" outlineLevel="0" collapsed="false">
      <c r="A242" s="9" t="s">
        <v>89</v>
      </c>
      <c r="B242" s="9" t="s">
        <v>13</v>
      </c>
      <c r="C242" s="9" t="s">
        <v>59</v>
      </c>
      <c r="D242" s="9" t="s">
        <v>50</v>
      </c>
      <c r="E242" s="9" t="s">
        <v>592</v>
      </c>
      <c r="F242" s="9" t="n">
        <v>111</v>
      </c>
      <c r="G242" s="28" t="s">
        <v>593</v>
      </c>
      <c r="H242" s="29" t="n">
        <v>0</v>
      </c>
      <c r="I242" s="29" t="n">
        <v>0</v>
      </c>
      <c r="J242" s="29" t="n">
        <v>0</v>
      </c>
      <c r="K242" s="29" t="n">
        <v>0</v>
      </c>
      <c r="L242" s="30" t="n">
        <f aca="false">H242-I242</f>
        <v>0</v>
      </c>
      <c r="M242" s="30" t="n">
        <f aca="false">H242-J242</f>
        <v>0</v>
      </c>
      <c r="N242" s="30" t="n">
        <f aca="false">H242-K242</f>
        <v>0</v>
      </c>
      <c r="O242" s="9" t="s">
        <v>120</v>
      </c>
      <c r="P242" s="9" t="str">
        <f aca="false">IF(H242=0,"Sin PIM",IF(ROUND(K242-H242,2)&gt;=0,"Devengado total",IF(J242&gt;0.005,"Comprometido",IF(I242&gt;0.005,"Solo certificado","Sin certificar"))))</f>
        <v>Sin PIM</v>
      </c>
      <c r="Q242" s="30" t="n">
        <v>2800000</v>
      </c>
      <c r="R242" s="30" t="n">
        <v>0</v>
      </c>
      <c r="S242" s="30" t="n">
        <v>0</v>
      </c>
      <c r="T242" s="30" t="n">
        <v>0</v>
      </c>
      <c r="U242" s="9"/>
      <c r="V242" s="9"/>
    </row>
    <row r="243" customFormat="false" ht="53.7" hidden="false" customHeight="false" outlineLevel="0" collapsed="false">
      <c r="A243" s="9" t="s">
        <v>89</v>
      </c>
      <c r="B243" s="9" t="s">
        <v>13</v>
      </c>
      <c r="C243" s="9" t="s">
        <v>59</v>
      </c>
      <c r="D243" s="9" t="s">
        <v>50</v>
      </c>
      <c r="E243" s="9" t="s">
        <v>594</v>
      </c>
      <c r="F243" s="9" t="n">
        <v>115</v>
      </c>
      <c r="G243" s="28" t="s">
        <v>595</v>
      </c>
      <c r="H243" s="29" t="n">
        <v>100000</v>
      </c>
      <c r="I243" s="29" t="n">
        <v>20000</v>
      </c>
      <c r="J243" s="29" t="n">
        <v>20000</v>
      </c>
      <c r="K243" s="29" t="n">
        <v>13772.3</v>
      </c>
      <c r="L243" s="30" t="n">
        <f aca="false">H243-I243</f>
        <v>80000</v>
      </c>
      <c r="M243" s="30" t="n">
        <f aca="false">H243-J243</f>
        <v>80000</v>
      </c>
      <c r="N243" s="30" t="n">
        <f aca="false">H243-K243</f>
        <v>86227.7</v>
      </c>
      <c r="O243" s="9" t="s">
        <v>133</v>
      </c>
      <c r="P243" s="9" t="str">
        <f aca="false">IF(H243=0,"Sin PIM",IF(ROUND(K243-H243,2)&gt;=0,"Devengado total",IF(J243&gt;0.005,"Comprometido",IF(I243&gt;0.005,"Solo certificado","Sin certificar"))))</f>
        <v>Comprometido</v>
      </c>
      <c r="Q243" s="30" t="n">
        <v>100000</v>
      </c>
      <c r="R243" s="30" t="n">
        <v>452541</v>
      </c>
      <c r="S243" s="30" t="n">
        <v>0</v>
      </c>
      <c r="T243" s="30" t="n">
        <v>1000000</v>
      </c>
      <c r="U243" s="9"/>
      <c r="V243" s="9"/>
    </row>
    <row r="244" customFormat="false" ht="53.7" hidden="false" customHeight="false" outlineLevel="0" collapsed="false">
      <c r="A244" s="9" t="s">
        <v>89</v>
      </c>
      <c r="B244" s="9" t="s">
        <v>13</v>
      </c>
      <c r="C244" s="9" t="s">
        <v>59</v>
      </c>
      <c r="D244" s="9" t="s">
        <v>50</v>
      </c>
      <c r="E244" s="9" t="s">
        <v>596</v>
      </c>
      <c r="F244" s="9" t="n">
        <v>117</v>
      </c>
      <c r="G244" s="28" t="s">
        <v>597</v>
      </c>
      <c r="H244" s="29" t="n">
        <v>391951</v>
      </c>
      <c r="I244" s="29" t="n">
        <v>130000</v>
      </c>
      <c r="J244" s="29" t="n">
        <v>0</v>
      </c>
      <c r="K244" s="29" t="n">
        <v>0</v>
      </c>
      <c r="L244" s="30" t="n">
        <f aca="false">H244-I244</f>
        <v>261951</v>
      </c>
      <c r="M244" s="30" t="n">
        <f aca="false">H244-J244</f>
        <v>391951</v>
      </c>
      <c r="N244" s="30" t="n">
        <f aca="false">H244-K244</f>
        <v>391951</v>
      </c>
      <c r="O244" s="9" t="s">
        <v>133</v>
      </c>
      <c r="P244" s="9" t="str">
        <f aca="false">IF(H244=0,"Sin PIM",IF(ROUND(K244-H244,2)&gt;=0,"Devengado total",IF(J244&gt;0.005,"Comprometido",IF(I244&gt;0.005,"Solo certificado","Sin certificar"))))</f>
        <v>Solo certificado</v>
      </c>
      <c r="Q244" s="30" t="n">
        <v>850000</v>
      </c>
      <c r="R244" s="30" t="n">
        <v>454257</v>
      </c>
      <c r="S244" s="30" t="n">
        <v>0</v>
      </c>
      <c r="T244" s="30" t="n">
        <v>1000000</v>
      </c>
      <c r="U244" s="9"/>
      <c r="V244" s="9"/>
    </row>
    <row r="245" customFormat="false" ht="43.25" hidden="false" customHeight="false" outlineLevel="0" collapsed="false">
      <c r="A245" s="9" t="s">
        <v>89</v>
      </c>
      <c r="B245" s="9" t="s">
        <v>13</v>
      </c>
      <c r="C245" s="9" t="s">
        <v>59</v>
      </c>
      <c r="D245" s="9" t="s">
        <v>50</v>
      </c>
      <c r="E245" s="9" t="s">
        <v>598</v>
      </c>
      <c r="F245" s="9" t="n">
        <v>118</v>
      </c>
      <c r="G245" s="28" t="s">
        <v>599</v>
      </c>
      <c r="H245" s="29" t="n">
        <v>0</v>
      </c>
      <c r="I245" s="29" t="n">
        <v>0</v>
      </c>
      <c r="J245" s="29" t="n">
        <v>0</v>
      </c>
      <c r="K245" s="29" t="n">
        <v>0</v>
      </c>
      <c r="L245" s="30" t="n">
        <f aca="false">H245-I245</f>
        <v>0</v>
      </c>
      <c r="M245" s="30" t="n">
        <f aca="false">H245-J245</f>
        <v>0</v>
      </c>
      <c r="N245" s="30" t="n">
        <f aca="false">H245-K245</f>
        <v>0</v>
      </c>
      <c r="O245" s="9" t="s">
        <v>120</v>
      </c>
      <c r="P245" s="9" t="str">
        <f aca="false">IF(H245=0,"Sin PIM",IF(ROUND(K245-H245,2)&gt;=0,"Devengado total",IF(J245&gt;0.005,"Comprometido",IF(I245&gt;0.005,"Solo certificado","Sin certificar"))))</f>
        <v>Sin PIM</v>
      </c>
      <c r="Q245" s="30" t="n">
        <v>800000</v>
      </c>
      <c r="R245" s="30" t="n">
        <v>0</v>
      </c>
      <c r="S245" s="30" t="n">
        <v>0</v>
      </c>
      <c r="T245" s="30" t="n">
        <v>0</v>
      </c>
      <c r="U245" s="9"/>
      <c r="V245" s="9"/>
    </row>
    <row r="246" customFormat="false" ht="43.25" hidden="false" customHeight="false" outlineLevel="0" collapsed="false">
      <c r="A246" s="9" t="s">
        <v>89</v>
      </c>
      <c r="B246" s="9" t="s">
        <v>13</v>
      </c>
      <c r="C246" s="9" t="s">
        <v>59</v>
      </c>
      <c r="D246" s="9" t="s">
        <v>50</v>
      </c>
      <c r="E246" s="9" t="s">
        <v>600</v>
      </c>
      <c r="F246" s="9" t="n">
        <v>120</v>
      </c>
      <c r="G246" s="28" t="s">
        <v>601</v>
      </c>
      <c r="H246" s="29" t="n">
        <v>171047</v>
      </c>
      <c r="I246" s="29" t="n">
        <v>170547</v>
      </c>
      <c r="J246" s="29" t="n">
        <v>170547</v>
      </c>
      <c r="K246" s="29" t="n">
        <v>142342.18</v>
      </c>
      <c r="L246" s="30" t="n">
        <f aca="false">H246-I246</f>
        <v>500</v>
      </c>
      <c r="M246" s="30" t="n">
        <f aca="false">H246-J246</f>
        <v>500</v>
      </c>
      <c r="N246" s="30" t="n">
        <f aca="false">H246-K246</f>
        <v>28704.82</v>
      </c>
      <c r="O246" s="9" t="s">
        <v>133</v>
      </c>
      <c r="P246" s="9" t="str">
        <f aca="false">IF(H246=0,"Sin PIM",IF(ROUND(K246-H246,2)&gt;=0,"Devengado total",IF(J246&gt;0.005,"Comprometido",IF(I246&gt;0.005,"Solo certificado","Sin certificar"))))</f>
        <v>Comprometido</v>
      </c>
      <c r="Q246" s="30" t="n">
        <v>800000</v>
      </c>
      <c r="R246" s="30" t="n">
        <v>7856258</v>
      </c>
      <c r="S246" s="30" t="n">
        <v>0</v>
      </c>
      <c r="T246" s="30" t="n">
        <v>3000000</v>
      </c>
      <c r="U246" s="9"/>
      <c r="V246" s="9"/>
    </row>
    <row r="247" customFormat="false" ht="85.05" hidden="false" customHeight="false" outlineLevel="0" collapsed="false">
      <c r="A247" s="9" t="s">
        <v>89</v>
      </c>
      <c r="B247" s="9" t="s">
        <v>13</v>
      </c>
      <c r="C247" s="9" t="s">
        <v>59</v>
      </c>
      <c r="D247" s="9" t="s">
        <v>50</v>
      </c>
      <c r="E247" s="9" t="s">
        <v>602</v>
      </c>
      <c r="F247" s="9" t="n">
        <v>122</v>
      </c>
      <c r="G247" s="28" t="s">
        <v>603</v>
      </c>
      <c r="H247" s="29" t="n">
        <v>840279</v>
      </c>
      <c r="I247" s="29" t="n">
        <v>668334</v>
      </c>
      <c r="J247" s="29" t="n">
        <v>668334</v>
      </c>
      <c r="K247" s="29" t="n">
        <v>535432.86</v>
      </c>
      <c r="L247" s="30" t="n">
        <f aca="false">H247-I247</f>
        <v>171945</v>
      </c>
      <c r="M247" s="30" t="n">
        <f aca="false">H247-J247</f>
        <v>171945</v>
      </c>
      <c r="N247" s="30" t="n">
        <f aca="false">H247-K247</f>
        <v>304846.14</v>
      </c>
      <c r="O247" s="9" t="s">
        <v>133</v>
      </c>
      <c r="P247" s="9" t="str">
        <f aca="false">IF(H247=0,"Sin PIM",IF(ROUND(K247-H247,2)&gt;=0,"Devengado total",IF(J247&gt;0.005,"Comprometido",IF(I247&gt;0.005,"Solo certificado","Sin certificar"))))</f>
        <v>Comprometido</v>
      </c>
      <c r="Q247" s="30" t="n">
        <v>800000</v>
      </c>
      <c r="R247" s="30" t="n">
        <v>5485623</v>
      </c>
      <c r="S247" s="30" t="n">
        <v>0</v>
      </c>
      <c r="T247" s="30" t="n">
        <v>1000000</v>
      </c>
      <c r="U247" s="9"/>
      <c r="V247" s="9"/>
    </row>
    <row r="248" customFormat="false" ht="53.7" hidden="false" customHeight="false" outlineLevel="0" collapsed="false">
      <c r="A248" s="9" t="s">
        <v>89</v>
      </c>
      <c r="B248" s="9" t="s">
        <v>13</v>
      </c>
      <c r="C248" s="9" t="s">
        <v>59</v>
      </c>
      <c r="D248" s="9" t="s">
        <v>50</v>
      </c>
      <c r="E248" s="9" t="s">
        <v>604</v>
      </c>
      <c r="F248" s="9" t="n">
        <v>125</v>
      </c>
      <c r="G248" s="28" t="s">
        <v>605</v>
      </c>
      <c r="H248" s="29" t="n">
        <v>674368</v>
      </c>
      <c r="I248" s="29" t="n">
        <v>173868</v>
      </c>
      <c r="J248" s="29" t="n">
        <v>173868</v>
      </c>
      <c r="K248" s="29" t="n">
        <v>97687.86</v>
      </c>
      <c r="L248" s="30" t="n">
        <f aca="false">H248-I248</f>
        <v>500500</v>
      </c>
      <c r="M248" s="30" t="n">
        <f aca="false">H248-J248</f>
        <v>500500</v>
      </c>
      <c r="N248" s="30" t="n">
        <f aca="false">H248-K248</f>
        <v>576680.14</v>
      </c>
      <c r="O248" s="9" t="s">
        <v>316</v>
      </c>
      <c r="P248" s="9" t="str">
        <f aca="false">IF(H248=0,"Sin PIM",IF(ROUND(K248-H248,2)&gt;=0,"Devengado total",IF(J248&gt;0.005,"Comprometido",IF(I248&gt;0.005,"Solo certificado","Sin certificar"))))</f>
        <v>Comprometido</v>
      </c>
      <c r="Q248" s="30" t="n">
        <v>800000</v>
      </c>
      <c r="R248" s="30" t="n">
        <v>8574875</v>
      </c>
      <c r="S248" s="30" t="n">
        <v>0</v>
      </c>
      <c r="T248" s="30" t="n">
        <v>1000000</v>
      </c>
      <c r="U248" s="9"/>
      <c r="V248" s="9"/>
    </row>
    <row r="249" customFormat="false" ht="53.7" hidden="false" customHeight="false" outlineLevel="0" collapsed="false">
      <c r="A249" s="9" t="s">
        <v>89</v>
      </c>
      <c r="B249" s="9" t="s">
        <v>13</v>
      </c>
      <c r="C249" s="9" t="s">
        <v>59</v>
      </c>
      <c r="D249" s="9" t="s">
        <v>50</v>
      </c>
      <c r="E249" s="9" t="s">
        <v>606</v>
      </c>
      <c r="F249" s="9" t="n">
        <v>126</v>
      </c>
      <c r="G249" s="28" t="s">
        <v>607</v>
      </c>
      <c r="H249" s="29" t="n">
        <v>520686</v>
      </c>
      <c r="I249" s="29" t="n">
        <v>519936</v>
      </c>
      <c r="J249" s="29" t="n">
        <v>519936</v>
      </c>
      <c r="K249" s="29" t="n">
        <v>468290.95</v>
      </c>
      <c r="L249" s="30" t="n">
        <f aca="false">H249-I249</f>
        <v>750</v>
      </c>
      <c r="M249" s="30" t="n">
        <f aca="false">H249-J249</f>
        <v>750</v>
      </c>
      <c r="N249" s="30" t="n">
        <f aca="false">H249-K249</f>
        <v>52395.05</v>
      </c>
      <c r="O249" s="9" t="s">
        <v>133</v>
      </c>
      <c r="P249" s="9" t="str">
        <f aca="false">IF(H249=0,"Sin PIM",IF(ROUND(K249-H249,2)&gt;=0,"Devengado total",IF(J249&gt;0.005,"Comprometido",IF(I249&gt;0.005,"Solo certificado","Sin certificar"))))</f>
        <v>Comprometido</v>
      </c>
      <c r="Q249" s="30" t="n">
        <v>800000</v>
      </c>
      <c r="R249" s="30" t="n">
        <v>5500000</v>
      </c>
      <c r="S249" s="30" t="n">
        <v>0</v>
      </c>
      <c r="T249" s="30" t="n">
        <v>1000000</v>
      </c>
      <c r="U249" s="9"/>
      <c r="V249" s="9"/>
    </row>
    <row r="250" customFormat="false" ht="53.7" hidden="false" customHeight="false" outlineLevel="0" collapsed="false">
      <c r="A250" s="9" t="s">
        <v>89</v>
      </c>
      <c r="B250" s="9" t="s">
        <v>13</v>
      </c>
      <c r="C250" s="9" t="s">
        <v>59</v>
      </c>
      <c r="D250" s="9" t="s">
        <v>50</v>
      </c>
      <c r="E250" s="9" t="s">
        <v>608</v>
      </c>
      <c r="F250" s="9" t="n">
        <v>127</v>
      </c>
      <c r="G250" s="28" t="s">
        <v>609</v>
      </c>
      <c r="H250" s="29" t="n">
        <v>321536</v>
      </c>
      <c r="I250" s="29" t="n">
        <v>319536</v>
      </c>
      <c r="J250" s="29" t="n">
        <v>319536</v>
      </c>
      <c r="K250" s="29" t="n">
        <v>219666.12</v>
      </c>
      <c r="L250" s="30" t="n">
        <f aca="false">H250-I250</f>
        <v>2000</v>
      </c>
      <c r="M250" s="30" t="n">
        <f aca="false">H250-J250</f>
        <v>2000</v>
      </c>
      <c r="N250" s="30" t="n">
        <f aca="false">H250-K250</f>
        <v>101869.88</v>
      </c>
      <c r="O250" s="9" t="s">
        <v>133</v>
      </c>
      <c r="P250" s="9" t="str">
        <f aca="false">IF(H250=0,"Sin PIM",IF(ROUND(K250-H250,2)&gt;=0,"Devengado total",IF(J250&gt;0.005,"Comprometido",IF(I250&gt;0.005,"Solo certificado","Sin certificar"))))</f>
        <v>Comprometido</v>
      </c>
      <c r="Q250" s="30" t="n">
        <v>157636</v>
      </c>
      <c r="R250" s="30" t="n">
        <v>12958615</v>
      </c>
      <c r="S250" s="30" t="n">
        <v>0</v>
      </c>
      <c r="T250" s="30" t="n">
        <v>6000000</v>
      </c>
      <c r="U250" s="9"/>
      <c r="V250" s="9"/>
    </row>
    <row r="251" customFormat="false" ht="53.7" hidden="false" customHeight="false" outlineLevel="0" collapsed="false">
      <c r="A251" s="9" t="s">
        <v>89</v>
      </c>
      <c r="B251" s="9" t="s">
        <v>13</v>
      </c>
      <c r="C251" s="9" t="s">
        <v>59</v>
      </c>
      <c r="D251" s="9" t="s">
        <v>50</v>
      </c>
      <c r="E251" s="9" t="s">
        <v>610</v>
      </c>
      <c r="F251" s="9" t="n">
        <v>129</v>
      </c>
      <c r="G251" s="28" t="s">
        <v>611</v>
      </c>
      <c r="H251" s="29" t="n">
        <v>230847</v>
      </c>
      <c r="I251" s="29" t="n">
        <v>230597</v>
      </c>
      <c r="J251" s="29" t="n">
        <v>230597</v>
      </c>
      <c r="K251" s="29" t="n">
        <v>178545.33</v>
      </c>
      <c r="L251" s="30" t="n">
        <f aca="false">H251-I251</f>
        <v>250</v>
      </c>
      <c r="M251" s="30" t="n">
        <f aca="false">H251-J251</f>
        <v>250</v>
      </c>
      <c r="N251" s="30" t="n">
        <f aca="false">H251-K251</f>
        <v>52301.67</v>
      </c>
      <c r="O251" s="9" t="s">
        <v>133</v>
      </c>
      <c r="P251" s="9" t="str">
        <f aca="false">IF(H251=0,"Sin PIM",IF(ROUND(K251-H251,2)&gt;=0,"Devengado total",IF(J251&gt;0.005,"Comprometido",IF(I251&gt;0.005,"Solo certificado","Sin certificar"))))</f>
        <v>Comprometido</v>
      </c>
      <c r="Q251" s="30" t="n">
        <v>800000</v>
      </c>
      <c r="R251" s="30" t="n">
        <v>0</v>
      </c>
      <c r="S251" s="30" t="n">
        <v>0</v>
      </c>
      <c r="T251" s="30" t="n">
        <v>1000000</v>
      </c>
      <c r="U251" s="9"/>
      <c r="V251" s="9"/>
    </row>
    <row r="252" customFormat="false" ht="43.25" hidden="false" customHeight="false" outlineLevel="0" collapsed="false">
      <c r="A252" s="9" t="s">
        <v>89</v>
      </c>
      <c r="B252" s="9" t="s">
        <v>13</v>
      </c>
      <c r="C252" s="9" t="s">
        <v>59</v>
      </c>
      <c r="D252" s="9" t="s">
        <v>50</v>
      </c>
      <c r="E252" s="9" t="s">
        <v>612</v>
      </c>
      <c r="F252" s="9" t="n">
        <v>130</v>
      </c>
      <c r="G252" s="28" t="s">
        <v>613</v>
      </c>
      <c r="H252" s="29" t="n">
        <v>349206</v>
      </c>
      <c r="I252" s="29" t="n">
        <v>349206</v>
      </c>
      <c r="J252" s="29" t="n">
        <v>294147.4</v>
      </c>
      <c r="K252" s="29" t="n">
        <v>281441.1</v>
      </c>
      <c r="L252" s="30" t="n">
        <f aca="false">H252-I252</f>
        <v>0</v>
      </c>
      <c r="M252" s="30" t="n">
        <f aca="false">H252-J252</f>
        <v>55058.6</v>
      </c>
      <c r="N252" s="30" t="n">
        <f aca="false">H252-K252</f>
        <v>67764.9</v>
      </c>
      <c r="O252" s="9" t="s">
        <v>133</v>
      </c>
      <c r="P252" s="9" t="str">
        <f aca="false">IF(H252=0,"Sin PIM",IF(ROUND(K252-H252,2)&gt;=0,"Devengado total",IF(J252&gt;0.005,"Comprometido",IF(I252&gt;0.005,"Solo certificado","Sin certificar"))))</f>
        <v>Comprometido</v>
      </c>
      <c r="Q252" s="30" t="n">
        <v>800000</v>
      </c>
      <c r="R252" s="30" t="n">
        <v>354785</v>
      </c>
      <c r="S252" s="30" t="n">
        <v>0</v>
      </c>
      <c r="T252" s="30" t="n">
        <v>500000</v>
      </c>
      <c r="U252" s="9"/>
      <c r="V252" s="9"/>
    </row>
    <row r="253" customFormat="false" ht="43.25" hidden="false" customHeight="false" outlineLevel="0" collapsed="false">
      <c r="A253" s="9" t="s">
        <v>89</v>
      </c>
      <c r="B253" s="9" t="s">
        <v>13</v>
      </c>
      <c r="C253" s="9" t="s">
        <v>59</v>
      </c>
      <c r="D253" s="9" t="s">
        <v>50</v>
      </c>
      <c r="E253" s="9" t="s">
        <v>614</v>
      </c>
      <c r="F253" s="9" t="n">
        <v>131</v>
      </c>
      <c r="G253" s="28" t="s">
        <v>615</v>
      </c>
      <c r="H253" s="29" t="n">
        <v>239379</v>
      </c>
      <c r="I253" s="29" t="n">
        <v>211500</v>
      </c>
      <c r="J253" s="29" t="n">
        <v>211500</v>
      </c>
      <c r="K253" s="29" t="n">
        <v>95146.6</v>
      </c>
      <c r="L253" s="30" t="n">
        <f aca="false">H253-I253</f>
        <v>27879</v>
      </c>
      <c r="M253" s="30" t="n">
        <f aca="false">H253-J253</f>
        <v>27879</v>
      </c>
      <c r="N253" s="30" t="n">
        <f aca="false">H253-K253</f>
        <v>144232.4</v>
      </c>
      <c r="O253" s="9" t="s">
        <v>133</v>
      </c>
      <c r="P253" s="9" t="str">
        <f aca="false">IF(H253=0,"Sin PIM",IF(ROUND(K253-H253,2)&gt;=0,"Devengado total",IF(J253&gt;0.005,"Comprometido",IF(I253&gt;0.005,"Solo certificado","Sin certificar"))))</f>
        <v>Comprometido</v>
      </c>
      <c r="Q253" s="30" t="n">
        <v>500000</v>
      </c>
      <c r="R253" s="30" t="n">
        <v>251485</v>
      </c>
      <c r="S253" s="30" t="n">
        <v>0</v>
      </c>
      <c r="T253" s="30" t="n">
        <v>960621</v>
      </c>
      <c r="U253" s="9"/>
      <c r="V253" s="9"/>
    </row>
    <row r="254" customFormat="false" ht="53.7" hidden="false" customHeight="false" outlineLevel="0" collapsed="false">
      <c r="A254" s="9" t="s">
        <v>89</v>
      </c>
      <c r="B254" s="9" t="s">
        <v>13</v>
      </c>
      <c r="C254" s="9" t="s">
        <v>59</v>
      </c>
      <c r="D254" s="9" t="s">
        <v>50</v>
      </c>
      <c r="E254" s="9" t="s">
        <v>616</v>
      </c>
      <c r="F254" s="9" t="n">
        <v>132</v>
      </c>
      <c r="G254" s="28" t="s">
        <v>617</v>
      </c>
      <c r="H254" s="29" t="n">
        <v>118786</v>
      </c>
      <c r="I254" s="29" t="n">
        <v>112400</v>
      </c>
      <c r="J254" s="29" t="n">
        <v>82400</v>
      </c>
      <c r="K254" s="29" t="n">
        <v>76261.18</v>
      </c>
      <c r="L254" s="30" t="n">
        <f aca="false">H254-I254</f>
        <v>6386</v>
      </c>
      <c r="M254" s="30" t="n">
        <f aca="false">H254-J254</f>
        <v>36386</v>
      </c>
      <c r="N254" s="30" t="n">
        <f aca="false">H254-K254</f>
        <v>42524.82</v>
      </c>
      <c r="O254" s="9" t="s">
        <v>133</v>
      </c>
      <c r="P254" s="9" t="str">
        <f aca="false">IF(H254=0,"Sin PIM",IF(ROUND(K254-H254,2)&gt;=0,"Devengado total",IF(J254&gt;0.005,"Comprometido",IF(I254&gt;0.005,"Solo certificado","Sin certificar"))))</f>
        <v>Comprometido</v>
      </c>
      <c r="Q254" s="30" t="n">
        <v>800000</v>
      </c>
      <c r="R254" s="30" t="n">
        <v>854254</v>
      </c>
      <c r="S254" s="30" t="n">
        <v>0</v>
      </c>
      <c r="T254" s="30" t="n">
        <v>1000000</v>
      </c>
      <c r="U254" s="9"/>
      <c r="V254" s="9"/>
    </row>
    <row r="255" customFormat="false" ht="53.7" hidden="false" customHeight="false" outlineLevel="0" collapsed="false">
      <c r="A255" s="9" t="s">
        <v>89</v>
      </c>
      <c r="B255" s="9" t="s">
        <v>13</v>
      </c>
      <c r="C255" s="9" t="s">
        <v>59</v>
      </c>
      <c r="D255" s="9" t="s">
        <v>50</v>
      </c>
      <c r="E255" s="9" t="s">
        <v>618</v>
      </c>
      <c r="F255" s="9" t="n">
        <v>133</v>
      </c>
      <c r="G255" s="28" t="s">
        <v>619</v>
      </c>
      <c r="H255" s="29" t="n">
        <v>141416</v>
      </c>
      <c r="I255" s="29" t="n">
        <v>130450</v>
      </c>
      <c r="J255" s="29" t="n">
        <v>100950</v>
      </c>
      <c r="K255" s="29" t="n">
        <v>91615.61</v>
      </c>
      <c r="L255" s="30" t="n">
        <f aca="false">H255-I255</f>
        <v>10966</v>
      </c>
      <c r="M255" s="30" t="n">
        <f aca="false">H255-J255</f>
        <v>40466</v>
      </c>
      <c r="N255" s="30" t="n">
        <f aca="false">H255-K255</f>
        <v>49800.39</v>
      </c>
      <c r="O255" s="9" t="s">
        <v>133</v>
      </c>
      <c r="P255" s="9" t="str">
        <f aca="false">IF(H255=0,"Sin PIM",IF(ROUND(K255-H255,2)&gt;=0,"Devengado total",IF(J255&gt;0.005,"Comprometido",IF(I255&gt;0.005,"Solo certificado","Sin certificar"))))</f>
        <v>Comprometido</v>
      </c>
      <c r="Q255" s="30" t="n">
        <v>583691</v>
      </c>
      <c r="R255" s="30" t="n">
        <v>7526548</v>
      </c>
      <c r="S255" s="30" t="n">
        <v>0</v>
      </c>
      <c r="T255" s="30" t="n">
        <v>0</v>
      </c>
      <c r="U255" s="9"/>
      <c r="V255" s="9"/>
    </row>
    <row r="256" customFormat="false" ht="43.25" hidden="false" customHeight="false" outlineLevel="0" collapsed="false">
      <c r="A256" s="9" t="s">
        <v>89</v>
      </c>
      <c r="B256" s="9" t="s">
        <v>13</v>
      </c>
      <c r="C256" s="9" t="s">
        <v>59</v>
      </c>
      <c r="D256" s="9" t="s">
        <v>50</v>
      </c>
      <c r="E256" s="9" t="s">
        <v>620</v>
      </c>
      <c r="F256" s="9" t="n">
        <v>134</v>
      </c>
      <c r="G256" s="28" t="s">
        <v>621</v>
      </c>
      <c r="H256" s="29" t="n">
        <v>230550</v>
      </c>
      <c r="I256" s="29" t="n">
        <v>189499</v>
      </c>
      <c r="J256" s="29" t="n">
        <v>183174</v>
      </c>
      <c r="K256" s="29" t="n">
        <v>146384.23</v>
      </c>
      <c r="L256" s="30" t="n">
        <f aca="false">H256-I256</f>
        <v>41051</v>
      </c>
      <c r="M256" s="30" t="n">
        <f aca="false">H256-J256</f>
        <v>47376</v>
      </c>
      <c r="N256" s="30" t="n">
        <f aca="false">H256-K256</f>
        <v>84165.77</v>
      </c>
      <c r="O256" s="9" t="s">
        <v>133</v>
      </c>
      <c r="P256" s="9" t="str">
        <f aca="false">IF(H256=0,"Sin PIM",IF(ROUND(K256-H256,2)&gt;=0,"Devengado total",IF(J256&gt;0.005,"Comprometido",IF(I256&gt;0.005,"Solo certificado","Sin certificar"))))</f>
        <v>Comprometido</v>
      </c>
      <c r="Q256" s="30" t="n">
        <v>800000</v>
      </c>
      <c r="R256" s="30" t="n">
        <v>0</v>
      </c>
      <c r="S256" s="30" t="n">
        <v>0</v>
      </c>
      <c r="T256" s="30" t="n">
        <v>1000000</v>
      </c>
      <c r="U256" s="9"/>
      <c r="V256" s="9"/>
    </row>
    <row r="257" customFormat="false" ht="53.7" hidden="false" customHeight="false" outlineLevel="0" collapsed="false">
      <c r="A257" s="9" t="s">
        <v>89</v>
      </c>
      <c r="B257" s="9" t="s">
        <v>13</v>
      </c>
      <c r="C257" s="9" t="s">
        <v>59</v>
      </c>
      <c r="D257" s="9" t="s">
        <v>50</v>
      </c>
      <c r="E257" s="9" t="s">
        <v>622</v>
      </c>
      <c r="F257" s="9" t="n">
        <v>135</v>
      </c>
      <c r="G257" s="28" t="s">
        <v>623</v>
      </c>
      <c r="H257" s="29" t="n">
        <v>490000</v>
      </c>
      <c r="I257" s="29" t="n">
        <v>490000</v>
      </c>
      <c r="J257" s="29" t="n">
        <v>490000</v>
      </c>
      <c r="K257" s="29" t="n">
        <v>369844.42</v>
      </c>
      <c r="L257" s="30" t="n">
        <f aca="false">H257-I257</f>
        <v>0</v>
      </c>
      <c r="M257" s="30" t="n">
        <f aca="false">H257-J257</f>
        <v>0</v>
      </c>
      <c r="N257" s="30" t="n">
        <f aca="false">H257-K257</f>
        <v>120155.58</v>
      </c>
      <c r="O257" s="9" t="s">
        <v>133</v>
      </c>
      <c r="P257" s="9" t="str">
        <f aca="false">IF(H257=0,"Sin PIM",IF(ROUND(K257-H257,2)&gt;=0,"Devengado total",IF(J257&gt;0.005,"Comprometido",IF(I257&gt;0.005,"Solo certificado","Sin certificar"))))</f>
        <v>Comprometido</v>
      </c>
      <c r="Q257" s="30" t="n">
        <v>50000</v>
      </c>
      <c r="R257" s="30" t="n">
        <v>0</v>
      </c>
      <c r="S257" s="30" t="n">
        <v>0</v>
      </c>
      <c r="T257" s="30" t="n">
        <v>0</v>
      </c>
      <c r="U257" s="9"/>
      <c r="V257" s="9"/>
    </row>
    <row r="258" customFormat="false" ht="53.7" hidden="false" customHeight="false" outlineLevel="0" collapsed="false">
      <c r="A258" s="9" t="s">
        <v>89</v>
      </c>
      <c r="B258" s="9" t="s">
        <v>13</v>
      </c>
      <c r="C258" s="9" t="s">
        <v>59</v>
      </c>
      <c r="D258" s="9" t="s">
        <v>50</v>
      </c>
      <c r="E258" s="9" t="s">
        <v>624</v>
      </c>
      <c r="F258" s="9" t="n">
        <v>136</v>
      </c>
      <c r="G258" s="28" t="s">
        <v>625</v>
      </c>
      <c r="H258" s="29" t="n">
        <v>0</v>
      </c>
      <c r="I258" s="29" t="n">
        <v>0</v>
      </c>
      <c r="J258" s="29" t="n">
        <v>0</v>
      </c>
      <c r="K258" s="29" t="n">
        <v>0</v>
      </c>
      <c r="L258" s="30" t="n">
        <f aca="false">H258-I258</f>
        <v>0</v>
      </c>
      <c r="M258" s="30" t="n">
        <f aca="false">H258-J258</f>
        <v>0</v>
      </c>
      <c r="N258" s="30" t="n">
        <f aca="false">H258-K258</f>
        <v>0</v>
      </c>
      <c r="O258" s="9" t="s">
        <v>120</v>
      </c>
      <c r="P258" s="9" t="str">
        <f aca="false">IF(H258=0,"Sin PIM",IF(ROUND(K258-H258,2)&gt;=0,"Devengado total",IF(J258&gt;0.005,"Comprometido",IF(I258&gt;0.005,"Solo certificado","Sin certificar"))))</f>
        <v>Sin PIM</v>
      </c>
      <c r="Q258" s="30" t="n">
        <v>67202</v>
      </c>
      <c r="R258" s="30" t="n">
        <v>0</v>
      </c>
      <c r="S258" s="30" t="n">
        <v>5000000</v>
      </c>
      <c r="T258" s="30" t="n">
        <v>0</v>
      </c>
      <c r="U258" s="9"/>
      <c r="V258" s="9"/>
    </row>
    <row r="259" customFormat="false" ht="53.7" hidden="false" customHeight="false" outlineLevel="0" collapsed="false">
      <c r="A259" s="9" t="s">
        <v>89</v>
      </c>
      <c r="B259" s="9" t="s">
        <v>13</v>
      </c>
      <c r="C259" s="9" t="s">
        <v>59</v>
      </c>
      <c r="D259" s="9" t="s">
        <v>50</v>
      </c>
      <c r="E259" s="9" t="s">
        <v>626</v>
      </c>
      <c r="F259" s="9" t="n">
        <v>137</v>
      </c>
      <c r="G259" s="28" t="s">
        <v>627</v>
      </c>
      <c r="H259" s="29" t="n">
        <v>601668</v>
      </c>
      <c r="I259" s="29" t="n">
        <v>584518</v>
      </c>
      <c r="J259" s="29" t="n">
        <v>532195</v>
      </c>
      <c r="K259" s="29" t="n">
        <v>242760.63</v>
      </c>
      <c r="L259" s="30" t="n">
        <f aca="false">H259-I259</f>
        <v>17150</v>
      </c>
      <c r="M259" s="30" t="n">
        <f aca="false">H259-J259</f>
        <v>69473</v>
      </c>
      <c r="N259" s="30" t="n">
        <f aca="false">H259-K259</f>
        <v>358907.37</v>
      </c>
      <c r="O259" s="9" t="s">
        <v>133</v>
      </c>
      <c r="P259" s="9" t="str">
        <f aca="false">IF(H259=0,"Sin PIM",IF(ROUND(K259-H259,2)&gt;=0,"Devengado total",IF(J259&gt;0.005,"Comprometido",IF(I259&gt;0.005,"Solo certificado","Sin certificar"))))</f>
        <v>Comprometido</v>
      </c>
      <c r="Q259" s="30" t="n">
        <v>50000</v>
      </c>
      <c r="R259" s="30" t="n">
        <v>348574</v>
      </c>
      <c r="S259" s="30" t="n">
        <v>0</v>
      </c>
      <c r="T259" s="30" t="n">
        <v>800000</v>
      </c>
      <c r="U259" s="9"/>
      <c r="V259" s="9"/>
    </row>
    <row r="260" customFormat="false" ht="53.7" hidden="false" customHeight="false" outlineLevel="0" collapsed="false">
      <c r="A260" s="9" t="s">
        <v>89</v>
      </c>
      <c r="B260" s="9" t="s">
        <v>13</v>
      </c>
      <c r="C260" s="9" t="s">
        <v>59</v>
      </c>
      <c r="D260" s="9" t="s">
        <v>50</v>
      </c>
      <c r="E260" s="9" t="s">
        <v>628</v>
      </c>
      <c r="F260" s="9" t="n">
        <v>138</v>
      </c>
      <c r="G260" s="28" t="s">
        <v>629</v>
      </c>
      <c r="H260" s="29" t="n">
        <v>870779</v>
      </c>
      <c r="I260" s="29" t="n">
        <v>870779</v>
      </c>
      <c r="J260" s="29" t="n">
        <v>870779</v>
      </c>
      <c r="K260" s="29" t="n">
        <v>391730.07</v>
      </c>
      <c r="L260" s="30" t="n">
        <f aca="false">H260-I260</f>
        <v>0</v>
      </c>
      <c r="M260" s="30" t="n">
        <f aca="false">H260-J260</f>
        <v>0</v>
      </c>
      <c r="N260" s="30" t="n">
        <f aca="false">H260-K260</f>
        <v>479048.93</v>
      </c>
      <c r="O260" s="9" t="s">
        <v>133</v>
      </c>
      <c r="P260" s="9" t="str">
        <f aca="false">IF(H260=0,"Sin PIM",IF(ROUND(K260-H260,2)&gt;=0,"Devengado total",IF(J260&gt;0.005,"Comprometido",IF(I260&gt;0.005,"Solo certificado","Sin certificar"))))</f>
        <v>Comprometido</v>
      </c>
      <c r="Q260" s="30" t="n">
        <v>50000</v>
      </c>
      <c r="R260" s="30" t="n">
        <v>0</v>
      </c>
      <c r="S260" s="30" t="n">
        <v>0</v>
      </c>
      <c r="T260" s="30" t="n">
        <v>1000000</v>
      </c>
      <c r="U260" s="9"/>
      <c r="V260" s="9"/>
    </row>
    <row r="261" customFormat="false" ht="43.25" hidden="false" customHeight="false" outlineLevel="0" collapsed="false">
      <c r="A261" s="9" t="s">
        <v>89</v>
      </c>
      <c r="B261" s="9" t="s">
        <v>13</v>
      </c>
      <c r="C261" s="9" t="s">
        <v>59</v>
      </c>
      <c r="D261" s="9" t="s">
        <v>50</v>
      </c>
      <c r="E261" s="9" t="s">
        <v>630</v>
      </c>
      <c r="F261" s="9" t="n">
        <v>139</v>
      </c>
      <c r="G261" s="28" t="s">
        <v>631</v>
      </c>
      <c r="H261" s="29" t="n">
        <v>101523</v>
      </c>
      <c r="I261" s="29" t="n">
        <v>99920.24</v>
      </c>
      <c r="J261" s="29" t="n">
        <v>99920.24</v>
      </c>
      <c r="K261" s="29" t="n">
        <v>99920.24</v>
      </c>
      <c r="L261" s="30" t="n">
        <f aca="false">H261-I261</f>
        <v>1602.75999999999</v>
      </c>
      <c r="M261" s="30" t="n">
        <f aca="false">H261-J261</f>
        <v>1602.75999999999</v>
      </c>
      <c r="N261" s="30" t="n">
        <f aca="false">H261-K261</f>
        <v>1602.75999999999</v>
      </c>
      <c r="O261" s="9" t="s">
        <v>133</v>
      </c>
      <c r="P261" s="9" t="str">
        <f aca="false">IF(H261=0,"Sin PIM",IF(ROUND(K261-H261,2)&gt;=0,"Devengado total",IF(J261&gt;0.005,"Comprometido",IF(I261&gt;0.005,"Solo certificado","Sin certificar"))))</f>
        <v>Comprometido</v>
      </c>
      <c r="Q261" s="30" t="n">
        <v>50000</v>
      </c>
      <c r="R261" s="30" t="n">
        <v>2859865</v>
      </c>
      <c r="S261" s="30" t="n">
        <v>0</v>
      </c>
      <c r="T261" s="30" t="n">
        <v>2881732</v>
      </c>
      <c r="U261" s="9"/>
      <c r="V261" s="9"/>
    </row>
    <row r="262" customFormat="false" ht="64.15" hidden="false" customHeight="false" outlineLevel="0" collapsed="false">
      <c r="A262" s="9" t="s">
        <v>89</v>
      </c>
      <c r="B262" s="9" t="s">
        <v>13</v>
      </c>
      <c r="C262" s="9" t="s">
        <v>59</v>
      </c>
      <c r="D262" s="9" t="s">
        <v>50</v>
      </c>
      <c r="E262" s="9" t="s">
        <v>632</v>
      </c>
      <c r="F262" s="9" t="n">
        <v>140</v>
      </c>
      <c r="G262" s="28" t="s">
        <v>633</v>
      </c>
      <c r="H262" s="29" t="n">
        <v>0</v>
      </c>
      <c r="I262" s="29" t="n">
        <v>0</v>
      </c>
      <c r="J262" s="29" t="n">
        <v>0</v>
      </c>
      <c r="K262" s="29" t="n">
        <v>0</v>
      </c>
      <c r="L262" s="30" t="n">
        <f aca="false">H262-I262</f>
        <v>0</v>
      </c>
      <c r="M262" s="30" t="n">
        <f aca="false">H262-J262</f>
        <v>0</v>
      </c>
      <c r="N262" s="30" t="n">
        <f aca="false">H262-K262</f>
        <v>0</v>
      </c>
      <c r="O262" s="9" t="s">
        <v>120</v>
      </c>
      <c r="P262" s="9" t="str">
        <f aca="false">IF(H262=0,"Sin PIM",IF(ROUND(K262-H262,2)&gt;=0,"Devengado total",IF(J262&gt;0.005,"Comprometido",IF(I262&gt;0.005,"Solo certificado","Sin certificar"))))</f>
        <v>Sin PIM</v>
      </c>
      <c r="Q262" s="30" t="n">
        <v>800000</v>
      </c>
      <c r="R262" s="30" t="n">
        <v>0</v>
      </c>
      <c r="S262" s="30" t="n">
        <v>0</v>
      </c>
      <c r="T262" s="30" t="n">
        <v>2500000</v>
      </c>
      <c r="U262" s="9"/>
      <c r="V262" s="9"/>
    </row>
    <row r="263" customFormat="false" ht="43.25" hidden="false" customHeight="false" outlineLevel="0" collapsed="false">
      <c r="A263" s="9" t="s">
        <v>89</v>
      </c>
      <c r="B263" s="9" t="s">
        <v>13</v>
      </c>
      <c r="C263" s="9" t="s">
        <v>59</v>
      </c>
      <c r="D263" s="9" t="s">
        <v>50</v>
      </c>
      <c r="E263" s="9" t="s">
        <v>634</v>
      </c>
      <c r="F263" s="9" t="n">
        <v>141</v>
      </c>
      <c r="G263" s="28" t="s">
        <v>635</v>
      </c>
      <c r="H263" s="29" t="n">
        <v>300000</v>
      </c>
      <c r="I263" s="29" t="n">
        <v>300000</v>
      </c>
      <c r="J263" s="29" t="n">
        <v>300000</v>
      </c>
      <c r="K263" s="29" t="n">
        <v>0</v>
      </c>
      <c r="L263" s="30" t="n">
        <f aca="false">H263-I263</f>
        <v>0</v>
      </c>
      <c r="M263" s="30" t="n">
        <f aca="false">H263-J263</f>
        <v>0</v>
      </c>
      <c r="N263" s="30" t="n">
        <f aca="false">H263-K263</f>
        <v>300000</v>
      </c>
      <c r="O263" s="9" t="s">
        <v>133</v>
      </c>
      <c r="P263" s="9" t="str">
        <f aca="false">IF(H263=0,"Sin PIM",IF(ROUND(K263-H263,2)&gt;=0,"Devengado total",IF(J263&gt;0.005,"Comprometido",IF(I263&gt;0.005,"Solo certificado","Sin certificar"))))</f>
        <v>Comprometido</v>
      </c>
      <c r="Q263" s="30" t="n">
        <v>50000</v>
      </c>
      <c r="R263" s="30" t="n">
        <v>200000</v>
      </c>
      <c r="S263" s="30" t="n">
        <v>0</v>
      </c>
      <c r="T263" s="30" t="n">
        <v>2000000</v>
      </c>
      <c r="U263" s="9"/>
      <c r="V263" s="9"/>
    </row>
    <row r="264" customFormat="false" ht="64.15" hidden="false" customHeight="false" outlineLevel="0" collapsed="false">
      <c r="A264" s="9" t="s">
        <v>89</v>
      </c>
      <c r="B264" s="9" t="s">
        <v>13</v>
      </c>
      <c r="C264" s="9" t="s">
        <v>59</v>
      </c>
      <c r="D264" s="9" t="s">
        <v>50</v>
      </c>
      <c r="E264" s="9" t="s">
        <v>636</v>
      </c>
      <c r="F264" s="9" t="n">
        <v>142</v>
      </c>
      <c r="G264" s="28" t="s">
        <v>637</v>
      </c>
      <c r="H264" s="29" t="n">
        <v>330710</v>
      </c>
      <c r="I264" s="29" t="n">
        <v>282398.95</v>
      </c>
      <c r="J264" s="29" t="n">
        <v>282398.95</v>
      </c>
      <c r="K264" s="29" t="n">
        <v>191886.54</v>
      </c>
      <c r="L264" s="30" t="n">
        <f aca="false">H264-I264</f>
        <v>48311.05</v>
      </c>
      <c r="M264" s="30" t="n">
        <f aca="false">H264-J264</f>
        <v>48311.05</v>
      </c>
      <c r="N264" s="30" t="n">
        <f aca="false">H264-K264</f>
        <v>138823.46</v>
      </c>
      <c r="O264" s="9" t="s">
        <v>133</v>
      </c>
      <c r="P264" s="9" t="str">
        <f aca="false">IF(H264=0,"Sin PIM",IF(ROUND(K264-H264,2)&gt;=0,"Devengado total",IF(J264&gt;0.005,"Comprometido",IF(I264&gt;0.005,"Solo certificado","Sin certificar"))))</f>
        <v>Comprometido</v>
      </c>
      <c r="Q264" s="30" t="n">
        <v>50000</v>
      </c>
      <c r="R264" s="30" t="n">
        <v>358745</v>
      </c>
      <c r="S264" s="30" t="n">
        <v>0</v>
      </c>
      <c r="T264" s="30" t="n">
        <v>200000</v>
      </c>
      <c r="U264" s="9"/>
      <c r="V264" s="9"/>
    </row>
    <row r="265" customFormat="false" ht="32.8" hidden="false" customHeight="false" outlineLevel="0" collapsed="false">
      <c r="A265" s="9" t="s">
        <v>89</v>
      </c>
      <c r="B265" s="9" t="s">
        <v>13</v>
      </c>
      <c r="C265" s="9" t="s">
        <v>59</v>
      </c>
      <c r="D265" s="9" t="s">
        <v>50</v>
      </c>
      <c r="E265" s="9" t="s">
        <v>638</v>
      </c>
      <c r="F265" s="9" t="n">
        <v>143</v>
      </c>
      <c r="G265" s="28" t="s">
        <v>639</v>
      </c>
      <c r="H265" s="29" t="n">
        <v>50000</v>
      </c>
      <c r="I265" s="29" t="n">
        <v>49980</v>
      </c>
      <c r="J265" s="29" t="n">
        <v>49980</v>
      </c>
      <c r="K265" s="29" t="n">
        <v>49974.77</v>
      </c>
      <c r="L265" s="30" t="n">
        <f aca="false">H265-I265</f>
        <v>20</v>
      </c>
      <c r="M265" s="30" t="n">
        <f aca="false">H265-J265</f>
        <v>20</v>
      </c>
      <c r="N265" s="30" t="n">
        <f aca="false">H265-K265</f>
        <v>25.2300000000032</v>
      </c>
      <c r="O265" s="9" t="s">
        <v>133</v>
      </c>
      <c r="P265" s="9" t="str">
        <f aca="false">IF(H265=0,"Sin PIM",IF(ROUND(K265-H265,2)&gt;=0,"Devengado total",IF(J265&gt;0.005,"Comprometido",IF(I265&gt;0.005,"Solo certificado","Sin certificar"))))</f>
        <v>Comprometido</v>
      </c>
      <c r="Q265" s="30" t="n">
        <v>50000</v>
      </c>
      <c r="R265" s="30" t="n">
        <v>1143284</v>
      </c>
      <c r="S265" s="30" t="n">
        <v>37381</v>
      </c>
      <c r="T265" s="30" t="n">
        <v>0</v>
      </c>
      <c r="U265" s="9"/>
      <c r="V265" s="9"/>
    </row>
    <row r="266" customFormat="false" ht="64.15" hidden="false" customHeight="false" outlineLevel="0" collapsed="false">
      <c r="A266" s="9" t="s">
        <v>89</v>
      </c>
      <c r="B266" s="9" t="s">
        <v>13</v>
      </c>
      <c r="C266" s="9" t="s">
        <v>59</v>
      </c>
      <c r="D266" s="9" t="s">
        <v>50</v>
      </c>
      <c r="E266" s="9" t="s">
        <v>640</v>
      </c>
      <c r="F266" s="9" t="n">
        <v>144</v>
      </c>
      <c r="G266" s="28" t="s">
        <v>641</v>
      </c>
      <c r="H266" s="29" t="n">
        <v>278409</v>
      </c>
      <c r="I266" s="29" t="n">
        <v>278409</v>
      </c>
      <c r="J266" s="29" t="n">
        <v>278409</v>
      </c>
      <c r="K266" s="29" t="n">
        <v>202805.9</v>
      </c>
      <c r="L266" s="30" t="n">
        <f aca="false">H266-I266</f>
        <v>0</v>
      </c>
      <c r="M266" s="30" t="n">
        <f aca="false">H266-J266</f>
        <v>0</v>
      </c>
      <c r="N266" s="30" t="n">
        <f aca="false">H266-K266</f>
        <v>75603.1</v>
      </c>
      <c r="O266" s="9" t="s">
        <v>133</v>
      </c>
      <c r="P266" s="9" t="str">
        <f aca="false">IF(H266=0,"Sin PIM",IF(ROUND(K266-H266,2)&gt;=0,"Devengado total",IF(J266&gt;0.005,"Comprometido",IF(I266&gt;0.005,"Solo certificado","Sin certificar"))))</f>
        <v>Comprometido</v>
      </c>
      <c r="Q266" s="30" t="n">
        <v>50000</v>
      </c>
      <c r="R266" s="30" t="n">
        <v>385474</v>
      </c>
      <c r="S266" s="30" t="n">
        <v>0</v>
      </c>
      <c r="T266" s="30" t="n">
        <v>5626284</v>
      </c>
      <c r="U266" s="9"/>
      <c r="V266" s="9"/>
    </row>
    <row r="267" customFormat="false" ht="74.6" hidden="false" customHeight="false" outlineLevel="0" collapsed="false">
      <c r="A267" s="9" t="s">
        <v>89</v>
      </c>
      <c r="B267" s="9" t="s">
        <v>13</v>
      </c>
      <c r="C267" s="9" t="s">
        <v>59</v>
      </c>
      <c r="D267" s="9" t="s">
        <v>50</v>
      </c>
      <c r="E267" s="9" t="s">
        <v>642</v>
      </c>
      <c r="F267" s="9" t="n">
        <v>145</v>
      </c>
      <c r="G267" s="28" t="s">
        <v>643</v>
      </c>
      <c r="H267" s="29" t="n">
        <v>390297</v>
      </c>
      <c r="I267" s="29" t="n">
        <v>389428.6</v>
      </c>
      <c r="J267" s="29" t="n">
        <v>346214.6</v>
      </c>
      <c r="K267" s="29" t="n">
        <v>251034.11</v>
      </c>
      <c r="L267" s="30" t="n">
        <f aca="false">H267-I267</f>
        <v>868.400000000023</v>
      </c>
      <c r="M267" s="30" t="n">
        <f aca="false">H267-J267</f>
        <v>44082.4</v>
      </c>
      <c r="N267" s="30" t="n">
        <f aca="false">H267-K267</f>
        <v>139262.89</v>
      </c>
      <c r="O267" s="9" t="s">
        <v>133</v>
      </c>
      <c r="P267" s="9" t="str">
        <f aca="false">IF(H267=0,"Sin PIM",IF(ROUND(K267-H267,2)&gt;=0,"Devengado total",IF(J267&gt;0.005,"Comprometido",IF(I267&gt;0.005,"Solo certificado","Sin certificar"))))</f>
        <v>Comprometido</v>
      </c>
      <c r="Q267" s="30" t="n">
        <v>50000</v>
      </c>
      <c r="R267" s="30" t="n">
        <v>0</v>
      </c>
      <c r="S267" s="30" t="n">
        <v>0</v>
      </c>
      <c r="T267" s="30" t="n">
        <v>1000000</v>
      </c>
      <c r="U267" s="9"/>
      <c r="V267" s="9"/>
    </row>
    <row r="268" customFormat="false" ht="43.25" hidden="false" customHeight="false" outlineLevel="0" collapsed="false">
      <c r="A268" s="9" t="s">
        <v>89</v>
      </c>
      <c r="B268" s="9" t="s">
        <v>13</v>
      </c>
      <c r="C268" s="9" t="s">
        <v>59</v>
      </c>
      <c r="D268" s="9" t="s">
        <v>50</v>
      </c>
      <c r="E268" s="9" t="s">
        <v>644</v>
      </c>
      <c r="F268" s="9" t="n">
        <v>146</v>
      </c>
      <c r="G268" s="28" t="s">
        <v>645</v>
      </c>
      <c r="H268" s="29" t="n">
        <v>159651</v>
      </c>
      <c r="I268" s="29" t="n">
        <v>151653</v>
      </c>
      <c r="J268" s="29" t="n">
        <v>111653</v>
      </c>
      <c r="K268" s="29" t="n">
        <v>12000</v>
      </c>
      <c r="L268" s="30" t="n">
        <f aca="false">H268-I268</f>
        <v>7998</v>
      </c>
      <c r="M268" s="30" t="n">
        <f aca="false">H268-J268</f>
        <v>47998</v>
      </c>
      <c r="N268" s="30" t="n">
        <f aca="false">H268-K268</f>
        <v>147651</v>
      </c>
      <c r="O268" s="9" t="s">
        <v>133</v>
      </c>
      <c r="P268" s="9" t="str">
        <f aca="false">IF(H268=0,"Sin PIM",IF(ROUND(K268-H268,2)&gt;=0,"Devengado total",IF(J268&gt;0.005,"Comprometido",IF(I268&gt;0.005,"Solo certificado","Sin certificar"))))</f>
        <v>Comprometido</v>
      </c>
      <c r="Q268" s="30" t="n">
        <v>50000</v>
      </c>
      <c r="R268" s="30" t="n">
        <v>185425</v>
      </c>
      <c r="S268" s="30" t="n">
        <v>500000</v>
      </c>
      <c r="T268" s="30" t="n">
        <v>1077676</v>
      </c>
      <c r="U268" s="9"/>
      <c r="V268" s="9"/>
    </row>
    <row r="269" customFormat="false" ht="53.7" hidden="false" customHeight="false" outlineLevel="0" collapsed="false">
      <c r="A269" s="9" t="s">
        <v>89</v>
      </c>
      <c r="B269" s="9" t="s">
        <v>13</v>
      </c>
      <c r="C269" s="9" t="s">
        <v>59</v>
      </c>
      <c r="D269" s="9" t="s">
        <v>50</v>
      </c>
      <c r="E269" s="9" t="s">
        <v>646</v>
      </c>
      <c r="F269" s="9" t="n">
        <v>147</v>
      </c>
      <c r="G269" s="28" t="s">
        <v>647</v>
      </c>
      <c r="H269" s="29" t="n">
        <v>703231</v>
      </c>
      <c r="I269" s="29" t="n">
        <v>681293</v>
      </c>
      <c r="J269" s="29" t="n">
        <v>620093</v>
      </c>
      <c r="K269" s="29" t="n">
        <v>575338.63</v>
      </c>
      <c r="L269" s="30" t="n">
        <f aca="false">H269-I269</f>
        <v>21938</v>
      </c>
      <c r="M269" s="30" t="n">
        <f aca="false">H269-J269</f>
        <v>83138</v>
      </c>
      <c r="N269" s="30" t="n">
        <f aca="false">H269-K269</f>
        <v>127892.37</v>
      </c>
      <c r="O269" s="9" t="s">
        <v>133</v>
      </c>
      <c r="P269" s="9" t="str">
        <f aca="false">IF(H269=0,"Sin PIM",IF(ROUND(K269-H269,2)&gt;=0,"Devengado total",IF(J269&gt;0.005,"Comprometido",IF(I269&gt;0.005,"Solo certificado","Sin certificar"))))</f>
        <v>Comprometido</v>
      </c>
      <c r="Q269" s="30" t="n">
        <v>50000</v>
      </c>
      <c r="R269" s="30" t="n">
        <v>5548752</v>
      </c>
      <c r="S269" s="30" t="n">
        <v>0</v>
      </c>
      <c r="T269" s="30" t="n">
        <v>1000000</v>
      </c>
      <c r="U269" s="9"/>
      <c r="V269" s="9"/>
    </row>
    <row r="270" customFormat="false" ht="64.15" hidden="false" customHeight="false" outlineLevel="0" collapsed="false">
      <c r="A270" s="9" t="s">
        <v>89</v>
      </c>
      <c r="B270" s="9" t="s">
        <v>13</v>
      </c>
      <c r="C270" s="9" t="s">
        <v>59</v>
      </c>
      <c r="D270" s="9" t="s">
        <v>50</v>
      </c>
      <c r="E270" s="9" t="s">
        <v>648</v>
      </c>
      <c r="F270" s="9" t="n">
        <v>148</v>
      </c>
      <c r="G270" s="28" t="s">
        <v>649</v>
      </c>
      <c r="H270" s="29" t="n">
        <v>0</v>
      </c>
      <c r="I270" s="29" t="n">
        <v>0</v>
      </c>
      <c r="J270" s="29" t="n">
        <v>0</v>
      </c>
      <c r="K270" s="29" t="n">
        <v>0</v>
      </c>
      <c r="L270" s="30" t="n">
        <f aca="false">H270-I270</f>
        <v>0</v>
      </c>
      <c r="M270" s="30" t="n">
        <f aca="false">H270-J270</f>
        <v>0</v>
      </c>
      <c r="N270" s="30" t="n">
        <f aca="false">H270-K270</f>
        <v>0</v>
      </c>
      <c r="O270" s="9" t="s">
        <v>120</v>
      </c>
      <c r="P270" s="9" t="str">
        <f aca="false">IF(H270=0,"Sin PIM",IF(ROUND(K270-H270,2)&gt;=0,"Devengado total",IF(J270&gt;0.005,"Comprometido",IF(I270&gt;0.005,"Solo certificado","Sin certificar"))))</f>
        <v>Sin PIM</v>
      </c>
      <c r="Q270" s="30" t="n">
        <v>50000</v>
      </c>
      <c r="R270" s="30" t="n">
        <v>0</v>
      </c>
      <c r="S270" s="30" t="n">
        <v>0</v>
      </c>
      <c r="T270" s="30" t="n">
        <v>500000</v>
      </c>
      <c r="U270" s="9"/>
      <c r="V270" s="9"/>
    </row>
    <row r="271" customFormat="false" ht="53.7" hidden="false" customHeight="false" outlineLevel="0" collapsed="false">
      <c r="A271" s="9" t="s">
        <v>89</v>
      </c>
      <c r="B271" s="9" t="s">
        <v>13</v>
      </c>
      <c r="C271" s="9" t="s">
        <v>59</v>
      </c>
      <c r="D271" s="9" t="s">
        <v>50</v>
      </c>
      <c r="E271" s="9" t="s">
        <v>650</v>
      </c>
      <c r="F271" s="9" t="n">
        <v>149</v>
      </c>
      <c r="G271" s="28" t="s">
        <v>651</v>
      </c>
      <c r="H271" s="29" t="n">
        <v>275790</v>
      </c>
      <c r="I271" s="29" t="n">
        <v>274001.9</v>
      </c>
      <c r="J271" s="29" t="n">
        <v>199751.9</v>
      </c>
      <c r="K271" s="29" t="n">
        <v>155654.05</v>
      </c>
      <c r="L271" s="30" t="n">
        <f aca="false">H271-I271</f>
        <v>1788.09999999998</v>
      </c>
      <c r="M271" s="30" t="n">
        <f aca="false">H271-J271</f>
        <v>76038.1</v>
      </c>
      <c r="N271" s="30" t="n">
        <f aca="false">H271-K271</f>
        <v>120135.95</v>
      </c>
      <c r="O271" s="9" t="s">
        <v>133</v>
      </c>
      <c r="P271" s="9" t="str">
        <f aca="false">IF(H271=0,"Sin PIM",IF(ROUND(K271-H271,2)&gt;=0,"Devengado total",IF(J271&gt;0.005,"Comprometido",IF(I271&gt;0.005,"Solo certificado","Sin certificar"))))</f>
        <v>Comprometido</v>
      </c>
      <c r="Q271" s="30" t="n">
        <v>50000</v>
      </c>
      <c r="R271" s="30" t="n">
        <v>357845</v>
      </c>
      <c r="S271" s="30" t="n">
        <v>0</v>
      </c>
      <c r="T271" s="30" t="n">
        <v>1000000</v>
      </c>
      <c r="U271" s="9"/>
      <c r="V271" s="9"/>
    </row>
    <row r="272" customFormat="false" ht="53.7" hidden="false" customHeight="false" outlineLevel="0" collapsed="false">
      <c r="A272" s="9" t="s">
        <v>89</v>
      </c>
      <c r="B272" s="9" t="s">
        <v>13</v>
      </c>
      <c r="C272" s="9" t="s">
        <v>59</v>
      </c>
      <c r="D272" s="9" t="s">
        <v>50</v>
      </c>
      <c r="E272" s="9" t="s">
        <v>652</v>
      </c>
      <c r="F272" s="9" t="n">
        <v>150</v>
      </c>
      <c r="G272" s="28" t="s">
        <v>653</v>
      </c>
      <c r="H272" s="29" t="n">
        <v>255799</v>
      </c>
      <c r="I272" s="29" t="n">
        <v>195378.5</v>
      </c>
      <c r="J272" s="29" t="n">
        <v>192948.5</v>
      </c>
      <c r="K272" s="29" t="n">
        <v>138575.17</v>
      </c>
      <c r="L272" s="30" t="n">
        <f aca="false">H272-I272</f>
        <v>60420.5</v>
      </c>
      <c r="M272" s="30" t="n">
        <f aca="false">H272-J272</f>
        <v>62850.5</v>
      </c>
      <c r="N272" s="30" t="n">
        <f aca="false">H272-K272</f>
        <v>117223.83</v>
      </c>
      <c r="O272" s="9" t="s">
        <v>358</v>
      </c>
      <c r="P272" s="9" t="str">
        <f aca="false">IF(H272=0,"Sin PIM",IF(ROUND(K272-H272,2)&gt;=0,"Devengado total",IF(J272&gt;0.005,"Comprometido",IF(I272&gt;0.005,"Solo certificado","Sin certificar"))))</f>
        <v>Comprometido</v>
      </c>
      <c r="Q272" s="30" t="n">
        <v>800000</v>
      </c>
      <c r="R272" s="30" t="n">
        <v>285985</v>
      </c>
      <c r="S272" s="30" t="n">
        <v>0</v>
      </c>
      <c r="T272" s="30" t="n">
        <v>1000000</v>
      </c>
      <c r="U272" s="9"/>
      <c r="V272" s="9"/>
    </row>
    <row r="273" customFormat="false" ht="43.25" hidden="false" customHeight="false" outlineLevel="0" collapsed="false">
      <c r="A273" s="9" t="s">
        <v>89</v>
      </c>
      <c r="B273" s="9" t="s">
        <v>13</v>
      </c>
      <c r="C273" s="9" t="s">
        <v>59</v>
      </c>
      <c r="D273" s="9" t="s">
        <v>50</v>
      </c>
      <c r="E273" s="9" t="s">
        <v>654</v>
      </c>
      <c r="F273" s="9" t="n">
        <v>151</v>
      </c>
      <c r="G273" s="28" t="s">
        <v>655</v>
      </c>
      <c r="H273" s="29" t="n">
        <v>222962</v>
      </c>
      <c r="I273" s="29" t="n">
        <v>193349.5</v>
      </c>
      <c r="J273" s="29" t="n">
        <v>193349.5</v>
      </c>
      <c r="K273" s="29" t="n">
        <v>193266.31</v>
      </c>
      <c r="L273" s="30" t="n">
        <f aca="false">H273-I273</f>
        <v>29612.5</v>
      </c>
      <c r="M273" s="30" t="n">
        <f aca="false">H273-J273</f>
        <v>29612.5</v>
      </c>
      <c r="N273" s="30" t="n">
        <f aca="false">H273-K273</f>
        <v>29695.69</v>
      </c>
      <c r="O273" s="9" t="s">
        <v>133</v>
      </c>
      <c r="P273" s="9" t="str">
        <f aca="false">IF(H273=0,"Sin PIM",IF(ROUND(K273-H273,2)&gt;=0,"Devengado total",IF(J273&gt;0.005,"Comprometido",IF(I273&gt;0.005,"Solo certificado","Sin certificar"))))</f>
        <v>Comprometido</v>
      </c>
      <c r="Q273" s="30" t="n">
        <v>50000</v>
      </c>
      <c r="R273" s="30" t="n">
        <v>248565</v>
      </c>
      <c r="S273" s="30" t="n">
        <v>0</v>
      </c>
      <c r="T273" s="30" t="n">
        <v>500000</v>
      </c>
      <c r="U273" s="9"/>
      <c r="V273" s="9"/>
    </row>
    <row r="274" customFormat="false" ht="22.35" hidden="false" customHeight="false" outlineLevel="0" collapsed="false">
      <c r="A274" s="9" t="s">
        <v>89</v>
      </c>
      <c r="B274" s="9" t="s">
        <v>13</v>
      </c>
      <c r="C274" s="9" t="s">
        <v>59</v>
      </c>
      <c r="D274" s="9" t="s">
        <v>50</v>
      </c>
      <c r="E274" s="9" t="s">
        <v>179</v>
      </c>
      <c r="F274" s="9" t="n">
        <v>324</v>
      </c>
      <c r="G274" s="28" t="s">
        <v>436</v>
      </c>
      <c r="H274" s="29" t="n">
        <v>1308901</v>
      </c>
      <c r="I274" s="29" t="n">
        <v>1298673.22</v>
      </c>
      <c r="J274" s="29" t="n">
        <v>9487.22</v>
      </c>
      <c r="K274" s="29" t="n">
        <v>8087.22</v>
      </c>
      <c r="L274" s="30" t="n">
        <f aca="false">H274-I274</f>
        <v>10227.78</v>
      </c>
      <c r="M274" s="30" t="n">
        <f aca="false">H274-J274</f>
        <v>1299413.78</v>
      </c>
      <c r="N274" s="30" t="n">
        <f aca="false">H274-K274</f>
        <v>1300813.78</v>
      </c>
      <c r="O274" s="9" t="s">
        <v>316</v>
      </c>
      <c r="P274" s="9" t="str">
        <f aca="false">IF(H274=0,"Sin PIM",IF(ROUND(K274-H274,2)&gt;=0,"Devengado total",IF(J274&gt;0.005,"Comprometido",IF(I274&gt;0.005,"Solo certificado","Sin certificar"))))</f>
        <v>Comprometido</v>
      </c>
      <c r="Q274" s="30" t="n">
        <v>4800690</v>
      </c>
      <c r="R274" s="30" t="n">
        <v>4000000</v>
      </c>
      <c r="S274" s="30" t="n">
        <v>14883202</v>
      </c>
      <c r="T274" s="30" t="n">
        <v>19038629</v>
      </c>
      <c r="U274" s="9"/>
      <c r="V274" s="9"/>
    </row>
    <row r="275" customFormat="false" ht="32.8" hidden="false" customHeight="false" outlineLevel="0" collapsed="false">
      <c r="A275" s="9" t="s">
        <v>89</v>
      </c>
      <c r="B275" s="9" t="s">
        <v>13</v>
      </c>
      <c r="C275" s="9" t="s">
        <v>59</v>
      </c>
      <c r="D275" s="9" t="s">
        <v>51</v>
      </c>
      <c r="E275" s="9" t="s">
        <v>656</v>
      </c>
      <c r="F275" s="9" t="n">
        <v>68</v>
      </c>
      <c r="G275" s="28" t="s">
        <v>657</v>
      </c>
      <c r="H275" s="29" t="n">
        <v>48882</v>
      </c>
      <c r="I275" s="29" t="n">
        <v>30000</v>
      </c>
      <c r="J275" s="29" t="n">
        <v>0</v>
      </c>
      <c r="K275" s="29" t="n">
        <v>0</v>
      </c>
      <c r="L275" s="30" t="n">
        <f aca="false">H275-I275</f>
        <v>18882</v>
      </c>
      <c r="M275" s="30" t="n">
        <f aca="false">H275-J275</f>
        <v>48882</v>
      </c>
      <c r="N275" s="30" t="n">
        <f aca="false">H275-K275</f>
        <v>48882</v>
      </c>
      <c r="O275" s="9" t="s">
        <v>133</v>
      </c>
      <c r="P275" s="9" t="str">
        <f aca="false">IF(H275=0,"Sin PIM",IF(ROUND(K275-H275,2)&gt;=0,"Devengado total",IF(J275&gt;0.005,"Comprometido",IF(I275&gt;0.005,"Solo certificado","Sin certificar"))))</f>
        <v>Solo certificado</v>
      </c>
      <c r="Q275" s="30" t="n">
        <v>1515300</v>
      </c>
      <c r="R275" s="30" t="n">
        <v>2254875</v>
      </c>
      <c r="S275" s="30" t="n">
        <v>0</v>
      </c>
      <c r="T275" s="30" t="n">
        <v>541142</v>
      </c>
      <c r="U275" s="9"/>
      <c r="V275" s="9"/>
    </row>
    <row r="276" customFormat="false" ht="53.7" hidden="false" customHeight="false" outlineLevel="0" collapsed="false">
      <c r="A276" s="9" t="s">
        <v>89</v>
      </c>
      <c r="B276" s="9" t="s">
        <v>13</v>
      </c>
      <c r="C276" s="9" t="s">
        <v>59</v>
      </c>
      <c r="D276" s="9" t="s">
        <v>51</v>
      </c>
      <c r="E276" s="9" t="s">
        <v>658</v>
      </c>
      <c r="F276" s="9" t="n">
        <v>70</v>
      </c>
      <c r="G276" s="28" t="s">
        <v>659</v>
      </c>
      <c r="H276" s="29" t="n">
        <v>25425</v>
      </c>
      <c r="I276" s="29" t="n">
        <v>0</v>
      </c>
      <c r="J276" s="29" t="n">
        <v>0</v>
      </c>
      <c r="K276" s="29" t="n">
        <v>0</v>
      </c>
      <c r="L276" s="30" t="n">
        <f aca="false">H276-I276</f>
        <v>25425</v>
      </c>
      <c r="M276" s="30" t="n">
        <f aca="false">H276-J276</f>
        <v>25425</v>
      </c>
      <c r="N276" s="30" t="n">
        <f aca="false">H276-K276</f>
        <v>25425</v>
      </c>
      <c r="O276" s="9" t="s">
        <v>133</v>
      </c>
      <c r="P276" s="9" t="str">
        <f aca="false">IF(H276=0,"Sin PIM",IF(ROUND(K276-H276,2)&gt;=0,"Devengado total",IF(J276&gt;0.005,"Comprometido",IF(I276&gt;0.005,"Solo certificado","Sin certificar"))))</f>
        <v>Sin certificar</v>
      </c>
      <c r="Q276" s="30" t="n">
        <v>1893433</v>
      </c>
      <c r="R276" s="30" t="n">
        <v>354254</v>
      </c>
      <c r="S276" s="30" t="n">
        <v>0</v>
      </c>
      <c r="T276" s="30" t="n">
        <v>3069242</v>
      </c>
      <c r="U276" s="9"/>
      <c r="V276" s="9"/>
    </row>
    <row r="277" customFormat="false" ht="32.8" hidden="false" customHeight="false" outlineLevel="0" collapsed="false">
      <c r="A277" s="9" t="s">
        <v>89</v>
      </c>
      <c r="B277" s="9" t="s">
        <v>13</v>
      </c>
      <c r="C277" s="9" t="s">
        <v>59</v>
      </c>
      <c r="D277" s="9" t="s">
        <v>51</v>
      </c>
      <c r="E277" s="9" t="s">
        <v>660</v>
      </c>
      <c r="F277" s="9" t="n">
        <v>74</v>
      </c>
      <c r="G277" s="28" t="s">
        <v>661</v>
      </c>
      <c r="H277" s="29" t="n">
        <v>50000</v>
      </c>
      <c r="I277" s="29" t="n">
        <v>50000</v>
      </c>
      <c r="J277" s="29" t="n">
        <v>50000</v>
      </c>
      <c r="K277" s="29" t="n">
        <v>47967.16</v>
      </c>
      <c r="L277" s="30" t="n">
        <f aca="false">H277-I277</f>
        <v>0</v>
      </c>
      <c r="M277" s="30" t="n">
        <f aca="false">H277-J277</f>
        <v>0</v>
      </c>
      <c r="N277" s="30" t="n">
        <f aca="false">H277-K277</f>
        <v>2032.84</v>
      </c>
      <c r="O277" s="9" t="s">
        <v>133</v>
      </c>
      <c r="P277" s="9" t="str">
        <f aca="false">IF(H277=0,"Sin PIM",IF(ROUND(K277-H277,2)&gt;=0,"Devengado total",IF(J277&gt;0.005,"Comprometido",IF(I277&gt;0.005,"Solo certificado","Sin certificar"))))</f>
        <v>Comprometido</v>
      </c>
      <c r="Q277" s="30" t="n">
        <v>50000</v>
      </c>
      <c r="R277" s="30" t="n">
        <v>254857</v>
      </c>
      <c r="S277" s="30" t="n">
        <v>0</v>
      </c>
      <c r="T277" s="30" t="n">
        <v>1000000</v>
      </c>
      <c r="U277" s="9"/>
      <c r="V277" s="9"/>
    </row>
    <row r="278" customFormat="false" ht="22.35" hidden="false" customHeight="false" outlineLevel="0" collapsed="false">
      <c r="A278" s="9" t="s">
        <v>89</v>
      </c>
      <c r="B278" s="9" t="s">
        <v>13</v>
      </c>
      <c r="C278" s="9" t="s">
        <v>59</v>
      </c>
      <c r="D278" s="9" t="s">
        <v>51</v>
      </c>
      <c r="E278" s="9" t="s">
        <v>662</v>
      </c>
      <c r="F278" s="9" t="n">
        <v>246</v>
      </c>
      <c r="G278" s="28" t="s">
        <v>663</v>
      </c>
      <c r="H278" s="29" t="n">
        <v>369217</v>
      </c>
      <c r="I278" s="29" t="n">
        <v>140000</v>
      </c>
      <c r="J278" s="29" t="n">
        <v>140000</v>
      </c>
      <c r="K278" s="29" t="n">
        <v>140000</v>
      </c>
      <c r="L278" s="30" t="n">
        <f aca="false">H278-I278</f>
        <v>229217</v>
      </c>
      <c r="M278" s="30" t="n">
        <f aca="false">H278-J278</f>
        <v>229217</v>
      </c>
      <c r="N278" s="30" t="n">
        <f aca="false">H278-K278</f>
        <v>229217</v>
      </c>
      <c r="O278" s="9" t="s">
        <v>358</v>
      </c>
      <c r="P278" s="9" t="str">
        <f aca="false">IF(H278=0,"Sin PIM",IF(ROUND(K278-H278,2)&gt;=0,"Devengado total",IF(J278&gt;0.005,"Comprometido",IF(I278&gt;0.005,"Solo certificado","Sin certificar"))))</f>
        <v>Comprometido</v>
      </c>
      <c r="Q278" s="30" t="s">
        <v>97</v>
      </c>
      <c r="R278" s="30" t="s">
        <v>97</v>
      </c>
      <c r="S278" s="30" t="s">
        <v>97</v>
      </c>
      <c r="T278" s="30" t="s">
        <v>97</v>
      </c>
      <c r="U278" s="9"/>
      <c r="V278" s="9"/>
    </row>
    <row r="279" customFormat="false" ht="43.25" hidden="false" customHeight="false" outlineLevel="0" collapsed="false">
      <c r="A279" s="9" t="s">
        <v>89</v>
      </c>
      <c r="B279" s="9" t="s">
        <v>13</v>
      </c>
      <c r="C279" s="9" t="s">
        <v>59</v>
      </c>
      <c r="D279" s="9" t="s">
        <v>52</v>
      </c>
      <c r="E279" s="9" t="s">
        <v>664</v>
      </c>
      <c r="F279" s="9" t="n">
        <v>231</v>
      </c>
      <c r="G279" s="28" t="s">
        <v>665</v>
      </c>
      <c r="H279" s="29" t="n">
        <v>0</v>
      </c>
      <c r="I279" s="29" t="n">
        <v>0</v>
      </c>
      <c r="J279" s="29" t="n">
        <v>0</v>
      </c>
      <c r="K279" s="29" t="n">
        <v>0</v>
      </c>
      <c r="L279" s="30" t="n">
        <f aca="false">H279-I279</f>
        <v>0</v>
      </c>
      <c r="M279" s="30" t="n">
        <f aca="false">H279-J279</f>
        <v>0</v>
      </c>
      <c r="N279" s="30" t="n">
        <f aca="false">H279-K279</f>
        <v>0</v>
      </c>
      <c r="O279" s="9" t="s">
        <v>120</v>
      </c>
      <c r="P279" s="9" t="str">
        <f aca="false">IF(H279=0,"Sin PIM",IF(ROUND(K279-H279,2)&gt;=0,"Devengado total",IF(J279&gt;0.005,"Comprometido",IF(I279&gt;0.005,"Solo certificado","Sin certificar"))))</f>
        <v>Sin PIM</v>
      </c>
      <c r="Q279" s="30" t="n">
        <v>154969</v>
      </c>
      <c r="R279" s="30" t="n">
        <v>0</v>
      </c>
      <c r="S279" s="30" t="n">
        <v>0</v>
      </c>
      <c r="T279" s="30" t="n">
        <v>0</v>
      </c>
      <c r="U279" s="9"/>
      <c r="V279" s="9"/>
    </row>
    <row r="280" customFormat="false" ht="32.8" hidden="false" customHeight="false" outlineLevel="0" collapsed="false">
      <c r="A280" s="9" t="s">
        <v>89</v>
      </c>
      <c r="B280" s="9" t="s">
        <v>13</v>
      </c>
      <c r="C280" s="9" t="s">
        <v>59</v>
      </c>
      <c r="D280" s="9" t="s">
        <v>52</v>
      </c>
      <c r="E280" s="9" t="s">
        <v>666</v>
      </c>
      <c r="F280" s="9" t="n">
        <v>232</v>
      </c>
      <c r="G280" s="28" t="s">
        <v>667</v>
      </c>
      <c r="H280" s="29" t="n">
        <v>0</v>
      </c>
      <c r="I280" s="29" t="n">
        <v>0</v>
      </c>
      <c r="J280" s="29" t="n">
        <v>0</v>
      </c>
      <c r="K280" s="29" t="n">
        <v>0</v>
      </c>
      <c r="L280" s="30" t="n">
        <f aca="false">H280-I280</f>
        <v>0</v>
      </c>
      <c r="M280" s="30" t="n">
        <f aca="false">H280-J280</f>
        <v>0</v>
      </c>
      <c r="N280" s="30" t="n">
        <f aca="false">H280-K280</f>
        <v>0</v>
      </c>
      <c r="O280" s="9" t="s">
        <v>120</v>
      </c>
      <c r="P280" s="9" t="str">
        <f aca="false">IF(H280=0,"Sin PIM",IF(ROUND(K280-H280,2)&gt;=0,"Devengado total",IF(J280&gt;0.005,"Comprometido",IF(I280&gt;0.005,"Solo certificado","Sin certificar"))))</f>
        <v>Sin PIM</v>
      </c>
      <c r="Q280" s="30" t="n">
        <v>10763553</v>
      </c>
      <c r="R280" s="30" t="n">
        <v>0</v>
      </c>
      <c r="S280" s="30" t="n">
        <v>0</v>
      </c>
      <c r="T280" s="30" t="n">
        <v>0</v>
      </c>
      <c r="U280" s="9"/>
      <c r="V280" s="9"/>
    </row>
    <row r="281" customFormat="false" ht="15" hidden="false" customHeight="false" outlineLevel="0" collapsed="false">
      <c r="A281" s="9" t="s">
        <v>89</v>
      </c>
      <c r="B281" s="9" t="s">
        <v>13</v>
      </c>
      <c r="C281" s="9" t="s">
        <v>59</v>
      </c>
      <c r="D281" s="9" t="s">
        <v>52</v>
      </c>
      <c r="E281" s="9" t="s">
        <v>668</v>
      </c>
      <c r="F281" s="9" t="n">
        <v>507</v>
      </c>
      <c r="G281" s="28" t="s">
        <v>669</v>
      </c>
      <c r="H281" s="29" t="n">
        <v>1376515</v>
      </c>
      <c r="I281" s="29" t="n">
        <v>0</v>
      </c>
      <c r="J281" s="29" t="n">
        <v>0</v>
      </c>
      <c r="K281" s="29" t="n">
        <v>0</v>
      </c>
      <c r="L281" s="30" t="n">
        <f aca="false">H281-I281</f>
        <v>1376515</v>
      </c>
      <c r="M281" s="30" t="n">
        <f aca="false">H281-J281</f>
        <v>1376515</v>
      </c>
      <c r="N281" s="30" t="n">
        <f aca="false">H281-K281</f>
        <v>1376515</v>
      </c>
      <c r="O281" s="9" t="s">
        <v>120</v>
      </c>
      <c r="P281" s="9" t="str">
        <f aca="false">IF(H281=0,"Sin PIM",IF(ROUND(K281-H281,2)&gt;=0,"Devengado total",IF(J281&gt;0.005,"Comprometido",IF(I281&gt;0.005,"Solo certificado","Sin certificar"))))</f>
        <v>Sin certificar</v>
      </c>
      <c r="Q281" s="30" t="s">
        <v>97</v>
      </c>
      <c r="R281" s="30" t="s">
        <v>97</v>
      </c>
      <c r="S281" s="30" t="s">
        <v>97</v>
      </c>
      <c r="T281" s="30" t="s">
        <v>97</v>
      </c>
      <c r="U281" s="9"/>
      <c r="V281" s="9"/>
    </row>
    <row r="282" customFormat="false" ht="22.35" hidden="false" customHeight="false" outlineLevel="0" collapsed="false">
      <c r="A282" s="9" t="s">
        <v>89</v>
      </c>
      <c r="B282" s="9" t="s">
        <v>13</v>
      </c>
      <c r="C282" s="9" t="s">
        <v>59</v>
      </c>
      <c r="D282" s="9" t="s">
        <v>60</v>
      </c>
      <c r="E282" s="9" t="s">
        <v>670</v>
      </c>
      <c r="F282" s="9" t="n">
        <v>225</v>
      </c>
      <c r="G282" s="28" t="s">
        <v>671</v>
      </c>
      <c r="H282" s="29" t="n">
        <v>46429</v>
      </c>
      <c r="I282" s="29" t="n">
        <v>0</v>
      </c>
      <c r="J282" s="29" t="n">
        <v>0</v>
      </c>
      <c r="K282" s="29" t="n">
        <v>0</v>
      </c>
      <c r="L282" s="30" t="n">
        <f aca="false">H282-I282</f>
        <v>46429</v>
      </c>
      <c r="M282" s="30" t="n">
        <f aca="false">H282-J282</f>
        <v>46429</v>
      </c>
      <c r="N282" s="30" t="n">
        <f aca="false">H282-K282</f>
        <v>46429</v>
      </c>
      <c r="O282" s="9" t="s">
        <v>120</v>
      </c>
      <c r="P282" s="9" t="str">
        <f aca="false">IF(H282=0,"Sin PIM",IF(ROUND(K282-H282,2)&gt;=0,"Devengado total",IF(J282&gt;0.005,"Comprometido",IF(I282&gt;0.005,"Solo certificado","Sin certificar"))))</f>
        <v>Sin certificar</v>
      </c>
      <c r="Q282" s="30" t="n">
        <v>800000</v>
      </c>
      <c r="R282" s="30" t="n">
        <v>580909</v>
      </c>
      <c r="S282" s="30" t="n">
        <v>800000</v>
      </c>
      <c r="T282" s="30" t="n">
        <v>800000</v>
      </c>
      <c r="U282" s="9"/>
      <c r="V282" s="9"/>
    </row>
    <row r="283" customFormat="false" ht="32.8" hidden="false" customHeight="false" outlineLevel="0" collapsed="false">
      <c r="A283" s="9" t="s">
        <v>89</v>
      </c>
      <c r="B283" s="9" t="s">
        <v>13</v>
      </c>
      <c r="C283" s="9" t="s">
        <v>59</v>
      </c>
      <c r="D283" s="9" t="s">
        <v>61</v>
      </c>
      <c r="E283" s="9" t="s">
        <v>672</v>
      </c>
      <c r="F283" s="9" t="n">
        <v>270</v>
      </c>
      <c r="G283" s="28" t="s">
        <v>673</v>
      </c>
      <c r="H283" s="29" t="n">
        <v>1349649</v>
      </c>
      <c r="I283" s="29" t="n">
        <v>0</v>
      </c>
      <c r="J283" s="29" t="n">
        <v>0</v>
      </c>
      <c r="K283" s="29" t="n">
        <v>0</v>
      </c>
      <c r="L283" s="30" t="n">
        <f aca="false">H283-I283</f>
        <v>1349649</v>
      </c>
      <c r="M283" s="30" t="n">
        <f aca="false">H283-J283</f>
        <v>1349649</v>
      </c>
      <c r="N283" s="30" t="n">
        <f aca="false">H283-K283</f>
        <v>1349649</v>
      </c>
      <c r="O283" s="9" t="s">
        <v>120</v>
      </c>
      <c r="P283" s="9" t="str">
        <f aca="false">IF(H283=0,"Sin PIM",IF(ROUND(K283-H283,2)&gt;=0,"Devengado total",IF(J283&gt;0.005,"Comprometido",IF(I283&gt;0.005,"Solo certificado","Sin certificar"))))</f>
        <v>Sin certificar</v>
      </c>
      <c r="Q283" s="30" t="n">
        <v>1349649</v>
      </c>
      <c r="R283" s="30" t="n">
        <v>0</v>
      </c>
      <c r="S283" s="30" t="n">
        <v>0</v>
      </c>
      <c r="T283" s="30" t="n">
        <v>1000000</v>
      </c>
      <c r="U283" s="9"/>
      <c r="V283" s="9"/>
    </row>
    <row r="284" customFormat="false" ht="32.8" hidden="false" customHeight="false" outlineLevel="0" collapsed="false">
      <c r="A284" s="9" t="s">
        <v>89</v>
      </c>
      <c r="B284" s="9" t="s">
        <v>13</v>
      </c>
      <c r="C284" s="9" t="s">
        <v>59</v>
      </c>
      <c r="D284" s="9" t="s">
        <v>62</v>
      </c>
      <c r="E284" s="9" t="s">
        <v>674</v>
      </c>
      <c r="F284" s="9" t="n">
        <v>153</v>
      </c>
      <c r="G284" s="28" t="s">
        <v>675</v>
      </c>
      <c r="H284" s="29" t="n">
        <v>100000</v>
      </c>
      <c r="I284" s="29" t="n">
        <v>0</v>
      </c>
      <c r="J284" s="29" t="n">
        <v>0</v>
      </c>
      <c r="K284" s="29" t="n">
        <v>0</v>
      </c>
      <c r="L284" s="30" t="n">
        <f aca="false">H284-I284</f>
        <v>100000</v>
      </c>
      <c r="M284" s="30" t="n">
        <f aca="false">H284-J284</f>
        <v>100000</v>
      </c>
      <c r="N284" s="30" t="n">
        <f aca="false">H284-K284</f>
        <v>100000</v>
      </c>
      <c r="O284" s="9" t="s">
        <v>120</v>
      </c>
      <c r="P284" s="9" t="str">
        <f aca="false">IF(H284=0,"Sin PIM",IF(ROUND(K284-H284,2)&gt;=0,"Devengado total",IF(J284&gt;0.005,"Comprometido",IF(I284&gt;0.005,"Solo certificado","Sin certificar"))))</f>
        <v>Sin certificar</v>
      </c>
      <c r="Q284" s="30" t="s">
        <v>97</v>
      </c>
      <c r="R284" s="30" t="s">
        <v>97</v>
      </c>
      <c r="S284" s="30" t="s">
        <v>97</v>
      </c>
      <c r="T284" s="30" t="s">
        <v>97</v>
      </c>
      <c r="U284" s="9"/>
      <c r="V284" s="9"/>
    </row>
    <row r="285" customFormat="false" ht="32.8" hidden="false" customHeight="false" outlineLevel="0" collapsed="false">
      <c r="A285" s="9" t="s">
        <v>89</v>
      </c>
      <c r="B285" s="9" t="s">
        <v>13</v>
      </c>
      <c r="C285" s="9" t="s">
        <v>59</v>
      </c>
      <c r="D285" s="9" t="s">
        <v>63</v>
      </c>
      <c r="E285" s="9" t="s">
        <v>676</v>
      </c>
      <c r="F285" s="9" t="n">
        <v>236</v>
      </c>
      <c r="G285" s="28" t="s">
        <v>677</v>
      </c>
      <c r="H285" s="29" t="n">
        <v>0</v>
      </c>
      <c r="I285" s="29" t="n">
        <v>0</v>
      </c>
      <c r="J285" s="29" t="n">
        <v>0</v>
      </c>
      <c r="K285" s="29" t="n">
        <v>0</v>
      </c>
      <c r="L285" s="30" t="n">
        <f aca="false">H285-I285</f>
        <v>0</v>
      </c>
      <c r="M285" s="30" t="n">
        <f aca="false">H285-J285</f>
        <v>0</v>
      </c>
      <c r="N285" s="30" t="n">
        <f aca="false">H285-K285</f>
        <v>0</v>
      </c>
      <c r="O285" s="9" t="s">
        <v>120</v>
      </c>
      <c r="P285" s="9" t="str">
        <f aca="false">IF(H285=0,"Sin PIM",IF(ROUND(K285-H285,2)&gt;=0,"Devengado total",IF(J285&gt;0.005,"Comprometido",IF(I285&gt;0.005,"Solo certificado","Sin certificar"))))</f>
        <v>Sin PIM</v>
      </c>
      <c r="Q285" s="30" t="n">
        <v>250000</v>
      </c>
      <c r="R285" s="30" t="n">
        <v>0</v>
      </c>
      <c r="S285" s="30" t="n">
        <v>0</v>
      </c>
      <c r="T285" s="30" t="n">
        <v>0</v>
      </c>
      <c r="U285" s="9"/>
      <c r="V285" s="9"/>
    </row>
    <row r="286" customFormat="false" ht="32.8" hidden="false" customHeight="false" outlineLevel="0" collapsed="false">
      <c r="A286" s="9" t="s">
        <v>678</v>
      </c>
      <c r="B286" s="9" t="s">
        <v>14</v>
      </c>
      <c r="C286" s="9"/>
      <c r="D286" s="9" t="s">
        <v>61</v>
      </c>
      <c r="E286" s="9" t="s">
        <v>679</v>
      </c>
      <c r="F286" s="9" t="n">
        <v>20</v>
      </c>
      <c r="G286" s="28" t="s">
        <v>680</v>
      </c>
      <c r="H286" s="29" t="n">
        <v>2659376</v>
      </c>
      <c r="I286" s="29" t="n">
        <v>1980094.52</v>
      </c>
      <c r="J286" s="29" t="n">
        <v>1855072.29</v>
      </c>
      <c r="K286" s="29" t="n">
        <v>1386716.89</v>
      </c>
      <c r="L286" s="30" t="n">
        <f aca="false">H286-I286</f>
        <v>679281.48</v>
      </c>
      <c r="M286" s="30" t="n">
        <f aca="false">H286-J286</f>
        <v>804303.71</v>
      </c>
      <c r="N286" s="30" t="n">
        <f aca="false">H286-K286</f>
        <v>1272659.11</v>
      </c>
      <c r="O286" s="9" t="s">
        <v>323</v>
      </c>
      <c r="P286" s="9" t="str">
        <f aca="false">IF(H286=0,"Sin PIM",IF(ROUND(K286-H286,2)&gt;=0,"Devengado total",IF(J286&gt;0.005,"Comprometido",IF(I286&gt;0.005,"Solo certificado","Sin certificar"))))</f>
        <v>Comprometido</v>
      </c>
      <c r="Q286" s="30" t="n">
        <v>3659376</v>
      </c>
      <c r="R286" s="30" t="n">
        <v>55933</v>
      </c>
      <c r="S286" s="30" t="n">
        <v>0</v>
      </c>
      <c r="T286" s="30" t="n">
        <v>1953448</v>
      </c>
      <c r="U286" s="9"/>
      <c r="V286" s="9"/>
    </row>
    <row r="287" customFormat="false" ht="43.25" hidden="false" customHeight="false" outlineLevel="0" collapsed="false">
      <c r="A287" s="9" t="s">
        <v>678</v>
      </c>
      <c r="B287" s="9" t="s">
        <v>14</v>
      </c>
      <c r="C287" s="9"/>
      <c r="D287" s="9" t="s">
        <v>61</v>
      </c>
      <c r="E287" s="9" t="s">
        <v>681</v>
      </c>
      <c r="F287" s="9" t="n">
        <v>383</v>
      </c>
      <c r="G287" s="28" t="s">
        <v>682</v>
      </c>
      <c r="H287" s="29" t="n">
        <v>159946</v>
      </c>
      <c r="I287" s="29" t="n">
        <v>154011</v>
      </c>
      <c r="J287" s="29" t="n">
        <v>91011</v>
      </c>
      <c r="K287" s="29" t="n">
        <v>60441</v>
      </c>
      <c r="L287" s="30" t="n">
        <f aca="false">H287-I287</f>
        <v>5935</v>
      </c>
      <c r="M287" s="30" t="n">
        <f aca="false">H287-J287</f>
        <v>68935</v>
      </c>
      <c r="N287" s="30" t="n">
        <f aca="false">H287-K287</f>
        <v>99505</v>
      </c>
      <c r="O287" s="9" t="s">
        <v>683</v>
      </c>
      <c r="P287" s="9" t="str">
        <f aca="false">IF(H287=0,"Sin PIM",IF(ROUND(K287-H287,2)&gt;=0,"Devengado total",IF(J287&gt;0.005,"Comprometido",IF(I287&gt;0.005,"Solo certificado","Sin certificar"))))</f>
        <v>Comprometido</v>
      </c>
      <c r="Q287" s="30" t="s">
        <v>97</v>
      </c>
      <c r="R287" s="30" t="s">
        <v>97</v>
      </c>
      <c r="S287" s="30" t="s">
        <v>97</v>
      </c>
      <c r="T287" s="30" t="s">
        <v>97</v>
      </c>
      <c r="U287" s="9"/>
      <c r="V287" s="9"/>
    </row>
    <row r="288" customFormat="false" ht="53.7" hidden="false" customHeight="false" outlineLevel="0" collapsed="false">
      <c r="A288" s="9" t="s">
        <v>678</v>
      </c>
      <c r="B288" s="9" t="s">
        <v>14</v>
      </c>
      <c r="C288" s="9"/>
      <c r="D288" s="9" t="s">
        <v>61</v>
      </c>
      <c r="E288" s="9" t="s">
        <v>684</v>
      </c>
      <c r="F288" s="9" t="n">
        <v>475</v>
      </c>
      <c r="G288" s="28" t="s">
        <v>685</v>
      </c>
      <c r="H288" s="29" t="n">
        <v>159560</v>
      </c>
      <c r="I288" s="29" t="n">
        <v>141270</v>
      </c>
      <c r="J288" s="29" t="n">
        <v>57830</v>
      </c>
      <c r="K288" s="29" t="n">
        <v>57830</v>
      </c>
      <c r="L288" s="30" t="n">
        <f aca="false">H288-I288</f>
        <v>18290</v>
      </c>
      <c r="M288" s="30" t="n">
        <f aca="false">H288-J288</f>
        <v>101730</v>
      </c>
      <c r="N288" s="30" t="n">
        <f aca="false">H288-K288</f>
        <v>101730</v>
      </c>
      <c r="O288" s="9" t="s">
        <v>683</v>
      </c>
      <c r="P288" s="9" t="str">
        <f aca="false">IF(H288=0,"Sin PIM",IF(ROUND(K288-H288,2)&gt;=0,"Devengado total",IF(J288&gt;0.005,"Comprometido",IF(I288&gt;0.005,"Solo certificado","Sin certificar"))))</f>
        <v>Comprometido</v>
      </c>
      <c r="Q288" s="30" t="s">
        <v>97</v>
      </c>
      <c r="R288" s="30" t="s">
        <v>97</v>
      </c>
      <c r="S288" s="30" t="s">
        <v>97</v>
      </c>
      <c r="T288" s="30" t="s">
        <v>97</v>
      </c>
      <c r="U288" s="9"/>
      <c r="V288" s="9"/>
    </row>
    <row r="289" customFormat="false" ht="53.7" hidden="false" customHeight="false" outlineLevel="0" collapsed="false">
      <c r="A289" s="9" t="s">
        <v>678</v>
      </c>
      <c r="B289" s="9" t="s">
        <v>14</v>
      </c>
      <c r="C289" s="9"/>
      <c r="D289" s="9" t="s">
        <v>61</v>
      </c>
      <c r="E289" s="9" t="s">
        <v>686</v>
      </c>
      <c r="F289" s="9" t="n">
        <v>410</v>
      </c>
      <c r="G289" s="28" t="s">
        <v>687</v>
      </c>
      <c r="H289" s="29" t="n">
        <v>158892</v>
      </c>
      <c r="I289" s="29" t="n">
        <v>146558.5</v>
      </c>
      <c r="J289" s="29" t="n">
        <v>97358.5</v>
      </c>
      <c r="K289" s="29" t="n">
        <v>97358.5</v>
      </c>
      <c r="L289" s="30" t="n">
        <f aca="false">H289-I289</f>
        <v>12333.5</v>
      </c>
      <c r="M289" s="30" t="n">
        <f aca="false">H289-J289</f>
        <v>61533.5</v>
      </c>
      <c r="N289" s="30" t="n">
        <f aca="false">H289-K289</f>
        <v>61533.5</v>
      </c>
      <c r="O289" s="9" t="s">
        <v>683</v>
      </c>
      <c r="P289" s="9" t="str">
        <f aca="false">IF(H289=0,"Sin PIM",IF(ROUND(K289-H289,2)&gt;=0,"Devengado total",IF(J289&gt;0.005,"Comprometido",IF(I289&gt;0.005,"Solo certificado","Sin certificar"))))</f>
        <v>Comprometido</v>
      </c>
      <c r="Q289" s="30" t="s">
        <v>97</v>
      </c>
      <c r="R289" s="30" t="s">
        <v>97</v>
      </c>
      <c r="S289" s="30" t="s">
        <v>97</v>
      </c>
      <c r="T289" s="30" t="s">
        <v>97</v>
      </c>
      <c r="U289" s="9"/>
      <c r="V289" s="9"/>
    </row>
    <row r="290" customFormat="false" ht="53.7" hidden="false" customHeight="false" outlineLevel="0" collapsed="false">
      <c r="A290" s="9" t="s">
        <v>678</v>
      </c>
      <c r="B290" s="9" t="s">
        <v>14</v>
      </c>
      <c r="C290" s="9"/>
      <c r="D290" s="9" t="s">
        <v>52</v>
      </c>
      <c r="E290" s="9" t="s">
        <v>688</v>
      </c>
      <c r="F290" s="9" t="n">
        <v>399</v>
      </c>
      <c r="G290" s="28" t="s">
        <v>689</v>
      </c>
      <c r="H290" s="29" t="n">
        <v>160000</v>
      </c>
      <c r="I290" s="29" t="n">
        <v>0</v>
      </c>
      <c r="J290" s="29" t="n">
        <v>0</v>
      </c>
      <c r="K290" s="29" t="n">
        <v>0</v>
      </c>
      <c r="L290" s="30" t="n">
        <f aca="false">H290-I290</f>
        <v>160000</v>
      </c>
      <c r="M290" s="30" t="n">
        <f aca="false">H290-J290</f>
        <v>160000</v>
      </c>
      <c r="N290" s="30" t="n">
        <f aca="false">H290-K290</f>
        <v>160000</v>
      </c>
      <c r="O290" s="9" t="s">
        <v>683</v>
      </c>
      <c r="P290" s="9" t="str">
        <f aca="false">IF(H290=0,"Sin PIM",IF(ROUND(K290-H290,2)&gt;=0,"Devengado total",IF(J290&gt;0.005,"Comprometido",IF(I290&gt;0.005,"Solo certificado","Sin certificar"))))</f>
        <v>Sin certificar</v>
      </c>
      <c r="Q290" s="30" t="s">
        <v>97</v>
      </c>
      <c r="R290" s="30" t="s">
        <v>97</v>
      </c>
      <c r="S290" s="30" t="s">
        <v>97</v>
      </c>
      <c r="T290" s="30" t="s">
        <v>97</v>
      </c>
      <c r="U290" s="9"/>
      <c r="V290" s="9"/>
    </row>
    <row r="291" customFormat="false" ht="43.25" hidden="false" customHeight="false" outlineLevel="0" collapsed="false">
      <c r="A291" s="9" t="s">
        <v>678</v>
      </c>
      <c r="B291" s="9" t="s">
        <v>14</v>
      </c>
      <c r="C291" s="9"/>
      <c r="D291" s="9" t="s">
        <v>52</v>
      </c>
      <c r="E291" s="9" t="s">
        <v>690</v>
      </c>
      <c r="F291" s="9" t="n">
        <v>373</v>
      </c>
      <c r="G291" s="28" t="s">
        <v>691</v>
      </c>
      <c r="H291" s="29" t="n">
        <v>83160</v>
      </c>
      <c r="I291" s="29" t="n">
        <v>83160</v>
      </c>
      <c r="J291" s="29" t="n">
        <v>83100.4</v>
      </c>
      <c r="K291" s="29" t="n">
        <v>83100.4</v>
      </c>
      <c r="L291" s="30" t="n">
        <f aca="false">H291-I291</f>
        <v>0</v>
      </c>
      <c r="M291" s="30" t="n">
        <f aca="false">H291-J291</f>
        <v>59.6000000000058</v>
      </c>
      <c r="N291" s="30" t="n">
        <f aca="false">H291-K291</f>
        <v>59.6000000000058</v>
      </c>
      <c r="O291" s="9" t="s">
        <v>692</v>
      </c>
      <c r="P291" s="9" t="str">
        <f aca="false">IF(H291=0,"Sin PIM",IF(ROUND(K291-H291,2)&gt;=0,"Devengado total",IF(J291&gt;0.005,"Comprometido",IF(I291&gt;0.005,"Solo certificado","Sin certificar"))))</f>
        <v>Comprometido</v>
      </c>
      <c r="Q291" s="30" t="s">
        <v>97</v>
      </c>
      <c r="R291" s="30" t="s">
        <v>97</v>
      </c>
      <c r="S291" s="30" t="s">
        <v>97</v>
      </c>
      <c r="T291" s="30" t="s">
        <v>97</v>
      </c>
      <c r="U291" s="9"/>
      <c r="V291" s="9"/>
    </row>
    <row r="292" customFormat="false" ht="15" hidden="false" customHeight="false" outlineLevel="0" collapsed="false">
      <c r="A292" s="9" t="s">
        <v>678</v>
      </c>
      <c r="B292" s="9" t="s">
        <v>14</v>
      </c>
      <c r="C292" s="9"/>
      <c r="D292" s="9" t="s">
        <v>60</v>
      </c>
      <c r="E292" s="9" t="s">
        <v>693</v>
      </c>
      <c r="F292" s="9" t="n">
        <v>216</v>
      </c>
      <c r="G292" s="28" t="s">
        <v>694</v>
      </c>
      <c r="H292" s="29" t="n">
        <v>928209</v>
      </c>
      <c r="I292" s="29" t="n">
        <v>900951.03</v>
      </c>
      <c r="J292" s="29" t="n">
        <v>899673.11</v>
      </c>
      <c r="K292" s="29" t="n">
        <v>633092.52</v>
      </c>
      <c r="L292" s="30" t="n">
        <f aca="false">H292-I292</f>
        <v>27257.97</v>
      </c>
      <c r="M292" s="30" t="n">
        <f aca="false">H292-J292</f>
        <v>28535.89</v>
      </c>
      <c r="N292" s="30" t="n">
        <f aca="false">H292-K292</f>
        <v>295116.48</v>
      </c>
      <c r="O292" s="9" t="s">
        <v>695</v>
      </c>
      <c r="P292" s="9" t="str">
        <f aca="false">IF(H292=0,"Sin PIM",IF(ROUND(K292-H292,2)&gt;=0,"Devengado total",IF(J292&gt;0.005,"Comprometido",IF(I292&gt;0.005,"Solo certificado","Sin certificar"))))</f>
        <v>Comprometido</v>
      </c>
      <c r="Q292" s="30" t="s">
        <v>97</v>
      </c>
      <c r="R292" s="30" t="s">
        <v>97</v>
      </c>
      <c r="S292" s="30" t="s">
        <v>97</v>
      </c>
      <c r="T292" s="30" t="s">
        <v>97</v>
      </c>
      <c r="U292" s="9"/>
      <c r="V292" s="9"/>
    </row>
    <row r="293" customFormat="false" ht="15" hidden="false" customHeight="false" outlineLevel="0" collapsed="false">
      <c r="A293" s="9" t="s">
        <v>678</v>
      </c>
      <c r="B293" s="9" t="s">
        <v>14</v>
      </c>
      <c r="C293" s="9"/>
      <c r="D293" s="9" t="s">
        <v>60</v>
      </c>
      <c r="E293" s="9" t="s">
        <v>693</v>
      </c>
      <c r="F293" s="9" t="n">
        <v>493</v>
      </c>
      <c r="G293" s="28" t="s">
        <v>694</v>
      </c>
      <c r="H293" s="29" t="n">
        <v>170000</v>
      </c>
      <c r="I293" s="29" t="n">
        <v>94655</v>
      </c>
      <c r="J293" s="29" t="n">
        <v>93354.24</v>
      </c>
      <c r="K293" s="29" t="n">
        <v>44009.24</v>
      </c>
      <c r="L293" s="30" t="n">
        <f aca="false">H293-I293</f>
        <v>75345</v>
      </c>
      <c r="M293" s="30" t="n">
        <f aca="false">H293-J293</f>
        <v>76645.76</v>
      </c>
      <c r="N293" s="30" t="n">
        <f aca="false">H293-K293</f>
        <v>125990.76</v>
      </c>
      <c r="O293" s="9" t="s">
        <v>695</v>
      </c>
      <c r="P293" s="9" t="str">
        <f aca="false">IF(H293=0,"Sin PIM",IF(ROUND(K293-H293,2)&gt;=0,"Devengado total",IF(J293&gt;0.005,"Comprometido",IF(I293&gt;0.005,"Solo certificado","Sin certificar"))))</f>
        <v>Comprometido</v>
      </c>
      <c r="Q293" s="30" t="s">
        <v>97</v>
      </c>
      <c r="R293" s="30" t="s">
        <v>97</v>
      </c>
      <c r="S293" s="30" t="s">
        <v>97</v>
      </c>
      <c r="T293" s="30" t="s">
        <v>97</v>
      </c>
      <c r="U293" s="9"/>
      <c r="V293" s="9"/>
    </row>
    <row r="294" customFormat="false" ht="32.8" hidden="false" customHeight="false" outlineLevel="0" collapsed="false">
      <c r="A294" s="9" t="s">
        <v>678</v>
      </c>
      <c r="B294" s="9" t="s">
        <v>14</v>
      </c>
      <c r="C294" s="9"/>
      <c r="D294" s="9" t="s">
        <v>66</v>
      </c>
      <c r="E294" s="9" t="s">
        <v>696</v>
      </c>
      <c r="F294" s="9" t="n">
        <v>418</v>
      </c>
      <c r="G294" s="28" t="s">
        <v>697</v>
      </c>
      <c r="H294" s="29" t="n">
        <v>350000</v>
      </c>
      <c r="I294" s="29" t="n">
        <v>334060</v>
      </c>
      <c r="J294" s="29" t="n">
        <v>207360</v>
      </c>
      <c r="K294" s="29" t="n">
        <v>65360</v>
      </c>
      <c r="L294" s="30" t="n">
        <f aca="false">H294-I294</f>
        <v>15940</v>
      </c>
      <c r="M294" s="30" t="n">
        <f aca="false">H294-J294</f>
        <v>142640</v>
      </c>
      <c r="N294" s="30" t="n">
        <f aca="false">H294-K294</f>
        <v>284640</v>
      </c>
      <c r="O294" s="9" t="s">
        <v>683</v>
      </c>
      <c r="P294" s="9" t="str">
        <f aca="false">IF(H294=0,"Sin PIM",IF(ROUND(K294-H294,2)&gt;=0,"Devengado total",IF(J294&gt;0.005,"Comprometido",IF(I294&gt;0.005,"Solo certificado","Sin certificar"))))</f>
        <v>Comprometido</v>
      </c>
      <c r="Q294" s="30" t="s">
        <v>97</v>
      </c>
      <c r="R294" s="30" t="s">
        <v>97</v>
      </c>
      <c r="S294" s="30" t="s">
        <v>97</v>
      </c>
      <c r="T294" s="30" t="s">
        <v>97</v>
      </c>
      <c r="U294" s="9"/>
      <c r="V294" s="9"/>
    </row>
    <row r="295" customFormat="false" ht="32.8" hidden="false" customHeight="false" outlineLevel="0" collapsed="false">
      <c r="A295" s="9" t="s">
        <v>678</v>
      </c>
      <c r="B295" s="9" t="s">
        <v>14</v>
      </c>
      <c r="C295" s="9"/>
      <c r="D295" s="9" t="s">
        <v>66</v>
      </c>
      <c r="E295" s="9" t="s">
        <v>698</v>
      </c>
      <c r="F295" s="9" t="n">
        <v>424</v>
      </c>
      <c r="G295" s="28" t="s">
        <v>699</v>
      </c>
      <c r="H295" s="29" t="n">
        <v>349950</v>
      </c>
      <c r="I295" s="29" t="n">
        <v>287705</v>
      </c>
      <c r="J295" s="29" t="n">
        <v>145662</v>
      </c>
      <c r="K295" s="29" t="n">
        <v>136062</v>
      </c>
      <c r="L295" s="30" t="n">
        <f aca="false">H295-I295</f>
        <v>62245</v>
      </c>
      <c r="M295" s="30" t="n">
        <f aca="false">H295-J295</f>
        <v>204288</v>
      </c>
      <c r="N295" s="30" t="n">
        <f aca="false">H295-K295</f>
        <v>213888</v>
      </c>
      <c r="O295" s="9" t="s">
        <v>683</v>
      </c>
      <c r="P295" s="9" t="str">
        <f aca="false">IF(H295=0,"Sin PIM",IF(ROUND(K295-H295,2)&gt;=0,"Devengado total",IF(J295&gt;0.005,"Comprometido",IF(I295&gt;0.005,"Solo certificado","Sin certificar"))))</f>
        <v>Comprometido</v>
      </c>
      <c r="Q295" s="30" t="s">
        <v>97</v>
      </c>
      <c r="R295" s="30" t="s">
        <v>97</v>
      </c>
      <c r="S295" s="30" t="s">
        <v>97</v>
      </c>
      <c r="T295" s="30" t="s">
        <v>97</v>
      </c>
      <c r="U295" s="9"/>
      <c r="V295" s="9"/>
    </row>
    <row r="296" customFormat="false" ht="32.8" hidden="false" customHeight="false" outlineLevel="0" collapsed="false">
      <c r="A296" s="9" t="s">
        <v>678</v>
      </c>
      <c r="B296" s="9" t="s">
        <v>14</v>
      </c>
      <c r="C296" s="9"/>
      <c r="D296" s="9" t="s">
        <v>66</v>
      </c>
      <c r="E296" s="9" t="s">
        <v>700</v>
      </c>
      <c r="F296" s="9" t="n">
        <v>413</v>
      </c>
      <c r="G296" s="28" t="s">
        <v>701</v>
      </c>
      <c r="H296" s="29" t="n">
        <v>349899</v>
      </c>
      <c r="I296" s="29" t="n">
        <v>307070</v>
      </c>
      <c r="J296" s="29" t="n">
        <v>52070</v>
      </c>
      <c r="K296" s="29" t="n">
        <v>10500</v>
      </c>
      <c r="L296" s="30" t="n">
        <f aca="false">H296-I296</f>
        <v>42829</v>
      </c>
      <c r="M296" s="30" t="n">
        <f aca="false">H296-J296</f>
        <v>297829</v>
      </c>
      <c r="N296" s="30" t="n">
        <f aca="false">H296-K296</f>
        <v>339399</v>
      </c>
      <c r="O296" s="9" t="s">
        <v>683</v>
      </c>
      <c r="P296" s="9" t="str">
        <f aca="false">IF(H296=0,"Sin PIM",IF(ROUND(K296-H296,2)&gt;=0,"Devengado total",IF(J296&gt;0.005,"Comprometido",IF(I296&gt;0.005,"Solo certificado","Sin certificar"))))</f>
        <v>Comprometido</v>
      </c>
      <c r="Q296" s="30" t="s">
        <v>97</v>
      </c>
      <c r="R296" s="30" t="s">
        <v>97</v>
      </c>
      <c r="S296" s="30" t="s">
        <v>97</v>
      </c>
      <c r="T296" s="30" t="s">
        <v>97</v>
      </c>
      <c r="U296" s="9"/>
      <c r="V296" s="9"/>
    </row>
    <row r="297" customFormat="false" ht="43.25" hidden="false" customHeight="false" outlineLevel="0" collapsed="false">
      <c r="A297" s="9" t="s">
        <v>678</v>
      </c>
      <c r="B297" s="9" t="s">
        <v>14</v>
      </c>
      <c r="C297" s="9"/>
      <c r="D297" s="9" t="s">
        <v>66</v>
      </c>
      <c r="E297" s="9" t="s">
        <v>702</v>
      </c>
      <c r="F297" s="9" t="n">
        <v>394</v>
      </c>
      <c r="G297" s="28" t="s">
        <v>703</v>
      </c>
      <c r="H297" s="29" t="n">
        <v>349792</v>
      </c>
      <c r="I297" s="29" t="n">
        <v>321500</v>
      </c>
      <c r="J297" s="29" t="n">
        <v>0</v>
      </c>
      <c r="K297" s="29" t="n">
        <v>0</v>
      </c>
      <c r="L297" s="30" t="n">
        <f aca="false">H297-I297</f>
        <v>28292</v>
      </c>
      <c r="M297" s="30" t="n">
        <f aca="false">H297-J297</f>
        <v>349792</v>
      </c>
      <c r="N297" s="30" t="n">
        <f aca="false">H297-K297</f>
        <v>349792</v>
      </c>
      <c r="O297" s="9" t="s">
        <v>683</v>
      </c>
      <c r="P297" s="9" t="str">
        <f aca="false">IF(H297=0,"Sin PIM",IF(ROUND(K297-H297,2)&gt;=0,"Devengado total",IF(J297&gt;0.005,"Comprometido",IF(I297&gt;0.005,"Solo certificado","Sin certificar"))))</f>
        <v>Solo certificado</v>
      </c>
      <c r="Q297" s="30" t="s">
        <v>97</v>
      </c>
      <c r="R297" s="30" t="s">
        <v>97</v>
      </c>
      <c r="S297" s="30" t="s">
        <v>97</v>
      </c>
      <c r="T297" s="30" t="s">
        <v>97</v>
      </c>
      <c r="U297" s="9"/>
      <c r="V297" s="9"/>
    </row>
    <row r="298" customFormat="false" ht="43.25" hidden="false" customHeight="false" outlineLevel="0" collapsed="false">
      <c r="A298" s="9" t="s">
        <v>678</v>
      </c>
      <c r="B298" s="9" t="s">
        <v>14</v>
      </c>
      <c r="C298" s="9"/>
      <c r="D298" s="9" t="s">
        <v>66</v>
      </c>
      <c r="E298" s="9" t="s">
        <v>704</v>
      </c>
      <c r="F298" s="9" t="n">
        <v>408</v>
      </c>
      <c r="G298" s="28" t="s">
        <v>705</v>
      </c>
      <c r="H298" s="29" t="n">
        <v>349792</v>
      </c>
      <c r="I298" s="29" t="n">
        <v>329100</v>
      </c>
      <c r="J298" s="29" t="n">
        <v>0</v>
      </c>
      <c r="K298" s="29" t="n">
        <v>0</v>
      </c>
      <c r="L298" s="30" t="n">
        <f aca="false">H298-I298</f>
        <v>20692</v>
      </c>
      <c r="M298" s="30" t="n">
        <f aca="false">H298-J298</f>
        <v>349792</v>
      </c>
      <c r="N298" s="30" t="n">
        <f aca="false">H298-K298</f>
        <v>349792</v>
      </c>
      <c r="O298" s="9" t="s">
        <v>683</v>
      </c>
      <c r="P298" s="9" t="str">
        <f aca="false">IF(H298=0,"Sin PIM",IF(ROUND(K298-H298,2)&gt;=0,"Devengado total",IF(J298&gt;0.005,"Comprometido",IF(I298&gt;0.005,"Solo certificado","Sin certificar"))))</f>
        <v>Solo certificado</v>
      </c>
      <c r="Q298" s="30" t="s">
        <v>97</v>
      </c>
      <c r="R298" s="30" t="s">
        <v>97</v>
      </c>
      <c r="S298" s="30" t="s">
        <v>97</v>
      </c>
      <c r="T298" s="30" t="s">
        <v>97</v>
      </c>
      <c r="U298" s="9"/>
      <c r="V298" s="9"/>
    </row>
    <row r="299" customFormat="false" ht="32.8" hidden="false" customHeight="false" outlineLevel="0" collapsed="false">
      <c r="A299" s="9" t="s">
        <v>678</v>
      </c>
      <c r="B299" s="9" t="s">
        <v>14</v>
      </c>
      <c r="C299" s="9"/>
      <c r="D299" s="9" t="s">
        <v>66</v>
      </c>
      <c r="E299" s="9" t="s">
        <v>706</v>
      </c>
      <c r="F299" s="9" t="n">
        <v>421</v>
      </c>
      <c r="G299" s="28" t="s">
        <v>707</v>
      </c>
      <c r="H299" s="29" t="n">
        <v>346711</v>
      </c>
      <c r="I299" s="29" t="n">
        <v>318955</v>
      </c>
      <c r="J299" s="29" t="n">
        <v>118945</v>
      </c>
      <c r="K299" s="29" t="n">
        <v>112190</v>
      </c>
      <c r="L299" s="30" t="n">
        <f aca="false">H299-I299</f>
        <v>27756</v>
      </c>
      <c r="M299" s="30" t="n">
        <f aca="false">H299-J299</f>
        <v>227766</v>
      </c>
      <c r="N299" s="30" t="n">
        <f aca="false">H299-K299</f>
        <v>234521</v>
      </c>
      <c r="O299" s="9" t="s">
        <v>683</v>
      </c>
      <c r="P299" s="9" t="str">
        <f aca="false">IF(H299=0,"Sin PIM",IF(ROUND(K299-H299,2)&gt;=0,"Devengado total",IF(J299&gt;0.005,"Comprometido",IF(I299&gt;0.005,"Solo certificado","Sin certificar"))))</f>
        <v>Comprometido</v>
      </c>
      <c r="Q299" s="30" t="s">
        <v>97</v>
      </c>
      <c r="R299" s="30" t="s">
        <v>97</v>
      </c>
      <c r="S299" s="30" t="s">
        <v>97</v>
      </c>
      <c r="T299" s="30" t="s">
        <v>97</v>
      </c>
      <c r="U299" s="9"/>
      <c r="V299" s="9"/>
    </row>
    <row r="300" customFormat="false" ht="43.25" hidden="false" customHeight="false" outlineLevel="0" collapsed="false">
      <c r="A300" s="9" t="s">
        <v>678</v>
      </c>
      <c r="B300" s="9" t="s">
        <v>14</v>
      </c>
      <c r="C300" s="9"/>
      <c r="D300" s="9" t="s">
        <v>66</v>
      </c>
      <c r="E300" s="9" t="s">
        <v>708</v>
      </c>
      <c r="F300" s="9" t="n">
        <v>387</v>
      </c>
      <c r="G300" s="28" t="s">
        <v>709</v>
      </c>
      <c r="H300" s="29" t="n">
        <v>269980</v>
      </c>
      <c r="I300" s="29" t="n">
        <v>259749</v>
      </c>
      <c r="J300" s="29" t="n">
        <v>258249</v>
      </c>
      <c r="K300" s="29" t="n">
        <v>255066</v>
      </c>
      <c r="L300" s="30" t="n">
        <f aca="false">H300-I300</f>
        <v>10231</v>
      </c>
      <c r="M300" s="30" t="n">
        <f aca="false">H300-J300</f>
        <v>11731</v>
      </c>
      <c r="N300" s="30" t="n">
        <f aca="false">H300-K300</f>
        <v>14914</v>
      </c>
      <c r="O300" s="9" t="s">
        <v>683</v>
      </c>
      <c r="P300" s="9" t="str">
        <f aca="false">IF(H300=0,"Sin PIM",IF(ROUND(K300-H300,2)&gt;=0,"Devengado total",IF(J300&gt;0.005,"Comprometido",IF(I300&gt;0.005,"Solo certificado","Sin certificar"))))</f>
        <v>Comprometido</v>
      </c>
      <c r="Q300" s="30" t="s">
        <v>97</v>
      </c>
      <c r="R300" s="30" t="s">
        <v>97</v>
      </c>
      <c r="S300" s="30" t="s">
        <v>97</v>
      </c>
      <c r="T300" s="30" t="s">
        <v>97</v>
      </c>
      <c r="U300" s="9"/>
      <c r="V300" s="9"/>
    </row>
    <row r="301" customFormat="false" ht="43.25" hidden="false" customHeight="false" outlineLevel="0" collapsed="false">
      <c r="A301" s="9" t="s">
        <v>678</v>
      </c>
      <c r="B301" s="9" t="s">
        <v>14</v>
      </c>
      <c r="C301" s="9"/>
      <c r="D301" s="9" t="s">
        <v>66</v>
      </c>
      <c r="E301" s="9" t="s">
        <v>710</v>
      </c>
      <c r="F301" s="9" t="n">
        <v>378</v>
      </c>
      <c r="G301" s="28" t="s">
        <v>711</v>
      </c>
      <c r="H301" s="29" t="n">
        <v>209400</v>
      </c>
      <c r="I301" s="29" t="n">
        <v>176550</v>
      </c>
      <c r="J301" s="29" t="n">
        <v>176550</v>
      </c>
      <c r="K301" s="29" t="n">
        <v>136550</v>
      </c>
      <c r="L301" s="30" t="n">
        <f aca="false">H301-I301</f>
        <v>32850</v>
      </c>
      <c r="M301" s="30" t="n">
        <f aca="false">H301-J301</f>
        <v>32850</v>
      </c>
      <c r="N301" s="30" t="n">
        <f aca="false">H301-K301</f>
        <v>72850</v>
      </c>
      <c r="O301" s="9" t="s">
        <v>683</v>
      </c>
      <c r="P301" s="9" t="str">
        <f aca="false">IF(H301=0,"Sin PIM",IF(ROUND(K301-H301,2)&gt;=0,"Devengado total",IF(J301&gt;0.005,"Comprometido",IF(I301&gt;0.005,"Solo certificado","Sin certificar"))))</f>
        <v>Comprometido</v>
      </c>
      <c r="Q301" s="30" t="s">
        <v>97</v>
      </c>
      <c r="R301" s="30" t="s">
        <v>97</v>
      </c>
      <c r="S301" s="30" t="s">
        <v>97</v>
      </c>
      <c r="T301" s="30" t="s">
        <v>97</v>
      </c>
      <c r="U301" s="9"/>
      <c r="V301" s="9"/>
    </row>
    <row r="302" customFormat="false" ht="43.25" hidden="false" customHeight="false" outlineLevel="0" collapsed="false">
      <c r="A302" s="9" t="s">
        <v>678</v>
      </c>
      <c r="B302" s="9" t="s">
        <v>14</v>
      </c>
      <c r="C302" s="9"/>
      <c r="D302" s="9" t="s">
        <v>66</v>
      </c>
      <c r="E302" s="9" t="s">
        <v>712</v>
      </c>
      <c r="F302" s="9" t="n">
        <v>392</v>
      </c>
      <c r="G302" s="28" t="s">
        <v>713</v>
      </c>
      <c r="H302" s="29" t="n">
        <v>160000</v>
      </c>
      <c r="I302" s="29" t="n">
        <v>143401</v>
      </c>
      <c r="J302" s="29" t="n">
        <v>143401</v>
      </c>
      <c r="K302" s="29" t="n">
        <v>143401</v>
      </c>
      <c r="L302" s="30" t="n">
        <f aca="false">H302-I302</f>
        <v>16599</v>
      </c>
      <c r="M302" s="30" t="n">
        <f aca="false">H302-J302</f>
        <v>16599</v>
      </c>
      <c r="N302" s="30" t="n">
        <f aca="false">H302-K302</f>
        <v>16599</v>
      </c>
      <c r="O302" s="9" t="s">
        <v>683</v>
      </c>
      <c r="P302" s="9" t="str">
        <f aca="false">IF(H302=0,"Sin PIM",IF(ROUND(K302-H302,2)&gt;=0,"Devengado total",IF(J302&gt;0.005,"Comprometido",IF(I302&gt;0.005,"Solo certificado","Sin certificar"))))</f>
        <v>Comprometido</v>
      </c>
      <c r="Q302" s="30" t="s">
        <v>97</v>
      </c>
      <c r="R302" s="30" t="s">
        <v>97</v>
      </c>
      <c r="S302" s="30" t="s">
        <v>97</v>
      </c>
      <c r="T302" s="30" t="s">
        <v>97</v>
      </c>
      <c r="U302" s="9"/>
      <c r="V302" s="9"/>
    </row>
    <row r="303" customFormat="false" ht="53.7" hidden="false" customHeight="false" outlineLevel="0" collapsed="false">
      <c r="A303" s="9" t="s">
        <v>678</v>
      </c>
      <c r="B303" s="9" t="s">
        <v>14</v>
      </c>
      <c r="C303" s="9"/>
      <c r="D303" s="9" t="s">
        <v>66</v>
      </c>
      <c r="E303" s="9" t="s">
        <v>714</v>
      </c>
      <c r="F303" s="9" t="n">
        <v>393</v>
      </c>
      <c r="G303" s="28" t="s">
        <v>715</v>
      </c>
      <c r="H303" s="29" t="n">
        <v>160000</v>
      </c>
      <c r="I303" s="29" t="n">
        <v>149840</v>
      </c>
      <c r="J303" s="29" t="n">
        <v>34040</v>
      </c>
      <c r="K303" s="29" t="n">
        <v>18740</v>
      </c>
      <c r="L303" s="30" t="n">
        <f aca="false">H303-I303</f>
        <v>10160</v>
      </c>
      <c r="M303" s="30" t="n">
        <f aca="false">H303-J303</f>
        <v>125960</v>
      </c>
      <c r="N303" s="30" t="n">
        <f aca="false">H303-K303</f>
        <v>141260</v>
      </c>
      <c r="O303" s="9" t="s">
        <v>683</v>
      </c>
      <c r="P303" s="9" t="str">
        <f aca="false">IF(H303=0,"Sin PIM",IF(ROUND(K303-H303,2)&gt;=0,"Devengado total",IF(J303&gt;0.005,"Comprometido",IF(I303&gt;0.005,"Solo certificado","Sin certificar"))))</f>
        <v>Comprometido</v>
      </c>
      <c r="Q303" s="30" t="s">
        <v>97</v>
      </c>
      <c r="R303" s="30" t="s">
        <v>97</v>
      </c>
      <c r="S303" s="30" t="s">
        <v>97</v>
      </c>
      <c r="T303" s="30" t="s">
        <v>97</v>
      </c>
      <c r="U303" s="9"/>
      <c r="V303" s="9"/>
    </row>
    <row r="304" customFormat="false" ht="43.25" hidden="false" customHeight="false" outlineLevel="0" collapsed="false">
      <c r="A304" s="9" t="s">
        <v>678</v>
      </c>
      <c r="B304" s="9" t="s">
        <v>14</v>
      </c>
      <c r="C304" s="9"/>
      <c r="D304" s="9" t="s">
        <v>66</v>
      </c>
      <c r="E304" s="9" t="s">
        <v>716</v>
      </c>
      <c r="F304" s="9" t="n">
        <v>397</v>
      </c>
      <c r="G304" s="28" t="s">
        <v>717</v>
      </c>
      <c r="H304" s="29" t="n">
        <v>160000</v>
      </c>
      <c r="I304" s="29" t="n">
        <v>148990</v>
      </c>
      <c r="J304" s="29" t="n">
        <v>147990</v>
      </c>
      <c r="K304" s="29" t="n">
        <v>26000</v>
      </c>
      <c r="L304" s="30" t="n">
        <f aca="false">H304-I304</f>
        <v>11010</v>
      </c>
      <c r="M304" s="30" t="n">
        <f aca="false">H304-J304</f>
        <v>12010</v>
      </c>
      <c r="N304" s="30" t="n">
        <f aca="false">H304-K304</f>
        <v>134000</v>
      </c>
      <c r="O304" s="9" t="s">
        <v>683</v>
      </c>
      <c r="P304" s="9" t="str">
        <f aca="false">IF(H304=0,"Sin PIM",IF(ROUND(K304-H304,2)&gt;=0,"Devengado total",IF(J304&gt;0.005,"Comprometido",IF(I304&gt;0.005,"Solo certificado","Sin certificar"))))</f>
        <v>Comprometido</v>
      </c>
      <c r="Q304" s="30" t="s">
        <v>97</v>
      </c>
      <c r="R304" s="30" t="s">
        <v>97</v>
      </c>
      <c r="S304" s="30" t="s">
        <v>97</v>
      </c>
      <c r="T304" s="30" t="s">
        <v>97</v>
      </c>
      <c r="U304" s="9"/>
      <c r="V304" s="9"/>
    </row>
    <row r="305" customFormat="false" ht="43.25" hidden="false" customHeight="false" outlineLevel="0" collapsed="false">
      <c r="A305" s="9" t="s">
        <v>678</v>
      </c>
      <c r="B305" s="9" t="s">
        <v>14</v>
      </c>
      <c r="C305" s="9"/>
      <c r="D305" s="9" t="s">
        <v>66</v>
      </c>
      <c r="E305" s="9" t="s">
        <v>718</v>
      </c>
      <c r="F305" s="9" t="n">
        <v>404</v>
      </c>
      <c r="G305" s="28" t="s">
        <v>719</v>
      </c>
      <c r="H305" s="29" t="n">
        <v>160000</v>
      </c>
      <c r="I305" s="29" t="n">
        <v>150870</v>
      </c>
      <c r="J305" s="29" t="n">
        <v>51270</v>
      </c>
      <c r="K305" s="29" t="n">
        <v>45270</v>
      </c>
      <c r="L305" s="30" t="n">
        <f aca="false">H305-I305</f>
        <v>9130</v>
      </c>
      <c r="M305" s="30" t="n">
        <f aca="false">H305-J305</f>
        <v>108730</v>
      </c>
      <c r="N305" s="30" t="n">
        <f aca="false">H305-K305</f>
        <v>114730</v>
      </c>
      <c r="O305" s="9" t="s">
        <v>683</v>
      </c>
      <c r="P305" s="9" t="str">
        <f aca="false">IF(H305=0,"Sin PIM",IF(ROUND(K305-H305,2)&gt;=0,"Devengado total",IF(J305&gt;0.005,"Comprometido",IF(I305&gt;0.005,"Solo certificado","Sin certificar"))))</f>
        <v>Comprometido</v>
      </c>
      <c r="Q305" s="30" t="s">
        <v>97</v>
      </c>
      <c r="R305" s="30" t="s">
        <v>97</v>
      </c>
      <c r="S305" s="30" t="s">
        <v>97</v>
      </c>
      <c r="T305" s="30" t="s">
        <v>97</v>
      </c>
      <c r="U305" s="9"/>
      <c r="V305" s="9"/>
    </row>
    <row r="306" customFormat="false" ht="43.25" hidden="false" customHeight="false" outlineLevel="0" collapsed="false">
      <c r="A306" s="9" t="s">
        <v>678</v>
      </c>
      <c r="B306" s="9" t="s">
        <v>14</v>
      </c>
      <c r="C306" s="9"/>
      <c r="D306" s="9" t="s">
        <v>66</v>
      </c>
      <c r="E306" s="9" t="s">
        <v>720</v>
      </c>
      <c r="F306" s="9" t="n">
        <v>407</v>
      </c>
      <c r="G306" s="28" t="s">
        <v>721</v>
      </c>
      <c r="H306" s="29" t="n">
        <v>160000</v>
      </c>
      <c r="I306" s="29" t="n">
        <v>151322</v>
      </c>
      <c r="J306" s="29" t="n">
        <v>96322</v>
      </c>
      <c r="K306" s="29" t="n">
        <v>96322</v>
      </c>
      <c r="L306" s="30" t="n">
        <f aca="false">H306-I306</f>
        <v>8678</v>
      </c>
      <c r="M306" s="30" t="n">
        <f aca="false">H306-J306</f>
        <v>63678</v>
      </c>
      <c r="N306" s="30" t="n">
        <f aca="false">H306-K306</f>
        <v>63678</v>
      </c>
      <c r="O306" s="9" t="s">
        <v>683</v>
      </c>
      <c r="P306" s="9" t="str">
        <f aca="false">IF(H306=0,"Sin PIM",IF(ROUND(K306-H306,2)&gt;=0,"Devengado total",IF(J306&gt;0.005,"Comprometido",IF(I306&gt;0.005,"Solo certificado","Sin certificar"))))</f>
        <v>Comprometido</v>
      </c>
      <c r="Q306" s="30" t="s">
        <v>97</v>
      </c>
      <c r="R306" s="30" t="s">
        <v>97</v>
      </c>
      <c r="S306" s="30" t="s">
        <v>97</v>
      </c>
      <c r="T306" s="30" t="s">
        <v>97</v>
      </c>
      <c r="U306" s="9"/>
      <c r="V306" s="9"/>
    </row>
    <row r="307" customFormat="false" ht="53.7" hidden="false" customHeight="false" outlineLevel="0" collapsed="false">
      <c r="A307" s="9" t="s">
        <v>678</v>
      </c>
      <c r="B307" s="9" t="s">
        <v>14</v>
      </c>
      <c r="C307" s="9"/>
      <c r="D307" s="9" t="s">
        <v>66</v>
      </c>
      <c r="E307" s="9" t="s">
        <v>722</v>
      </c>
      <c r="F307" s="9" t="n">
        <v>412</v>
      </c>
      <c r="G307" s="28" t="s">
        <v>723</v>
      </c>
      <c r="H307" s="29" t="n">
        <v>160000</v>
      </c>
      <c r="I307" s="29" t="n">
        <v>145570.62</v>
      </c>
      <c r="J307" s="29" t="n">
        <v>14120</v>
      </c>
      <c r="K307" s="29" t="n">
        <v>10545</v>
      </c>
      <c r="L307" s="30" t="n">
        <f aca="false">H307-I307</f>
        <v>14429.38</v>
      </c>
      <c r="M307" s="30" t="n">
        <f aca="false">H307-J307</f>
        <v>145880</v>
      </c>
      <c r="N307" s="30" t="n">
        <f aca="false">H307-K307</f>
        <v>149455</v>
      </c>
      <c r="O307" s="9" t="s">
        <v>683</v>
      </c>
      <c r="P307" s="9" t="str">
        <f aca="false">IF(H307=0,"Sin PIM",IF(ROUND(K307-H307,2)&gt;=0,"Devengado total",IF(J307&gt;0.005,"Comprometido",IF(I307&gt;0.005,"Solo certificado","Sin certificar"))))</f>
        <v>Comprometido</v>
      </c>
      <c r="Q307" s="30" t="s">
        <v>97</v>
      </c>
      <c r="R307" s="30" t="s">
        <v>97</v>
      </c>
      <c r="S307" s="30" t="s">
        <v>97</v>
      </c>
      <c r="T307" s="30" t="s">
        <v>97</v>
      </c>
      <c r="U307" s="9"/>
      <c r="V307" s="9"/>
    </row>
    <row r="308" customFormat="false" ht="43.25" hidden="false" customHeight="false" outlineLevel="0" collapsed="false">
      <c r="A308" s="9" t="s">
        <v>678</v>
      </c>
      <c r="B308" s="9" t="s">
        <v>14</v>
      </c>
      <c r="C308" s="9"/>
      <c r="D308" s="9" t="s">
        <v>66</v>
      </c>
      <c r="E308" s="9" t="s">
        <v>724</v>
      </c>
      <c r="F308" s="9" t="n">
        <v>420</v>
      </c>
      <c r="G308" s="28" t="s">
        <v>725</v>
      </c>
      <c r="H308" s="29" t="n">
        <v>160000</v>
      </c>
      <c r="I308" s="29" t="n">
        <v>154450</v>
      </c>
      <c r="J308" s="29" t="n">
        <v>154450</v>
      </c>
      <c r="K308" s="29" t="n">
        <v>129270</v>
      </c>
      <c r="L308" s="30" t="n">
        <f aca="false">H308-I308</f>
        <v>5550</v>
      </c>
      <c r="M308" s="30" t="n">
        <f aca="false">H308-J308</f>
        <v>5550</v>
      </c>
      <c r="N308" s="30" t="n">
        <f aca="false">H308-K308</f>
        <v>30730</v>
      </c>
      <c r="O308" s="9" t="s">
        <v>683</v>
      </c>
      <c r="P308" s="9" t="str">
        <f aca="false">IF(H308=0,"Sin PIM",IF(ROUND(K308-H308,2)&gt;=0,"Devengado total",IF(J308&gt;0.005,"Comprometido",IF(I308&gt;0.005,"Solo certificado","Sin certificar"))))</f>
        <v>Comprometido</v>
      </c>
      <c r="Q308" s="30" t="s">
        <v>97</v>
      </c>
      <c r="R308" s="30" t="s">
        <v>97</v>
      </c>
      <c r="S308" s="30" t="s">
        <v>97</v>
      </c>
      <c r="T308" s="30" t="s">
        <v>97</v>
      </c>
      <c r="U308" s="9"/>
      <c r="V308" s="9"/>
    </row>
    <row r="309" customFormat="false" ht="43.25" hidden="false" customHeight="false" outlineLevel="0" collapsed="false">
      <c r="A309" s="9" t="s">
        <v>678</v>
      </c>
      <c r="B309" s="9" t="s">
        <v>14</v>
      </c>
      <c r="C309" s="9"/>
      <c r="D309" s="9" t="s">
        <v>66</v>
      </c>
      <c r="E309" s="9" t="s">
        <v>726</v>
      </c>
      <c r="F309" s="9" t="n">
        <v>423</v>
      </c>
      <c r="G309" s="28" t="s">
        <v>727</v>
      </c>
      <c r="H309" s="29" t="n">
        <v>160000</v>
      </c>
      <c r="I309" s="29" t="n">
        <v>146000</v>
      </c>
      <c r="J309" s="29" t="n">
        <v>2000</v>
      </c>
      <c r="K309" s="29" t="n">
        <v>2000</v>
      </c>
      <c r="L309" s="30" t="n">
        <f aca="false">H309-I309</f>
        <v>14000</v>
      </c>
      <c r="M309" s="30" t="n">
        <f aca="false">H309-J309</f>
        <v>158000</v>
      </c>
      <c r="N309" s="30" t="n">
        <f aca="false">H309-K309</f>
        <v>158000</v>
      </c>
      <c r="O309" s="9" t="s">
        <v>683</v>
      </c>
      <c r="P309" s="9" t="str">
        <f aca="false">IF(H309=0,"Sin PIM",IF(ROUND(K309-H309,2)&gt;=0,"Devengado total",IF(J309&gt;0.005,"Comprometido",IF(I309&gt;0.005,"Solo certificado","Sin certificar"))))</f>
        <v>Comprometido</v>
      </c>
      <c r="Q309" s="30" t="s">
        <v>97</v>
      </c>
      <c r="R309" s="30" t="s">
        <v>97</v>
      </c>
      <c r="S309" s="30" t="s">
        <v>97</v>
      </c>
      <c r="T309" s="30" t="s">
        <v>97</v>
      </c>
      <c r="U309" s="9"/>
      <c r="V309" s="9"/>
    </row>
    <row r="310" customFormat="false" ht="43.25" hidden="false" customHeight="false" outlineLevel="0" collapsed="false">
      <c r="A310" s="9" t="s">
        <v>678</v>
      </c>
      <c r="B310" s="9" t="s">
        <v>14</v>
      </c>
      <c r="C310" s="9"/>
      <c r="D310" s="9" t="s">
        <v>66</v>
      </c>
      <c r="E310" s="9" t="s">
        <v>728</v>
      </c>
      <c r="F310" s="9" t="n">
        <v>425</v>
      </c>
      <c r="G310" s="28" t="s">
        <v>729</v>
      </c>
      <c r="H310" s="29" t="n">
        <v>160000</v>
      </c>
      <c r="I310" s="29" t="n">
        <v>92650</v>
      </c>
      <c r="J310" s="29" t="n">
        <v>92640</v>
      </c>
      <c r="K310" s="29" t="n">
        <v>89300</v>
      </c>
      <c r="L310" s="30" t="n">
        <f aca="false">H310-I310</f>
        <v>67350</v>
      </c>
      <c r="M310" s="30" t="n">
        <f aca="false">H310-J310</f>
        <v>67360</v>
      </c>
      <c r="N310" s="30" t="n">
        <f aca="false">H310-K310</f>
        <v>70700</v>
      </c>
      <c r="O310" s="9" t="s">
        <v>683</v>
      </c>
      <c r="P310" s="9" t="str">
        <f aca="false">IF(H310=0,"Sin PIM",IF(ROUND(K310-H310,2)&gt;=0,"Devengado total",IF(J310&gt;0.005,"Comprometido",IF(I310&gt;0.005,"Solo certificado","Sin certificar"))))</f>
        <v>Comprometido</v>
      </c>
      <c r="Q310" s="30" t="s">
        <v>97</v>
      </c>
      <c r="R310" s="30" t="s">
        <v>97</v>
      </c>
      <c r="S310" s="30" t="s">
        <v>97</v>
      </c>
      <c r="T310" s="30" t="s">
        <v>97</v>
      </c>
      <c r="U310" s="9"/>
      <c r="V310" s="9"/>
    </row>
    <row r="311" customFormat="false" ht="43.25" hidden="false" customHeight="false" outlineLevel="0" collapsed="false">
      <c r="A311" s="9" t="s">
        <v>678</v>
      </c>
      <c r="B311" s="9" t="s">
        <v>14</v>
      </c>
      <c r="C311" s="9"/>
      <c r="D311" s="9" t="s">
        <v>66</v>
      </c>
      <c r="E311" s="9" t="s">
        <v>730</v>
      </c>
      <c r="F311" s="9" t="n">
        <v>351</v>
      </c>
      <c r="G311" s="28" t="s">
        <v>731</v>
      </c>
      <c r="H311" s="29" t="n">
        <v>61500</v>
      </c>
      <c r="I311" s="29" t="n">
        <v>59000</v>
      </c>
      <c r="J311" s="29" t="n">
        <v>0</v>
      </c>
      <c r="K311" s="29" t="n">
        <v>0</v>
      </c>
      <c r="L311" s="30" t="n">
        <f aca="false">H311-I311</f>
        <v>2500</v>
      </c>
      <c r="M311" s="30" t="n">
        <f aca="false">H311-J311</f>
        <v>61500</v>
      </c>
      <c r="N311" s="30" t="n">
        <f aca="false">H311-K311</f>
        <v>61500</v>
      </c>
      <c r="O311" s="9" t="s">
        <v>692</v>
      </c>
      <c r="P311" s="9" t="str">
        <f aca="false">IF(H311=0,"Sin PIM",IF(ROUND(K311-H311,2)&gt;=0,"Devengado total",IF(J311&gt;0.005,"Comprometido",IF(I311&gt;0.005,"Solo certificado","Sin certificar"))))</f>
        <v>Solo certificado</v>
      </c>
      <c r="Q311" s="30" t="s">
        <v>97</v>
      </c>
      <c r="R311" s="30" t="s">
        <v>97</v>
      </c>
      <c r="S311" s="30" t="s">
        <v>97</v>
      </c>
      <c r="T311" s="30" t="s">
        <v>97</v>
      </c>
      <c r="U311" s="9"/>
      <c r="V311" s="9"/>
    </row>
    <row r="312" customFormat="false" ht="53.7" hidden="false" customHeight="false" outlineLevel="0" collapsed="false">
      <c r="A312" s="9" t="s">
        <v>678</v>
      </c>
      <c r="B312" s="9" t="s">
        <v>14</v>
      </c>
      <c r="C312" s="9"/>
      <c r="D312" s="9" t="s">
        <v>66</v>
      </c>
      <c r="E312" s="9" t="s">
        <v>732</v>
      </c>
      <c r="F312" s="9" t="n">
        <v>352</v>
      </c>
      <c r="G312" s="28" t="s">
        <v>733</v>
      </c>
      <c r="H312" s="29" t="n">
        <v>62000</v>
      </c>
      <c r="I312" s="29" t="n">
        <v>61766.67</v>
      </c>
      <c r="J312" s="29" t="n">
        <v>0</v>
      </c>
      <c r="K312" s="29" t="n">
        <v>0</v>
      </c>
      <c r="L312" s="30" t="n">
        <f aca="false">H312-I312</f>
        <v>233.330000000002</v>
      </c>
      <c r="M312" s="30" t="n">
        <f aca="false">H312-J312</f>
        <v>62000</v>
      </c>
      <c r="N312" s="30" t="n">
        <f aca="false">H312-K312</f>
        <v>62000</v>
      </c>
      <c r="O312" s="9" t="s">
        <v>692</v>
      </c>
      <c r="P312" s="9" t="str">
        <f aca="false">IF(H312=0,"Sin PIM",IF(ROUND(K312-H312,2)&gt;=0,"Devengado total",IF(J312&gt;0.005,"Comprometido",IF(I312&gt;0.005,"Solo certificado","Sin certificar"))))</f>
        <v>Solo certificado</v>
      </c>
      <c r="Q312" s="30" t="s">
        <v>97</v>
      </c>
      <c r="R312" s="30" t="s">
        <v>97</v>
      </c>
      <c r="S312" s="30" t="s">
        <v>97</v>
      </c>
      <c r="T312" s="30" t="s">
        <v>97</v>
      </c>
      <c r="U312" s="9"/>
      <c r="V312" s="9"/>
    </row>
    <row r="313" customFormat="false" ht="43.25" hidden="false" customHeight="false" outlineLevel="0" collapsed="false">
      <c r="A313" s="9" t="s">
        <v>678</v>
      </c>
      <c r="B313" s="9" t="s">
        <v>14</v>
      </c>
      <c r="C313" s="9"/>
      <c r="D313" s="9" t="s">
        <v>66</v>
      </c>
      <c r="E313" s="9" t="s">
        <v>734</v>
      </c>
      <c r="F313" s="9" t="n">
        <v>353</v>
      </c>
      <c r="G313" s="28" t="s">
        <v>735</v>
      </c>
      <c r="H313" s="29" t="n">
        <v>63755</v>
      </c>
      <c r="I313" s="29" t="n">
        <v>60139.48</v>
      </c>
      <c r="J313" s="29" t="n">
        <v>56139.48</v>
      </c>
      <c r="K313" s="29" t="n">
        <v>2139.48</v>
      </c>
      <c r="L313" s="30" t="n">
        <f aca="false">H313-I313</f>
        <v>3615.52</v>
      </c>
      <c r="M313" s="30" t="n">
        <f aca="false">H313-J313</f>
        <v>7615.52</v>
      </c>
      <c r="N313" s="30" t="n">
        <f aca="false">H313-K313</f>
        <v>61615.52</v>
      </c>
      <c r="O313" s="9" t="s">
        <v>683</v>
      </c>
      <c r="P313" s="9" t="str">
        <f aca="false">IF(H313=0,"Sin PIM",IF(ROUND(K313-H313,2)&gt;=0,"Devengado total",IF(J313&gt;0.005,"Comprometido",IF(I313&gt;0.005,"Solo certificado","Sin certificar"))))</f>
        <v>Comprometido</v>
      </c>
      <c r="Q313" s="30" t="s">
        <v>97</v>
      </c>
      <c r="R313" s="30" t="s">
        <v>97</v>
      </c>
      <c r="S313" s="30" t="s">
        <v>97</v>
      </c>
      <c r="T313" s="30" t="s">
        <v>97</v>
      </c>
      <c r="U313" s="9"/>
      <c r="V313" s="9"/>
    </row>
    <row r="314" customFormat="false" ht="53.7" hidden="false" customHeight="false" outlineLevel="0" collapsed="false">
      <c r="A314" s="9" t="s">
        <v>678</v>
      </c>
      <c r="B314" s="9" t="s">
        <v>14</v>
      </c>
      <c r="C314" s="9"/>
      <c r="D314" s="9" t="s">
        <v>66</v>
      </c>
      <c r="E314" s="9" t="s">
        <v>736</v>
      </c>
      <c r="F314" s="9" t="n">
        <v>354</v>
      </c>
      <c r="G314" s="28" t="s">
        <v>737</v>
      </c>
      <c r="H314" s="29" t="n">
        <v>65438</v>
      </c>
      <c r="I314" s="29" t="n">
        <v>59650</v>
      </c>
      <c r="J314" s="29" t="n">
        <v>0</v>
      </c>
      <c r="K314" s="29" t="n">
        <v>0</v>
      </c>
      <c r="L314" s="30" t="n">
        <f aca="false">H314-I314</f>
        <v>5788</v>
      </c>
      <c r="M314" s="30" t="n">
        <f aca="false">H314-J314</f>
        <v>65438</v>
      </c>
      <c r="N314" s="30" t="n">
        <f aca="false">H314-K314</f>
        <v>65438</v>
      </c>
      <c r="O314" s="9" t="s">
        <v>683</v>
      </c>
      <c r="P314" s="9" t="str">
        <f aca="false">IF(H314=0,"Sin PIM",IF(ROUND(K314-H314,2)&gt;=0,"Devengado total",IF(J314&gt;0.005,"Comprometido",IF(I314&gt;0.005,"Solo certificado","Sin certificar"))))</f>
        <v>Solo certificado</v>
      </c>
      <c r="Q314" s="30" t="s">
        <v>97</v>
      </c>
      <c r="R314" s="30" t="s">
        <v>97</v>
      </c>
      <c r="S314" s="30" t="s">
        <v>97</v>
      </c>
      <c r="T314" s="30" t="s">
        <v>97</v>
      </c>
      <c r="U314" s="9"/>
      <c r="V314" s="9"/>
    </row>
    <row r="315" customFormat="false" ht="43.25" hidden="false" customHeight="false" outlineLevel="0" collapsed="false">
      <c r="A315" s="9" t="s">
        <v>678</v>
      </c>
      <c r="B315" s="9" t="s">
        <v>14</v>
      </c>
      <c r="C315" s="9"/>
      <c r="D315" s="9" t="s">
        <v>66</v>
      </c>
      <c r="E315" s="9" t="s">
        <v>738</v>
      </c>
      <c r="F315" s="9" t="n">
        <v>355</v>
      </c>
      <c r="G315" s="28" t="s">
        <v>739</v>
      </c>
      <c r="H315" s="29" t="n">
        <v>61200</v>
      </c>
      <c r="I315" s="29" t="n">
        <v>59150</v>
      </c>
      <c r="J315" s="29" t="n">
        <v>59150</v>
      </c>
      <c r="K315" s="29" t="n">
        <v>59150</v>
      </c>
      <c r="L315" s="30" t="n">
        <f aca="false">H315-I315</f>
        <v>2050</v>
      </c>
      <c r="M315" s="30" t="n">
        <f aca="false">H315-J315</f>
        <v>2050</v>
      </c>
      <c r="N315" s="30" t="n">
        <f aca="false">H315-K315</f>
        <v>2050</v>
      </c>
      <c r="O315" s="9" t="s">
        <v>683</v>
      </c>
      <c r="P315" s="9" t="str">
        <f aca="false">IF(H315=0,"Sin PIM",IF(ROUND(K315-H315,2)&gt;=0,"Devengado total",IF(J315&gt;0.005,"Comprometido",IF(I315&gt;0.005,"Solo certificado","Sin certificar"))))</f>
        <v>Comprometido</v>
      </c>
      <c r="Q315" s="30" t="s">
        <v>97</v>
      </c>
      <c r="R315" s="30" t="s">
        <v>97</v>
      </c>
      <c r="S315" s="30" t="s">
        <v>97</v>
      </c>
      <c r="T315" s="30" t="s">
        <v>97</v>
      </c>
      <c r="U315" s="9"/>
      <c r="V315" s="9"/>
    </row>
    <row r="316" customFormat="false" ht="43.25" hidden="false" customHeight="false" outlineLevel="0" collapsed="false">
      <c r="A316" s="9" t="s">
        <v>678</v>
      </c>
      <c r="B316" s="9" t="s">
        <v>14</v>
      </c>
      <c r="C316" s="9"/>
      <c r="D316" s="9" t="s">
        <v>66</v>
      </c>
      <c r="E316" s="9" t="s">
        <v>740</v>
      </c>
      <c r="F316" s="9" t="n">
        <v>357</v>
      </c>
      <c r="G316" s="28" t="s">
        <v>741</v>
      </c>
      <c r="H316" s="29" t="n">
        <v>2936</v>
      </c>
      <c r="I316" s="29" t="n">
        <v>2936</v>
      </c>
      <c r="J316" s="29" t="n">
        <v>2936</v>
      </c>
      <c r="K316" s="29" t="n">
        <v>2936</v>
      </c>
      <c r="L316" s="30" t="n">
        <f aca="false">H316-I316</f>
        <v>0</v>
      </c>
      <c r="M316" s="30" t="n">
        <f aca="false">H316-J316</f>
        <v>0</v>
      </c>
      <c r="N316" s="30" t="n">
        <f aca="false">H316-K316</f>
        <v>0</v>
      </c>
      <c r="O316" s="9" t="s">
        <v>120</v>
      </c>
      <c r="P316" s="9" t="str">
        <f aca="false">IF(H316=0,"Sin PIM",IF(ROUND(K316-H316,2)&gt;=0,"Devengado total",IF(J316&gt;0.005,"Comprometido",IF(I316&gt;0.005,"Solo certificado","Sin certificar"))))</f>
        <v>Devengado total</v>
      </c>
      <c r="Q316" s="30" t="s">
        <v>97</v>
      </c>
      <c r="R316" s="30" t="s">
        <v>97</v>
      </c>
      <c r="S316" s="30" t="s">
        <v>97</v>
      </c>
      <c r="T316" s="30" t="s">
        <v>97</v>
      </c>
      <c r="U316" s="9"/>
      <c r="V316" s="9"/>
    </row>
    <row r="317" customFormat="false" ht="43.25" hidden="false" customHeight="false" outlineLevel="0" collapsed="false">
      <c r="A317" s="9" t="s">
        <v>678</v>
      </c>
      <c r="B317" s="9" t="s">
        <v>14</v>
      </c>
      <c r="C317" s="9"/>
      <c r="D317" s="9" t="s">
        <v>66</v>
      </c>
      <c r="E317" s="9" t="s">
        <v>742</v>
      </c>
      <c r="F317" s="9" t="n">
        <v>358</v>
      </c>
      <c r="G317" s="28" t="s">
        <v>743</v>
      </c>
      <c r="H317" s="29" t="n">
        <v>10692</v>
      </c>
      <c r="I317" s="29" t="n">
        <v>10691.76</v>
      </c>
      <c r="J317" s="29" t="n">
        <v>10691.76</v>
      </c>
      <c r="K317" s="29" t="n">
        <v>10691.76</v>
      </c>
      <c r="L317" s="30" t="n">
        <f aca="false">H317-I317</f>
        <v>0.239999999999782</v>
      </c>
      <c r="M317" s="30" t="n">
        <f aca="false">H317-J317</f>
        <v>0.239999999999782</v>
      </c>
      <c r="N317" s="30" t="n">
        <f aca="false">H317-K317</f>
        <v>0.239999999999782</v>
      </c>
      <c r="O317" s="9" t="s">
        <v>120</v>
      </c>
      <c r="P317" s="9" t="str">
        <f aca="false">IF(H317=0,"Sin PIM",IF(ROUND(K317-H317,2)&gt;=0,"Devengado total",IF(J317&gt;0.005,"Comprometido",IF(I317&gt;0.005,"Solo certificado","Sin certificar"))))</f>
        <v>Comprometido</v>
      </c>
      <c r="Q317" s="30" t="s">
        <v>97</v>
      </c>
      <c r="R317" s="30" t="s">
        <v>97</v>
      </c>
      <c r="S317" s="30" t="s">
        <v>97</v>
      </c>
      <c r="T317" s="30" t="s">
        <v>97</v>
      </c>
      <c r="U317" s="9"/>
      <c r="V317" s="9"/>
    </row>
    <row r="318" customFormat="false" ht="43.25" hidden="false" customHeight="false" outlineLevel="0" collapsed="false">
      <c r="A318" s="9" t="s">
        <v>678</v>
      </c>
      <c r="B318" s="9" t="s">
        <v>14</v>
      </c>
      <c r="C318" s="9"/>
      <c r="D318" s="9" t="s">
        <v>66</v>
      </c>
      <c r="E318" s="9" t="s">
        <v>744</v>
      </c>
      <c r="F318" s="9" t="n">
        <v>359</v>
      </c>
      <c r="G318" s="28" t="s">
        <v>745</v>
      </c>
      <c r="H318" s="29" t="n">
        <v>7816</v>
      </c>
      <c r="I318" s="29" t="n">
        <v>4500</v>
      </c>
      <c r="J318" s="29" t="n">
        <v>4500</v>
      </c>
      <c r="K318" s="29" t="n">
        <v>3000</v>
      </c>
      <c r="L318" s="30" t="n">
        <f aca="false">H318-I318</f>
        <v>3316</v>
      </c>
      <c r="M318" s="30" t="n">
        <f aca="false">H318-J318</f>
        <v>3316</v>
      </c>
      <c r="N318" s="30" t="n">
        <f aca="false">H318-K318</f>
        <v>4816</v>
      </c>
      <c r="O318" s="9" t="s">
        <v>120</v>
      </c>
      <c r="P318" s="9" t="str">
        <f aca="false">IF(H318=0,"Sin PIM",IF(ROUND(K318-H318,2)&gt;=0,"Devengado total",IF(J318&gt;0.005,"Comprometido",IF(I318&gt;0.005,"Solo certificado","Sin certificar"))))</f>
        <v>Comprometido</v>
      </c>
      <c r="Q318" s="30" t="s">
        <v>97</v>
      </c>
      <c r="R318" s="30" t="s">
        <v>97</v>
      </c>
      <c r="S318" s="30" t="s">
        <v>97</v>
      </c>
      <c r="T318" s="30" t="s">
        <v>97</v>
      </c>
      <c r="U318" s="9"/>
      <c r="V318" s="9"/>
    </row>
    <row r="319" customFormat="false" ht="53.7" hidden="false" customHeight="false" outlineLevel="0" collapsed="false">
      <c r="A319" s="9" t="s">
        <v>678</v>
      </c>
      <c r="B319" s="9" t="s">
        <v>14</v>
      </c>
      <c r="C319" s="9"/>
      <c r="D319" s="9" t="s">
        <v>66</v>
      </c>
      <c r="E319" s="9" t="s">
        <v>746</v>
      </c>
      <c r="F319" s="9" t="n">
        <v>360</v>
      </c>
      <c r="G319" s="28" t="s">
        <v>747</v>
      </c>
      <c r="H319" s="29" t="n">
        <v>3546</v>
      </c>
      <c r="I319" s="29" t="n">
        <v>3546</v>
      </c>
      <c r="J319" s="29" t="n">
        <v>3546</v>
      </c>
      <c r="K319" s="29" t="n">
        <v>3546</v>
      </c>
      <c r="L319" s="30" t="n">
        <f aca="false">H319-I319</f>
        <v>0</v>
      </c>
      <c r="M319" s="30" t="n">
        <f aca="false">H319-J319</f>
        <v>0</v>
      </c>
      <c r="N319" s="30" t="n">
        <f aca="false">H319-K319</f>
        <v>0</v>
      </c>
      <c r="O319" s="9" t="s">
        <v>120</v>
      </c>
      <c r="P319" s="9" t="str">
        <f aca="false">IF(H319=0,"Sin PIM",IF(ROUND(K319-H319,2)&gt;=0,"Devengado total",IF(J319&gt;0.005,"Comprometido",IF(I319&gt;0.005,"Solo certificado","Sin certificar"))))</f>
        <v>Devengado total</v>
      </c>
      <c r="Q319" s="30" t="s">
        <v>97</v>
      </c>
      <c r="R319" s="30" t="s">
        <v>97</v>
      </c>
      <c r="S319" s="30" t="s">
        <v>97</v>
      </c>
      <c r="T319" s="30" t="s">
        <v>97</v>
      </c>
      <c r="U319" s="9"/>
      <c r="V319" s="9"/>
    </row>
    <row r="320" customFormat="false" ht="43.25" hidden="false" customHeight="false" outlineLevel="0" collapsed="false">
      <c r="A320" s="9" t="s">
        <v>678</v>
      </c>
      <c r="B320" s="9" t="s">
        <v>14</v>
      </c>
      <c r="C320" s="9"/>
      <c r="D320" s="9" t="s">
        <v>66</v>
      </c>
      <c r="E320" s="9" t="s">
        <v>748</v>
      </c>
      <c r="F320" s="9" t="n">
        <v>361</v>
      </c>
      <c r="G320" s="28" t="s">
        <v>749</v>
      </c>
      <c r="H320" s="29" t="n">
        <v>2555</v>
      </c>
      <c r="I320" s="29" t="n">
        <v>2550</v>
      </c>
      <c r="J320" s="29" t="n">
        <v>2550</v>
      </c>
      <c r="K320" s="29" t="n">
        <v>2550</v>
      </c>
      <c r="L320" s="30" t="n">
        <f aca="false">H320-I320</f>
        <v>5</v>
      </c>
      <c r="M320" s="30" t="n">
        <f aca="false">H320-J320</f>
        <v>5</v>
      </c>
      <c r="N320" s="30" t="n">
        <f aca="false">H320-K320</f>
        <v>5</v>
      </c>
      <c r="O320" s="9" t="s">
        <v>120</v>
      </c>
      <c r="P320" s="9" t="str">
        <f aca="false">IF(H320=0,"Sin PIM",IF(ROUND(K320-H320,2)&gt;=0,"Devengado total",IF(J320&gt;0.005,"Comprometido",IF(I320&gt;0.005,"Solo certificado","Sin certificar"))))</f>
        <v>Comprometido</v>
      </c>
      <c r="Q320" s="30" t="s">
        <v>97</v>
      </c>
      <c r="R320" s="30" t="s">
        <v>97</v>
      </c>
      <c r="S320" s="30" t="s">
        <v>97</v>
      </c>
      <c r="T320" s="30" t="s">
        <v>97</v>
      </c>
      <c r="U320" s="9"/>
      <c r="V320" s="9"/>
    </row>
    <row r="321" customFormat="false" ht="43.25" hidden="false" customHeight="false" outlineLevel="0" collapsed="false">
      <c r="A321" s="9" t="s">
        <v>678</v>
      </c>
      <c r="B321" s="9" t="s">
        <v>14</v>
      </c>
      <c r="C321" s="9"/>
      <c r="D321" s="9" t="s">
        <v>66</v>
      </c>
      <c r="E321" s="9" t="s">
        <v>750</v>
      </c>
      <c r="F321" s="9" t="n">
        <v>362</v>
      </c>
      <c r="G321" s="28" t="s">
        <v>751</v>
      </c>
      <c r="H321" s="29" t="n">
        <v>73376</v>
      </c>
      <c r="I321" s="29" t="n">
        <v>69875.75</v>
      </c>
      <c r="J321" s="29" t="n">
        <v>69875.75</v>
      </c>
      <c r="K321" s="29" t="n">
        <v>69875.75</v>
      </c>
      <c r="L321" s="30" t="n">
        <f aca="false">H321-I321</f>
        <v>3500.25</v>
      </c>
      <c r="M321" s="30" t="n">
        <f aca="false">H321-J321</f>
        <v>3500.25</v>
      </c>
      <c r="N321" s="30" t="n">
        <f aca="false">H321-K321</f>
        <v>3500.25</v>
      </c>
      <c r="O321" s="9" t="s">
        <v>683</v>
      </c>
      <c r="P321" s="9" t="str">
        <f aca="false">IF(H321=0,"Sin PIM",IF(ROUND(K321-H321,2)&gt;=0,"Devengado total",IF(J321&gt;0.005,"Comprometido",IF(I321&gt;0.005,"Solo certificado","Sin certificar"))))</f>
        <v>Comprometido</v>
      </c>
      <c r="Q321" s="30" t="s">
        <v>97</v>
      </c>
      <c r="R321" s="30" t="s">
        <v>97</v>
      </c>
      <c r="S321" s="30" t="s">
        <v>97</v>
      </c>
      <c r="T321" s="30" t="s">
        <v>97</v>
      </c>
      <c r="U321" s="9"/>
      <c r="V321" s="9"/>
    </row>
    <row r="322" customFormat="false" ht="43.25" hidden="false" customHeight="false" outlineLevel="0" collapsed="false">
      <c r="A322" s="9" t="s">
        <v>678</v>
      </c>
      <c r="B322" s="9" t="s">
        <v>14</v>
      </c>
      <c r="C322" s="9"/>
      <c r="D322" s="9" t="s">
        <v>66</v>
      </c>
      <c r="E322" s="9" t="s">
        <v>752</v>
      </c>
      <c r="F322" s="9" t="n">
        <v>363</v>
      </c>
      <c r="G322" s="28" t="s">
        <v>753</v>
      </c>
      <c r="H322" s="29" t="n">
        <v>54964</v>
      </c>
      <c r="I322" s="29" t="n">
        <v>1977.5</v>
      </c>
      <c r="J322" s="29" t="n">
        <v>1977.5</v>
      </c>
      <c r="K322" s="29" t="n">
        <v>1977.5</v>
      </c>
      <c r="L322" s="30" t="n">
        <f aca="false">H322-I322</f>
        <v>52986.5</v>
      </c>
      <c r="M322" s="30" t="n">
        <f aca="false">H322-J322</f>
        <v>52986.5</v>
      </c>
      <c r="N322" s="30" t="n">
        <f aca="false">H322-K322</f>
        <v>52986.5</v>
      </c>
      <c r="O322" s="9" t="s">
        <v>683</v>
      </c>
      <c r="P322" s="9" t="str">
        <f aca="false">IF(H322=0,"Sin PIM",IF(ROUND(K322-H322,2)&gt;=0,"Devengado total",IF(J322&gt;0.005,"Comprometido",IF(I322&gt;0.005,"Solo certificado","Sin certificar"))))</f>
        <v>Comprometido</v>
      </c>
      <c r="Q322" s="30" t="s">
        <v>97</v>
      </c>
      <c r="R322" s="30" t="s">
        <v>97</v>
      </c>
      <c r="S322" s="30" t="s">
        <v>97</v>
      </c>
      <c r="T322" s="30" t="s">
        <v>97</v>
      </c>
      <c r="U322" s="9"/>
      <c r="V322" s="9"/>
    </row>
    <row r="323" customFormat="false" ht="53.7" hidden="false" customHeight="false" outlineLevel="0" collapsed="false">
      <c r="A323" s="9" t="s">
        <v>678</v>
      </c>
      <c r="B323" s="9" t="s">
        <v>14</v>
      </c>
      <c r="C323" s="9"/>
      <c r="D323" s="9" t="s">
        <v>66</v>
      </c>
      <c r="E323" s="9" t="s">
        <v>754</v>
      </c>
      <c r="F323" s="9" t="n">
        <v>364</v>
      </c>
      <c r="G323" s="28" t="s">
        <v>755</v>
      </c>
      <c r="H323" s="29" t="n">
        <v>73915</v>
      </c>
      <c r="I323" s="29" t="n">
        <v>71560</v>
      </c>
      <c r="J323" s="29" t="n">
        <v>69710</v>
      </c>
      <c r="K323" s="29" t="n">
        <v>69710</v>
      </c>
      <c r="L323" s="30" t="n">
        <f aca="false">H323-I323</f>
        <v>2355</v>
      </c>
      <c r="M323" s="30" t="n">
        <f aca="false">H323-J323</f>
        <v>4205</v>
      </c>
      <c r="N323" s="30" t="n">
        <f aca="false">H323-K323</f>
        <v>4205</v>
      </c>
      <c r="O323" s="9" t="s">
        <v>683</v>
      </c>
      <c r="P323" s="9" t="str">
        <f aca="false">IF(H323=0,"Sin PIM",IF(ROUND(K323-H323,2)&gt;=0,"Devengado total",IF(J323&gt;0.005,"Comprometido",IF(I323&gt;0.005,"Solo certificado","Sin certificar"))))</f>
        <v>Comprometido</v>
      </c>
      <c r="Q323" s="30" t="s">
        <v>97</v>
      </c>
      <c r="R323" s="30" t="s">
        <v>97</v>
      </c>
      <c r="S323" s="30" t="s">
        <v>97</v>
      </c>
      <c r="T323" s="30" t="s">
        <v>97</v>
      </c>
      <c r="U323" s="9"/>
      <c r="V323" s="9"/>
    </row>
    <row r="324" customFormat="false" ht="53.7" hidden="false" customHeight="false" outlineLevel="0" collapsed="false">
      <c r="A324" s="9" t="s">
        <v>678</v>
      </c>
      <c r="B324" s="9" t="s">
        <v>14</v>
      </c>
      <c r="C324" s="9"/>
      <c r="D324" s="9" t="s">
        <v>66</v>
      </c>
      <c r="E324" s="9" t="s">
        <v>756</v>
      </c>
      <c r="F324" s="9" t="n">
        <v>365</v>
      </c>
      <c r="G324" s="28" t="s">
        <v>757</v>
      </c>
      <c r="H324" s="29" t="n">
        <v>5098</v>
      </c>
      <c r="I324" s="29" t="n">
        <v>5097</v>
      </c>
      <c r="J324" s="29" t="n">
        <v>5097</v>
      </c>
      <c r="K324" s="29" t="n">
        <v>5097</v>
      </c>
      <c r="L324" s="30" t="n">
        <f aca="false">H324-I324</f>
        <v>1</v>
      </c>
      <c r="M324" s="30" t="n">
        <f aca="false">H324-J324</f>
        <v>1</v>
      </c>
      <c r="N324" s="30" t="n">
        <f aca="false">H324-K324</f>
        <v>1</v>
      </c>
      <c r="O324" s="9" t="s">
        <v>120</v>
      </c>
      <c r="P324" s="9" t="str">
        <f aca="false">IF(H324=0,"Sin PIM",IF(ROUND(K324-H324,2)&gt;=0,"Devengado total",IF(J324&gt;0.005,"Comprometido",IF(I324&gt;0.005,"Solo certificado","Sin certificar"))))</f>
        <v>Comprometido</v>
      </c>
      <c r="Q324" s="30" t="s">
        <v>97</v>
      </c>
      <c r="R324" s="30" t="s">
        <v>97</v>
      </c>
      <c r="S324" s="30" t="s">
        <v>97</v>
      </c>
      <c r="T324" s="30" t="s">
        <v>97</v>
      </c>
      <c r="U324" s="9"/>
      <c r="V324" s="9"/>
    </row>
    <row r="325" customFormat="false" ht="43.25" hidden="false" customHeight="false" outlineLevel="0" collapsed="false">
      <c r="A325" s="9" t="s">
        <v>678</v>
      </c>
      <c r="B325" s="9" t="s">
        <v>14</v>
      </c>
      <c r="C325" s="9"/>
      <c r="D325" s="9" t="s">
        <v>66</v>
      </c>
      <c r="E325" s="9" t="s">
        <v>758</v>
      </c>
      <c r="F325" s="9" t="n">
        <v>366</v>
      </c>
      <c r="G325" s="28" t="s">
        <v>759</v>
      </c>
      <c r="H325" s="29" t="n">
        <v>4800</v>
      </c>
      <c r="I325" s="29" t="n">
        <v>4800</v>
      </c>
      <c r="J325" s="29" t="n">
        <v>4800</v>
      </c>
      <c r="K325" s="29" t="n">
        <v>4800</v>
      </c>
      <c r="L325" s="30" t="n">
        <f aca="false">H325-I325</f>
        <v>0</v>
      </c>
      <c r="M325" s="30" t="n">
        <f aca="false">H325-J325</f>
        <v>0</v>
      </c>
      <c r="N325" s="30" t="n">
        <f aca="false">H325-K325</f>
        <v>0</v>
      </c>
      <c r="O325" s="9" t="s">
        <v>120</v>
      </c>
      <c r="P325" s="9" t="str">
        <f aca="false">IF(H325=0,"Sin PIM",IF(ROUND(K325-H325,2)&gt;=0,"Devengado total",IF(J325&gt;0.005,"Comprometido",IF(I325&gt;0.005,"Solo certificado","Sin certificar"))))</f>
        <v>Devengado total</v>
      </c>
      <c r="Q325" s="30" t="s">
        <v>97</v>
      </c>
      <c r="R325" s="30" t="s">
        <v>97</v>
      </c>
      <c r="S325" s="30" t="s">
        <v>97</v>
      </c>
      <c r="T325" s="30" t="s">
        <v>97</v>
      </c>
      <c r="U325" s="9"/>
      <c r="V325" s="9"/>
    </row>
    <row r="326" customFormat="false" ht="43.25" hidden="false" customHeight="false" outlineLevel="0" collapsed="false">
      <c r="A326" s="9" t="s">
        <v>678</v>
      </c>
      <c r="B326" s="9" t="s">
        <v>14</v>
      </c>
      <c r="C326" s="9"/>
      <c r="D326" s="9" t="s">
        <v>66</v>
      </c>
      <c r="E326" s="9" t="s">
        <v>760</v>
      </c>
      <c r="F326" s="9" t="n">
        <v>367</v>
      </c>
      <c r="G326" s="28" t="s">
        <v>761</v>
      </c>
      <c r="H326" s="29" t="n">
        <v>12800</v>
      </c>
      <c r="I326" s="29" t="n">
        <v>12800</v>
      </c>
      <c r="J326" s="29" t="n">
        <v>12800</v>
      </c>
      <c r="K326" s="29" t="n">
        <v>12800</v>
      </c>
      <c r="L326" s="30" t="n">
        <f aca="false">H326-I326</f>
        <v>0</v>
      </c>
      <c r="M326" s="30" t="n">
        <f aca="false">H326-J326</f>
        <v>0</v>
      </c>
      <c r="N326" s="30" t="n">
        <f aca="false">H326-K326</f>
        <v>0</v>
      </c>
      <c r="O326" s="9" t="s">
        <v>120</v>
      </c>
      <c r="P326" s="9" t="str">
        <f aca="false">IF(H326=0,"Sin PIM",IF(ROUND(K326-H326,2)&gt;=0,"Devengado total",IF(J326&gt;0.005,"Comprometido",IF(I326&gt;0.005,"Solo certificado","Sin certificar"))))</f>
        <v>Devengado total</v>
      </c>
      <c r="Q326" s="30" t="s">
        <v>97</v>
      </c>
      <c r="R326" s="30" t="s">
        <v>97</v>
      </c>
      <c r="S326" s="30" t="s">
        <v>97</v>
      </c>
      <c r="T326" s="30" t="s">
        <v>97</v>
      </c>
      <c r="U326" s="9"/>
      <c r="V326" s="9"/>
    </row>
    <row r="327" customFormat="false" ht="43.25" hidden="false" customHeight="false" outlineLevel="0" collapsed="false">
      <c r="A327" s="9" t="s">
        <v>678</v>
      </c>
      <c r="B327" s="9" t="s">
        <v>14</v>
      </c>
      <c r="C327" s="9"/>
      <c r="D327" s="9" t="s">
        <v>66</v>
      </c>
      <c r="E327" s="9" t="s">
        <v>762</v>
      </c>
      <c r="F327" s="9" t="n">
        <v>369</v>
      </c>
      <c r="G327" s="28" t="s">
        <v>763</v>
      </c>
      <c r="H327" s="29" t="n">
        <v>57400</v>
      </c>
      <c r="I327" s="29" t="n">
        <v>57400</v>
      </c>
      <c r="J327" s="29" t="n">
        <v>57400</v>
      </c>
      <c r="K327" s="29" t="n">
        <v>57400</v>
      </c>
      <c r="L327" s="30" t="n">
        <f aca="false">H327-I327</f>
        <v>0</v>
      </c>
      <c r="M327" s="30" t="n">
        <f aca="false">H327-J327</f>
        <v>0</v>
      </c>
      <c r="N327" s="30" t="n">
        <f aca="false">H327-K327</f>
        <v>0</v>
      </c>
      <c r="O327" s="9" t="s">
        <v>683</v>
      </c>
      <c r="P327" s="9" t="str">
        <f aca="false">IF(H327=0,"Sin PIM",IF(ROUND(K327-H327,2)&gt;=0,"Devengado total",IF(J327&gt;0.005,"Comprometido",IF(I327&gt;0.005,"Solo certificado","Sin certificar"))))</f>
        <v>Devengado total</v>
      </c>
      <c r="Q327" s="30" t="s">
        <v>97</v>
      </c>
      <c r="R327" s="30" t="s">
        <v>97</v>
      </c>
      <c r="S327" s="30" t="s">
        <v>97</v>
      </c>
      <c r="T327" s="30" t="s">
        <v>97</v>
      </c>
      <c r="U327" s="9"/>
      <c r="V327" s="9"/>
    </row>
    <row r="328" customFormat="false" ht="43.25" hidden="false" customHeight="false" outlineLevel="0" collapsed="false">
      <c r="A328" s="9" t="s">
        <v>678</v>
      </c>
      <c r="B328" s="9" t="s">
        <v>14</v>
      </c>
      <c r="C328" s="9"/>
      <c r="D328" s="9" t="s">
        <v>66</v>
      </c>
      <c r="E328" s="9" t="s">
        <v>764</v>
      </c>
      <c r="F328" s="9" t="n">
        <v>370</v>
      </c>
      <c r="G328" s="28" t="s">
        <v>765</v>
      </c>
      <c r="H328" s="29" t="n">
        <v>5898</v>
      </c>
      <c r="I328" s="29" t="n">
        <v>5898</v>
      </c>
      <c r="J328" s="29" t="n">
        <v>5898</v>
      </c>
      <c r="K328" s="29" t="n">
        <v>5898</v>
      </c>
      <c r="L328" s="30" t="n">
        <f aca="false">H328-I328</f>
        <v>0</v>
      </c>
      <c r="M328" s="30" t="n">
        <f aca="false">H328-J328</f>
        <v>0</v>
      </c>
      <c r="N328" s="30" t="n">
        <f aca="false">H328-K328</f>
        <v>0</v>
      </c>
      <c r="O328" s="9" t="s">
        <v>120</v>
      </c>
      <c r="P328" s="9" t="str">
        <f aca="false">IF(H328=0,"Sin PIM",IF(ROUND(K328-H328,2)&gt;=0,"Devengado total",IF(J328&gt;0.005,"Comprometido",IF(I328&gt;0.005,"Solo certificado","Sin certificar"))))</f>
        <v>Devengado total</v>
      </c>
      <c r="Q328" s="30" t="s">
        <v>97</v>
      </c>
      <c r="R328" s="30" t="s">
        <v>97</v>
      </c>
      <c r="S328" s="30" t="s">
        <v>97</v>
      </c>
      <c r="T328" s="30" t="s">
        <v>97</v>
      </c>
      <c r="U328" s="9"/>
      <c r="V328" s="9"/>
    </row>
    <row r="329" customFormat="false" ht="53.7" hidden="false" customHeight="false" outlineLevel="0" collapsed="false">
      <c r="A329" s="9" t="s">
        <v>678</v>
      </c>
      <c r="B329" s="9" t="s">
        <v>14</v>
      </c>
      <c r="C329" s="9"/>
      <c r="D329" s="9" t="s">
        <v>66</v>
      </c>
      <c r="E329" s="9" t="s">
        <v>766</v>
      </c>
      <c r="F329" s="9" t="n">
        <v>371</v>
      </c>
      <c r="G329" s="28" t="s">
        <v>767</v>
      </c>
      <c r="H329" s="29" t="n">
        <v>3000</v>
      </c>
      <c r="I329" s="29" t="n">
        <v>3000</v>
      </c>
      <c r="J329" s="29" t="n">
        <v>3000</v>
      </c>
      <c r="K329" s="29" t="n">
        <v>3000</v>
      </c>
      <c r="L329" s="30" t="n">
        <f aca="false">H329-I329</f>
        <v>0</v>
      </c>
      <c r="M329" s="30" t="n">
        <f aca="false">H329-J329</f>
        <v>0</v>
      </c>
      <c r="N329" s="30" t="n">
        <f aca="false">H329-K329</f>
        <v>0</v>
      </c>
      <c r="O329" s="9" t="s">
        <v>120</v>
      </c>
      <c r="P329" s="9" t="str">
        <f aca="false">IF(H329=0,"Sin PIM",IF(ROUND(K329-H329,2)&gt;=0,"Devengado total",IF(J329&gt;0.005,"Comprometido",IF(I329&gt;0.005,"Solo certificado","Sin certificar"))))</f>
        <v>Devengado total</v>
      </c>
      <c r="Q329" s="30" t="s">
        <v>97</v>
      </c>
      <c r="R329" s="30" t="s">
        <v>97</v>
      </c>
      <c r="S329" s="30" t="s">
        <v>97</v>
      </c>
      <c r="T329" s="30" t="s">
        <v>97</v>
      </c>
      <c r="U329" s="9"/>
      <c r="V329" s="9"/>
    </row>
    <row r="330" customFormat="false" ht="43.25" hidden="false" customHeight="false" outlineLevel="0" collapsed="false">
      <c r="A330" s="9" t="s">
        <v>678</v>
      </c>
      <c r="B330" s="9" t="s">
        <v>14</v>
      </c>
      <c r="C330" s="9"/>
      <c r="D330" s="9" t="s">
        <v>66</v>
      </c>
      <c r="E330" s="9" t="s">
        <v>768</v>
      </c>
      <c r="F330" s="9" t="n">
        <v>372</v>
      </c>
      <c r="G330" s="28" t="s">
        <v>769</v>
      </c>
      <c r="H330" s="29" t="n">
        <v>87790</v>
      </c>
      <c r="I330" s="29" t="n">
        <v>87438</v>
      </c>
      <c r="J330" s="29" t="n">
        <v>87428</v>
      </c>
      <c r="K330" s="29" t="n">
        <v>77990</v>
      </c>
      <c r="L330" s="30" t="n">
        <f aca="false">H330-I330</f>
        <v>352</v>
      </c>
      <c r="M330" s="30" t="n">
        <f aca="false">H330-J330</f>
        <v>362</v>
      </c>
      <c r="N330" s="30" t="n">
        <f aca="false">H330-K330</f>
        <v>9800</v>
      </c>
      <c r="O330" s="9" t="s">
        <v>683</v>
      </c>
      <c r="P330" s="9" t="str">
        <f aca="false">IF(H330=0,"Sin PIM",IF(ROUND(K330-H330,2)&gt;=0,"Devengado total",IF(J330&gt;0.005,"Comprometido",IF(I330&gt;0.005,"Solo certificado","Sin certificar"))))</f>
        <v>Comprometido</v>
      </c>
      <c r="Q330" s="30" t="s">
        <v>97</v>
      </c>
      <c r="R330" s="30" t="s">
        <v>97</v>
      </c>
      <c r="S330" s="30" t="s">
        <v>97</v>
      </c>
      <c r="T330" s="30" t="s">
        <v>97</v>
      </c>
      <c r="U330" s="9"/>
      <c r="V330" s="9"/>
    </row>
    <row r="331" customFormat="false" ht="32.8" hidden="false" customHeight="false" outlineLevel="0" collapsed="false">
      <c r="A331" s="9" t="s">
        <v>678</v>
      </c>
      <c r="B331" s="9" t="s">
        <v>14</v>
      </c>
      <c r="C331" s="9"/>
      <c r="D331" s="9" t="s">
        <v>66</v>
      </c>
      <c r="E331" s="9" t="s">
        <v>770</v>
      </c>
      <c r="F331" s="9" t="n">
        <v>376</v>
      </c>
      <c r="G331" s="28" t="s">
        <v>771</v>
      </c>
      <c r="H331" s="29" t="n">
        <v>14715</v>
      </c>
      <c r="I331" s="29" t="n">
        <v>14714</v>
      </c>
      <c r="J331" s="29" t="n">
        <v>14714</v>
      </c>
      <c r="K331" s="29" t="n">
        <v>14714</v>
      </c>
      <c r="L331" s="30" t="n">
        <f aca="false">H331-I331</f>
        <v>1</v>
      </c>
      <c r="M331" s="30" t="n">
        <f aca="false">H331-J331</f>
        <v>1</v>
      </c>
      <c r="N331" s="30" t="n">
        <f aca="false">H331-K331</f>
        <v>1</v>
      </c>
      <c r="O331" s="9" t="s">
        <v>120</v>
      </c>
      <c r="P331" s="9" t="str">
        <f aca="false">IF(H331=0,"Sin PIM",IF(ROUND(K331-H331,2)&gt;=0,"Devengado total",IF(J331&gt;0.005,"Comprometido",IF(I331&gt;0.005,"Solo certificado","Sin certificar"))))</f>
        <v>Comprometido</v>
      </c>
      <c r="Q331" s="30" t="s">
        <v>97</v>
      </c>
      <c r="R331" s="30" t="s">
        <v>97</v>
      </c>
      <c r="S331" s="30" t="s">
        <v>97</v>
      </c>
      <c r="T331" s="30" t="s">
        <v>97</v>
      </c>
      <c r="U331" s="9"/>
      <c r="V331" s="9"/>
    </row>
    <row r="332" customFormat="false" ht="32.8" hidden="false" customHeight="false" outlineLevel="0" collapsed="false">
      <c r="A332" s="9" t="s">
        <v>678</v>
      </c>
      <c r="B332" s="9" t="s">
        <v>14</v>
      </c>
      <c r="C332" s="9"/>
      <c r="D332" s="9" t="s">
        <v>66</v>
      </c>
      <c r="E332" s="9" t="s">
        <v>772</v>
      </c>
      <c r="F332" s="9" t="n">
        <v>384</v>
      </c>
      <c r="G332" s="28" t="s">
        <v>773</v>
      </c>
      <c r="H332" s="29" t="n">
        <v>159547</v>
      </c>
      <c r="I332" s="29" t="n">
        <v>154167</v>
      </c>
      <c r="J332" s="29" t="n">
        <v>119217</v>
      </c>
      <c r="K332" s="29" t="n">
        <v>116817</v>
      </c>
      <c r="L332" s="30" t="n">
        <f aca="false">H332-I332</f>
        <v>5380</v>
      </c>
      <c r="M332" s="30" t="n">
        <f aca="false">H332-J332</f>
        <v>40330</v>
      </c>
      <c r="N332" s="30" t="n">
        <f aca="false">H332-K332</f>
        <v>42730</v>
      </c>
      <c r="O332" s="9" t="s">
        <v>683</v>
      </c>
      <c r="P332" s="9" t="str">
        <f aca="false">IF(H332=0,"Sin PIM",IF(ROUND(K332-H332,2)&gt;=0,"Devengado total",IF(J332&gt;0.005,"Comprometido",IF(I332&gt;0.005,"Solo certificado","Sin certificar"))))</f>
        <v>Comprometido</v>
      </c>
      <c r="Q332" s="30" t="s">
        <v>97</v>
      </c>
      <c r="R332" s="30" t="s">
        <v>97</v>
      </c>
      <c r="S332" s="30" t="s">
        <v>97</v>
      </c>
      <c r="T332" s="30" t="s">
        <v>97</v>
      </c>
      <c r="U332" s="9"/>
      <c r="V332" s="9"/>
    </row>
    <row r="333" customFormat="false" ht="43.25" hidden="false" customHeight="false" outlineLevel="0" collapsed="false">
      <c r="A333" s="9" t="s">
        <v>678</v>
      </c>
      <c r="B333" s="9" t="s">
        <v>14</v>
      </c>
      <c r="C333" s="9"/>
      <c r="D333" s="9" t="s">
        <v>66</v>
      </c>
      <c r="E333" s="9" t="s">
        <v>774</v>
      </c>
      <c r="F333" s="9" t="n">
        <v>385</v>
      </c>
      <c r="G333" s="28" t="s">
        <v>775</v>
      </c>
      <c r="H333" s="29" t="n">
        <v>158642</v>
      </c>
      <c r="I333" s="29" t="n">
        <v>78147.62</v>
      </c>
      <c r="J333" s="29" t="n">
        <v>19147.62</v>
      </c>
      <c r="K333" s="29" t="n">
        <v>0</v>
      </c>
      <c r="L333" s="30" t="n">
        <f aca="false">H333-I333</f>
        <v>80494.38</v>
      </c>
      <c r="M333" s="30" t="n">
        <f aca="false">H333-J333</f>
        <v>139494.38</v>
      </c>
      <c r="N333" s="30" t="n">
        <f aca="false">H333-K333</f>
        <v>158642</v>
      </c>
      <c r="O333" s="9" t="s">
        <v>683</v>
      </c>
      <c r="P333" s="9" t="str">
        <f aca="false">IF(H333=0,"Sin PIM",IF(ROUND(K333-H333,2)&gt;=0,"Devengado total",IF(J333&gt;0.005,"Comprometido",IF(I333&gt;0.005,"Solo certificado","Sin certificar"))))</f>
        <v>Comprometido</v>
      </c>
      <c r="Q333" s="30" t="s">
        <v>97</v>
      </c>
      <c r="R333" s="30" t="s">
        <v>97</v>
      </c>
      <c r="S333" s="30" t="s">
        <v>97</v>
      </c>
      <c r="T333" s="30" t="s">
        <v>97</v>
      </c>
      <c r="U333" s="9"/>
      <c r="V333" s="9"/>
    </row>
    <row r="334" customFormat="false" ht="43.25" hidden="false" customHeight="false" outlineLevel="0" collapsed="false">
      <c r="A334" s="9" t="s">
        <v>678</v>
      </c>
      <c r="B334" s="9" t="s">
        <v>14</v>
      </c>
      <c r="C334" s="9"/>
      <c r="D334" s="9" t="s">
        <v>66</v>
      </c>
      <c r="E334" s="9" t="s">
        <v>776</v>
      </c>
      <c r="F334" s="9" t="n">
        <v>388</v>
      </c>
      <c r="G334" s="28" t="s">
        <v>777</v>
      </c>
      <c r="H334" s="29" t="n">
        <v>159352</v>
      </c>
      <c r="I334" s="29" t="n">
        <v>154000</v>
      </c>
      <c r="J334" s="29" t="n">
        <v>153220</v>
      </c>
      <c r="K334" s="29" t="n">
        <v>150220</v>
      </c>
      <c r="L334" s="30" t="n">
        <f aca="false">H334-I334</f>
        <v>5352</v>
      </c>
      <c r="M334" s="30" t="n">
        <f aca="false">H334-J334</f>
        <v>6132</v>
      </c>
      <c r="N334" s="30" t="n">
        <f aca="false">H334-K334</f>
        <v>9132</v>
      </c>
      <c r="O334" s="9" t="s">
        <v>683</v>
      </c>
      <c r="P334" s="9" t="str">
        <f aca="false">IF(H334=0,"Sin PIM",IF(ROUND(K334-H334,2)&gt;=0,"Devengado total",IF(J334&gt;0.005,"Comprometido",IF(I334&gt;0.005,"Solo certificado","Sin certificar"))))</f>
        <v>Comprometido</v>
      </c>
      <c r="Q334" s="30" t="s">
        <v>97</v>
      </c>
      <c r="R334" s="30" t="s">
        <v>97</v>
      </c>
      <c r="S334" s="30" t="s">
        <v>97</v>
      </c>
      <c r="T334" s="30" t="s">
        <v>97</v>
      </c>
      <c r="U334" s="9"/>
      <c r="V334" s="9"/>
    </row>
    <row r="335" customFormat="false" ht="53.7" hidden="false" customHeight="false" outlineLevel="0" collapsed="false">
      <c r="A335" s="9" t="s">
        <v>678</v>
      </c>
      <c r="B335" s="9" t="s">
        <v>14</v>
      </c>
      <c r="C335" s="9"/>
      <c r="D335" s="9" t="s">
        <v>66</v>
      </c>
      <c r="E335" s="9" t="s">
        <v>778</v>
      </c>
      <c r="F335" s="9" t="n">
        <v>389</v>
      </c>
      <c r="G335" s="28" t="s">
        <v>779</v>
      </c>
      <c r="H335" s="29" t="n">
        <v>159613</v>
      </c>
      <c r="I335" s="29" t="n">
        <v>149133.25</v>
      </c>
      <c r="J335" s="29" t="n">
        <v>147533.25</v>
      </c>
      <c r="K335" s="29" t="n">
        <v>7133.25</v>
      </c>
      <c r="L335" s="30" t="n">
        <f aca="false">H335-I335</f>
        <v>10479.75</v>
      </c>
      <c r="M335" s="30" t="n">
        <f aca="false">H335-J335</f>
        <v>12079.75</v>
      </c>
      <c r="N335" s="30" t="n">
        <f aca="false">H335-K335</f>
        <v>152479.75</v>
      </c>
      <c r="O335" s="9" t="s">
        <v>683</v>
      </c>
      <c r="P335" s="9" t="str">
        <f aca="false">IF(H335=0,"Sin PIM",IF(ROUND(K335-H335,2)&gt;=0,"Devengado total",IF(J335&gt;0.005,"Comprometido",IF(I335&gt;0.005,"Solo certificado","Sin certificar"))))</f>
        <v>Comprometido</v>
      </c>
      <c r="Q335" s="30" t="s">
        <v>97</v>
      </c>
      <c r="R335" s="30" t="s">
        <v>97</v>
      </c>
      <c r="S335" s="30" t="s">
        <v>97</v>
      </c>
      <c r="T335" s="30" t="s">
        <v>97</v>
      </c>
      <c r="U335" s="9"/>
      <c r="V335" s="9"/>
    </row>
    <row r="336" customFormat="false" ht="43.25" hidden="false" customHeight="false" outlineLevel="0" collapsed="false">
      <c r="A336" s="9" t="s">
        <v>678</v>
      </c>
      <c r="B336" s="9" t="s">
        <v>14</v>
      </c>
      <c r="C336" s="9"/>
      <c r="D336" s="9" t="s">
        <v>66</v>
      </c>
      <c r="E336" s="9" t="s">
        <v>780</v>
      </c>
      <c r="F336" s="9" t="n">
        <v>390</v>
      </c>
      <c r="G336" s="28" t="s">
        <v>781</v>
      </c>
      <c r="H336" s="29" t="n">
        <v>159555</v>
      </c>
      <c r="I336" s="29" t="n">
        <v>132645</v>
      </c>
      <c r="J336" s="29" t="n">
        <v>107145</v>
      </c>
      <c r="K336" s="29" t="n">
        <v>100745</v>
      </c>
      <c r="L336" s="30" t="n">
        <f aca="false">H336-I336</f>
        <v>26910</v>
      </c>
      <c r="M336" s="30" t="n">
        <f aca="false">H336-J336</f>
        <v>52410</v>
      </c>
      <c r="N336" s="30" t="n">
        <f aca="false">H336-K336</f>
        <v>58810</v>
      </c>
      <c r="O336" s="9" t="s">
        <v>683</v>
      </c>
      <c r="P336" s="9" t="str">
        <f aca="false">IF(H336=0,"Sin PIM",IF(ROUND(K336-H336,2)&gt;=0,"Devengado total",IF(J336&gt;0.005,"Comprometido",IF(I336&gt;0.005,"Solo certificado","Sin certificar"))))</f>
        <v>Comprometido</v>
      </c>
      <c r="Q336" s="30" t="s">
        <v>97</v>
      </c>
      <c r="R336" s="30" t="s">
        <v>97</v>
      </c>
      <c r="S336" s="30" t="s">
        <v>97</v>
      </c>
      <c r="T336" s="30" t="s">
        <v>97</v>
      </c>
      <c r="U336" s="9"/>
      <c r="V336" s="9"/>
    </row>
    <row r="337" customFormat="false" ht="43.25" hidden="false" customHeight="false" outlineLevel="0" collapsed="false">
      <c r="A337" s="9" t="s">
        <v>678</v>
      </c>
      <c r="B337" s="9" t="s">
        <v>14</v>
      </c>
      <c r="C337" s="9"/>
      <c r="D337" s="9" t="s">
        <v>66</v>
      </c>
      <c r="E337" s="9" t="s">
        <v>782</v>
      </c>
      <c r="F337" s="9" t="n">
        <v>391</v>
      </c>
      <c r="G337" s="28" t="s">
        <v>783</v>
      </c>
      <c r="H337" s="29" t="n">
        <v>154799</v>
      </c>
      <c r="I337" s="29" t="n">
        <v>147492</v>
      </c>
      <c r="J337" s="29" t="n">
        <v>146292</v>
      </c>
      <c r="K337" s="29" t="n">
        <v>143262</v>
      </c>
      <c r="L337" s="30" t="n">
        <f aca="false">H337-I337</f>
        <v>7307</v>
      </c>
      <c r="M337" s="30" t="n">
        <f aca="false">H337-J337</f>
        <v>8507</v>
      </c>
      <c r="N337" s="30" t="n">
        <f aca="false">H337-K337</f>
        <v>11537</v>
      </c>
      <c r="O337" s="9" t="s">
        <v>683</v>
      </c>
      <c r="P337" s="9" t="str">
        <f aca="false">IF(H337=0,"Sin PIM",IF(ROUND(K337-H337,2)&gt;=0,"Devengado total",IF(J337&gt;0.005,"Comprometido",IF(I337&gt;0.005,"Solo certificado","Sin certificar"))))</f>
        <v>Comprometido</v>
      </c>
      <c r="Q337" s="30" t="s">
        <v>97</v>
      </c>
      <c r="R337" s="30" t="s">
        <v>97</v>
      </c>
      <c r="S337" s="30" t="s">
        <v>97</v>
      </c>
      <c r="T337" s="30" t="s">
        <v>97</v>
      </c>
      <c r="U337" s="9"/>
      <c r="V337" s="9"/>
    </row>
    <row r="338" customFormat="false" ht="43.25" hidden="false" customHeight="false" outlineLevel="0" collapsed="false">
      <c r="A338" s="9" t="s">
        <v>678</v>
      </c>
      <c r="B338" s="9" t="s">
        <v>14</v>
      </c>
      <c r="C338" s="9"/>
      <c r="D338" s="9" t="s">
        <v>66</v>
      </c>
      <c r="E338" s="9" t="s">
        <v>784</v>
      </c>
      <c r="F338" s="9" t="n">
        <v>395</v>
      </c>
      <c r="G338" s="28" t="s">
        <v>785</v>
      </c>
      <c r="H338" s="29" t="n">
        <v>155278</v>
      </c>
      <c r="I338" s="29" t="n">
        <v>149541</v>
      </c>
      <c r="J338" s="29" t="n">
        <v>149541</v>
      </c>
      <c r="K338" s="29" t="n">
        <v>113190</v>
      </c>
      <c r="L338" s="30" t="n">
        <f aca="false">H338-I338</f>
        <v>5737</v>
      </c>
      <c r="M338" s="30" t="n">
        <f aca="false">H338-J338</f>
        <v>5737</v>
      </c>
      <c r="N338" s="30" t="n">
        <f aca="false">H338-K338</f>
        <v>42088</v>
      </c>
      <c r="O338" s="9" t="s">
        <v>683</v>
      </c>
      <c r="P338" s="9" t="str">
        <f aca="false">IF(H338=0,"Sin PIM",IF(ROUND(K338-H338,2)&gt;=0,"Devengado total",IF(J338&gt;0.005,"Comprometido",IF(I338&gt;0.005,"Solo certificado","Sin certificar"))))</f>
        <v>Comprometido</v>
      </c>
      <c r="Q338" s="30" t="s">
        <v>97</v>
      </c>
      <c r="R338" s="30" t="s">
        <v>97</v>
      </c>
      <c r="S338" s="30" t="s">
        <v>97</v>
      </c>
      <c r="T338" s="30" t="s">
        <v>97</v>
      </c>
      <c r="U338" s="9"/>
      <c r="V338" s="9"/>
    </row>
    <row r="339" customFormat="false" ht="32.8" hidden="false" customHeight="false" outlineLevel="0" collapsed="false">
      <c r="A339" s="9" t="s">
        <v>678</v>
      </c>
      <c r="B339" s="9" t="s">
        <v>14</v>
      </c>
      <c r="C339" s="9"/>
      <c r="D339" s="9" t="s">
        <v>66</v>
      </c>
      <c r="E339" s="9" t="s">
        <v>786</v>
      </c>
      <c r="F339" s="9" t="n">
        <v>396</v>
      </c>
      <c r="G339" s="28" t="s">
        <v>787</v>
      </c>
      <c r="H339" s="29" t="n">
        <v>159890</v>
      </c>
      <c r="I339" s="29" t="n">
        <v>150349</v>
      </c>
      <c r="J339" s="29" t="n">
        <v>5349</v>
      </c>
      <c r="K339" s="29" t="n">
        <v>5349</v>
      </c>
      <c r="L339" s="30" t="n">
        <f aca="false">H339-I339</f>
        <v>9541</v>
      </c>
      <c r="M339" s="30" t="n">
        <f aca="false">H339-J339</f>
        <v>154541</v>
      </c>
      <c r="N339" s="30" t="n">
        <f aca="false">H339-K339</f>
        <v>154541</v>
      </c>
      <c r="O339" s="9" t="s">
        <v>683</v>
      </c>
      <c r="P339" s="9" t="str">
        <f aca="false">IF(H339=0,"Sin PIM",IF(ROUND(K339-H339,2)&gt;=0,"Devengado total",IF(J339&gt;0.005,"Comprometido",IF(I339&gt;0.005,"Solo certificado","Sin certificar"))))</f>
        <v>Comprometido</v>
      </c>
      <c r="Q339" s="30" t="s">
        <v>97</v>
      </c>
      <c r="R339" s="30" t="s">
        <v>97</v>
      </c>
      <c r="S339" s="30" t="s">
        <v>97</v>
      </c>
      <c r="T339" s="30" t="s">
        <v>97</v>
      </c>
      <c r="U339" s="9"/>
      <c r="V339" s="9"/>
    </row>
    <row r="340" customFormat="false" ht="32.8" hidden="false" customHeight="false" outlineLevel="0" collapsed="false">
      <c r="A340" s="9" t="s">
        <v>678</v>
      </c>
      <c r="B340" s="9" t="s">
        <v>14</v>
      </c>
      <c r="C340" s="9"/>
      <c r="D340" s="9" t="s">
        <v>66</v>
      </c>
      <c r="E340" s="9" t="s">
        <v>788</v>
      </c>
      <c r="F340" s="9" t="n">
        <v>398</v>
      </c>
      <c r="G340" s="28" t="s">
        <v>789</v>
      </c>
      <c r="H340" s="29" t="n">
        <v>159321</v>
      </c>
      <c r="I340" s="29" t="n">
        <v>152810</v>
      </c>
      <c r="J340" s="29" t="n">
        <v>130010</v>
      </c>
      <c r="K340" s="29" t="n">
        <v>130010</v>
      </c>
      <c r="L340" s="30" t="n">
        <f aca="false">H340-I340</f>
        <v>6511</v>
      </c>
      <c r="M340" s="30" t="n">
        <f aca="false">H340-J340</f>
        <v>29311</v>
      </c>
      <c r="N340" s="30" t="n">
        <f aca="false">H340-K340</f>
        <v>29311</v>
      </c>
      <c r="O340" s="9" t="s">
        <v>683</v>
      </c>
      <c r="P340" s="9" t="str">
        <f aca="false">IF(H340=0,"Sin PIM",IF(ROUND(K340-H340,2)&gt;=0,"Devengado total",IF(J340&gt;0.005,"Comprometido",IF(I340&gt;0.005,"Solo certificado","Sin certificar"))))</f>
        <v>Comprometido</v>
      </c>
      <c r="Q340" s="30" t="s">
        <v>97</v>
      </c>
      <c r="R340" s="30" t="s">
        <v>97</v>
      </c>
      <c r="S340" s="30" t="s">
        <v>97</v>
      </c>
      <c r="T340" s="30" t="s">
        <v>97</v>
      </c>
      <c r="U340" s="9"/>
      <c r="V340" s="9"/>
    </row>
    <row r="341" customFormat="false" ht="43.25" hidden="false" customHeight="false" outlineLevel="0" collapsed="false">
      <c r="A341" s="9" t="s">
        <v>678</v>
      </c>
      <c r="B341" s="9" t="s">
        <v>14</v>
      </c>
      <c r="C341" s="9"/>
      <c r="D341" s="9" t="s">
        <v>66</v>
      </c>
      <c r="E341" s="9" t="s">
        <v>790</v>
      </c>
      <c r="F341" s="9" t="n">
        <v>400</v>
      </c>
      <c r="G341" s="28" t="s">
        <v>791</v>
      </c>
      <c r="H341" s="29" t="n">
        <v>146532</v>
      </c>
      <c r="I341" s="29" t="n">
        <v>140645</v>
      </c>
      <c r="J341" s="29" t="n">
        <v>109445</v>
      </c>
      <c r="K341" s="29" t="n">
        <v>109445</v>
      </c>
      <c r="L341" s="30" t="n">
        <f aca="false">H341-I341</f>
        <v>5887</v>
      </c>
      <c r="M341" s="30" t="n">
        <f aca="false">H341-J341</f>
        <v>37087</v>
      </c>
      <c r="N341" s="30" t="n">
        <f aca="false">H341-K341</f>
        <v>37087</v>
      </c>
      <c r="O341" s="9" t="s">
        <v>683</v>
      </c>
      <c r="P341" s="9" t="str">
        <f aca="false">IF(H341=0,"Sin PIM",IF(ROUND(K341-H341,2)&gt;=0,"Devengado total",IF(J341&gt;0.005,"Comprometido",IF(I341&gt;0.005,"Solo certificado","Sin certificar"))))</f>
        <v>Comprometido</v>
      </c>
      <c r="Q341" s="30" t="s">
        <v>97</v>
      </c>
      <c r="R341" s="30" t="s">
        <v>97</v>
      </c>
      <c r="S341" s="30" t="s">
        <v>97</v>
      </c>
      <c r="T341" s="30" t="s">
        <v>97</v>
      </c>
      <c r="U341" s="9"/>
      <c r="V341" s="9"/>
    </row>
    <row r="342" customFormat="false" ht="53.7" hidden="false" customHeight="false" outlineLevel="0" collapsed="false">
      <c r="A342" s="9" t="s">
        <v>678</v>
      </c>
      <c r="B342" s="9" t="s">
        <v>14</v>
      </c>
      <c r="C342" s="9"/>
      <c r="D342" s="9" t="s">
        <v>66</v>
      </c>
      <c r="E342" s="9" t="s">
        <v>792</v>
      </c>
      <c r="F342" s="9" t="n">
        <v>401</v>
      </c>
      <c r="G342" s="28" t="s">
        <v>793</v>
      </c>
      <c r="H342" s="29" t="n">
        <v>155656</v>
      </c>
      <c r="I342" s="29" t="n">
        <v>151053</v>
      </c>
      <c r="J342" s="29" t="n">
        <v>11670</v>
      </c>
      <c r="K342" s="29" t="n">
        <v>0</v>
      </c>
      <c r="L342" s="30" t="n">
        <f aca="false">H342-I342</f>
        <v>4603</v>
      </c>
      <c r="M342" s="30" t="n">
        <f aca="false">H342-J342</f>
        <v>143986</v>
      </c>
      <c r="N342" s="30" t="n">
        <f aca="false">H342-K342</f>
        <v>155656</v>
      </c>
      <c r="O342" s="9" t="s">
        <v>683</v>
      </c>
      <c r="P342" s="9" t="str">
        <f aca="false">IF(H342=0,"Sin PIM",IF(ROUND(K342-H342,2)&gt;=0,"Devengado total",IF(J342&gt;0.005,"Comprometido",IF(I342&gt;0.005,"Solo certificado","Sin certificar"))))</f>
        <v>Comprometido</v>
      </c>
      <c r="Q342" s="30" t="s">
        <v>97</v>
      </c>
      <c r="R342" s="30" t="s">
        <v>97</v>
      </c>
      <c r="S342" s="30" t="s">
        <v>97</v>
      </c>
      <c r="T342" s="30" t="s">
        <v>97</v>
      </c>
      <c r="U342" s="9"/>
      <c r="V342" s="9"/>
    </row>
    <row r="343" customFormat="false" ht="32.8" hidden="false" customHeight="false" outlineLevel="0" collapsed="false">
      <c r="A343" s="9" t="s">
        <v>678</v>
      </c>
      <c r="B343" s="9" t="s">
        <v>14</v>
      </c>
      <c r="C343" s="9"/>
      <c r="D343" s="9" t="s">
        <v>66</v>
      </c>
      <c r="E343" s="9" t="s">
        <v>794</v>
      </c>
      <c r="F343" s="9" t="n">
        <v>402</v>
      </c>
      <c r="G343" s="28" t="s">
        <v>795</v>
      </c>
      <c r="H343" s="29" t="n">
        <v>159060</v>
      </c>
      <c r="I343" s="29" t="n">
        <v>151725</v>
      </c>
      <c r="J343" s="29" t="n">
        <v>132125</v>
      </c>
      <c r="K343" s="29" t="n">
        <v>124900</v>
      </c>
      <c r="L343" s="30" t="n">
        <f aca="false">H343-I343</f>
        <v>7335</v>
      </c>
      <c r="M343" s="30" t="n">
        <f aca="false">H343-J343</f>
        <v>26935</v>
      </c>
      <c r="N343" s="30" t="n">
        <f aca="false">H343-K343</f>
        <v>34160</v>
      </c>
      <c r="O343" s="9" t="s">
        <v>683</v>
      </c>
      <c r="P343" s="9" t="str">
        <f aca="false">IF(H343=0,"Sin PIM",IF(ROUND(K343-H343,2)&gt;=0,"Devengado total",IF(J343&gt;0.005,"Comprometido",IF(I343&gt;0.005,"Solo certificado","Sin certificar"))))</f>
        <v>Comprometido</v>
      </c>
      <c r="Q343" s="30" t="s">
        <v>97</v>
      </c>
      <c r="R343" s="30" t="s">
        <v>97</v>
      </c>
      <c r="S343" s="30" t="s">
        <v>97</v>
      </c>
      <c r="T343" s="30" t="s">
        <v>97</v>
      </c>
      <c r="U343" s="9"/>
      <c r="V343" s="9"/>
    </row>
    <row r="344" customFormat="false" ht="43.25" hidden="false" customHeight="false" outlineLevel="0" collapsed="false">
      <c r="A344" s="9" t="s">
        <v>678</v>
      </c>
      <c r="B344" s="9" t="s">
        <v>14</v>
      </c>
      <c r="C344" s="9"/>
      <c r="D344" s="9" t="s">
        <v>66</v>
      </c>
      <c r="E344" s="9" t="s">
        <v>796</v>
      </c>
      <c r="F344" s="9" t="n">
        <v>403</v>
      </c>
      <c r="G344" s="28" t="s">
        <v>797</v>
      </c>
      <c r="H344" s="29" t="n">
        <v>159862</v>
      </c>
      <c r="I344" s="29" t="n">
        <v>86882.5</v>
      </c>
      <c r="J344" s="29" t="n">
        <v>86872.5</v>
      </c>
      <c r="K344" s="29" t="n">
        <v>86872.5</v>
      </c>
      <c r="L344" s="30" t="n">
        <f aca="false">H344-I344</f>
        <v>72979.5</v>
      </c>
      <c r="M344" s="30" t="n">
        <f aca="false">H344-J344</f>
        <v>72989.5</v>
      </c>
      <c r="N344" s="30" t="n">
        <f aca="false">H344-K344</f>
        <v>72989.5</v>
      </c>
      <c r="O344" s="9" t="s">
        <v>683</v>
      </c>
      <c r="P344" s="9" t="str">
        <f aca="false">IF(H344=0,"Sin PIM",IF(ROUND(K344-H344,2)&gt;=0,"Devengado total",IF(J344&gt;0.005,"Comprometido",IF(I344&gt;0.005,"Solo certificado","Sin certificar"))))</f>
        <v>Comprometido</v>
      </c>
      <c r="Q344" s="30" t="s">
        <v>97</v>
      </c>
      <c r="R344" s="30" t="s">
        <v>97</v>
      </c>
      <c r="S344" s="30" t="s">
        <v>97</v>
      </c>
      <c r="T344" s="30" t="s">
        <v>97</v>
      </c>
      <c r="U344" s="9"/>
      <c r="V344" s="9"/>
    </row>
    <row r="345" customFormat="false" ht="43.25" hidden="false" customHeight="false" outlineLevel="0" collapsed="false">
      <c r="A345" s="9" t="s">
        <v>678</v>
      </c>
      <c r="B345" s="9" t="s">
        <v>14</v>
      </c>
      <c r="C345" s="9"/>
      <c r="D345" s="9" t="s">
        <v>66</v>
      </c>
      <c r="E345" s="9" t="s">
        <v>798</v>
      </c>
      <c r="F345" s="9" t="n">
        <v>405</v>
      </c>
      <c r="G345" s="28" t="s">
        <v>799</v>
      </c>
      <c r="H345" s="29" t="n">
        <v>157300</v>
      </c>
      <c r="I345" s="29" t="n">
        <v>149830</v>
      </c>
      <c r="J345" s="29" t="n">
        <v>149790</v>
      </c>
      <c r="K345" s="29" t="n">
        <v>149790</v>
      </c>
      <c r="L345" s="30" t="n">
        <f aca="false">H345-I345</f>
        <v>7470</v>
      </c>
      <c r="M345" s="30" t="n">
        <f aca="false">H345-J345</f>
        <v>7510</v>
      </c>
      <c r="N345" s="30" t="n">
        <f aca="false">H345-K345</f>
        <v>7510</v>
      </c>
      <c r="O345" s="9" t="s">
        <v>683</v>
      </c>
      <c r="P345" s="9" t="str">
        <f aca="false">IF(H345=0,"Sin PIM",IF(ROUND(K345-H345,2)&gt;=0,"Devengado total",IF(J345&gt;0.005,"Comprometido",IF(I345&gt;0.005,"Solo certificado","Sin certificar"))))</f>
        <v>Comprometido</v>
      </c>
      <c r="Q345" s="30" t="s">
        <v>97</v>
      </c>
      <c r="R345" s="30" t="s">
        <v>97</v>
      </c>
      <c r="S345" s="30" t="s">
        <v>97</v>
      </c>
      <c r="T345" s="30" t="s">
        <v>97</v>
      </c>
      <c r="U345" s="9"/>
      <c r="V345" s="9"/>
    </row>
    <row r="346" customFormat="false" ht="43.25" hidden="false" customHeight="false" outlineLevel="0" collapsed="false">
      <c r="A346" s="9" t="s">
        <v>678</v>
      </c>
      <c r="B346" s="9" t="s">
        <v>14</v>
      </c>
      <c r="C346" s="9"/>
      <c r="D346" s="9" t="s">
        <v>66</v>
      </c>
      <c r="E346" s="9" t="s">
        <v>800</v>
      </c>
      <c r="F346" s="9" t="n">
        <v>406</v>
      </c>
      <c r="G346" s="28" t="s">
        <v>801</v>
      </c>
      <c r="H346" s="29" t="n">
        <v>159720</v>
      </c>
      <c r="I346" s="29" t="n">
        <v>152944</v>
      </c>
      <c r="J346" s="29" t="n">
        <v>152929</v>
      </c>
      <c r="K346" s="29" t="n">
        <v>146395</v>
      </c>
      <c r="L346" s="30" t="n">
        <f aca="false">H346-I346</f>
        <v>6776</v>
      </c>
      <c r="M346" s="30" t="n">
        <f aca="false">H346-J346</f>
        <v>6791</v>
      </c>
      <c r="N346" s="30" t="n">
        <f aca="false">H346-K346</f>
        <v>13325</v>
      </c>
      <c r="O346" s="9" t="s">
        <v>683</v>
      </c>
      <c r="P346" s="9" t="str">
        <f aca="false">IF(H346=0,"Sin PIM",IF(ROUND(K346-H346,2)&gt;=0,"Devengado total",IF(J346&gt;0.005,"Comprometido",IF(I346&gt;0.005,"Solo certificado","Sin certificar"))))</f>
        <v>Comprometido</v>
      </c>
      <c r="Q346" s="30" t="s">
        <v>97</v>
      </c>
      <c r="R346" s="30" t="s">
        <v>97</v>
      </c>
      <c r="S346" s="30" t="s">
        <v>97</v>
      </c>
      <c r="T346" s="30" t="s">
        <v>97</v>
      </c>
      <c r="U346" s="9"/>
      <c r="V346" s="9"/>
    </row>
    <row r="347" customFormat="false" ht="43.25" hidden="false" customHeight="false" outlineLevel="0" collapsed="false">
      <c r="A347" s="9" t="s">
        <v>678</v>
      </c>
      <c r="B347" s="9" t="s">
        <v>14</v>
      </c>
      <c r="C347" s="9"/>
      <c r="D347" s="9" t="s">
        <v>66</v>
      </c>
      <c r="E347" s="9" t="s">
        <v>802</v>
      </c>
      <c r="F347" s="9" t="n">
        <v>409</v>
      </c>
      <c r="G347" s="28" t="s">
        <v>803</v>
      </c>
      <c r="H347" s="29" t="n">
        <v>159007</v>
      </c>
      <c r="I347" s="29" t="n">
        <v>49260</v>
      </c>
      <c r="J347" s="29" t="n">
        <v>49260</v>
      </c>
      <c r="K347" s="29" t="n">
        <v>49260</v>
      </c>
      <c r="L347" s="30" t="n">
        <f aca="false">H347-I347</f>
        <v>109747</v>
      </c>
      <c r="M347" s="30" t="n">
        <f aca="false">H347-J347</f>
        <v>109747</v>
      </c>
      <c r="N347" s="30" t="n">
        <f aca="false">H347-K347</f>
        <v>109747</v>
      </c>
      <c r="O347" s="9" t="s">
        <v>683</v>
      </c>
      <c r="P347" s="9" t="str">
        <f aca="false">IF(H347=0,"Sin PIM",IF(ROUND(K347-H347,2)&gt;=0,"Devengado total",IF(J347&gt;0.005,"Comprometido",IF(I347&gt;0.005,"Solo certificado","Sin certificar"))))</f>
        <v>Comprometido</v>
      </c>
      <c r="Q347" s="30" t="s">
        <v>97</v>
      </c>
      <c r="R347" s="30" t="s">
        <v>97</v>
      </c>
      <c r="S347" s="30" t="s">
        <v>97</v>
      </c>
      <c r="T347" s="30" t="s">
        <v>97</v>
      </c>
      <c r="U347" s="9"/>
      <c r="V347" s="9"/>
    </row>
    <row r="348" customFormat="false" ht="43.25" hidden="false" customHeight="false" outlineLevel="0" collapsed="false">
      <c r="A348" s="9" t="s">
        <v>678</v>
      </c>
      <c r="B348" s="9" t="s">
        <v>14</v>
      </c>
      <c r="C348" s="9"/>
      <c r="D348" s="9" t="s">
        <v>66</v>
      </c>
      <c r="E348" s="9" t="s">
        <v>804</v>
      </c>
      <c r="F348" s="9" t="n">
        <v>411</v>
      </c>
      <c r="G348" s="28" t="s">
        <v>805</v>
      </c>
      <c r="H348" s="29" t="n">
        <v>159876</v>
      </c>
      <c r="I348" s="29" t="n">
        <v>122810</v>
      </c>
      <c r="J348" s="29" t="n">
        <v>122810</v>
      </c>
      <c r="K348" s="29" t="n">
        <v>113200</v>
      </c>
      <c r="L348" s="30" t="n">
        <f aca="false">H348-I348</f>
        <v>37066</v>
      </c>
      <c r="M348" s="30" t="n">
        <f aca="false">H348-J348</f>
        <v>37066</v>
      </c>
      <c r="N348" s="30" t="n">
        <f aca="false">H348-K348</f>
        <v>46676</v>
      </c>
      <c r="O348" s="9" t="s">
        <v>683</v>
      </c>
      <c r="P348" s="9" t="str">
        <f aca="false">IF(H348=0,"Sin PIM",IF(ROUND(K348-H348,2)&gt;=0,"Devengado total",IF(J348&gt;0.005,"Comprometido",IF(I348&gt;0.005,"Solo certificado","Sin certificar"))))</f>
        <v>Comprometido</v>
      </c>
      <c r="Q348" s="30" t="s">
        <v>97</v>
      </c>
      <c r="R348" s="30" t="s">
        <v>97</v>
      </c>
      <c r="S348" s="30" t="s">
        <v>97</v>
      </c>
      <c r="T348" s="30" t="s">
        <v>97</v>
      </c>
      <c r="U348" s="9"/>
      <c r="V348" s="9"/>
    </row>
    <row r="349" customFormat="false" ht="32.8" hidden="false" customHeight="false" outlineLevel="0" collapsed="false">
      <c r="A349" s="9" t="s">
        <v>678</v>
      </c>
      <c r="B349" s="9" t="s">
        <v>14</v>
      </c>
      <c r="C349" s="9"/>
      <c r="D349" s="9" t="s">
        <v>66</v>
      </c>
      <c r="E349" s="9" t="s">
        <v>806</v>
      </c>
      <c r="F349" s="9" t="n">
        <v>414</v>
      </c>
      <c r="G349" s="28" t="s">
        <v>807</v>
      </c>
      <c r="H349" s="29" t="n">
        <v>158527</v>
      </c>
      <c r="I349" s="29" t="n">
        <v>152744</v>
      </c>
      <c r="J349" s="29" t="n">
        <v>152544</v>
      </c>
      <c r="K349" s="29" t="n">
        <v>146576</v>
      </c>
      <c r="L349" s="30" t="n">
        <f aca="false">H349-I349</f>
        <v>5783</v>
      </c>
      <c r="M349" s="30" t="n">
        <f aca="false">H349-J349</f>
        <v>5983</v>
      </c>
      <c r="N349" s="30" t="n">
        <f aca="false">H349-K349</f>
        <v>11951</v>
      </c>
      <c r="O349" s="9" t="s">
        <v>683</v>
      </c>
      <c r="P349" s="9" t="str">
        <f aca="false">IF(H349=0,"Sin PIM",IF(ROUND(K349-H349,2)&gt;=0,"Devengado total",IF(J349&gt;0.005,"Comprometido",IF(I349&gt;0.005,"Solo certificado","Sin certificar"))))</f>
        <v>Comprometido</v>
      </c>
      <c r="Q349" s="30" t="s">
        <v>97</v>
      </c>
      <c r="R349" s="30" t="s">
        <v>97</v>
      </c>
      <c r="S349" s="30" t="s">
        <v>97</v>
      </c>
      <c r="T349" s="30" t="s">
        <v>97</v>
      </c>
      <c r="U349" s="9"/>
      <c r="V349" s="9"/>
    </row>
    <row r="350" customFormat="false" ht="43.25" hidden="false" customHeight="false" outlineLevel="0" collapsed="false">
      <c r="A350" s="9" t="s">
        <v>678</v>
      </c>
      <c r="B350" s="9" t="s">
        <v>14</v>
      </c>
      <c r="C350" s="9"/>
      <c r="D350" s="9" t="s">
        <v>66</v>
      </c>
      <c r="E350" s="9" t="s">
        <v>808</v>
      </c>
      <c r="F350" s="9" t="n">
        <v>415</v>
      </c>
      <c r="G350" s="28" t="s">
        <v>809</v>
      </c>
      <c r="H350" s="29" t="n">
        <v>158640</v>
      </c>
      <c r="I350" s="29" t="n">
        <v>136115</v>
      </c>
      <c r="J350" s="29" t="n">
        <v>43095</v>
      </c>
      <c r="K350" s="29" t="n">
        <v>43095</v>
      </c>
      <c r="L350" s="30" t="n">
        <f aca="false">H350-I350</f>
        <v>22525</v>
      </c>
      <c r="M350" s="30" t="n">
        <f aca="false">H350-J350</f>
        <v>115545</v>
      </c>
      <c r="N350" s="30" t="n">
        <f aca="false">H350-K350</f>
        <v>115545</v>
      </c>
      <c r="O350" s="9" t="s">
        <v>683</v>
      </c>
      <c r="P350" s="9" t="str">
        <f aca="false">IF(H350=0,"Sin PIM",IF(ROUND(K350-H350,2)&gt;=0,"Devengado total",IF(J350&gt;0.005,"Comprometido",IF(I350&gt;0.005,"Solo certificado","Sin certificar"))))</f>
        <v>Comprometido</v>
      </c>
      <c r="Q350" s="30" t="s">
        <v>97</v>
      </c>
      <c r="R350" s="30" t="s">
        <v>97</v>
      </c>
      <c r="S350" s="30" t="s">
        <v>97</v>
      </c>
      <c r="T350" s="30" t="s">
        <v>97</v>
      </c>
      <c r="U350" s="9"/>
      <c r="V350" s="9"/>
    </row>
    <row r="351" customFormat="false" ht="43.25" hidden="false" customHeight="false" outlineLevel="0" collapsed="false">
      <c r="A351" s="9" t="s">
        <v>678</v>
      </c>
      <c r="B351" s="9" t="s">
        <v>14</v>
      </c>
      <c r="C351" s="9"/>
      <c r="D351" s="9" t="s">
        <v>66</v>
      </c>
      <c r="E351" s="9" t="s">
        <v>810</v>
      </c>
      <c r="F351" s="9" t="n">
        <v>416</v>
      </c>
      <c r="G351" s="28" t="s">
        <v>811</v>
      </c>
      <c r="H351" s="29" t="n">
        <v>159041</v>
      </c>
      <c r="I351" s="29" t="n">
        <v>146000</v>
      </c>
      <c r="J351" s="29" t="n">
        <v>146000</v>
      </c>
      <c r="K351" s="29" t="n">
        <v>139000</v>
      </c>
      <c r="L351" s="30" t="n">
        <f aca="false">H351-I351</f>
        <v>13041</v>
      </c>
      <c r="M351" s="30" t="n">
        <f aca="false">H351-J351</f>
        <v>13041</v>
      </c>
      <c r="N351" s="30" t="n">
        <f aca="false">H351-K351</f>
        <v>20041</v>
      </c>
      <c r="O351" s="9" t="s">
        <v>683</v>
      </c>
      <c r="P351" s="9" t="str">
        <f aca="false">IF(H351=0,"Sin PIM",IF(ROUND(K351-H351,2)&gt;=0,"Devengado total",IF(J351&gt;0.005,"Comprometido",IF(I351&gt;0.005,"Solo certificado","Sin certificar"))))</f>
        <v>Comprometido</v>
      </c>
      <c r="Q351" s="30" t="s">
        <v>97</v>
      </c>
      <c r="R351" s="30" t="s">
        <v>97</v>
      </c>
      <c r="S351" s="30" t="s">
        <v>97</v>
      </c>
      <c r="T351" s="30" t="s">
        <v>97</v>
      </c>
      <c r="U351" s="9"/>
      <c r="V351" s="9"/>
    </row>
    <row r="352" customFormat="false" ht="53.7" hidden="false" customHeight="false" outlineLevel="0" collapsed="false">
      <c r="A352" s="9" t="s">
        <v>678</v>
      </c>
      <c r="B352" s="9" t="s">
        <v>14</v>
      </c>
      <c r="C352" s="9"/>
      <c r="D352" s="9" t="s">
        <v>66</v>
      </c>
      <c r="E352" s="9" t="s">
        <v>812</v>
      </c>
      <c r="F352" s="9" t="n">
        <v>419</v>
      </c>
      <c r="G352" s="28" t="s">
        <v>813</v>
      </c>
      <c r="H352" s="29" t="n">
        <v>159584</v>
      </c>
      <c r="I352" s="29" t="n">
        <v>152800</v>
      </c>
      <c r="J352" s="29" t="n">
        <v>152800</v>
      </c>
      <c r="K352" s="29" t="n">
        <v>152800</v>
      </c>
      <c r="L352" s="30" t="n">
        <f aca="false">H352-I352</f>
        <v>6784</v>
      </c>
      <c r="M352" s="30" t="n">
        <f aca="false">H352-J352</f>
        <v>6784</v>
      </c>
      <c r="N352" s="30" t="n">
        <f aca="false">H352-K352</f>
        <v>6784</v>
      </c>
      <c r="O352" s="9" t="s">
        <v>683</v>
      </c>
      <c r="P352" s="9" t="str">
        <f aca="false">IF(H352=0,"Sin PIM",IF(ROUND(K352-H352,2)&gt;=0,"Devengado total",IF(J352&gt;0.005,"Comprometido",IF(I352&gt;0.005,"Solo certificado","Sin certificar"))))</f>
        <v>Comprometido</v>
      </c>
      <c r="Q352" s="30" t="s">
        <v>97</v>
      </c>
      <c r="R352" s="30" t="s">
        <v>97</v>
      </c>
      <c r="S352" s="30" t="s">
        <v>97</v>
      </c>
      <c r="T352" s="30" t="s">
        <v>97</v>
      </c>
      <c r="U352" s="9"/>
      <c r="V352" s="9"/>
    </row>
    <row r="353" customFormat="false" ht="43.25" hidden="false" customHeight="false" outlineLevel="0" collapsed="false">
      <c r="A353" s="9" t="s">
        <v>678</v>
      </c>
      <c r="B353" s="9" t="s">
        <v>14</v>
      </c>
      <c r="C353" s="9"/>
      <c r="D353" s="9" t="s">
        <v>66</v>
      </c>
      <c r="E353" s="9" t="s">
        <v>814</v>
      </c>
      <c r="F353" s="9" t="n">
        <v>422</v>
      </c>
      <c r="G353" s="28" t="s">
        <v>815</v>
      </c>
      <c r="H353" s="29" t="n">
        <v>159830</v>
      </c>
      <c r="I353" s="29" t="n">
        <v>152085</v>
      </c>
      <c r="J353" s="29" t="n">
        <v>97085</v>
      </c>
      <c r="K353" s="29" t="n">
        <v>97085</v>
      </c>
      <c r="L353" s="30" t="n">
        <f aca="false">H353-I353</f>
        <v>7745</v>
      </c>
      <c r="M353" s="30" t="n">
        <f aca="false">H353-J353</f>
        <v>62745</v>
      </c>
      <c r="N353" s="30" t="n">
        <f aca="false">H353-K353</f>
        <v>62745</v>
      </c>
      <c r="O353" s="9" t="s">
        <v>683</v>
      </c>
      <c r="P353" s="9" t="str">
        <f aca="false">IF(H353=0,"Sin PIM",IF(ROUND(K353-H353,2)&gt;=0,"Devengado total",IF(J353&gt;0.005,"Comprometido",IF(I353&gt;0.005,"Solo certificado","Sin certificar"))))</f>
        <v>Comprometido</v>
      </c>
      <c r="Q353" s="30" t="s">
        <v>97</v>
      </c>
      <c r="R353" s="30" t="s">
        <v>97</v>
      </c>
      <c r="S353" s="30" t="s">
        <v>97</v>
      </c>
      <c r="T353" s="30" t="s">
        <v>97</v>
      </c>
      <c r="U353" s="9"/>
      <c r="V353" s="9"/>
    </row>
    <row r="354" customFormat="false" ht="32.8" hidden="false" customHeight="false" outlineLevel="0" collapsed="false">
      <c r="A354" s="9" t="s">
        <v>678</v>
      </c>
      <c r="B354" s="9" t="s">
        <v>14</v>
      </c>
      <c r="C354" s="9"/>
      <c r="D354" s="9" t="s">
        <v>66</v>
      </c>
      <c r="E354" s="9" t="s">
        <v>816</v>
      </c>
      <c r="F354" s="9" t="n">
        <v>426</v>
      </c>
      <c r="G354" s="28" t="s">
        <v>817</v>
      </c>
      <c r="H354" s="29" t="n">
        <v>159880</v>
      </c>
      <c r="I354" s="29" t="n">
        <v>154030</v>
      </c>
      <c r="J354" s="29" t="n">
        <v>59820</v>
      </c>
      <c r="K354" s="29" t="n">
        <v>50840</v>
      </c>
      <c r="L354" s="30" t="n">
        <f aca="false">H354-I354</f>
        <v>5850</v>
      </c>
      <c r="M354" s="30" t="n">
        <f aca="false">H354-J354</f>
        <v>100060</v>
      </c>
      <c r="N354" s="30" t="n">
        <f aca="false">H354-K354</f>
        <v>109040</v>
      </c>
      <c r="O354" s="9" t="s">
        <v>683</v>
      </c>
      <c r="P354" s="9" t="str">
        <f aca="false">IF(H354=0,"Sin PIM",IF(ROUND(K354-H354,2)&gt;=0,"Devengado total",IF(J354&gt;0.005,"Comprometido",IF(I354&gt;0.005,"Solo certificado","Sin certificar"))))</f>
        <v>Comprometido</v>
      </c>
      <c r="Q354" s="30" t="s">
        <v>97</v>
      </c>
      <c r="R354" s="30" t="s">
        <v>97</v>
      </c>
      <c r="S354" s="30" t="s">
        <v>97</v>
      </c>
      <c r="T354" s="30" t="s">
        <v>97</v>
      </c>
      <c r="U354" s="9"/>
      <c r="V354" s="9"/>
    </row>
    <row r="355" customFormat="false" ht="43.25" hidden="false" customHeight="false" outlineLevel="0" collapsed="false">
      <c r="A355" s="9" t="s">
        <v>678</v>
      </c>
      <c r="B355" s="9" t="s">
        <v>14</v>
      </c>
      <c r="C355" s="9"/>
      <c r="D355" s="9" t="s">
        <v>66</v>
      </c>
      <c r="E355" s="9" t="s">
        <v>818</v>
      </c>
      <c r="F355" s="9" t="n">
        <v>478</v>
      </c>
      <c r="G355" s="28" t="s">
        <v>819</v>
      </c>
      <c r="H355" s="29" t="n">
        <v>159978</v>
      </c>
      <c r="I355" s="29" t="n">
        <v>153229</v>
      </c>
      <c r="J355" s="29" t="n">
        <v>135979</v>
      </c>
      <c r="K355" s="29" t="n">
        <v>129240</v>
      </c>
      <c r="L355" s="30" t="n">
        <f aca="false">H355-I355</f>
        <v>6749</v>
      </c>
      <c r="M355" s="30" t="n">
        <f aca="false">H355-J355</f>
        <v>23999</v>
      </c>
      <c r="N355" s="30" t="n">
        <f aca="false">H355-K355</f>
        <v>30738</v>
      </c>
      <c r="O355" s="9" t="s">
        <v>683</v>
      </c>
      <c r="P355" s="9" t="str">
        <f aca="false">IF(H355=0,"Sin PIM",IF(ROUND(K355-H355,2)&gt;=0,"Devengado total",IF(J355&gt;0.005,"Comprometido",IF(I355&gt;0.005,"Solo certificado","Sin certificar"))))</f>
        <v>Comprometido</v>
      </c>
      <c r="Q355" s="30" t="s">
        <v>97</v>
      </c>
      <c r="R355" s="30" t="s">
        <v>97</v>
      </c>
      <c r="S355" s="30" t="s">
        <v>97</v>
      </c>
      <c r="T355" s="30" t="s">
        <v>97</v>
      </c>
      <c r="U355" s="9"/>
      <c r="V355" s="9"/>
    </row>
    <row r="356" customFormat="false" ht="43.25" hidden="false" customHeight="false" outlineLevel="0" collapsed="false">
      <c r="A356" s="9" t="s">
        <v>678</v>
      </c>
      <c r="B356" s="9" t="s">
        <v>14</v>
      </c>
      <c r="C356" s="9"/>
      <c r="D356" s="9" t="s">
        <v>66</v>
      </c>
      <c r="E356" s="9" t="s">
        <v>820</v>
      </c>
      <c r="F356" s="9" t="n">
        <v>487</v>
      </c>
      <c r="G356" s="28" t="s">
        <v>821</v>
      </c>
      <c r="H356" s="29" t="n">
        <v>44000</v>
      </c>
      <c r="I356" s="29" t="n">
        <v>43500</v>
      </c>
      <c r="J356" s="29" t="n">
        <v>43500</v>
      </c>
      <c r="K356" s="29" t="n">
        <v>17400</v>
      </c>
      <c r="L356" s="30" t="n">
        <f aca="false">H356-I356</f>
        <v>500</v>
      </c>
      <c r="M356" s="30" t="n">
        <f aca="false">H356-J356</f>
        <v>500</v>
      </c>
      <c r="N356" s="30" t="n">
        <f aca="false">H356-K356</f>
        <v>26600</v>
      </c>
      <c r="O356" s="9" t="s">
        <v>120</v>
      </c>
      <c r="P356" s="9" t="str">
        <f aca="false">IF(H356=0,"Sin PIM",IF(ROUND(K356-H356,2)&gt;=0,"Devengado total",IF(J356&gt;0.005,"Comprometido",IF(I356&gt;0.005,"Solo certificado","Sin certificar"))))</f>
        <v>Comprometido</v>
      </c>
      <c r="Q356" s="30" t="n">
        <v>44000</v>
      </c>
      <c r="R356" s="30" t="n">
        <v>291221</v>
      </c>
      <c r="S356" s="30" t="n">
        <v>0</v>
      </c>
      <c r="T356" s="30" t="n">
        <v>0</v>
      </c>
      <c r="U356" s="9"/>
      <c r="V356" s="9"/>
    </row>
    <row r="357" customFormat="false" ht="43.25" hidden="false" customHeight="false" outlineLevel="0" collapsed="false">
      <c r="A357" s="9" t="s">
        <v>678</v>
      </c>
      <c r="B357" s="9" t="s">
        <v>14</v>
      </c>
      <c r="C357" s="9"/>
      <c r="D357" s="9" t="s">
        <v>66</v>
      </c>
      <c r="E357" s="9" t="s">
        <v>822</v>
      </c>
      <c r="F357" s="9" t="n">
        <v>526</v>
      </c>
      <c r="G357" s="28" t="s">
        <v>823</v>
      </c>
      <c r="H357" s="29" t="n">
        <v>2795</v>
      </c>
      <c r="I357" s="29" t="n">
        <v>2795</v>
      </c>
      <c r="J357" s="29" t="n">
        <v>0</v>
      </c>
      <c r="K357" s="29" t="n">
        <v>0</v>
      </c>
      <c r="L357" s="30" t="n">
        <f aca="false">H357-I357</f>
        <v>0</v>
      </c>
      <c r="M357" s="30" t="n">
        <f aca="false">H357-J357</f>
        <v>2795</v>
      </c>
      <c r="N357" s="30" t="n">
        <f aca="false">H357-K357</f>
        <v>2795</v>
      </c>
      <c r="O357" s="9" t="s">
        <v>120</v>
      </c>
      <c r="P357" s="9" t="str">
        <f aca="false">IF(H357=0,"Sin PIM",IF(ROUND(K357-H357,2)&gt;=0,"Devengado total",IF(J357&gt;0.005,"Comprometido",IF(I357&gt;0.005,"Solo certificado","Sin certificar"))))</f>
        <v>Solo certificado</v>
      </c>
      <c r="Q357" s="30" t="s">
        <v>97</v>
      </c>
      <c r="R357" s="30" t="s">
        <v>97</v>
      </c>
      <c r="S357" s="30" t="s">
        <v>97</v>
      </c>
      <c r="T357" s="30" t="s">
        <v>97</v>
      </c>
      <c r="U357" s="9"/>
      <c r="V357" s="9"/>
    </row>
    <row r="358" customFormat="false" ht="53.7" hidden="false" customHeight="false" outlineLevel="0" collapsed="false">
      <c r="A358" s="9" t="s">
        <v>678</v>
      </c>
      <c r="B358" s="9" t="s">
        <v>14</v>
      </c>
      <c r="C358" s="9"/>
      <c r="D358" s="9" t="s">
        <v>67</v>
      </c>
      <c r="E358" s="9" t="s">
        <v>824</v>
      </c>
      <c r="F358" s="9" t="n">
        <v>368</v>
      </c>
      <c r="G358" s="28" t="s">
        <v>825</v>
      </c>
      <c r="H358" s="29" t="n">
        <v>179500</v>
      </c>
      <c r="I358" s="29" t="n">
        <v>163750</v>
      </c>
      <c r="J358" s="29" t="n">
        <v>3750</v>
      </c>
      <c r="K358" s="29" t="n">
        <v>3750</v>
      </c>
      <c r="L358" s="30" t="n">
        <f aca="false">H358-I358</f>
        <v>15750</v>
      </c>
      <c r="M358" s="30" t="n">
        <f aca="false">H358-J358</f>
        <v>175750</v>
      </c>
      <c r="N358" s="30" t="n">
        <f aca="false">H358-K358</f>
        <v>175750</v>
      </c>
      <c r="O358" s="9" t="s">
        <v>683</v>
      </c>
      <c r="P358" s="9" t="str">
        <f aca="false">IF(H358=0,"Sin PIM",IF(ROUND(K358-H358,2)&gt;=0,"Devengado total",IF(J358&gt;0.005,"Comprometido",IF(I358&gt;0.005,"Solo certificado","Sin certificar"))))</f>
        <v>Comprometido</v>
      </c>
      <c r="Q358" s="30" t="s">
        <v>97</v>
      </c>
      <c r="R358" s="30" t="s">
        <v>97</v>
      </c>
      <c r="S358" s="30" t="s">
        <v>97</v>
      </c>
      <c r="T358" s="30" t="s">
        <v>97</v>
      </c>
      <c r="U358" s="9"/>
      <c r="V358" s="9"/>
    </row>
    <row r="359" customFormat="false" ht="43.25" hidden="false" customHeight="false" outlineLevel="0" collapsed="false">
      <c r="A359" s="9" t="s">
        <v>678</v>
      </c>
      <c r="B359" s="9" t="s">
        <v>14</v>
      </c>
      <c r="C359" s="9"/>
      <c r="D359" s="9" t="s">
        <v>67</v>
      </c>
      <c r="E359" s="9" t="s">
        <v>826</v>
      </c>
      <c r="F359" s="9" t="n">
        <v>375</v>
      </c>
      <c r="G359" s="28" t="s">
        <v>827</v>
      </c>
      <c r="H359" s="29" t="n">
        <v>175166</v>
      </c>
      <c r="I359" s="29" t="n">
        <v>166872</v>
      </c>
      <c r="J359" s="29" t="n">
        <v>160572</v>
      </c>
      <c r="K359" s="29" t="n">
        <v>5872</v>
      </c>
      <c r="L359" s="30" t="n">
        <f aca="false">H359-I359</f>
        <v>8294</v>
      </c>
      <c r="M359" s="30" t="n">
        <f aca="false">H359-J359</f>
        <v>14594</v>
      </c>
      <c r="N359" s="30" t="n">
        <f aca="false">H359-K359</f>
        <v>169294</v>
      </c>
      <c r="O359" s="9" t="s">
        <v>683</v>
      </c>
      <c r="P359" s="9" t="str">
        <f aca="false">IF(H359=0,"Sin PIM",IF(ROUND(K359-H359,2)&gt;=0,"Devengado total",IF(J359&gt;0.005,"Comprometido",IF(I359&gt;0.005,"Solo certificado","Sin certificar"))))</f>
        <v>Comprometido</v>
      </c>
      <c r="Q359" s="30" t="s">
        <v>97</v>
      </c>
      <c r="R359" s="30" t="s">
        <v>97</v>
      </c>
      <c r="S359" s="30" t="s">
        <v>97</v>
      </c>
      <c r="T359" s="30" t="s">
        <v>97</v>
      </c>
      <c r="U359" s="9"/>
      <c r="V359" s="9"/>
    </row>
    <row r="360" customFormat="false" ht="43.25" hidden="false" customHeight="false" outlineLevel="0" collapsed="false">
      <c r="A360" s="9" t="s">
        <v>678</v>
      </c>
      <c r="B360" s="9" t="s">
        <v>14</v>
      </c>
      <c r="C360" s="9"/>
      <c r="D360" s="9" t="s">
        <v>67</v>
      </c>
      <c r="E360" s="9" t="s">
        <v>828</v>
      </c>
      <c r="F360" s="9" t="n">
        <v>417</v>
      </c>
      <c r="G360" s="28" t="s">
        <v>829</v>
      </c>
      <c r="H360" s="29" t="n">
        <v>349792</v>
      </c>
      <c r="I360" s="29" t="n">
        <v>325833.33</v>
      </c>
      <c r="J360" s="29" t="n">
        <v>17000</v>
      </c>
      <c r="K360" s="29" t="n">
        <v>0</v>
      </c>
      <c r="L360" s="30" t="n">
        <f aca="false">H360-I360</f>
        <v>23958.67</v>
      </c>
      <c r="M360" s="30" t="n">
        <f aca="false">H360-J360</f>
        <v>332792</v>
      </c>
      <c r="N360" s="30" t="n">
        <f aca="false">H360-K360</f>
        <v>349792</v>
      </c>
      <c r="O360" s="9" t="s">
        <v>683</v>
      </c>
      <c r="P360" s="9" t="str">
        <f aca="false">IF(H360=0,"Sin PIM",IF(ROUND(K360-H360,2)&gt;=0,"Devengado total",IF(J360&gt;0.005,"Comprometido",IF(I360&gt;0.005,"Solo certificado","Sin certificar"))))</f>
        <v>Comprometido</v>
      </c>
      <c r="Q360" s="30" t="s">
        <v>97</v>
      </c>
      <c r="R360" s="30" t="s">
        <v>97</v>
      </c>
      <c r="S360" s="30" t="s">
        <v>97</v>
      </c>
      <c r="T360" s="30" t="s">
        <v>97</v>
      </c>
      <c r="U360" s="9"/>
      <c r="V360" s="9"/>
    </row>
    <row r="361" customFormat="false" ht="43.25" hidden="false" customHeight="false" outlineLevel="0" collapsed="false">
      <c r="A361" s="9" t="s">
        <v>678</v>
      </c>
      <c r="B361" s="9" t="s">
        <v>14</v>
      </c>
      <c r="C361" s="9"/>
      <c r="D361" s="9" t="s">
        <v>67</v>
      </c>
      <c r="E361" s="9" t="s">
        <v>830</v>
      </c>
      <c r="F361" s="9" t="n">
        <v>474</v>
      </c>
      <c r="G361" s="28" t="s">
        <v>831</v>
      </c>
      <c r="H361" s="29" t="n">
        <v>349668</v>
      </c>
      <c r="I361" s="29" t="n">
        <v>237183.34</v>
      </c>
      <c r="J361" s="29" t="n">
        <v>31350</v>
      </c>
      <c r="K361" s="29" t="n">
        <v>20700</v>
      </c>
      <c r="L361" s="30" t="n">
        <f aca="false">H361-I361</f>
        <v>112484.66</v>
      </c>
      <c r="M361" s="30" t="n">
        <f aca="false">H361-J361</f>
        <v>318318</v>
      </c>
      <c r="N361" s="30" t="n">
        <f aca="false">H361-K361</f>
        <v>328968</v>
      </c>
      <c r="O361" s="9" t="s">
        <v>683</v>
      </c>
      <c r="P361" s="9" t="str">
        <f aca="false">IF(H361=0,"Sin PIM",IF(ROUND(K361-H361,2)&gt;=0,"Devengado total",IF(J361&gt;0.005,"Comprometido",IF(I361&gt;0.005,"Solo certificado","Sin certificar"))))</f>
        <v>Comprometido</v>
      </c>
      <c r="Q361" s="30" t="s">
        <v>97</v>
      </c>
      <c r="R361" s="30" t="s">
        <v>97</v>
      </c>
      <c r="S361" s="30" t="s">
        <v>97</v>
      </c>
      <c r="T361" s="30" t="s">
        <v>97</v>
      </c>
      <c r="U361" s="9"/>
      <c r="V361" s="9"/>
    </row>
    <row r="362" customFormat="false" ht="53.7" hidden="false" customHeight="false" outlineLevel="0" collapsed="false">
      <c r="A362" s="9" t="s">
        <v>678</v>
      </c>
      <c r="B362" s="9" t="s">
        <v>14</v>
      </c>
      <c r="C362" s="9"/>
      <c r="D362" s="9" t="s">
        <v>68</v>
      </c>
      <c r="E362" s="9" t="s">
        <v>832</v>
      </c>
      <c r="F362" s="9" t="n">
        <v>356</v>
      </c>
      <c r="G362" s="28" t="s">
        <v>833</v>
      </c>
      <c r="H362" s="29" t="n">
        <v>5365</v>
      </c>
      <c r="I362" s="29" t="n">
        <v>5364</v>
      </c>
      <c r="J362" s="29" t="n">
        <v>5364</v>
      </c>
      <c r="K362" s="29" t="n">
        <v>5364</v>
      </c>
      <c r="L362" s="30" t="n">
        <f aca="false">H362-I362</f>
        <v>1</v>
      </c>
      <c r="M362" s="30" t="n">
        <f aca="false">H362-J362</f>
        <v>1</v>
      </c>
      <c r="N362" s="30" t="n">
        <f aca="false">H362-K362</f>
        <v>1</v>
      </c>
      <c r="O362" s="9" t="s">
        <v>120</v>
      </c>
      <c r="P362" s="9" t="str">
        <f aca="false">IF(H362=0,"Sin PIM",IF(ROUND(K362-H362,2)&gt;=0,"Devengado total",IF(J362&gt;0.005,"Comprometido",IF(I362&gt;0.005,"Solo certificado","Sin certificar"))))</f>
        <v>Comprometido</v>
      </c>
      <c r="Q362" s="30" t="s">
        <v>97</v>
      </c>
      <c r="R362" s="30" t="s">
        <v>97</v>
      </c>
      <c r="S362" s="30" t="s">
        <v>97</v>
      </c>
      <c r="T362" s="30" t="s">
        <v>97</v>
      </c>
      <c r="U362" s="9"/>
      <c r="V362" s="9"/>
    </row>
    <row r="363" customFormat="false" ht="32.8" hidden="false" customHeight="false" outlineLevel="0" collapsed="false">
      <c r="A363" s="9" t="s">
        <v>678</v>
      </c>
      <c r="B363" s="9" t="s">
        <v>14</v>
      </c>
      <c r="C363" s="9"/>
      <c r="D363" s="9" t="s">
        <v>68</v>
      </c>
      <c r="E363" s="9" t="s">
        <v>834</v>
      </c>
      <c r="F363" s="9" t="n">
        <v>374</v>
      </c>
      <c r="G363" s="28" t="s">
        <v>835</v>
      </c>
      <c r="H363" s="29" t="n">
        <v>335890</v>
      </c>
      <c r="I363" s="29" t="n">
        <v>314900</v>
      </c>
      <c r="J363" s="29" t="n">
        <v>313880</v>
      </c>
      <c r="K363" s="29" t="n">
        <v>0</v>
      </c>
      <c r="L363" s="30" t="n">
        <f aca="false">H363-I363</f>
        <v>20990</v>
      </c>
      <c r="M363" s="30" t="n">
        <f aca="false">H363-J363</f>
        <v>22010</v>
      </c>
      <c r="N363" s="30" t="n">
        <f aca="false">H363-K363</f>
        <v>335890</v>
      </c>
      <c r="O363" s="9" t="s">
        <v>683</v>
      </c>
      <c r="P363" s="9" t="str">
        <f aca="false">IF(H363=0,"Sin PIM",IF(ROUND(K363-H363,2)&gt;=0,"Devengado total",IF(J363&gt;0.005,"Comprometido",IF(I363&gt;0.005,"Solo certificado","Sin certificar"))))</f>
        <v>Comprometido</v>
      </c>
      <c r="Q363" s="30" t="s">
        <v>97</v>
      </c>
      <c r="R363" s="30" t="s">
        <v>97</v>
      </c>
      <c r="S363" s="30" t="s">
        <v>97</v>
      </c>
      <c r="T363" s="30" t="s">
        <v>97</v>
      </c>
      <c r="U363" s="9"/>
      <c r="V363" s="9"/>
    </row>
    <row r="364" customFormat="false" ht="43.25" hidden="false" customHeight="false" outlineLevel="0" collapsed="false">
      <c r="A364" s="9" t="s">
        <v>678</v>
      </c>
      <c r="B364" s="9" t="s">
        <v>14</v>
      </c>
      <c r="C364" s="9"/>
      <c r="D364" s="9" t="s">
        <v>68</v>
      </c>
      <c r="E364" s="9" t="s">
        <v>836</v>
      </c>
      <c r="F364" s="9" t="n">
        <v>377</v>
      </c>
      <c r="G364" s="28" t="s">
        <v>837</v>
      </c>
      <c r="H364" s="29" t="n">
        <v>157066</v>
      </c>
      <c r="I364" s="29" t="n">
        <v>157066</v>
      </c>
      <c r="J364" s="29" t="n">
        <v>157066</v>
      </c>
      <c r="K364" s="29" t="n">
        <v>157066</v>
      </c>
      <c r="L364" s="30" t="n">
        <f aca="false">H364-I364</f>
        <v>0</v>
      </c>
      <c r="M364" s="30" t="n">
        <f aca="false">H364-J364</f>
        <v>0</v>
      </c>
      <c r="N364" s="30" t="n">
        <f aca="false">H364-K364</f>
        <v>0</v>
      </c>
      <c r="O364" s="9" t="s">
        <v>683</v>
      </c>
      <c r="P364" s="9" t="str">
        <f aca="false">IF(H364=0,"Sin PIM",IF(ROUND(K364-H364,2)&gt;=0,"Devengado total",IF(J364&gt;0.005,"Comprometido",IF(I364&gt;0.005,"Solo certificado","Sin certificar"))))</f>
        <v>Devengado total</v>
      </c>
      <c r="Q364" s="30" t="s">
        <v>97</v>
      </c>
      <c r="R364" s="30" t="s">
        <v>97</v>
      </c>
      <c r="S364" s="30" t="s">
        <v>97</v>
      </c>
      <c r="T364" s="30" t="s">
        <v>97</v>
      </c>
      <c r="U364" s="9"/>
      <c r="V364" s="9"/>
    </row>
    <row r="365" customFormat="false" ht="43.25" hidden="false" customHeight="false" outlineLevel="0" collapsed="false">
      <c r="A365" s="9" t="s">
        <v>678</v>
      </c>
      <c r="B365" s="9" t="s">
        <v>14</v>
      </c>
      <c r="C365" s="9"/>
      <c r="D365" s="9" t="s">
        <v>68</v>
      </c>
      <c r="E365" s="9" t="s">
        <v>838</v>
      </c>
      <c r="F365" s="9" t="n">
        <v>386</v>
      </c>
      <c r="G365" s="28" t="s">
        <v>839</v>
      </c>
      <c r="H365" s="29" t="n">
        <v>159345</v>
      </c>
      <c r="I365" s="29" t="n">
        <v>150543</v>
      </c>
      <c r="J365" s="29" t="n">
        <v>150263</v>
      </c>
      <c r="K365" s="29" t="n">
        <v>150263</v>
      </c>
      <c r="L365" s="30" t="n">
        <f aca="false">H365-I365</f>
        <v>8802</v>
      </c>
      <c r="M365" s="30" t="n">
        <f aca="false">H365-J365</f>
        <v>9082</v>
      </c>
      <c r="N365" s="30" t="n">
        <f aca="false">H365-K365</f>
        <v>9082</v>
      </c>
      <c r="O365" s="9" t="s">
        <v>683</v>
      </c>
      <c r="P365" s="9" t="str">
        <f aca="false">IF(H365=0,"Sin PIM",IF(ROUND(K365-H365,2)&gt;=0,"Devengado total",IF(J365&gt;0.005,"Comprometido",IF(I365&gt;0.005,"Solo certificado","Sin certificar"))))</f>
        <v>Comprometido</v>
      </c>
      <c r="Q365" s="30" t="s">
        <v>97</v>
      </c>
      <c r="R365" s="30" t="s">
        <v>97</v>
      </c>
      <c r="S365" s="30" t="s">
        <v>97</v>
      </c>
      <c r="T365" s="30" t="s">
        <v>97</v>
      </c>
      <c r="U365" s="9"/>
      <c r="V365" s="9"/>
    </row>
    <row r="366" customFormat="false" ht="43.25" hidden="false" customHeight="false" outlineLevel="0" collapsed="false">
      <c r="A366" s="9" t="s">
        <v>678</v>
      </c>
      <c r="B366" s="9" t="s">
        <v>14</v>
      </c>
      <c r="C366" s="9"/>
      <c r="D366" s="9" t="s">
        <v>68</v>
      </c>
      <c r="E366" s="9" t="s">
        <v>840</v>
      </c>
      <c r="F366" s="9" t="n">
        <v>473</v>
      </c>
      <c r="G366" s="28" t="s">
        <v>841</v>
      </c>
      <c r="H366" s="29" t="n">
        <v>160000</v>
      </c>
      <c r="I366" s="29" t="n">
        <v>145797</v>
      </c>
      <c r="J366" s="29" t="n">
        <v>145797</v>
      </c>
      <c r="K366" s="29" t="n">
        <v>139797</v>
      </c>
      <c r="L366" s="30" t="n">
        <f aca="false">H366-I366</f>
        <v>14203</v>
      </c>
      <c r="M366" s="30" t="n">
        <f aca="false">H366-J366</f>
        <v>14203</v>
      </c>
      <c r="N366" s="30" t="n">
        <f aca="false">H366-K366</f>
        <v>20203</v>
      </c>
      <c r="O366" s="9" t="s">
        <v>683</v>
      </c>
      <c r="P366" s="9" t="str">
        <f aca="false">IF(H366=0,"Sin PIM",IF(ROUND(K366-H366,2)&gt;=0,"Devengado total",IF(J366&gt;0.005,"Comprometido",IF(I366&gt;0.005,"Solo certificado","Sin certificar"))))</f>
        <v>Comprometido</v>
      </c>
      <c r="Q366" s="30" t="s">
        <v>97</v>
      </c>
      <c r="R366" s="30" t="s">
        <v>97</v>
      </c>
      <c r="S366" s="30" t="s">
        <v>97</v>
      </c>
      <c r="T366" s="30" t="s">
        <v>97</v>
      </c>
      <c r="U366" s="9"/>
      <c r="V366" s="9"/>
    </row>
    <row r="367" customFormat="false" ht="43.25" hidden="false" customHeight="false" outlineLevel="0" collapsed="false">
      <c r="A367" s="9" t="s">
        <v>678</v>
      </c>
      <c r="B367" s="9" t="s">
        <v>14</v>
      </c>
      <c r="C367" s="9"/>
      <c r="D367" s="9" t="s">
        <v>68</v>
      </c>
      <c r="E367" s="9" t="s">
        <v>842</v>
      </c>
      <c r="F367" s="9" t="n">
        <v>476</v>
      </c>
      <c r="G367" s="28" t="s">
        <v>843</v>
      </c>
      <c r="H367" s="29" t="n">
        <v>141150</v>
      </c>
      <c r="I367" s="29" t="n">
        <v>115290</v>
      </c>
      <c r="J367" s="29" t="n">
        <v>29390</v>
      </c>
      <c r="K367" s="29" t="n">
        <v>0</v>
      </c>
      <c r="L367" s="30" t="n">
        <f aca="false">H367-I367</f>
        <v>25860</v>
      </c>
      <c r="M367" s="30" t="n">
        <f aca="false">H367-J367</f>
        <v>111760</v>
      </c>
      <c r="N367" s="30" t="n">
        <f aca="false">H367-K367</f>
        <v>141150</v>
      </c>
      <c r="O367" s="9" t="s">
        <v>683</v>
      </c>
      <c r="P367" s="9" t="str">
        <f aca="false">IF(H367=0,"Sin PIM",IF(ROUND(K367-H367,2)&gt;=0,"Devengado total",IF(J367&gt;0.005,"Comprometido",IF(I367&gt;0.005,"Solo certificado","Sin certificar"))))</f>
        <v>Comprometido</v>
      </c>
      <c r="Q367" s="30" t="s">
        <v>97</v>
      </c>
      <c r="R367" s="30" t="s">
        <v>97</v>
      </c>
      <c r="S367" s="30" t="s">
        <v>97</v>
      </c>
      <c r="T367" s="30" t="s">
        <v>97</v>
      </c>
      <c r="U367" s="9"/>
      <c r="V367" s="9"/>
    </row>
    <row r="368" customFormat="false" ht="53.7" hidden="false" customHeight="false" outlineLevel="0" collapsed="false">
      <c r="A368" s="9" t="s">
        <v>678</v>
      </c>
      <c r="B368" s="9" t="s">
        <v>14</v>
      </c>
      <c r="C368" s="9"/>
      <c r="D368" s="9" t="s">
        <v>68</v>
      </c>
      <c r="E368" s="9" t="s">
        <v>844</v>
      </c>
      <c r="F368" s="9" t="n">
        <v>477</v>
      </c>
      <c r="G368" s="28" t="s">
        <v>845</v>
      </c>
      <c r="H368" s="29" t="n">
        <v>350000</v>
      </c>
      <c r="I368" s="29" t="n">
        <v>320120</v>
      </c>
      <c r="J368" s="29" t="n">
        <v>86120</v>
      </c>
      <c r="K368" s="29" t="n">
        <v>86120</v>
      </c>
      <c r="L368" s="30" t="n">
        <f aca="false">H368-I368</f>
        <v>29880</v>
      </c>
      <c r="M368" s="30" t="n">
        <f aca="false">H368-J368</f>
        <v>263880</v>
      </c>
      <c r="N368" s="30" t="n">
        <f aca="false">H368-K368</f>
        <v>263880</v>
      </c>
      <c r="O368" s="9" t="s">
        <v>683</v>
      </c>
      <c r="P368" s="9" t="str">
        <f aca="false">IF(H368=0,"Sin PIM",IF(ROUND(K368-H368,2)&gt;=0,"Devengado total",IF(J368&gt;0.005,"Comprometido",IF(I368&gt;0.005,"Solo certificado","Sin certificar"))))</f>
        <v>Comprometido</v>
      </c>
      <c r="Q368" s="30" t="s">
        <v>97</v>
      </c>
      <c r="R368" s="30" t="s">
        <v>97</v>
      </c>
      <c r="S368" s="30" t="s">
        <v>97</v>
      </c>
      <c r="T368" s="30" t="s">
        <v>97</v>
      </c>
      <c r="U368" s="9"/>
      <c r="V368" s="9"/>
    </row>
    <row r="369" customFormat="false" ht="53.7" hidden="false" customHeight="false" outlineLevel="0" collapsed="false">
      <c r="A369" s="9" t="s">
        <v>678</v>
      </c>
      <c r="B369" s="9" t="s">
        <v>15</v>
      </c>
      <c r="C369" s="9"/>
      <c r="D369" s="9" t="s">
        <v>69</v>
      </c>
      <c r="E369" s="9" t="s">
        <v>846</v>
      </c>
      <c r="F369" s="9" t="n">
        <v>4</v>
      </c>
      <c r="G369" s="28" t="s">
        <v>847</v>
      </c>
      <c r="H369" s="29" t="n">
        <v>10918999</v>
      </c>
      <c r="I369" s="29" t="n">
        <v>10451686.22</v>
      </c>
      <c r="J369" s="29" t="n">
        <v>10451102.89</v>
      </c>
      <c r="K369" s="29" t="n">
        <v>5853517.84</v>
      </c>
      <c r="L369" s="30" t="n">
        <f aca="false">H369-I369</f>
        <v>467312.779999999</v>
      </c>
      <c r="M369" s="30" t="n">
        <f aca="false">H369-J369</f>
        <v>467896.109999999</v>
      </c>
      <c r="N369" s="30" t="n">
        <f aca="false">H369-K369</f>
        <v>5065481.16</v>
      </c>
      <c r="O369" s="9" t="s">
        <v>100</v>
      </c>
      <c r="P369" s="9" t="str">
        <f aca="false">IF(H369=0,"Sin PIM",IF(ROUND(K369-H369,2)&gt;=0,"Devengado total",IF(J369&gt;0.005,"Comprometido",IF(I369&gt;0.005,"Solo certificado","Sin certificar"))))</f>
        <v>Comprometido</v>
      </c>
      <c r="Q369" s="30" t="n">
        <v>10517000</v>
      </c>
      <c r="R369" s="30" t="n">
        <v>7783178</v>
      </c>
      <c r="S369" s="30" t="n">
        <v>1598000</v>
      </c>
      <c r="T369" s="30" t="n">
        <v>2000000</v>
      </c>
      <c r="U369" s="9"/>
      <c r="V369" s="9"/>
    </row>
    <row r="370" customFormat="false" ht="53.7" hidden="false" customHeight="false" outlineLevel="0" collapsed="false">
      <c r="A370" s="9" t="s">
        <v>678</v>
      </c>
      <c r="B370" s="9" t="s">
        <v>15</v>
      </c>
      <c r="C370" s="9"/>
      <c r="D370" s="9" t="s">
        <v>69</v>
      </c>
      <c r="E370" s="9" t="s">
        <v>848</v>
      </c>
      <c r="F370" s="9" t="n">
        <v>6</v>
      </c>
      <c r="G370" s="28" t="s">
        <v>849</v>
      </c>
      <c r="H370" s="29" t="n">
        <v>19658</v>
      </c>
      <c r="I370" s="29" t="n">
        <v>3612</v>
      </c>
      <c r="J370" s="29" t="n">
        <v>0</v>
      </c>
      <c r="K370" s="29" t="n">
        <v>0</v>
      </c>
      <c r="L370" s="30" t="n">
        <f aca="false">H370-I370</f>
        <v>16046</v>
      </c>
      <c r="M370" s="30" t="n">
        <f aca="false">H370-J370</f>
        <v>19658</v>
      </c>
      <c r="N370" s="30" t="n">
        <f aca="false">H370-K370</f>
        <v>19658</v>
      </c>
      <c r="O370" s="9" t="s">
        <v>133</v>
      </c>
      <c r="P370" s="9" t="str">
        <f aca="false">IF(H370=0,"Sin PIM",IF(ROUND(K370-H370,2)&gt;=0,"Devengado total",IF(J370&gt;0.005,"Comprometido",IF(I370&gt;0.005,"Solo certificado","Sin certificar"))))</f>
        <v>Solo certificado</v>
      </c>
      <c r="Q370" s="30" t="n">
        <v>200000</v>
      </c>
      <c r="R370" s="30" t="n">
        <v>2915452</v>
      </c>
      <c r="S370" s="30" t="n">
        <v>2124684</v>
      </c>
      <c r="T370" s="30" t="n">
        <v>2000000</v>
      </c>
      <c r="U370" s="9"/>
      <c r="V370" s="9"/>
    </row>
    <row r="371" customFormat="false" ht="53.7" hidden="false" customHeight="false" outlineLevel="0" collapsed="false">
      <c r="A371" s="9" t="s">
        <v>678</v>
      </c>
      <c r="B371" s="9" t="s">
        <v>15</v>
      </c>
      <c r="C371" s="9"/>
      <c r="D371" s="9" t="s">
        <v>69</v>
      </c>
      <c r="E371" s="9" t="s">
        <v>850</v>
      </c>
      <c r="F371" s="9" t="n">
        <v>303</v>
      </c>
      <c r="G371" s="28" t="s">
        <v>851</v>
      </c>
      <c r="H371" s="29" t="n">
        <v>5182053</v>
      </c>
      <c r="I371" s="29" t="n">
        <v>4958489.89</v>
      </c>
      <c r="J371" s="29" t="n">
        <v>4603899.89</v>
      </c>
      <c r="K371" s="29" t="n">
        <v>2773279.98</v>
      </c>
      <c r="L371" s="30" t="n">
        <f aca="false">H371-I371</f>
        <v>223563.109999999</v>
      </c>
      <c r="M371" s="30" t="n">
        <f aca="false">H371-J371</f>
        <v>578153.109999999</v>
      </c>
      <c r="N371" s="30" t="n">
        <f aca="false">H371-K371</f>
        <v>2408773.02</v>
      </c>
      <c r="O371" s="9" t="s">
        <v>100</v>
      </c>
      <c r="P371" s="9" t="str">
        <f aca="false">IF(H371=0,"Sin PIM",IF(ROUND(K371-H371,2)&gt;=0,"Devengado total",IF(J371&gt;0.005,"Comprometido",IF(I371&gt;0.005,"Solo certificado","Sin certificar"))))</f>
        <v>Comprometido</v>
      </c>
      <c r="Q371" s="30" t="n">
        <v>409040</v>
      </c>
      <c r="R371" s="30" t="n">
        <v>29865</v>
      </c>
      <c r="S371" s="30" t="n">
        <v>0</v>
      </c>
      <c r="T371" s="30" t="n">
        <v>0</v>
      </c>
      <c r="U371" s="9"/>
      <c r="V371" s="9"/>
    </row>
    <row r="372" customFormat="false" ht="32.8" hidden="false" customHeight="false" outlineLevel="0" collapsed="false">
      <c r="A372" s="9" t="s">
        <v>678</v>
      </c>
      <c r="B372" s="9" t="s">
        <v>15</v>
      </c>
      <c r="C372" s="9"/>
      <c r="D372" s="9" t="s">
        <v>66</v>
      </c>
      <c r="E372" s="9" t="s">
        <v>852</v>
      </c>
      <c r="F372" s="9" t="n">
        <v>5</v>
      </c>
      <c r="G372" s="28" t="s">
        <v>853</v>
      </c>
      <c r="H372" s="29" t="n">
        <v>1800000</v>
      </c>
      <c r="I372" s="29" t="n">
        <v>26893</v>
      </c>
      <c r="J372" s="29" t="n">
        <v>26893</v>
      </c>
      <c r="K372" s="29" t="n">
        <v>26892.69</v>
      </c>
      <c r="L372" s="30" t="n">
        <f aca="false">H372-I372</f>
        <v>1773107</v>
      </c>
      <c r="M372" s="30" t="n">
        <f aca="false">H372-J372</f>
        <v>1773107</v>
      </c>
      <c r="N372" s="30" t="n">
        <f aca="false">H372-K372</f>
        <v>1773107.31</v>
      </c>
      <c r="O372" s="9" t="s">
        <v>854</v>
      </c>
      <c r="P372" s="9" t="str">
        <f aca="false">IF(H372=0,"Sin PIM",IF(ROUND(K372-H372,2)&gt;=0,"Devengado total",IF(J372&gt;0.005,"Comprometido",IF(I372&gt;0.005,"Solo certificado","Sin certificar"))))</f>
        <v>Comprometido</v>
      </c>
      <c r="Q372" s="30" t="n">
        <v>300000</v>
      </c>
      <c r="R372" s="30" t="n">
        <v>4508196</v>
      </c>
      <c r="S372" s="30" t="n">
        <v>5000000</v>
      </c>
      <c r="T372" s="30" t="n">
        <v>1000000</v>
      </c>
      <c r="U372" s="9"/>
      <c r="V372" s="9"/>
    </row>
    <row r="373" customFormat="false" ht="53.7" hidden="false" customHeight="false" outlineLevel="0" collapsed="false">
      <c r="A373" s="9" t="s">
        <v>678</v>
      </c>
      <c r="B373" s="9" t="s">
        <v>15</v>
      </c>
      <c r="C373" s="9"/>
      <c r="D373" s="9" t="s">
        <v>62</v>
      </c>
      <c r="E373" s="9" t="s">
        <v>855</v>
      </c>
      <c r="F373" s="9" t="n">
        <v>7</v>
      </c>
      <c r="G373" s="28" t="s">
        <v>856</v>
      </c>
      <c r="H373" s="29" t="n">
        <v>32099</v>
      </c>
      <c r="I373" s="29" t="n">
        <v>0</v>
      </c>
      <c r="J373" s="29" t="n">
        <v>0</v>
      </c>
      <c r="K373" s="29" t="n">
        <v>0</v>
      </c>
      <c r="L373" s="30" t="n">
        <f aca="false">H373-I373</f>
        <v>32099</v>
      </c>
      <c r="M373" s="30" t="n">
        <f aca="false">H373-J373</f>
        <v>32099</v>
      </c>
      <c r="N373" s="30" t="n">
        <f aca="false">H373-K373</f>
        <v>32099</v>
      </c>
      <c r="O373" s="9" t="s">
        <v>120</v>
      </c>
      <c r="P373" s="9" t="str">
        <f aca="false">IF(H373=0,"Sin PIM",IF(ROUND(K373-H373,2)&gt;=0,"Devengado total",IF(J373&gt;0.005,"Comprometido",IF(I373&gt;0.005,"Solo certificado","Sin certificar"))))</f>
        <v>Sin certificar</v>
      </c>
      <c r="Q373" s="30" t="n">
        <v>500000</v>
      </c>
      <c r="R373" s="30" t="n">
        <v>0</v>
      </c>
      <c r="S373" s="30" t="n">
        <v>0</v>
      </c>
      <c r="T373" s="30" t="n">
        <v>0</v>
      </c>
      <c r="U373" s="9"/>
      <c r="V373" s="9"/>
    </row>
    <row r="374" customFormat="false" ht="53.7" hidden="false" customHeight="false" outlineLevel="0" collapsed="false">
      <c r="A374" s="9" t="s">
        <v>678</v>
      </c>
      <c r="B374" s="9" t="s">
        <v>15</v>
      </c>
      <c r="C374" s="9"/>
      <c r="D374" s="9" t="s">
        <v>62</v>
      </c>
      <c r="E374" s="9" t="s">
        <v>857</v>
      </c>
      <c r="F374" s="9" t="n">
        <v>152</v>
      </c>
      <c r="G374" s="28" t="s">
        <v>858</v>
      </c>
      <c r="H374" s="29" t="n">
        <v>30000</v>
      </c>
      <c r="I374" s="29" t="n">
        <v>23434</v>
      </c>
      <c r="J374" s="29" t="n">
        <v>23434</v>
      </c>
      <c r="K374" s="29" t="n">
        <v>13106.35</v>
      </c>
      <c r="L374" s="30" t="n">
        <f aca="false">H374-I374</f>
        <v>6566</v>
      </c>
      <c r="M374" s="30" t="n">
        <f aca="false">H374-J374</f>
        <v>6566</v>
      </c>
      <c r="N374" s="30" t="n">
        <f aca="false">H374-K374</f>
        <v>16893.65</v>
      </c>
      <c r="O374" s="9" t="s">
        <v>114</v>
      </c>
      <c r="P374" s="9" t="str">
        <f aca="false">IF(H374=0,"Sin PIM",IF(ROUND(K374-H374,2)&gt;=0,"Devengado total",IF(J374&gt;0.005,"Comprometido",IF(I374&gt;0.005,"Solo certificado","Sin certificar"))))</f>
        <v>Comprometido</v>
      </c>
      <c r="Q374" s="30" t="n">
        <v>2080646</v>
      </c>
      <c r="R374" s="30" t="n">
        <v>70728</v>
      </c>
      <c r="S374" s="30" t="n">
        <v>300000</v>
      </c>
      <c r="T374" s="30" t="n">
        <v>300000</v>
      </c>
      <c r="U374" s="9"/>
      <c r="V374" s="9"/>
    </row>
    <row r="375" customFormat="false" ht="32.8" hidden="false" customHeight="false" outlineLevel="0" collapsed="false">
      <c r="A375" s="9" t="s">
        <v>678</v>
      </c>
      <c r="B375" s="9" t="s">
        <v>15</v>
      </c>
      <c r="C375" s="9"/>
      <c r="D375" s="9" t="s">
        <v>62</v>
      </c>
      <c r="E375" s="9" t="s">
        <v>859</v>
      </c>
      <c r="F375" s="9" t="n">
        <v>154</v>
      </c>
      <c r="G375" s="28" t="s">
        <v>860</v>
      </c>
      <c r="H375" s="29" t="n">
        <v>90586</v>
      </c>
      <c r="I375" s="29" t="n">
        <v>90435.2</v>
      </c>
      <c r="J375" s="29" t="n">
        <v>90256.6</v>
      </c>
      <c r="K375" s="29" t="n">
        <v>78301.6</v>
      </c>
      <c r="L375" s="30" t="n">
        <f aca="false">H375-I375</f>
        <v>150.800000000003</v>
      </c>
      <c r="M375" s="30" t="n">
        <f aca="false">H375-J375</f>
        <v>329.399999999994</v>
      </c>
      <c r="N375" s="30" t="n">
        <f aca="false">H375-K375</f>
        <v>12284.4</v>
      </c>
      <c r="O375" s="9" t="s">
        <v>133</v>
      </c>
      <c r="P375" s="9" t="str">
        <f aca="false">IF(H375=0,"Sin PIM",IF(ROUND(K375-H375,2)&gt;=0,"Devengado total",IF(J375&gt;0.005,"Comprometido",IF(I375&gt;0.005,"Solo certificado","Sin certificar"))))</f>
        <v>Comprometido</v>
      </c>
      <c r="Q375" s="30" t="n">
        <v>100000</v>
      </c>
      <c r="R375" s="30" t="n">
        <v>0</v>
      </c>
      <c r="S375" s="30" t="n">
        <v>2000000</v>
      </c>
      <c r="T375" s="30" t="n">
        <v>2000000</v>
      </c>
      <c r="U375" s="9"/>
      <c r="V375" s="9"/>
    </row>
    <row r="376" customFormat="false" ht="43.25" hidden="false" customHeight="false" outlineLevel="0" collapsed="false">
      <c r="A376" s="9" t="s">
        <v>678</v>
      </c>
      <c r="B376" s="9" t="s">
        <v>15</v>
      </c>
      <c r="C376" s="9"/>
      <c r="D376" s="9" t="s">
        <v>62</v>
      </c>
      <c r="E376" s="9" t="s">
        <v>861</v>
      </c>
      <c r="F376" s="9" t="n">
        <v>250</v>
      </c>
      <c r="G376" s="28" t="s">
        <v>862</v>
      </c>
      <c r="H376" s="29" t="n">
        <v>0</v>
      </c>
      <c r="I376" s="29" t="n">
        <v>0</v>
      </c>
      <c r="J376" s="29" t="n">
        <v>0</v>
      </c>
      <c r="K376" s="29" t="n">
        <v>0</v>
      </c>
      <c r="L376" s="30" t="n">
        <f aca="false">H376-I376</f>
        <v>0</v>
      </c>
      <c r="M376" s="30" t="n">
        <f aca="false">H376-J376</f>
        <v>0</v>
      </c>
      <c r="N376" s="30" t="n">
        <f aca="false">H376-K376</f>
        <v>0</v>
      </c>
      <c r="O376" s="9" t="s">
        <v>120</v>
      </c>
      <c r="P376" s="9" t="str">
        <f aca="false">IF(H376=0,"Sin PIM",IF(ROUND(K376-H376,2)&gt;=0,"Devengado total",IF(J376&gt;0.005,"Comprometido",IF(I376&gt;0.005,"Solo certificado","Sin certificar"))))</f>
        <v>Sin PIM</v>
      </c>
      <c r="Q376" s="30" t="n">
        <v>800000</v>
      </c>
      <c r="R376" s="30" t="n">
        <v>0</v>
      </c>
      <c r="S376" s="30" t="n">
        <v>0</v>
      </c>
      <c r="T376" s="30" t="n">
        <v>0</v>
      </c>
      <c r="U376" s="9"/>
      <c r="V376" s="9"/>
    </row>
    <row r="377" customFormat="false" ht="43.25" hidden="false" customHeight="false" outlineLevel="0" collapsed="false">
      <c r="A377" s="9" t="s">
        <v>678</v>
      </c>
      <c r="B377" s="9" t="s">
        <v>15</v>
      </c>
      <c r="C377" s="9"/>
      <c r="D377" s="9" t="s">
        <v>62</v>
      </c>
      <c r="E377" s="9" t="s">
        <v>863</v>
      </c>
      <c r="F377" s="9" t="n">
        <v>253</v>
      </c>
      <c r="G377" s="28" t="s">
        <v>864</v>
      </c>
      <c r="H377" s="29" t="n">
        <v>0</v>
      </c>
      <c r="I377" s="29" t="n">
        <v>0</v>
      </c>
      <c r="J377" s="29" t="n">
        <v>0</v>
      </c>
      <c r="K377" s="29" t="n">
        <v>0</v>
      </c>
      <c r="L377" s="30" t="n">
        <f aca="false">H377-I377</f>
        <v>0</v>
      </c>
      <c r="M377" s="30" t="n">
        <f aca="false">H377-J377</f>
        <v>0</v>
      </c>
      <c r="N377" s="30" t="n">
        <f aca="false">H377-K377</f>
        <v>0</v>
      </c>
      <c r="O377" s="9" t="s">
        <v>207</v>
      </c>
      <c r="P377" s="9" t="str">
        <f aca="false">IF(H377=0,"Sin PIM",IF(ROUND(K377-H377,2)&gt;=0,"Devengado total",IF(J377&gt;0.005,"Comprometido",IF(I377&gt;0.005,"Solo certificado","Sin certificar"))))</f>
        <v>Sin PIM</v>
      </c>
      <c r="Q377" s="30" t="n">
        <v>200000</v>
      </c>
      <c r="R377" s="30" t="n">
        <v>0</v>
      </c>
      <c r="S377" s="30" t="n">
        <v>0</v>
      </c>
      <c r="T377" s="30" t="n">
        <v>0</v>
      </c>
      <c r="U377" s="9"/>
      <c r="V377" s="9"/>
    </row>
    <row r="378" customFormat="false" ht="22.35" hidden="false" customHeight="false" outlineLevel="0" collapsed="false">
      <c r="A378" s="9" t="s">
        <v>678</v>
      </c>
      <c r="B378" s="9" t="s">
        <v>15</v>
      </c>
      <c r="C378" s="9"/>
      <c r="D378" s="9" t="s">
        <v>62</v>
      </c>
      <c r="E378" s="9" t="s">
        <v>865</v>
      </c>
      <c r="F378" s="9" t="n">
        <v>465</v>
      </c>
      <c r="G378" s="28" t="s">
        <v>866</v>
      </c>
      <c r="H378" s="29" t="n">
        <v>70632</v>
      </c>
      <c r="I378" s="29" t="n">
        <v>12544</v>
      </c>
      <c r="J378" s="29" t="n">
        <v>12544</v>
      </c>
      <c r="K378" s="29" t="n">
        <v>12544</v>
      </c>
      <c r="L378" s="30" t="n">
        <f aca="false">H378-I378</f>
        <v>58088</v>
      </c>
      <c r="M378" s="30" t="n">
        <f aca="false">H378-J378</f>
        <v>58088</v>
      </c>
      <c r="N378" s="30" t="n">
        <f aca="false">H378-K378</f>
        <v>58088</v>
      </c>
      <c r="O378" s="9" t="s">
        <v>114</v>
      </c>
      <c r="P378" s="9" t="str">
        <f aca="false">IF(H378=0,"Sin PIM",IF(ROUND(K378-H378,2)&gt;=0,"Devengado total",IF(J378&gt;0.005,"Comprometido",IF(I378&gt;0.005,"Solo certificado","Sin certificar"))))</f>
        <v>Comprometido</v>
      </c>
      <c r="Q378" s="30" t="n">
        <v>70632</v>
      </c>
      <c r="R378" s="30" t="n">
        <v>0</v>
      </c>
      <c r="S378" s="30" t="n">
        <v>0</v>
      </c>
      <c r="T378" s="30" t="n">
        <v>0</v>
      </c>
      <c r="U378" s="9"/>
      <c r="V378" s="9"/>
    </row>
    <row r="379" customFormat="false" ht="32.8" hidden="false" customHeight="false" outlineLevel="0" collapsed="false">
      <c r="A379" s="9" t="s">
        <v>678</v>
      </c>
      <c r="B379" s="9" t="s">
        <v>15</v>
      </c>
      <c r="C379" s="9"/>
      <c r="D379" s="9" t="s">
        <v>62</v>
      </c>
      <c r="E379" s="9" t="s">
        <v>867</v>
      </c>
      <c r="F379" s="9" t="n">
        <v>471</v>
      </c>
      <c r="G379" s="28" t="s">
        <v>868</v>
      </c>
      <c r="H379" s="29" t="n">
        <v>11000</v>
      </c>
      <c r="I379" s="29" t="n">
        <v>11000</v>
      </c>
      <c r="J379" s="29" t="n">
        <v>0</v>
      </c>
      <c r="K379" s="29" t="n">
        <v>0</v>
      </c>
      <c r="L379" s="30" t="n">
        <f aca="false">H379-I379</f>
        <v>0</v>
      </c>
      <c r="M379" s="30" t="n">
        <f aca="false">H379-J379</f>
        <v>11000</v>
      </c>
      <c r="N379" s="30" t="n">
        <f aca="false">H379-K379</f>
        <v>11000</v>
      </c>
      <c r="O379" s="9" t="s">
        <v>371</v>
      </c>
      <c r="P379" s="9" t="str">
        <f aca="false">IF(H379=0,"Sin PIM",IF(ROUND(K379-H379,2)&gt;=0,"Devengado total",IF(J379&gt;0.005,"Comprometido",IF(I379&gt;0.005,"Solo certificado","Sin certificar"))))</f>
        <v>Solo certificado</v>
      </c>
      <c r="Q379" s="30" t="n">
        <v>11000</v>
      </c>
      <c r="R379" s="30" t="n">
        <v>164792</v>
      </c>
      <c r="S379" s="30" t="n">
        <v>9322563</v>
      </c>
      <c r="T379" s="30" t="n">
        <v>9322563</v>
      </c>
      <c r="U379" s="9"/>
      <c r="V379" s="9"/>
    </row>
    <row r="380" customFormat="false" ht="22.35" hidden="false" customHeight="false" outlineLevel="0" collapsed="false">
      <c r="A380" s="9" t="s">
        <v>678</v>
      </c>
      <c r="B380" s="9" t="s">
        <v>16</v>
      </c>
      <c r="C380" s="9"/>
      <c r="D380" s="9" t="s">
        <v>52</v>
      </c>
      <c r="E380" s="9" t="s">
        <v>869</v>
      </c>
      <c r="F380" s="9" t="n">
        <v>59</v>
      </c>
      <c r="G380" s="28" t="s">
        <v>870</v>
      </c>
      <c r="H380" s="29" t="n">
        <v>550560</v>
      </c>
      <c r="I380" s="29" t="n">
        <v>519500</v>
      </c>
      <c r="J380" s="29" t="n">
        <v>519158.94</v>
      </c>
      <c r="K380" s="29" t="n">
        <v>517920.09</v>
      </c>
      <c r="L380" s="30" t="n">
        <f aca="false">H380-I380</f>
        <v>31060</v>
      </c>
      <c r="M380" s="30" t="n">
        <f aca="false">H380-J380</f>
        <v>31401.06</v>
      </c>
      <c r="N380" s="30" t="n">
        <f aca="false">H380-K380</f>
        <v>32639.91</v>
      </c>
      <c r="O380" s="9" t="s">
        <v>871</v>
      </c>
      <c r="P380" s="9" t="str">
        <f aca="false">IF(H380=0,"Sin PIM",IF(ROUND(K380-H380,2)&gt;=0,"Devengado total",IF(J380&gt;0.005,"Comprometido",IF(I380&gt;0.005,"Solo certificado","Sin certificar"))))</f>
        <v>Comprometido</v>
      </c>
      <c r="Q380" s="30" t="n">
        <v>100560</v>
      </c>
      <c r="R380" s="30" t="n">
        <v>93700</v>
      </c>
      <c r="S380" s="30" t="n">
        <v>0</v>
      </c>
      <c r="T380" s="30" t="n">
        <v>0</v>
      </c>
      <c r="U380" s="9"/>
      <c r="V380" s="9"/>
    </row>
    <row r="381" customFormat="false" ht="32.8" hidden="false" customHeight="false" outlineLevel="0" collapsed="false">
      <c r="A381" s="9" t="s">
        <v>678</v>
      </c>
      <c r="B381" s="9" t="s">
        <v>16</v>
      </c>
      <c r="C381" s="9"/>
      <c r="D381" s="9" t="s">
        <v>52</v>
      </c>
      <c r="E381" s="9" t="s">
        <v>872</v>
      </c>
      <c r="F381" s="9" t="n">
        <v>60</v>
      </c>
      <c r="G381" s="28" t="s">
        <v>873</v>
      </c>
      <c r="H381" s="29" t="n">
        <v>12532522</v>
      </c>
      <c r="I381" s="29" t="n">
        <v>12187040.85</v>
      </c>
      <c r="J381" s="29" t="n">
        <v>5981488.18</v>
      </c>
      <c r="K381" s="29" t="n">
        <v>3196291.43</v>
      </c>
      <c r="L381" s="30" t="n">
        <f aca="false">H381-I381</f>
        <v>345481.15</v>
      </c>
      <c r="M381" s="30" t="n">
        <f aca="false">H381-J381</f>
        <v>6551033.82</v>
      </c>
      <c r="N381" s="30" t="n">
        <f aca="false">H381-K381</f>
        <v>9336230.57</v>
      </c>
      <c r="O381" s="9" t="s">
        <v>874</v>
      </c>
      <c r="P381" s="9" t="str">
        <f aca="false">IF(H381=0,"Sin PIM",IF(ROUND(K381-H381,2)&gt;=0,"Devengado total",IF(J381&gt;0.005,"Comprometido",IF(I381&gt;0.005,"Solo certificado","Sin certificar"))))</f>
        <v>Comprometido</v>
      </c>
      <c r="Q381" s="30" t="n">
        <v>1000000</v>
      </c>
      <c r="R381" s="30" t="n">
        <v>4832260</v>
      </c>
      <c r="S381" s="30" t="n">
        <v>1000000</v>
      </c>
      <c r="T381" s="30" t="n">
        <v>1000000</v>
      </c>
      <c r="U381" s="9"/>
      <c r="V381" s="9"/>
    </row>
    <row r="382" customFormat="false" ht="43.25" hidden="false" customHeight="false" outlineLevel="0" collapsed="false">
      <c r="A382" s="9" t="s">
        <v>678</v>
      </c>
      <c r="B382" s="9" t="s">
        <v>16</v>
      </c>
      <c r="C382" s="9"/>
      <c r="D382" s="9" t="s">
        <v>52</v>
      </c>
      <c r="E382" s="9" t="s">
        <v>875</v>
      </c>
      <c r="F382" s="9" t="n">
        <v>61</v>
      </c>
      <c r="G382" s="28" t="s">
        <v>876</v>
      </c>
      <c r="H382" s="29" t="n">
        <v>100000</v>
      </c>
      <c r="I382" s="29" t="n">
        <v>0</v>
      </c>
      <c r="J382" s="29" t="n">
        <v>0</v>
      </c>
      <c r="K382" s="29" t="n">
        <v>0</v>
      </c>
      <c r="L382" s="30" t="n">
        <f aca="false">H382-I382</f>
        <v>100000</v>
      </c>
      <c r="M382" s="30" t="n">
        <f aca="false">H382-J382</f>
        <v>100000</v>
      </c>
      <c r="N382" s="30" t="n">
        <f aca="false">H382-K382</f>
        <v>100000</v>
      </c>
      <c r="O382" s="9" t="s">
        <v>207</v>
      </c>
      <c r="P382" s="9" t="str">
        <f aca="false">IF(H382=0,"Sin PIM",IF(ROUND(K382-H382,2)&gt;=0,"Devengado total",IF(J382&gt;0.005,"Comprometido",IF(I382&gt;0.005,"Solo certificado","Sin certificar"))))</f>
        <v>Sin certificar</v>
      </c>
      <c r="Q382" s="30" t="n">
        <v>100000</v>
      </c>
      <c r="R382" s="30" t="n">
        <v>0</v>
      </c>
      <c r="S382" s="30" t="n">
        <v>0</v>
      </c>
      <c r="T382" s="30" t="n">
        <v>0</v>
      </c>
      <c r="U382" s="9"/>
      <c r="V382" s="9"/>
    </row>
    <row r="383" customFormat="false" ht="22.35" hidden="false" customHeight="false" outlineLevel="0" collapsed="false">
      <c r="A383" s="9" t="s">
        <v>678</v>
      </c>
      <c r="B383" s="9" t="s">
        <v>17</v>
      </c>
      <c r="C383" s="9"/>
      <c r="D383" s="9" t="s">
        <v>52</v>
      </c>
      <c r="E383" s="9" t="s">
        <v>877</v>
      </c>
      <c r="F383" s="9" t="n">
        <v>218</v>
      </c>
      <c r="G383" s="28" t="s">
        <v>878</v>
      </c>
      <c r="H383" s="29" t="n">
        <v>1332387</v>
      </c>
      <c r="I383" s="29" t="n">
        <v>1332216.61</v>
      </c>
      <c r="J383" s="29" t="n">
        <v>1328895.11</v>
      </c>
      <c r="K383" s="29" t="n">
        <v>1212326</v>
      </c>
      <c r="L383" s="30" t="n">
        <f aca="false">H383-I383</f>
        <v>170.389999999898</v>
      </c>
      <c r="M383" s="30" t="n">
        <f aca="false">H383-J383</f>
        <v>3491.8899999999</v>
      </c>
      <c r="N383" s="30" t="n">
        <f aca="false">H383-K383</f>
        <v>120061</v>
      </c>
      <c r="O383" s="9" t="s">
        <v>114</v>
      </c>
      <c r="P383" s="9" t="str">
        <f aca="false">IF(H383=0,"Sin PIM",IF(ROUND(K383-H383,2)&gt;=0,"Devengado total",IF(J383&gt;0.005,"Comprometido",IF(I383&gt;0.005,"Solo certificado","Sin certificar"))))</f>
        <v>Comprometido</v>
      </c>
      <c r="Q383" s="30" t="n">
        <v>630478</v>
      </c>
      <c r="R383" s="30" t="n">
        <v>188781</v>
      </c>
      <c r="S383" s="30" t="n">
        <v>2845395</v>
      </c>
      <c r="T383" s="30" t="n">
        <v>2772809</v>
      </c>
      <c r="U383" s="9"/>
      <c r="V383" s="9"/>
    </row>
    <row r="384" customFormat="false" ht="32.8" hidden="false" customHeight="false" outlineLevel="0" collapsed="false">
      <c r="A384" s="9" t="s">
        <v>678</v>
      </c>
      <c r="B384" s="9" t="s">
        <v>17</v>
      </c>
      <c r="C384" s="9"/>
      <c r="D384" s="9" t="s">
        <v>66</v>
      </c>
      <c r="E384" s="9" t="s">
        <v>879</v>
      </c>
      <c r="F384" s="9" t="n">
        <v>264</v>
      </c>
      <c r="G384" s="28" t="s">
        <v>880</v>
      </c>
      <c r="H384" s="29" t="n">
        <v>4271598</v>
      </c>
      <c r="I384" s="29" t="n">
        <v>4070553.34</v>
      </c>
      <c r="J384" s="29" t="n">
        <v>2743124.33</v>
      </c>
      <c r="K384" s="29" t="n">
        <v>2287215.36</v>
      </c>
      <c r="L384" s="30" t="n">
        <f aca="false">H384-I384</f>
        <v>201044.66</v>
      </c>
      <c r="M384" s="30" t="n">
        <f aca="false">H384-J384</f>
        <v>1528473.67</v>
      </c>
      <c r="N384" s="30" t="n">
        <f aca="false">H384-K384</f>
        <v>1984382.64</v>
      </c>
      <c r="O384" s="9" t="s">
        <v>881</v>
      </c>
      <c r="P384" s="9" t="str">
        <f aca="false">IF(H384=0,"Sin PIM",IF(ROUND(K384-H384,2)&gt;=0,"Devengado total",IF(J384&gt;0.005,"Comprometido",IF(I384&gt;0.005,"Solo certificado","Sin certificar"))))</f>
        <v>Comprometido</v>
      </c>
      <c r="Q384" s="30" t="n">
        <v>1500000</v>
      </c>
      <c r="R384" s="30" t="n">
        <v>4950944</v>
      </c>
      <c r="S384" s="30" t="n">
        <v>5144103</v>
      </c>
      <c r="T384" s="30" t="n">
        <v>4718085</v>
      </c>
      <c r="U384" s="9"/>
      <c r="V384" s="9"/>
    </row>
    <row r="385" customFormat="false" ht="32.8" hidden="false" customHeight="false" outlineLevel="0" collapsed="false">
      <c r="A385" s="9" t="s">
        <v>678</v>
      </c>
      <c r="B385" s="9" t="s">
        <v>18</v>
      </c>
      <c r="C385" s="9"/>
      <c r="D385" s="9" t="s">
        <v>48</v>
      </c>
      <c r="E385" s="9" t="s">
        <v>882</v>
      </c>
      <c r="F385" s="9" t="n">
        <v>195</v>
      </c>
      <c r="G385" s="28" t="s">
        <v>883</v>
      </c>
      <c r="H385" s="29" t="n">
        <v>0</v>
      </c>
      <c r="I385" s="29" t="n">
        <v>0</v>
      </c>
      <c r="J385" s="29" t="n">
        <v>0</v>
      </c>
      <c r="K385" s="29" t="n">
        <v>0</v>
      </c>
      <c r="L385" s="30" t="n">
        <f aca="false">H385-I385</f>
        <v>0</v>
      </c>
      <c r="M385" s="30" t="n">
        <f aca="false">H385-J385</f>
        <v>0</v>
      </c>
      <c r="N385" s="30" t="n">
        <f aca="false">H385-K385</f>
        <v>0</v>
      </c>
      <c r="O385" s="9" t="s">
        <v>207</v>
      </c>
      <c r="P385" s="9" t="str">
        <f aca="false">IF(H385=0,"Sin PIM",IF(ROUND(K385-H385,2)&gt;=0,"Devengado total",IF(J385&gt;0.005,"Comprometido",IF(I385&gt;0.005,"Solo certificado","Sin certificar"))))</f>
        <v>Sin PIM</v>
      </c>
      <c r="Q385" s="30" t="n">
        <v>4098</v>
      </c>
      <c r="R385" s="30" t="n">
        <v>0</v>
      </c>
      <c r="S385" s="30" t="n">
        <v>0</v>
      </c>
      <c r="T385" s="30" t="n">
        <v>0</v>
      </c>
      <c r="U385" s="9"/>
      <c r="V385" s="9"/>
    </row>
    <row r="386" customFormat="false" ht="32.8" hidden="false" customHeight="false" outlineLevel="0" collapsed="false">
      <c r="A386" s="9" t="s">
        <v>678</v>
      </c>
      <c r="B386" s="9" t="s">
        <v>18</v>
      </c>
      <c r="C386" s="9"/>
      <c r="D386" s="9" t="s">
        <v>48</v>
      </c>
      <c r="E386" s="9" t="s">
        <v>884</v>
      </c>
      <c r="F386" s="9" t="n">
        <v>196</v>
      </c>
      <c r="G386" s="28" t="s">
        <v>885</v>
      </c>
      <c r="H386" s="29" t="n">
        <v>0</v>
      </c>
      <c r="I386" s="29" t="n">
        <v>0</v>
      </c>
      <c r="J386" s="29" t="n">
        <v>0</v>
      </c>
      <c r="K386" s="29" t="n">
        <v>0</v>
      </c>
      <c r="L386" s="30" t="n">
        <f aca="false">H386-I386</f>
        <v>0</v>
      </c>
      <c r="M386" s="30" t="n">
        <f aca="false">H386-J386</f>
        <v>0</v>
      </c>
      <c r="N386" s="30" t="n">
        <f aca="false">H386-K386</f>
        <v>0</v>
      </c>
      <c r="O386" s="9" t="s">
        <v>207</v>
      </c>
      <c r="P386" s="9" t="str">
        <f aca="false">IF(H386=0,"Sin PIM",IF(ROUND(K386-H386,2)&gt;=0,"Devengado total",IF(J386&gt;0.005,"Comprometido",IF(I386&gt;0.005,"Solo certificado","Sin certificar"))))</f>
        <v>Sin PIM</v>
      </c>
      <c r="Q386" s="30" t="n">
        <v>87917</v>
      </c>
      <c r="R386" s="30" t="n">
        <v>0</v>
      </c>
      <c r="S386" s="30" t="n">
        <v>0</v>
      </c>
      <c r="T386" s="30" t="n">
        <v>0</v>
      </c>
      <c r="U386" s="9"/>
      <c r="V386" s="9"/>
    </row>
    <row r="387" customFormat="false" ht="43.25" hidden="false" customHeight="false" outlineLevel="0" collapsed="false">
      <c r="A387" s="9" t="s">
        <v>678</v>
      </c>
      <c r="B387" s="9" t="s">
        <v>18</v>
      </c>
      <c r="C387" s="9"/>
      <c r="D387" s="9" t="s">
        <v>48</v>
      </c>
      <c r="E387" s="9" t="s">
        <v>886</v>
      </c>
      <c r="F387" s="9" t="n">
        <v>239</v>
      </c>
      <c r="G387" s="28" t="s">
        <v>887</v>
      </c>
      <c r="H387" s="29" t="n">
        <v>0</v>
      </c>
      <c r="I387" s="29" t="n">
        <v>0</v>
      </c>
      <c r="J387" s="29" t="n">
        <v>0</v>
      </c>
      <c r="K387" s="29" t="n">
        <v>0</v>
      </c>
      <c r="L387" s="30" t="n">
        <f aca="false">H387-I387</f>
        <v>0</v>
      </c>
      <c r="M387" s="30" t="n">
        <f aca="false">H387-J387</f>
        <v>0</v>
      </c>
      <c r="N387" s="30" t="n">
        <f aca="false">H387-K387</f>
        <v>0</v>
      </c>
      <c r="O387" s="9" t="s">
        <v>139</v>
      </c>
      <c r="P387" s="9" t="str">
        <f aca="false">IF(H387=0,"Sin PIM",IF(ROUND(K387-H387,2)&gt;=0,"Devengado total",IF(J387&gt;0.005,"Comprometido",IF(I387&gt;0.005,"Solo certificado","Sin certificar"))))</f>
        <v>Sin PIM</v>
      </c>
      <c r="Q387" s="30" t="n">
        <v>276105</v>
      </c>
      <c r="R387" s="30" t="n">
        <v>0</v>
      </c>
      <c r="S387" s="30" t="n">
        <v>0</v>
      </c>
      <c r="T387" s="30" t="n">
        <v>0</v>
      </c>
      <c r="U387" s="9"/>
      <c r="V387" s="9"/>
    </row>
    <row r="388" customFormat="false" ht="43.25" hidden="false" customHeight="false" outlineLevel="0" collapsed="false">
      <c r="A388" s="9" t="s">
        <v>678</v>
      </c>
      <c r="B388" s="9" t="s">
        <v>18</v>
      </c>
      <c r="C388" s="9"/>
      <c r="D388" s="9" t="s">
        <v>48</v>
      </c>
      <c r="E388" s="9" t="s">
        <v>888</v>
      </c>
      <c r="F388" s="9" t="n">
        <v>249</v>
      </c>
      <c r="G388" s="28" t="s">
        <v>889</v>
      </c>
      <c r="H388" s="29" t="n">
        <v>0</v>
      </c>
      <c r="I388" s="29" t="n">
        <v>0</v>
      </c>
      <c r="J388" s="29" t="n">
        <v>0</v>
      </c>
      <c r="K388" s="29" t="n">
        <v>0</v>
      </c>
      <c r="L388" s="30" t="n">
        <f aca="false">H388-I388</f>
        <v>0</v>
      </c>
      <c r="M388" s="30" t="n">
        <f aca="false">H388-J388</f>
        <v>0</v>
      </c>
      <c r="N388" s="30" t="n">
        <f aca="false">H388-K388</f>
        <v>0</v>
      </c>
      <c r="O388" s="9" t="s">
        <v>207</v>
      </c>
      <c r="P388" s="9" t="str">
        <f aca="false">IF(H388=0,"Sin PIM",IF(ROUND(K388-H388,2)&gt;=0,"Devengado total",IF(J388&gt;0.005,"Comprometido",IF(I388&gt;0.005,"Solo certificado","Sin certificar"))))</f>
        <v>Sin PIM</v>
      </c>
      <c r="Q388" s="30" t="n">
        <v>89896</v>
      </c>
      <c r="R388" s="30" t="n">
        <v>0</v>
      </c>
      <c r="S388" s="30" t="n">
        <v>0</v>
      </c>
      <c r="T388" s="30" t="n">
        <v>0</v>
      </c>
      <c r="U388" s="9"/>
      <c r="V388" s="9"/>
    </row>
    <row r="389" customFormat="false" ht="32.8" hidden="false" customHeight="false" outlineLevel="0" collapsed="false">
      <c r="A389" s="9" t="s">
        <v>678</v>
      </c>
      <c r="B389" s="9" t="s">
        <v>18</v>
      </c>
      <c r="C389" s="9"/>
      <c r="D389" s="9" t="s">
        <v>48</v>
      </c>
      <c r="E389" s="9" t="s">
        <v>890</v>
      </c>
      <c r="F389" s="9" t="n">
        <v>254</v>
      </c>
      <c r="G389" s="28" t="s">
        <v>891</v>
      </c>
      <c r="H389" s="29" t="n">
        <v>2390440</v>
      </c>
      <c r="I389" s="29" t="n">
        <v>2386020</v>
      </c>
      <c r="J389" s="29" t="n">
        <v>2386020</v>
      </c>
      <c r="K389" s="29" t="n">
        <v>824976.09</v>
      </c>
      <c r="L389" s="30" t="n">
        <f aca="false">H389-I389</f>
        <v>4420</v>
      </c>
      <c r="M389" s="30" t="n">
        <f aca="false">H389-J389</f>
        <v>4420</v>
      </c>
      <c r="N389" s="30" t="n">
        <f aca="false">H389-K389</f>
        <v>1565463.91</v>
      </c>
      <c r="O389" s="9" t="s">
        <v>235</v>
      </c>
      <c r="P389" s="9" t="str">
        <f aca="false">IF(H389=0,"Sin PIM",IF(ROUND(K389-H389,2)&gt;=0,"Devengado total",IF(J389&gt;0.005,"Comprometido",IF(I389&gt;0.005,"Solo certificado","Sin certificar"))))</f>
        <v>Comprometido</v>
      </c>
      <c r="Q389" s="30" t="n">
        <v>21175</v>
      </c>
      <c r="R389" s="30" t="n">
        <v>2971</v>
      </c>
      <c r="S389" s="30" t="n">
        <v>1</v>
      </c>
      <c r="T389" s="30" t="n">
        <v>0</v>
      </c>
      <c r="U389" s="9"/>
      <c r="V389" s="9"/>
    </row>
    <row r="390" customFormat="false" ht="43.25" hidden="false" customHeight="false" outlineLevel="0" collapsed="false">
      <c r="A390" s="9" t="s">
        <v>678</v>
      </c>
      <c r="B390" s="9" t="s">
        <v>18</v>
      </c>
      <c r="C390" s="9"/>
      <c r="D390" s="9" t="s">
        <v>48</v>
      </c>
      <c r="E390" s="9" t="s">
        <v>892</v>
      </c>
      <c r="F390" s="9" t="n">
        <v>255</v>
      </c>
      <c r="G390" s="28" t="s">
        <v>893</v>
      </c>
      <c r="H390" s="29" t="n">
        <v>20600</v>
      </c>
      <c r="I390" s="29" t="n">
        <v>20600</v>
      </c>
      <c r="J390" s="29" t="n">
        <v>20600</v>
      </c>
      <c r="K390" s="29" t="n">
        <v>17783.6</v>
      </c>
      <c r="L390" s="30" t="n">
        <f aca="false">H390-I390</f>
        <v>0</v>
      </c>
      <c r="M390" s="30" t="n">
        <f aca="false">H390-J390</f>
        <v>0</v>
      </c>
      <c r="N390" s="30" t="n">
        <f aca="false">H390-K390</f>
        <v>2816.4</v>
      </c>
      <c r="O390" s="9" t="s">
        <v>120</v>
      </c>
      <c r="P390" s="9" t="str">
        <f aca="false">IF(H390=0,"Sin PIM",IF(ROUND(K390-H390,2)&gt;=0,"Devengado total",IF(J390&gt;0.005,"Comprometido",IF(I390&gt;0.005,"Solo certificado","Sin certificar"))))</f>
        <v>Comprometido</v>
      </c>
      <c r="Q390" s="30" t="n">
        <v>40062</v>
      </c>
      <c r="R390" s="30" t="n">
        <v>0</v>
      </c>
      <c r="S390" s="30" t="n">
        <v>0</v>
      </c>
      <c r="T390" s="30" t="n">
        <v>0</v>
      </c>
      <c r="U390" s="9"/>
      <c r="V390" s="9"/>
    </row>
    <row r="391" customFormat="false" ht="53.7" hidden="false" customHeight="false" outlineLevel="0" collapsed="false">
      <c r="A391" s="9" t="s">
        <v>678</v>
      </c>
      <c r="B391" s="9" t="s">
        <v>18</v>
      </c>
      <c r="C391" s="9"/>
      <c r="D391" s="9" t="s">
        <v>48</v>
      </c>
      <c r="E391" s="9" t="s">
        <v>894</v>
      </c>
      <c r="F391" s="9" t="n">
        <v>263</v>
      </c>
      <c r="G391" s="28" t="s">
        <v>895</v>
      </c>
      <c r="H391" s="29" t="n">
        <v>3517960</v>
      </c>
      <c r="I391" s="29" t="n">
        <v>3461030.1</v>
      </c>
      <c r="J391" s="29" t="n">
        <v>2232677.1</v>
      </c>
      <c r="K391" s="29" t="n">
        <v>2179648.51</v>
      </c>
      <c r="L391" s="30" t="n">
        <f aca="false">H391-I391</f>
        <v>56929.8999999999</v>
      </c>
      <c r="M391" s="30" t="n">
        <f aca="false">H391-J391</f>
        <v>1285282.9</v>
      </c>
      <c r="N391" s="30" t="n">
        <f aca="false">H391-K391</f>
        <v>1338311.49</v>
      </c>
      <c r="O391" s="9" t="s">
        <v>235</v>
      </c>
      <c r="P391" s="9" t="str">
        <f aca="false">IF(H391=0,"Sin PIM",IF(ROUND(K391-H391,2)&gt;=0,"Devengado total",IF(J391&gt;0.005,"Comprometido",IF(I391&gt;0.005,"Solo certificado","Sin certificar"))))</f>
        <v>Comprometido</v>
      </c>
      <c r="Q391" s="30" t="n">
        <v>2000000</v>
      </c>
      <c r="R391" s="30" t="n">
        <v>64020</v>
      </c>
      <c r="S391" s="30" t="n">
        <v>1401972</v>
      </c>
      <c r="T391" s="30" t="n">
        <v>495265</v>
      </c>
      <c r="U391" s="9"/>
      <c r="V391" s="9"/>
    </row>
    <row r="392" customFormat="false" ht="53.7" hidden="false" customHeight="false" outlineLevel="0" collapsed="false">
      <c r="A392" s="9" t="s">
        <v>678</v>
      </c>
      <c r="B392" s="9" t="s">
        <v>18</v>
      </c>
      <c r="C392" s="9"/>
      <c r="D392" s="9" t="s">
        <v>48</v>
      </c>
      <c r="E392" s="9" t="s">
        <v>896</v>
      </c>
      <c r="F392" s="9" t="n">
        <v>281</v>
      </c>
      <c r="G392" s="28" t="s">
        <v>897</v>
      </c>
      <c r="H392" s="29" t="n">
        <v>2170829</v>
      </c>
      <c r="I392" s="29" t="n">
        <v>2170829</v>
      </c>
      <c r="J392" s="29" t="n">
        <v>150829</v>
      </c>
      <c r="K392" s="29" t="n">
        <v>147448.3</v>
      </c>
      <c r="L392" s="30" t="n">
        <f aca="false">H392-I392</f>
        <v>0</v>
      </c>
      <c r="M392" s="30" t="n">
        <f aca="false">H392-J392</f>
        <v>2020000</v>
      </c>
      <c r="N392" s="30" t="n">
        <f aca="false">H392-K392</f>
        <v>2023380.7</v>
      </c>
      <c r="O392" s="9" t="s">
        <v>683</v>
      </c>
      <c r="P392" s="9" t="str">
        <f aca="false">IF(H392=0,"Sin PIM",IF(ROUND(K392-H392,2)&gt;=0,"Devengado total",IF(J392&gt;0.005,"Comprometido",IF(I392&gt;0.005,"Solo certificado","Sin certificar"))))</f>
        <v>Comprometido</v>
      </c>
      <c r="Q392" s="30" t="n">
        <v>2421000</v>
      </c>
      <c r="R392" s="30" t="n">
        <v>2508625</v>
      </c>
      <c r="S392" s="30" t="n">
        <v>546908</v>
      </c>
      <c r="T392" s="30" t="n">
        <v>170650</v>
      </c>
      <c r="U392" s="9"/>
      <c r="V392" s="9"/>
    </row>
    <row r="393" customFormat="false" ht="32.8" hidden="false" customHeight="false" outlineLevel="0" collapsed="false">
      <c r="A393" s="9" t="s">
        <v>678</v>
      </c>
      <c r="B393" s="9" t="s">
        <v>18</v>
      </c>
      <c r="C393" s="9"/>
      <c r="D393" s="9" t="s">
        <v>48</v>
      </c>
      <c r="E393" s="9" t="s">
        <v>898</v>
      </c>
      <c r="F393" s="9" t="n">
        <v>285</v>
      </c>
      <c r="G393" s="28" t="s">
        <v>899</v>
      </c>
      <c r="H393" s="29" t="n">
        <v>31336</v>
      </c>
      <c r="I393" s="29" t="n">
        <v>0</v>
      </c>
      <c r="J393" s="29" t="n">
        <v>0</v>
      </c>
      <c r="K393" s="29" t="n">
        <v>0</v>
      </c>
      <c r="L393" s="30" t="n">
        <f aca="false">H393-I393</f>
        <v>31336</v>
      </c>
      <c r="M393" s="30" t="n">
        <f aca="false">H393-J393</f>
        <v>31336</v>
      </c>
      <c r="N393" s="30" t="n">
        <f aca="false">H393-K393</f>
        <v>31336</v>
      </c>
      <c r="O393" s="9" t="s">
        <v>120</v>
      </c>
      <c r="P393" s="9" t="str">
        <f aca="false">IF(H393=0,"Sin PIM",IF(ROUND(K393-H393,2)&gt;=0,"Devengado total",IF(J393&gt;0.005,"Comprometido",IF(I393&gt;0.005,"Solo certificado","Sin certificar"))))</f>
        <v>Sin certificar</v>
      </c>
      <c r="Q393" s="30" t="n">
        <v>513444</v>
      </c>
      <c r="R393" s="30" t="n">
        <v>0</v>
      </c>
      <c r="S393" s="30" t="n">
        <v>0</v>
      </c>
      <c r="T393" s="30" t="n">
        <v>0</v>
      </c>
      <c r="U393" s="9"/>
      <c r="V393" s="9"/>
    </row>
    <row r="394" customFormat="false" ht="43.25" hidden="false" customHeight="false" outlineLevel="0" collapsed="false">
      <c r="A394" s="9" t="s">
        <v>678</v>
      </c>
      <c r="B394" s="9" t="s">
        <v>18</v>
      </c>
      <c r="C394" s="9"/>
      <c r="D394" s="9" t="s">
        <v>48</v>
      </c>
      <c r="E394" s="9" t="s">
        <v>900</v>
      </c>
      <c r="F394" s="9" t="n">
        <v>287</v>
      </c>
      <c r="G394" s="28" t="s">
        <v>901</v>
      </c>
      <c r="H394" s="29" t="n">
        <v>1263865</v>
      </c>
      <c r="I394" s="29" t="n">
        <v>1181167.94</v>
      </c>
      <c r="J394" s="29" t="n">
        <v>153969.11</v>
      </c>
      <c r="K394" s="29" t="n">
        <v>146441.28</v>
      </c>
      <c r="L394" s="30" t="n">
        <f aca="false">H394-I394</f>
        <v>82697.0600000001</v>
      </c>
      <c r="M394" s="30" t="n">
        <f aca="false">H394-J394</f>
        <v>1109895.89</v>
      </c>
      <c r="N394" s="30" t="n">
        <f aca="false">H394-K394</f>
        <v>1117423.72</v>
      </c>
      <c r="O394" s="9" t="s">
        <v>235</v>
      </c>
      <c r="P394" s="9" t="str">
        <f aca="false">IF(H394=0,"Sin PIM",IF(ROUND(K394-H394,2)&gt;=0,"Devengado total",IF(J394&gt;0.005,"Comprometido",IF(I394&gt;0.005,"Solo certificado","Sin certificar"))))</f>
        <v>Comprometido</v>
      </c>
      <c r="Q394" s="30" t="n">
        <v>894000</v>
      </c>
      <c r="R394" s="30" t="n">
        <v>0</v>
      </c>
      <c r="S394" s="30" t="n">
        <v>825648</v>
      </c>
      <c r="T394" s="30" t="n">
        <v>825648</v>
      </c>
      <c r="U394" s="9"/>
      <c r="V394" s="9"/>
    </row>
    <row r="395" customFormat="false" ht="53.7" hidden="false" customHeight="false" outlineLevel="0" collapsed="false">
      <c r="A395" s="9" t="s">
        <v>678</v>
      </c>
      <c r="B395" s="9" t="s">
        <v>18</v>
      </c>
      <c r="C395" s="9"/>
      <c r="D395" s="9" t="s">
        <v>48</v>
      </c>
      <c r="E395" s="9" t="s">
        <v>902</v>
      </c>
      <c r="F395" s="9" t="n">
        <v>313</v>
      </c>
      <c r="G395" s="28" t="s">
        <v>903</v>
      </c>
      <c r="H395" s="29" t="n">
        <v>8483998</v>
      </c>
      <c r="I395" s="29" t="n">
        <v>8474782.31</v>
      </c>
      <c r="J395" s="29" t="n">
        <v>5324755.31</v>
      </c>
      <c r="K395" s="29" t="n">
        <v>5322446.09</v>
      </c>
      <c r="L395" s="30" t="n">
        <f aca="false">H395-I395</f>
        <v>9215.69000000134</v>
      </c>
      <c r="M395" s="30" t="n">
        <f aca="false">H395-J395</f>
        <v>3159242.69</v>
      </c>
      <c r="N395" s="30" t="n">
        <f aca="false">H395-K395</f>
        <v>3161551.91</v>
      </c>
      <c r="O395" s="9" t="s">
        <v>235</v>
      </c>
      <c r="P395" s="9" t="str">
        <f aca="false">IF(H395=0,"Sin PIM",IF(ROUND(K395-H395,2)&gt;=0,"Devengado total",IF(J395&gt;0.005,"Comprometido",IF(I395&gt;0.005,"Solo certificado","Sin certificar"))))</f>
        <v>Comprometido</v>
      </c>
      <c r="Q395" s="30" t="n">
        <v>2578971</v>
      </c>
      <c r="R395" s="30" t="n">
        <v>22487</v>
      </c>
      <c r="S395" s="30" t="n">
        <v>500000</v>
      </c>
      <c r="T395" s="30" t="n">
        <v>500000</v>
      </c>
      <c r="U395" s="9"/>
      <c r="V395" s="9"/>
    </row>
    <row r="396" customFormat="false" ht="53.7" hidden="false" customHeight="false" outlineLevel="0" collapsed="false">
      <c r="A396" s="9" t="s">
        <v>678</v>
      </c>
      <c r="B396" s="9" t="s">
        <v>18</v>
      </c>
      <c r="C396" s="9"/>
      <c r="D396" s="9" t="s">
        <v>48</v>
      </c>
      <c r="E396" s="9" t="s">
        <v>904</v>
      </c>
      <c r="F396" s="9" t="n">
        <v>314</v>
      </c>
      <c r="G396" s="28" t="s">
        <v>905</v>
      </c>
      <c r="H396" s="29" t="n">
        <v>4219373</v>
      </c>
      <c r="I396" s="29" t="n">
        <v>4183621.03</v>
      </c>
      <c r="J396" s="29" t="n">
        <v>3856814.5</v>
      </c>
      <c r="K396" s="29" t="n">
        <v>3829328.08</v>
      </c>
      <c r="L396" s="30" t="n">
        <f aca="false">H396-I396</f>
        <v>35751.9700000002</v>
      </c>
      <c r="M396" s="30" t="n">
        <f aca="false">H396-J396</f>
        <v>362558.5</v>
      </c>
      <c r="N396" s="30" t="n">
        <f aca="false">H396-K396</f>
        <v>390044.92</v>
      </c>
      <c r="O396" s="9" t="s">
        <v>683</v>
      </c>
      <c r="P396" s="9" t="str">
        <f aca="false">IF(H396=0,"Sin PIM",IF(ROUND(K396-H396,2)&gt;=0,"Devengado total",IF(J396&gt;0.005,"Comprometido",IF(I396&gt;0.005,"Solo certificado","Sin certificar"))))</f>
        <v>Comprometido</v>
      </c>
      <c r="Q396" s="30" t="n">
        <v>3305500</v>
      </c>
      <c r="R396" s="30" t="n">
        <v>177809</v>
      </c>
      <c r="S396" s="30" t="n">
        <v>150483</v>
      </c>
      <c r="T396" s="30" t="n">
        <v>0</v>
      </c>
      <c r="U396" s="9"/>
      <c r="V396" s="9"/>
    </row>
    <row r="397" customFormat="false" ht="53.7" hidden="false" customHeight="false" outlineLevel="0" collapsed="false">
      <c r="A397" s="9" t="s">
        <v>678</v>
      </c>
      <c r="B397" s="9" t="s">
        <v>18</v>
      </c>
      <c r="C397" s="9"/>
      <c r="D397" s="9" t="s">
        <v>48</v>
      </c>
      <c r="E397" s="9" t="s">
        <v>906</v>
      </c>
      <c r="F397" s="9" t="n">
        <v>343</v>
      </c>
      <c r="G397" s="28" t="s">
        <v>907</v>
      </c>
      <c r="H397" s="29" t="n">
        <v>13926334</v>
      </c>
      <c r="I397" s="29" t="n">
        <v>13763618.01</v>
      </c>
      <c r="J397" s="29" t="n">
        <v>242796</v>
      </c>
      <c r="K397" s="29" t="n">
        <v>182925.48</v>
      </c>
      <c r="L397" s="30" t="n">
        <f aca="false">H397-I397</f>
        <v>162715.99</v>
      </c>
      <c r="M397" s="30" t="n">
        <f aca="false">H397-J397</f>
        <v>13683538</v>
      </c>
      <c r="N397" s="30" t="n">
        <f aca="false">H397-K397</f>
        <v>13743408.52</v>
      </c>
      <c r="O397" s="9" t="s">
        <v>235</v>
      </c>
      <c r="P397" s="9" t="str">
        <f aca="false">IF(H397=0,"Sin PIM",IF(ROUND(K397-H397,2)&gt;=0,"Devengado total",IF(J397&gt;0.005,"Comprometido",IF(I397&gt;0.005,"Solo certificado","Sin certificar"))))</f>
        <v>Comprometido</v>
      </c>
      <c r="Q397" s="30" t="n">
        <v>923830</v>
      </c>
      <c r="R397" s="30" t="n">
        <v>1124828</v>
      </c>
      <c r="S397" s="30" t="n">
        <v>450000</v>
      </c>
      <c r="T397" s="30" t="n">
        <v>450000</v>
      </c>
      <c r="U397" s="9"/>
      <c r="V397" s="9"/>
    </row>
    <row r="398" customFormat="false" ht="32.8" hidden="false" customHeight="false" outlineLevel="0" collapsed="false">
      <c r="A398" s="9" t="s">
        <v>678</v>
      </c>
      <c r="B398" s="9" t="s">
        <v>18</v>
      </c>
      <c r="C398" s="9"/>
      <c r="D398" s="9" t="s">
        <v>48</v>
      </c>
      <c r="E398" s="9" t="s">
        <v>908</v>
      </c>
      <c r="F398" s="9" t="n">
        <v>344</v>
      </c>
      <c r="G398" s="28" t="s">
        <v>909</v>
      </c>
      <c r="H398" s="29" t="n">
        <v>1175365</v>
      </c>
      <c r="I398" s="29" t="n">
        <v>285679.94</v>
      </c>
      <c r="J398" s="29" t="n">
        <v>282859.94</v>
      </c>
      <c r="K398" s="29" t="n">
        <v>278011.28</v>
      </c>
      <c r="L398" s="30" t="n">
        <f aca="false">H398-I398</f>
        <v>889685.06</v>
      </c>
      <c r="M398" s="30" t="n">
        <f aca="false">H398-J398</f>
        <v>892505.06</v>
      </c>
      <c r="N398" s="30" t="n">
        <f aca="false">H398-K398</f>
        <v>897353.72</v>
      </c>
      <c r="O398" s="9" t="s">
        <v>235</v>
      </c>
      <c r="P398" s="9" t="str">
        <f aca="false">IF(H398=0,"Sin PIM",IF(ROUND(K398-H398,2)&gt;=0,"Devengado total",IF(J398&gt;0.005,"Comprometido",IF(I398&gt;0.005,"Solo certificado","Sin certificar"))))</f>
        <v>Comprometido</v>
      </c>
      <c r="Q398" s="30" t="n">
        <v>300000</v>
      </c>
      <c r="R398" s="30" t="n">
        <v>163232</v>
      </c>
      <c r="S398" s="30" t="n">
        <v>0</v>
      </c>
      <c r="T398" s="30" t="n">
        <v>0</v>
      </c>
      <c r="U398" s="9"/>
      <c r="V398" s="9"/>
    </row>
    <row r="399" customFormat="false" ht="43.25" hidden="false" customHeight="false" outlineLevel="0" collapsed="false">
      <c r="A399" s="9" t="s">
        <v>678</v>
      </c>
      <c r="B399" s="9" t="s">
        <v>18</v>
      </c>
      <c r="C399" s="9"/>
      <c r="D399" s="9" t="s">
        <v>48</v>
      </c>
      <c r="E399" s="9" t="s">
        <v>910</v>
      </c>
      <c r="F399" s="9" t="n">
        <v>346</v>
      </c>
      <c r="G399" s="28" t="s">
        <v>911</v>
      </c>
      <c r="H399" s="29" t="n">
        <v>392605</v>
      </c>
      <c r="I399" s="29" t="n">
        <v>337020.28</v>
      </c>
      <c r="J399" s="29" t="n">
        <v>313706.07</v>
      </c>
      <c r="K399" s="29" t="n">
        <v>298073.85</v>
      </c>
      <c r="L399" s="30" t="n">
        <f aca="false">H399-I399</f>
        <v>55584.72</v>
      </c>
      <c r="M399" s="30" t="n">
        <f aca="false">H399-J399</f>
        <v>78898.9300000001</v>
      </c>
      <c r="N399" s="30" t="n">
        <f aca="false">H399-K399</f>
        <v>94531.15</v>
      </c>
      <c r="O399" s="9" t="s">
        <v>912</v>
      </c>
      <c r="P399" s="9" t="str">
        <f aca="false">IF(H399=0,"Sin PIM",IF(ROUND(K399-H399,2)&gt;=0,"Devengado total",IF(J399&gt;0.005,"Comprometido",IF(I399&gt;0.005,"Solo certificado","Sin certificar"))))</f>
        <v>Comprometido</v>
      </c>
      <c r="Q399" s="30" t="n">
        <v>587684</v>
      </c>
      <c r="R399" s="30" t="n">
        <v>31681</v>
      </c>
      <c r="S399" s="30" t="n">
        <v>755677</v>
      </c>
      <c r="T399" s="30" t="n">
        <v>0</v>
      </c>
      <c r="U399" s="9"/>
      <c r="V399" s="9"/>
    </row>
    <row r="400" customFormat="false" ht="53.7" hidden="false" customHeight="false" outlineLevel="0" collapsed="false">
      <c r="A400" s="9" t="s">
        <v>678</v>
      </c>
      <c r="B400" s="9" t="s">
        <v>18</v>
      </c>
      <c r="C400" s="9"/>
      <c r="D400" s="9" t="s">
        <v>48</v>
      </c>
      <c r="E400" s="9" t="s">
        <v>913</v>
      </c>
      <c r="F400" s="9" t="n">
        <v>379</v>
      </c>
      <c r="G400" s="28" t="s">
        <v>914</v>
      </c>
      <c r="H400" s="29" t="n">
        <v>167074</v>
      </c>
      <c r="I400" s="29" t="n">
        <v>63765.14</v>
      </c>
      <c r="J400" s="29" t="n">
        <v>63765.14</v>
      </c>
      <c r="K400" s="29" t="n">
        <v>62264.09</v>
      </c>
      <c r="L400" s="30" t="n">
        <f aca="false">H400-I400</f>
        <v>103308.86</v>
      </c>
      <c r="M400" s="30" t="n">
        <f aca="false">H400-J400</f>
        <v>103308.86</v>
      </c>
      <c r="N400" s="30" t="n">
        <f aca="false">H400-K400</f>
        <v>104809.91</v>
      </c>
      <c r="O400" s="9" t="s">
        <v>912</v>
      </c>
      <c r="P400" s="9" t="str">
        <f aca="false">IF(H400=0,"Sin PIM",IF(ROUND(K400-H400,2)&gt;=0,"Devengado total",IF(J400&gt;0.005,"Comprometido",IF(I400&gt;0.005,"Solo certificado","Sin certificar"))))</f>
        <v>Comprometido</v>
      </c>
      <c r="Q400" s="30" t="n">
        <v>295210</v>
      </c>
      <c r="R400" s="30" t="n">
        <v>0</v>
      </c>
      <c r="S400" s="30" t="n">
        <v>1200001</v>
      </c>
      <c r="T400" s="30" t="n">
        <v>1200001</v>
      </c>
      <c r="U400" s="9"/>
      <c r="V400" s="9"/>
    </row>
    <row r="401" customFormat="false" ht="53.7" hidden="false" customHeight="false" outlineLevel="0" collapsed="false">
      <c r="A401" s="9" t="s">
        <v>678</v>
      </c>
      <c r="B401" s="9" t="s">
        <v>18</v>
      </c>
      <c r="C401" s="9"/>
      <c r="D401" s="9" t="s">
        <v>48</v>
      </c>
      <c r="E401" s="9" t="s">
        <v>915</v>
      </c>
      <c r="F401" s="9" t="n">
        <v>380</v>
      </c>
      <c r="G401" s="28" t="s">
        <v>916</v>
      </c>
      <c r="H401" s="29" t="n">
        <v>2967206</v>
      </c>
      <c r="I401" s="29" t="n">
        <v>2958279.03</v>
      </c>
      <c r="J401" s="29" t="n">
        <v>1416600.7</v>
      </c>
      <c r="K401" s="29" t="n">
        <v>886710.64</v>
      </c>
      <c r="L401" s="30" t="n">
        <f aca="false">H401-I401</f>
        <v>8926.97000000021</v>
      </c>
      <c r="M401" s="30" t="n">
        <f aca="false">H401-J401</f>
        <v>1550605.3</v>
      </c>
      <c r="N401" s="30" t="n">
        <f aca="false">H401-K401</f>
        <v>2080495.36</v>
      </c>
      <c r="O401" s="9" t="s">
        <v>235</v>
      </c>
      <c r="P401" s="9" t="str">
        <f aca="false">IF(H401=0,"Sin PIM",IF(ROUND(K401-H401,2)&gt;=0,"Devengado total",IF(J401&gt;0.005,"Comprometido",IF(I401&gt;0.005,"Solo certificado","Sin certificar"))))</f>
        <v>Comprometido</v>
      </c>
      <c r="Q401" s="30" t="n">
        <v>309908</v>
      </c>
      <c r="R401" s="30" t="n">
        <v>29240</v>
      </c>
      <c r="S401" s="30" t="n">
        <v>1302067</v>
      </c>
      <c r="T401" s="30" t="n">
        <v>604135</v>
      </c>
      <c r="U401" s="9"/>
      <c r="V401" s="9"/>
    </row>
    <row r="402" customFormat="false" ht="32.8" hidden="false" customHeight="false" outlineLevel="0" collapsed="false">
      <c r="A402" s="9" t="s">
        <v>678</v>
      </c>
      <c r="B402" s="9" t="s">
        <v>18</v>
      </c>
      <c r="C402" s="9"/>
      <c r="D402" s="9" t="s">
        <v>48</v>
      </c>
      <c r="E402" s="9" t="s">
        <v>917</v>
      </c>
      <c r="F402" s="9" t="n">
        <v>382</v>
      </c>
      <c r="G402" s="28" t="s">
        <v>918</v>
      </c>
      <c r="H402" s="29" t="n">
        <v>2040218</v>
      </c>
      <c r="I402" s="29" t="n">
        <v>2014066.28</v>
      </c>
      <c r="J402" s="29" t="n">
        <v>213741.98</v>
      </c>
      <c r="K402" s="29" t="n">
        <v>153737.13</v>
      </c>
      <c r="L402" s="30" t="n">
        <f aca="false">H402-I402</f>
        <v>26151.72</v>
      </c>
      <c r="M402" s="30" t="n">
        <f aca="false">H402-J402</f>
        <v>1826476.02</v>
      </c>
      <c r="N402" s="30" t="n">
        <f aca="false">H402-K402</f>
        <v>1886480.87</v>
      </c>
      <c r="O402" s="9" t="s">
        <v>919</v>
      </c>
      <c r="P402" s="9" t="str">
        <f aca="false">IF(H402=0,"Sin PIM",IF(ROUND(K402-H402,2)&gt;=0,"Devengado total",IF(J402&gt;0.005,"Comprometido",IF(I402&gt;0.005,"Solo certificado","Sin certificar"))))</f>
        <v>Comprometido</v>
      </c>
      <c r="Q402" s="30" t="n">
        <v>40218</v>
      </c>
      <c r="R402" s="30" t="n">
        <v>3757795</v>
      </c>
      <c r="S402" s="30" t="n">
        <v>698171</v>
      </c>
      <c r="T402" s="30" t="n">
        <v>0</v>
      </c>
      <c r="U402" s="9"/>
      <c r="V402" s="9"/>
    </row>
    <row r="403" customFormat="false" ht="43.25" hidden="false" customHeight="false" outlineLevel="0" collapsed="false">
      <c r="A403" s="9" t="s">
        <v>678</v>
      </c>
      <c r="B403" s="9" t="s">
        <v>18</v>
      </c>
      <c r="C403" s="9"/>
      <c r="D403" s="9" t="s">
        <v>48</v>
      </c>
      <c r="E403" s="9" t="s">
        <v>920</v>
      </c>
      <c r="F403" s="9" t="n">
        <v>437</v>
      </c>
      <c r="G403" s="28" t="s">
        <v>921</v>
      </c>
      <c r="H403" s="29" t="n">
        <v>3974680</v>
      </c>
      <c r="I403" s="29" t="n">
        <v>3830379.2</v>
      </c>
      <c r="J403" s="29" t="n">
        <v>188579.2</v>
      </c>
      <c r="K403" s="29" t="n">
        <v>141890.09</v>
      </c>
      <c r="L403" s="30" t="n">
        <f aca="false">H403-I403</f>
        <v>144300.8</v>
      </c>
      <c r="M403" s="30" t="n">
        <f aca="false">H403-J403</f>
        <v>3786100.8</v>
      </c>
      <c r="N403" s="30" t="n">
        <f aca="false">H403-K403</f>
        <v>3832789.91</v>
      </c>
      <c r="O403" s="9" t="s">
        <v>235</v>
      </c>
      <c r="P403" s="9" t="str">
        <f aca="false">IF(H403=0,"Sin PIM",IF(ROUND(K403-H403,2)&gt;=0,"Devengado total",IF(J403&gt;0.005,"Comprometido",IF(I403&gt;0.005,"Solo certificado","Sin certificar"))))</f>
        <v>Comprometido</v>
      </c>
      <c r="Q403" s="30" t="n">
        <v>2900000</v>
      </c>
      <c r="R403" s="30" t="n">
        <v>66882</v>
      </c>
      <c r="S403" s="30" t="n">
        <v>1</v>
      </c>
      <c r="T403" s="30" t="n">
        <v>0</v>
      </c>
      <c r="U403" s="9"/>
      <c r="V403" s="9"/>
    </row>
    <row r="404" customFormat="false" ht="53.7" hidden="false" customHeight="false" outlineLevel="0" collapsed="false">
      <c r="A404" s="9" t="s">
        <v>678</v>
      </c>
      <c r="B404" s="9" t="s">
        <v>18</v>
      </c>
      <c r="C404" s="9"/>
      <c r="D404" s="9" t="s">
        <v>48</v>
      </c>
      <c r="E404" s="9" t="s">
        <v>922</v>
      </c>
      <c r="F404" s="9" t="n">
        <v>454</v>
      </c>
      <c r="G404" s="28" t="s">
        <v>923</v>
      </c>
      <c r="H404" s="29" t="n">
        <v>80738</v>
      </c>
      <c r="I404" s="29" t="n">
        <v>0</v>
      </c>
      <c r="J404" s="29" t="n">
        <v>0</v>
      </c>
      <c r="K404" s="29" t="n">
        <v>0</v>
      </c>
      <c r="L404" s="30" t="n">
        <f aca="false">H404-I404</f>
        <v>80738</v>
      </c>
      <c r="M404" s="30" t="n">
        <f aca="false">H404-J404</f>
        <v>80738</v>
      </c>
      <c r="N404" s="30" t="n">
        <f aca="false">H404-K404</f>
        <v>80738</v>
      </c>
      <c r="O404" s="9" t="s">
        <v>133</v>
      </c>
      <c r="P404" s="9" t="str">
        <f aca="false">IF(H404=0,"Sin PIM",IF(ROUND(K404-H404,2)&gt;=0,"Devengado total",IF(J404&gt;0.005,"Comprometido",IF(I404&gt;0.005,"Solo certificado","Sin certificar"))))</f>
        <v>Sin certificar</v>
      </c>
      <c r="Q404" s="30" t="s">
        <v>97</v>
      </c>
      <c r="R404" s="30" t="s">
        <v>97</v>
      </c>
      <c r="S404" s="30" t="s">
        <v>97</v>
      </c>
      <c r="T404" s="30" t="s">
        <v>97</v>
      </c>
      <c r="U404" s="9"/>
      <c r="V404" s="9"/>
    </row>
    <row r="405" customFormat="false" ht="53.7" hidden="false" customHeight="false" outlineLevel="0" collapsed="false">
      <c r="A405" s="9" t="s">
        <v>678</v>
      </c>
      <c r="B405" s="9" t="s">
        <v>18</v>
      </c>
      <c r="C405" s="9"/>
      <c r="D405" s="9" t="s">
        <v>48</v>
      </c>
      <c r="E405" s="9" t="s">
        <v>896</v>
      </c>
      <c r="F405" s="9" t="n">
        <v>462</v>
      </c>
      <c r="G405" s="28" t="s">
        <v>924</v>
      </c>
      <c r="H405" s="29" t="n">
        <v>5872577</v>
      </c>
      <c r="I405" s="29" t="n">
        <v>3724247.82</v>
      </c>
      <c r="J405" s="29" t="n">
        <v>3181298.9</v>
      </c>
      <c r="K405" s="29" t="n">
        <v>2558179.3</v>
      </c>
      <c r="L405" s="30" t="n">
        <f aca="false">H405-I405</f>
        <v>2148329.18</v>
      </c>
      <c r="M405" s="30" t="n">
        <f aca="false">H405-J405</f>
        <v>2691278.1</v>
      </c>
      <c r="N405" s="30" t="n">
        <f aca="false">H405-K405</f>
        <v>3314397.7</v>
      </c>
      <c r="O405" s="9" t="s">
        <v>117</v>
      </c>
      <c r="P405" s="9" t="str">
        <f aca="false">IF(H405=0,"Sin PIM",IF(ROUND(K405-H405,2)&gt;=0,"Devengado total",IF(J405&gt;0.005,"Comprometido",IF(I405&gt;0.005,"Solo certificado","Sin certificar"))))</f>
        <v>Comprometido</v>
      </c>
      <c r="Q405" s="30" t="n">
        <v>2421000</v>
      </c>
      <c r="R405" s="30" t="n">
        <v>2508625</v>
      </c>
      <c r="S405" s="30" t="n">
        <v>546908</v>
      </c>
      <c r="T405" s="30" t="n">
        <v>170650</v>
      </c>
      <c r="U405" s="9"/>
      <c r="V405" s="9"/>
    </row>
    <row r="406" customFormat="false" ht="43.25" hidden="false" customHeight="false" outlineLevel="0" collapsed="false">
      <c r="A406" s="9" t="s">
        <v>678</v>
      </c>
      <c r="B406" s="9" t="s">
        <v>18</v>
      </c>
      <c r="C406" s="9"/>
      <c r="D406" s="9" t="s">
        <v>48</v>
      </c>
      <c r="E406" s="9" t="s">
        <v>925</v>
      </c>
      <c r="F406" s="9" t="n">
        <v>482</v>
      </c>
      <c r="G406" s="28" t="s">
        <v>926</v>
      </c>
      <c r="H406" s="29" t="n">
        <v>13758</v>
      </c>
      <c r="I406" s="29" t="n">
        <v>13758</v>
      </c>
      <c r="J406" s="29" t="n">
        <v>13758</v>
      </c>
      <c r="K406" s="29" t="n">
        <v>13212.64</v>
      </c>
      <c r="L406" s="30" t="n">
        <f aca="false">H406-I406</f>
        <v>0</v>
      </c>
      <c r="M406" s="30" t="n">
        <f aca="false">H406-J406</f>
        <v>0</v>
      </c>
      <c r="N406" s="30" t="n">
        <f aca="false">H406-K406</f>
        <v>545.360000000001</v>
      </c>
      <c r="O406" s="9" t="s">
        <v>120</v>
      </c>
      <c r="P406" s="9" t="str">
        <f aca="false">IF(H406=0,"Sin PIM",IF(ROUND(K406-H406,2)&gt;=0,"Devengado total",IF(J406&gt;0.005,"Comprometido",IF(I406&gt;0.005,"Solo certificado","Sin certificar"))))</f>
        <v>Comprometido</v>
      </c>
      <c r="Q406" s="30" t="n">
        <v>27014</v>
      </c>
      <c r="R406" s="30" t="n">
        <v>0</v>
      </c>
      <c r="S406" s="30" t="n">
        <v>0</v>
      </c>
      <c r="T406" s="30" t="n">
        <v>0</v>
      </c>
      <c r="U406" s="9"/>
      <c r="V406" s="9"/>
    </row>
    <row r="407" customFormat="false" ht="32.8" hidden="false" customHeight="false" outlineLevel="0" collapsed="false">
      <c r="A407" s="9" t="s">
        <v>678</v>
      </c>
      <c r="B407" s="9" t="s">
        <v>18</v>
      </c>
      <c r="C407" s="9"/>
      <c r="D407" s="9" t="s">
        <v>48</v>
      </c>
      <c r="E407" s="9" t="s">
        <v>927</v>
      </c>
      <c r="F407" s="9" t="n">
        <v>485</v>
      </c>
      <c r="G407" s="28" t="s">
        <v>928</v>
      </c>
      <c r="H407" s="29" t="n">
        <v>10277</v>
      </c>
      <c r="I407" s="29" t="n">
        <v>9570</v>
      </c>
      <c r="J407" s="29" t="n">
        <v>9570</v>
      </c>
      <c r="K407" s="29" t="n">
        <v>9564.68</v>
      </c>
      <c r="L407" s="30" t="n">
        <f aca="false">H407-I407</f>
        <v>707</v>
      </c>
      <c r="M407" s="30" t="n">
        <f aca="false">H407-J407</f>
        <v>707</v>
      </c>
      <c r="N407" s="30" t="n">
        <f aca="false">H407-K407</f>
        <v>712.32</v>
      </c>
      <c r="O407" s="9" t="s">
        <v>120</v>
      </c>
      <c r="P407" s="9" t="str">
        <f aca="false">IF(H407=0,"Sin PIM",IF(ROUND(K407-H407,2)&gt;=0,"Devengado total",IF(J407&gt;0.005,"Comprometido",IF(I407&gt;0.005,"Solo certificado","Sin certificar"))))</f>
        <v>Comprometido</v>
      </c>
      <c r="Q407" s="30" t="n">
        <v>10277</v>
      </c>
      <c r="R407" s="30" t="n">
        <v>27636</v>
      </c>
      <c r="S407" s="30" t="n">
        <v>0</v>
      </c>
      <c r="T407" s="30" t="n">
        <v>0</v>
      </c>
      <c r="U407" s="9"/>
      <c r="V407" s="9"/>
    </row>
    <row r="408" customFormat="false" ht="32.8" hidden="false" customHeight="false" outlineLevel="0" collapsed="false">
      <c r="A408" s="9" t="s">
        <v>678</v>
      </c>
      <c r="B408" s="9" t="s">
        <v>18</v>
      </c>
      <c r="C408" s="9"/>
      <c r="D408" s="9" t="s">
        <v>48</v>
      </c>
      <c r="E408" s="9" t="s">
        <v>929</v>
      </c>
      <c r="F408" s="9" t="n">
        <v>494</v>
      </c>
      <c r="G408" s="28" t="s">
        <v>930</v>
      </c>
      <c r="H408" s="29" t="n">
        <v>114255</v>
      </c>
      <c r="I408" s="29" t="n">
        <v>0</v>
      </c>
      <c r="J408" s="29" t="n">
        <v>0</v>
      </c>
      <c r="K408" s="29" t="n">
        <v>0</v>
      </c>
      <c r="L408" s="30" t="n">
        <f aca="false">H408-I408</f>
        <v>114255</v>
      </c>
      <c r="M408" s="30" t="n">
        <f aca="false">H408-J408</f>
        <v>114255</v>
      </c>
      <c r="N408" s="30" t="n">
        <f aca="false">H408-K408</f>
        <v>114255</v>
      </c>
      <c r="O408" s="9" t="s">
        <v>133</v>
      </c>
      <c r="P408" s="9" t="str">
        <f aca="false">IF(H408=0,"Sin PIM",IF(ROUND(K408-H408,2)&gt;=0,"Devengado total",IF(J408&gt;0.005,"Comprometido",IF(I408&gt;0.005,"Solo certificado","Sin certificar"))))</f>
        <v>Sin certificar</v>
      </c>
      <c r="Q408" s="30" t="s">
        <v>97</v>
      </c>
      <c r="R408" s="30" t="s">
        <v>97</v>
      </c>
      <c r="S408" s="30" t="s">
        <v>97</v>
      </c>
      <c r="T408" s="30" t="s">
        <v>97</v>
      </c>
      <c r="U408" s="9"/>
      <c r="V408" s="9"/>
    </row>
    <row r="409" customFormat="false" ht="53.7" hidden="false" customHeight="false" outlineLevel="0" collapsed="false">
      <c r="A409" s="9" t="s">
        <v>678</v>
      </c>
      <c r="B409" s="9" t="s">
        <v>18</v>
      </c>
      <c r="C409" s="9"/>
      <c r="D409" s="9" t="s">
        <v>48</v>
      </c>
      <c r="E409" s="9" t="s">
        <v>931</v>
      </c>
      <c r="F409" s="9" t="n">
        <v>497</v>
      </c>
      <c r="G409" s="28" t="s">
        <v>932</v>
      </c>
      <c r="H409" s="29" t="n">
        <v>36445</v>
      </c>
      <c r="I409" s="29" t="n">
        <v>0</v>
      </c>
      <c r="J409" s="29" t="n">
        <v>0</v>
      </c>
      <c r="K409" s="29" t="n">
        <v>0</v>
      </c>
      <c r="L409" s="30" t="n">
        <f aca="false">H409-I409</f>
        <v>36445</v>
      </c>
      <c r="M409" s="30" t="n">
        <f aca="false">H409-J409</f>
        <v>36445</v>
      </c>
      <c r="N409" s="30" t="n">
        <f aca="false">H409-K409</f>
        <v>36445</v>
      </c>
      <c r="O409" s="9" t="s">
        <v>133</v>
      </c>
      <c r="P409" s="9" t="str">
        <f aca="false">IF(H409=0,"Sin PIM",IF(ROUND(K409-H409,2)&gt;=0,"Devengado total",IF(J409&gt;0.005,"Comprometido",IF(I409&gt;0.005,"Solo certificado","Sin certificar"))))</f>
        <v>Sin certificar</v>
      </c>
      <c r="Q409" s="30" t="s">
        <v>97</v>
      </c>
      <c r="R409" s="30" t="s">
        <v>97</v>
      </c>
      <c r="S409" s="30" t="s">
        <v>97</v>
      </c>
      <c r="T409" s="30" t="s">
        <v>97</v>
      </c>
      <c r="U409" s="9"/>
      <c r="V409" s="9"/>
    </row>
    <row r="410" customFormat="false" ht="53.7" hidden="false" customHeight="false" outlineLevel="0" collapsed="false">
      <c r="A410" s="9" t="s">
        <v>678</v>
      </c>
      <c r="B410" s="9" t="s">
        <v>18</v>
      </c>
      <c r="C410" s="9"/>
      <c r="D410" s="9" t="s">
        <v>48</v>
      </c>
      <c r="E410" s="9" t="s">
        <v>933</v>
      </c>
      <c r="F410" s="9" t="n">
        <v>498</v>
      </c>
      <c r="G410" s="28" t="s">
        <v>934</v>
      </c>
      <c r="H410" s="29" t="n">
        <v>39485</v>
      </c>
      <c r="I410" s="29" t="n">
        <v>0</v>
      </c>
      <c r="J410" s="29" t="n">
        <v>0</v>
      </c>
      <c r="K410" s="29" t="n">
        <v>0</v>
      </c>
      <c r="L410" s="30" t="n">
        <f aca="false">H410-I410</f>
        <v>39485</v>
      </c>
      <c r="M410" s="30" t="n">
        <f aca="false">H410-J410</f>
        <v>39485</v>
      </c>
      <c r="N410" s="30" t="n">
        <f aca="false">H410-K410</f>
        <v>39485</v>
      </c>
      <c r="O410" s="9" t="s">
        <v>133</v>
      </c>
      <c r="P410" s="9" t="str">
        <f aca="false">IF(H410=0,"Sin PIM",IF(ROUND(K410-H410,2)&gt;=0,"Devengado total",IF(J410&gt;0.005,"Comprometido",IF(I410&gt;0.005,"Solo certificado","Sin certificar"))))</f>
        <v>Sin certificar</v>
      </c>
      <c r="Q410" s="30" t="s">
        <v>97</v>
      </c>
      <c r="R410" s="30" t="s">
        <v>97</v>
      </c>
      <c r="S410" s="30" t="s">
        <v>97</v>
      </c>
      <c r="T410" s="30" t="s">
        <v>97</v>
      </c>
      <c r="U410" s="9"/>
      <c r="V410" s="9"/>
    </row>
    <row r="411" customFormat="false" ht="43.25" hidden="false" customHeight="false" outlineLevel="0" collapsed="false">
      <c r="A411" s="9" t="s">
        <v>678</v>
      </c>
      <c r="B411" s="9" t="s">
        <v>18</v>
      </c>
      <c r="C411" s="9"/>
      <c r="D411" s="9" t="s">
        <v>48</v>
      </c>
      <c r="E411" s="9" t="s">
        <v>935</v>
      </c>
      <c r="F411" s="9" t="n">
        <v>524</v>
      </c>
      <c r="G411" s="28" t="s">
        <v>936</v>
      </c>
      <c r="H411" s="29" t="n">
        <v>25610</v>
      </c>
      <c r="I411" s="29" t="n">
        <v>0</v>
      </c>
      <c r="J411" s="29" t="n">
        <v>0</v>
      </c>
      <c r="K411" s="29" t="n">
        <v>0</v>
      </c>
      <c r="L411" s="30" t="n">
        <f aca="false">H411-I411</f>
        <v>25610</v>
      </c>
      <c r="M411" s="30" t="n">
        <f aca="false">H411-J411</f>
        <v>25610</v>
      </c>
      <c r="N411" s="30" t="n">
        <f aca="false">H411-K411</f>
        <v>25610</v>
      </c>
      <c r="O411" s="9" t="s">
        <v>133</v>
      </c>
      <c r="P411" s="9" t="str">
        <f aca="false">IF(H411=0,"Sin PIM",IF(ROUND(K411-H411,2)&gt;=0,"Devengado total",IF(J411&gt;0.005,"Comprometido",IF(I411&gt;0.005,"Solo certificado","Sin certificar"))))</f>
        <v>Sin certificar</v>
      </c>
      <c r="Q411" s="30" t="s">
        <v>97</v>
      </c>
      <c r="R411" s="30" t="s">
        <v>97</v>
      </c>
      <c r="S411" s="30" t="s">
        <v>97</v>
      </c>
      <c r="T411" s="30" t="s">
        <v>97</v>
      </c>
      <c r="U411" s="9"/>
      <c r="V411" s="9"/>
    </row>
    <row r="412" customFormat="false" ht="53.7" hidden="false" customHeight="false" outlineLevel="0" collapsed="false">
      <c r="A412" s="9" t="s">
        <v>678</v>
      </c>
      <c r="B412" s="9" t="s">
        <v>18</v>
      </c>
      <c r="C412" s="9"/>
      <c r="D412" s="9" t="s">
        <v>49</v>
      </c>
      <c r="E412" s="9" t="s">
        <v>937</v>
      </c>
      <c r="F412" s="9" t="n">
        <v>512</v>
      </c>
      <c r="G412" s="28" t="s">
        <v>938</v>
      </c>
      <c r="H412" s="29" t="n">
        <v>3254770</v>
      </c>
      <c r="I412" s="29" t="n">
        <v>2925559.55</v>
      </c>
      <c r="J412" s="29" t="n">
        <v>0</v>
      </c>
      <c r="K412" s="29" t="n">
        <v>0</v>
      </c>
      <c r="L412" s="30" t="n">
        <f aca="false">H412-I412</f>
        <v>329210.45</v>
      </c>
      <c r="M412" s="30" t="n">
        <f aca="false">H412-J412</f>
        <v>3254770</v>
      </c>
      <c r="N412" s="30" t="n">
        <f aca="false">H412-K412</f>
        <v>3254770</v>
      </c>
      <c r="O412" s="9" t="s">
        <v>939</v>
      </c>
      <c r="P412" s="9" t="str">
        <f aca="false">IF(H412=0,"Sin PIM",IF(ROUND(K412-H412,2)&gt;=0,"Devengado total",IF(J412&gt;0.005,"Comprometido",IF(I412&gt;0.005,"Solo certificado","Sin certificar"))))</f>
        <v>Solo certificado</v>
      </c>
      <c r="Q412" s="30" t="s">
        <v>97</v>
      </c>
      <c r="R412" s="30" t="s">
        <v>97</v>
      </c>
      <c r="S412" s="30" t="s">
        <v>97</v>
      </c>
      <c r="T412" s="30" t="s">
        <v>97</v>
      </c>
      <c r="U412" s="9"/>
      <c r="V412" s="9"/>
    </row>
    <row r="413" customFormat="false" ht="53.7" hidden="false" customHeight="false" outlineLevel="0" collapsed="false">
      <c r="A413" s="9" t="s">
        <v>678</v>
      </c>
      <c r="B413" s="9" t="s">
        <v>18</v>
      </c>
      <c r="C413" s="9"/>
      <c r="D413" s="9" t="s">
        <v>49</v>
      </c>
      <c r="E413" s="9" t="s">
        <v>940</v>
      </c>
      <c r="F413" s="9" t="n">
        <v>513</v>
      </c>
      <c r="G413" s="28" t="s">
        <v>941</v>
      </c>
      <c r="H413" s="29" t="n">
        <v>1007572</v>
      </c>
      <c r="I413" s="29" t="n">
        <v>838299.38</v>
      </c>
      <c r="J413" s="29" t="n">
        <v>0</v>
      </c>
      <c r="K413" s="29" t="n">
        <v>0</v>
      </c>
      <c r="L413" s="30" t="n">
        <f aca="false">H413-I413</f>
        <v>169272.62</v>
      </c>
      <c r="M413" s="30" t="n">
        <f aca="false">H413-J413</f>
        <v>1007572</v>
      </c>
      <c r="N413" s="30" t="n">
        <f aca="false">H413-K413</f>
        <v>1007572</v>
      </c>
      <c r="O413" s="9" t="s">
        <v>939</v>
      </c>
      <c r="P413" s="9" t="str">
        <f aca="false">IF(H413=0,"Sin PIM",IF(ROUND(K413-H413,2)&gt;=0,"Devengado total",IF(J413&gt;0.005,"Comprometido",IF(I413&gt;0.005,"Solo certificado","Sin certificar"))))</f>
        <v>Solo certificado</v>
      </c>
      <c r="Q413" s="30" t="s">
        <v>97</v>
      </c>
      <c r="R413" s="30" t="s">
        <v>97</v>
      </c>
      <c r="S413" s="30" t="s">
        <v>97</v>
      </c>
      <c r="T413" s="30" t="s">
        <v>97</v>
      </c>
      <c r="U413" s="9"/>
      <c r="V413" s="9"/>
    </row>
    <row r="414" customFormat="false" ht="43.25" hidden="false" customHeight="false" outlineLevel="0" collapsed="false">
      <c r="A414" s="9" t="s">
        <v>678</v>
      </c>
      <c r="B414" s="9" t="s">
        <v>18</v>
      </c>
      <c r="C414" s="9"/>
      <c r="D414" s="9" t="s">
        <v>49</v>
      </c>
      <c r="E414" s="9" t="s">
        <v>942</v>
      </c>
      <c r="F414" s="9" t="n">
        <v>515</v>
      </c>
      <c r="G414" s="28" t="s">
        <v>943</v>
      </c>
      <c r="H414" s="29" t="n">
        <v>1688098</v>
      </c>
      <c r="I414" s="29" t="n">
        <v>1486603.23</v>
      </c>
      <c r="J414" s="29" t="n">
        <v>0</v>
      </c>
      <c r="K414" s="29" t="n">
        <v>0</v>
      </c>
      <c r="L414" s="30" t="n">
        <f aca="false">H414-I414</f>
        <v>201494.77</v>
      </c>
      <c r="M414" s="30" t="n">
        <f aca="false">H414-J414</f>
        <v>1688098</v>
      </c>
      <c r="N414" s="30" t="n">
        <f aca="false">H414-K414</f>
        <v>1688098</v>
      </c>
      <c r="O414" s="9" t="s">
        <v>939</v>
      </c>
      <c r="P414" s="9" t="str">
        <f aca="false">IF(H414=0,"Sin PIM",IF(ROUND(K414-H414,2)&gt;=0,"Devengado total",IF(J414&gt;0.005,"Comprometido",IF(I414&gt;0.005,"Solo certificado","Sin certificar"))))</f>
        <v>Solo certificado</v>
      </c>
      <c r="Q414" s="30" t="s">
        <v>97</v>
      </c>
      <c r="R414" s="30" t="s">
        <v>97</v>
      </c>
      <c r="S414" s="30" t="s">
        <v>97</v>
      </c>
      <c r="T414" s="30" t="s">
        <v>97</v>
      </c>
      <c r="U414" s="9"/>
      <c r="V414" s="9"/>
    </row>
    <row r="415" customFormat="false" ht="43.25" hidden="false" customHeight="false" outlineLevel="0" collapsed="false">
      <c r="A415" s="9" t="s">
        <v>678</v>
      </c>
      <c r="B415" s="9" t="s">
        <v>18</v>
      </c>
      <c r="C415" s="9"/>
      <c r="D415" s="9" t="s">
        <v>49</v>
      </c>
      <c r="E415" s="9" t="s">
        <v>944</v>
      </c>
      <c r="F415" s="9" t="n">
        <v>509</v>
      </c>
      <c r="G415" s="28" t="s">
        <v>945</v>
      </c>
      <c r="H415" s="29" t="n">
        <v>680748</v>
      </c>
      <c r="I415" s="29" t="n">
        <v>538302.92</v>
      </c>
      <c r="J415" s="29" t="n">
        <v>0</v>
      </c>
      <c r="K415" s="29" t="n">
        <v>0</v>
      </c>
      <c r="L415" s="30" t="n">
        <f aca="false">H415-I415</f>
        <v>142445.08</v>
      </c>
      <c r="M415" s="30" t="n">
        <f aca="false">H415-J415</f>
        <v>680748</v>
      </c>
      <c r="N415" s="30" t="n">
        <f aca="false">H415-K415</f>
        <v>680748</v>
      </c>
      <c r="O415" s="9" t="s">
        <v>939</v>
      </c>
      <c r="P415" s="9" t="str">
        <f aca="false">IF(H415=0,"Sin PIM",IF(ROUND(K415-H415,2)&gt;=0,"Devengado total",IF(J415&gt;0.005,"Comprometido",IF(I415&gt;0.005,"Solo certificado","Sin certificar"))))</f>
        <v>Solo certificado</v>
      </c>
      <c r="Q415" s="30" t="s">
        <v>97</v>
      </c>
      <c r="R415" s="30" t="s">
        <v>97</v>
      </c>
      <c r="S415" s="30" t="s">
        <v>97</v>
      </c>
      <c r="T415" s="30" t="s">
        <v>97</v>
      </c>
      <c r="U415" s="9"/>
      <c r="V415" s="9"/>
    </row>
    <row r="416" customFormat="false" ht="43.25" hidden="false" customHeight="false" outlineLevel="0" collapsed="false">
      <c r="A416" s="9" t="s">
        <v>678</v>
      </c>
      <c r="B416" s="9" t="s">
        <v>18</v>
      </c>
      <c r="C416" s="9"/>
      <c r="D416" s="9" t="s">
        <v>49</v>
      </c>
      <c r="E416" s="9" t="s">
        <v>946</v>
      </c>
      <c r="F416" s="9" t="n">
        <v>510</v>
      </c>
      <c r="G416" s="28" t="s">
        <v>947</v>
      </c>
      <c r="H416" s="29" t="n">
        <v>670100</v>
      </c>
      <c r="I416" s="29" t="n">
        <v>532791.97</v>
      </c>
      <c r="J416" s="29" t="n">
        <v>0</v>
      </c>
      <c r="K416" s="29" t="n">
        <v>0</v>
      </c>
      <c r="L416" s="30" t="n">
        <f aca="false">H416-I416</f>
        <v>137308.03</v>
      </c>
      <c r="M416" s="30" t="n">
        <f aca="false">H416-J416</f>
        <v>670100</v>
      </c>
      <c r="N416" s="30" t="n">
        <f aca="false">H416-K416</f>
        <v>670100</v>
      </c>
      <c r="O416" s="9" t="s">
        <v>939</v>
      </c>
      <c r="P416" s="9" t="str">
        <f aca="false">IF(H416=0,"Sin PIM",IF(ROUND(K416-H416,2)&gt;=0,"Devengado total",IF(J416&gt;0.005,"Comprometido",IF(I416&gt;0.005,"Solo certificado","Sin certificar"))))</f>
        <v>Solo certificado</v>
      </c>
      <c r="Q416" s="30" t="s">
        <v>97</v>
      </c>
      <c r="R416" s="30" t="s">
        <v>97</v>
      </c>
      <c r="S416" s="30" t="s">
        <v>97</v>
      </c>
      <c r="T416" s="30" t="s">
        <v>97</v>
      </c>
      <c r="U416" s="9"/>
      <c r="V416" s="9"/>
    </row>
    <row r="417" customFormat="false" ht="43.25" hidden="false" customHeight="false" outlineLevel="0" collapsed="false">
      <c r="A417" s="9" t="s">
        <v>678</v>
      </c>
      <c r="B417" s="9" t="s">
        <v>18</v>
      </c>
      <c r="C417" s="9"/>
      <c r="D417" s="9" t="s">
        <v>49</v>
      </c>
      <c r="E417" s="9" t="s">
        <v>948</v>
      </c>
      <c r="F417" s="9" t="n">
        <v>511</v>
      </c>
      <c r="G417" s="28" t="s">
        <v>949</v>
      </c>
      <c r="H417" s="29" t="n">
        <v>388514</v>
      </c>
      <c r="I417" s="29" t="n">
        <v>269223.84</v>
      </c>
      <c r="J417" s="29" t="n">
        <v>0</v>
      </c>
      <c r="K417" s="29" t="n">
        <v>0</v>
      </c>
      <c r="L417" s="30" t="n">
        <f aca="false">H417-I417</f>
        <v>119290.16</v>
      </c>
      <c r="M417" s="30" t="n">
        <f aca="false">H417-J417</f>
        <v>388514</v>
      </c>
      <c r="N417" s="30" t="n">
        <f aca="false">H417-K417</f>
        <v>388514</v>
      </c>
      <c r="O417" s="9" t="s">
        <v>939</v>
      </c>
      <c r="P417" s="9" t="str">
        <f aca="false">IF(H417=0,"Sin PIM",IF(ROUND(K417-H417,2)&gt;=0,"Devengado total",IF(J417&gt;0.005,"Comprometido",IF(I417&gt;0.005,"Solo certificado","Sin certificar"))))</f>
        <v>Solo certificado</v>
      </c>
      <c r="Q417" s="30" t="s">
        <v>97</v>
      </c>
      <c r="R417" s="30" t="s">
        <v>97</v>
      </c>
      <c r="S417" s="30" t="s">
        <v>97</v>
      </c>
      <c r="T417" s="30" t="s">
        <v>97</v>
      </c>
      <c r="U417" s="9"/>
      <c r="V417" s="9"/>
    </row>
    <row r="418" customFormat="false" ht="53.7" hidden="false" customHeight="false" outlineLevel="0" collapsed="false">
      <c r="A418" s="9" t="s">
        <v>678</v>
      </c>
      <c r="B418" s="9" t="s">
        <v>18</v>
      </c>
      <c r="C418" s="9"/>
      <c r="D418" s="9" t="s">
        <v>49</v>
      </c>
      <c r="E418" s="9" t="s">
        <v>950</v>
      </c>
      <c r="F418" s="9" t="n">
        <v>514</v>
      </c>
      <c r="G418" s="28" t="s">
        <v>951</v>
      </c>
      <c r="H418" s="29" t="n">
        <v>542416</v>
      </c>
      <c r="I418" s="29" t="n">
        <v>401911.51</v>
      </c>
      <c r="J418" s="29" t="n">
        <v>0</v>
      </c>
      <c r="K418" s="29" t="n">
        <v>0</v>
      </c>
      <c r="L418" s="30" t="n">
        <f aca="false">H418-I418</f>
        <v>140504.49</v>
      </c>
      <c r="M418" s="30" t="n">
        <f aca="false">H418-J418</f>
        <v>542416</v>
      </c>
      <c r="N418" s="30" t="n">
        <f aca="false">H418-K418</f>
        <v>542416</v>
      </c>
      <c r="O418" s="9" t="s">
        <v>939</v>
      </c>
      <c r="P418" s="9" t="str">
        <f aca="false">IF(H418=0,"Sin PIM",IF(ROUND(K418-H418,2)&gt;=0,"Devengado total",IF(J418&gt;0.005,"Comprometido",IF(I418&gt;0.005,"Solo certificado","Sin certificar"))))</f>
        <v>Solo certificado</v>
      </c>
      <c r="Q418" s="30" t="s">
        <v>97</v>
      </c>
      <c r="R418" s="30" t="s">
        <v>97</v>
      </c>
      <c r="S418" s="30" t="s">
        <v>97</v>
      </c>
      <c r="T418" s="30" t="s">
        <v>97</v>
      </c>
      <c r="U418" s="9"/>
      <c r="V418" s="9"/>
    </row>
    <row r="419" customFormat="false" ht="53.7" hidden="false" customHeight="false" outlineLevel="0" collapsed="false">
      <c r="A419" s="9" t="s">
        <v>678</v>
      </c>
      <c r="B419" s="9" t="s">
        <v>18</v>
      </c>
      <c r="C419" s="9"/>
      <c r="D419" s="9" t="s">
        <v>49</v>
      </c>
      <c r="E419" s="9" t="s">
        <v>952</v>
      </c>
      <c r="F419" s="9" t="n">
        <v>516</v>
      </c>
      <c r="G419" s="28" t="s">
        <v>953</v>
      </c>
      <c r="H419" s="29" t="n">
        <v>928545</v>
      </c>
      <c r="I419" s="29" t="n">
        <v>0</v>
      </c>
      <c r="J419" s="29" t="n">
        <v>0</v>
      </c>
      <c r="K419" s="29" t="n">
        <v>0</v>
      </c>
      <c r="L419" s="30" t="n">
        <f aca="false">H419-I419</f>
        <v>928545</v>
      </c>
      <c r="M419" s="30" t="n">
        <f aca="false">H419-J419</f>
        <v>928545</v>
      </c>
      <c r="N419" s="30" t="n">
        <f aca="false">H419-K419</f>
        <v>928545</v>
      </c>
      <c r="O419" s="9" t="s">
        <v>316</v>
      </c>
      <c r="P419" s="9" t="str">
        <f aca="false">IF(H419=0,"Sin PIM",IF(ROUND(K419-H419,2)&gt;=0,"Devengado total",IF(J419&gt;0.005,"Comprometido",IF(I419&gt;0.005,"Solo certificado","Sin certificar"))))</f>
        <v>Sin certificar</v>
      </c>
      <c r="Q419" s="30" t="s">
        <v>97</v>
      </c>
      <c r="R419" s="30" t="s">
        <v>97</v>
      </c>
      <c r="S419" s="30" t="s">
        <v>97</v>
      </c>
      <c r="T419" s="30" t="s">
        <v>97</v>
      </c>
      <c r="U419" s="9"/>
      <c r="V419" s="9"/>
    </row>
    <row r="420" customFormat="false" ht="32.8" hidden="false" customHeight="false" outlineLevel="0" collapsed="false">
      <c r="A420" s="9" t="s">
        <v>678</v>
      </c>
      <c r="B420" s="9" t="s">
        <v>18</v>
      </c>
      <c r="C420" s="9"/>
      <c r="D420" s="9" t="s">
        <v>49</v>
      </c>
      <c r="E420" s="9" t="s">
        <v>954</v>
      </c>
      <c r="F420" s="9" t="n">
        <v>348</v>
      </c>
      <c r="G420" s="28" t="s">
        <v>955</v>
      </c>
      <c r="H420" s="29" t="n">
        <v>70059</v>
      </c>
      <c r="I420" s="29" t="n">
        <v>70057.9</v>
      </c>
      <c r="J420" s="29" t="n">
        <v>70057.9</v>
      </c>
      <c r="K420" s="29" t="n">
        <v>70029.94</v>
      </c>
      <c r="L420" s="30" t="n">
        <f aca="false">H420-I420</f>
        <v>1.10000000000582</v>
      </c>
      <c r="M420" s="30" t="n">
        <f aca="false">H420-J420</f>
        <v>1.10000000000582</v>
      </c>
      <c r="N420" s="30" t="n">
        <f aca="false">H420-K420</f>
        <v>29.0599999999977</v>
      </c>
      <c r="O420" s="9" t="s">
        <v>956</v>
      </c>
      <c r="P420" s="9" t="str">
        <f aca="false">IF(H420=0,"Sin PIM",IF(ROUND(K420-H420,2)&gt;=0,"Devengado total",IF(J420&gt;0.005,"Comprometido",IF(I420&gt;0.005,"Solo certificado","Sin certificar"))))</f>
        <v>Comprometido</v>
      </c>
      <c r="Q420" s="30" t="n">
        <v>105988</v>
      </c>
      <c r="R420" s="30" t="n">
        <v>0</v>
      </c>
      <c r="S420" s="30" t="n">
        <v>35929</v>
      </c>
      <c r="T420" s="30" t="n">
        <v>0</v>
      </c>
      <c r="U420" s="9"/>
      <c r="V420" s="9"/>
    </row>
    <row r="421" customFormat="false" ht="32.8" hidden="false" customHeight="false" outlineLevel="0" collapsed="false">
      <c r="A421" s="9" t="s">
        <v>678</v>
      </c>
      <c r="B421" s="9" t="s">
        <v>18</v>
      </c>
      <c r="C421" s="9"/>
      <c r="D421" s="9" t="s">
        <v>49</v>
      </c>
      <c r="E421" s="9" t="s">
        <v>957</v>
      </c>
      <c r="F421" s="9" t="n">
        <v>349</v>
      </c>
      <c r="G421" s="28" t="s">
        <v>958</v>
      </c>
      <c r="H421" s="29" t="n">
        <v>100785</v>
      </c>
      <c r="I421" s="29" t="n">
        <v>100589.42</v>
      </c>
      <c r="J421" s="29" t="n">
        <v>95863.67</v>
      </c>
      <c r="K421" s="29" t="n">
        <v>88974.89</v>
      </c>
      <c r="L421" s="30" t="n">
        <f aca="false">H421-I421</f>
        <v>195.580000000002</v>
      </c>
      <c r="M421" s="30" t="n">
        <f aca="false">H421-J421</f>
        <v>4921.32999999999</v>
      </c>
      <c r="N421" s="30" t="n">
        <f aca="false">H421-K421</f>
        <v>11810.11</v>
      </c>
      <c r="O421" s="9" t="s">
        <v>959</v>
      </c>
      <c r="P421" s="9" t="str">
        <f aca="false">IF(H421=0,"Sin PIM",IF(ROUND(K421-H421,2)&gt;=0,"Devengado total",IF(J421&gt;0.005,"Comprometido",IF(I421&gt;0.005,"Solo certificado","Sin certificar"))))</f>
        <v>Comprometido</v>
      </c>
      <c r="Q421" s="30" t="n">
        <v>155899</v>
      </c>
      <c r="R421" s="30" t="n">
        <v>0</v>
      </c>
      <c r="S421" s="30" t="n">
        <v>55114</v>
      </c>
      <c r="T421" s="30" t="n">
        <v>0</v>
      </c>
      <c r="U421" s="9"/>
      <c r="V421" s="9"/>
    </row>
    <row r="422" customFormat="false" ht="32.8" hidden="false" customHeight="false" outlineLevel="0" collapsed="false">
      <c r="A422" s="9" t="s">
        <v>678</v>
      </c>
      <c r="B422" s="9" t="s">
        <v>18</v>
      </c>
      <c r="C422" s="9"/>
      <c r="D422" s="9" t="s">
        <v>49</v>
      </c>
      <c r="E422" s="9" t="s">
        <v>960</v>
      </c>
      <c r="F422" s="9" t="n">
        <v>461</v>
      </c>
      <c r="G422" s="28" t="s">
        <v>961</v>
      </c>
      <c r="H422" s="29" t="n">
        <v>195079</v>
      </c>
      <c r="I422" s="29" t="n">
        <v>186354</v>
      </c>
      <c r="J422" s="29" t="n">
        <v>186354</v>
      </c>
      <c r="K422" s="29" t="n">
        <v>176804.43</v>
      </c>
      <c r="L422" s="30" t="n">
        <f aca="false">H422-I422</f>
        <v>8725</v>
      </c>
      <c r="M422" s="30" t="n">
        <f aca="false">H422-J422</f>
        <v>8725</v>
      </c>
      <c r="N422" s="30" t="n">
        <f aca="false">H422-K422</f>
        <v>18274.57</v>
      </c>
      <c r="O422" s="9" t="s">
        <v>103</v>
      </c>
      <c r="P422" s="9" t="str">
        <f aca="false">IF(H422=0,"Sin PIM",IF(ROUND(K422-H422,2)&gt;=0,"Devengado total",IF(J422&gt;0.005,"Comprometido",IF(I422&gt;0.005,"Solo certificado","Sin certificar"))))</f>
        <v>Comprometido</v>
      </c>
      <c r="Q422" s="30" t="n">
        <v>195079</v>
      </c>
      <c r="R422" s="30" t="n">
        <v>23547</v>
      </c>
      <c r="S422" s="30" t="n">
        <v>1</v>
      </c>
      <c r="T422" s="30" t="n">
        <v>0</v>
      </c>
      <c r="U422" s="9"/>
      <c r="V422" s="9"/>
    </row>
    <row r="423" customFormat="false" ht="43.25" hidden="false" customHeight="false" outlineLevel="0" collapsed="false">
      <c r="A423" s="9" t="s">
        <v>678</v>
      </c>
      <c r="B423" s="9" t="s">
        <v>18</v>
      </c>
      <c r="C423" s="9"/>
      <c r="D423" s="9" t="s">
        <v>69</v>
      </c>
      <c r="E423" s="9" t="s">
        <v>962</v>
      </c>
      <c r="F423" s="9" t="n">
        <v>3</v>
      </c>
      <c r="G423" s="28" t="s">
        <v>963</v>
      </c>
      <c r="H423" s="29" t="n">
        <v>6654893</v>
      </c>
      <c r="I423" s="29" t="n">
        <v>6543805.69</v>
      </c>
      <c r="J423" s="29" t="n">
        <v>5755749.69</v>
      </c>
      <c r="K423" s="29" t="n">
        <v>5720622.97</v>
      </c>
      <c r="L423" s="30" t="n">
        <f aca="false">H423-I423</f>
        <v>111087.310000001</v>
      </c>
      <c r="M423" s="30" t="n">
        <f aca="false">H423-J423</f>
        <v>899143.310000002</v>
      </c>
      <c r="N423" s="30" t="n">
        <f aca="false">H423-K423</f>
        <v>934270.03</v>
      </c>
      <c r="O423" s="9" t="s">
        <v>235</v>
      </c>
      <c r="P423" s="9" t="str">
        <f aca="false">IF(H423=0,"Sin PIM",IF(ROUND(K423-H423,2)&gt;=0,"Devengado total",IF(J423&gt;0.005,"Comprometido",IF(I423&gt;0.005,"Solo certificado","Sin certificar"))))</f>
        <v>Comprometido</v>
      </c>
      <c r="Q423" s="30" t="n">
        <v>100000</v>
      </c>
      <c r="R423" s="30" t="n">
        <v>218816</v>
      </c>
      <c r="S423" s="30" t="n">
        <v>309853</v>
      </c>
      <c r="T423" s="30" t="n">
        <v>0</v>
      </c>
      <c r="U423" s="9"/>
      <c r="V423" s="9"/>
    </row>
    <row r="424" customFormat="false" ht="32.8" hidden="false" customHeight="false" outlineLevel="0" collapsed="false">
      <c r="A424" s="9" t="s">
        <v>678</v>
      </c>
      <c r="B424" s="9" t="s">
        <v>18</v>
      </c>
      <c r="C424" s="9"/>
      <c r="D424" s="9" t="s">
        <v>69</v>
      </c>
      <c r="E424" s="9" t="s">
        <v>964</v>
      </c>
      <c r="F424" s="9" t="n">
        <v>286</v>
      </c>
      <c r="G424" s="28" t="s">
        <v>965</v>
      </c>
      <c r="H424" s="29" t="n">
        <v>5281360</v>
      </c>
      <c r="I424" s="29" t="n">
        <v>4436688.09</v>
      </c>
      <c r="J424" s="29" t="n">
        <v>176909.69</v>
      </c>
      <c r="K424" s="29" t="n">
        <v>140516.63</v>
      </c>
      <c r="L424" s="30" t="n">
        <f aca="false">H424-I424</f>
        <v>844671.91</v>
      </c>
      <c r="M424" s="30" t="n">
        <f aca="false">H424-J424</f>
        <v>5104450.31</v>
      </c>
      <c r="N424" s="30" t="n">
        <f aca="false">H424-K424</f>
        <v>5140843.37</v>
      </c>
      <c r="O424" s="9" t="s">
        <v>235</v>
      </c>
      <c r="P424" s="9" t="str">
        <f aca="false">IF(H424=0,"Sin PIM",IF(ROUND(K424-H424,2)&gt;=0,"Devengado total",IF(J424&gt;0.005,"Comprometido",IF(I424&gt;0.005,"Solo certificado","Sin certificar"))))</f>
        <v>Comprometido</v>
      </c>
      <c r="Q424" s="30" t="n">
        <v>5358341</v>
      </c>
      <c r="R424" s="30" t="n">
        <v>6902686</v>
      </c>
      <c r="S424" s="30" t="n">
        <v>800000</v>
      </c>
      <c r="T424" s="30" t="n">
        <v>800000</v>
      </c>
      <c r="U424" s="9"/>
      <c r="V424" s="9"/>
    </row>
    <row r="425" customFormat="false" ht="53.7" hidden="false" customHeight="false" outlineLevel="0" collapsed="false">
      <c r="A425" s="9" t="s">
        <v>678</v>
      </c>
      <c r="B425" s="9" t="s">
        <v>18</v>
      </c>
      <c r="C425" s="9"/>
      <c r="D425" s="9" t="s">
        <v>53</v>
      </c>
      <c r="E425" s="9" t="s">
        <v>966</v>
      </c>
      <c r="F425" s="9" t="n">
        <v>266</v>
      </c>
      <c r="G425" s="28" t="s">
        <v>967</v>
      </c>
      <c r="H425" s="29" t="n">
        <v>0</v>
      </c>
      <c r="I425" s="29" t="n">
        <v>0</v>
      </c>
      <c r="J425" s="29" t="n">
        <v>0</v>
      </c>
      <c r="K425" s="29" t="n">
        <v>0</v>
      </c>
      <c r="L425" s="30" t="n">
        <f aca="false">H425-I425</f>
        <v>0</v>
      </c>
      <c r="M425" s="30" t="n">
        <f aca="false">H425-J425</f>
        <v>0</v>
      </c>
      <c r="N425" s="30" t="n">
        <f aca="false">H425-K425</f>
        <v>0</v>
      </c>
      <c r="O425" s="9" t="s">
        <v>120</v>
      </c>
      <c r="P425" s="9" t="str">
        <f aca="false">IF(H425=0,"Sin PIM",IF(ROUND(K425-H425,2)&gt;=0,"Devengado total",IF(J425&gt;0.005,"Comprometido",IF(I425&gt;0.005,"Solo certificado","Sin certificar"))))</f>
        <v>Sin PIM</v>
      </c>
      <c r="Q425" s="30" t="n">
        <v>200000</v>
      </c>
      <c r="R425" s="30" t="n">
        <v>0</v>
      </c>
      <c r="S425" s="30" t="n">
        <v>0</v>
      </c>
      <c r="T425" s="30" t="n">
        <v>0</v>
      </c>
      <c r="U425" s="9"/>
      <c r="V425" s="9"/>
    </row>
    <row r="426" customFormat="false" ht="15" hidden="false" customHeight="false" outlineLevel="0" collapsed="false">
      <c r="A426" s="9" t="s">
        <v>678</v>
      </c>
      <c r="B426" s="9" t="s">
        <v>19</v>
      </c>
      <c r="C426" s="9"/>
      <c r="D426" s="9"/>
      <c r="E426" s="9" t="s">
        <v>968</v>
      </c>
      <c r="F426" s="9" t="n">
        <v>213</v>
      </c>
      <c r="G426" s="28" t="s">
        <v>969</v>
      </c>
      <c r="H426" s="29" t="n">
        <v>185239</v>
      </c>
      <c r="I426" s="29" t="n">
        <v>0</v>
      </c>
      <c r="J426" s="29" t="n">
        <v>0</v>
      </c>
      <c r="K426" s="29" t="n">
        <v>0</v>
      </c>
      <c r="L426" s="30" t="n">
        <f aca="false">H426-I426</f>
        <v>185239</v>
      </c>
      <c r="M426" s="30" t="n">
        <f aca="false">H426-J426</f>
        <v>185239</v>
      </c>
      <c r="N426" s="30" t="n">
        <f aca="false">H426-K426</f>
        <v>185239</v>
      </c>
      <c r="O426" s="9" t="s">
        <v>695</v>
      </c>
      <c r="P426" s="9" t="str">
        <f aca="false">IF(H426=0,"Sin PIM",IF(ROUND(K426-H426,2)&gt;=0,"Devengado total",IF(J426&gt;0.005,"Comprometido",IF(I426&gt;0.005,"Solo certificado","Sin certificar"))))</f>
        <v>Sin certificar</v>
      </c>
      <c r="Q426" s="30" t="s">
        <v>97</v>
      </c>
      <c r="R426" s="30" t="s">
        <v>97</v>
      </c>
      <c r="S426" s="30" t="s">
        <v>97</v>
      </c>
      <c r="T426" s="30" t="s">
        <v>97</v>
      </c>
      <c r="U426" s="9"/>
      <c r="V426" s="9"/>
    </row>
    <row r="427" customFormat="false" ht="15" hidden="false" customHeight="false" outlineLevel="0" collapsed="false">
      <c r="A427" s="9" t="s">
        <v>678</v>
      </c>
      <c r="B427" s="9" t="s">
        <v>19</v>
      </c>
      <c r="C427" s="9"/>
      <c r="D427" s="9"/>
      <c r="E427" s="9" t="s">
        <v>968</v>
      </c>
      <c r="F427" s="9" t="n">
        <v>214</v>
      </c>
      <c r="G427" s="28" t="s">
        <v>969</v>
      </c>
      <c r="H427" s="29" t="n">
        <v>39457</v>
      </c>
      <c r="I427" s="29" t="n">
        <v>0</v>
      </c>
      <c r="J427" s="29" t="n">
        <v>0</v>
      </c>
      <c r="K427" s="29" t="n">
        <v>0</v>
      </c>
      <c r="L427" s="30" t="n">
        <f aca="false">H427-I427</f>
        <v>39457</v>
      </c>
      <c r="M427" s="30" t="n">
        <f aca="false">H427-J427</f>
        <v>39457</v>
      </c>
      <c r="N427" s="30" t="n">
        <f aca="false">H427-K427</f>
        <v>39457</v>
      </c>
      <c r="O427" s="9" t="s">
        <v>695</v>
      </c>
      <c r="P427" s="9" t="str">
        <f aca="false">IF(H427=0,"Sin PIM",IF(ROUND(K427-H427,2)&gt;=0,"Devengado total",IF(J427&gt;0.005,"Comprometido",IF(I427&gt;0.005,"Solo certificado","Sin certificar"))))</f>
        <v>Sin certificar</v>
      </c>
      <c r="Q427" s="30" t="s">
        <v>97</v>
      </c>
      <c r="R427" s="30" t="s">
        <v>97</v>
      </c>
      <c r="S427" s="30" t="s">
        <v>97</v>
      </c>
      <c r="T427" s="30" t="s">
        <v>97</v>
      </c>
      <c r="U427" s="9"/>
      <c r="V427" s="9"/>
    </row>
    <row r="428" customFormat="false" ht="15" hidden="false" customHeight="false" outlineLevel="0" collapsed="false">
      <c r="A428" s="9" t="s">
        <v>678</v>
      </c>
      <c r="B428" s="9" t="s">
        <v>19</v>
      </c>
      <c r="C428" s="9"/>
      <c r="D428" s="9"/>
      <c r="E428" s="9" t="s">
        <v>968</v>
      </c>
      <c r="F428" s="9" t="n">
        <v>215</v>
      </c>
      <c r="G428" s="28" t="s">
        <v>969</v>
      </c>
      <c r="H428" s="29" t="n">
        <v>0</v>
      </c>
      <c r="I428" s="29" t="n">
        <v>0</v>
      </c>
      <c r="J428" s="29" t="n">
        <v>0</v>
      </c>
      <c r="K428" s="29" t="n">
        <v>0</v>
      </c>
      <c r="L428" s="30" t="n">
        <f aca="false">H428-I428</f>
        <v>0</v>
      </c>
      <c r="M428" s="30" t="n">
        <f aca="false">H428-J428</f>
        <v>0</v>
      </c>
      <c r="N428" s="30" t="n">
        <f aca="false">H428-K428</f>
        <v>0</v>
      </c>
      <c r="O428" s="9" t="s">
        <v>695</v>
      </c>
      <c r="P428" s="9" t="str">
        <f aca="false">IF(H428=0,"Sin PIM",IF(ROUND(K428-H428,2)&gt;=0,"Devengado total",IF(J428&gt;0.005,"Comprometido",IF(I428&gt;0.005,"Solo certificado","Sin certificar"))))</f>
        <v>Sin PIM</v>
      </c>
      <c r="Q428" s="30" t="s">
        <v>97</v>
      </c>
      <c r="R428" s="30" t="s">
        <v>97</v>
      </c>
      <c r="S428" s="30" t="s">
        <v>97</v>
      </c>
      <c r="T428" s="30" t="s">
        <v>97</v>
      </c>
      <c r="U428" s="9"/>
      <c r="V428" s="9"/>
    </row>
    <row r="429" customFormat="false" ht="15" hidden="false" customHeight="false" outlineLevel="0" collapsed="false">
      <c r="A429" s="9" t="s">
        <v>678</v>
      </c>
      <c r="B429" s="9" t="s">
        <v>19</v>
      </c>
      <c r="C429" s="9"/>
      <c r="D429" s="9"/>
      <c r="E429" s="9" t="s">
        <v>968</v>
      </c>
      <c r="F429" s="9" t="n">
        <v>428</v>
      </c>
      <c r="G429" s="28" t="s">
        <v>969</v>
      </c>
      <c r="H429" s="29" t="n">
        <v>1185238</v>
      </c>
      <c r="I429" s="29" t="n">
        <v>1131681.41</v>
      </c>
      <c r="J429" s="29" t="n">
        <v>1127840.41</v>
      </c>
      <c r="K429" s="29" t="n">
        <v>1093656.38</v>
      </c>
      <c r="L429" s="30" t="n">
        <f aca="false">H429-I429</f>
        <v>53556.5900000001</v>
      </c>
      <c r="M429" s="30" t="n">
        <f aca="false">H429-J429</f>
        <v>57397.5900000001</v>
      </c>
      <c r="N429" s="30" t="n">
        <f aca="false">H429-K429</f>
        <v>91581.6200000001</v>
      </c>
      <c r="O429" s="9" t="s">
        <v>695</v>
      </c>
      <c r="P429" s="9" t="str">
        <f aca="false">IF(H429=0,"Sin PIM",IF(ROUND(K429-H429,2)&gt;=0,"Devengado total",IF(J429&gt;0.005,"Comprometido",IF(I429&gt;0.005,"Solo certificado","Sin certificar"))))</f>
        <v>Comprometido</v>
      </c>
      <c r="Q429" s="30" t="s">
        <v>97</v>
      </c>
      <c r="R429" s="30" t="s">
        <v>97</v>
      </c>
      <c r="S429" s="30" t="s">
        <v>97</v>
      </c>
      <c r="T429" s="30" t="s">
        <v>97</v>
      </c>
      <c r="U429" s="9"/>
      <c r="V429" s="9"/>
    </row>
    <row r="430" customFormat="false" ht="15" hidden="false" customHeight="false" outlineLevel="0" collapsed="false">
      <c r="A430" s="9" t="s">
        <v>678</v>
      </c>
      <c r="B430" s="9" t="s">
        <v>19</v>
      </c>
      <c r="C430" s="9"/>
      <c r="D430" s="9"/>
      <c r="E430" s="9" t="s">
        <v>968</v>
      </c>
      <c r="F430" s="9" t="n">
        <v>429</v>
      </c>
      <c r="G430" s="28" t="s">
        <v>969</v>
      </c>
      <c r="H430" s="29" t="n">
        <v>303086</v>
      </c>
      <c r="I430" s="29" t="n">
        <v>276239.45</v>
      </c>
      <c r="J430" s="29" t="n">
        <v>276239.45</v>
      </c>
      <c r="K430" s="29" t="n">
        <v>275941</v>
      </c>
      <c r="L430" s="30" t="n">
        <f aca="false">H430-I430</f>
        <v>26846.55</v>
      </c>
      <c r="M430" s="30" t="n">
        <f aca="false">H430-J430</f>
        <v>26846.55</v>
      </c>
      <c r="N430" s="30" t="n">
        <f aca="false">H430-K430</f>
        <v>27145</v>
      </c>
      <c r="O430" s="9" t="s">
        <v>695</v>
      </c>
      <c r="P430" s="9" t="str">
        <f aca="false">IF(H430=0,"Sin PIM",IF(ROUND(K430-H430,2)&gt;=0,"Devengado total",IF(J430&gt;0.005,"Comprometido",IF(I430&gt;0.005,"Solo certificado","Sin certificar"))))</f>
        <v>Comprometido</v>
      </c>
      <c r="Q430" s="30" t="s">
        <v>97</v>
      </c>
      <c r="R430" s="30" t="s">
        <v>97</v>
      </c>
      <c r="S430" s="30" t="s">
        <v>97</v>
      </c>
      <c r="T430" s="30" t="s">
        <v>97</v>
      </c>
      <c r="U430" s="9"/>
      <c r="V430" s="9"/>
    </row>
    <row r="431" customFormat="false" ht="15" hidden="false" customHeight="false" outlineLevel="0" collapsed="false">
      <c r="A431" s="9" t="s">
        <v>678</v>
      </c>
      <c r="B431" s="9" t="s">
        <v>19</v>
      </c>
      <c r="C431" s="9"/>
      <c r="D431" s="9"/>
      <c r="E431" s="9" t="s">
        <v>968</v>
      </c>
      <c r="F431" s="9" t="n">
        <v>430</v>
      </c>
      <c r="G431" s="28" t="s">
        <v>969</v>
      </c>
      <c r="H431" s="29" t="n">
        <v>1857675</v>
      </c>
      <c r="I431" s="29" t="n">
        <v>1434566.03</v>
      </c>
      <c r="J431" s="29" t="n">
        <v>1430628.78</v>
      </c>
      <c r="K431" s="29" t="n">
        <v>1386835.53</v>
      </c>
      <c r="L431" s="30" t="n">
        <f aca="false">H431-I431</f>
        <v>423108.97</v>
      </c>
      <c r="M431" s="30" t="n">
        <f aca="false">H431-J431</f>
        <v>427046.22</v>
      </c>
      <c r="N431" s="30" t="n">
        <f aca="false">H431-K431</f>
        <v>470839.47</v>
      </c>
      <c r="O431" s="9" t="s">
        <v>695</v>
      </c>
      <c r="P431" s="9" t="str">
        <f aca="false">IF(H431=0,"Sin PIM",IF(ROUND(K431-H431,2)&gt;=0,"Devengado total",IF(J431&gt;0.005,"Comprometido",IF(I431&gt;0.005,"Solo certificado","Sin certificar"))))</f>
        <v>Comprometido</v>
      </c>
      <c r="Q431" s="30" t="s">
        <v>97</v>
      </c>
      <c r="R431" s="30" t="s">
        <v>97</v>
      </c>
      <c r="S431" s="30" t="s">
        <v>97</v>
      </c>
      <c r="T431" s="30" t="s">
        <v>97</v>
      </c>
      <c r="U431" s="9"/>
      <c r="V431" s="9"/>
    </row>
    <row r="432" customFormat="false" ht="15" hidden="false" customHeight="false" outlineLevel="0" collapsed="false">
      <c r="A432" s="9" t="s">
        <v>678</v>
      </c>
      <c r="B432" s="9" t="s">
        <v>19</v>
      </c>
      <c r="C432" s="9"/>
      <c r="D432" s="9"/>
      <c r="E432" s="9" t="s">
        <v>968</v>
      </c>
      <c r="F432" s="9" t="n">
        <v>431</v>
      </c>
      <c r="G432" s="28" t="s">
        <v>969</v>
      </c>
      <c r="H432" s="29" t="n">
        <v>969006</v>
      </c>
      <c r="I432" s="29" t="n">
        <v>950663.44</v>
      </c>
      <c r="J432" s="29" t="n">
        <v>950633.34</v>
      </c>
      <c r="K432" s="29" t="n">
        <v>931576.35</v>
      </c>
      <c r="L432" s="30" t="n">
        <f aca="false">H432-I432</f>
        <v>18342.5600000001</v>
      </c>
      <c r="M432" s="30" t="n">
        <f aca="false">H432-J432</f>
        <v>18372.6599999999</v>
      </c>
      <c r="N432" s="30" t="n">
        <f aca="false">H432-K432</f>
        <v>37429.6499999999</v>
      </c>
      <c r="O432" s="9" t="s">
        <v>695</v>
      </c>
      <c r="P432" s="9" t="str">
        <f aca="false">IF(H432=0,"Sin PIM",IF(ROUND(K432-H432,2)&gt;=0,"Devengado total",IF(J432&gt;0.005,"Comprometido",IF(I432&gt;0.005,"Solo certificado","Sin certificar"))))</f>
        <v>Comprometido</v>
      </c>
      <c r="Q432" s="30" t="s">
        <v>97</v>
      </c>
      <c r="R432" s="30" t="s">
        <v>97</v>
      </c>
      <c r="S432" s="30" t="s">
        <v>97</v>
      </c>
      <c r="T432" s="30" t="s">
        <v>97</v>
      </c>
      <c r="U432" s="9"/>
      <c r="V432" s="9"/>
    </row>
    <row r="433" customFormat="false" ht="15" hidden="false" customHeight="false" outlineLevel="0" collapsed="false">
      <c r="A433" s="9" t="s">
        <v>678</v>
      </c>
      <c r="B433" s="9" t="s">
        <v>19</v>
      </c>
      <c r="C433" s="9"/>
      <c r="D433" s="9"/>
      <c r="E433" s="9" t="s">
        <v>968</v>
      </c>
      <c r="F433" s="9" t="n">
        <v>432</v>
      </c>
      <c r="G433" s="28" t="s">
        <v>969</v>
      </c>
      <c r="H433" s="29" t="n">
        <v>1758508</v>
      </c>
      <c r="I433" s="29" t="n">
        <v>1286418.47</v>
      </c>
      <c r="J433" s="29" t="n">
        <v>1286374.04</v>
      </c>
      <c r="K433" s="29" t="n">
        <v>1212625.87</v>
      </c>
      <c r="L433" s="30" t="n">
        <f aca="false">H433-I433</f>
        <v>472089.53</v>
      </c>
      <c r="M433" s="30" t="n">
        <f aca="false">H433-J433</f>
        <v>472133.96</v>
      </c>
      <c r="N433" s="30" t="n">
        <f aca="false">H433-K433</f>
        <v>545882.13</v>
      </c>
      <c r="O433" s="9" t="s">
        <v>695</v>
      </c>
      <c r="P433" s="9" t="str">
        <f aca="false">IF(H433=0,"Sin PIM",IF(ROUND(K433-H433,2)&gt;=0,"Devengado total",IF(J433&gt;0.005,"Comprometido",IF(I433&gt;0.005,"Solo certificado","Sin certificar"))))</f>
        <v>Comprometido</v>
      </c>
      <c r="Q433" s="30" t="s">
        <v>97</v>
      </c>
      <c r="R433" s="30" t="s">
        <v>97</v>
      </c>
      <c r="S433" s="30" t="s">
        <v>97</v>
      </c>
      <c r="T433" s="30" t="s">
        <v>97</v>
      </c>
      <c r="U433" s="9"/>
      <c r="V433" s="9"/>
    </row>
    <row r="434" customFormat="false" ht="15" hidden="false" customHeight="false" outlineLevel="0" collapsed="false">
      <c r="A434" s="9" t="s">
        <v>678</v>
      </c>
      <c r="B434" s="9" t="s">
        <v>19</v>
      </c>
      <c r="C434" s="9"/>
      <c r="D434" s="9"/>
      <c r="E434" s="9" t="s">
        <v>968</v>
      </c>
      <c r="F434" s="9" t="n">
        <v>436</v>
      </c>
      <c r="G434" s="28" t="s">
        <v>969</v>
      </c>
      <c r="H434" s="29" t="n">
        <v>768405</v>
      </c>
      <c r="I434" s="29" t="n">
        <v>618712.31</v>
      </c>
      <c r="J434" s="29" t="n">
        <v>618712.31</v>
      </c>
      <c r="K434" s="29" t="n">
        <v>420548.3</v>
      </c>
      <c r="L434" s="30" t="n">
        <f aca="false">H434-I434</f>
        <v>149692.69</v>
      </c>
      <c r="M434" s="30" t="n">
        <f aca="false">H434-J434</f>
        <v>149692.69</v>
      </c>
      <c r="N434" s="30" t="n">
        <f aca="false">H434-K434</f>
        <v>347856.7</v>
      </c>
      <c r="O434" s="9" t="s">
        <v>970</v>
      </c>
      <c r="P434" s="9" t="str">
        <f aca="false">IF(H434=0,"Sin PIM",IF(ROUND(K434-H434,2)&gt;=0,"Devengado total",IF(J434&gt;0.005,"Comprometido",IF(I434&gt;0.005,"Solo certificado","Sin certificar"))))</f>
        <v>Comprometido</v>
      </c>
      <c r="Q434" s="30" t="s">
        <v>97</v>
      </c>
      <c r="R434" s="30" t="s">
        <v>97</v>
      </c>
      <c r="S434" s="30" t="s">
        <v>97</v>
      </c>
      <c r="T434" s="30" t="s">
        <v>97</v>
      </c>
      <c r="U434" s="9"/>
      <c r="V434" s="9"/>
    </row>
    <row r="435" customFormat="false" ht="15" hidden="false" customHeight="false" outlineLevel="0" collapsed="false">
      <c r="A435" s="9" t="s">
        <v>678</v>
      </c>
      <c r="B435" s="9" t="s">
        <v>19</v>
      </c>
      <c r="C435" s="9"/>
      <c r="D435" s="9"/>
      <c r="E435" s="9" t="s">
        <v>968</v>
      </c>
      <c r="F435" s="9" t="n">
        <v>481</v>
      </c>
      <c r="G435" s="28" t="s">
        <v>969</v>
      </c>
      <c r="H435" s="29" t="n">
        <v>84425</v>
      </c>
      <c r="I435" s="29" t="n">
        <v>79219.88</v>
      </c>
      <c r="J435" s="29" t="n">
        <v>79219.88</v>
      </c>
      <c r="K435" s="29" t="n">
        <v>79219.88</v>
      </c>
      <c r="L435" s="30" t="n">
        <f aca="false">H435-I435</f>
        <v>5205.12</v>
      </c>
      <c r="M435" s="30" t="n">
        <f aca="false">H435-J435</f>
        <v>5205.12</v>
      </c>
      <c r="N435" s="30" t="n">
        <f aca="false">H435-K435</f>
        <v>5205.12</v>
      </c>
      <c r="O435" s="9" t="s">
        <v>695</v>
      </c>
      <c r="P435" s="9" t="str">
        <f aca="false">IF(H435=0,"Sin PIM",IF(ROUND(K435-H435,2)&gt;=0,"Devengado total",IF(J435&gt;0.005,"Comprometido",IF(I435&gt;0.005,"Solo certificado","Sin certificar"))))</f>
        <v>Comprometido</v>
      </c>
      <c r="Q435" s="30" t="s">
        <v>97</v>
      </c>
      <c r="R435" s="30" t="s">
        <v>97</v>
      </c>
      <c r="S435" s="30" t="s">
        <v>97</v>
      </c>
      <c r="T435" s="30" t="s">
        <v>97</v>
      </c>
      <c r="U435" s="9"/>
      <c r="V435" s="9"/>
    </row>
    <row r="436" customFormat="false" ht="32.8" hidden="false" customHeight="false" outlineLevel="0" collapsed="false">
      <c r="A436" s="9" t="s">
        <v>971</v>
      </c>
      <c r="B436" s="9" t="s">
        <v>20</v>
      </c>
      <c r="C436" s="9"/>
      <c r="D436" s="9" t="s">
        <v>48</v>
      </c>
      <c r="E436" s="9" t="s">
        <v>972</v>
      </c>
      <c r="F436" s="9" t="n">
        <v>284</v>
      </c>
      <c r="G436" s="28" t="s">
        <v>973</v>
      </c>
      <c r="H436" s="29" t="n">
        <v>282553</v>
      </c>
      <c r="I436" s="29" t="n">
        <v>282553</v>
      </c>
      <c r="J436" s="29" t="n">
        <v>282553</v>
      </c>
      <c r="K436" s="29" t="n">
        <v>0</v>
      </c>
      <c r="L436" s="30" t="n">
        <f aca="false">H436-I436</f>
        <v>0</v>
      </c>
      <c r="M436" s="30" t="n">
        <f aca="false">H436-J436</f>
        <v>0</v>
      </c>
      <c r="N436" s="30" t="n">
        <f aca="false">H436-K436</f>
        <v>282553</v>
      </c>
      <c r="O436" s="9" t="s">
        <v>133</v>
      </c>
      <c r="P436" s="9" t="str">
        <f aca="false">IF(H436=0,"Sin PIM",IF(ROUND(K436-H436,2)&gt;=0,"Devengado total",IF(J436&gt;0.005,"Comprometido",IF(I436&gt;0.005,"Solo certificado","Sin certificar"))))</f>
        <v>Comprometido</v>
      </c>
      <c r="Q436" s="30" t="n">
        <v>50000</v>
      </c>
      <c r="R436" s="30" t="n">
        <v>0</v>
      </c>
      <c r="S436" s="30" t="n">
        <v>0</v>
      </c>
      <c r="T436" s="30" t="n">
        <v>1000000</v>
      </c>
      <c r="U436" s="9"/>
      <c r="V436" s="9" t="s">
        <v>974</v>
      </c>
    </row>
    <row r="437" customFormat="false" ht="32.8" hidden="false" customHeight="false" outlineLevel="0" collapsed="false">
      <c r="A437" s="9" t="s">
        <v>971</v>
      </c>
      <c r="B437" s="9" t="s">
        <v>20</v>
      </c>
      <c r="C437" s="9"/>
      <c r="D437" s="9" t="s">
        <v>49</v>
      </c>
      <c r="E437" s="9" t="s">
        <v>975</v>
      </c>
      <c r="F437" s="9" t="n">
        <v>345</v>
      </c>
      <c r="G437" s="28" t="s">
        <v>976</v>
      </c>
      <c r="H437" s="29" t="n">
        <v>271707</v>
      </c>
      <c r="I437" s="29" t="n">
        <v>271705.69</v>
      </c>
      <c r="J437" s="29" t="n">
        <v>271705.69</v>
      </c>
      <c r="K437" s="29" t="n">
        <v>270842.66</v>
      </c>
      <c r="L437" s="30" t="n">
        <f aca="false">H437-I437</f>
        <v>1.30999999999767</v>
      </c>
      <c r="M437" s="30" t="n">
        <f aca="false">H437-J437</f>
        <v>1.30999999999767</v>
      </c>
      <c r="N437" s="30" t="n">
        <f aca="false">H437-K437</f>
        <v>864.340000000026</v>
      </c>
      <c r="O437" s="9" t="s">
        <v>977</v>
      </c>
      <c r="P437" s="9" t="str">
        <f aca="false">IF(H437=0,"Sin PIM",IF(ROUND(K437-H437,2)&gt;=0,"Devengado total",IF(J437&gt;0.005,"Comprometido",IF(I437&gt;0.005,"Solo certificado","Sin certificar"))))</f>
        <v>Comprometido</v>
      </c>
      <c r="Q437" s="30" t="n">
        <v>267733</v>
      </c>
      <c r="R437" s="30" t="n">
        <v>20886</v>
      </c>
      <c r="S437" s="30" t="n">
        <v>0</v>
      </c>
      <c r="T437" s="30" t="n">
        <v>0</v>
      </c>
      <c r="U437" s="9"/>
      <c r="V437" s="9" t="s">
        <v>974</v>
      </c>
    </row>
    <row r="438" customFormat="false" ht="22.35" hidden="false" customHeight="false" outlineLevel="0" collapsed="false">
      <c r="A438" s="9" t="s">
        <v>971</v>
      </c>
      <c r="B438" s="9" t="s">
        <v>20</v>
      </c>
      <c r="C438" s="9"/>
      <c r="D438" s="9" t="s">
        <v>49</v>
      </c>
      <c r="E438" s="9" t="s">
        <v>978</v>
      </c>
      <c r="F438" s="9" t="n">
        <v>532</v>
      </c>
      <c r="G438" s="28" t="s">
        <v>979</v>
      </c>
      <c r="H438" s="29" t="n">
        <v>218556</v>
      </c>
      <c r="I438" s="29" t="n">
        <v>0</v>
      </c>
      <c r="J438" s="29" t="n">
        <v>0</v>
      </c>
      <c r="K438" s="29" t="n">
        <v>0</v>
      </c>
      <c r="L438" s="30" t="n">
        <f aca="false">H438-I438</f>
        <v>218556</v>
      </c>
      <c r="M438" s="30" t="n">
        <f aca="false">H438-J438</f>
        <v>218556</v>
      </c>
      <c r="N438" s="30" t="n">
        <f aca="false">H438-K438</f>
        <v>218556</v>
      </c>
      <c r="O438" s="9" t="s">
        <v>120</v>
      </c>
      <c r="P438" s="9" t="str">
        <f aca="false">IF(H438=0,"Sin PIM",IF(ROUND(K438-H438,2)&gt;=0,"Devengado total",IF(J438&gt;0.005,"Comprometido",IF(I438&gt;0.005,"Solo certificado","Sin certificar"))))</f>
        <v>Sin certificar</v>
      </c>
      <c r="Q438" s="30" t="s">
        <v>97</v>
      </c>
      <c r="R438" s="30" t="s">
        <v>97</v>
      </c>
      <c r="S438" s="30" t="s">
        <v>97</v>
      </c>
      <c r="T438" s="30" t="s">
        <v>97</v>
      </c>
      <c r="U438" s="9"/>
      <c r="V438" s="9" t="s">
        <v>974</v>
      </c>
    </row>
    <row r="439" customFormat="false" ht="32.8" hidden="false" customHeight="false" outlineLevel="0" collapsed="false">
      <c r="A439" s="9" t="s">
        <v>971</v>
      </c>
      <c r="B439" s="9" t="s">
        <v>20</v>
      </c>
      <c r="C439" s="9"/>
      <c r="D439" s="9" t="s">
        <v>48</v>
      </c>
      <c r="E439" s="9" t="s">
        <v>980</v>
      </c>
      <c r="F439" s="9" t="n">
        <v>533</v>
      </c>
      <c r="G439" s="28" t="s">
        <v>981</v>
      </c>
      <c r="H439" s="29" t="n">
        <v>100000</v>
      </c>
      <c r="I439" s="29" t="n">
        <v>0</v>
      </c>
      <c r="J439" s="29" t="n">
        <v>0</v>
      </c>
      <c r="K439" s="29" t="n">
        <v>0</v>
      </c>
      <c r="L439" s="30" t="n">
        <f aca="false">H439-I439</f>
        <v>100000</v>
      </c>
      <c r="M439" s="30" t="n">
        <f aca="false">H439-J439</f>
        <v>100000</v>
      </c>
      <c r="N439" s="30" t="n">
        <f aca="false">H439-K439</f>
        <v>100000</v>
      </c>
      <c r="O439" s="9" t="s">
        <v>133</v>
      </c>
      <c r="P439" s="9" t="str">
        <f aca="false">IF(H439=0,"Sin PIM",IF(ROUND(K439-H439,2)&gt;=0,"Devengado total",IF(J439&gt;0.005,"Comprometido",IF(I439&gt;0.005,"Solo certificado","Sin certificar"))))</f>
        <v>Sin certificar</v>
      </c>
      <c r="Q439" s="30" t="n">
        <v>100000</v>
      </c>
      <c r="R439" s="30" t="n">
        <v>0</v>
      </c>
      <c r="S439" s="30" t="n">
        <v>3681052</v>
      </c>
      <c r="T439" s="30" t="n">
        <v>4156140</v>
      </c>
      <c r="U439" s="9"/>
      <c r="V439" s="9" t="s">
        <v>974</v>
      </c>
    </row>
    <row r="440" customFormat="false" ht="32.8" hidden="false" customHeight="false" outlineLevel="0" collapsed="false">
      <c r="A440" s="9" t="s">
        <v>971</v>
      </c>
      <c r="B440" s="9" t="s">
        <v>20</v>
      </c>
      <c r="C440" s="9"/>
      <c r="D440" s="9" t="s">
        <v>49</v>
      </c>
      <c r="E440" s="9" t="s">
        <v>982</v>
      </c>
      <c r="F440" s="9" t="n">
        <v>499</v>
      </c>
      <c r="G440" s="28" t="s">
        <v>983</v>
      </c>
      <c r="H440" s="29" t="n">
        <v>20166</v>
      </c>
      <c r="I440" s="29" t="n">
        <v>19362</v>
      </c>
      <c r="J440" s="29" t="n">
        <v>19362</v>
      </c>
      <c r="K440" s="29" t="n">
        <v>18148.25</v>
      </c>
      <c r="L440" s="30" t="n">
        <f aca="false">H440-I440</f>
        <v>804</v>
      </c>
      <c r="M440" s="30" t="n">
        <f aca="false">H440-J440</f>
        <v>804</v>
      </c>
      <c r="N440" s="30" t="n">
        <f aca="false">H440-K440</f>
        <v>2017.75</v>
      </c>
      <c r="O440" s="9" t="s">
        <v>114</v>
      </c>
      <c r="P440" s="9" t="str">
        <f aca="false">IF(H440=0,"Sin PIM",IF(ROUND(K440-H440,2)&gt;=0,"Devengado total",IF(J440&gt;0.005,"Comprometido",IF(I440&gt;0.005,"Solo certificado","Sin certificar"))))</f>
        <v>Comprometido</v>
      </c>
      <c r="Q440" s="30" t="n">
        <v>20166</v>
      </c>
      <c r="R440" s="30" t="n">
        <v>0</v>
      </c>
      <c r="S440" s="30" t="n">
        <v>0</v>
      </c>
      <c r="T440" s="30" t="n">
        <v>0</v>
      </c>
      <c r="U440" s="9"/>
      <c r="V440" s="9" t="s">
        <v>974</v>
      </c>
    </row>
  </sheetData>
  <autoFilter ref="A4:V4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90"/>
    <col collapsed="false" customWidth="true" hidden="false" outlineLevel="0" max="5" min="2" style="0" width="22"/>
  </cols>
  <sheetData>
    <row r="1" customFormat="false" ht="16.15" hidden="false" customHeight="false" outlineLevel="0" collapsed="false">
      <c r="A1" s="1" t="s">
        <v>984</v>
      </c>
    </row>
    <row r="3" customFormat="false" ht="15" hidden="false" customHeight="false" outlineLevel="0" collapsed="false">
      <c r="A3" s="24" t="s">
        <v>985</v>
      </c>
      <c r="B3" s="24" t="s">
        <v>986</v>
      </c>
      <c r="C3" s="24" t="s">
        <v>987</v>
      </c>
      <c r="D3" s="24" t="s">
        <v>988</v>
      </c>
      <c r="E3" s="24" t="s">
        <v>989</v>
      </c>
    </row>
    <row r="4" customFormat="false" ht="15" hidden="false" customHeight="false" outlineLevel="0" collapsed="false">
      <c r="A4" s="4" t="s">
        <v>990</v>
      </c>
      <c r="B4" s="31" t="n">
        <f aca="false">SUM(Base!$H$5:$H$440)</f>
        <v>905026984</v>
      </c>
      <c r="C4" s="31" t="n">
        <v>905026984</v>
      </c>
      <c r="D4" s="31" t="n">
        <f aca="false">B4-C4</f>
        <v>0</v>
      </c>
      <c r="E4" s="4" t="str">
        <f aca="false">IF(ABS(D4)&lt;=0.5,"Conciliado","REVISAR")</f>
        <v>Conciliado</v>
      </c>
    </row>
    <row r="5" customFormat="false" ht="15" hidden="false" customHeight="false" outlineLevel="0" collapsed="false">
      <c r="A5" s="4" t="s">
        <v>991</v>
      </c>
      <c r="B5" s="31" t="n">
        <f aca="false">SUM(Base!$I$5:$I$440)</f>
        <v>843143127.18</v>
      </c>
      <c r="C5" s="31" t="n">
        <v>843143127.18</v>
      </c>
      <c r="D5" s="31" t="n">
        <f aca="false">B5-C5</f>
        <v>0</v>
      </c>
      <c r="E5" s="4" t="str">
        <f aca="false">IF(ABS(D5)&lt;=0.5,"Conciliado","REVISAR")</f>
        <v>Conciliado</v>
      </c>
    </row>
    <row r="6" customFormat="false" ht="15" hidden="false" customHeight="false" outlineLevel="0" collapsed="false">
      <c r="A6" s="4" t="s">
        <v>992</v>
      </c>
      <c r="B6" s="31" t="n">
        <f aca="false">SUM(Base!$J$5:$J$440)</f>
        <v>606768924.59</v>
      </c>
      <c r="C6" s="31" t="n">
        <v>606768924.59</v>
      </c>
      <c r="D6" s="31" t="n">
        <f aca="false">B6-C6</f>
        <v>0</v>
      </c>
      <c r="E6" s="4" t="str">
        <f aca="false">IF(ABS(D6)&lt;=0.5,"Conciliado","REVISAR")</f>
        <v>Conciliado</v>
      </c>
    </row>
    <row r="7" customFormat="false" ht="15" hidden="false" customHeight="false" outlineLevel="0" collapsed="false">
      <c r="A7" s="4" t="s">
        <v>993</v>
      </c>
      <c r="B7" s="31" t="n">
        <f aca="false">SUM(Base!$K$5:$K$440)</f>
        <v>433575772.65</v>
      </c>
      <c r="C7" s="31" t="n">
        <v>433575772.65</v>
      </c>
      <c r="D7" s="31" t="n">
        <f aca="false">B7-C7</f>
        <v>0</v>
      </c>
      <c r="E7" s="4" t="str">
        <f aca="false">IF(ABS(D7)&lt;=0.5,"Conciliado","REVISAR")</f>
        <v>Conciliado</v>
      </c>
    </row>
    <row r="8" customFormat="false" ht="15" hidden="false" customHeight="false" outlineLevel="0" collapsed="false">
      <c r="A8" s="4" t="s">
        <v>994</v>
      </c>
      <c r="B8" s="31" t="n">
        <f aca="false">'Gerencia de Infraestructura'!D324</f>
        <v>770204814</v>
      </c>
      <c r="C8" s="31" t="n">
        <f aca="false">SUMIFS(Base!$H$5:$H$440,Base!$A$5:$A$440,"Gerencia de Infraestructura")</f>
        <v>770204814</v>
      </c>
      <c r="D8" s="31" t="n">
        <f aca="false">B8-C8</f>
        <v>0</v>
      </c>
      <c r="E8" s="4" t="str">
        <f aca="false">IF(ABS(D8)&lt;=0.5,"Conciliado","REVISAR")</f>
        <v>Conciliado</v>
      </c>
    </row>
    <row r="9" customFormat="false" ht="15" hidden="false" customHeight="false" outlineLevel="0" collapsed="false">
      <c r="A9" s="4" t="s">
        <v>995</v>
      </c>
      <c r="B9" s="31" t="n">
        <f aca="false">'Gerencia de Infraestructura'!G324</f>
        <v>381727436.31</v>
      </c>
      <c r="C9" s="31" t="n">
        <f aca="false">SUMIFS(Base!$K$5:$K$440,Base!$A$5:$A$440,"Gerencia de Infraestructura")</f>
        <v>381727436.31</v>
      </c>
      <c r="D9" s="31" t="n">
        <f aca="false">B9-C9</f>
        <v>0</v>
      </c>
      <c r="E9" s="4" t="str">
        <f aca="false">IF(ABS(D9)&lt;=0.5,"Conciliado","REVISAR")</f>
        <v>Conciliado</v>
      </c>
    </row>
    <row r="10" customFormat="false" ht="15" hidden="false" customHeight="false" outlineLevel="0" collapsed="false">
      <c r="A10" s="4" t="s">
        <v>996</v>
      </c>
      <c r="B10" s="31" t="n">
        <f aca="false">'Gerencias y Oficinas'!D179</f>
        <v>133929188</v>
      </c>
      <c r="C10" s="31" t="n">
        <f aca="false">SUMIFS(Base!$H$5:$H$440,Base!$A$5:$A$440,"Gerencias y Oficinas")</f>
        <v>133929188</v>
      </c>
      <c r="D10" s="31" t="n">
        <f aca="false">B10-C10</f>
        <v>0</v>
      </c>
      <c r="E10" s="4" t="str">
        <f aca="false">IF(ABS(D10)&lt;=0.5,"Conciliado","REVISAR")</f>
        <v>Conciliado</v>
      </c>
    </row>
    <row r="11" customFormat="false" ht="15" hidden="false" customHeight="false" outlineLevel="0" collapsed="false">
      <c r="A11" s="4" t="s">
        <v>997</v>
      </c>
      <c r="B11" s="31" t="n">
        <f aca="false">'Gerencias y Oficinas'!G179</f>
        <v>51559345.43</v>
      </c>
      <c r="C11" s="31" t="n">
        <f aca="false">SUMIFS(Base!$K$5:$K$440,Base!$A$5:$A$440,"Gerencias y Oficinas")</f>
        <v>51559345.43</v>
      </c>
      <c r="D11" s="31" t="n">
        <f aca="false">B11-C11</f>
        <v>0</v>
      </c>
      <c r="E11" s="4" t="str">
        <f aca="false">IF(ABS(D11)&lt;=0.5,"Conciliado","REVISAR")</f>
        <v>Conciliado</v>
      </c>
    </row>
    <row r="12" customFormat="false" ht="15" hidden="false" customHeight="false" outlineLevel="0" collapsed="false">
      <c r="A12" s="4" t="s">
        <v>998</v>
      </c>
      <c r="B12" s="31" t="n">
        <f aca="false">'Sin clasificar'!D15</f>
        <v>892982</v>
      </c>
      <c r="C12" s="31" t="n">
        <f aca="false">SUMIFS(Base!$H$5:$H$440,Base!$A$5:$A$440,"Sin clasificar")</f>
        <v>892982</v>
      </c>
      <c r="D12" s="31" t="n">
        <f aca="false">B12-C12</f>
        <v>0</v>
      </c>
      <c r="E12" s="4" t="str">
        <f aca="false">IF(ABS(D12)&lt;=0.5,"Conciliado","REVISAR")</f>
        <v>Conciliado</v>
      </c>
    </row>
    <row r="13" customFormat="false" ht="15" hidden="false" customHeight="false" outlineLevel="0" collapsed="false">
      <c r="A13" s="4" t="s">
        <v>999</v>
      </c>
      <c r="B13" s="31" t="n">
        <f aca="false">'Sin clasificar'!G15</f>
        <v>288990.91</v>
      </c>
      <c r="C13" s="31" t="n">
        <f aca="false">SUMIFS(Base!$K$5:$K$440,Base!$A$5:$A$440,"Sin clasificar")</f>
        <v>288990.91</v>
      </c>
      <c r="D13" s="31" t="n">
        <f aca="false">B13-C13</f>
        <v>0</v>
      </c>
      <c r="E13" s="4" t="str">
        <f aca="false">IF(ABS(D13)&lt;=0.5,"Conciliado","REVISAR")</f>
        <v>Conciliado</v>
      </c>
    </row>
    <row r="14" customFormat="false" ht="15" hidden="false" customHeight="false" outlineLevel="0" collapsed="false">
      <c r="A14" s="4" t="s">
        <v>1000</v>
      </c>
      <c r="B14" s="31" t="n">
        <f aca="false">COUNTA(Base!$E$5:$E$440)</f>
        <v>436</v>
      </c>
      <c r="C14" s="31" t="n">
        <v>436</v>
      </c>
      <c r="D14" s="31" t="n">
        <f aca="false">B14-C14</f>
        <v>0</v>
      </c>
      <c r="E14" s="4" t="str">
        <f aca="false">IF(ABS(D14)&lt;=0,"Conciliado","REVISAR")</f>
        <v>Conciliado</v>
      </c>
    </row>
    <row r="16" customFormat="false" ht="15" hidden="false" customHeight="false" outlineLevel="0" collapsed="false">
      <c r="A16" s="8" t="s">
        <v>1001</v>
      </c>
    </row>
    <row r="17" customFormat="false" ht="15" hidden="false" customHeight="false" outlineLevel="0" collapsed="false">
      <c r="A17" s="9" t="s">
        <v>1002</v>
      </c>
      <c r="B17" s="9" t="n">
        <f aca="false">COUNTIFS(Base!$A$5:$A$440,"Sin clasificar")</f>
        <v>5</v>
      </c>
    </row>
    <row r="18" customFormat="false" ht="15" hidden="false" customHeight="false" outlineLevel="0" collapsed="false">
      <c r="A18" s="9" t="s">
        <v>1003</v>
      </c>
      <c r="B18" s="9" t="n">
        <f aca="false">COUNTIFS(Base!$Q$5:$Q$440,"No registrado en cartera")</f>
        <v>147</v>
      </c>
    </row>
    <row r="19" customFormat="false" ht="15" hidden="false" customHeight="false" outlineLevel="0" collapsed="false">
      <c r="A19" s="9" t="s">
        <v>1004</v>
      </c>
      <c r="B19" s="9" t="n">
        <f aca="false">COUNTIFS(Base!$V$5:$V$440,"?*")</f>
        <v>6</v>
      </c>
    </row>
    <row r="20" customFormat="false" ht="15" hidden="false" customHeight="false" outlineLevel="0" collapsed="false">
      <c r="A20" s="9" t="s">
        <v>1005</v>
      </c>
      <c r="B20" s="9" t="n">
        <f aca="false">COUNTIFS(Base!$U$5:$U$440,"?*")</f>
        <v>0</v>
      </c>
    </row>
    <row r="22" customFormat="false" ht="15" hidden="false" customHeight="false" outlineLevel="0" collapsed="false">
      <c r="A22" s="8" t="s">
        <v>1006</v>
      </c>
    </row>
    <row r="23" customFormat="false" ht="15" hidden="false" customHeight="false" outlineLevel="0" collapsed="false">
      <c r="A23" s="9" t="s">
        <v>1007</v>
      </c>
    </row>
    <row r="24" customFormat="false" ht="15" hidden="false" customHeight="false" outlineLevel="0" collapsed="false">
      <c r="A24" s="9" t="s">
        <v>1008</v>
      </c>
    </row>
    <row r="25" customFormat="false" ht="15" hidden="false" customHeight="false" outlineLevel="0" collapsed="false">
      <c r="A25" s="9" t="s">
        <v>1009</v>
      </c>
    </row>
    <row r="26" customFormat="false" ht="15" hidden="false" customHeight="false" outlineLevel="0" collapsed="false">
      <c r="A26" s="9" t="s">
        <v>1010</v>
      </c>
    </row>
    <row r="27" customFormat="false" ht="15" hidden="false" customHeight="false" outlineLevel="0" collapsed="false">
      <c r="A27" s="9" t="s">
        <v>1011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0"/>
    <col collapsed="false" customWidth="true" hidden="false" outlineLevel="0" max="2" min="2" style="0" width="28"/>
  </cols>
  <sheetData>
    <row r="1" customFormat="false" ht="15" hidden="false" customHeight="false" outlineLevel="0" collapsed="false">
      <c r="A1" s="8" t="s">
        <v>1012</v>
      </c>
    </row>
    <row r="3" customFormat="false" ht="15" hidden="false" customHeight="false" outlineLevel="0" collapsed="false">
      <c r="A3" s="9" t="s">
        <v>1013</v>
      </c>
      <c r="B3" s="9" t="s">
        <v>120</v>
      </c>
    </row>
    <row r="4" customFormat="false" ht="15" hidden="false" customHeight="false" outlineLevel="0" collapsed="false">
      <c r="A4" s="9" t="s">
        <v>1014</v>
      </c>
      <c r="B4" s="9" t="s">
        <v>139</v>
      </c>
    </row>
    <row r="5" customFormat="false" ht="15" hidden="false" customHeight="false" outlineLevel="0" collapsed="false">
      <c r="A5" s="9" t="s">
        <v>1015</v>
      </c>
      <c r="B5" s="9" t="s">
        <v>133</v>
      </c>
    </row>
    <row r="6" customFormat="false" ht="15" hidden="false" customHeight="false" outlineLevel="0" collapsed="false">
      <c r="A6" s="9" t="s">
        <v>1016</v>
      </c>
      <c r="B6" s="9" t="s">
        <v>695</v>
      </c>
    </row>
    <row r="7" customFormat="false" ht="15" hidden="false" customHeight="false" outlineLevel="0" collapsed="false">
      <c r="A7" s="9" t="s">
        <v>1017</v>
      </c>
      <c r="B7" s="9" t="s">
        <v>1018</v>
      </c>
    </row>
    <row r="8" customFormat="false" ht="15" hidden="false" customHeight="false" outlineLevel="0" collapsed="false">
      <c r="A8" s="9" t="s">
        <v>1019</v>
      </c>
      <c r="B8" s="9" t="s">
        <v>692</v>
      </c>
    </row>
    <row r="9" customFormat="false" ht="15" hidden="false" customHeight="false" outlineLevel="0" collapsed="false">
      <c r="A9" s="9" t="s">
        <v>1020</v>
      </c>
      <c r="B9" s="9" t="s">
        <v>207</v>
      </c>
    </row>
    <row r="11" customFormat="false" ht="15" hidden="false" customHeight="false" outlineLevel="0" collapsed="false">
      <c r="A11" s="2" t="s">
        <v>1021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2026-10-06T21:34:11Z</dcterms:created>
  <dc:creator>openpyxl</dc:creator>
  <dc:description/>
  <dc:language>es-PE</dc:language>
  <cp:lastModifiedBy/>
  <dcterms:modified xsi:type="dcterms:W3CDTF">2026-10-06T21:34:12Z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