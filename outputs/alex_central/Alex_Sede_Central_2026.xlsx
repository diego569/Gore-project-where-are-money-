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E:\New folder\Economia\8vo\gore\Cash data request\outputs\alex_central\"/>
    </mc:Choice>
  </mc:AlternateContent>
  <xr:revisionPtr revIDLastSave="0" documentId="13_ncr:1_{064A253F-FF6E-4B9B-B171-8CEF32962F2B}" xr6:coauthVersionLast="47" xr6:coauthVersionMax="47" xr10:uidLastSave="{00000000-0000-0000-0000-000000000000}"/>
  <bookViews>
    <workbookView xWindow="10500" yWindow="2400" windowWidth="15375" windowHeight="6135" xr2:uid="{00000000-000D-0000-FFFF-FFFF00000000}"/>
  </bookViews>
  <sheets>
    <sheet name="Gerencia de Infraestructura" sheetId="22" r:id="rId1"/>
    <sheet name="Gerencias y Oficinas" sheetId="23" r:id="rId2"/>
    <sheet name="GRDE" sheetId="25" r:id="rId3"/>
    <sheet name="GRRNyDA" sheetId="26" r:id="rId4"/>
    <sheet name="PETT" sheetId="27" r:id="rId5"/>
    <sheet name="PECSA" sheetId="28" r:id="rId6"/>
    <sheet name="DS" sheetId="29" r:id="rId7"/>
    <sheet name="DEPI" sheetId="30" r:id="rId8"/>
    <sheet name="ABS" sheetId="31" r:id="rId9"/>
    <sheet name="SIAF" sheetId="38" state="hidden" r:id="rId10"/>
    <sheet name="Cartera" sheetId="39" state="hidden" r:id="rId11"/>
  </sheets>
  <definedNames>
    <definedName name="_xlnm._FilterDatabase" localSheetId="1" hidden="1">'Gerencias y Oficinas'!$A$6:$I$314</definedName>
    <definedName name="_xlnm.Print_Area" localSheetId="8">ABS!$A$1:$L$22</definedName>
    <definedName name="_xlnm.Print_Area" localSheetId="7">DEPI!$A$1:$O$18</definedName>
    <definedName name="_xlnm.Print_Area" localSheetId="6">DS!$A$1:$O$56</definedName>
    <definedName name="_xlnm.Print_Area" localSheetId="0">'Gerencia de Infraestructura'!$A$1:$O$905</definedName>
    <definedName name="_xlnm.Print_Area" localSheetId="1">'Gerencias y Oficinas'!$A$1:$O$323</definedName>
    <definedName name="_xlnm.Print_Area" localSheetId="2">GRDE!$A$1:$O$96</definedName>
    <definedName name="_xlnm.Print_Area" localSheetId="3">GRRNyDA!$A$1:$O$21</definedName>
    <definedName name="_xlnm.Print_Area" localSheetId="5">PECSA!$A$1:$O$13</definedName>
    <definedName name="_xlnm.Print_Area" localSheetId="4">PETT!$A$1:$O$11</definedName>
    <definedName name="DATOS">#REF!</definedName>
    <definedName name="DatosExternos_1" localSheetId="10" hidden="1">Cartera!$A$6:$F$287</definedName>
    <definedName name="DatosExternos_1" localSheetId="9" hidden="1">SIAF!$A$6:$F$442</definedName>
    <definedName name="Print_Area" localSheetId="0">'Gerencia de Infraestructura'!$A$1:$I$905</definedName>
    <definedName name="Print_Area" localSheetId="1">'Gerencias y Oficinas'!$A$1:$I$314</definedName>
    <definedName name="Print_Area" localSheetId="5">PECSA!$A$1:$I$13</definedName>
    <definedName name="Print_Titles" localSheetId="7">DEPI!$1:$5</definedName>
    <definedName name="Print_Titles" localSheetId="6">DS!$1:$6</definedName>
    <definedName name="Print_Titles" localSheetId="0">'Gerencia de Infraestructura'!$1:$6</definedName>
    <definedName name="Print_Titles" localSheetId="1">'Gerencias y Oficinas'!$1:$5</definedName>
    <definedName name="Print_Titles" localSheetId="2">GRDE!$1:$6</definedName>
    <definedName name="Print_Titles" localSheetId="3">GRRNyDA!$1:$6</definedName>
    <definedName name="Print_Titles" localSheetId="5">PECSA!$1:$5</definedName>
    <definedName name="Print_Titles" localSheetId="4">PETT!$1:$5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 i="31" l="1"/>
  <c r="K17" i="30"/>
  <c r="J17" i="30"/>
  <c r="K16" i="30"/>
  <c r="J16" i="30"/>
  <c r="K15" i="30"/>
  <c r="J15" i="30"/>
  <c r="K14" i="30"/>
  <c r="J14" i="30"/>
  <c r="K13" i="30"/>
  <c r="J13" i="30"/>
  <c r="K12" i="30"/>
  <c r="J12" i="30"/>
  <c r="K11" i="30"/>
  <c r="J11" i="30"/>
  <c r="K10" i="30"/>
  <c r="J10" i="30"/>
  <c r="K9" i="30"/>
  <c r="J9" i="30"/>
  <c r="K8" i="30"/>
  <c r="J8" i="30"/>
  <c r="K54" i="29"/>
  <c r="J54" i="29"/>
  <c r="K52" i="29"/>
  <c r="J52" i="29"/>
  <c r="K51" i="29"/>
  <c r="J51" i="29"/>
  <c r="K50" i="29"/>
  <c r="J50" i="29"/>
  <c r="K48" i="29"/>
  <c r="J48" i="29"/>
  <c r="K47" i="29"/>
  <c r="J47" i="29"/>
  <c r="K46" i="29"/>
  <c r="J46" i="29"/>
  <c r="K44" i="29"/>
  <c r="J44" i="29"/>
  <c r="K43" i="29"/>
  <c r="J43" i="29"/>
  <c r="K42" i="29"/>
  <c r="J42" i="29"/>
  <c r="K41" i="29"/>
  <c r="J41" i="29"/>
  <c r="K40" i="29"/>
  <c r="J40" i="29"/>
  <c r="K39" i="29"/>
  <c r="J39" i="29"/>
  <c r="K38" i="29"/>
  <c r="J38" i="29"/>
  <c r="K37" i="29"/>
  <c r="J37" i="29"/>
  <c r="K35" i="29"/>
  <c r="J35" i="29"/>
  <c r="K34" i="29"/>
  <c r="J34" i="29"/>
  <c r="K33" i="29"/>
  <c r="J33" i="29"/>
  <c r="K32" i="29"/>
  <c r="J32" i="29"/>
  <c r="K31" i="29"/>
  <c r="J31" i="29"/>
  <c r="K30" i="29"/>
  <c r="J30" i="29"/>
  <c r="K29" i="29"/>
  <c r="J29" i="29"/>
  <c r="K28" i="29"/>
  <c r="J28" i="29"/>
  <c r="K27" i="29"/>
  <c r="J27" i="29"/>
  <c r="K26" i="29"/>
  <c r="J26" i="29"/>
  <c r="K25" i="29"/>
  <c r="J25" i="29"/>
  <c r="K24" i="29"/>
  <c r="J24" i="29"/>
  <c r="K23" i="29"/>
  <c r="J23" i="29"/>
  <c r="K22" i="29"/>
  <c r="J22" i="29"/>
  <c r="K21" i="29"/>
  <c r="J21" i="29"/>
  <c r="K20" i="29"/>
  <c r="J20" i="29"/>
  <c r="K19" i="29"/>
  <c r="J19" i="29"/>
  <c r="K18" i="29"/>
  <c r="J18" i="29"/>
  <c r="K17" i="29"/>
  <c r="J17" i="29"/>
  <c r="K16" i="29"/>
  <c r="J16" i="29"/>
  <c r="K15" i="29"/>
  <c r="J15" i="29"/>
  <c r="K14" i="29"/>
  <c r="J14" i="29"/>
  <c r="K13" i="29"/>
  <c r="J13" i="29"/>
  <c r="K12" i="29"/>
  <c r="J12" i="29"/>
  <c r="K11" i="29"/>
  <c r="J11" i="29"/>
  <c r="K10" i="29"/>
  <c r="J10" i="29"/>
  <c r="K12" i="28"/>
  <c r="J12" i="28"/>
  <c r="K8" i="28"/>
  <c r="J8" i="28"/>
  <c r="K10" i="27"/>
  <c r="J10" i="27"/>
  <c r="K9" i="27"/>
  <c r="J9" i="27"/>
  <c r="K8" i="27"/>
  <c r="J8" i="27"/>
  <c r="K20" i="26"/>
  <c r="J20" i="26"/>
  <c r="K19" i="26"/>
  <c r="J19" i="26"/>
  <c r="K18" i="26"/>
  <c r="J18" i="26"/>
  <c r="K17" i="26"/>
  <c r="J17" i="26"/>
  <c r="K16" i="26"/>
  <c r="J16" i="26"/>
  <c r="K15" i="26"/>
  <c r="J15" i="26"/>
  <c r="K14" i="26"/>
  <c r="J14" i="26"/>
  <c r="K12" i="26"/>
  <c r="J12" i="26"/>
  <c r="K10" i="26"/>
  <c r="J10" i="26"/>
  <c r="K9" i="26"/>
  <c r="J9" i="26"/>
  <c r="K8" i="26"/>
  <c r="J8" i="26"/>
  <c r="K95" i="25"/>
  <c r="J95" i="25"/>
  <c r="K94" i="25"/>
  <c r="J94" i="25"/>
  <c r="K93" i="25"/>
  <c r="J93" i="25"/>
  <c r="K92" i="25"/>
  <c r="J92" i="25"/>
  <c r="K91" i="25"/>
  <c r="J91" i="25"/>
  <c r="K90" i="25"/>
  <c r="J90" i="25"/>
  <c r="K89" i="25"/>
  <c r="J89" i="25"/>
  <c r="K87" i="25"/>
  <c r="J87" i="25"/>
  <c r="K86" i="25"/>
  <c r="J86" i="25"/>
  <c r="K85" i="25"/>
  <c r="J85" i="25"/>
  <c r="K84" i="25"/>
  <c r="J84" i="25"/>
  <c r="K82" i="25"/>
  <c r="J82" i="25"/>
  <c r="K81" i="25"/>
  <c r="J81" i="25"/>
  <c r="K80" i="25"/>
  <c r="J80" i="25"/>
  <c r="K79" i="25"/>
  <c r="J79" i="25"/>
  <c r="K78" i="25"/>
  <c r="J78" i="25"/>
  <c r="K77" i="25"/>
  <c r="J77" i="25"/>
  <c r="K76" i="25"/>
  <c r="J76" i="25"/>
  <c r="K75" i="25"/>
  <c r="J75" i="25"/>
  <c r="K74" i="25"/>
  <c r="J74" i="25"/>
  <c r="K73" i="25"/>
  <c r="J73" i="25"/>
  <c r="K72" i="25"/>
  <c r="J72" i="25"/>
  <c r="K71" i="25"/>
  <c r="J71" i="25"/>
  <c r="K70" i="25"/>
  <c r="J70" i="25"/>
  <c r="K69" i="25"/>
  <c r="J69" i="25"/>
  <c r="K68" i="25"/>
  <c r="J68" i="25"/>
  <c r="K67" i="25"/>
  <c r="J67" i="25"/>
  <c r="K66" i="25"/>
  <c r="J66" i="25"/>
  <c r="K65" i="25"/>
  <c r="J65" i="25"/>
  <c r="K64" i="25"/>
  <c r="J64" i="25"/>
  <c r="K63" i="25"/>
  <c r="J63" i="25"/>
  <c r="K62" i="25"/>
  <c r="J62" i="25"/>
  <c r="K61" i="25"/>
  <c r="J61" i="25"/>
  <c r="K60" i="25"/>
  <c r="J60" i="25"/>
  <c r="K59" i="25"/>
  <c r="J59" i="25"/>
  <c r="K58" i="25"/>
  <c r="J58" i="25"/>
  <c r="K57" i="25"/>
  <c r="J57" i="25"/>
  <c r="K56" i="25"/>
  <c r="J56" i="25"/>
  <c r="K55" i="25"/>
  <c r="J55" i="25"/>
  <c r="K54" i="25"/>
  <c r="J54" i="25"/>
  <c r="K53" i="25"/>
  <c r="J53" i="25"/>
  <c r="K52" i="25"/>
  <c r="J52" i="25"/>
  <c r="K51" i="25"/>
  <c r="J51" i="25"/>
  <c r="K50" i="25"/>
  <c r="J50" i="25"/>
  <c r="K49" i="25"/>
  <c r="J49" i="25"/>
  <c r="K48" i="25"/>
  <c r="J48" i="25"/>
  <c r="K47" i="25"/>
  <c r="J47" i="25"/>
  <c r="K46" i="25"/>
  <c r="J46" i="25"/>
  <c r="K45" i="25"/>
  <c r="J45" i="25"/>
  <c r="K44" i="25"/>
  <c r="J44" i="25"/>
  <c r="K43" i="25"/>
  <c r="J43" i="25"/>
  <c r="K42" i="25"/>
  <c r="J42" i="25"/>
  <c r="K41" i="25"/>
  <c r="J41" i="25"/>
  <c r="K40" i="25"/>
  <c r="J40" i="25"/>
  <c r="K39" i="25"/>
  <c r="J39" i="25"/>
  <c r="K38" i="25"/>
  <c r="J38" i="25"/>
  <c r="K37" i="25"/>
  <c r="J37" i="25"/>
  <c r="K36" i="25"/>
  <c r="J36" i="25"/>
  <c r="K35" i="25"/>
  <c r="J35" i="25"/>
  <c r="K34" i="25"/>
  <c r="J34" i="25"/>
  <c r="K33" i="25"/>
  <c r="J33" i="25"/>
  <c r="K32" i="25"/>
  <c r="J32" i="25"/>
  <c r="K31" i="25"/>
  <c r="J31" i="25"/>
  <c r="K30" i="25"/>
  <c r="J30" i="25"/>
  <c r="K29" i="25"/>
  <c r="J29" i="25"/>
  <c r="K28" i="25"/>
  <c r="J28" i="25"/>
  <c r="K27" i="25"/>
  <c r="J27" i="25"/>
  <c r="K26" i="25"/>
  <c r="J26" i="25"/>
  <c r="K25" i="25"/>
  <c r="J25" i="25"/>
  <c r="K24" i="25"/>
  <c r="J24" i="25"/>
  <c r="K23" i="25"/>
  <c r="J23" i="25"/>
  <c r="K22" i="25"/>
  <c r="J22" i="25"/>
  <c r="K21" i="25"/>
  <c r="J21" i="25"/>
  <c r="K20" i="25"/>
  <c r="J20" i="25"/>
  <c r="K19" i="25"/>
  <c r="J19" i="25"/>
  <c r="K17" i="25"/>
  <c r="J17" i="25"/>
  <c r="K16" i="25"/>
  <c r="J16" i="25"/>
  <c r="K14" i="25"/>
  <c r="J14" i="25"/>
  <c r="K13" i="25"/>
  <c r="J13" i="25"/>
  <c r="K11" i="25"/>
  <c r="J11" i="25"/>
  <c r="K10" i="25"/>
  <c r="J10" i="25"/>
  <c r="K9" i="25"/>
  <c r="J9" i="25"/>
  <c r="K8" i="25"/>
  <c r="J8" i="25"/>
  <c r="O322" i="23"/>
  <c r="N322" i="23"/>
  <c r="M322" i="23"/>
  <c r="L322" i="23"/>
  <c r="G322" i="23"/>
  <c r="E322" i="23"/>
  <c r="D322" i="23"/>
  <c r="O321" i="23"/>
  <c r="N321" i="23"/>
  <c r="M321" i="23"/>
  <c r="L321" i="23"/>
  <c r="G321" i="23"/>
  <c r="E321" i="23"/>
  <c r="D321" i="23"/>
  <c r="O320" i="23"/>
  <c r="N320" i="23"/>
  <c r="M320" i="23"/>
  <c r="L320" i="23"/>
  <c r="G320" i="23"/>
  <c r="E320" i="23"/>
  <c r="D320" i="23"/>
  <c r="O319" i="23"/>
  <c r="N319" i="23"/>
  <c r="M319" i="23"/>
  <c r="L319" i="23"/>
  <c r="G319" i="23"/>
  <c r="E319" i="23"/>
  <c r="D319" i="23"/>
  <c r="O318" i="23"/>
  <c r="N318" i="23"/>
  <c r="M318" i="23"/>
  <c r="L318" i="23"/>
  <c r="G318" i="23"/>
  <c r="E318" i="23"/>
  <c r="D318" i="23"/>
  <c r="O317" i="23"/>
  <c r="N317" i="23"/>
  <c r="M317" i="23"/>
  <c r="L317" i="23"/>
  <c r="G317" i="23"/>
  <c r="E317" i="23"/>
  <c r="D317" i="23"/>
  <c r="O311" i="23"/>
  <c r="O17" i="30" s="1"/>
  <c r="N311" i="23"/>
  <c r="N17" i="30" s="1"/>
  <c r="M311" i="23"/>
  <c r="M17" i="30" s="1"/>
  <c r="L311" i="23"/>
  <c r="L17" i="30" s="1"/>
  <c r="G311" i="23"/>
  <c r="G17" i="30" s="1"/>
  <c r="E311" i="23"/>
  <c r="E17" i="30" s="1"/>
  <c r="D311" i="23"/>
  <c r="D17" i="30" s="1"/>
  <c r="O310" i="23"/>
  <c r="O16" i="30" s="1"/>
  <c r="N310" i="23"/>
  <c r="N16" i="30" s="1"/>
  <c r="M310" i="23"/>
  <c r="M16" i="30" s="1"/>
  <c r="L310" i="23"/>
  <c r="L16" i="30" s="1"/>
  <c r="G310" i="23"/>
  <c r="G16" i="30" s="1"/>
  <c r="E310" i="23"/>
  <c r="E16" i="30" s="1"/>
  <c r="D310" i="23"/>
  <c r="D16" i="30" s="1"/>
  <c r="O309" i="23"/>
  <c r="O15" i="30" s="1"/>
  <c r="N309" i="23"/>
  <c r="N15" i="30" s="1"/>
  <c r="M309" i="23"/>
  <c r="M15" i="30" s="1"/>
  <c r="L309" i="23"/>
  <c r="L15" i="30" s="1"/>
  <c r="G309" i="23"/>
  <c r="G15" i="30" s="1"/>
  <c r="E309" i="23"/>
  <c r="E15" i="30" s="1"/>
  <c r="D309" i="23"/>
  <c r="D15" i="30" s="1"/>
  <c r="O308" i="23"/>
  <c r="O14" i="30" s="1"/>
  <c r="N308" i="23"/>
  <c r="N14" i="30" s="1"/>
  <c r="M308" i="23"/>
  <c r="M14" i="30" s="1"/>
  <c r="L308" i="23"/>
  <c r="L14" i="30" s="1"/>
  <c r="G308" i="23"/>
  <c r="G14" i="30" s="1"/>
  <c r="E308" i="23"/>
  <c r="E14" i="30" s="1"/>
  <c r="D308" i="23"/>
  <c r="D14" i="30" s="1"/>
  <c r="O307" i="23"/>
  <c r="O13" i="30" s="1"/>
  <c r="N307" i="23"/>
  <c r="N13" i="30" s="1"/>
  <c r="M307" i="23"/>
  <c r="M13" i="30" s="1"/>
  <c r="L307" i="23"/>
  <c r="L13" i="30" s="1"/>
  <c r="G307" i="23"/>
  <c r="G13" i="30" s="1"/>
  <c r="E307" i="23"/>
  <c r="E13" i="30" s="1"/>
  <c r="D307" i="23"/>
  <c r="D13" i="30" s="1"/>
  <c r="O306" i="23"/>
  <c r="O12" i="30" s="1"/>
  <c r="N306" i="23"/>
  <c r="N12" i="30" s="1"/>
  <c r="M306" i="23"/>
  <c r="M12" i="30" s="1"/>
  <c r="L306" i="23"/>
  <c r="L12" i="30" s="1"/>
  <c r="G306" i="23"/>
  <c r="G12" i="30" s="1"/>
  <c r="E306" i="23"/>
  <c r="E12" i="30" s="1"/>
  <c r="D306" i="23"/>
  <c r="D12" i="30" s="1"/>
  <c r="O305" i="23"/>
  <c r="O11" i="30" s="1"/>
  <c r="N305" i="23"/>
  <c r="N11" i="30" s="1"/>
  <c r="M305" i="23"/>
  <c r="M11" i="30" s="1"/>
  <c r="L305" i="23"/>
  <c r="L11" i="30" s="1"/>
  <c r="G305" i="23"/>
  <c r="G11" i="30" s="1"/>
  <c r="E305" i="23"/>
  <c r="E11" i="30" s="1"/>
  <c r="D305" i="23"/>
  <c r="D11" i="30" s="1"/>
  <c r="O304" i="23"/>
  <c r="O10" i="30" s="1"/>
  <c r="N304" i="23"/>
  <c r="N10" i="30" s="1"/>
  <c r="M304" i="23"/>
  <c r="M10" i="30" s="1"/>
  <c r="L304" i="23"/>
  <c r="L10" i="30" s="1"/>
  <c r="G304" i="23"/>
  <c r="G10" i="30" s="1"/>
  <c r="E304" i="23"/>
  <c r="E10" i="30" s="1"/>
  <c r="D304" i="23"/>
  <c r="D10" i="30" s="1"/>
  <c r="O303" i="23"/>
  <c r="O9" i="30" s="1"/>
  <c r="N303" i="23"/>
  <c r="N9" i="30" s="1"/>
  <c r="M303" i="23"/>
  <c r="M9" i="30" s="1"/>
  <c r="L303" i="23"/>
  <c r="L9" i="30" s="1"/>
  <c r="G303" i="23"/>
  <c r="G9" i="30" s="1"/>
  <c r="E303" i="23"/>
  <c r="E9" i="30" s="1"/>
  <c r="D303" i="23"/>
  <c r="D9" i="30" s="1"/>
  <c r="O302" i="23"/>
  <c r="O8" i="30" s="1"/>
  <c r="N302" i="23"/>
  <c r="N8" i="30" s="1"/>
  <c r="M302" i="23"/>
  <c r="M8" i="30" s="1"/>
  <c r="L302" i="23"/>
  <c r="L8" i="30" s="1"/>
  <c r="G302" i="23"/>
  <c r="G8" i="30" s="1"/>
  <c r="E302" i="23"/>
  <c r="E8" i="30" s="1"/>
  <c r="D302" i="23"/>
  <c r="D8" i="30" s="1"/>
  <c r="O279" i="23"/>
  <c r="O54" i="29" s="1"/>
  <c r="N279" i="23"/>
  <c r="N54" i="29" s="1"/>
  <c r="M279" i="23"/>
  <c r="M54" i="29" s="1"/>
  <c r="L279" i="23"/>
  <c r="L54" i="29" s="1"/>
  <c r="G279" i="23"/>
  <c r="G54" i="29" s="1"/>
  <c r="G53" i="29" s="1"/>
  <c r="E279" i="23"/>
  <c r="E54" i="29" s="1"/>
  <c r="E53" i="29" s="1"/>
  <c r="D279" i="23"/>
  <c r="D54" i="29" s="1"/>
  <c r="D53" i="29" s="1"/>
  <c r="O277" i="23"/>
  <c r="O51" i="29" s="1"/>
  <c r="N277" i="23"/>
  <c r="N51" i="29" s="1"/>
  <c r="M277" i="23"/>
  <c r="M51" i="29" s="1"/>
  <c r="L277" i="23"/>
  <c r="L51" i="29" s="1"/>
  <c r="G277" i="23"/>
  <c r="G51" i="29" s="1"/>
  <c r="E277" i="23"/>
  <c r="E51" i="29" s="1"/>
  <c r="D277" i="23"/>
  <c r="D51" i="29" s="1"/>
  <c r="O276" i="23"/>
  <c r="O50" i="29" s="1"/>
  <c r="N276" i="23"/>
  <c r="N50" i="29" s="1"/>
  <c r="M276" i="23"/>
  <c r="M50" i="29" s="1"/>
  <c r="L276" i="23"/>
  <c r="L50" i="29" s="1"/>
  <c r="G276" i="23"/>
  <c r="G50" i="29" s="1"/>
  <c r="E276" i="23"/>
  <c r="E50" i="29" s="1"/>
  <c r="D276" i="23"/>
  <c r="D50" i="29" s="1"/>
  <c r="O274" i="23"/>
  <c r="O48" i="29" s="1"/>
  <c r="N274" i="23"/>
  <c r="N48" i="29" s="1"/>
  <c r="M274" i="23"/>
  <c r="M48" i="29" s="1"/>
  <c r="L274" i="23"/>
  <c r="L48" i="29" s="1"/>
  <c r="G274" i="23"/>
  <c r="G48" i="29" s="1"/>
  <c r="E274" i="23"/>
  <c r="E48" i="29" s="1"/>
  <c r="D274" i="23"/>
  <c r="D48" i="29" s="1"/>
  <c r="O273" i="23"/>
  <c r="O47" i="29" s="1"/>
  <c r="N273" i="23"/>
  <c r="N47" i="29" s="1"/>
  <c r="M273" i="23"/>
  <c r="M47" i="29" s="1"/>
  <c r="L273" i="23"/>
  <c r="L47" i="29" s="1"/>
  <c r="G273" i="23"/>
  <c r="G47" i="29" s="1"/>
  <c r="E273" i="23"/>
  <c r="E47" i="29" s="1"/>
  <c r="D273" i="23"/>
  <c r="D47" i="29" s="1"/>
  <c r="O272" i="23"/>
  <c r="O46" i="29" s="1"/>
  <c r="N272" i="23"/>
  <c r="N46" i="29" s="1"/>
  <c r="M272" i="23"/>
  <c r="M46" i="29" s="1"/>
  <c r="L272" i="23"/>
  <c r="L46" i="29" s="1"/>
  <c r="G272" i="23"/>
  <c r="G46" i="29" s="1"/>
  <c r="E272" i="23"/>
  <c r="E46" i="29" s="1"/>
  <c r="D272" i="23"/>
  <c r="D46" i="29" s="1"/>
  <c r="O270" i="23"/>
  <c r="O44" i="29" s="1"/>
  <c r="N270" i="23"/>
  <c r="N44" i="29" s="1"/>
  <c r="M270" i="23"/>
  <c r="M44" i="29" s="1"/>
  <c r="L270" i="23"/>
  <c r="L44" i="29" s="1"/>
  <c r="G270" i="23"/>
  <c r="G44" i="29" s="1"/>
  <c r="E270" i="23"/>
  <c r="E44" i="29" s="1"/>
  <c r="D270" i="23"/>
  <c r="D44" i="29" s="1"/>
  <c r="O269" i="23"/>
  <c r="O43" i="29" s="1"/>
  <c r="N269" i="23"/>
  <c r="N43" i="29" s="1"/>
  <c r="M269" i="23"/>
  <c r="M43" i="29" s="1"/>
  <c r="L269" i="23"/>
  <c r="L43" i="29" s="1"/>
  <c r="G269" i="23"/>
  <c r="G43" i="29" s="1"/>
  <c r="E269" i="23"/>
  <c r="E43" i="29" s="1"/>
  <c r="D269" i="23"/>
  <c r="D43" i="29" s="1"/>
  <c r="O268" i="23"/>
  <c r="O42" i="29" s="1"/>
  <c r="N268" i="23"/>
  <c r="N42" i="29" s="1"/>
  <c r="M268" i="23"/>
  <c r="M42" i="29" s="1"/>
  <c r="L268" i="23"/>
  <c r="L42" i="29" s="1"/>
  <c r="G268" i="23"/>
  <c r="G42" i="29" s="1"/>
  <c r="E268" i="23"/>
  <c r="E42" i="29" s="1"/>
  <c r="D268" i="23"/>
  <c r="D42" i="29" s="1"/>
  <c r="O267" i="23"/>
  <c r="O41" i="29" s="1"/>
  <c r="N267" i="23"/>
  <c r="N41" i="29" s="1"/>
  <c r="M267" i="23"/>
  <c r="M41" i="29" s="1"/>
  <c r="L267" i="23"/>
  <c r="L41" i="29" s="1"/>
  <c r="G267" i="23"/>
  <c r="G41" i="29" s="1"/>
  <c r="E267" i="23"/>
  <c r="E41" i="29" s="1"/>
  <c r="D267" i="23"/>
  <c r="D41" i="29" s="1"/>
  <c r="O266" i="23"/>
  <c r="O40" i="29" s="1"/>
  <c r="N266" i="23"/>
  <c r="N40" i="29" s="1"/>
  <c r="M266" i="23"/>
  <c r="M40" i="29" s="1"/>
  <c r="L266" i="23"/>
  <c r="L40" i="29" s="1"/>
  <c r="G266" i="23"/>
  <c r="G40" i="29" s="1"/>
  <c r="E266" i="23"/>
  <c r="E40" i="29" s="1"/>
  <c r="D266" i="23"/>
  <c r="O265" i="23"/>
  <c r="O39" i="29" s="1"/>
  <c r="N265" i="23"/>
  <c r="N39" i="29" s="1"/>
  <c r="M265" i="23"/>
  <c r="M39" i="29" s="1"/>
  <c r="L265" i="23"/>
  <c r="L39" i="29" s="1"/>
  <c r="G265" i="23"/>
  <c r="G39" i="29" s="1"/>
  <c r="E265" i="23"/>
  <c r="E39" i="29" s="1"/>
  <c r="D265" i="23"/>
  <c r="D39" i="29" s="1"/>
  <c r="O264" i="23"/>
  <c r="O38" i="29" s="1"/>
  <c r="N264" i="23"/>
  <c r="N38" i="29" s="1"/>
  <c r="M264" i="23"/>
  <c r="M38" i="29" s="1"/>
  <c r="L264" i="23"/>
  <c r="L38" i="29" s="1"/>
  <c r="G264" i="23"/>
  <c r="G38" i="29" s="1"/>
  <c r="E264" i="23"/>
  <c r="E38" i="29" s="1"/>
  <c r="D264" i="23"/>
  <c r="D38" i="29" s="1"/>
  <c r="O263" i="23"/>
  <c r="O37" i="29" s="1"/>
  <c r="N263" i="23"/>
  <c r="N37" i="29" s="1"/>
  <c r="M263" i="23"/>
  <c r="M37" i="29" s="1"/>
  <c r="L263" i="23"/>
  <c r="L37" i="29" s="1"/>
  <c r="G263" i="23"/>
  <c r="G37" i="29" s="1"/>
  <c r="E263" i="23"/>
  <c r="E37" i="29" s="1"/>
  <c r="D263" i="23"/>
  <c r="D37" i="29" s="1"/>
  <c r="O261" i="23"/>
  <c r="O52" i="29" s="1"/>
  <c r="N261" i="23"/>
  <c r="N52" i="29" s="1"/>
  <c r="M261" i="23"/>
  <c r="M52" i="29" s="1"/>
  <c r="L261" i="23"/>
  <c r="L52" i="29" s="1"/>
  <c r="G261" i="23"/>
  <c r="G52" i="29" s="1"/>
  <c r="E261" i="23"/>
  <c r="E52" i="29" s="1"/>
  <c r="D261" i="23"/>
  <c r="D52" i="29" s="1"/>
  <c r="O260" i="23"/>
  <c r="O35" i="29" s="1"/>
  <c r="N260" i="23"/>
  <c r="N35" i="29" s="1"/>
  <c r="M260" i="23"/>
  <c r="M35" i="29" s="1"/>
  <c r="L260" i="23"/>
  <c r="L35" i="29" s="1"/>
  <c r="G260" i="23"/>
  <c r="G35" i="29" s="1"/>
  <c r="E260" i="23"/>
  <c r="E35" i="29" s="1"/>
  <c r="D260" i="23"/>
  <c r="D35" i="29" s="1"/>
  <c r="O259" i="23"/>
  <c r="O34" i="29" s="1"/>
  <c r="N259" i="23"/>
  <c r="N34" i="29" s="1"/>
  <c r="M259" i="23"/>
  <c r="M34" i="29" s="1"/>
  <c r="L259" i="23"/>
  <c r="L34" i="29" s="1"/>
  <c r="G259" i="23"/>
  <c r="G34" i="29" s="1"/>
  <c r="E259" i="23"/>
  <c r="E34" i="29" s="1"/>
  <c r="D259" i="23"/>
  <c r="D34" i="29" s="1"/>
  <c r="O258" i="23"/>
  <c r="O33" i="29" s="1"/>
  <c r="N258" i="23"/>
  <c r="N33" i="29" s="1"/>
  <c r="M258" i="23"/>
  <c r="M33" i="29" s="1"/>
  <c r="L258" i="23"/>
  <c r="L33" i="29" s="1"/>
  <c r="G258" i="23"/>
  <c r="G33" i="29" s="1"/>
  <c r="E258" i="23"/>
  <c r="E33" i="29" s="1"/>
  <c r="D258" i="23"/>
  <c r="D33" i="29" s="1"/>
  <c r="O257" i="23"/>
  <c r="O32" i="29" s="1"/>
  <c r="N257" i="23"/>
  <c r="N32" i="29" s="1"/>
  <c r="M257" i="23"/>
  <c r="M32" i="29" s="1"/>
  <c r="L257" i="23"/>
  <c r="L32" i="29" s="1"/>
  <c r="G257" i="23"/>
  <c r="G32" i="29" s="1"/>
  <c r="E257" i="23"/>
  <c r="E32" i="29" s="1"/>
  <c r="D257" i="23"/>
  <c r="D32" i="29" s="1"/>
  <c r="O256" i="23"/>
  <c r="O31" i="29" s="1"/>
  <c r="N256" i="23"/>
  <c r="N31" i="29" s="1"/>
  <c r="M256" i="23"/>
  <c r="M31" i="29" s="1"/>
  <c r="L256" i="23"/>
  <c r="L31" i="29" s="1"/>
  <c r="G256" i="23"/>
  <c r="G31" i="29" s="1"/>
  <c r="E256" i="23"/>
  <c r="E31" i="29" s="1"/>
  <c r="D256" i="23"/>
  <c r="D31" i="29" s="1"/>
  <c r="O255" i="23"/>
  <c r="O30" i="29" s="1"/>
  <c r="N255" i="23"/>
  <c r="N30" i="29" s="1"/>
  <c r="M255" i="23"/>
  <c r="M30" i="29" s="1"/>
  <c r="L255" i="23"/>
  <c r="L30" i="29" s="1"/>
  <c r="G255" i="23"/>
  <c r="G30" i="29" s="1"/>
  <c r="E255" i="23"/>
  <c r="E30" i="29" s="1"/>
  <c r="D255" i="23"/>
  <c r="D30" i="29" s="1"/>
  <c r="O254" i="23"/>
  <c r="O29" i="29" s="1"/>
  <c r="N254" i="23"/>
  <c r="N29" i="29" s="1"/>
  <c r="M254" i="23"/>
  <c r="M29" i="29" s="1"/>
  <c r="L254" i="23"/>
  <c r="L29" i="29" s="1"/>
  <c r="G254" i="23"/>
  <c r="G29" i="29" s="1"/>
  <c r="E254" i="23"/>
  <c r="E29" i="29" s="1"/>
  <c r="D254" i="23"/>
  <c r="D29" i="29" s="1"/>
  <c r="O253" i="23"/>
  <c r="O28" i="29" s="1"/>
  <c r="N253" i="23"/>
  <c r="N28" i="29" s="1"/>
  <c r="M253" i="23"/>
  <c r="M28" i="29" s="1"/>
  <c r="L253" i="23"/>
  <c r="L28" i="29" s="1"/>
  <c r="G253" i="23"/>
  <c r="G28" i="29" s="1"/>
  <c r="E253" i="23"/>
  <c r="E28" i="29" s="1"/>
  <c r="D253" i="23"/>
  <c r="D28" i="29" s="1"/>
  <c r="O252" i="23"/>
  <c r="O27" i="29" s="1"/>
  <c r="N252" i="23"/>
  <c r="N27" i="29" s="1"/>
  <c r="M252" i="23"/>
  <c r="M27" i="29" s="1"/>
  <c r="L252" i="23"/>
  <c r="L27" i="29" s="1"/>
  <c r="G252" i="23"/>
  <c r="G27" i="29" s="1"/>
  <c r="E252" i="23"/>
  <c r="E27" i="29" s="1"/>
  <c r="D252" i="23"/>
  <c r="D27" i="29" s="1"/>
  <c r="O251" i="23"/>
  <c r="O26" i="29" s="1"/>
  <c r="N251" i="23"/>
  <c r="N26" i="29" s="1"/>
  <c r="M251" i="23"/>
  <c r="M26" i="29" s="1"/>
  <c r="L251" i="23"/>
  <c r="L26" i="29" s="1"/>
  <c r="G251" i="23"/>
  <c r="G26" i="29" s="1"/>
  <c r="E251" i="23"/>
  <c r="E26" i="29" s="1"/>
  <c r="D251" i="23"/>
  <c r="D26" i="29" s="1"/>
  <c r="O250" i="23"/>
  <c r="O25" i="29" s="1"/>
  <c r="N250" i="23"/>
  <c r="N25" i="29" s="1"/>
  <c r="M250" i="23"/>
  <c r="M25" i="29" s="1"/>
  <c r="L250" i="23"/>
  <c r="L25" i="29" s="1"/>
  <c r="G250" i="23"/>
  <c r="G25" i="29" s="1"/>
  <c r="E250" i="23"/>
  <c r="E25" i="29" s="1"/>
  <c r="D250" i="23"/>
  <c r="D25" i="29" s="1"/>
  <c r="O249" i="23"/>
  <c r="O24" i="29" s="1"/>
  <c r="N249" i="23"/>
  <c r="N24" i="29" s="1"/>
  <c r="M249" i="23"/>
  <c r="M24" i="29" s="1"/>
  <c r="L249" i="23"/>
  <c r="L24" i="29" s="1"/>
  <c r="G249" i="23"/>
  <c r="G24" i="29" s="1"/>
  <c r="E249" i="23"/>
  <c r="E24" i="29" s="1"/>
  <c r="D249" i="23"/>
  <c r="D24" i="29" s="1"/>
  <c r="O248" i="23"/>
  <c r="O23" i="29" s="1"/>
  <c r="N248" i="23"/>
  <c r="N23" i="29" s="1"/>
  <c r="M248" i="23"/>
  <c r="M23" i="29" s="1"/>
  <c r="L248" i="23"/>
  <c r="L23" i="29" s="1"/>
  <c r="G248" i="23"/>
  <c r="G23" i="29" s="1"/>
  <c r="E248" i="23"/>
  <c r="E23" i="29" s="1"/>
  <c r="D248" i="23"/>
  <c r="D23" i="29" s="1"/>
  <c r="O247" i="23"/>
  <c r="O22" i="29" s="1"/>
  <c r="N247" i="23"/>
  <c r="N22" i="29" s="1"/>
  <c r="M247" i="23"/>
  <c r="M22" i="29" s="1"/>
  <c r="L247" i="23"/>
  <c r="L22" i="29" s="1"/>
  <c r="G247" i="23"/>
  <c r="G22" i="29" s="1"/>
  <c r="E247" i="23"/>
  <c r="E22" i="29" s="1"/>
  <c r="D247" i="23"/>
  <c r="D22" i="29" s="1"/>
  <c r="O246" i="23"/>
  <c r="O21" i="29" s="1"/>
  <c r="N246" i="23"/>
  <c r="N21" i="29" s="1"/>
  <c r="M246" i="23"/>
  <c r="M21" i="29" s="1"/>
  <c r="L246" i="23"/>
  <c r="L21" i="29" s="1"/>
  <c r="G246" i="23"/>
  <c r="G21" i="29" s="1"/>
  <c r="E246" i="23"/>
  <c r="E21" i="29" s="1"/>
  <c r="D246" i="23"/>
  <c r="D21" i="29" s="1"/>
  <c r="O245" i="23"/>
  <c r="O20" i="29" s="1"/>
  <c r="N245" i="23"/>
  <c r="N20" i="29" s="1"/>
  <c r="M245" i="23"/>
  <c r="M20" i="29" s="1"/>
  <c r="L245" i="23"/>
  <c r="L20" i="29" s="1"/>
  <c r="G245" i="23"/>
  <c r="G20" i="29" s="1"/>
  <c r="E245" i="23"/>
  <c r="E20" i="29" s="1"/>
  <c r="D245" i="23"/>
  <c r="D20" i="29" s="1"/>
  <c r="O244" i="23"/>
  <c r="O19" i="29" s="1"/>
  <c r="N244" i="23"/>
  <c r="N19" i="29" s="1"/>
  <c r="M244" i="23"/>
  <c r="M19" i="29" s="1"/>
  <c r="L244" i="23"/>
  <c r="L19" i="29" s="1"/>
  <c r="G244" i="23"/>
  <c r="G19" i="29" s="1"/>
  <c r="E244" i="23"/>
  <c r="E19" i="29" s="1"/>
  <c r="D244" i="23"/>
  <c r="D19" i="29" s="1"/>
  <c r="O243" i="23"/>
  <c r="O18" i="29" s="1"/>
  <c r="N243" i="23"/>
  <c r="N18" i="29" s="1"/>
  <c r="M243" i="23"/>
  <c r="M18" i="29" s="1"/>
  <c r="L243" i="23"/>
  <c r="L18" i="29" s="1"/>
  <c r="G243" i="23"/>
  <c r="G18" i="29" s="1"/>
  <c r="E243" i="23"/>
  <c r="E18" i="29" s="1"/>
  <c r="D243" i="23"/>
  <c r="D18" i="29" s="1"/>
  <c r="O242" i="23"/>
  <c r="O17" i="29" s="1"/>
  <c r="N242" i="23"/>
  <c r="N17" i="29" s="1"/>
  <c r="M242" i="23"/>
  <c r="M17" i="29" s="1"/>
  <c r="L242" i="23"/>
  <c r="L17" i="29" s="1"/>
  <c r="G242" i="23"/>
  <c r="G17" i="29" s="1"/>
  <c r="E242" i="23"/>
  <c r="E17" i="29" s="1"/>
  <c r="D242" i="23"/>
  <c r="D17" i="29" s="1"/>
  <c r="O241" i="23"/>
  <c r="O16" i="29" s="1"/>
  <c r="N241" i="23"/>
  <c r="N16" i="29" s="1"/>
  <c r="M241" i="23"/>
  <c r="M16" i="29" s="1"/>
  <c r="L241" i="23"/>
  <c r="L16" i="29" s="1"/>
  <c r="G241" i="23"/>
  <c r="G16" i="29" s="1"/>
  <c r="E241" i="23"/>
  <c r="E16" i="29" s="1"/>
  <c r="D241" i="23"/>
  <c r="D16" i="29" s="1"/>
  <c r="O240" i="23"/>
  <c r="O15" i="29" s="1"/>
  <c r="N240" i="23"/>
  <c r="N15" i="29" s="1"/>
  <c r="M240" i="23"/>
  <c r="M15" i="29" s="1"/>
  <c r="L240" i="23"/>
  <c r="L15" i="29" s="1"/>
  <c r="G240" i="23"/>
  <c r="G15" i="29" s="1"/>
  <c r="E240" i="23"/>
  <c r="E15" i="29" s="1"/>
  <c r="D240" i="23"/>
  <c r="D15" i="29" s="1"/>
  <c r="O239" i="23"/>
  <c r="O14" i="29" s="1"/>
  <c r="N239" i="23"/>
  <c r="N14" i="29" s="1"/>
  <c r="M239" i="23"/>
  <c r="M14" i="29" s="1"/>
  <c r="L239" i="23"/>
  <c r="L14" i="29" s="1"/>
  <c r="G239" i="23"/>
  <c r="G14" i="29" s="1"/>
  <c r="E239" i="23"/>
  <c r="E14" i="29" s="1"/>
  <c r="D239" i="23"/>
  <c r="D14" i="29" s="1"/>
  <c r="O238" i="23"/>
  <c r="O13" i="29" s="1"/>
  <c r="N238" i="23"/>
  <c r="N13" i="29" s="1"/>
  <c r="M238" i="23"/>
  <c r="M13" i="29" s="1"/>
  <c r="L238" i="23"/>
  <c r="L13" i="29" s="1"/>
  <c r="G238" i="23"/>
  <c r="G13" i="29" s="1"/>
  <c r="E238" i="23"/>
  <c r="E13" i="29" s="1"/>
  <c r="D238" i="23"/>
  <c r="D13" i="29" s="1"/>
  <c r="O237" i="23"/>
  <c r="O12" i="29" s="1"/>
  <c r="N237" i="23"/>
  <c r="N12" i="29" s="1"/>
  <c r="M237" i="23"/>
  <c r="M12" i="29" s="1"/>
  <c r="L237" i="23"/>
  <c r="L12" i="29" s="1"/>
  <c r="G237" i="23"/>
  <c r="G12" i="29" s="1"/>
  <c r="E237" i="23"/>
  <c r="E12" i="29" s="1"/>
  <c r="D237" i="23"/>
  <c r="D12" i="29" s="1"/>
  <c r="O236" i="23"/>
  <c r="O11" i="29" s="1"/>
  <c r="N236" i="23"/>
  <c r="N11" i="29" s="1"/>
  <c r="M236" i="23"/>
  <c r="M11" i="29" s="1"/>
  <c r="L236" i="23"/>
  <c r="L11" i="29" s="1"/>
  <c r="G236" i="23"/>
  <c r="G11" i="29" s="1"/>
  <c r="E236" i="23"/>
  <c r="E11" i="29" s="1"/>
  <c r="D236" i="23"/>
  <c r="I236" i="23" s="1"/>
  <c r="I11" i="29" s="1"/>
  <c r="O235" i="23"/>
  <c r="O10" i="29" s="1"/>
  <c r="N235" i="23"/>
  <c r="N10" i="29" s="1"/>
  <c r="M235" i="23"/>
  <c r="M10" i="29" s="1"/>
  <c r="L235" i="23"/>
  <c r="L10" i="29" s="1"/>
  <c r="G235" i="23"/>
  <c r="G10" i="29" s="1"/>
  <c r="E235" i="23"/>
  <c r="E10" i="29" s="1"/>
  <c r="D235" i="23"/>
  <c r="D10" i="29" s="1"/>
  <c r="O230" i="23"/>
  <c r="O12" i="28" s="1"/>
  <c r="N230" i="23"/>
  <c r="N12" i="28" s="1"/>
  <c r="M230" i="23"/>
  <c r="M12" i="28" s="1"/>
  <c r="L230" i="23"/>
  <c r="L12" i="28" s="1"/>
  <c r="G230" i="23"/>
  <c r="G12" i="28" s="1"/>
  <c r="G9" i="28" s="1"/>
  <c r="E230" i="23"/>
  <c r="E12" i="28" s="1"/>
  <c r="E9" i="28" s="1"/>
  <c r="D230" i="23"/>
  <c r="D12" i="28" s="1"/>
  <c r="D9" i="28" s="1"/>
  <c r="O226" i="23"/>
  <c r="O8" i="28" s="1"/>
  <c r="N226" i="23"/>
  <c r="N8" i="28" s="1"/>
  <c r="M226" i="23"/>
  <c r="M8" i="28" s="1"/>
  <c r="L226" i="23"/>
  <c r="L8" i="28" s="1"/>
  <c r="G226" i="23"/>
  <c r="G8" i="28" s="1"/>
  <c r="G7" i="28" s="1"/>
  <c r="E226" i="23"/>
  <c r="E8" i="28" s="1"/>
  <c r="E7" i="28" s="1"/>
  <c r="D226" i="23"/>
  <c r="O223" i="23"/>
  <c r="O10" i="27" s="1"/>
  <c r="N223" i="23"/>
  <c r="N10" i="27" s="1"/>
  <c r="M223" i="23"/>
  <c r="M10" i="27" s="1"/>
  <c r="L223" i="23"/>
  <c r="L10" i="27" s="1"/>
  <c r="G223" i="23"/>
  <c r="G10" i="27" s="1"/>
  <c r="E223" i="23"/>
  <c r="E10" i="27" s="1"/>
  <c r="D223" i="23"/>
  <c r="D10" i="27" s="1"/>
  <c r="O222" i="23"/>
  <c r="O9" i="27" s="1"/>
  <c r="N222" i="23"/>
  <c r="N9" i="27" s="1"/>
  <c r="M222" i="23"/>
  <c r="M9" i="27" s="1"/>
  <c r="L222" i="23"/>
  <c r="L9" i="27" s="1"/>
  <c r="G222" i="23"/>
  <c r="G9" i="27" s="1"/>
  <c r="E222" i="23"/>
  <c r="E9" i="27" s="1"/>
  <c r="D222" i="23"/>
  <c r="D9" i="27" s="1"/>
  <c r="O221" i="23"/>
  <c r="O8" i="27" s="1"/>
  <c r="N221" i="23"/>
  <c r="N8" i="27" s="1"/>
  <c r="M221" i="23"/>
  <c r="M8" i="27" s="1"/>
  <c r="L221" i="23"/>
  <c r="L8" i="27" s="1"/>
  <c r="G221" i="23"/>
  <c r="G8" i="27" s="1"/>
  <c r="E221" i="23"/>
  <c r="E8" i="27" s="1"/>
  <c r="D221" i="23"/>
  <c r="D8" i="27" s="1"/>
  <c r="O206" i="23"/>
  <c r="O20" i="26" s="1"/>
  <c r="N206" i="23"/>
  <c r="N20" i="26" s="1"/>
  <c r="M206" i="23"/>
  <c r="M20" i="26" s="1"/>
  <c r="L206" i="23"/>
  <c r="L20" i="26" s="1"/>
  <c r="G206" i="23"/>
  <c r="G20" i="26" s="1"/>
  <c r="E206" i="23"/>
  <c r="E20" i="26" s="1"/>
  <c r="D206" i="23"/>
  <c r="D20" i="26" s="1"/>
  <c r="O205" i="23"/>
  <c r="O19" i="26" s="1"/>
  <c r="N205" i="23"/>
  <c r="N19" i="26" s="1"/>
  <c r="M205" i="23"/>
  <c r="M19" i="26" s="1"/>
  <c r="L205" i="23"/>
  <c r="L19" i="26" s="1"/>
  <c r="G205" i="23"/>
  <c r="G19" i="26" s="1"/>
  <c r="E205" i="23"/>
  <c r="E19" i="26" s="1"/>
  <c r="D205" i="23"/>
  <c r="D19" i="26" s="1"/>
  <c r="O204" i="23"/>
  <c r="O18" i="26" s="1"/>
  <c r="N204" i="23"/>
  <c r="N18" i="26" s="1"/>
  <c r="M204" i="23"/>
  <c r="M18" i="26" s="1"/>
  <c r="L204" i="23"/>
  <c r="L18" i="26" s="1"/>
  <c r="G204" i="23"/>
  <c r="G18" i="26" s="1"/>
  <c r="E204" i="23"/>
  <c r="E18" i="26" s="1"/>
  <c r="D204" i="23"/>
  <c r="D18" i="26" s="1"/>
  <c r="O203" i="23"/>
  <c r="O17" i="26" s="1"/>
  <c r="N203" i="23"/>
  <c r="N17" i="26" s="1"/>
  <c r="M203" i="23"/>
  <c r="M17" i="26" s="1"/>
  <c r="L203" i="23"/>
  <c r="L17" i="26" s="1"/>
  <c r="G203" i="23"/>
  <c r="G17" i="26" s="1"/>
  <c r="E203" i="23"/>
  <c r="E17" i="26" s="1"/>
  <c r="D203" i="23"/>
  <c r="I203" i="23" s="1"/>
  <c r="I17" i="26" s="1"/>
  <c r="O202" i="23"/>
  <c r="O16" i="26" s="1"/>
  <c r="N202" i="23"/>
  <c r="N16" i="26" s="1"/>
  <c r="M202" i="23"/>
  <c r="M16" i="26" s="1"/>
  <c r="L202" i="23"/>
  <c r="L16" i="26" s="1"/>
  <c r="G202" i="23"/>
  <c r="G16" i="26" s="1"/>
  <c r="E202" i="23"/>
  <c r="E16" i="26" s="1"/>
  <c r="D202" i="23"/>
  <c r="D16" i="26" s="1"/>
  <c r="O201" i="23"/>
  <c r="O15" i="26" s="1"/>
  <c r="N201" i="23"/>
  <c r="N15" i="26" s="1"/>
  <c r="M201" i="23"/>
  <c r="M15" i="26" s="1"/>
  <c r="L201" i="23"/>
  <c r="L15" i="26" s="1"/>
  <c r="G201" i="23"/>
  <c r="G15" i="26" s="1"/>
  <c r="E201" i="23"/>
  <c r="E15" i="26" s="1"/>
  <c r="D201" i="23"/>
  <c r="D15" i="26" s="1"/>
  <c r="O200" i="23"/>
  <c r="O14" i="26" s="1"/>
  <c r="N200" i="23"/>
  <c r="N14" i="26" s="1"/>
  <c r="M200" i="23"/>
  <c r="M14" i="26" s="1"/>
  <c r="L200" i="23"/>
  <c r="L14" i="26" s="1"/>
  <c r="G200" i="23"/>
  <c r="G14" i="26" s="1"/>
  <c r="E200" i="23"/>
  <c r="D200" i="23"/>
  <c r="D14" i="26" s="1"/>
  <c r="O198" i="23"/>
  <c r="O12" i="26" s="1"/>
  <c r="N198" i="23"/>
  <c r="N12" i="26" s="1"/>
  <c r="M198" i="23"/>
  <c r="M12" i="26" s="1"/>
  <c r="L198" i="23"/>
  <c r="L12" i="26" s="1"/>
  <c r="G198" i="23"/>
  <c r="G12" i="26" s="1"/>
  <c r="G11" i="26" s="1"/>
  <c r="E198" i="23"/>
  <c r="E12" i="26" s="1"/>
  <c r="E11" i="26" s="1"/>
  <c r="D198" i="23"/>
  <c r="D12" i="26" s="1"/>
  <c r="D11" i="26" s="1"/>
  <c r="O196" i="23"/>
  <c r="O10" i="26" s="1"/>
  <c r="N196" i="23"/>
  <c r="N10" i="26" s="1"/>
  <c r="M196" i="23"/>
  <c r="M10" i="26" s="1"/>
  <c r="L196" i="23"/>
  <c r="L10" i="26" s="1"/>
  <c r="G196" i="23"/>
  <c r="G10" i="26" s="1"/>
  <c r="E196" i="23"/>
  <c r="E10" i="26" s="1"/>
  <c r="D196" i="23"/>
  <c r="D10" i="26" s="1"/>
  <c r="O195" i="23"/>
  <c r="O9" i="26" s="1"/>
  <c r="N195" i="23"/>
  <c r="N9" i="26" s="1"/>
  <c r="M195" i="23"/>
  <c r="M9" i="26" s="1"/>
  <c r="L195" i="23"/>
  <c r="L9" i="26" s="1"/>
  <c r="G195" i="23"/>
  <c r="G9" i="26" s="1"/>
  <c r="E195" i="23"/>
  <c r="E9" i="26" s="1"/>
  <c r="D195" i="23"/>
  <c r="O194" i="23"/>
  <c r="O8" i="26" s="1"/>
  <c r="N194" i="23"/>
  <c r="N8" i="26" s="1"/>
  <c r="M194" i="23"/>
  <c r="M8" i="26" s="1"/>
  <c r="L194" i="23"/>
  <c r="L8" i="26" s="1"/>
  <c r="G194" i="23"/>
  <c r="G8" i="26" s="1"/>
  <c r="E194" i="23"/>
  <c r="E8" i="26" s="1"/>
  <c r="D194" i="23"/>
  <c r="D8" i="26" s="1"/>
  <c r="O95" i="23"/>
  <c r="O95" i="25" s="1"/>
  <c r="N95" i="23"/>
  <c r="N95" i="25" s="1"/>
  <c r="M95" i="23"/>
  <c r="M95" i="25" s="1"/>
  <c r="L95" i="23"/>
  <c r="L95" i="25" s="1"/>
  <c r="G95" i="23"/>
  <c r="G95" i="25" s="1"/>
  <c r="E95" i="23"/>
  <c r="E95" i="25" s="1"/>
  <c r="D95" i="23"/>
  <c r="O94" i="23"/>
  <c r="O94" i="25" s="1"/>
  <c r="N94" i="23"/>
  <c r="N94" i="25" s="1"/>
  <c r="M94" i="23"/>
  <c r="M94" i="25" s="1"/>
  <c r="L94" i="23"/>
  <c r="L94" i="25" s="1"/>
  <c r="G94" i="23"/>
  <c r="G94" i="25" s="1"/>
  <c r="E94" i="23"/>
  <c r="E94" i="25" s="1"/>
  <c r="D94" i="23"/>
  <c r="O93" i="23"/>
  <c r="O93" i="25" s="1"/>
  <c r="N93" i="23"/>
  <c r="N93" i="25" s="1"/>
  <c r="M93" i="23"/>
  <c r="M93" i="25" s="1"/>
  <c r="L93" i="23"/>
  <c r="L93" i="25" s="1"/>
  <c r="G93" i="23"/>
  <c r="G93" i="25" s="1"/>
  <c r="E93" i="23"/>
  <c r="E93" i="25" s="1"/>
  <c r="D93" i="23"/>
  <c r="D93" i="25" s="1"/>
  <c r="O92" i="23"/>
  <c r="O92" i="25" s="1"/>
  <c r="N92" i="23"/>
  <c r="N92" i="25" s="1"/>
  <c r="M92" i="23"/>
  <c r="M92" i="25" s="1"/>
  <c r="L92" i="23"/>
  <c r="L92" i="25" s="1"/>
  <c r="G92" i="23"/>
  <c r="G92" i="25" s="1"/>
  <c r="E92" i="23"/>
  <c r="E92" i="25" s="1"/>
  <c r="D92" i="23"/>
  <c r="O91" i="23"/>
  <c r="O91" i="25" s="1"/>
  <c r="N91" i="23"/>
  <c r="N91" i="25" s="1"/>
  <c r="M91" i="23"/>
  <c r="M91" i="25" s="1"/>
  <c r="L91" i="23"/>
  <c r="L91" i="25" s="1"/>
  <c r="G91" i="23"/>
  <c r="G91" i="25" s="1"/>
  <c r="E91" i="23"/>
  <c r="E91" i="25" s="1"/>
  <c r="D91" i="23"/>
  <c r="D91" i="25" s="1"/>
  <c r="O90" i="23"/>
  <c r="O90" i="25" s="1"/>
  <c r="N90" i="23"/>
  <c r="N90" i="25" s="1"/>
  <c r="M90" i="23"/>
  <c r="M90" i="25" s="1"/>
  <c r="L90" i="23"/>
  <c r="L90" i="25" s="1"/>
  <c r="G90" i="23"/>
  <c r="G90" i="25" s="1"/>
  <c r="E90" i="23"/>
  <c r="E90" i="25" s="1"/>
  <c r="D90" i="23"/>
  <c r="O89" i="23"/>
  <c r="O89" i="25" s="1"/>
  <c r="N89" i="23"/>
  <c r="N89" i="25" s="1"/>
  <c r="M89" i="23"/>
  <c r="M89" i="25" s="1"/>
  <c r="L89" i="23"/>
  <c r="L89" i="25" s="1"/>
  <c r="G89" i="23"/>
  <c r="G89" i="25" s="1"/>
  <c r="E89" i="23"/>
  <c r="E89" i="25" s="1"/>
  <c r="D89" i="23"/>
  <c r="O87" i="23"/>
  <c r="O87" i="25" s="1"/>
  <c r="N87" i="23"/>
  <c r="N87" i="25" s="1"/>
  <c r="M87" i="23"/>
  <c r="M87" i="25" s="1"/>
  <c r="L87" i="23"/>
  <c r="L87" i="25" s="1"/>
  <c r="G87" i="23"/>
  <c r="G87" i="25" s="1"/>
  <c r="E87" i="23"/>
  <c r="E87" i="25" s="1"/>
  <c r="D87" i="23"/>
  <c r="D87" i="25" s="1"/>
  <c r="O86" i="23"/>
  <c r="O86" i="25" s="1"/>
  <c r="N86" i="23"/>
  <c r="N86" i="25" s="1"/>
  <c r="M86" i="23"/>
  <c r="M86" i="25" s="1"/>
  <c r="L86" i="23"/>
  <c r="L86" i="25" s="1"/>
  <c r="G86" i="23"/>
  <c r="G86" i="25" s="1"/>
  <c r="E86" i="23"/>
  <c r="E86" i="25" s="1"/>
  <c r="D86" i="23"/>
  <c r="O85" i="23"/>
  <c r="O85" i="25" s="1"/>
  <c r="N85" i="23"/>
  <c r="N85" i="25" s="1"/>
  <c r="M85" i="23"/>
  <c r="M85" i="25" s="1"/>
  <c r="L85" i="23"/>
  <c r="L85" i="25" s="1"/>
  <c r="G85" i="23"/>
  <c r="G85" i="25" s="1"/>
  <c r="E85" i="23"/>
  <c r="E85" i="25" s="1"/>
  <c r="D85" i="23"/>
  <c r="O84" i="23"/>
  <c r="O84" i="25" s="1"/>
  <c r="N84" i="23"/>
  <c r="N84" i="25" s="1"/>
  <c r="M84" i="23"/>
  <c r="M84" i="25" s="1"/>
  <c r="L84" i="23"/>
  <c r="L84" i="25" s="1"/>
  <c r="G84" i="23"/>
  <c r="E84" i="23"/>
  <c r="E84" i="25" s="1"/>
  <c r="D84" i="23"/>
  <c r="O82" i="23"/>
  <c r="O82" i="25" s="1"/>
  <c r="N82" i="23"/>
  <c r="N82" i="25" s="1"/>
  <c r="M82" i="23"/>
  <c r="M82" i="25" s="1"/>
  <c r="L82" i="23"/>
  <c r="L82" i="25" s="1"/>
  <c r="G82" i="23"/>
  <c r="G82" i="25" s="1"/>
  <c r="E82" i="23"/>
  <c r="E82" i="25" s="1"/>
  <c r="D82" i="23"/>
  <c r="O81" i="23"/>
  <c r="O81" i="25" s="1"/>
  <c r="N81" i="23"/>
  <c r="N81" i="25" s="1"/>
  <c r="M81" i="23"/>
  <c r="M81" i="25" s="1"/>
  <c r="L81" i="23"/>
  <c r="L81" i="25" s="1"/>
  <c r="G81" i="23"/>
  <c r="G81" i="25" s="1"/>
  <c r="E81" i="23"/>
  <c r="E81" i="25" s="1"/>
  <c r="D81" i="23"/>
  <c r="O80" i="23"/>
  <c r="O80" i="25" s="1"/>
  <c r="N80" i="23"/>
  <c r="N80" i="25" s="1"/>
  <c r="M80" i="23"/>
  <c r="M80" i="25" s="1"/>
  <c r="L80" i="23"/>
  <c r="L80" i="25" s="1"/>
  <c r="G80" i="23"/>
  <c r="G80" i="25" s="1"/>
  <c r="E80" i="23"/>
  <c r="E80" i="25" s="1"/>
  <c r="D80" i="23"/>
  <c r="O79" i="23"/>
  <c r="O79" i="25" s="1"/>
  <c r="N79" i="23"/>
  <c r="N79" i="25" s="1"/>
  <c r="M79" i="23"/>
  <c r="M79" i="25" s="1"/>
  <c r="L79" i="23"/>
  <c r="L79" i="25" s="1"/>
  <c r="G79" i="23"/>
  <c r="G79" i="25" s="1"/>
  <c r="E79" i="23"/>
  <c r="E79" i="25" s="1"/>
  <c r="D79" i="23"/>
  <c r="O78" i="23"/>
  <c r="O78" i="25" s="1"/>
  <c r="N78" i="23"/>
  <c r="N78" i="25" s="1"/>
  <c r="M78" i="23"/>
  <c r="M78" i="25" s="1"/>
  <c r="L78" i="23"/>
  <c r="L78" i="25" s="1"/>
  <c r="G78" i="23"/>
  <c r="G78" i="25" s="1"/>
  <c r="E78" i="23"/>
  <c r="E78" i="25" s="1"/>
  <c r="D78" i="23"/>
  <c r="O77" i="23"/>
  <c r="O77" i="25" s="1"/>
  <c r="N77" i="23"/>
  <c r="N77" i="25" s="1"/>
  <c r="M77" i="23"/>
  <c r="M77" i="25" s="1"/>
  <c r="L77" i="23"/>
  <c r="L77" i="25" s="1"/>
  <c r="G77" i="23"/>
  <c r="G77" i="25" s="1"/>
  <c r="E77" i="23"/>
  <c r="E77" i="25" s="1"/>
  <c r="D77" i="23"/>
  <c r="O76" i="23"/>
  <c r="O76" i="25" s="1"/>
  <c r="N76" i="23"/>
  <c r="N76" i="25" s="1"/>
  <c r="M76" i="23"/>
  <c r="M76" i="25" s="1"/>
  <c r="L76" i="23"/>
  <c r="L76" i="25" s="1"/>
  <c r="G76" i="23"/>
  <c r="G76" i="25" s="1"/>
  <c r="E76" i="23"/>
  <c r="E76" i="25" s="1"/>
  <c r="D76" i="23"/>
  <c r="O75" i="23"/>
  <c r="O75" i="25" s="1"/>
  <c r="N75" i="23"/>
  <c r="N75" i="25" s="1"/>
  <c r="M75" i="23"/>
  <c r="M75" i="25" s="1"/>
  <c r="L75" i="23"/>
  <c r="L75" i="25" s="1"/>
  <c r="G75" i="23"/>
  <c r="G75" i="25" s="1"/>
  <c r="E75" i="23"/>
  <c r="E75" i="25" s="1"/>
  <c r="D75" i="23"/>
  <c r="O74" i="23"/>
  <c r="O74" i="25" s="1"/>
  <c r="N74" i="23"/>
  <c r="N74" i="25" s="1"/>
  <c r="M74" i="23"/>
  <c r="M74" i="25" s="1"/>
  <c r="L74" i="23"/>
  <c r="L74" i="25" s="1"/>
  <c r="G74" i="23"/>
  <c r="G74" i="25" s="1"/>
  <c r="E74" i="23"/>
  <c r="E74" i="25" s="1"/>
  <c r="D74" i="23"/>
  <c r="O73" i="23"/>
  <c r="O73" i="25" s="1"/>
  <c r="N73" i="23"/>
  <c r="N73" i="25" s="1"/>
  <c r="M73" i="23"/>
  <c r="M73" i="25" s="1"/>
  <c r="L73" i="23"/>
  <c r="L73" i="25" s="1"/>
  <c r="G73" i="23"/>
  <c r="G73" i="25" s="1"/>
  <c r="E73" i="23"/>
  <c r="E73" i="25" s="1"/>
  <c r="D73" i="23"/>
  <c r="O72" i="23"/>
  <c r="O72" i="25" s="1"/>
  <c r="N72" i="23"/>
  <c r="N72" i="25" s="1"/>
  <c r="M72" i="23"/>
  <c r="M72" i="25" s="1"/>
  <c r="L72" i="23"/>
  <c r="L72" i="25" s="1"/>
  <c r="G72" i="23"/>
  <c r="G72" i="25" s="1"/>
  <c r="E72" i="23"/>
  <c r="E72" i="25" s="1"/>
  <c r="D72" i="23"/>
  <c r="O71" i="23"/>
  <c r="O71" i="25" s="1"/>
  <c r="N71" i="23"/>
  <c r="N71" i="25" s="1"/>
  <c r="M71" i="23"/>
  <c r="M71" i="25" s="1"/>
  <c r="L71" i="23"/>
  <c r="L71" i="25" s="1"/>
  <c r="G71" i="23"/>
  <c r="G71" i="25" s="1"/>
  <c r="E71" i="23"/>
  <c r="E71" i="25" s="1"/>
  <c r="D71" i="23"/>
  <c r="O70" i="23"/>
  <c r="O70" i="25" s="1"/>
  <c r="N70" i="23"/>
  <c r="N70" i="25" s="1"/>
  <c r="M70" i="23"/>
  <c r="M70" i="25" s="1"/>
  <c r="L70" i="23"/>
  <c r="L70" i="25" s="1"/>
  <c r="G70" i="23"/>
  <c r="G70" i="25" s="1"/>
  <c r="E70" i="23"/>
  <c r="E70" i="25" s="1"/>
  <c r="D70" i="23"/>
  <c r="O69" i="23"/>
  <c r="O69" i="25" s="1"/>
  <c r="N69" i="23"/>
  <c r="N69" i="25" s="1"/>
  <c r="M69" i="23"/>
  <c r="M69" i="25" s="1"/>
  <c r="L69" i="23"/>
  <c r="L69" i="25" s="1"/>
  <c r="G69" i="23"/>
  <c r="G69" i="25" s="1"/>
  <c r="E69" i="23"/>
  <c r="E69" i="25" s="1"/>
  <c r="D69" i="23"/>
  <c r="O68" i="23"/>
  <c r="O68" i="25" s="1"/>
  <c r="N68" i="23"/>
  <c r="N68" i="25" s="1"/>
  <c r="M68" i="23"/>
  <c r="M68" i="25" s="1"/>
  <c r="L68" i="23"/>
  <c r="L68" i="25" s="1"/>
  <c r="G68" i="23"/>
  <c r="G68" i="25" s="1"/>
  <c r="E68" i="23"/>
  <c r="E68" i="25" s="1"/>
  <c r="D68" i="23"/>
  <c r="O67" i="23"/>
  <c r="O67" i="25" s="1"/>
  <c r="N67" i="23"/>
  <c r="N67" i="25" s="1"/>
  <c r="M67" i="23"/>
  <c r="M67" i="25" s="1"/>
  <c r="L67" i="23"/>
  <c r="L67" i="25" s="1"/>
  <c r="G67" i="23"/>
  <c r="G67" i="25" s="1"/>
  <c r="E67" i="23"/>
  <c r="E67" i="25" s="1"/>
  <c r="D67" i="23"/>
  <c r="O66" i="23"/>
  <c r="O66" i="25" s="1"/>
  <c r="N66" i="23"/>
  <c r="N66" i="25" s="1"/>
  <c r="M66" i="23"/>
  <c r="M66" i="25" s="1"/>
  <c r="L66" i="23"/>
  <c r="L66" i="25" s="1"/>
  <c r="G66" i="23"/>
  <c r="G66" i="25" s="1"/>
  <c r="E66" i="23"/>
  <c r="E66" i="25" s="1"/>
  <c r="D66" i="23"/>
  <c r="O65" i="23"/>
  <c r="O65" i="25" s="1"/>
  <c r="N65" i="23"/>
  <c r="N65" i="25" s="1"/>
  <c r="M65" i="23"/>
  <c r="M65" i="25" s="1"/>
  <c r="L65" i="23"/>
  <c r="L65" i="25" s="1"/>
  <c r="G65" i="23"/>
  <c r="G65" i="25" s="1"/>
  <c r="E65" i="23"/>
  <c r="E65" i="25" s="1"/>
  <c r="D65" i="23"/>
  <c r="O64" i="23"/>
  <c r="O64" i="25" s="1"/>
  <c r="N64" i="23"/>
  <c r="N64" i="25" s="1"/>
  <c r="M64" i="23"/>
  <c r="M64" i="25" s="1"/>
  <c r="L64" i="23"/>
  <c r="L64" i="25" s="1"/>
  <c r="G64" i="23"/>
  <c r="G64" i="25" s="1"/>
  <c r="E64" i="23"/>
  <c r="E64" i="25" s="1"/>
  <c r="D64" i="23"/>
  <c r="O63" i="23"/>
  <c r="O63" i="25" s="1"/>
  <c r="N63" i="23"/>
  <c r="N63" i="25" s="1"/>
  <c r="M63" i="23"/>
  <c r="M63" i="25" s="1"/>
  <c r="L63" i="23"/>
  <c r="L63" i="25" s="1"/>
  <c r="G63" i="23"/>
  <c r="G63" i="25" s="1"/>
  <c r="E63" i="23"/>
  <c r="E63" i="25" s="1"/>
  <c r="D63" i="23"/>
  <c r="O62" i="23"/>
  <c r="O62" i="25" s="1"/>
  <c r="N62" i="23"/>
  <c r="N62" i="25" s="1"/>
  <c r="M62" i="23"/>
  <c r="M62" i="25" s="1"/>
  <c r="L62" i="23"/>
  <c r="L62" i="25" s="1"/>
  <c r="G62" i="23"/>
  <c r="G62" i="25" s="1"/>
  <c r="E62" i="23"/>
  <c r="E62" i="25" s="1"/>
  <c r="D62" i="23"/>
  <c r="O61" i="23"/>
  <c r="O61" i="25" s="1"/>
  <c r="N61" i="23"/>
  <c r="N61" i="25" s="1"/>
  <c r="M61" i="23"/>
  <c r="M61" i="25" s="1"/>
  <c r="L61" i="23"/>
  <c r="L61" i="25" s="1"/>
  <c r="G61" i="23"/>
  <c r="G61" i="25" s="1"/>
  <c r="E61" i="23"/>
  <c r="E61" i="25" s="1"/>
  <c r="D61" i="23"/>
  <c r="H61" i="23" s="1"/>
  <c r="H61" i="25" s="1"/>
  <c r="O60" i="23"/>
  <c r="O60" i="25" s="1"/>
  <c r="N60" i="23"/>
  <c r="N60" i="25" s="1"/>
  <c r="M60" i="23"/>
  <c r="M60" i="25" s="1"/>
  <c r="L60" i="23"/>
  <c r="L60" i="25" s="1"/>
  <c r="G60" i="23"/>
  <c r="G60" i="25" s="1"/>
  <c r="E60" i="23"/>
  <c r="E60" i="25" s="1"/>
  <c r="D60" i="23"/>
  <c r="H60" i="23" s="1"/>
  <c r="H60" i="25" s="1"/>
  <c r="O59" i="23"/>
  <c r="O59" i="25" s="1"/>
  <c r="N59" i="23"/>
  <c r="N59" i="25" s="1"/>
  <c r="M59" i="23"/>
  <c r="M59" i="25" s="1"/>
  <c r="L59" i="23"/>
  <c r="L59" i="25" s="1"/>
  <c r="G59" i="23"/>
  <c r="G59" i="25" s="1"/>
  <c r="E59" i="23"/>
  <c r="E59" i="25" s="1"/>
  <c r="D59" i="23"/>
  <c r="D59" i="25" s="1"/>
  <c r="O58" i="23"/>
  <c r="O58" i="25" s="1"/>
  <c r="N58" i="23"/>
  <c r="N58" i="25" s="1"/>
  <c r="M58" i="23"/>
  <c r="M58" i="25" s="1"/>
  <c r="L58" i="23"/>
  <c r="L58" i="25" s="1"/>
  <c r="G58" i="23"/>
  <c r="G58" i="25" s="1"/>
  <c r="E58" i="23"/>
  <c r="E58" i="25" s="1"/>
  <c r="D58" i="23"/>
  <c r="H58" i="23" s="1"/>
  <c r="H58" i="25" s="1"/>
  <c r="O57" i="23"/>
  <c r="O57" i="25" s="1"/>
  <c r="N57" i="23"/>
  <c r="N57" i="25" s="1"/>
  <c r="M57" i="23"/>
  <c r="M57" i="25" s="1"/>
  <c r="L57" i="23"/>
  <c r="L57" i="25" s="1"/>
  <c r="G57" i="23"/>
  <c r="G57" i="25" s="1"/>
  <c r="E57" i="23"/>
  <c r="E57" i="25" s="1"/>
  <c r="D57" i="23"/>
  <c r="O56" i="23"/>
  <c r="O56" i="25" s="1"/>
  <c r="N56" i="23"/>
  <c r="N56" i="25" s="1"/>
  <c r="M56" i="23"/>
  <c r="M56" i="25" s="1"/>
  <c r="L56" i="23"/>
  <c r="L56" i="25" s="1"/>
  <c r="G56" i="23"/>
  <c r="G56" i="25" s="1"/>
  <c r="E56" i="23"/>
  <c r="E56" i="25" s="1"/>
  <c r="D56" i="23"/>
  <c r="D56" i="25" s="1"/>
  <c r="O55" i="23"/>
  <c r="O55" i="25" s="1"/>
  <c r="N55" i="23"/>
  <c r="N55" i="25" s="1"/>
  <c r="M55" i="23"/>
  <c r="M55" i="25" s="1"/>
  <c r="L55" i="23"/>
  <c r="L55" i="25" s="1"/>
  <c r="G55" i="23"/>
  <c r="G55" i="25" s="1"/>
  <c r="E55" i="23"/>
  <c r="E55" i="25" s="1"/>
  <c r="D55" i="23"/>
  <c r="O54" i="23"/>
  <c r="O54" i="25" s="1"/>
  <c r="N54" i="23"/>
  <c r="N54" i="25" s="1"/>
  <c r="M54" i="23"/>
  <c r="M54" i="25" s="1"/>
  <c r="L54" i="23"/>
  <c r="L54" i="25" s="1"/>
  <c r="G54" i="23"/>
  <c r="G54" i="25" s="1"/>
  <c r="E54" i="23"/>
  <c r="E54" i="25" s="1"/>
  <c r="D54" i="23"/>
  <c r="O53" i="23"/>
  <c r="O53" i="25" s="1"/>
  <c r="N53" i="23"/>
  <c r="N53" i="25" s="1"/>
  <c r="M53" i="23"/>
  <c r="M53" i="25" s="1"/>
  <c r="L53" i="23"/>
  <c r="L53" i="25" s="1"/>
  <c r="G53" i="23"/>
  <c r="G53" i="25" s="1"/>
  <c r="E53" i="23"/>
  <c r="E53" i="25" s="1"/>
  <c r="D53" i="23"/>
  <c r="D53" i="25" s="1"/>
  <c r="O52" i="23"/>
  <c r="O52" i="25" s="1"/>
  <c r="N52" i="23"/>
  <c r="N52" i="25" s="1"/>
  <c r="M52" i="23"/>
  <c r="M52" i="25" s="1"/>
  <c r="L52" i="23"/>
  <c r="L52" i="25" s="1"/>
  <c r="G52" i="23"/>
  <c r="G52" i="25" s="1"/>
  <c r="E52" i="23"/>
  <c r="E52" i="25" s="1"/>
  <c r="D52" i="23"/>
  <c r="O51" i="23"/>
  <c r="O51" i="25" s="1"/>
  <c r="N51" i="23"/>
  <c r="N51" i="25" s="1"/>
  <c r="M51" i="23"/>
  <c r="M51" i="25" s="1"/>
  <c r="L51" i="23"/>
  <c r="L51" i="25" s="1"/>
  <c r="G51" i="23"/>
  <c r="G51" i="25" s="1"/>
  <c r="E51" i="23"/>
  <c r="E51" i="25" s="1"/>
  <c r="D51" i="23"/>
  <c r="D51" i="25" s="1"/>
  <c r="O50" i="23"/>
  <c r="O50" i="25" s="1"/>
  <c r="N50" i="23"/>
  <c r="N50" i="25" s="1"/>
  <c r="M50" i="23"/>
  <c r="M50" i="25" s="1"/>
  <c r="L50" i="23"/>
  <c r="L50" i="25" s="1"/>
  <c r="G50" i="23"/>
  <c r="G50" i="25" s="1"/>
  <c r="E50" i="23"/>
  <c r="E50" i="25" s="1"/>
  <c r="D50" i="23"/>
  <c r="D50" i="25" s="1"/>
  <c r="O49" i="23"/>
  <c r="O49" i="25" s="1"/>
  <c r="N49" i="23"/>
  <c r="N49" i="25" s="1"/>
  <c r="M49" i="23"/>
  <c r="M49" i="25" s="1"/>
  <c r="L49" i="23"/>
  <c r="L49" i="25" s="1"/>
  <c r="G49" i="23"/>
  <c r="G49" i="25" s="1"/>
  <c r="E49" i="23"/>
  <c r="E49" i="25" s="1"/>
  <c r="D49" i="23"/>
  <c r="D49" i="25" s="1"/>
  <c r="O48" i="23"/>
  <c r="O48" i="25" s="1"/>
  <c r="N48" i="23"/>
  <c r="N48" i="25" s="1"/>
  <c r="M48" i="23"/>
  <c r="M48" i="25" s="1"/>
  <c r="L48" i="23"/>
  <c r="L48" i="25" s="1"/>
  <c r="G48" i="23"/>
  <c r="G48" i="25" s="1"/>
  <c r="E48" i="23"/>
  <c r="E48" i="25" s="1"/>
  <c r="D48" i="23"/>
  <c r="D48" i="25" s="1"/>
  <c r="O47" i="23"/>
  <c r="O47" i="25" s="1"/>
  <c r="N47" i="23"/>
  <c r="N47" i="25" s="1"/>
  <c r="M47" i="23"/>
  <c r="M47" i="25" s="1"/>
  <c r="L47" i="23"/>
  <c r="L47" i="25" s="1"/>
  <c r="G47" i="23"/>
  <c r="G47" i="25" s="1"/>
  <c r="E47" i="23"/>
  <c r="E47" i="25" s="1"/>
  <c r="D47" i="23"/>
  <c r="D47" i="25" s="1"/>
  <c r="O46" i="23"/>
  <c r="O46" i="25" s="1"/>
  <c r="N46" i="23"/>
  <c r="N46" i="25" s="1"/>
  <c r="M46" i="23"/>
  <c r="M46" i="25" s="1"/>
  <c r="L46" i="23"/>
  <c r="L46" i="25" s="1"/>
  <c r="G46" i="23"/>
  <c r="G46" i="25" s="1"/>
  <c r="E46" i="23"/>
  <c r="E46" i="25" s="1"/>
  <c r="D46" i="23"/>
  <c r="D46" i="25" s="1"/>
  <c r="O45" i="23"/>
  <c r="O45" i="25" s="1"/>
  <c r="N45" i="23"/>
  <c r="N45" i="25" s="1"/>
  <c r="M45" i="23"/>
  <c r="M45" i="25" s="1"/>
  <c r="L45" i="23"/>
  <c r="L45" i="25" s="1"/>
  <c r="G45" i="23"/>
  <c r="G45" i="25" s="1"/>
  <c r="E45" i="23"/>
  <c r="E45" i="25" s="1"/>
  <c r="D45" i="23"/>
  <c r="D45" i="25" s="1"/>
  <c r="O44" i="23"/>
  <c r="O44" i="25" s="1"/>
  <c r="N44" i="23"/>
  <c r="N44" i="25" s="1"/>
  <c r="M44" i="23"/>
  <c r="M44" i="25" s="1"/>
  <c r="L44" i="23"/>
  <c r="L44" i="25" s="1"/>
  <c r="G44" i="23"/>
  <c r="G44" i="25" s="1"/>
  <c r="E44" i="23"/>
  <c r="E44" i="25" s="1"/>
  <c r="D44" i="23"/>
  <c r="D44" i="25" s="1"/>
  <c r="O43" i="23"/>
  <c r="O43" i="25" s="1"/>
  <c r="N43" i="23"/>
  <c r="N43" i="25" s="1"/>
  <c r="M43" i="23"/>
  <c r="M43" i="25" s="1"/>
  <c r="L43" i="23"/>
  <c r="L43" i="25" s="1"/>
  <c r="G43" i="23"/>
  <c r="G43" i="25" s="1"/>
  <c r="E43" i="23"/>
  <c r="E43" i="25" s="1"/>
  <c r="D43" i="23"/>
  <c r="D43" i="25" s="1"/>
  <c r="O42" i="23"/>
  <c r="O42" i="25" s="1"/>
  <c r="N42" i="23"/>
  <c r="N42" i="25" s="1"/>
  <c r="M42" i="23"/>
  <c r="M42" i="25" s="1"/>
  <c r="L42" i="23"/>
  <c r="L42" i="25" s="1"/>
  <c r="G42" i="23"/>
  <c r="G42" i="25" s="1"/>
  <c r="E42" i="23"/>
  <c r="E42" i="25" s="1"/>
  <c r="D42" i="23"/>
  <c r="D42" i="25" s="1"/>
  <c r="O41" i="23"/>
  <c r="O41" i="25" s="1"/>
  <c r="N41" i="23"/>
  <c r="N41" i="25" s="1"/>
  <c r="M41" i="23"/>
  <c r="M41" i="25" s="1"/>
  <c r="L41" i="23"/>
  <c r="L41" i="25" s="1"/>
  <c r="G41" i="23"/>
  <c r="G41" i="25" s="1"/>
  <c r="E41" i="23"/>
  <c r="E41" i="25" s="1"/>
  <c r="D41" i="23"/>
  <c r="D41" i="25" s="1"/>
  <c r="O40" i="23"/>
  <c r="O40" i="25" s="1"/>
  <c r="N40" i="23"/>
  <c r="N40" i="25" s="1"/>
  <c r="M40" i="23"/>
  <c r="M40" i="25" s="1"/>
  <c r="L40" i="23"/>
  <c r="L40" i="25" s="1"/>
  <c r="G40" i="23"/>
  <c r="G40" i="25" s="1"/>
  <c r="E40" i="23"/>
  <c r="E40" i="25" s="1"/>
  <c r="D40" i="23"/>
  <c r="D40" i="25" s="1"/>
  <c r="O39" i="23"/>
  <c r="O39" i="25" s="1"/>
  <c r="N39" i="23"/>
  <c r="N39" i="25" s="1"/>
  <c r="M39" i="23"/>
  <c r="M39" i="25" s="1"/>
  <c r="L39" i="23"/>
  <c r="L39" i="25" s="1"/>
  <c r="G39" i="23"/>
  <c r="G39" i="25" s="1"/>
  <c r="E39" i="23"/>
  <c r="E39" i="25" s="1"/>
  <c r="D39" i="23"/>
  <c r="D39" i="25" s="1"/>
  <c r="O38" i="23"/>
  <c r="O38" i="25" s="1"/>
  <c r="N38" i="23"/>
  <c r="N38" i="25" s="1"/>
  <c r="M38" i="23"/>
  <c r="M38" i="25" s="1"/>
  <c r="L38" i="23"/>
  <c r="L38" i="25" s="1"/>
  <c r="G38" i="23"/>
  <c r="G38" i="25" s="1"/>
  <c r="E38" i="23"/>
  <c r="E38" i="25" s="1"/>
  <c r="D38" i="23"/>
  <c r="D38" i="25" s="1"/>
  <c r="O37" i="23"/>
  <c r="O37" i="25" s="1"/>
  <c r="N37" i="23"/>
  <c r="N37" i="25" s="1"/>
  <c r="M37" i="23"/>
  <c r="M37" i="25" s="1"/>
  <c r="L37" i="23"/>
  <c r="L37" i="25" s="1"/>
  <c r="G37" i="23"/>
  <c r="G37" i="25" s="1"/>
  <c r="E37" i="23"/>
  <c r="E37" i="25" s="1"/>
  <c r="D37" i="23"/>
  <c r="D37" i="25" s="1"/>
  <c r="O36" i="23"/>
  <c r="O36" i="25" s="1"/>
  <c r="N36" i="23"/>
  <c r="N36" i="25" s="1"/>
  <c r="M36" i="23"/>
  <c r="M36" i="25" s="1"/>
  <c r="L36" i="23"/>
  <c r="L36" i="25" s="1"/>
  <c r="G36" i="23"/>
  <c r="G36" i="25" s="1"/>
  <c r="E36" i="23"/>
  <c r="E36" i="25" s="1"/>
  <c r="D36" i="23"/>
  <c r="D36" i="25" s="1"/>
  <c r="O35" i="23"/>
  <c r="O35" i="25" s="1"/>
  <c r="N35" i="23"/>
  <c r="N35" i="25" s="1"/>
  <c r="M35" i="23"/>
  <c r="M35" i="25" s="1"/>
  <c r="L35" i="23"/>
  <c r="L35" i="25" s="1"/>
  <c r="G35" i="23"/>
  <c r="G35" i="25" s="1"/>
  <c r="E35" i="23"/>
  <c r="E35" i="25" s="1"/>
  <c r="D35" i="23"/>
  <c r="D35" i="25" s="1"/>
  <c r="O34" i="23"/>
  <c r="O34" i="25" s="1"/>
  <c r="N34" i="23"/>
  <c r="N34" i="25" s="1"/>
  <c r="M34" i="23"/>
  <c r="M34" i="25" s="1"/>
  <c r="L34" i="23"/>
  <c r="L34" i="25" s="1"/>
  <c r="G34" i="23"/>
  <c r="G34" i="25" s="1"/>
  <c r="E34" i="23"/>
  <c r="E34" i="25" s="1"/>
  <c r="D34" i="23"/>
  <c r="D34" i="25" s="1"/>
  <c r="O33" i="23"/>
  <c r="O33" i="25" s="1"/>
  <c r="N33" i="23"/>
  <c r="N33" i="25" s="1"/>
  <c r="M33" i="23"/>
  <c r="M33" i="25" s="1"/>
  <c r="L33" i="23"/>
  <c r="L33" i="25" s="1"/>
  <c r="G33" i="23"/>
  <c r="G33" i="25" s="1"/>
  <c r="E33" i="23"/>
  <c r="E33" i="25" s="1"/>
  <c r="D33" i="23"/>
  <c r="D33" i="25" s="1"/>
  <c r="O32" i="23"/>
  <c r="O32" i="25" s="1"/>
  <c r="N32" i="23"/>
  <c r="N32" i="25" s="1"/>
  <c r="M32" i="23"/>
  <c r="M32" i="25" s="1"/>
  <c r="L32" i="23"/>
  <c r="L32" i="25" s="1"/>
  <c r="G32" i="23"/>
  <c r="G32" i="25" s="1"/>
  <c r="E32" i="23"/>
  <c r="E32" i="25" s="1"/>
  <c r="D32" i="23"/>
  <c r="D32" i="25" s="1"/>
  <c r="O31" i="23"/>
  <c r="O31" i="25" s="1"/>
  <c r="N31" i="23"/>
  <c r="N31" i="25" s="1"/>
  <c r="M31" i="23"/>
  <c r="M31" i="25" s="1"/>
  <c r="L31" i="23"/>
  <c r="L31" i="25" s="1"/>
  <c r="G31" i="23"/>
  <c r="G31" i="25" s="1"/>
  <c r="E31" i="23"/>
  <c r="E31" i="25" s="1"/>
  <c r="D31" i="23"/>
  <c r="D31" i="25" s="1"/>
  <c r="O30" i="23"/>
  <c r="O30" i="25" s="1"/>
  <c r="N30" i="23"/>
  <c r="N30" i="25" s="1"/>
  <c r="M30" i="23"/>
  <c r="M30" i="25" s="1"/>
  <c r="L30" i="23"/>
  <c r="L30" i="25" s="1"/>
  <c r="G30" i="23"/>
  <c r="G30" i="25" s="1"/>
  <c r="E30" i="23"/>
  <c r="E30" i="25" s="1"/>
  <c r="D30" i="23"/>
  <c r="D30" i="25" s="1"/>
  <c r="O29" i="23"/>
  <c r="O29" i="25" s="1"/>
  <c r="N29" i="23"/>
  <c r="N29" i="25" s="1"/>
  <c r="M29" i="23"/>
  <c r="M29" i="25" s="1"/>
  <c r="L29" i="23"/>
  <c r="L29" i="25" s="1"/>
  <c r="G29" i="23"/>
  <c r="G29" i="25" s="1"/>
  <c r="E29" i="23"/>
  <c r="E29" i="25" s="1"/>
  <c r="D29" i="23"/>
  <c r="D29" i="25" s="1"/>
  <c r="O28" i="23"/>
  <c r="O28" i="25" s="1"/>
  <c r="N28" i="23"/>
  <c r="N28" i="25" s="1"/>
  <c r="M28" i="23"/>
  <c r="M28" i="25" s="1"/>
  <c r="L28" i="23"/>
  <c r="L28" i="25" s="1"/>
  <c r="G28" i="23"/>
  <c r="G28" i="25" s="1"/>
  <c r="E28" i="23"/>
  <c r="E28" i="25" s="1"/>
  <c r="D28" i="23"/>
  <c r="D28" i="25" s="1"/>
  <c r="O27" i="23"/>
  <c r="O27" i="25" s="1"/>
  <c r="N27" i="23"/>
  <c r="N27" i="25" s="1"/>
  <c r="M27" i="23"/>
  <c r="M27" i="25" s="1"/>
  <c r="L27" i="23"/>
  <c r="L27" i="25" s="1"/>
  <c r="G27" i="23"/>
  <c r="G27" i="25" s="1"/>
  <c r="E27" i="23"/>
  <c r="E27" i="25" s="1"/>
  <c r="D27" i="23"/>
  <c r="D27" i="25" s="1"/>
  <c r="O26" i="23"/>
  <c r="O26" i="25" s="1"/>
  <c r="N26" i="23"/>
  <c r="N26" i="25" s="1"/>
  <c r="M26" i="23"/>
  <c r="M26" i="25" s="1"/>
  <c r="L26" i="23"/>
  <c r="L26" i="25" s="1"/>
  <c r="G26" i="23"/>
  <c r="G26" i="25" s="1"/>
  <c r="E26" i="23"/>
  <c r="E26" i="25" s="1"/>
  <c r="D26" i="23"/>
  <c r="D26" i="25" s="1"/>
  <c r="O25" i="23"/>
  <c r="O25" i="25" s="1"/>
  <c r="N25" i="23"/>
  <c r="N25" i="25" s="1"/>
  <c r="M25" i="23"/>
  <c r="M25" i="25" s="1"/>
  <c r="L25" i="23"/>
  <c r="L25" i="25" s="1"/>
  <c r="G25" i="23"/>
  <c r="G25" i="25" s="1"/>
  <c r="E25" i="23"/>
  <c r="E25" i="25" s="1"/>
  <c r="D25" i="23"/>
  <c r="D25" i="25" s="1"/>
  <c r="O24" i="23"/>
  <c r="O24" i="25" s="1"/>
  <c r="N24" i="23"/>
  <c r="N24" i="25" s="1"/>
  <c r="M24" i="23"/>
  <c r="M24" i="25" s="1"/>
  <c r="L24" i="23"/>
  <c r="L24" i="25" s="1"/>
  <c r="G24" i="23"/>
  <c r="G24" i="25" s="1"/>
  <c r="E24" i="23"/>
  <c r="E24" i="25" s="1"/>
  <c r="D24" i="23"/>
  <c r="D24" i="25" s="1"/>
  <c r="O23" i="23"/>
  <c r="O23" i="25" s="1"/>
  <c r="N23" i="23"/>
  <c r="N23" i="25" s="1"/>
  <c r="M23" i="23"/>
  <c r="M23" i="25" s="1"/>
  <c r="L23" i="23"/>
  <c r="L23" i="25" s="1"/>
  <c r="G23" i="23"/>
  <c r="G23" i="25" s="1"/>
  <c r="E23" i="23"/>
  <c r="E23" i="25" s="1"/>
  <c r="D23" i="23"/>
  <c r="D23" i="25" s="1"/>
  <c r="O22" i="23"/>
  <c r="O22" i="25" s="1"/>
  <c r="N22" i="23"/>
  <c r="N22" i="25" s="1"/>
  <c r="M22" i="23"/>
  <c r="M22" i="25" s="1"/>
  <c r="L22" i="23"/>
  <c r="L22" i="25" s="1"/>
  <c r="G22" i="23"/>
  <c r="G22" i="25" s="1"/>
  <c r="E22" i="23"/>
  <c r="E22" i="25" s="1"/>
  <c r="D22" i="23"/>
  <c r="D22" i="25" s="1"/>
  <c r="O21" i="23"/>
  <c r="O21" i="25" s="1"/>
  <c r="N21" i="23"/>
  <c r="N21" i="25" s="1"/>
  <c r="M21" i="23"/>
  <c r="M21" i="25" s="1"/>
  <c r="L21" i="23"/>
  <c r="L21" i="25" s="1"/>
  <c r="G21" i="23"/>
  <c r="G21" i="25" s="1"/>
  <c r="E21" i="23"/>
  <c r="E21" i="25" s="1"/>
  <c r="D21" i="23"/>
  <c r="D21" i="25" s="1"/>
  <c r="O20" i="23"/>
  <c r="O20" i="25" s="1"/>
  <c r="N20" i="23"/>
  <c r="N20" i="25" s="1"/>
  <c r="M20" i="23"/>
  <c r="M20" i="25" s="1"/>
  <c r="L20" i="23"/>
  <c r="L20" i="25" s="1"/>
  <c r="G20" i="23"/>
  <c r="G20" i="25" s="1"/>
  <c r="E20" i="23"/>
  <c r="E20" i="25" s="1"/>
  <c r="D20" i="23"/>
  <c r="D20" i="25" s="1"/>
  <c r="O19" i="23"/>
  <c r="O19" i="25" s="1"/>
  <c r="N19" i="23"/>
  <c r="N19" i="25" s="1"/>
  <c r="M19" i="23"/>
  <c r="M19" i="25" s="1"/>
  <c r="L19" i="23"/>
  <c r="L19" i="25" s="1"/>
  <c r="G19" i="23"/>
  <c r="E19" i="23"/>
  <c r="D19" i="23"/>
  <c r="O17" i="23"/>
  <c r="O17" i="25" s="1"/>
  <c r="N17" i="23"/>
  <c r="N17" i="25" s="1"/>
  <c r="M17" i="23"/>
  <c r="M17" i="25" s="1"/>
  <c r="L17" i="23"/>
  <c r="L17" i="25" s="1"/>
  <c r="G17" i="23"/>
  <c r="G17" i="25" s="1"/>
  <c r="E17" i="23"/>
  <c r="E17" i="25" s="1"/>
  <c r="D17" i="23"/>
  <c r="D17" i="25" s="1"/>
  <c r="O16" i="23"/>
  <c r="O16" i="25" s="1"/>
  <c r="N16" i="23"/>
  <c r="N16" i="25" s="1"/>
  <c r="M16" i="23"/>
  <c r="M16" i="25" s="1"/>
  <c r="L16" i="23"/>
  <c r="L16" i="25" s="1"/>
  <c r="G16" i="23"/>
  <c r="E16" i="23"/>
  <c r="D16" i="23"/>
  <c r="O14" i="23"/>
  <c r="O14" i="25" s="1"/>
  <c r="N14" i="23"/>
  <c r="N14" i="25" s="1"/>
  <c r="M14" i="23"/>
  <c r="M14" i="25" s="1"/>
  <c r="L14" i="23"/>
  <c r="L14" i="25" s="1"/>
  <c r="G14" i="23"/>
  <c r="G14" i="25" s="1"/>
  <c r="E14" i="23"/>
  <c r="E14" i="25" s="1"/>
  <c r="D14" i="23"/>
  <c r="D14" i="25" s="1"/>
  <c r="O13" i="23"/>
  <c r="O13" i="25" s="1"/>
  <c r="N13" i="23"/>
  <c r="N13" i="25" s="1"/>
  <c r="M13" i="23"/>
  <c r="M13" i="25" s="1"/>
  <c r="L13" i="23"/>
  <c r="L13" i="25" s="1"/>
  <c r="G13" i="23"/>
  <c r="E13" i="23"/>
  <c r="D13" i="23"/>
  <c r="O11" i="23"/>
  <c r="O11" i="25" s="1"/>
  <c r="N11" i="23"/>
  <c r="N11" i="25" s="1"/>
  <c r="M11" i="23"/>
  <c r="M11" i="25" s="1"/>
  <c r="L11" i="23"/>
  <c r="L11" i="25" s="1"/>
  <c r="G11" i="23"/>
  <c r="G11" i="25" s="1"/>
  <c r="E11" i="23"/>
  <c r="E11" i="25" s="1"/>
  <c r="D11" i="23"/>
  <c r="D11" i="25" s="1"/>
  <c r="O10" i="23"/>
  <c r="O10" i="25" s="1"/>
  <c r="N10" i="23"/>
  <c r="N10" i="25" s="1"/>
  <c r="M10" i="23"/>
  <c r="M10" i="25" s="1"/>
  <c r="L10" i="23"/>
  <c r="L10" i="25" s="1"/>
  <c r="G10" i="23"/>
  <c r="G10" i="25" s="1"/>
  <c r="E10" i="23"/>
  <c r="E10" i="25" s="1"/>
  <c r="D10" i="23"/>
  <c r="D10" i="25" s="1"/>
  <c r="O9" i="23"/>
  <c r="O9" i="25" s="1"/>
  <c r="N9" i="23"/>
  <c r="N9" i="25" s="1"/>
  <c r="M9" i="23"/>
  <c r="M9" i="25" s="1"/>
  <c r="L9" i="23"/>
  <c r="L9" i="25" s="1"/>
  <c r="G9" i="23"/>
  <c r="G9" i="25" s="1"/>
  <c r="E9" i="23"/>
  <c r="E9" i="25" s="1"/>
  <c r="D9" i="23"/>
  <c r="D9" i="25" s="1"/>
  <c r="O8" i="23"/>
  <c r="O8" i="25" s="1"/>
  <c r="N8" i="23"/>
  <c r="N8" i="25" s="1"/>
  <c r="M8" i="23"/>
  <c r="M8" i="25" s="1"/>
  <c r="L8" i="23"/>
  <c r="L8" i="25" s="1"/>
  <c r="G8" i="23"/>
  <c r="E8" i="23"/>
  <c r="D8" i="23"/>
  <c r="O903" i="22"/>
  <c r="N903" i="22"/>
  <c r="M903" i="22"/>
  <c r="L903" i="22"/>
  <c r="G903" i="22"/>
  <c r="G902" i="22" s="1"/>
  <c r="E903" i="22"/>
  <c r="E902" i="22" s="1"/>
  <c r="D903" i="22"/>
  <c r="D902" i="22" s="1"/>
  <c r="O900" i="22"/>
  <c r="N900" i="22"/>
  <c r="M900" i="22"/>
  <c r="L900" i="22"/>
  <c r="G900" i="22"/>
  <c r="G899" i="22" s="1"/>
  <c r="E900" i="22"/>
  <c r="E899" i="22" s="1"/>
  <c r="D900" i="22"/>
  <c r="O897" i="22"/>
  <c r="N897" i="22"/>
  <c r="M897" i="22"/>
  <c r="L897" i="22"/>
  <c r="G897" i="22"/>
  <c r="G896" i="22" s="1"/>
  <c r="E897" i="22"/>
  <c r="E896" i="22" s="1"/>
  <c r="D897" i="22"/>
  <c r="O894" i="22"/>
  <c r="N894" i="22"/>
  <c r="M894" i="22"/>
  <c r="L894" i="22"/>
  <c r="G894" i="22"/>
  <c r="G893" i="22" s="1"/>
  <c r="E894" i="22"/>
  <c r="E893" i="22" s="1"/>
  <c r="D894" i="22"/>
  <c r="D893" i="22" s="1"/>
  <c r="O891" i="22"/>
  <c r="N891" i="22"/>
  <c r="M891" i="22"/>
  <c r="L891" i="22"/>
  <c r="G891" i="22"/>
  <c r="E891" i="22"/>
  <c r="D891" i="22"/>
  <c r="O889" i="22"/>
  <c r="N889" i="22"/>
  <c r="M889" i="22"/>
  <c r="L889" i="22"/>
  <c r="G889" i="22"/>
  <c r="E889" i="22"/>
  <c r="D889" i="22"/>
  <c r="O887" i="22"/>
  <c r="N887" i="22"/>
  <c r="M887" i="22"/>
  <c r="L887" i="22"/>
  <c r="G887" i="22"/>
  <c r="E887" i="22"/>
  <c r="D887" i="22"/>
  <c r="I887" i="22" s="1"/>
  <c r="O883" i="22"/>
  <c r="N883" i="22"/>
  <c r="M883" i="22"/>
  <c r="L883" i="22"/>
  <c r="G883" i="22"/>
  <c r="E883" i="22"/>
  <c r="D883" i="22"/>
  <c r="O880" i="22"/>
  <c r="N880" i="22"/>
  <c r="M880" i="22"/>
  <c r="L880" i="22"/>
  <c r="G880" i="22"/>
  <c r="E880" i="22"/>
  <c r="D880" i="22"/>
  <c r="I880" i="22" s="1"/>
  <c r="O877" i="22"/>
  <c r="N877" i="22"/>
  <c r="M877" i="22"/>
  <c r="L877" i="22"/>
  <c r="G877" i="22"/>
  <c r="E877" i="22"/>
  <c r="D877" i="22"/>
  <c r="O874" i="22"/>
  <c r="N874" i="22"/>
  <c r="M874" i="22"/>
  <c r="L874" i="22"/>
  <c r="G874" i="22"/>
  <c r="E874" i="22"/>
  <c r="D874" i="22"/>
  <c r="O870" i="22"/>
  <c r="N870" i="22"/>
  <c r="M870" i="22"/>
  <c r="L870" i="22"/>
  <c r="G870" i="22"/>
  <c r="E870" i="22"/>
  <c r="D870" i="22"/>
  <c r="O867" i="22"/>
  <c r="N867" i="22"/>
  <c r="M867" i="22"/>
  <c r="L867" i="22"/>
  <c r="G867" i="22"/>
  <c r="E867" i="22"/>
  <c r="D867" i="22"/>
  <c r="O864" i="22"/>
  <c r="N864" i="22"/>
  <c r="M864" i="22"/>
  <c r="L864" i="22"/>
  <c r="G864" i="22"/>
  <c r="E864" i="22"/>
  <c r="D864" i="22"/>
  <c r="O861" i="22"/>
  <c r="N861" i="22"/>
  <c r="M861" i="22"/>
  <c r="L861" i="22"/>
  <c r="G861" i="22"/>
  <c r="E861" i="22"/>
  <c r="D861" i="22"/>
  <c r="O858" i="22"/>
  <c r="N858" i="22"/>
  <c r="M858" i="22"/>
  <c r="L858" i="22"/>
  <c r="G858" i="22"/>
  <c r="E858" i="22"/>
  <c r="D858" i="22"/>
  <c r="I858" i="22" s="1"/>
  <c r="O855" i="22"/>
  <c r="N855" i="22"/>
  <c r="M855" i="22"/>
  <c r="L855" i="22"/>
  <c r="G855" i="22"/>
  <c r="E855" i="22"/>
  <c r="D855" i="22"/>
  <c r="O852" i="22"/>
  <c r="N852" i="22"/>
  <c r="M852" i="22"/>
  <c r="L852" i="22"/>
  <c r="G852" i="22"/>
  <c r="E852" i="22"/>
  <c r="D852" i="22"/>
  <c r="O849" i="22"/>
  <c r="N849" i="22"/>
  <c r="M849" i="22"/>
  <c r="L849" i="22"/>
  <c r="G849" i="22"/>
  <c r="E849" i="22"/>
  <c r="D849" i="22"/>
  <c r="O846" i="22"/>
  <c r="N846" i="22"/>
  <c r="M846" i="22"/>
  <c r="L846" i="22"/>
  <c r="G846" i="22"/>
  <c r="E846" i="22"/>
  <c r="D846" i="22"/>
  <c r="O843" i="22"/>
  <c r="N843" i="22"/>
  <c r="M843" i="22"/>
  <c r="L843" i="22"/>
  <c r="G843" i="22"/>
  <c r="E843" i="22"/>
  <c r="D843" i="22"/>
  <c r="O839" i="22"/>
  <c r="N839" i="22"/>
  <c r="M839" i="22"/>
  <c r="L839" i="22"/>
  <c r="G839" i="22"/>
  <c r="E839" i="22"/>
  <c r="D839" i="22"/>
  <c r="O836" i="22"/>
  <c r="N836" i="22"/>
  <c r="M836" i="22"/>
  <c r="L836" i="22"/>
  <c r="G836" i="22"/>
  <c r="E836" i="22"/>
  <c r="D836" i="22"/>
  <c r="O833" i="22"/>
  <c r="N833" i="22"/>
  <c r="M833" i="22"/>
  <c r="L833" i="22"/>
  <c r="G833" i="22"/>
  <c r="E833" i="22"/>
  <c r="D833" i="22"/>
  <c r="I833" i="22" s="1"/>
  <c r="O830" i="22"/>
  <c r="N830" i="22"/>
  <c r="M830" i="22"/>
  <c r="L830" i="22"/>
  <c r="G830" i="22"/>
  <c r="E830" i="22"/>
  <c r="D830" i="22"/>
  <c r="I830" i="22" s="1"/>
  <c r="O827" i="22"/>
  <c r="N827" i="22"/>
  <c r="M827" i="22"/>
  <c r="L827" i="22"/>
  <c r="G827" i="22"/>
  <c r="E827" i="22"/>
  <c r="D827" i="22"/>
  <c r="O824" i="22"/>
  <c r="N824" i="22"/>
  <c r="M824" i="22"/>
  <c r="L824" i="22"/>
  <c r="G824" i="22"/>
  <c r="E824" i="22"/>
  <c r="D824" i="22"/>
  <c r="O821" i="22"/>
  <c r="N821" i="22"/>
  <c r="M821" i="22"/>
  <c r="L821" i="22"/>
  <c r="G821" i="22"/>
  <c r="E821" i="22"/>
  <c r="D821" i="22"/>
  <c r="I821" i="22" s="1"/>
  <c r="O818" i="22"/>
  <c r="N818" i="22"/>
  <c r="M818" i="22"/>
  <c r="L818" i="22"/>
  <c r="G818" i="22"/>
  <c r="E818" i="22"/>
  <c r="D818" i="22"/>
  <c r="O815" i="22"/>
  <c r="N815" i="22"/>
  <c r="M815" i="22"/>
  <c r="L815" i="22"/>
  <c r="G815" i="22"/>
  <c r="E815" i="22"/>
  <c r="D815" i="22"/>
  <c r="O812" i="22"/>
  <c r="N812" i="22"/>
  <c r="M812" i="22"/>
  <c r="L812" i="22"/>
  <c r="G812" i="22"/>
  <c r="E812" i="22"/>
  <c r="D812" i="22"/>
  <c r="I812" i="22" s="1"/>
  <c r="O809" i="22"/>
  <c r="N809" i="22"/>
  <c r="M809" i="22"/>
  <c r="L809" i="22"/>
  <c r="G809" i="22"/>
  <c r="E809" i="22"/>
  <c r="D809" i="22"/>
  <c r="O806" i="22"/>
  <c r="N806" i="22"/>
  <c r="M806" i="22"/>
  <c r="L806" i="22"/>
  <c r="G806" i="22"/>
  <c r="E806" i="22"/>
  <c r="D806" i="22"/>
  <c r="O803" i="22"/>
  <c r="N803" i="22"/>
  <c r="M803" i="22"/>
  <c r="L803" i="22"/>
  <c r="G803" i="22"/>
  <c r="E803" i="22"/>
  <c r="D803" i="22"/>
  <c r="O800" i="22"/>
  <c r="N800" i="22"/>
  <c r="M800" i="22"/>
  <c r="L800" i="22"/>
  <c r="G800" i="22"/>
  <c r="E800" i="22"/>
  <c r="D800" i="22"/>
  <c r="O796" i="22"/>
  <c r="N796" i="22"/>
  <c r="M796" i="22"/>
  <c r="L796" i="22"/>
  <c r="G796" i="22"/>
  <c r="E796" i="22"/>
  <c r="D796" i="22"/>
  <c r="O793" i="22"/>
  <c r="N793" i="22"/>
  <c r="M793" i="22"/>
  <c r="L793" i="22"/>
  <c r="G793" i="22"/>
  <c r="E793" i="22"/>
  <c r="D793" i="22"/>
  <c r="O790" i="22"/>
  <c r="N790" i="22"/>
  <c r="M790" i="22"/>
  <c r="L790" i="22"/>
  <c r="G790" i="22"/>
  <c r="E790" i="22"/>
  <c r="D790" i="22"/>
  <c r="O787" i="22"/>
  <c r="N787" i="22"/>
  <c r="M787" i="22"/>
  <c r="L787" i="22"/>
  <c r="G787" i="22"/>
  <c r="E787" i="22"/>
  <c r="D787" i="22"/>
  <c r="O781" i="22"/>
  <c r="N781" i="22"/>
  <c r="M781" i="22"/>
  <c r="L781" i="22"/>
  <c r="G781" i="22"/>
  <c r="E781" i="22"/>
  <c r="D781" i="22"/>
  <c r="O779" i="22"/>
  <c r="N779" i="22"/>
  <c r="M779" i="22"/>
  <c r="L779" i="22"/>
  <c r="G779" i="22"/>
  <c r="E779" i="22"/>
  <c r="D779" i="22"/>
  <c r="I779" i="22" s="1"/>
  <c r="O776" i="22"/>
  <c r="N776" i="22"/>
  <c r="M776" i="22"/>
  <c r="L776" i="22"/>
  <c r="G776" i="22"/>
  <c r="E776" i="22"/>
  <c r="D776" i="22"/>
  <c r="O773" i="22"/>
  <c r="N773" i="22"/>
  <c r="M773" i="22"/>
  <c r="L773" i="22"/>
  <c r="G773" i="22"/>
  <c r="E773" i="22"/>
  <c r="D773" i="22"/>
  <c r="O770" i="22"/>
  <c r="N770" i="22"/>
  <c r="M770" i="22"/>
  <c r="L770" i="22"/>
  <c r="G770" i="22"/>
  <c r="E770" i="22"/>
  <c r="D770" i="22"/>
  <c r="I770" i="22" s="1"/>
  <c r="O767" i="22"/>
  <c r="N767" i="22"/>
  <c r="M767" i="22"/>
  <c r="L767" i="22"/>
  <c r="G767" i="22"/>
  <c r="E767" i="22"/>
  <c r="D767" i="22"/>
  <c r="I767" i="22" s="1"/>
  <c r="O754" i="22"/>
  <c r="N754" i="22"/>
  <c r="M754" i="22"/>
  <c r="L754" i="22"/>
  <c r="G754" i="22"/>
  <c r="E754" i="22"/>
  <c r="D754" i="22"/>
  <c r="O752" i="22"/>
  <c r="N752" i="22"/>
  <c r="M752" i="22"/>
  <c r="L752" i="22"/>
  <c r="G752" i="22"/>
  <c r="E752" i="22"/>
  <c r="D752" i="22"/>
  <c r="I752" i="22" s="1"/>
  <c r="O745" i="22"/>
  <c r="N745" i="22"/>
  <c r="M745" i="22"/>
  <c r="L745" i="22"/>
  <c r="G745" i="22"/>
  <c r="E745" i="22"/>
  <c r="D745" i="22"/>
  <c r="O742" i="22"/>
  <c r="N742" i="22"/>
  <c r="M742" i="22"/>
  <c r="L742" i="22"/>
  <c r="G742" i="22"/>
  <c r="E742" i="22"/>
  <c r="D742" i="22"/>
  <c r="O740" i="22"/>
  <c r="N740" i="22"/>
  <c r="M740" i="22"/>
  <c r="L740" i="22"/>
  <c r="G740" i="22"/>
  <c r="E740" i="22"/>
  <c r="D740" i="22"/>
  <c r="I740" i="22" s="1"/>
  <c r="O737" i="22"/>
  <c r="N737" i="22"/>
  <c r="M737" i="22"/>
  <c r="L737" i="22"/>
  <c r="G737" i="22"/>
  <c r="E737" i="22"/>
  <c r="D737" i="22"/>
  <c r="O734" i="22"/>
  <c r="N734" i="22"/>
  <c r="M734" i="22"/>
  <c r="L734" i="22"/>
  <c r="G734" i="22"/>
  <c r="E734" i="22"/>
  <c r="D734" i="22"/>
  <c r="O731" i="22"/>
  <c r="N731" i="22"/>
  <c r="M731" i="22"/>
  <c r="L731" i="22"/>
  <c r="G731" i="22"/>
  <c r="E731" i="22"/>
  <c r="D731" i="22"/>
  <c r="O728" i="22"/>
  <c r="N728" i="22"/>
  <c r="M728" i="22"/>
  <c r="L728" i="22"/>
  <c r="G728" i="22"/>
  <c r="E728" i="22"/>
  <c r="D728" i="22"/>
  <c r="O726" i="22"/>
  <c r="N726" i="22"/>
  <c r="M726" i="22"/>
  <c r="L726" i="22"/>
  <c r="G726" i="22"/>
  <c r="E726" i="22"/>
  <c r="D726" i="22"/>
  <c r="I726" i="22" s="1"/>
  <c r="O724" i="22"/>
  <c r="N724" i="22"/>
  <c r="M724" i="22"/>
  <c r="L724" i="22"/>
  <c r="G724" i="22"/>
  <c r="E724" i="22"/>
  <c r="D724" i="22"/>
  <c r="I724" i="22" s="1"/>
  <c r="O721" i="22"/>
  <c r="N721" i="22"/>
  <c r="M721" i="22"/>
  <c r="L721" i="22"/>
  <c r="G721" i="22"/>
  <c r="E721" i="22"/>
  <c r="D721" i="22"/>
  <c r="O719" i="22"/>
  <c r="N719" i="22"/>
  <c r="M719" i="22"/>
  <c r="L719" i="22"/>
  <c r="G719" i="22"/>
  <c r="E719" i="22"/>
  <c r="D719" i="22"/>
  <c r="I719" i="22" s="1"/>
  <c r="O716" i="22"/>
  <c r="N716" i="22"/>
  <c r="M716" i="22"/>
  <c r="L716" i="22"/>
  <c r="G716" i="22"/>
  <c r="E716" i="22"/>
  <c r="D716" i="22"/>
  <c r="O714" i="22"/>
  <c r="N714" i="22"/>
  <c r="M714" i="22"/>
  <c r="L714" i="22"/>
  <c r="G714" i="22"/>
  <c r="E714" i="22"/>
  <c r="D714" i="22"/>
  <c r="O711" i="22"/>
  <c r="N711" i="22"/>
  <c r="M711" i="22"/>
  <c r="L711" i="22"/>
  <c r="G711" i="22"/>
  <c r="E711" i="22"/>
  <c r="D711" i="22"/>
  <c r="O708" i="22"/>
  <c r="N708" i="22"/>
  <c r="M708" i="22"/>
  <c r="L708" i="22"/>
  <c r="G708" i="22"/>
  <c r="E708" i="22"/>
  <c r="D708" i="22"/>
  <c r="H708" i="22" s="1"/>
  <c r="O705" i="22"/>
  <c r="N705" i="22"/>
  <c r="M705" i="22"/>
  <c r="L705" i="22"/>
  <c r="G705" i="22"/>
  <c r="E705" i="22"/>
  <c r="D705" i="22"/>
  <c r="O702" i="22"/>
  <c r="N702" i="22"/>
  <c r="M702" i="22"/>
  <c r="L702" i="22"/>
  <c r="G702" i="22"/>
  <c r="E702" i="22"/>
  <c r="D702" i="22"/>
  <c r="O700" i="22"/>
  <c r="N700" i="22"/>
  <c r="M700" i="22"/>
  <c r="L700" i="22"/>
  <c r="G700" i="22"/>
  <c r="E700" i="22"/>
  <c r="D700" i="22"/>
  <c r="I700" i="22" s="1"/>
  <c r="O698" i="22"/>
  <c r="N698" i="22"/>
  <c r="M698" i="22"/>
  <c r="L698" i="22"/>
  <c r="G698" i="22"/>
  <c r="E698" i="22"/>
  <c r="D698" i="22"/>
  <c r="I698" i="22" s="1"/>
  <c r="O695" i="22"/>
  <c r="N695" i="22"/>
  <c r="M695" i="22"/>
  <c r="L695" i="22"/>
  <c r="G695" i="22"/>
  <c r="E695" i="22"/>
  <c r="D695" i="22"/>
  <c r="O692" i="22"/>
  <c r="N692" i="22"/>
  <c r="M692" i="22"/>
  <c r="L692" i="22"/>
  <c r="G692" i="22"/>
  <c r="E692" i="22"/>
  <c r="D692" i="22"/>
  <c r="O689" i="22"/>
  <c r="N689" i="22"/>
  <c r="M689" i="22"/>
  <c r="L689" i="22"/>
  <c r="G689" i="22"/>
  <c r="E689" i="22"/>
  <c r="D689" i="22"/>
  <c r="O686" i="22"/>
  <c r="N686" i="22"/>
  <c r="M686" i="22"/>
  <c r="L686" i="22"/>
  <c r="G686" i="22"/>
  <c r="E686" i="22"/>
  <c r="D686" i="22"/>
  <c r="O683" i="22"/>
  <c r="N683" i="22"/>
  <c r="M683" i="22"/>
  <c r="L683" i="22"/>
  <c r="G683" i="22"/>
  <c r="E683" i="22"/>
  <c r="D683" i="22"/>
  <c r="O680" i="22"/>
  <c r="N680" i="22"/>
  <c r="M680" i="22"/>
  <c r="L680" i="22"/>
  <c r="G680" i="22"/>
  <c r="E680" i="22"/>
  <c r="D680" i="22"/>
  <c r="O676" i="22"/>
  <c r="N676" i="22"/>
  <c r="M676" i="22"/>
  <c r="L676" i="22"/>
  <c r="G676" i="22"/>
  <c r="E676" i="22"/>
  <c r="D676" i="22"/>
  <c r="O673" i="22"/>
  <c r="N673" i="22"/>
  <c r="M673" i="22"/>
  <c r="L673" i="22"/>
  <c r="G673" i="22"/>
  <c r="E673" i="22"/>
  <c r="D673" i="22"/>
  <c r="O670" i="22"/>
  <c r="N670" i="22"/>
  <c r="M670" i="22"/>
  <c r="L670" i="22"/>
  <c r="G670" i="22"/>
  <c r="E670" i="22"/>
  <c r="D670" i="22"/>
  <c r="I670" i="22" s="1"/>
  <c r="O667" i="22"/>
  <c r="N667" i="22"/>
  <c r="M667" i="22"/>
  <c r="L667" i="22"/>
  <c r="G667" i="22"/>
  <c r="E667" i="22"/>
  <c r="D667" i="22"/>
  <c r="O664" i="22"/>
  <c r="N664" i="22"/>
  <c r="M664" i="22"/>
  <c r="L664" i="22"/>
  <c r="G664" i="22"/>
  <c r="E664" i="22"/>
  <c r="D664" i="22"/>
  <c r="O661" i="22"/>
  <c r="N661" i="22"/>
  <c r="M661" i="22"/>
  <c r="L661" i="22"/>
  <c r="G661" i="22"/>
  <c r="E661" i="22"/>
  <c r="D661" i="22"/>
  <c r="O656" i="22"/>
  <c r="N656" i="22"/>
  <c r="M656" i="22"/>
  <c r="L656" i="22"/>
  <c r="G656" i="22"/>
  <c r="E656" i="22"/>
  <c r="D656" i="22"/>
  <c r="O653" i="22"/>
  <c r="N653" i="22"/>
  <c r="M653" i="22"/>
  <c r="L653" i="22"/>
  <c r="G653" i="22"/>
  <c r="E653" i="22"/>
  <c r="D653" i="22"/>
  <c r="I653" i="22" s="1"/>
  <c r="O650" i="22"/>
  <c r="N650" i="22"/>
  <c r="M650" i="22"/>
  <c r="L650" i="22"/>
  <c r="G650" i="22"/>
  <c r="E650" i="22"/>
  <c r="D650" i="22"/>
  <c r="I650" i="22" s="1"/>
  <c r="O647" i="22"/>
  <c r="N647" i="22"/>
  <c r="M647" i="22"/>
  <c r="L647" i="22"/>
  <c r="G647" i="22"/>
  <c r="E647" i="22"/>
  <c r="D647" i="22"/>
  <c r="I647" i="22" s="1"/>
  <c r="O644" i="22"/>
  <c r="N644" i="22"/>
  <c r="M644" i="22"/>
  <c r="L644" i="22"/>
  <c r="G644" i="22"/>
  <c r="E644" i="22"/>
  <c r="D644" i="22"/>
  <c r="O641" i="22"/>
  <c r="N641" i="22"/>
  <c r="M641" i="22"/>
  <c r="L641" i="22"/>
  <c r="G641" i="22"/>
  <c r="E641" i="22"/>
  <c r="D641" i="22"/>
  <c r="O638" i="22"/>
  <c r="N638" i="22"/>
  <c r="M638" i="22"/>
  <c r="L638" i="22"/>
  <c r="G638" i="22"/>
  <c r="E638" i="22"/>
  <c r="D638" i="22"/>
  <c r="O636" i="22"/>
  <c r="N636" i="22"/>
  <c r="M636" i="22"/>
  <c r="L636" i="22"/>
  <c r="G636" i="22"/>
  <c r="E636" i="22"/>
  <c r="D636" i="22"/>
  <c r="O633" i="22"/>
  <c r="N633" i="22"/>
  <c r="M633" i="22"/>
  <c r="L633" i="22"/>
  <c r="G633" i="22"/>
  <c r="E633" i="22"/>
  <c r="D633" i="22"/>
  <c r="O630" i="22"/>
  <c r="N630" i="22"/>
  <c r="M630" i="22"/>
  <c r="L630" i="22"/>
  <c r="G630" i="22"/>
  <c r="E630" i="22"/>
  <c r="D630" i="22"/>
  <c r="O627" i="22"/>
  <c r="N627" i="22"/>
  <c r="M627" i="22"/>
  <c r="L627" i="22"/>
  <c r="G627" i="22"/>
  <c r="E627" i="22"/>
  <c r="D627" i="22"/>
  <c r="I627" i="22" s="1"/>
  <c r="O625" i="22"/>
  <c r="N625" i="22"/>
  <c r="M625" i="22"/>
  <c r="L625" i="22"/>
  <c r="G625" i="22"/>
  <c r="E625" i="22"/>
  <c r="D625" i="22"/>
  <c r="I625" i="22" s="1"/>
  <c r="O622" i="22"/>
  <c r="N622" i="22"/>
  <c r="M622" i="22"/>
  <c r="L622" i="22"/>
  <c r="G622" i="22"/>
  <c r="E622" i="22"/>
  <c r="D622" i="22"/>
  <c r="O620" i="22"/>
  <c r="N620" i="22"/>
  <c r="M620" i="22"/>
  <c r="L620" i="22"/>
  <c r="G620" i="22"/>
  <c r="E620" i="22"/>
  <c r="D620" i="22"/>
  <c r="O611" i="22"/>
  <c r="N611" i="22"/>
  <c r="M611" i="22"/>
  <c r="L611" i="22"/>
  <c r="G611" i="22"/>
  <c r="E611" i="22"/>
  <c r="D611" i="22"/>
  <c r="O609" i="22"/>
  <c r="N609" i="22"/>
  <c r="M609" i="22"/>
  <c r="L609" i="22"/>
  <c r="G609" i="22"/>
  <c r="E609" i="22"/>
  <c r="D609" i="22"/>
  <c r="O606" i="22"/>
  <c r="N606" i="22"/>
  <c r="M606" i="22"/>
  <c r="L606" i="22"/>
  <c r="G606" i="22"/>
  <c r="E606" i="22"/>
  <c r="D606" i="22"/>
  <c r="I606" i="22" s="1"/>
  <c r="O603" i="22"/>
  <c r="N603" i="22"/>
  <c r="M603" i="22"/>
  <c r="L603" i="22"/>
  <c r="G603" i="22"/>
  <c r="E603" i="22"/>
  <c r="D603" i="22"/>
  <c r="O600" i="22"/>
  <c r="N600" i="22"/>
  <c r="M600" i="22"/>
  <c r="L600" i="22"/>
  <c r="G600" i="22"/>
  <c r="E600" i="22"/>
  <c r="D600" i="22"/>
  <c r="I600" i="22" s="1"/>
  <c r="O597" i="22"/>
  <c r="N597" i="22"/>
  <c r="M597" i="22"/>
  <c r="L597" i="22"/>
  <c r="G597" i="22"/>
  <c r="E597" i="22"/>
  <c r="D597" i="22"/>
  <c r="O594" i="22"/>
  <c r="N594" i="22"/>
  <c r="M594" i="22"/>
  <c r="L594" i="22"/>
  <c r="G594" i="22"/>
  <c r="E594" i="22"/>
  <c r="D594" i="22"/>
  <c r="O591" i="22"/>
  <c r="N591" i="22"/>
  <c r="M591" i="22"/>
  <c r="L591" i="22"/>
  <c r="G591" i="22"/>
  <c r="E591" i="22"/>
  <c r="D591" i="22"/>
  <c r="I591" i="22" s="1"/>
  <c r="O588" i="22"/>
  <c r="N588" i="22"/>
  <c r="M588" i="22"/>
  <c r="L588" i="22"/>
  <c r="G588" i="22"/>
  <c r="E588" i="22"/>
  <c r="D588" i="22"/>
  <c r="O585" i="22"/>
  <c r="N585" i="22"/>
  <c r="M585" i="22"/>
  <c r="L585" i="22"/>
  <c r="G585" i="22"/>
  <c r="E585" i="22"/>
  <c r="D585" i="22"/>
  <c r="O582" i="22"/>
  <c r="N582" i="22"/>
  <c r="M582" i="22"/>
  <c r="L582" i="22"/>
  <c r="G582" i="22"/>
  <c r="E582" i="22"/>
  <c r="D582" i="22"/>
  <c r="O580" i="22"/>
  <c r="N580" i="22"/>
  <c r="M580" i="22"/>
  <c r="L580" i="22"/>
  <c r="G580" i="22"/>
  <c r="E580" i="22"/>
  <c r="D580" i="22"/>
  <c r="I580" i="22" s="1"/>
  <c r="O577" i="22"/>
  <c r="N577" i="22"/>
  <c r="M577" i="22"/>
  <c r="L577" i="22"/>
  <c r="G577" i="22"/>
  <c r="E577" i="22"/>
  <c r="D577" i="22"/>
  <c r="O574" i="22"/>
  <c r="N574" i="22"/>
  <c r="M574" i="22"/>
  <c r="L574" i="22"/>
  <c r="G574" i="22"/>
  <c r="E574" i="22"/>
  <c r="D574" i="22"/>
  <c r="O569" i="22"/>
  <c r="N569" i="22"/>
  <c r="M569" i="22"/>
  <c r="L569" i="22"/>
  <c r="G569" i="22"/>
  <c r="E569" i="22"/>
  <c r="D569" i="22"/>
  <c r="I569" i="22" s="1"/>
  <c r="O566" i="22"/>
  <c r="N566" i="22"/>
  <c r="M566" i="22"/>
  <c r="L566" i="22"/>
  <c r="G566" i="22"/>
  <c r="E566" i="22"/>
  <c r="D566" i="22"/>
  <c r="O561" i="22"/>
  <c r="N561" i="22"/>
  <c r="M561" i="22"/>
  <c r="L561" i="22"/>
  <c r="G561" i="22"/>
  <c r="E561" i="22"/>
  <c r="D561" i="22"/>
  <c r="O558" i="22"/>
  <c r="N558" i="22"/>
  <c r="M558" i="22"/>
  <c r="L558" i="22"/>
  <c r="G558" i="22"/>
  <c r="E558" i="22"/>
  <c r="D558" i="22"/>
  <c r="O325" i="22"/>
  <c r="N325" i="22"/>
  <c r="M325" i="22"/>
  <c r="L325" i="22"/>
  <c r="G325" i="22"/>
  <c r="E325" i="22"/>
  <c r="D325" i="22"/>
  <c r="O322" i="22"/>
  <c r="N322" i="22"/>
  <c r="M322" i="22"/>
  <c r="L322" i="22"/>
  <c r="G322" i="22"/>
  <c r="E322" i="22"/>
  <c r="D322" i="22"/>
  <c r="O319" i="22"/>
  <c r="N319" i="22"/>
  <c r="M319" i="22"/>
  <c r="L319" i="22"/>
  <c r="G319" i="22"/>
  <c r="E319" i="22"/>
  <c r="D319" i="22"/>
  <c r="I319" i="22" s="1"/>
  <c r="O316" i="22"/>
  <c r="N316" i="22"/>
  <c r="M316" i="22"/>
  <c r="L316" i="22"/>
  <c r="G316" i="22"/>
  <c r="E316" i="22"/>
  <c r="D316" i="22"/>
  <c r="O314" i="22"/>
  <c r="N314" i="22"/>
  <c r="M314" i="22"/>
  <c r="L314" i="22"/>
  <c r="G314" i="22"/>
  <c r="E314" i="22"/>
  <c r="D314" i="22"/>
  <c r="O312" i="22"/>
  <c r="N312" i="22"/>
  <c r="M312" i="22"/>
  <c r="L312" i="22"/>
  <c r="G312" i="22"/>
  <c r="E312" i="22"/>
  <c r="D312" i="22"/>
  <c r="H312" i="22" s="1"/>
  <c r="O309" i="22"/>
  <c r="N309" i="22"/>
  <c r="M309" i="22"/>
  <c r="L309" i="22"/>
  <c r="G309" i="22"/>
  <c r="E309" i="22"/>
  <c r="D309" i="22"/>
  <c r="O305" i="22"/>
  <c r="N305" i="22"/>
  <c r="M305" i="22"/>
  <c r="L305" i="22"/>
  <c r="G305" i="22"/>
  <c r="G304" i="22" s="1"/>
  <c r="E305" i="22"/>
  <c r="E304" i="22" s="1"/>
  <c r="D305" i="22"/>
  <c r="O302" i="22"/>
  <c r="N302" i="22"/>
  <c r="M302" i="22"/>
  <c r="L302" i="22"/>
  <c r="G302" i="22"/>
  <c r="E302" i="22"/>
  <c r="D302" i="22"/>
  <c r="O300" i="22"/>
  <c r="N300" i="22"/>
  <c r="M300" i="22"/>
  <c r="L300" i="22"/>
  <c r="G300" i="22"/>
  <c r="E300" i="22"/>
  <c r="D300" i="22"/>
  <c r="O297" i="22"/>
  <c r="N297" i="22"/>
  <c r="M297" i="22"/>
  <c r="L297" i="22"/>
  <c r="G297" i="22"/>
  <c r="E297" i="22"/>
  <c r="D297" i="22"/>
  <c r="O295" i="22"/>
  <c r="N295" i="22"/>
  <c r="M295" i="22"/>
  <c r="L295" i="22"/>
  <c r="G295" i="22"/>
  <c r="E295" i="22"/>
  <c r="D295" i="22"/>
  <c r="O293" i="22"/>
  <c r="N293" i="22"/>
  <c r="M293" i="22"/>
  <c r="L293" i="22"/>
  <c r="G293" i="22"/>
  <c r="E293" i="22"/>
  <c r="D293" i="22"/>
  <c r="O291" i="22"/>
  <c r="N291" i="22"/>
  <c r="M291" i="22"/>
  <c r="L291" i="22"/>
  <c r="G291" i="22"/>
  <c r="E291" i="22"/>
  <c r="D291" i="22"/>
  <c r="O289" i="22"/>
  <c r="N289" i="22"/>
  <c r="M289" i="22"/>
  <c r="L289" i="22"/>
  <c r="G289" i="22"/>
  <c r="E289" i="22"/>
  <c r="D289" i="22"/>
  <c r="O287" i="22"/>
  <c r="N287" i="22"/>
  <c r="M287" i="22"/>
  <c r="L287" i="22"/>
  <c r="G287" i="22"/>
  <c r="E287" i="22"/>
  <c r="D287" i="22"/>
  <c r="O285" i="22"/>
  <c r="N285" i="22"/>
  <c r="M285" i="22"/>
  <c r="L285" i="22"/>
  <c r="G285" i="22"/>
  <c r="E285" i="22"/>
  <c r="D285" i="22"/>
  <c r="O283" i="22"/>
  <c r="N283" i="22"/>
  <c r="M283" i="22"/>
  <c r="L283" i="22"/>
  <c r="G283" i="22"/>
  <c r="E283" i="22"/>
  <c r="D283" i="22"/>
  <c r="O281" i="22"/>
  <c r="N281" i="22"/>
  <c r="M281" i="22"/>
  <c r="L281" i="22"/>
  <c r="G281" i="22"/>
  <c r="E281" i="22"/>
  <c r="D281" i="22"/>
  <c r="O279" i="22"/>
  <c r="N279" i="22"/>
  <c r="M279" i="22"/>
  <c r="L279" i="22"/>
  <c r="G279" i="22"/>
  <c r="E279" i="22"/>
  <c r="D279" i="22"/>
  <c r="O277" i="22"/>
  <c r="N277" i="22"/>
  <c r="M277" i="22"/>
  <c r="L277" i="22"/>
  <c r="G277" i="22"/>
  <c r="E277" i="22"/>
  <c r="D277" i="22"/>
  <c r="O275" i="22"/>
  <c r="N275" i="22"/>
  <c r="M275" i="22"/>
  <c r="L275" i="22"/>
  <c r="G275" i="22"/>
  <c r="E275" i="22"/>
  <c r="D275" i="22"/>
  <c r="O272" i="22"/>
  <c r="N272" i="22"/>
  <c r="M272" i="22"/>
  <c r="L272" i="22"/>
  <c r="G272" i="22"/>
  <c r="E272" i="22"/>
  <c r="D272" i="22"/>
  <c r="O265" i="22"/>
  <c r="N265" i="22"/>
  <c r="M265" i="22"/>
  <c r="L265" i="22"/>
  <c r="G265" i="22"/>
  <c r="E265" i="22"/>
  <c r="D265" i="22"/>
  <c r="O263" i="22"/>
  <c r="N263" i="22"/>
  <c r="M263" i="22"/>
  <c r="L263" i="22"/>
  <c r="G263" i="22"/>
  <c r="E263" i="22"/>
  <c r="D263" i="22"/>
  <c r="O259" i="22"/>
  <c r="N259" i="22"/>
  <c r="M259" i="22"/>
  <c r="L259" i="22"/>
  <c r="G259" i="22"/>
  <c r="E259" i="22"/>
  <c r="D259" i="22"/>
  <c r="O257" i="22"/>
  <c r="N257" i="22"/>
  <c r="M257" i="22"/>
  <c r="L257" i="22"/>
  <c r="G257" i="22"/>
  <c r="E257" i="22"/>
  <c r="D257" i="22"/>
  <c r="O255" i="22"/>
  <c r="N255" i="22"/>
  <c r="M255" i="22"/>
  <c r="L255" i="22"/>
  <c r="G255" i="22"/>
  <c r="E255" i="22"/>
  <c r="D255" i="22"/>
  <c r="O253" i="22"/>
  <c r="N253" i="22"/>
  <c r="M253" i="22"/>
  <c r="L253" i="22"/>
  <c r="G253" i="22"/>
  <c r="E253" i="22"/>
  <c r="D253" i="22"/>
  <c r="O251" i="22"/>
  <c r="N251" i="22"/>
  <c r="M251" i="22"/>
  <c r="L251" i="22"/>
  <c r="G251" i="22"/>
  <c r="E251" i="22"/>
  <c r="D251" i="22"/>
  <c r="O249" i="22"/>
  <c r="N249" i="22"/>
  <c r="M249" i="22"/>
  <c r="L249" i="22"/>
  <c r="G249" i="22"/>
  <c r="E249" i="22"/>
  <c r="D249" i="22"/>
  <c r="O245" i="22"/>
  <c r="N245" i="22"/>
  <c r="M245" i="22"/>
  <c r="L245" i="22"/>
  <c r="G245" i="22"/>
  <c r="E245" i="22"/>
  <c r="D245" i="22"/>
  <c r="O243" i="22"/>
  <c r="N243" i="22"/>
  <c r="M243" i="22"/>
  <c r="L243" i="22"/>
  <c r="G243" i="22"/>
  <c r="E243" i="22"/>
  <c r="D243" i="22"/>
  <c r="O241" i="22"/>
  <c r="N241" i="22"/>
  <c r="M241" i="22"/>
  <c r="L241" i="22"/>
  <c r="G241" i="22"/>
  <c r="E241" i="22"/>
  <c r="D241" i="22"/>
  <c r="O237" i="22"/>
  <c r="N237" i="22"/>
  <c r="M237" i="22"/>
  <c r="L237" i="22"/>
  <c r="G237" i="22"/>
  <c r="E237" i="22"/>
  <c r="D237" i="22"/>
  <c r="O235" i="22"/>
  <c r="N235" i="22"/>
  <c r="M235" i="22"/>
  <c r="L235" i="22"/>
  <c r="G235" i="22"/>
  <c r="E235" i="22"/>
  <c r="D235" i="22"/>
  <c r="O233" i="22"/>
  <c r="N233" i="22"/>
  <c r="M233" i="22"/>
  <c r="L233" i="22"/>
  <c r="G233" i="22"/>
  <c r="E233" i="22"/>
  <c r="D233" i="22"/>
  <c r="O231" i="22"/>
  <c r="N231" i="22"/>
  <c r="M231" i="22"/>
  <c r="L231" i="22"/>
  <c r="G231" i="22"/>
  <c r="E231" i="22"/>
  <c r="D231" i="22"/>
  <c r="O229" i="22"/>
  <c r="N229" i="22"/>
  <c r="M229" i="22"/>
  <c r="L229" i="22"/>
  <c r="G229" i="22"/>
  <c r="E229" i="22"/>
  <c r="D229" i="22"/>
  <c r="O227" i="22"/>
  <c r="N227" i="22"/>
  <c r="M227" i="22"/>
  <c r="L227" i="22"/>
  <c r="G227" i="22"/>
  <c r="E227" i="22"/>
  <c r="D227" i="22"/>
  <c r="O224" i="22"/>
  <c r="N224" i="22"/>
  <c r="M224" i="22"/>
  <c r="L224" i="22"/>
  <c r="G224" i="22"/>
  <c r="E224" i="22"/>
  <c r="D224" i="22"/>
  <c r="O222" i="22"/>
  <c r="N222" i="22"/>
  <c r="M222" i="22"/>
  <c r="L222" i="22"/>
  <c r="G222" i="22"/>
  <c r="E222" i="22"/>
  <c r="D222" i="22"/>
  <c r="O219" i="22"/>
  <c r="N219" i="22"/>
  <c r="M219" i="22"/>
  <c r="L219" i="22"/>
  <c r="G219" i="22"/>
  <c r="E219" i="22"/>
  <c r="D219" i="22"/>
  <c r="O216" i="22"/>
  <c r="N216" i="22"/>
  <c r="M216" i="22"/>
  <c r="L216" i="22"/>
  <c r="G216" i="22"/>
  <c r="E216" i="22"/>
  <c r="D216" i="22"/>
  <c r="O212" i="22"/>
  <c r="N212" i="22"/>
  <c r="M212" i="22"/>
  <c r="L212" i="22"/>
  <c r="G212" i="22"/>
  <c r="E212" i="22"/>
  <c r="D212" i="22"/>
  <c r="O204" i="22"/>
  <c r="N204" i="22"/>
  <c r="M204" i="22"/>
  <c r="L204" i="22"/>
  <c r="G204" i="22"/>
  <c r="G203" i="22" s="1"/>
  <c r="E204" i="22"/>
  <c r="E203" i="22" s="1"/>
  <c r="D204" i="22"/>
  <c r="O202" i="22"/>
  <c r="N202" i="22"/>
  <c r="M202" i="22"/>
  <c r="L202" i="22"/>
  <c r="G202" i="22"/>
  <c r="E202" i="22"/>
  <c r="D202" i="22"/>
  <c r="O201" i="22"/>
  <c r="N201" i="22"/>
  <c r="M201" i="22"/>
  <c r="L201" i="22"/>
  <c r="G201" i="22"/>
  <c r="E201" i="22"/>
  <c r="D201" i="22"/>
  <c r="O199" i="22"/>
  <c r="N199" i="22"/>
  <c r="M199" i="22"/>
  <c r="L199" i="22"/>
  <c r="G199" i="22"/>
  <c r="G198" i="22" s="1"/>
  <c r="E199" i="22"/>
  <c r="E198" i="22" s="1"/>
  <c r="D199" i="22"/>
  <c r="O197" i="22"/>
  <c r="N197" i="22"/>
  <c r="M197" i="22"/>
  <c r="L197" i="22"/>
  <c r="G197" i="22"/>
  <c r="E197" i="22"/>
  <c r="D197" i="22"/>
  <c r="O196" i="22"/>
  <c r="N196" i="22"/>
  <c r="M196" i="22"/>
  <c r="L196" i="22"/>
  <c r="G196" i="22"/>
  <c r="E196" i="22"/>
  <c r="D196" i="22"/>
  <c r="O195" i="22"/>
  <c r="N195" i="22"/>
  <c r="M195" i="22"/>
  <c r="L195" i="22"/>
  <c r="G195" i="22"/>
  <c r="E195" i="22"/>
  <c r="D195" i="22"/>
  <c r="O194" i="22"/>
  <c r="N194" i="22"/>
  <c r="M194" i="22"/>
  <c r="L194" i="22"/>
  <c r="G194" i="22"/>
  <c r="E194" i="22"/>
  <c r="D194" i="22"/>
  <c r="O193" i="22"/>
  <c r="N193" i="22"/>
  <c r="M193" i="22"/>
  <c r="L193" i="22"/>
  <c r="G193" i="22"/>
  <c r="E193" i="22"/>
  <c r="D193" i="22"/>
  <c r="O192" i="22"/>
  <c r="N192" i="22"/>
  <c r="M192" i="22"/>
  <c r="L192" i="22"/>
  <c r="G192" i="22"/>
  <c r="E192" i="22"/>
  <c r="D192" i="22"/>
  <c r="O191" i="22"/>
  <c r="N191" i="22"/>
  <c r="M191" i="22"/>
  <c r="L191" i="22"/>
  <c r="G191" i="22"/>
  <c r="E191" i="22"/>
  <c r="D191" i="22"/>
  <c r="O190" i="22"/>
  <c r="N190" i="22"/>
  <c r="M190" i="22"/>
  <c r="L190" i="22"/>
  <c r="G190" i="22"/>
  <c r="E190" i="22"/>
  <c r="D190" i="22"/>
  <c r="O189" i="22"/>
  <c r="N189" i="22"/>
  <c r="M189" i="22"/>
  <c r="L189" i="22"/>
  <c r="G189" i="22"/>
  <c r="E189" i="22"/>
  <c r="D189" i="22"/>
  <c r="O188" i="22"/>
  <c r="N188" i="22"/>
  <c r="M188" i="22"/>
  <c r="L188" i="22"/>
  <c r="G188" i="22"/>
  <c r="E188" i="22"/>
  <c r="D188" i="22"/>
  <c r="O185" i="22"/>
  <c r="N185" i="22"/>
  <c r="M185" i="22"/>
  <c r="L185" i="22"/>
  <c r="G185" i="22"/>
  <c r="E185" i="22"/>
  <c r="D185" i="22"/>
  <c r="O184" i="22"/>
  <c r="N184" i="22"/>
  <c r="M184" i="22"/>
  <c r="L184" i="22"/>
  <c r="G184" i="22"/>
  <c r="E184" i="22"/>
  <c r="D184" i="22"/>
  <c r="O183" i="22"/>
  <c r="N183" i="22"/>
  <c r="M183" i="22"/>
  <c r="L183" i="22"/>
  <c r="G183" i="22"/>
  <c r="E183" i="22"/>
  <c r="D183" i="22"/>
  <c r="O182" i="22"/>
  <c r="N182" i="22"/>
  <c r="M182" i="22"/>
  <c r="L182" i="22"/>
  <c r="G182" i="22"/>
  <c r="E182" i="22"/>
  <c r="D182" i="22"/>
  <c r="O181" i="22"/>
  <c r="N181" i="22"/>
  <c r="M181" i="22"/>
  <c r="L181" i="22"/>
  <c r="G181" i="22"/>
  <c r="E181" i="22"/>
  <c r="D181" i="22"/>
  <c r="H181" i="22" s="1"/>
  <c r="O180" i="22"/>
  <c r="N180" i="22"/>
  <c r="M180" i="22"/>
  <c r="L180" i="22"/>
  <c r="G180" i="22"/>
  <c r="E180" i="22"/>
  <c r="D180" i="22"/>
  <c r="F180" i="22" s="1"/>
  <c r="O179" i="22"/>
  <c r="N179" i="22"/>
  <c r="M179" i="22"/>
  <c r="L179" i="22"/>
  <c r="G179" i="22"/>
  <c r="E179" i="22"/>
  <c r="D179" i="22"/>
  <c r="O178" i="22"/>
  <c r="N178" i="22"/>
  <c r="M178" i="22"/>
  <c r="L178" i="22"/>
  <c r="G178" i="22"/>
  <c r="E178" i="22"/>
  <c r="D178" i="22"/>
  <c r="H178" i="22" s="1"/>
  <c r="O177" i="22"/>
  <c r="N177" i="22"/>
  <c r="M177" i="22"/>
  <c r="L177" i="22"/>
  <c r="G177" i="22"/>
  <c r="E177" i="22"/>
  <c r="D177" i="22"/>
  <c r="O171" i="22"/>
  <c r="N171" i="22"/>
  <c r="M171" i="22"/>
  <c r="L171" i="22"/>
  <c r="G171" i="22"/>
  <c r="E171" i="22"/>
  <c r="D171" i="22"/>
  <c r="O170" i="22"/>
  <c r="N170" i="22"/>
  <c r="M170" i="22"/>
  <c r="L170" i="22"/>
  <c r="G170" i="22"/>
  <c r="E170" i="22"/>
  <c r="D170" i="22"/>
  <c r="O169" i="22"/>
  <c r="N169" i="22"/>
  <c r="M169" i="22"/>
  <c r="L169" i="22"/>
  <c r="G169" i="22"/>
  <c r="E169" i="22"/>
  <c r="D169" i="22"/>
  <c r="O167" i="22"/>
  <c r="N167" i="22"/>
  <c r="M167" i="22"/>
  <c r="L167" i="22"/>
  <c r="G167" i="22"/>
  <c r="E167" i="22"/>
  <c r="D167" i="22"/>
  <c r="O166" i="22"/>
  <c r="N166" i="22"/>
  <c r="M166" i="22"/>
  <c r="L166" i="22"/>
  <c r="G166" i="22"/>
  <c r="E166" i="22"/>
  <c r="D166" i="22"/>
  <c r="O165" i="22"/>
  <c r="N165" i="22"/>
  <c r="M165" i="22"/>
  <c r="L165" i="22"/>
  <c r="G165" i="22"/>
  <c r="E165" i="22"/>
  <c r="D165" i="22"/>
  <c r="O164" i="22"/>
  <c r="N164" i="22"/>
  <c r="M164" i="22"/>
  <c r="L164" i="22"/>
  <c r="G164" i="22"/>
  <c r="E164" i="22"/>
  <c r="D164" i="22"/>
  <c r="H164" i="22" s="1"/>
  <c r="O163" i="22"/>
  <c r="N163" i="22"/>
  <c r="M163" i="22"/>
  <c r="L163" i="22"/>
  <c r="G163" i="22"/>
  <c r="E163" i="22"/>
  <c r="D163" i="22"/>
  <c r="O162" i="22"/>
  <c r="N162" i="22"/>
  <c r="M162" i="22"/>
  <c r="L162" i="22"/>
  <c r="G162" i="22"/>
  <c r="E162" i="22"/>
  <c r="D162" i="22"/>
  <c r="O161" i="22"/>
  <c r="N161" i="22"/>
  <c r="M161" i="22"/>
  <c r="L161" i="22"/>
  <c r="G161" i="22"/>
  <c r="E161" i="22"/>
  <c r="D161" i="22"/>
  <c r="O160" i="22"/>
  <c r="N160" i="22"/>
  <c r="M160" i="22"/>
  <c r="L160" i="22"/>
  <c r="G160" i="22"/>
  <c r="E160" i="22"/>
  <c r="D160" i="22"/>
  <c r="O159" i="22"/>
  <c r="N159" i="22"/>
  <c r="M159" i="22"/>
  <c r="L159" i="22"/>
  <c r="G159" i="22"/>
  <c r="E159" i="22"/>
  <c r="D159" i="22"/>
  <c r="O158" i="22"/>
  <c r="N158" i="22"/>
  <c r="M158" i="22"/>
  <c r="L158" i="22"/>
  <c r="G158" i="22"/>
  <c r="E158" i="22"/>
  <c r="D158" i="22"/>
  <c r="O156" i="22"/>
  <c r="N156" i="22"/>
  <c r="M156" i="22"/>
  <c r="L156" i="22"/>
  <c r="G156" i="22"/>
  <c r="E156" i="22"/>
  <c r="D156" i="22"/>
  <c r="O155" i="22"/>
  <c r="N155" i="22"/>
  <c r="M155" i="22"/>
  <c r="L155" i="22"/>
  <c r="G155" i="22"/>
  <c r="E155" i="22"/>
  <c r="D155" i="22"/>
  <c r="I155" i="22" s="1"/>
  <c r="O154" i="22"/>
  <c r="N154" i="22"/>
  <c r="M154" i="22"/>
  <c r="L154" i="22"/>
  <c r="G154" i="22"/>
  <c r="E154" i="22"/>
  <c r="D154" i="22"/>
  <c r="O153" i="22"/>
  <c r="N153" i="22"/>
  <c r="M153" i="22"/>
  <c r="L153" i="22"/>
  <c r="G153" i="22"/>
  <c r="E153" i="22"/>
  <c r="D153" i="22"/>
  <c r="O152" i="22"/>
  <c r="N152" i="22"/>
  <c r="M152" i="22"/>
  <c r="L152" i="22"/>
  <c r="G152" i="22"/>
  <c r="E152" i="22"/>
  <c r="D152" i="22"/>
  <c r="O151" i="22"/>
  <c r="N151" i="22"/>
  <c r="M151" i="22"/>
  <c r="L151" i="22"/>
  <c r="G151" i="22"/>
  <c r="E151" i="22"/>
  <c r="D151" i="22"/>
  <c r="O150" i="22"/>
  <c r="N150" i="22"/>
  <c r="M150" i="22"/>
  <c r="L150" i="22"/>
  <c r="G150" i="22"/>
  <c r="E150" i="22"/>
  <c r="D150" i="22"/>
  <c r="O149" i="22"/>
  <c r="N149" i="22"/>
  <c r="M149" i="22"/>
  <c r="L149" i="22"/>
  <c r="G149" i="22"/>
  <c r="E149" i="22"/>
  <c r="D149" i="22"/>
  <c r="O148" i="22"/>
  <c r="N148" i="22"/>
  <c r="M148" i="22"/>
  <c r="L148" i="22"/>
  <c r="G148" i="22"/>
  <c r="E148" i="22"/>
  <c r="D148" i="22"/>
  <c r="O147" i="22"/>
  <c r="N147" i="22"/>
  <c r="M147" i="22"/>
  <c r="L147" i="22"/>
  <c r="G147" i="22"/>
  <c r="E147" i="22"/>
  <c r="D147" i="22"/>
  <c r="O146" i="22"/>
  <c r="N146" i="22"/>
  <c r="M146" i="22"/>
  <c r="L146" i="22"/>
  <c r="G146" i="22"/>
  <c r="E146" i="22"/>
  <c r="D146" i="22"/>
  <c r="O145" i="22"/>
  <c r="N145" i="22"/>
  <c r="M145" i="22"/>
  <c r="L145" i="22"/>
  <c r="G145" i="22"/>
  <c r="E145" i="22"/>
  <c r="D145" i="22"/>
  <c r="O144" i="22"/>
  <c r="N144" i="22"/>
  <c r="M144" i="22"/>
  <c r="L144" i="22"/>
  <c r="G144" i="22"/>
  <c r="I144" i="22" s="1"/>
  <c r="E144" i="22"/>
  <c r="D144" i="22"/>
  <c r="O143" i="22"/>
  <c r="N143" i="22"/>
  <c r="M143" i="22"/>
  <c r="L143" i="22"/>
  <c r="G143" i="22"/>
  <c r="E143" i="22"/>
  <c r="D143" i="22"/>
  <c r="O142" i="22"/>
  <c r="N142" i="22"/>
  <c r="M142" i="22"/>
  <c r="L142" i="22"/>
  <c r="G142" i="22"/>
  <c r="E142" i="22"/>
  <c r="D142" i="22"/>
  <c r="H142" i="22" s="1"/>
  <c r="O141" i="22"/>
  <c r="N141" i="22"/>
  <c r="M141" i="22"/>
  <c r="L141" i="22"/>
  <c r="G141" i="22"/>
  <c r="E141" i="22"/>
  <c r="D141" i="22"/>
  <c r="O140" i="22"/>
  <c r="N140" i="22"/>
  <c r="M140" i="22"/>
  <c r="L140" i="22"/>
  <c r="G140" i="22"/>
  <c r="E140" i="22"/>
  <c r="D140" i="22"/>
  <c r="O139" i="22"/>
  <c r="N139" i="22"/>
  <c r="M139" i="22"/>
  <c r="L139" i="22"/>
  <c r="G139" i="22"/>
  <c r="E139" i="22"/>
  <c r="D139" i="22"/>
  <c r="O138" i="22"/>
  <c r="N138" i="22"/>
  <c r="M138" i="22"/>
  <c r="L138" i="22"/>
  <c r="G138" i="22"/>
  <c r="E138" i="22"/>
  <c r="D138" i="22"/>
  <c r="O137" i="22"/>
  <c r="N137" i="22"/>
  <c r="M137" i="22"/>
  <c r="L137" i="22"/>
  <c r="G137" i="22"/>
  <c r="E137" i="22"/>
  <c r="D137" i="22"/>
  <c r="O135" i="22"/>
  <c r="N135" i="22"/>
  <c r="M135" i="22"/>
  <c r="L135" i="22"/>
  <c r="G135" i="22"/>
  <c r="E135" i="22"/>
  <c r="D135" i="22"/>
  <c r="I135" i="22" s="1"/>
  <c r="O134" i="22"/>
  <c r="N134" i="22"/>
  <c r="M134" i="22"/>
  <c r="L134" i="22"/>
  <c r="G134" i="22"/>
  <c r="E134" i="22"/>
  <c r="D134" i="22"/>
  <c r="O133" i="22"/>
  <c r="N133" i="22"/>
  <c r="M133" i="22"/>
  <c r="L133" i="22"/>
  <c r="G133" i="22"/>
  <c r="E133" i="22"/>
  <c r="D133" i="22"/>
  <c r="O132" i="22"/>
  <c r="N132" i="22"/>
  <c r="M132" i="22"/>
  <c r="L132" i="22"/>
  <c r="G132" i="22"/>
  <c r="E132" i="22"/>
  <c r="D132" i="22"/>
  <c r="O131" i="22"/>
  <c r="N131" i="22"/>
  <c r="M131" i="22"/>
  <c r="L131" i="22"/>
  <c r="G131" i="22"/>
  <c r="E131" i="22"/>
  <c r="D131" i="22"/>
  <c r="O130" i="22"/>
  <c r="N130" i="22"/>
  <c r="M130" i="22"/>
  <c r="L130" i="22"/>
  <c r="G130" i="22"/>
  <c r="E130" i="22"/>
  <c r="D130" i="22"/>
  <c r="O79" i="22"/>
  <c r="N79" i="22"/>
  <c r="M79" i="22"/>
  <c r="L79" i="22"/>
  <c r="G79" i="22"/>
  <c r="G78" i="22" s="1"/>
  <c r="E79" i="22"/>
  <c r="E78" i="22" s="1"/>
  <c r="D79" i="22"/>
  <c r="D78" i="22" s="1"/>
  <c r="O76" i="22"/>
  <c r="N76" i="22"/>
  <c r="M76" i="22"/>
  <c r="L76" i="22"/>
  <c r="G76" i="22"/>
  <c r="G75" i="22" s="1"/>
  <c r="E76" i="22"/>
  <c r="E75" i="22" s="1"/>
  <c r="D76" i="22"/>
  <c r="D75" i="22" s="1"/>
  <c r="O74" i="22"/>
  <c r="N74" i="22"/>
  <c r="M74" i="22"/>
  <c r="L74" i="22"/>
  <c r="G74" i="22"/>
  <c r="E74" i="22"/>
  <c r="D74" i="22"/>
  <c r="O73" i="22"/>
  <c r="N73" i="22"/>
  <c r="M73" i="22"/>
  <c r="L73" i="22"/>
  <c r="G73" i="22"/>
  <c r="E73" i="22"/>
  <c r="D73" i="22"/>
  <c r="O72" i="22"/>
  <c r="N72" i="22"/>
  <c r="M72" i="22"/>
  <c r="L72" i="22"/>
  <c r="G72" i="22"/>
  <c r="E72" i="22"/>
  <c r="D72" i="22"/>
  <c r="O71" i="22"/>
  <c r="N71" i="22"/>
  <c r="M71" i="22"/>
  <c r="L71" i="22"/>
  <c r="G71" i="22"/>
  <c r="E71" i="22"/>
  <c r="D71" i="22"/>
  <c r="O70" i="22"/>
  <c r="N70" i="22"/>
  <c r="M70" i="22"/>
  <c r="L70" i="22"/>
  <c r="G70" i="22"/>
  <c r="E70" i="22"/>
  <c r="D70" i="22"/>
  <c r="O69" i="22"/>
  <c r="N69" i="22"/>
  <c r="M69" i="22"/>
  <c r="L69" i="22"/>
  <c r="G69" i="22"/>
  <c r="E69" i="22"/>
  <c r="D69" i="22"/>
  <c r="O68" i="22"/>
  <c r="N68" i="22"/>
  <c r="M68" i="22"/>
  <c r="L68" i="22"/>
  <c r="G68" i="22"/>
  <c r="E68" i="22"/>
  <c r="D68" i="22"/>
  <c r="O67" i="22"/>
  <c r="N67" i="22"/>
  <c r="M67" i="22"/>
  <c r="L67" i="22"/>
  <c r="G67" i="22"/>
  <c r="E67" i="22"/>
  <c r="D67" i="22"/>
  <c r="O66" i="22"/>
  <c r="N66" i="22"/>
  <c r="M66" i="22"/>
  <c r="L66" i="22"/>
  <c r="G66" i="22"/>
  <c r="E66" i="22"/>
  <c r="D66" i="22"/>
  <c r="O64" i="22"/>
  <c r="N64" i="22"/>
  <c r="M64" i="22"/>
  <c r="L64" i="22"/>
  <c r="I64" i="22"/>
  <c r="G64" i="22"/>
  <c r="E64" i="22"/>
  <c r="D64" i="22"/>
  <c r="O63" i="22"/>
  <c r="N63" i="22"/>
  <c r="M63" i="22"/>
  <c r="L63" i="22"/>
  <c r="G63" i="22"/>
  <c r="E63" i="22"/>
  <c r="F63" i="22" s="1"/>
  <c r="D63" i="22"/>
  <c r="O62" i="22"/>
  <c r="N62" i="22"/>
  <c r="M62" i="22"/>
  <c r="L62" i="22"/>
  <c r="G62" i="22"/>
  <c r="E62" i="22"/>
  <c r="D62" i="22"/>
  <c r="I62" i="22" s="1"/>
  <c r="O61" i="22"/>
  <c r="N61" i="22"/>
  <c r="M61" i="22"/>
  <c r="L61" i="22"/>
  <c r="G61" i="22"/>
  <c r="E61" i="22"/>
  <c r="D61" i="22"/>
  <c r="I61" i="22" s="1"/>
  <c r="O60" i="22"/>
  <c r="N60" i="22"/>
  <c r="M60" i="22"/>
  <c r="L60" i="22"/>
  <c r="G60" i="22"/>
  <c r="E60" i="22"/>
  <c r="D60" i="22"/>
  <c r="O59" i="22"/>
  <c r="N59" i="22"/>
  <c r="M59" i="22"/>
  <c r="L59" i="22"/>
  <c r="G59" i="22"/>
  <c r="E59" i="22"/>
  <c r="D59" i="22"/>
  <c r="H59" i="22" s="1"/>
  <c r="O58" i="22"/>
  <c r="N58" i="22"/>
  <c r="M58" i="22"/>
  <c r="L58" i="22"/>
  <c r="G58" i="22"/>
  <c r="E58" i="22"/>
  <c r="D58" i="22"/>
  <c r="O57" i="22"/>
  <c r="N57" i="22"/>
  <c r="M57" i="22"/>
  <c r="L57" i="22"/>
  <c r="G57" i="22"/>
  <c r="E57" i="22"/>
  <c r="D57" i="22"/>
  <c r="O56" i="22"/>
  <c r="N56" i="22"/>
  <c r="M56" i="22"/>
  <c r="L56" i="22"/>
  <c r="G56" i="22"/>
  <c r="E56" i="22"/>
  <c r="D56" i="22"/>
  <c r="O55" i="22"/>
  <c r="N55" i="22"/>
  <c r="M55" i="22"/>
  <c r="L55" i="22"/>
  <c r="G55" i="22"/>
  <c r="E55" i="22"/>
  <c r="D55" i="22"/>
  <c r="O54" i="22"/>
  <c r="N54" i="22"/>
  <c r="M54" i="22"/>
  <c r="L54" i="22"/>
  <c r="G54" i="22"/>
  <c r="E54" i="22"/>
  <c r="D54" i="22"/>
  <c r="O53" i="22"/>
  <c r="N53" i="22"/>
  <c r="M53" i="22"/>
  <c r="L53" i="22"/>
  <c r="G53" i="22"/>
  <c r="E53" i="22"/>
  <c r="D53" i="22"/>
  <c r="O52" i="22"/>
  <c r="N52" i="22"/>
  <c r="M52" i="22"/>
  <c r="L52" i="22"/>
  <c r="G52" i="22"/>
  <c r="E52" i="22"/>
  <c r="D52" i="22"/>
  <c r="O51" i="22"/>
  <c r="N51" i="22"/>
  <c r="M51" i="22"/>
  <c r="L51" i="22"/>
  <c r="G51" i="22"/>
  <c r="E51" i="22"/>
  <c r="D51" i="22"/>
  <c r="O50" i="22"/>
  <c r="N50" i="22"/>
  <c r="M50" i="22"/>
  <c r="L50" i="22"/>
  <c r="G50" i="22"/>
  <c r="E50" i="22"/>
  <c r="D50" i="22"/>
  <c r="H50" i="22" s="1"/>
  <c r="O49" i="22"/>
  <c r="N49" i="22"/>
  <c r="M49" i="22"/>
  <c r="L49" i="22"/>
  <c r="G49" i="22"/>
  <c r="E49" i="22"/>
  <c r="D49" i="22"/>
  <c r="I49" i="22" s="1"/>
  <c r="O48" i="22"/>
  <c r="N48" i="22"/>
  <c r="M48" i="22"/>
  <c r="L48" i="22"/>
  <c r="G48" i="22"/>
  <c r="E48" i="22"/>
  <c r="D48" i="22"/>
  <c r="O47" i="22"/>
  <c r="N47" i="22"/>
  <c r="M47" i="22"/>
  <c r="L47" i="22"/>
  <c r="G47" i="22"/>
  <c r="E47" i="22"/>
  <c r="D47" i="22"/>
  <c r="O46" i="22"/>
  <c r="N46" i="22"/>
  <c r="M46" i="22"/>
  <c r="L46" i="22"/>
  <c r="G46" i="22"/>
  <c r="E46" i="22"/>
  <c r="D46" i="22"/>
  <c r="O45" i="22"/>
  <c r="N45" i="22"/>
  <c r="M45" i="22"/>
  <c r="L45" i="22"/>
  <c r="G45" i="22"/>
  <c r="E45" i="22"/>
  <c r="D45" i="22"/>
  <c r="O44" i="22"/>
  <c r="N44" i="22"/>
  <c r="M44" i="22"/>
  <c r="L44" i="22"/>
  <c r="G44" i="22"/>
  <c r="E44" i="22"/>
  <c r="D44" i="22"/>
  <c r="O43" i="22"/>
  <c r="N43" i="22"/>
  <c r="M43" i="22"/>
  <c r="L43" i="22"/>
  <c r="G43" i="22"/>
  <c r="E43" i="22"/>
  <c r="D43" i="22"/>
  <c r="H43" i="22" s="1"/>
  <c r="O42" i="22"/>
  <c r="N42" i="22"/>
  <c r="M42" i="22"/>
  <c r="L42" i="22"/>
  <c r="G42" i="22"/>
  <c r="E42" i="22"/>
  <c r="D42" i="22"/>
  <c r="O41" i="22"/>
  <c r="N41" i="22"/>
  <c r="M41" i="22"/>
  <c r="L41" i="22"/>
  <c r="G41" i="22"/>
  <c r="E41" i="22"/>
  <c r="D41" i="22"/>
  <c r="O39" i="22"/>
  <c r="N39" i="22"/>
  <c r="M39" i="22"/>
  <c r="L39" i="22"/>
  <c r="G39" i="22"/>
  <c r="E39" i="22"/>
  <c r="D39" i="22"/>
  <c r="O38" i="22"/>
  <c r="N38" i="22"/>
  <c r="M38" i="22"/>
  <c r="L38" i="22"/>
  <c r="G38" i="22"/>
  <c r="E38" i="22"/>
  <c r="D38" i="22"/>
  <c r="O37" i="22"/>
  <c r="N37" i="22"/>
  <c r="M37" i="22"/>
  <c r="L37" i="22"/>
  <c r="G37" i="22"/>
  <c r="E37" i="22"/>
  <c r="D37" i="22"/>
  <c r="O35" i="22"/>
  <c r="N35" i="22"/>
  <c r="M35" i="22"/>
  <c r="L35" i="22"/>
  <c r="G35" i="22"/>
  <c r="E35" i="22"/>
  <c r="D35" i="22"/>
  <c r="I35" i="22" s="1"/>
  <c r="O34" i="22"/>
  <c r="N34" i="22"/>
  <c r="M34" i="22"/>
  <c r="L34" i="22"/>
  <c r="G34" i="22"/>
  <c r="E34" i="22"/>
  <c r="D34" i="22"/>
  <c r="O33" i="22"/>
  <c r="N33" i="22"/>
  <c r="M33" i="22"/>
  <c r="L33" i="22"/>
  <c r="G33" i="22"/>
  <c r="E33" i="22"/>
  <c r="D33" i="22"/>
  <c r="O32" i="22"/>
  <c r="N32" i="22"/>
  <c r="M32" i="22"/>
  <c r="L32" i="22"/>
  <c r="G32" i="22"/>
  <c r="E32" i="22"/>
  <c r="D32" i="22"/>
  <c r="H32" i="22" s="1"/>
  <c r="O31" i="22"/>
  <c r="N31" i="22"/>
  <c r="M31" i="22"/>
  <c r="L31" i="22"/>
  <c r="G31" i="22"/>
  <c r="E31" i="22"/>
  <c r="D31" i="22"/>
  <c r="H31" i="22" s="1"/>
  <c r="O30" i="22"/>
  <c r="N30" i="22"/>
  <c r="M30" i="22"/>
  <c r="L30" i="22"/>
  <c r="G30" i="22"/>
  <c r="E30" i="22"/>
  <c r="D30" i="22"/>
  <c r="O29" i="22"/>
  <c r="N29" i="22"/>
  <c r="M29" i="22"/>
  <c r="L29" i="22"/>
  <c r="G29" i="22"/>
  <c r="E29" i="22"/>
  <c r="D29" i="22"/>
  <c r="O28" i="22"/>
  <c r="N28" i="22"/>
  <c r="M28" i="22"/>
  <c r="L28" i="22"/>
  <c r="G28" i="22"/>
  <c r="E28" i="22"/>
  <c r="D28" i="22"/>
  <c r="O27" i="22"/>
  <c r="N27" i="22"/>
  <c r="M27" i="22"/>
  <c r="L27" i="22"/>
  <c r="G27" i="22"/>
  <c r="E27" i="22"/>
  <c r="D27" i="22"/>
  <c r="O26" i="22"/>
  <c r="N26" i="22"/>
  <c r="M26" i="22"/>
  <c r="L26" i="22"/>
  <c r="G26" i="22"/>
  <c r="I26" i="22" s="1"/>
  <c r="E26" i="22"/>
  <c r="D26" i="22"/>
  <c r="O25" i="22"/>
  <c r="N25" i="22"/>
  <c r="M25" i="22"/>
  <c r="L25" i="22"/>
  <c r="G25" i="22"/>
  <c r="E25" i="22"/>
  <c r="D25" i="22"/>
  <c r="H25" i="22" s="1"/>
  <c r="O24" i="22"/>
  <c r="N24" i="22"/>
  <c r="M24" i="22"/>
  <c r="L24" i="22"/>
  <c r="G24" i="22"/>
  <c r="E24" i="22"/>
  <c r="D24" i="22"/>
  <c r="O23" i="22"/>
  <c r="N23" i="22"/>
  <c r="M23" i="22"/>
  <c r="L23" i="22"/>
  <c r="G23" i="22"/>
  <c r="E23" i="22"/>
  <c r="D23" i="22"/>
  <c r="O22" i="22"/>
  <c r="N22" i="22"/>
  <c r="M22" i="22"/>
  <c r="L22" i="22"/>
  <c r="G22" i="22"/>
  <c r="E22" i="22"/>
  <c r="D22" i="22"/>
  <c r="O21" i="22"/>
  <c r="N21" i="22"/>
  <c r="M21" i="22"/>
  <c r="L21" i="22"/>
  <c r="G21" i="22"/>
  <c r="E21" i="22"/>
  <c r="D21" i="22"/>
  <c r="O20" i="22"/>
  <c r="N20" i="22"/>
  <c r="M20" i="22"/>
  <c r="L20" i="22"/>
  <c r="G20" i="22"/>
  <c r="E20" i="22"/>
  <c r="D20" i="22"/>
  <c r="O19" i="22"/>
  <c r="N19" i="22"/>
  <c r="M19" i="22"/>
  <c r="L19" i="22"/>
  <c r="G19" i="22"/>
  <c r="E19" i="22"/>
  <c r="D19" i="22"/>
  <c r="O18" i="22"/>
  <c r="N18" i="22"/>
  <c r="M18" i="22"/>
  <c r="L18" i="22"/>
  <c r="G18" i="22"/>
  <c r="E18" i="22"/>
  <c r="D18" i="22"/>
  <c r="O17" i="22"/>
  <c r="N17" i="22"/>
  <c r="M17" i="22"/>
  <c r="L17" i="22"/>
  <c r="G17" i="22"/>
  <c r="E17" i="22"/>
  <c r="D17" i="22"/>
  <c r="O16" i="22"/>
  <c r="N16" i="22"/>
  <c r="M16" i="22"/>
  <c r="L16" i="22"/>
  <c r="G16" i="22"/>
  <c r="E16" i="22"/>
  <c r="D16" i="22"/>
  <c r="I16" i="22" s="1"/>
  <c r="O15" i="22"/>
  <c r="N15" i="22"/>
  <c r="M15" i="22"/>
  <c r="L15" i="22"/>
  <c r="G15" i="22"/>
  <c r="E15" i="22"/>
  <c r="D15" i="22"/>
  <c r="O14" i="22"/>
  <c r="N14" i="22"/>
  <c r="M14" i="22"/>
  <c r="L14" i="22"/>
  <c r="G14" i="22"/>
  <c r="E14" i="22"/>
  <c r="D14" i="22"/>
  <c r="O13" i="22"/>
  <c r="N13" i="22"/>
  <c r="M13" i="22"/>
  <c r="L13" i="22"/>
  <c r="G13" i="22"/>
  <c r="E13" i="22"/>
  <c r="D13" i="22"/>
  <c r="O11" i="22"/>
  <c r="N11" i="22"/>
  <c r="M11" i="22"/>
  <c r="L11" i="22"/>
  <c r="G11" i="22"/>
  <c r="E11" i="22"/>
  <c r="D11" i="22"/>
  <c r="O10" i="22"/>
  <c r="N10" i="22"/>
  <c r="M10" i="22"/>
  <c r="L10" i="22"/>
  <c r="G10" i="22"/>
  <c r="E10" i="22"/>
  <c r="D10" i="22"/>
  <c r="A2" i="30"/>
  <c r="A2" i="29"/>
  <c r="A2" i="28"/>
  <c r="A2" i="27"/>
  <c r="A2" i="26"/>
  <c r="A2" i="25"/>
  <c r="A2" i="23"/>
  <c r="A2" i="22"/>
  <c r="F17" i="22" l="1"/>
  <c r="H42" i="22"/>
  <c r="H58" i="22"/>
  <c r="I803" i="22"/>
  <c r="H57" i="23"/>
  <c r="H57" i="25" s="1"/>
  <c r="H73" i="22"/>
  <c r="H145" i="22"/>
  <c r="H34" i="22"/>
  <c r="I37" i="22"/>
  <c r="I319" i="23"/>
  <c r="I855" i="22"/>
  <c r="F137" i="22"/>
  <c r="I137" i="22"/>
  <c r="F55" i="22"/>
  <c r="I55" i="22"/>
  <c r="F44" i="22"/>
  <c r="I39" i="22"/>
  <c r="I66" i="22"/>
  <c r="F143" i="22"/>
  <c r="F145" i="22"/>
  <c r="I734" i="22"/>
  <c r="I796" i="22"/>
  <c r="I846" i="22"/>
  <c r="I561" i="22"/>
  <c r="I611" i="22"/>
  <c r="I10" i="22"/>
  <c r="I47" i="22"/>
  <c r="H150" i="22"/>
  <c r="F305" i="22"/>
  <c r="I27" i="22"/>
  <c r="I148" i="22"/>
  <c r="H728" i="22"/>
  <c r="I41" i="22"/>
  <c r="I57" i="22"/>
  <c r="H146" i="22"/>
  <c r="I673" i="22"/>
  <c r="I827" i="22"/>
  <c r="I877" i="22"/>
  <c r="H14" i="22"/>
  <c r="H30" i="22"/>
  <c r="F64" i="22"/>
  <c r="H74" i="22"/>
  <c r="H144" i="22"/>
  <c r="H171" i="22"/>
  <c r="I800" i="22"/>
  <c r="F72" i="23"/>
  <c r="F72" i="25" s="1"/>
  <c r="I134" i="22"/>
  <c r="I13" i="23"/>
  <c r="I13" i="25" s="1"/>
  <c r="F53" i="22"/>
  <c r="H60" i="22"/>
  <c r="H149" i="22"/>
  <c r="I582" i="22"/>
  <c r="I683" i="22"/>
  <c r="H52" i="23"/>
  <c r="H52" i="25" s="1"/>
  <c r="H68" i="23"/>
  <c r="H68" i="25" s="1"/>
  <c r="I320" i="23"/>
  <c r="H46" i="22"/>
  <c r="I17" i="22"/>
  <c r="F26" i="22"/>
  <c r="I130" i="22"/>
  <c r="H132" i="22"/>
  <c r="H836" i="22"/>
  <c r="F28" i="22"/>
  <c r="I46" i="22"/>
  <c r="I152" i="22"/>
  <c r="I293" i="22"/>
  <c r="I597" i="22"/>
  <c r="E199" i="23"/>
  <c r="H28" i="22"/>
  <c r="F46" i="22"/>
  <c r="F160" i="22"/>
  <c r="F182" i="22"/>
  <c r="I824" i="22"/>
  <c r="F33" i="22"/>
  <c r="H62" i="22"/>
  <c r="I165" i="22"/>
  <c r="F686" i="22"/>
  <c r="H692" i="22"/>
  <c r="H790" i="22"/>
  <c r="F839" i="22"/>
  <c r="F889" i="22"/>
  <c r="H69" i="23"/>
  <c r="H69" i="25" s="1"/>
  <c r="H321" i="23"/>
  <c r="H72" i="22"/>
  <c r="I79" i="22"/>
  <c r="H285" i="22"/>
  <c r="F74" i="22"/>
  <c r="F29" i="22"/>
  <c r="I31" i="22"/>
  <c r="I146" i="22"/>
  <c r="H606" i="22"/>
  <c r="H656" i="22"/>
  <c r="H27" i="22"/>
  <c r="I56" i="22"/>
  <c r="F161" i="22"/>
  <c r="F18" i="22"/>
  <c r="F27" i="22"/>
  <c r="F37" i="22"/>
  <c r="F47" i="22"/>
  <c r="I68" i="22"/>
  <c r="I169" i="22"/>
  <c r="H291" i="22"/>
  <c r="I695" i="22"/>
  <c r="F159" i="22"/>
  <c r="F287" i="22"/>
  <c r="I731" i="22"/>
  <c r="I793" i="22"/>
  <c r="I843" i="22"/>
  <c r="I891" i="22"/>
  <c r="H70" i="23"/>
  <c r="H70" i="25" s="1"/>
  <c r="F815" i="22"/>
  <c r="H821" i="22"/>
  <c r="F864" i="22"/>
  <c r="H61" i="22"/>
  <c r="H287" i="22"/>
  <c r="I143" i="22"/>
  <c r="F154" i="22"/>
  <c r="H177" i="22"/>
  <c r="H10" i="22"/>
  <c r="H22" i="22"/>
  <c r="I24" i="22"/>
  <c r="F35" i="22"/>
  <c r="F38" i="22"/>
  <c r="I54" i="22"/>
  <c r="I70" i="22"/>
  <c r="H162" i="22"/>
  <c r="I322" i="22"/>
  <c r="H558" i="22"/>
  <c r="I702" i="22"/>
  <c r="I53" i="23"/>
  <c r="I53" i="25" s="1"/>
  <c r="H320" i="23"/>
  <c r="I13" i="22"/>
  <c r="F10" i="22"/>
  <c r="I38" i="22"/>
  <c r="F170" i="22"/>
  <c r="H633" i="22"/>
  <c r="I20" i="22"/>
  <c r="F56" i="22"/>
  <c r="F16" i="22"/>
  <c r="F20" i="22"/>
  <c r="H29" i="22"/>
  <c r="I33" i="22"/>
  <c r="H63" i="22"/>
  <c r="H66" i="22"/>
  <c r="F68" i="22"/>
  <c r="H167" i="22"/>
  <c r="I622" i="22"/>
  <c r="H676" i="22"/>
  <c r="I745" i="22"/>
  <c r="H754" i="22"/>
  <c r="H71" i="23"/>
  <c r="H71" i="25" s="1"/>
  <c r="H48" i="22"/>
  <c r="I132" i="22"/>
  <c r="H158" i="22"/>
  <c r="I716" i="22"/>
  <c r="H787" i="22"/>
  <c r="I809" i="22"/>
  <c r="F132" i="22"/>
  <c r="I150" i="22"/>
  <c r="I14" i="22"/>
  <c r="I18" i="22"/>
  <c r="I44" i="22"/>
  <c r="I23" i="22"/>
  <c r="F42" i="22"/>
  <c r="H55" i="22"/>
  <c r="I71" i="22"/>
  <c r="F130" i="22"/>
  <c r="H163" i="22"/>
  <c r="E299" i="22"/>
  <c r="H305" i="22"/>
  <c r="I705" i="22"/>
  <c r="F728" i="22"/>
  <c r="H63" i="23"/>
  <c r="H63" i="25" s="1"/>
  <c r="I15" i="22"/>
  <c r="I42" i="22"/>
  <c r="H585" i="22"/>
  <c r="H20" i="23"/>
  <c r="H20" i="25" s="1"/>
  <c r="I274" i="23"/>
  <c r="I48" i="29" s="1"/>
  <c r="D316" i="23"/>
  <c r="H21" i="22"/>
  <c r="H51" i="22"/>
  <c r="H138" i="22"/>
  <c r="H734" i="22"/>
  <c r="H17" i="22"/>
  <c r="H37" i="22"/>
  <c r="H53" i="22"/>
  <c r="F69" i="22"/>
  <c r="G323" i="23"/>
  <c r="I19" i="22"/>
  <c r="H67" i="22"/>
  <c r="F15" i="22"/>
  <c r="I28" i="22"/>
  <c r="I32" i="22"/>
  <c r="I45" i="22"/>
  <c r="I51" i="22"/>
  <c r="I74" i="22"/>
  <c r="F133" i="22"/>
  <c r="H143" i="22"/>
  <c r="I147" i="22"/>
  <c r="H151" i="22"/>
  <c r="I166" i="22"/>
  <c r="I566" i="22"/>
  <c r="H620" i="22"/>
  <c r="I742" i="22"/>
  <c r="I861" i="22"/>
  <c r="F59" i="23"/>
  <c r="F59" i="25" s="1"/>
  <c r="I322" i="23"/>
  <c r="H131" i="22"/>
  <c r="I133" i="22"/>
  <c r="H156" i="22"/>
  <c r="F179" i="22"/>
  <c r="E308" i="22"/>
  <c r="I588" i="22"/>
  <c r="I638" i="22"/>
  <c r="I714" i="22"/>
  <c r="I776" i="22"/>
  <c r="I806" i="22"/>
  <c r="F43" i="22"/>
  <c r="F141" i="22"/>
  <c r="F609" i="22"/>
  <c r="F708" i="22"/>
  <c r="F24" i="22"/>
  <c r="H9" i="23"/>
  <c r="H9" i="25" s="1"/>
  <c r="E617" i="22"/>
  <c r="I680" i="22"/>
  <c r="I711" i="22"/>
  <c r="G744" i="22"/>
  <c r="I883" i="22"/>
  <c r="H894" i="22"/>
  <c r="I56" i="23"/>
  <c r="I56" i="25" s="1"/>
  <c r="F39" i="22"/>
  <c r="F49" i="22"/>
  <c r="H70" i="22"/>
  <c r="F72" i="22"/>
  <c r="F134" i="22"/>
  <c r="H169" i="22"/>
  <c r="H180" i="22"/>
  <c r="H182" i="22"/>
  <c r="I577" i="22"/>
  <c r="H582" i="22"/>
  <c r="G617" i="22"/>
  <c r="I644" i="22"/>
  <c r="H686" i="22"/>
  <c r="I849" i="22"/>
  <c r="H889" i="22"/>
  <c r="H240" i="23"/>
  <c r="H15" i="29" s="1"/>
  <c r="H251" i="23"/>
  <c r="H26" i="29" s="1"/>
  <c r="F265" i="23"/>
  <c r="F39" i="29" s="1"/>
  <c r="D12" i="22"/>
  <c r="H20" i="22"/>
  <c r="I29" i="22"/>
  <c r="H44" i="22"/>
  <c r="H49" i="22"/>
  <c r="F51" i="22"/>
  <c r="F58" i="22"/>
  <c r="H64" i="22"/>
  <c r="F70" i="22"/>
  <c r="I139" i="22"/>
  <c r="F155" i="22"/>
  <c r="F158" i="22"/>
  <c r="I160" i="22"/>
  <c r="I603" i="22"/>
  <c r="H265" i="23"/>
  <c r="H39" i="29" s="1"/>
  <c r="F311" i="23"/>
  <c r="F17" i="30" s="1"/>
  <c r="E12" i="22"/>
  <c r="F22" i="22"/>
  <c r="H24" i="22"/>
  <c r="H26" i="22"/>
  <c r="F31" i="22"/>
  <c r="H33" i="22"/>
  <c r="I58" i="22"/>
  <c r="F60" i="22"/>
  <c r="F62" i="22"/>
  <c r="I72" i="22"/>
  <c r="H141" i="22"/>
  <c r="I151" i="22"/>
  <c r="H160" i="22"/>
  <c r="H609" i="22"/>
  <c r="I633" i="22"/>
  <c r="I667" i="22"/>
  <c r="H705" i="22"/>
  <c r="I773" i="22"/>
  <c r="H815" i="22"/>
  <c r="I836" i="22"/>
  <c r="I870" i="22"/>
  <c r="H93" i="23"/>
  <c r="H93" i="25" s="1"/>
  <c r="H204" i="23"/>
  <c r="H18" i="26" s="1"/>
  <c r="I265" i="23"/>
  <c r="I39" i="29" s="1"/>
  <c r="I309" i="23"/>
  <c r="I15" i="30" s="1"/>
  <c r="I22" i="22"/>
  <c r="I60" i="22"/>
  <c r="F661" i="22"/>
  <c r="I897" i="22"/>
  <c r="H256" i="23"/>
  <c r="H31" i="29" s="1"/>
  <c r="F303" i="23"/>
  <c r="F9" i="30" s="1"/>
  <c r="H15" i="22"/>
  <c r="H35" i="22"/>
  <c r="H38" i="22"/>
  <c r="I53" i="22"/>
  <c r="H69" i="22"/>
  <c r="H133" i="22"/>
  <c r="F585" i="22"/>
  <c r="H667" i="22"/>
  <c r="I689" i="22"/>
  <c r="F790" i="22"/>
  <c r="H870" i="22"/>
  <c r="H28" i="23"/>
  <c r="H28" i="25" s="1"/>
  <c r="D7" i="27"/>
  <c r="I256" i="23"/>
  <c r="I31" i="29" s="1"/>
  <c r="I279" i="23"/>
  <c r="I54" i="29" s="1"/>
  <c r="I145" i="22"/>
  <c r="H661" i="22"/>
  <c r="H752" i="22"/>
  <c r="H864" i="22"/>
  <c r="H223" i="23"/>
  <c r="H10" i="27" s="1"/>
  <c r="H243" i="23"/>
  <c r="H18" i="29" s="1"/>
  <c r="E278" i="23"/>
  <c r="F19" i="22"/>
  <c r="F48" i="22"/>
  <c r="F57" i="22"/>
  <c r="F67" i="22"/>
  <c r="F131" i="22"/>
  <c r="E271" i="22"/>
  <c r="H591" i="22"/>
  <c r="I781" i="22"/>
  <c r="H796" i="22"/>
  <c r="I818" i="22"/>
  <c r="I852" i="22"/>
  <c r="E886" i="22"/>
  <c r="H44" i="23"/>
  <c r="H44" i="25" s="1"/>
  <c r="F53" i="23"/>
  <c r="F53" i="25" s="1"/>
  <c r="I94" i="23"/>
  <c r="I94" i="25" s="1"/>
  <c r="I266" i="23"/>
  <c r="I40" i="29" s="1"/>
  <c r="F270" i="23"/>
  <c r="F44" i="29" s="1"/>
  <c r="H19" i="22"/>
  <c r="F21" i="22"/>
  <c r="I48" i="22"/>
  <c r="H52" i="22"/>
  <c r="H57" i="22"/>
  <c r="F59" i="22"/>
  <c r="I67" i="22"/>
  <c r="F71" i="22"/>
  <c r="I131" i="22"/>
  <c r="I140" i="22"/>
  <c r="H179" i="22"/>
  <c r="E200" i="22"/>
  <c r="G271" i="22"/>
  <c r="I314" i="22"/>
  <c r="I641" i="22"/>
  <c r="I676" i="22"/>
  <c r="H683" i="22"/>
  <c r="I737" i="22"/>
  <c r="H887" i="22"/>
  <c r="H53" i="23"/>
  <c r="H53" i="25" s="1"/>
  <c r="H194" i="23"/>
  <c r="H8" i="26" s="1"/>
  <c r="I268" i="23"/>
  <c r="I42" i="29" s="1"/>
  <c r="E323" i="23"/>
  <c r="F30" i="22"/>
  <c r="F41" i="22"/>
  <c r="I69" i="22"/>
  <c r="H71" i="22"/>
  <c r="F135" i="22"/>
  <c r="F165" i="22"/>
  <c r="I170" i="22"/>
  <c r="F636" i="22"/>
  <c r="H714" i="22"/>
  <c r="I21" i="22"/>
  <c r="H41" i="22"/>
  <c r="F50" i="22"/>
  <c r="I59" i="22"/>
  <c r="F73" i="22"/>
  <c r="H135" i="22"/>
  <c r="F142" i="22"/>
  <c r="I159" i="22"/>
  <c r="H812" i="22"/>
  <c r="I874" i="22"/>
  <c r="H248" i="23"/>
  <c r="H23" i="29" s="1"/>
  <c r="F261" i="23"/>
  <c r="F52" i="29" s="1"/>
  <c r="F306" i="23"/>
  <c r="F12" i="30" s="1"/>
  <c r="F11" i="22"/>
  <c r="H16" i="22"/>
  <c r="H18" i="22"/>
  <c r="F23" i="22"/>
  <c r="F25" i="22"/>
  <c r="I50" i="22"/>
  <c r="F52" i="22"/>
  <c r="F54" i="22"/>
  <c r="H56" i="22"/>
  <c r="F61" i="22"/>
  <c r="I73" i="22"/>
  <c r="H140" i="22"/>
  <c r="I142" i="22"/>
  <c r="E186" i="22"/>
  <c r="E218" i="22"/>
  <c r="F558" i="22"/>
  <c r="I630" i="22"/>
  <c r="H641" i="22"/>
  <c r="I664" i="22"/>
  <c r="F754" i="22"/>
  <c r="H846" i="22"/>
  <c r="I867" i="22"/>
  <c r="E873" i="22"/>
  <c r="I900" i="22"/>
  <c r="I226" i="23"/>
  <c r="I8" i="28" s="1"/>
  <c r="H259" i="23"/>
  <c r="H34" i="29" s="1"/>
  <c r="H306" i="23"/>
  <c r="H12" i="30" s="1"/>
  <c r="I30" i="22"/>
  <c r="I11" i="22"/>
  <c r="F14" i="22"/>
  <c r="H23" i="22"/>
  <c r="F32" i="22"/>
  <c r="I43" i="22"/>
  <c r="H45" i="22"/>
  <c r="H47" i="22"/>
  <c r="I52" i="22"/>
  <c r="I63" i="22"/>
  <c r="F144" i="22"/>
  <c r="G186" i="22"/>
  <c r="G218" i="22"/>
  <c r="I594" i="22"/>
  <c r="H636" i="22"/>
  <c r="I656" i="22"/>
  <c r="I692" i="22"/>
  <c r="I721" i="22"/>
  <c r="H726" i="22"/>
  <c r="H839" i="22"/>
  <c r="G873" i="22"/>
  <c r="H201" i="23"/>
  <c r="H15" i="26" s="1"/>
  <c r="H235" i="23"/>
  <c r="H10" i="29" s="1"/>
  <c r="I306" i="23"/>
  <c r="I12" i="30" s="1"/>
  <c r="I25" i="22"/>
  <c r="F34" i="22"/>
  <c r="H39" i="22"/>
  <c r="F45" i="22"/>
  <c r="H54" i="22"/>
  <c r="F66" i="22"/>
  <c r="H68" i="22"/>
  <c r="F76" i="22"/>
  <c r="H134" i="22"/>
  <c r="E211" i="22"/>
  <c r="H566" i="22"/>
  <c r="H770" i="22"/>
  <c r="I195" i="23"/>
  <c r="I9" i="26" s="1"/>
  <c r="F274" i="23"/>
  <c r="F48" i="29" s="1"/>
  <c r="I34" i="22"/>
  <c r="I76" i="22"/>
  <c r="D617" i="22"/>
  <c r="E744" i="22"/>
  <c r="I787" i="22"/>
  <c r="H861" i="22"/>
  <c r="H36" i="23"/>
  <c r="H36" i="25" s="1"/>
  <c r="I62" i="23"/>
  <c r="I62" i="25" s="1"/>
  <c r="F64" i="23"/>
  <c r="F64" i="25" s="1"/>
  <c r="H87" i="23"/>
  <c r="H87" i="25" s="1"/>
  <c r="H274" i="23"/>
  <c r="H48" i="29" s="1"/>
  <c r="I318" i="23"/>
  <c r="I184" i="22"/>
  <c r="F184" i="22"/>
  <c r="D186" i="22"/>
  <c r="I188" i="22"/>
  <c r="F188" i="22"/>
  <c r="I190" i="22"/>
  <c r="F190" i="22"/>
  <c r="I192" i="22"/>
  <c r="F192" i="22"/>
  <c r="I194" i="22"/>
  <c r="F194" i="22"/>
  <c r="I196" i="22"/>
  <c r="F196" i="22"/>
  <c r="D198" i="22"/>
  <c r="I199" i="22"/>
  <c r="F199" i="22"/>
  <c r="I202" i="22"/>
  <c r="F202" i="22"/>
  <c r="D210" i="22"/>
  <c r="I212" i="22"/>
  <c r="F212" i="22"/>
  <c r="D211" i="22"/>
  <c r="D218" i="22"/>
  <c r="I219" i="22"/>
  <c r="F219" i="22"/>
  <c r="I224" i="22"/>
  <c r="F224" i="22"/>
  <c r="I229" i="22"/>
  <c r="F229" i="22"/>
  <c r="I233" i="22"/>
  <c r="F233" i="22"/>
  <c r="I237" i="22"/>
  <c r="F237" i="22"/>
  <c r="I243" i="22"/>
  <c r="F243" i="22"/>
  <c r="I249" i="22"/>
  <c r="F249" i="22"/>
  <c r="I253" i="22"/>
  <c r="F253" i="22"/>
  <c r="I257" i="22"/>
  <c r="F257" i="22"/>
  <c r="I263" i="22"/>
  <c r="F263" i="22"/>
  <c r="I272" i="22"/>
  <c r="F272" i="22"/>
  <c r="D271" i="22"/>
  <c r="I277" i="22"/>
  <c r="F277" i="22"/>
  <c r="I281" i="22"/>
  <c r="F281" i="22"/>
  <c r="I316" i="22"/>
  <c r="H316" i="22"/>
  <c r="F316" i="22"/>
  <c r="I78" i="22"/>
  <c r="H78" i="22"/>
  <c r="F78" i="22"/>
  <c r="F138" i="22"/>
  <c r="F151" i="22"/>
  <c r="H159" i="22"/>
  <c r="I163" i="22"/>
  <c r="F163" i="22"/>
  <c r="I312" i="22"/>
  <c r="F312" i="22"/>
  <c r="I153" i="22"/>
  <c r="F153" i="22"/>
  <c r="G211" i="22"/>
  <c r="G210" i="22"/>
  <c r="H161" i="22"/>
  <c r="F167" i="22"/>
  <c r="I167" i="22"/>
  <c r="I182" i="22"/>
  <c r="H184" i="22"/>
  <c r="H188" i="22"/>
  <c r="H190" i="22"/>
  <c r="H192" i="22"/>
  <c r="H194" i="22"/>
  <c r="H196" i="22"/>
  <c r="H199" i="22"/>
  <c r="H202" i="22"/>
  <c r="H212" i="22"/>
  <c r="H219" i="22"/>
  <c r="H224" i="22"/>
  <c r="H229" i="22"/>
  <c r="H233" i="22"/>
  <c r="H237" i="22"/>
  <c r="H243" i="22"/>
  <c r="H249" i="22"/>
  <c r="H253" i="22"/>
  <c r="H257" i="22"/>
  <c r="H263" i="22"/>
  <c r="H272" i="22"/>
  <c r="H277" i="22"/>
  <c r="H281" i="22"/>
  <c r="I902" i="22"/>
  <c r="H902" i="22"/>
  <c r="F902" i="22"/>
  <c r="H11" i="22"/>
  <c r="F79" i="22"/>
  <c r="I161" i="22"/>
  <c r="I300" i="22"/>
  <c r="H300" i="22"/>
  <c r="F300" i="22"/>
  <c r="D299" i="22"/>
  <c r="D905" i="22"/>
  <c r="D314" i="23" s="1"/>
  <c r="D7" i="22"/>
  <c r="D9" i="22"/>
  <c r="D6" i="22"/>
  <c r="D8" i="22"/>
  <c r="H79" i="22"/>
  <c r="I138" i="22"/>
  <c r="F148" i="22"/>
  <c r="F150" i="22"/>
  <c r="H153" i="22"/>
  <c r="D157" i="22"/>
  <c r="I158" i="22"/>
  <c r="H165" i="22"/>
  <c r="D175" i="22"/>
  <c r="I177" i="22"/>
  <c r="F177" i="22"/>
  <c r="D176" i="22"/>
  <c r="I179" i="22"/>
  <c r="I295" i="22"/>
  <c r="F295" i="22"/>
  <c r="I325" i="22"/>
  <c r="H148" i="22"/>
  <c r="E157" i="22"/>
  <c r="E175" i="22"/>
  <c r="E176" i="22"/>
  <c r="I291" i="22"/>
  <c r="F291" i="22"/>
  <c r="G299" i="22"/>
  <c r="E7" i="22"/>
  <c r="E9" i="22"/>
  <c r="E6" i="22"/>
  <c r="E8" i="22"/>
  <c r="E905" i="22"/>
  <c r="G7" i="22"/>
  <c r="G9" i="22"/>
  <c r="G6" i="22"/>
  <c r="G8" i="22"/>
  <c r="G905" i="22"/>
  <c r="I75" i="22"/>
  <c r="H75" i="22"/>
  <c r="F75" i="22"/>
  <c r="D136" i="22"/>
  <c r="F140" i="22"/>
  <c r="H155" i="22"/>
  <c r="G157" i="22"/>
  <c r="H170" i="22"/>
  <c r="G175" i="22"/>
  <c r="G176" i="22"/>
  <c r="F181" i="22"/>
  <c r="I181" i="22"/>
  <c r="E136" i="22"/>
  <c r="I183" i="22"/>
  <c r="F183" i="22"/>
  <c r="I185" i="22"/>
  <c r="F185" i="22"/>
  <c r="I189" i="22"/>
  <c r="F189" i="22"/>
  <c r="F191" i="22"/>
  <c r="I191" i="22"/>
  <c r="I193" i="22"/>
  <c r="F193" i="22"/>
  <c r="I195" i="22"/>
  <c r="F195" i="22"/>
  <c r="I197" i="22"/>
  <c r="F197" i="22"/>
  <c r="F201" i="22"/>
  <c r="D200" i="22"/>
  <c r="I201" i="22"/>
  <c r="D203" i="22"/>
  <c r="I204" i="22"/>
  <c r="F204" i="22"/>
  <c r="I216" i="22"/>
  <c r="F216" i="22"/>
  <c r="I222" i="22"/>
  <c r="F222" i="22"/>
  <c r="F227" i="22"/>
  <c r="I227" i="22"/>
  <c r="I231" i="22"/>
  <c r="F231" i="22"/>
  <c r="I235" i="22"/>
  <c r="F235" i="22"/>
  <c r="I241" i="22"/>
  <c r="F241" i="22"/>
  <c r="F245" i="22"/>
  <c r="I245" i="22"/>
  <c r="I251" i="22"/>
  <c r="F251" i="22"/>
  <c r="I255" i="22"/>
  <c r="F255" i="22"/>
  <c r="I259" i="22"/>
  <c r="F259" i="22"/>
  <c r="F265" i="22"/>
  <c r="I265" i="22"/>
  <c r="I275" i="22"/>
  <c r="F275" i="22"/>
  <c r="I279" i="22"/>
  <c r="F279" i="22"/>
  <c r="I283" i="22"/>
  <c r="H283" i="22"/>
  <c r="F283" i="22"/>
  <c r="H295" i="22"/>
  <c r="F12" i="22"/>
  <c r="G136" i="22"/>
  <c r="I162" i="22"/>
  <c r="F162" i="22"/>
  <c r="I164" i="22"/>
  <c r="F164" i="22"/>
  <c r="G200" i="22"/>
  <c r="I309" i="22"/>
  <c r="I574" i="22"/>
  <c r="H574" i="22"/>
  <c r="F574" i="22"/>
  <c r="G12" i="22"/>
  <c r="I12" i="22" s="1"/>
  <c r="H76" i="22"/>
  <c r="D128" i="22"/>
  <c r="D129" i="22"/>
  <c r="H137" i="22"/>
  <c r="F147" i="22"/>
  <c r="F152" i="22"/>
  <c r="F169" i="22"/>
  <c r="D168" i="22"/>
  <c r="H183" i="22"/>
  <c r="H185" i="22"/>
  <c r="H189" i="22"/>
  <c r="H191" i="22"/>
  <c r="H193" i="22"/>
  <c r="H195" i="22"/>
  <c r="H197" i="22"/>
  <c r="H201" i="22"/>
  <c r="H204" i="22"/>
  <c r="H216" i="22"/>
  <c r="H222" i="22"/>
  <c r="H227" i="22"/>
  <c r="H231" i="22"/>
  <c r="H235" i="22"/>
  <c r="H241" i="22"/>
  <c r="H245" i="22"/>
  <c r="H251" i="22"/>
  <c r="H255" i="22"/>
  <c r="H259" i="22"/>
  <c r="H265" i="22"/>
  <c r="H275" i="22"/>
  <c r="H279" i="22"/>
  <c r="I302" i="22"/>
  <c r="E128" i="22"/>
  <c r="E129" i="22"/>
  <c r="H147" i="22"/>
  <c r="I149" i="22"/>
  <c r="H152" i="22"/>
  <c r="I156" i="22"/>
  <c r="E168" i="22"/>
  <c r="G308" i="22"/>
  <c r="G307" i="22"/>
  <c r="F13" i="22"/>
  <c r="H13" i="22"/>
  <c r="D40" i="22"/>
  <c r="D65" i="22"/>
  <c r="G128" i="22"/>
  <c r="G129" i="22"/>
  <c r="F139" i="22"/>
  <c r="H154" i="22"/>
  <c r="F166" i="22"/>
  <c r="G168" i="22"/>
  <c r="I171" i="22"/>
  <c r="F171" i="22"/>
  <c r="I178" i="22"/>
  <c r="F178" i="22"/>
  <c r="I297" i="22"/>
  <c r="I893" i="22"/>
  <c r="H893" i="22"/>
  <c r="F893" i="22"/>
  <c r="E65" i="22"/>
  <c r="H139" i="22"/>
  <c r="I141" i="22"/>
  <c r="I154" i="22"/>
  <c r="H166" i="22"/>
  <c r="I180" i="22"/>
  <c r="E40" i="22"/>
  <c r="G40" i="22"/>
  <c r="G65" i="22"/>
  <c r="H130" i="22"/>
  <c r="F146" i="22"/>
  <c r="F149" i="22"/>
  <c r="F156" i="22"/>
  <c r="I285" i="22"/>
  <c r="F285" i="22"/>
  <c r="I289" i="22"/>
  <c r="H289" i="22"/>
  <c r="F289" i="22"/>
  <c r="I287" i="22"/>
  <c r="F297" i="22"/>
  <c r="I305" i="22"/>
  <c r="F319" i="22"/>
  <c r="I558" i="22"/>
  <c r="F577" i="22"/>
  <c r="I585" i="22"/>
  <c r="F600" i="22"/>
  <c r="I609" i="22"/>
  <c r="F627" i="22"/>
  <c r="I636" i="22"/>
  <c r="F650" i="22"/>
  <c r="I661" i="22"/>
  <c r="F676" i="22"/>
  <c r="I686" i="22"/>
  <c r="F700" i="22"/>
  <c r="I708" i="22"/>
  <c r="F721" i="22"/>
  <c r="I728" i="22"/>
  <c r="F742" i="22"/>
  <c r="I754" i="22"/>
  <c r="F779" i="22"/>
  <c r="I790" i="22"/>
  <c r="F806" i="22"/>
  <c r="I815" i="22"/>
  <c r="F830" i="22"/>
  <c r="I839" i="22"/>
  <c r="F855" i="22"/>
  <c r="I864" i="22"/>
  <c r="F880" i="22"/>
  <c r="I889" i="22"/>
  <c r="F903" i="22"/>
  <c r="E210" i="22"/>
  <c r="F13" i="23"/>
  <c r="F13" i="25" s="1"/>
  <c r="I17" i="23"/>
  <c r="I17" i="25" s="1"/>
  <c r="F23" i="23"/>
  <c r="F23" i="25" s="1"/>
  <c r="I26" i="23"/>
  <c r="I26" i="25" s="1"/>
  <c r="F31" i="23"/>
  <c r="F31" i="25" s="1"/>
  <c r="I34" i="23"/>
  <c r="I34" i="25" s="1"/>
  <c r="F39" i="23"/>
  <c r="F39" i="25" s="1"/>
  <c r="I42" i="23"/>
  <c r="I42" i="25" s="1"/>
  <c r="F47" i="23"/>
  <c r="F47" i="25" s="1"/>
  <c r="I50" i="23"/>
  <c r="I50" i="25" s="1"/>
  <c r="H59" i="23"/>
  <c r="H59" i="25" s="1"/>
  <c r="I63" i="23"/>
  <c r="I63" i="25" s="1"/>
  <c r="F63" i="23"/>
  <c r="F63" i="25" s="1"/>
  <c r="D63" i="25"/>
  <c r="H297" i="22"/>
  <c r="H319" i="22"/>
  <c r="H577" i="22"/>
  <c r="H600" i="22"/>
  <c r="H627" i="22"/>
  <c r="H650" i="22"/>
  <c r="H700" i="22"/>
  <c r="H721" i="22"/>
  <c r="H742" i="22"/>
  <c r="H779" i="22"/>
  <c r="H806" i="22"/>
  <c r="H830" i="22"/>
  <c r="H855" i="22"/>
  <c r="H880" i="22"/>
  <c r="H903" i="22"/>
  <c r="D886" i="22"/>
  <c r="H13" i="23"/>
  <c r="H13" i="25" s="1"/>
  <c r="D15" i="23"/>
  <c r="D16" i="25"/>
  <c r="D15" i="25" s="1"/>
  <c r="H23" i="23"/>
  <c r="H23" i="25" s="1"/>
  <c r="H31" i="23"/>
  <c r="H31" i="25" s="1"/>
  <c r="H39" i="23"/>
  <c r="H39" i="25" s="1"/>
  <c r="H47" i="23"/>
  <c r="H47" i="25" s="1"/>
  <c r="D54" i="25"/>
  <c r="F54" i="23"/>
  <c r="F54" i="25" s="1"/>
  <c r="I59" i="23"/>
  <c r="I59" i="25" s="1"/>
  <c r="F61" i="23"/>
  <c r="F61" i="25" s="1"/>
  <c r="F65" i="23"/>
  <c r="F65" i="25" s="1"/>
  <c r="D65" i="25"/>
  <c r="I65" i="23"/>
  <c r="I65" i="25" s="1"/>
  <c r="D67" i="25"/>
  <c r="F67" i="23"/>
  <c r="F67" i="25" s="1"/>
  <c r="F566" i="22"/>
  <c r="F591" i="22"/>
  <c r="F620" i="22"/>
  <c r="F641" i="22"/>
  <c r="F667" i="22"/>
  <c r="F692" i="22"/>
  <c r="F714" i="22"/>
  <c r="F734" i="22"/>
  <c r="F770" i="22"/>
  <c r="F796" i="22"/>
  <c r="F821" i="22"/>
  <c r="F846" i="22"/>
  <c r="F870" i="22"/>
  <c r="F894" i="22"/>
  <c r="I903" i="22"/>
  <c r="F9" i="23"/>
  <c r="F9" i="25" s="1"/>
  <c r="E15" i="23"/>
  <c r="E16" i="25"/>
  <c r="E15" i="25" s="1"/>
  <c r="F20" i="23"/>
  <c r="F20" i="25" s="1"/>
  <c r="I23" i="23"/>
  <c r="I23" i="25" s="1"/>
  <c r="F28" i="23"/>
  <c r="F28" i="25" s="1"/>
  <c r="I31" i="23"/>
  <c r="I31" i="25" s="1"/>
  <c r="F36" i="23"/>
  <c r="F36" i="25" s="1"/>
  <c r="I39" i="23"/>
  <c r="I39" i="25" s="1"/>
  <c r="F44" i="23"/>
  <c r="F44" i="25" s="1"/>
  <c r="I47" i="23"/>
  <c r="I47" i="25" s="1"/>
  <c r="D69" i="25"/>
  <c r="I69" i="23"/>
  <c r="I69" i="25" s="1"/>
  <c r="F69" i="23"/>
  <c r="F69" i="25" s="1"/>
  <c r="I71" i="23"/>
  <c r="I71" i="25" s="1"/>
  <c r="F71" i="23"/>
  <c r="F71" i="25" s="1"/>
  <c r="D71" i="25"/>
  <c r="D307" i="22"/>
  <c r="G886" i="22"/>
  <c r="D899" i="22"/>
  <c r="G16" i="25"/>
  <c r="G15" i="25" s="1"/>
  <c r="G15" i="23"/>
  <c r="D73" i="25"/>
  <c r="F73" i="23"/>
  <c r="F73" i="25" s="1"/>
  <c r="I73" i="23"/>
  <c r="I73" i="25" s="1"/>
  <c r="D75" i="25"/>
  <c r="I75" i="23"/>
  <c r="I75" i="25" s="1"/>
  <c r="F75" i="23"/>
  <c r="F75" i="25" s="1"/>
  <c r="D77" i="25"/>
  <c r="I77" i="23"/>
  <c r="I77" i="25" s="1"/>
  <c r="F77" i="23"/>
  <c r="F77" i="25" s="1"/>
  <c r="D79" i="25"/>
  <c r="I79" i="23"/>
  <c r="I79" i="25" s="1"/>
  <c r="F79" i="23"/>
  <c r="F79" i="25" s="1"/>
  <c r="D81" i="25"/>
  <c r="F81" i="23"/>
  <c r="F81" i="25" s="1"/>
  <c r="I81" i="23"/>
  <c r="I81" i="25" s="1"/>
  <c r="D84" i="25"/>
  <c r="D83" i="23"/>
  <c r="I84" i="23"/>
  <c r="I84" i="25" s="1"/>
  <c r="F84" i="23"/>
  <c r="F84" i="25" s="1"/>
  <c r="D86" i="25"/>
  <c r="I86" i="23"/>
  <c r="I86" i="25" s="1"/>
  <c r="F86" i="23"/>
  <c r="F86" i="25" s="1"/>
  <c r="D89" i="25"/>
  <c r="I89" i="23"/>
  <c r="I89" i="25" s="1"/>
  <c r="H89" i="23"/>
  <c r="H89" i="25" s="1"/>
  <c r="F89" i="23"/>
  <c r="F89" i="25" s="1"/>
  <c r="D88" i="23"/>
  <c r="F302" i="22"/>
  <c r="F325" i="22"/>
  <c r="F582" i="22"/>
  <c r="F606" i="22"/>
  <c r="I620" i="22"/>
  <c r="F633" i="22"/>
  <c r="F656" i="22"/>
  <c r="F683" i="22"/>
  <c r="F705" i="22"/>
  <c r="F726" i="22"/>
  <c r="F752" i="22"/>
  <c r="F787" i="22"/>
  <c r="F812" i="22"/>
  <c r="F836" i="22"/>
  <c r="F861" i="22"/>
  <c r="F887" i="22"/>
  <c r="I894" i="22"/>
  <c r="E307" i="22"/>
  <c r="I9" i="23"/>
  <c r="I9" i="25" s="1"/>
  <c r="F16" i="23"/>
  <c r="F16" i="25" s="1"/>
  <c r="I20" i="23"/>
  <c r="I20" i="25" s="1"/>
  <c r="F25" i="23"/>
  <c r="F25" i="25" s="1"/>
  <c r="I28" i="23"/>
  <c r="I28" i="25" s="1"/>
  <c r="F33" i="23"/>
  <c r="F33" i="25" s="1"/>
  <c r="I36" i="23"/>
  <c r="I36" i="25" s="1"/>
  <c r="F41" i="23"/>
  <c r="F41" i="25" s="1"/>
  <c r="I44" i="23"/>
  <c r="I44" i="25" s="1"/>
  <c r="F49" i="23"/>
  <c r="F49" i="25" s="1"/>
  <c r="H54" i="23"/>
  <c r="H54" i="25" s="1"/>
  <c r="D58" i="25"/>
  <c r="I58" i="23"/>
  <c r="I58" i="25" s="1"/>
  <c r="F58" i="23"/>
  <c r="F58" i="25" s="1"/>
  <c r="H65" i="23"/>
  <c r="H65" i="25" s="1"/>
  <c r="H67" i="23"/>
  <c r="H67" i="25" s="1"/>
  <c r="H302" i="22"/>
  <c r="H325" i="22"/>
  <c r="D744" i="22"/>
  <c r="D6" i="23"/>
  <c r="D8" i="25"/>
  <c r="D7" i="25" s="1"/>
  <c r="D7" i="23"/>
  <c r="H16" i="23"/>
  <c r="H16" i="25" s="1"/>
  <c r="D19" i="25"/>
  <c r="D18" i="23"/>
  <c r="H25" i="23"/>
  <c r="H25" i="25" s="1"/>
  <c r="H33" i="23"/>
  <c r="H33" i="25" s="1"/>
  <c r="H41" i="23"/>
  <c r="H41" i="25" s="1"/>
  <c r="H49" i="23"/>
  <c r="H49" i="25" s="1"/>
  <c r="I54" i="23"/>
  <c r="I54" i="25" s="1"/>
  <c r="F56" i="23"/>
  <c r="F56" i="25" s="1"/>
  <c r="I67" i="23"/>
  <c r="I67" i="25" s="1"/>
  <c r="G84" i="25"/>
  <c r="G83" i="25" s="1"/>
  <c r="G83" i="23"/>
  <c r="G88" i="25"/>
  <c r="F597" i="22"/>
  <c r="F625" i="22"/>
  <c r="F647" i="22"/>
  <c r="F673" i="22"/>
  <c r="F698" i="22"/>
  <c r="F719" i="22"/>
  <c r="F740" i="22"/>
  <c r="F776" i="22"/>
  <c r="F803" i="22"/>
  <c r="F827" i="22"/>
  <c r="F852" i="22"/>
  <c r="F877" i="22"/>
  <c r="F900" i="22"/>
  <c r="E6" i="23"/>
  <c r="E6" i="25" s="1"/>
  <c r="E96" i="25" s="1"/>
  <c r="E8" i="25"/>
  <c r="E7" i="25" s="1"/>
  <c r="E7" i="23"/>
  <c r="F11" i="23"/>
  <c r="F11" i="25" s="1"/>
  <c r="I16" i="23"/>
  <c r="I16" i="25" s="1"/>
  <c r="E19" i="25"/>
  <c r="E18" i="25" s="1"/>
  <c r="E18" i="23"/>
  <c r="F22" i="23"/>
  <c r="F22" i="25" s="1"/>
  <c r="I25" i="23"/>
  <c r="I25" i="25" s="1"/>
  <c r="F30" i="23"/>
  <c r="F30" i="25" s="1"/>
  <c r="I33" i="23"/>
  <c r="I33" i="25" s="1"/>
  <c r="F38" i="23"/>
  <c r="F38" i="25" s="1"/>
  <c r="I41" i="23"/>
  <c r="I41" i="25" s="1"/>
  <c r="F46" i="23"/>
  <c r="F46" i="25" s="1"/>
  <c r="I49" i="23"/>
  <c r="I49" i="25" s="1"/>
  <c r="H56" i="23"/>
  <c r="H56" i="25" s="1"/>
  <c r="I60" i="23"/>
  <c r="I60" i="25" s="1"/>
  <c r="F60" i="23"/>
  <c r="F60" i="25" s="1"/>
  <c r="D60" i="25"/>
  <c r="H73" i="23"/>
  <c r="H73" i="25" s="1"/>
  <c r="H75" i="23"/>
  <c r="H75" i="25" s="1"/>
  <c r="H77" i="23"/>
  <c r="H77" i="25" s="1"/>
  <c r="H79" i="23"/>
  <c r="H79" i="25" s="1"/>
  <c r="H81" i="23"/>
  <c r="H81" i="25" s="1"/>
  <c r="H84" i="23"/>
  <c r="H84" i="25" s="1"/>
  <c r="H86" i="23"/>
  <c r="H86" i="25" s="1"/>
  <c r="H597" i="22"/>
  <c r="H625" i="22"/>
  <c r="H647" i="22"/>
  <c r="H673" i="22"/>
  <c r="H698" i="22"/>
  <c r="H719" i="22"/>
  <c r="H740" i="22"/>
  <c r="H776" i="22"/>
  <c r="H803" i="22"/>
  <c r="H827" i="22"/>
  <c r="H852" i="22"/>
  <c r="H877" i="22"/>
  <c r="H900" i="22"/>
  <c r="G6" i="23"/>
  <c r="G6" i="25" s="1"/>
  <c r="G96" i="25" s="1"/>
  <c r="G8" i="25"/>
  <c r="G7" i="25" s="1"/>
  <c r="G7" i="23"/>
  <c r="H11" i="23"/>
  <c r="H11" i="25" s="1"/>
  <c r="G19" i="25"/>
  <c r="G18" i="25" s="1"/>
  <c r="G18" i="23"/>
  <c r="H22" i="23"/>
  <c r="H22" i="25" s="1"/>
  <c r="H30" i="23"/>
  <c r="H30" i="25" s="1"/>
  <c r="H38" i="23"/>
  <c r="H38" i="25" s="1"/>
  <c r="H46" i="23"/>
  <c r="H46" i="25" s="1"/>
  <c r="D62" i="25"/>
  <c r="F62" i="23"/>
  <c r="F62" i="25" s="1"/>
  <c r="F309" i="22"/>
  <c r="F561" i="22"/>
  <c r="F588" i="22"/>
  <c r="F611" i="22"/>
  <c r="F638" i="22"/>
  <c r="F664" i="22"/>
  <c r="F689" i="22"/>
  <c r="F711" i="22"/>
  <c r="F731" i="22"/>
  <c r="F767" i="22"/>
  <c r="F793" i="22"/>
  <c r="F818" i="22"/>
  <c r="F843" i="22"/>
  <c r="F867" i="22"/>
  <c r="F891" i="22"/>
  <c r="F8" i="23"/>
  <c r="F8" i="25" s="1"/>
  <c r="I11" i="23"/>
  <c r="I11" i="25" s="1"/>
  <c r="F19" i="23"/>
  <c r="F19" i="25" s="1"/>
  <c r="I22" i="23"/>
  <c r="I22" i="25" s="1"/>
  <c r="F27" i="23"/>
  <c r="F27" i="25" s="1"/>
  <c r="I30" i="23"/>
  <c r="I30" i="25" s="1"/>
  <c r="F35" i="23"/>
  <c r="F35" i="25" s="1"/>
  <c r="I38" i="23"/>
  <c r="I38" i="25" s="1"/>
  <c r="F43" i="23"/>
  <c r="F43" i="25" s="1"/>
  <c r="I46" i="23"/>
  <c r="I46" i="25" s="1"/>
  <c r="F51" i="23"/>
  <c r="F51" i="25" s="1"/>
  <c r="I64" i="23"/>
  <c r="I64" i="25" s="1"/>
  <c r="D64" i="25"/>
  <c r="G7" i="26"/>
  <c r="E15" i="31"/>
  <c r="H309" i="22"/>
  <c r="H561" i="22"/>
  <c r="H588" i="22"/>
  <c r="H611" i="22"/>
  <c r="H638" i="22"/>
  <c r="H664" i="22"/>
  <c r="H689" i="22"/>
  <c r="H711" i="22"/>
  <c r="H731" i="22"/>
  <c r="H767" i="22"/>
  <c r="H793" i="22"/>
  <c r="H818" i="22"/>
  <c r="H843" i="22"/>
  <c r="H867" i="22"/>
  <c r="H891" i="22"/>
  <c r="D308" i="22"/>
  <c r="H8" i="23"/>
  <c r="H8" i="25" s="1"/>
  <c r="H19" i="23"/>
  <c r="H19" i="25" s="1"/>
  <c r="H27" i="23"/>
  <c r="H27" i="25" s="1"/>
  <c r="H35" i="23"/>
  <c r="H35" i="25" s="1"/>
  <c r="H43" i="23"/>
  <c r="H43" i="25" s="1"/>
  <c r="H51" i="23"/>
  <c r="H51" i="25" s="1"/>
  <c r="D66" i="25"/>
  <c r="I66" i="23"/>
  <c r="I66" i="25" s="1"/>
  <c r="F66" i="23"/>
  <c r="F66" i="25" s="1"/>
  <c r="D92" i="25"/>
  <c r="I92" i="23"/>
  <c r="I92" i="25" s="1"/>
  <c r="H92" i="23"/>
  <c r="H92" i="25" s="1"/>
  <c r="F92" i="23"/>
  <c r="F92" i="25" s="1"/>
  <c r="F322" i="22"/>
  <c r="F580" i="22"/>
  <c r="F603" i="22"/>
  <c r="F630" i="22"/>
  <c r="F653" i="22"/>
  <c r="F680" i="22"/>
  <c r="F702" i="22"/>
  <c r="F724" i="22"/>
  <c r="F745" i="22"/>
  <c r="F781" i="22"/>
  <c r="F809" i="22"/>
  <c r="F833" i="22"/>
  <c r="F858" i="22"/>
  <c r="F883" i="22"/>
  <c r="I8" i="23"/>
  <c r="I8" i="25" s="1"/>
  <c r="F14" i="23"/>
  <c r="F14" i="25" s="1"/>
  <c r="I19" i="23"/>
  <c r="I19" i="25" s="1"/>
  <c r="F24" i="23"/>
  <c r="F24" i="25" s="1"/>
  <c r="I27" i="23"/>
  <c r="I27" i="25" s="1"/>
  <c r="F32" i="23"/>
  <c r="F32" i="25" s="1"/>
  <c r="I35" i="23"/>
  <c r="I35" i="25" s="1"/>
  <c r="F40" i="23"/>
  <c r="F40" i="25" s="1"/>
  <c r="I43" i="23"/>
  <c r="I43" i="25" s="1"/>
  <c r="F48" i="23"/>
  <c r="F48" i="25" s="1"/>
  <c r="I51" i="23"/>
  <c r="I51" i="25" s="1"/>
  <c r="I55" i="23"/>
  <c r="I55" i="25" s="1"/>
  <c r="F55" i="23"/>
  <c r="F55" i="25" s="1"/>
  <c r="D55" i="25"/>
  <c r="H62" i="23"/>
  <c r="H62" i="25" s="1"/>
  <c r="I68" i="23"/>
  <c r="I68" i="25" s="1"/>
  <c r="D68" i="25"/>
  <c r="F68" i="23"/>
  <c r="F68" i="25" s="1"/>
  <c r="D70" i="25"/>
  <c r="I70" i="23"/>
  <c r="I70" i="25" s="1"/>
  <c r="F70" i="23"/>
  <c r="F70" i="25" s="1"/>
  <c r="D72" i="25"/>
  <c r="I72" i="23"/>
  <c r="I72" i="25" s="1"/>
  <c r="D90" i="25"/>
  <c r="I90" i="23"/>
  <c r="I90" i="25" s="1"/>
  <c r="F90" i="23"/>
  <c r="F90" i="25" s="1"/>
  <c r="H322" i="22"/>
  <c r="H580" i="22"/>
  <c r="H603" i="22"/>
  <c r="H630" i="22"/>
  <c r="H653" i="22"/>
  <c r="H680" i="22"/>
  <c r="H702" i="22"/>
  <c r="H724" i="22"/>
  <c r="H745" i="22"/>
  <c r="H781" i="22"/>
  <c r="H809" i="22"/>
  <c r="H833" i="22"/>
  <c r="H858" i="22"/>
  <c r="H883" i="22"/>
  <c r="D873" i="22"/>
  <c r="H14" i="23"/>
  <c r="H14" i="25" s="1"/>
  <c r="H24" i="23"/>
  <c r="H24" i="25" s="1"/>
  <c r="H32" i="23"/>
  <c r="H32" i="25" s="1"/>
  <c r="H40" i="23"/>
  <c r="H40" i="25" s="1"/>
  <c r="H48" i="23"/>
  <c r="H48" i="25" s="1"/>
  <c r="D74" i="25"/>
  <c r="I74" i="23"/>
  <c r="I74" i="25" s="1"/>
  <c r="F74" i="23"/>
  <c r="F74" i="25" s="1"/>
  <c r="D76" i="25"/>
  <c r="I76" i="23"/>
  <c r="I76" i="25" s="1"/>
  <c r="F76" i="23"/>
  <c r="F76" i="25" s="1"/>
  <c r="D78" i="25"/>
  <c r="I78" i="23"/>
  <c r="I78" i="25" s="1"/>
  <c r="F78" i="23"/>
  <c r="F78" i="25" s="1"/>
  <c r="D80" i="25"/>
  <c r="I80" i="23"/>
  <c r="I80" i="25" s="1"/>
  <c r="F80" i="23"/>
  <c r="F80" i="25" s="1"/>
  <c r="D82" i="25"/>
  <c r="I82" i="23"/>
  <c r="I82" i="25" s="1"/>
  <c r="F82" i="23"/>
  <c r="F82" i="25" s="1"/>
  <c r="D85" i="25"/>
  <c r="I85" i="23"/>
  <c r="I85" i="25" s="1"/>
  <c r="F85" i="23"/>
  <c r="F85" i="25" s="1"/>
  <c r="F293" i="22"/>
  <c r="F314" i="22"/>
  <c r="F569" i="22"/>
  <c r="F594" i="22"/>
  <c r="F622" i="22"/>
  <c r="F644" i="22"/>
  <c r="F670" i="22"/>
  <c r="F695" i="22"/>
  <c r="F716" i="22"/>
  <c r="F737" i="22"/>
  <c r="F773" i="22"/>
  <c r="F800" i="22"/>
  <c r="F824" i="22"/>
  <c r="F849" i="22"/>
  <c r="F874" i="22"/>
  <c r="F897" i="22"/>
  <c r="F10" i="23"/>
  <c r="F10" i="25" s="1"/>
  <c r="I14" i="23"/>
  <c r="I14" i="25" s="1"/>
  <c r="F21" i="23"/>
  <c r="F21" i="25" s="1"/>
  <c r="I24" i="23"/>
  <c r="I24" i="25" s="1"/>
  <c r="F29" i="23"/>
  <c r="F29" i="25" s="1"/>
  <c r="I32" i="23"/>
  <c r="I32" i="25" s="1"/>
  <c r="F37" i="23"/>
  <c r="F37" i="25" s="1"/>
  <c r="I40" i="23"/>
  <c r="I40" i="25" s="1"/>
  <c r="F45" i="23"/>
  <c r="F45" i="25" s="1"/>
  <c r="I48" i="23"/>
  <c r="I48" i="25" s="1"/>
  <c r="F57" i="23"/>
  <c r="F57" i="25" s="1"/>
  <c r="D57" i="25"/>
  <c r="I57" i="23"/>
  <c r="I57" i="25" s="1"/>
  <c r="H64" i="23"/>
  <c r="H64" i="25" s="1"/>
  <c r="H66" i="23"/>
  <c r="H66" i="25" s="1"/>
  <c r="H293" i="22"/>
  <c r="H314" i="22"/>
  <c r="H569" i="22"/>
  <c r="H594" i="22"/>
  <c r="H622" i="22"/>
  <c r="H644" i="22"/>
  <c r="H670" i="22"/>
  <c r="H695" i="22"/>
  <c r="H716" i="22"/>
  <c r="H737" i="22"/>
  <c r="H773" i="22"/>
  <c r="H800" i="22"/>
  <c r="H824" i="22"/>
  <c r="H849" i="22"/>
  <c r="H874" i="22"/>
  <c r="H897" i="22"/>
  <c r="D304" i="22"/>
  <c r="D896" i="22"/>
  <c r="H10" i="23"/>
  <c r="H10" i="25" s="1"/>
  <c r="D12" i="23"/>
  <c r="D13" i="25"/>
  <c r="D12" i="25" s="1"/>
  <c r="H21" i="23"/>
  <c r="H21" i="25" s="1"/>
  <c r="H29" i="23"/>
  <c r="H29" i="25" s="1"/>
  <c r="H37" i="23"/>
  <c r="H37" i="25" s="1"/>
  <c r="H45" i="23"/>
  <c r="H45" i="25" s="1"/>
  <c r="H55" i="23"/>
  <c r="H55" i="25" s="1"/>
  <c r="H90" i="23"/>
  <c r="H90" i="25" s="1"/>
  <c r="I10" i="23"/>
  <c r="I10" i="25" s="1"/>
  <c r="E12" i="23"/>
  <c r="E13" i="25"/>
  <c r="E12" i="25" s="1"/>
  <c r="F17" i="23"/>
  <c r="F17" i="25" s="1"/>
  <c r="I21" i="23"/>
  <c r="I21" i="25" s="1"/>
  <c r="F26" i="23"/>
  <c r="F26" i="25" s="1"/>
  <c r="I29" i="23"/>
  <c r="I29" i="25" s="1"/>
  <c r="F34" i="23"/>
  <c r="F34" i="25" s="1"/>
  <c r="I37" i="23"/>
  <c r="I37" i="25" s="1"/>
  <c r="F42" i="23"/>
  <c r="F42" i="25" s="1"/>
  <c r="I45" i="23"/>
  <c r="I45" i="25" s="1"/>
  <c r="F50" i="23"/>
  <c r="F50" i="25" s="1"/>
  <c r="I61" i="23"/>
  <c r="I61" i="25" s="1"/>
  <c r="D61" i="25"/>
  <c r="H72" i="23"/>
  <c r="H72" i="25" s="1"/>
  <c r="H74" i="23"/>
  <c r="H74" i="25" s="1"/>
  <c r="H76" i="23"/>
  <c r="H76" i="25" s="1"/>
  <c r="H78" i="23"/>
  <c r="H78" i="25" s="1"/>
  <c r="H80" i="23"/>
  <c r="H80" i="25" s="1"/>
  <c r="H82" i="23"/>
  <c r="H82" i="25" s="1"/>
  <c r="H85" i="23"/>
  <c r="H85" i="25" s="1"/>
  <c r="G12" i="23"/>
  <c r="G13" i="25"/>
  <c r="G12" i="25" s="1"/>
  <c r="H17" i="23"/>
  <c r="H17" i="25" s="1"/>
  <c r="H26" i="23"/>
  <c r="H26" i="25" s="1"/>
  <c r="H34" i="23"/>
  <c r="H34" i="25" s="1"/>
  <c r="H42" i="23"/>
  <c r="H42" i="25" s="1"/>
  <c r="H50" i="23"/>
  <c r="H50" i="25" s="1"/>
  <c r="I52" i="23"/>
  <c r="I52" i="25" s="1"/>
  <c r="D52" i="25"/>
  <c r="F52" i="23"/>
  <c r="F52" i="25" s="1"/>
  <c r="D95" i="25"/>
  <c r="I95" i="23"/>
  <c r="I95" i="25" s="1"/>
  <c r="H95" i="23"/>
  <c r="H95" i="25" s="1"/>
  <c r="F95" i="23"/>
  <c r="F95" i="25" s="1"/>
  <c r="H91" i="23"/>
  <c r="H91" i="25" s="1"/>
  <c r="H198" i="23"/>
  <c r="H12" i="26" s="1"/>
  <c r="H221" i="23"/>
  <c r="H8" i="27" s="1"/>
  <c r="G9" i="29"/>
  <c r="H238" i="23"/>
  <c r="H13" i="29" s="1"/>
  <c r="H246" i="23"/>
  <c r="H21" i="29" s="1"/>
  <c r="H254" i="23"/>
  <c r="H29" i="29" s="1"/>
  <c r="H263" i="23"/>
  <c r="H37" i="29" s="1"/>
  <c r="H272" i="23"/>
  <c r="H46" i="29" s="1"/>
  <c r="H304" i="23"/>
  <c r="H10" i="30" s="1"/>
  <c r="G217" i="23"/>
  <c r="G6" i="27" s="1"/>
  <c r="G11" i="27" s="1"/>
  <c r="D225" i="23"/>
  <c r="G275" i="23"/>
  <c r="F318" i="23"/>
  <c r="I321" i="23"/>
  <c r="E316" i="23"/>
  <c r="E83" i="25"/>
  <c r="F87" i="23"/>
  <c r="F87" i="25" s="1"/>
  <c r="I91" i="23"/>
  <c r="I91" i="25" s="1"/>
  <c r="F194" i="23"/>
  <c r="F8" i="26" s="1"/>
  <c r="I198" i="23"/>
  <c r="I12" i="26" s="1"/>
  <c r="F204" i="23"/>
  <c r="F18" i="26" s="1"/>
  <c r="I221" i="23"/>
  <c r="I8" i="27" s="1"/>
  <c r="F235" i="23"/>
  <c r="F10" i="29" s="1"/>
  <c r="I238" i="23"/>
  <c r="I13" i="29" s="1"/>
  <c r="F243" i="23"/>
  <c r="F18" i="29" s="1"/>
  <c r="I246" i="23"/>
  <c r="I21" i="29" s="1"/>
  <c r="F251" i="23"/>
  <c r="F26" i="29" s="1"/>
  <c r="I254" i="23"/>
  <c r="I29" i="29" s="1"/>
  <c r="F259" i="23"/>
  <c r="F34" i="29" s="1"/>
  <c r="I263" i="23"/>
  <c r="I37" i="29" s="1"/>
  <c r="F268" i="23"/>
  <c r="F42" i="29" s="1"/>
  <c r="I272" i="23"/>
  <c r="I46" i="29" s="1"/>
  <c r="F279" i="23"/>
  <c r="F54" i="29" s="1"/>
  <c r="I304" i="23"/>
  <c r="I10" i="30" s="1"/>
  <c r="F309" i="23"/>
  <c r="F15" i="30" s="1"/>
  <c r="E88" i="23"/>
  <c r="E225" i="23"/>
  <c r="H318" i="23"/>
  <c r="G316" i="23"/>
  <c r="I316" i="23" s="1"/>
  <c r="D94" i="25"/>
  <c r="D17" i="26"/>
  <c r="D13" i="26" s="1"/>
  <c r="H268" i="23"/>
  <c r="H42" i="29" s="1"/>
  <c r="H279" i="23"/>
  <c r="H54" i="29" s="1"/>
  <c r="H309" i="23"/>
  <c r="H15" i="30" s="1"/>
  <c r="G88" i="23"/>
  <c r="D197" i="23"/>
  <c r="G225" i="23"/>
  <c r="D234" i="23"/>
  <c r="I87" i="23"/>
  <c r="I87" i="25" s="1"/>
  <c r="F93" i="23"/>
  <c r="F93" i="25" s="1"/>
  <c r="I194" i="23"/>
  <c r="I8" i="26" s="1"/>
  <c r="F201" i="23"/>
  <c r="F15" i="26" s="1"/>
  <c r="I204" i="23"/>
  <c r="I18" i="26" s="1"/>
  <c r="F223" i="23"/>
  <c r="F10" i="27" s="1"/>
  <c r="I235" i="23"/>
  <c r="I10" i="29" s="1"/>
  <c r="F240" i="23"/>
  <c r="F15" i="29" s="1"/>
  <c r="I243" i="23"/>
  <c r="I18" i="29" s="1"/>
  <c r="F248" i="23"/>
  <c r="F23" i="29" s="1"/>
  <c r="I251" i="23"/>
  <c r="I26" i="29" s="1"/>
  <c r="F256" i="23"/>
  <c r="F31" i="29" s="1"/>
  <c r="I259" i="23"/>
  <c r="I34" i="29" s="1"/>
  <c r="E197" i="23"/>
  <c r="E234" i="23"/>
  <c r="I9" i="28"/>
  <c r="H9" i="28"/>
  <c r="F9" i="28"/>
  <c r="G197" i="23"/>
  <c r="D218" i="23"/>
  <c r="G234" i="23"/>
  <c r="D278" i="23"/>
  <c r="F320" i="23"/>
  <c r="I93" i="23"/>
  <c r="I93" i="25" s="1"/>
  <c r="F196" i="23"/>
  <c r="F10" i="26" s="1"/>
  <c r="I201" i="23"/>
  <c r="I15" i="26" s="1"/>
  <c r="F206" i="23"/>
  <c r="F20" i="26" s="1"/>
  <c r="I223" i="23"/>
  <c r="I10" i="27" s="1"/>
  <c r="F237" i="23"/>
  <c r="F12" i="29" s="1"/>
  <c r="I240" i="23"/>
  <c r="I15" i="29" s="1"/>
  <c r="F245" i="23"/>
  <c r="F20" i="29" s="1"/>
  <c r="I248" i="23"/>
  <c r="I23" i="29" s="1"/>
  <c r="F253" i="23"/>
  <c r="F28" i="29" s="1"/>
  <c r="E218" i="23"/>
  <c r="D323" i="23"/>
  <c r="H196" i="23"/>
  <c r="H10" i="26" s="1"/>
  <c r="H206" i="23"/>
  <c r="H20" i="26" s="1"/>
  <c r="H237" i="23"/>
  <c r="H12" i="29" s="1"/>
  <c r="H245" i="23"/>
  <c r="H20" i="29" s="1"/>
  <c r="H253" i="23"/>
  <c r="H28" i="29" s="1"/>
  <c r="H261" i="23"/>
  <c r="H52" i="29" s="1"/>
  <c r="H270" i="23"/>
  <c r="H44" i="29" s="1"/>
  <c r="H303" i="23"/>
  <c r="H9" i="30" s="1"/>
  <c r="H311" i="23"/>
  <c r="H17" i="30" s="1"/>
  <c r="D192" i="23"/>
  <c r="G218" i="23"/>
  <c r="D227" i="23"/>
  <c r="G278" i="23"/>
  <c r="F317" i="23"/>
  <c r="E14" i="26"/>
  <c r="E13" i="26" s="1"/>
  <c r="I196" i="23"/>
  <c r="I10" i="26" s="1"/>
  <c r="F203" i="23"/>
  <c r="F17" i="26" s="1"/>
  <c r="I206" i="23"/>
  <c r="I20" i="26" s="1"/>
  <c r="F230" i="23"/>
  <c r="F12" i="28" s="1"/>
  <c r="I237" i="23"/>
  <c r="I12" i="29" s="1"/>
  <c r="F242" i="23"/>
  <c r="F17" i="29" s="1"/>
  <c r="I245" i="23"/>
  <c r="I20" i="29" s="1"/>
  <c r="F250" i="23"/>
  <c r="F25" i="29" s="1"/>
  <c r="I253" i="23"/>
  <c r="I28" i="29" s="1"/>
  <c r="F258" i="23"/>
  <c r="F33" i="29" s="1"/>
  <c r="I261" i="23"/>
  <c r="I52" i="29" s="1"/>
  <c r="F267" i="23"/>
  <c r="F41" i="29" s="1"/>
  <c r="I270" i="23"/>
  <c r="I44" i="29" s="1"/>
  <c r="F277" i="23"/>
  <c r="F51" i="29" s="1"/>
  <c r="I303" i="23"/>
  <c r="I9" i="30" s="1"/>
  <c r="F308" i="23"/>
  <c r="F14" i="30" s="1"/>
  <c r="I311" i="23"/>
  <c r="I17" i="30" s="1"/>
  <c r="E192" i="23"/>
  <c r="E6" i="26" s="1"/>
  <c r="E21" i="26" s="1"/>
  <c r="E227" i="23"/>
  <c r="H317" i="23"/>
  <c r="D11" i="29"/>
  <c r="D9" i="29" s="1"/>
  <c r="G13" i="26"/>
  <c r="H203" i="23"/>
  <c r="H17" i="26" s="1"/>
  <c r="H230" i="23"/>
  <c r="H12" i="28" s="1"/>
  <c r="H242" i="23"/>
  <c r="H17" i="29" s="1"/>
  <c r="H250" i="23"/>
  <c r="H25" i="29" s="1"/>
  <c r="H258" i="23"/>
  <c r="H33" i="29" s="1"/>
  <c r="H267" i="23"/>
  <c r="H41" i="29" s="1"/>
  <c r="H277" i="23"/>
  <c r="H51" i="29" s="1"/>
  <c r="H308" i="23"/>
  <c r="H14" i="30" s="1"/>
  <c r="G192" i="23"/>
  <c r="G6" i="26" s="1"/>
  <c r="G21" i="26" s="1"/>
  <c r="D199" i="23"/>
  <c r="G227" i="23"/>
  <c r="D262" i="23"/>
  <c r="I317" i="23"/>
  <c r="F322" i="23"/>
  <c r="D40" i="29"/>
  <c r="E88" i="25"/>
  <c r="F200" i="23"/>
  <c r="F14" i="26" s="1"/>
  <c r="F222" i="23"/>
  <c r="F9" i="27" s="1"/>
  <c r="I230" i="23"/>
  <c r="I12" i="28" s="1"/>
  <c r="F239" i="23"/>
  <c r="F14" i="29" s="1"/>
  <c r="I242" i="23"/>
  <c r="I17" i="29" s="1"/>
  <c r="F247" i="23"/>
  <c r="F22" i="29" s="1"/>
  <c r="I250" i="23"/>
  <c r="I25" i="29" s="1"/>
  <c r="F255" i="23"/>
  <c r="F30" i="29" s="1"/>
  <c r="I258" i="23"/>
  <c r="I33" i="29" s="1"/>
  <c r="F264" i="23"/>
  <c r="F38" i="29" s="1"/>
  <c r="I267" i="23"/>
  <c r="I41" i="29" s="1"/>
  <c r="F273" i="23"/>
  <c r="F47" i="29" s="1"/>
  <c r="I277" i="23"/>
  <c r="I51" i="29" s="1"/>
  <c r="F305" i="23"/>
  <c r="F11" i="30" s="1"/>
  <c r="I308" i="23"/>
  <c r="I14" i="30" s="1"/>
  <c r="E262" i="23"/>
  <c r="H322" i="23"/>
  <c r="D9" i="26"/>
  <c r="D7" i="26" s="1"/>
  <c r="H200" i="23"/>
  <c r="H14" i="26" s="1"/>
  <c r="H222" i="23"/>
  <c r="H9" i="27" s="1"/>
  <c r="H239" i="23"/>
  <c r="H14" i="29" s="1"/>
  <c r="H247" i="23"/>
  <c r="H22" i="29" s="1"/>
  <c r="H255" i="23"/>
  <c r="H30" i="29" s="1"/>
  <c r="H264" i="23"/>
  <c r="H38" i="29" s="1"/>
  <c r="H273" i="23"/>
  <c r="H47" i="29" s="1"/>
  <c r="D49" i="29"/>
  <c r="H305" i="23"/>
  <c r="H11" i="30" s="1"/>
  <c r="G199" i="23"/>
  <c r="D224" i="23"/>
  <c r="G262" i="23"/>
  <c r="D300" i="23"/>
  <c r="F319" i="23"/>
  <c r="F195" i="23"/>
  <c r="F9" i="26" s="1"/>
  <c r="I200" i="23"/>
  <c r="I14" i="26" s="1"/>
  <c r="F205" i="23"/>
  <c r="F19" i="26" s="1"/>
  <c r="I222" i="23"/>
  <c r="I9" i="27" s="1"/>
  <c r="F236" i="23"/>
  <c r="F11" i="29" s="1"/>
  <c r="I239" i="23"/>
  <c r="I14" i="29" s="1"/>
  <c r="F244" i="23"/>
  <c r="F19" i="29" s="1"/>
  <c r="I247" i="23"/>
  <c r="I22" i="29" s="1"/>
  <c r="F252" i="23"/>
  <c r="F27" i="29" s="1"/>
  <c r="I255" i="23"/>
  <c r="I30" i="29" s="1"/>
  <c r="F260" i="23"/>
  <c r="F35" i="29" s="1"/>
  <c r="I264" i="23"/>
  <c r="I38" i="29" s="1"/>
  <c r="F269" i="23"/>
  <c r="F43" i="29" s="1"/>
  <c r="I273" i="23"/>
  <c r="I47" i="29" s="1"/>
  <c r="E49" i="29"/>
  <c r="F302" i="23"/>
  <c r="F8" i="30" s="1"/>
  <c r="I305" i="23"/>
  <c r="I11" i="30" s="1"/>
  <c r="F310" i="23"/>
  <c r="F16" i="30" s="1"/>
  <c r="E83" i="23"/>
  <c r="E224" i="23"/>
  <c r="E6" i="28" s="1"/>
  <c r="E13" i="28" s="1"/>
  <c r="E300" i="23"/>
  <c r="E6" i="30" s="1"/>
  <c r="E18" i="30" s="1"/>
  <c r="H319" i="23"/>
  <c r="H195" i="23"/>
  <c r="H9" i="26" s="1"/>
  <c r="H11" i="26"/>
  <c r="I11" i="26"/>
  <c r="F11" i="26"/>
  <c r="H205" i="23"/>
  <c r="H19" i="26" s="1"/>
  <c r="H236" i="23"/>
  <c r="H11" i="29" s="1"/>
  <c r="H244" i="23"/>
  <c r="H19" i="29" s="1"/>
  <c r="H252" i="23"/>
  <c r="H27" i="29" s="1"/>
  <c r="H260" i="23"/>
  <c r="H35" i="29" s="1"/>
  <c r="D36" i="29"/>
  <c r="H269" i="23"/>
  <c r="H43" i="29" s="1"/>
  <c r="G49" i="29"/>
  <c r="H302" i="23"/>
  <c r="H8" i="30" s="1"/>
  <c r="H310" i="23"/>
  <c r="H16" i="30" s="1"/>
  <c r="D193" i="23"/>
  <c r="G224" i="23"/>
  <c r="G6" i="28" s="1"/>
  <c r="G13" i="28" s="1"/>
  <c r="D231" i="23"/>
  <c r="G300" i="23"/>
  <c r="G6" i="30" s="1"/>
  <c r="G18" i="30" s="1"/>
  <c r="D8" i="28"/>
  <c r="D7" i="28" s="1"/>
  <c r="F94" i="23"/>
  <c r="F94" i="25" s="1"/>
  <c r="F202" i="23"/>
  <c r="F16" i="26" s="1"/>
  <c r="I205" i="23"/>
  <c r="I19" i="26" s="1"/>
  <c r="E7" i="27"/>
  <c r="F7" i="27" s="1"/>
  <c r="F226" i="23"/>
  <c r="F8" i="28" s="1"/>
  <c r="F241" i="23"/>
  <c r="F16" i="29" s="1"/>
  <c r="I244" i="23"/>
  <c r="I19" i="29" s="1"/>
  <c r="F249" i="23"/>
  <c r="F24" i="29" s="1"/>
  <c r="I252" i="23"/>
  <c r="I27" i="29" s="1"/>
  <c r="F257" i="23"/>
  <c r="F32" i="29" s="1"/>
  <c r="I260" i="23"/>
  <c r="I35" i="29" s="1"/>
  <c r="E36" i="29"/>
  <c r="F266" i="23"/>
  <c r="F40" i="29" s="1"/>
  <c r="I269" i="23"/>
  <c r="I43" i="29" s="1"/>
  <c r="F276" i="23"/>
  <c r="F50" i="29" s="1"/>
  <c r="I302" i="23"/>
  <c r="I8" i="30" s="1"/>
  <c r="F307" i="23"/>
  <c r="F13" i="30" s="1"/>
  <c r="I310" i="23"/>
  <c r="I16" i="30" s="1"/>
  <c r="E193" i="23"/>
  <c r="E231" i="23"/>
  <c r="E6" i="29" s="1"/>
  <c r="E56" i="29" s="1"/>
  <c r="H94" i="23"/>
  <c r="H94" i="25" s="1"/>
  <c r="H202" i="23"/>
  <c r="H16" i="26" s="1"/>
  <c r="G7" i="27"/>
  <c r="I7" i="27" s="1"/>
  <c r="H226" i="23"/>
  <c r="H8" i="28" s="1"/>
  <c r="H241" i="23"/>
  <c r="H16" i="29" s="1"/>
  <c r="H249" i="23"/>
  <c r="H24" i="29" s="1"/>
  <c r="H257" i="23"/>
  <c r="H32" i="29" s="1"/>
  <c r="G36" i="29"/>
  <c r="H266" i="23"/>
  <c r="H40" i="29" s="1"/>
  <c r="H276" i="23"/>
  <c r="H50" i="29" s="1"/>
  <c r="I53" i="29"/>
  <c r="H53" i="29"/>
  <c r="F53" i="29"/>
  <c r="H307" i="23"/>
  <c r="H13" i="30" s="1"/>
  <c r="G193" i="23"/>
  <c r="D217" i="23"/>
  <c r="G231" i="23"/>
  <c r="G6" i="29" s="1"/>
  <c r="G56" i="29" s="1"/>
  <c r="D275" i="23"/>
  <c r="F321" i="23"/>
  <c r="F91" i="23"/>
  <c r="F91" i="25" s="1"/>
  <c r="E7" i="26"/>
  <c r="F198" i="23"/>
  <c r="F12" i="26" s="1"/>
  <c r="I202" i="23"/>
  <c r="I16" i="26" s="1"/>
  <c r="F221" i="23"/>
  <c r="F8" i="27" s="1"/>
  <c r="E9" i="29"/>
  <c r="F238" i="23"/>
  <c r="F13" i="29" s="1"/>
  <c r="I241" i="23"/>
  <c r="I16" i="29" s="1"/>
  <c r="F246" i="23"/>
  <c r="F21" i="29" s="1"/>
  <c r="I249" i="23"/>
  <c r="I24" i="29" s="1"/>
  <c r="F254" i="23"/>
  <c r="F29" i="29" s="1"/>
  <c r="I257" i="23"/>
  <c r="I32" i="29" s="1"/>
  <c r="F263" i="23"/>
  <c r="F37" i="29" s="1"/>
  <c r="F272" i="23"/>
  <c r="F46" i="29" s="1"/>
  <c r="I276" i="23"/>
  <c r="I50" i="29" s="1"/>
  <c r="F304" i="23"/>
  <c r="F10" i="30" s="1"/>
  <c r="I307" i="23"/>
  <c r="I13" i="30" s="1"/>
  <c r="E217" i="23"/>
  <c r="E6" i="27" s="1"/>
  <c r="E11" i="27" s="1"/>
  <c r="E275" i="23"/>
  <c r="A170" i="22"/>
  <c r="A171" i="22"/>
  <c r="A169" i="22"/>
  <c r="A183" i="22"/>
  <c r="A155" i="22"/>
  <c r="A153" i="22"/>
  <c r="A181" i="22"/>
  <c r="A150" i="22"/>
  <c r="A151" i="22"/>
  <c r="I617" i="22" l="1"/>
  <c r="H12" i="22"/>
  <c r="H617" i="22"/>
  <c r="F617" i="22"/>
  <c r="I7" i="26"/>
  <c r="F7" i="26"/>
  <c r="H7" i="26"/>
  <c r="I7" i="23"/>
  <c r="H7" i="23"/>
  <c r="F7" i="23"/>
  <c r="I218" i="23"/>
  <c r="H218" i="23"/>
  <c r="F218" i="23"/>
  <c r="D5" i="22"/>
  <c r="I7" i="25"/>
  <c r="H7" i="25"/>
  <c r="F7" i="25"/>
  <c r="I304" i="22"/>
  <c r="H304" i="22"/>
  <c r="F304" i="22"/>
  <c r="I744" i="22"/>
  <c r="H744" i="22"/>
  <c r="F744" i="22"/>
  <c r="D83" i="25"/>
  <c r="I129" i="22"/>
  <c r="H129" i="22"/>
  <c r="F129" i="22"/>
  <c r="I199" i="23"/>
  <c r="H199" i="23"/>
  <c r="F199" i="23"/>
  <c r="I896" i="22"/>
  <c r="H896" i="22"/>
  <c r="F896" i="22"/>
  <c r="I128" i="22"/>
  <c r="H128" i="22"/>
  <c r="F128" i="22"/>
  <c r="I203" i="22"/>
  <c r="H203" i="22"/>
  <c r="F203" i="22"/>
  <c r="I8" i="22"/>
  <c r="H8" i="22"/>
  <c r="F8" i="22"/>
  <c r="I899" i="22"/>
  <c r="H899" i="22"/>
  <c r="F899" i="22"/>
  <c r="H15" i="25"/>
  <c r="I15" i="25"/>
  <c r="F15" i="25"/>
  <c r="I6" i="22"/>
  <c r="H6" i="22"/>
  <c r="F6" i="22"/>
  <c r="I12" i="23"/>
  <c r="H12" i="23"/>
  <c r="F12" i="23"/>
  <c r="I15" i="23"/>
  <c r="H15" i="23"/>
  <c r="F15" i="23"/>
  <c r="I200" i="22"/>
  <c r="H200" i="22"/>
  <c r="F200" i="22"/>
  <c r="I9" i="22"/>
  <c r="H9" i="22"/>
  <c r="F9" i="22"/>
  <c r="I323" i="23"/>
  <c r="H323" i="23"/>
  <c r="F323" i="23"/>
  <c r="I7" i="28"/>
  <c r="H7" i="28"/>
  <c r="F7" i="28"/>
  <c r="F193" i="23"/>
  <c r="I193" i="23"/>
  <c r="H193" i="23"/>
  <c r="D6" i="26"/>
  <c r="D21" i="26" s="1"/>
  <c r="I192" i="23"/>
  <c r="I6" i="26" s="1"/>
  <c r="I21" i="26" s="1"/>
  <c r="H192" i="23"/>
  <c r="H6" i="26" s="1"/>
  <c r="H21" i="26" s="1"/>
  <c r="F192" i="23"/>
  <c r="F6" i="26" s="1"/>
  <c r="F21" i="26" s="1"/>
  <c r="I197" i="23"/>
  <c r="H197" i="23"/>
  <c r="F197" i="23"/>
  <c r="I307" i="22"/>
  <c r="H307" i="22"/>
  <c r="F307" i="22"/>
  <c r="I7" i="22"/>
  <c r="H7" i="22"/>
  <c r="F7" i="22"/>
  <c r="I234" i="23"/>
  <c r="H234" i="23"/>
  <c r="F234" i="23"/>
  <c r="F15" i="31"/>
  <c r="E314" i="23"/>
  <c r="E5" i="22" s="1"/>
  <c r="I88" i="23"/>
  <c r="H88" i="23"/>
  <c r="F88" i="23"/>
  <c r="I886" i="22"/>
  <c r="H886" i="22"/>
  <c r="F886" i="22"/>
  <c r="I176" i="22"/>
  <c r="H176" i="22"/>
  <c r="F176" i="22"/>
  <c r="I905" i="22"/>
  <c r="H905" i="22"/>
  <c r="F905" i="22"/>
  <c r="D6" i="25"/>
  <c r="D96" i="25" s="1"/>
  <c r="F6" i="23"/>
  <c r="F6" i="25" s="1"/>
  <c r="F96" i="25" s="1"/>
  <c r="I6" i="23"/>
  <c r="I6" i="25" s="1"/>
  <c r="I96" i="25" s="1"/>
  <c r="H6" i="23"/>
  <c r="H6" i="25" s="1"/>
  <c r="H96" i="25" s="1"/>
  <c r="F9" i="29"/>
  <c r="I9" i="29"/>
  <c r="H9" i="29"/>
  <c r="I299" i="22"/>
  <c r="H299" i="22"/>
  <c r="F299" i="22"/>
  <c r="H218" i="22"/>
  <c r="F218" i="22"/>
  <c r="I218" i="22"/>
  <c r="I83" i="23"/>
  <c r="H83" i="23"/>
  <c r="F83" i="23"/>
  <c r="I225" i="23"/>
  <c r="H225" i="23"/>
  <c r="F225" i="23"/>
  <c r="H873" i="22"/>
  <c r="F873" i="22"/>
  <c r="I873" i="22"/>
  <c r="H7" i="27"/>
  <c r="H65" i="22"/>
  <c r="F65" i="22"/>
  <c r="I65" i="22"/>
  <c r="I211" i="22"/>
  <c r="H211" i="22"/>
  <c r="F211" i="22"/>
  <c r="I275" i="23"/>
  <c r="H275" i="23"/>
  <c r="F275" i="23"/>
  <c r="I40" i="22"/>
  <c r="H40" i="22"/>
  <c r="F40" i="22"/>
  <c r="H175" i="22"/>
  <c r="F175" i="22"/>
  <c r="I175" i="22"/>
  <c r="I227" i="23"/>
  <c r="H227" i="23"/>
  <c r="F227" i="23"/>
  <c r="I36" i="29"/>
  <c r="H36" i="29"/>
  <c r="F36" i="29"/>
  <c r="D88" i="25"/>
  <c r="I271" i="22"/>
  <c r="H271" i="22"/>
  <c r="F271" i="22"/>
  <c r="D6" i="27"/>
  <c r="D11" i="27" s="1"/>
  <c r="I217" i="23"/>
  <c r="I6" i="27" s="1"/>
  <c r="I11" i="27" s="1"/>
  <c r="H217" i="23"/>
  <c r="H6" i="27" s="1"/>
  <c r="H11" i="27" s="1"/>
  <c r="F217" i="23"/>
  <c r="F6" i="27" s="1"/>
  <c r="F11" i="27" s="1"/>
  <c r="D6" i="30"/>
  <c r="D18" i="30" s="1"/>
  <c r="I300" i="23"/>
  <c r="I6" i="30" s="1"/>
  <c r="I18" i="30" s="1"/>
  <c r="H300" i="23"/>
  <c r="H6" i="30" s="1"/>
  <c r="H18" i="30" s="1"/>
  <c r="F300" i="23"/>
  <c r="F6" i="30" s="1"/>
  <c r="F18" i="30" s="1"/>
  <c r="I18" i="23"/>
  <c r="H18" i="23"/>
  <c r="F18" i="23"/>
  <c r="I210" i="22"/>
  <c r="H210" i="22"/>
  <c r="F210" i="22"/>
  <c r="I186" i="22"/>
  <c r="H186" i="22"/>
  <c r="F186" i="22"/>
  <c r="I262" i="23"/>
  <c r="H262" i="23"/>
  <c r="F262" i="23"/>
  <c r="I49" i="29"/>
  <c r="H49" i="29"/>
  <c r="F49" i="29"/>
  <c r="I198" i="22"/>
  <c r="H198" i="22"/>
  <c r="F198" i="22"/>
  <c r="H15" i="31"/>
  <c r="J15" i="31" s="1"/>
  <c r="G314" i="23"/>
  <c r="G5" i="22" s="1"/>
  <c r="I308" i="22"/>
  <c r="H308" i="22"/>
  <c r="F308" i="22"/>
  <c r="F316" i="23"/>
  <c r="G15" i="31" s="1"/>
  <c r="K15" i="31" s="1"/>
  <c r="D18" i="25"/>
  <c r="I168" i="22"/>
  <c r="H168" i="22"/>
  <c r="F168" i="22"/>
  <c r="I157" i="22"/>
  <c r="H157" i="22"/>
  <c r="F157" i="22"/>
  <c r="I13" i="26"/>
  <c r="H13" i="26"/>
  <c r="F13" i="26"/>
  <c r="D6" i="29"/>
  <c r="D56" i="29" s="1"/>
  <c r="F231" i="23"/>
  <c r="F6" i="29" s="1"/>
  <c r="F56" i="29" s="1"/>
  <c r="I231" i="23"/>
  <c r="I6" i="29" s="1"/>
  <c r="I56" i="29" s="1"/>
  <c r="H231" i="23"/>
  <c r="H6" i="29" s="1"/>
  <c r="H56" i="29" s="1"/>
  <c r="D6" i="28"/>
  <c r="D13" i="28" s="1"/>
  <c r="I224" i="23"/>
  <c r="I6" i="28" s="1"/>
  <c r="I13" i="28" s="1"/>
  <c r="H224" i="23"/>
  <c r="H6" i="28" s="1"/>
  <c r="H13" i="28" s="1"/>
  <c r="F224" i="23"/>
  <c r="F6" i="28" s="1"/>
  <c r="F13" i="28" s="1"/>
  <c r="I278" i="23"/>
  <c r="H278" i="23"/>
  <c r="F278" i="23"/>
  <c r="I12" i="25"/>
  <c r="H12" i="25"/>
  <c r="F12" i="25"/>
  <c r="H316" i="23"/>
  <c r="I15" i="31" s="1"/>
  <c r="L15" i="31" s="1"/>
  <c r="I136" i="22"/>
  <c r="H136" i="22"/>
  <c r="F136" i="22"/>
  <c r="A216" i="22"/>
  <c r="I314" i="23" l="1"/>
  <c r="I5" i="22" s="1"/>
  <c r="H314" i="23"/>
  <c r="H5" i="22" s="1"/>
  <c r="I83" i="25"/>
  <c r="H83" i="25"/>
  <c r="F83" i="25"/>
  <c r="I18" i="25"/>
  <c r="H18" i="25"/>
  <c r="F18" i="25"/>
  <c r="I88" i="25"/>
  <c r="H88" i="25"/>
  <c r="F88" i="25"/>
  <c r="F314" i="23"/>
  <c r="F5" i="22" s="1"/>
  <c r="A52" i="29"/>
  <c r="A82" i="25"/>
  <c r="A82" i="23"/>
  <c r="A293" i="22" l="1"/>
  <c r="A303" i="23" l="1"/>
  <c r="A304" i="23"/>
  <c r="A305" i="23"/>
  <c r="A306" i="23"/>
  <c r="A307" i="23"/>
  <c r="A308" i="23"/>
  <c r="A309" i="23"/>
  <c r="A310" i="23"/>
  <c r="A311" i="23"/>
  <c r="A302" i="23"/>
  <c r="A279" i="23"/>
  <c r="A277" i="23"/>
  <c r="A276" i="23"/>
  <c r="A264" i="23"/>
  <c r="A265" i="23"/>
  <c r="A266" i="23"/>
  <c r="A267" i="23"/>
  <c r="A268" i="23"/>
  <c r="A269" i="23"/>
  <c r="A270" i="23"/>
  <c r="A271" i="23"/>
  <c r="A272" i="23"/>
  <c r="A273" i="23"/>
  <c r="A274" i="23"/>
  <c r="A263" i="23"/>
  <c r="A236" i="23"/>
  <c r="A237" i="23"/>
  <c r="A238" i="23"/>
  <c r="A239" i="23"/>
  <c r="A240" i="23"/>
  <c r="A241" i="23"/>
  <c r="A242" i="23"/>
  <c r="A243" i="23"/>
  <c r="A244" i="23"/>
  <c r="A245" i="23"/>
  <c r="A246" i="23"/>
  <c r="A247" i="23"/>
  <c r="A248" i="23"/>
  <c r="A249" i="23"/>
  <c r="A250" i="23"/>
  <c r="A251" i="23"/>
  <c r="A252" i="23"/>
  <c r="A253" i="23"/>
  <c r="A254" i="23"/>
  <c r="A255" i="23"/>
  <c r="A256" i="23"/>
  <c r="A257" i="23"/>
  <c r="A258" i="23"/>
  <c r="A259" i="23"/>
  <c r="A260" i="23"/>
  <c r="A261" i="23"/>
  <c r="A235" i="23"/>
  <c r="A230" i="23"/>
  <c r="A226" i="23"/>
  <c r="A222" i="23"/>
  <c r="A223" i="23"/>
  <c r="A221" i="23"/>
  <c r="A201" i="23"/>
  <c r="A202" i="23"/>
  <c r="A203" i="23"/>
  <c r="A204" i="23"/>
  <c r="A205" i="23"/>
  <c r="A206" i="23"/>
  <c r="A200" i="23"/>
  <c r="A198" i="23"/>
  <c r="A195" i="23"/>
  <c r="A196" i="23"/>
  <c r="A194" i="23"/>
  <c r="A90" i="23"/>
  <c r="A91" i="23"/>
  <c r="A92" i="23"/>
  <c r="A93" i="23"/>
  <c r="A94" i="23"/>
  <c r="A95" i="23"/>
  <c r="A89" i="23"/>
  <c r="A85" i="23"/>
  <c r="A86" i="23"/>
  <c r="A87" i="23"/>
  <c r="A84" i="23"/>
  <c r="A20" i="23"/>
  <c r="A21" i="23"/>
  <c r="A22" i="23"/>
  <c r="A23" i="23"/>
  <c r="A24" i="23"/>
  <c r="A25" i="23"/>
  <c r="A26" i="23"/>
  <c r="A27" i="23"/>
  <c r="A28" i="23"/>
  <c r="A29" i="23"/>
  <c r="A30" i="23"/>
  <c r="A31" i="23"/>
  <c r="A32" i="23"/>
  <c r="A33" i="23"/>
  <c r="A34" i="23"/>
  <c r="A35" i="23"/>
  <c r="A36" i="23"/>
  <c r="A37" i="23"/>
  <c r="A38" i="23"/>
  <c r="A39" i="23"/>
  <c r="A40" i="23"/>
  <c r="A41" i="23"/>
  <c r="A42" i="23"/>
  <c r="A43" i="23"/>
  <c r="A44" i="23"/>
  <c r="A45" i="23"/>
  <c r="A46" i="23"/>
  <c r="A47" i="23"/>
  <c r="A48" i="23"/>
  <c r="A49" i="23"/>
  <c r="A50" i="23"/>
  <c r="A51" i="23"/>
  <c r="A52" i="23"/>
  <c r="A53" i="23"/>
  <c r="A54" i="23"/>
  <c r="A55" i="23"/>
  <c r="A56" i="23"/>
  <c r="A57" i="23"/>
  <c r="A58" i="23"/>
  <c r="A59" i="23"/>
  <c r="A60" i="23"/>
  <c r="A61" i="23"/>
  <c r="A62" i="23"/>
  <c r="A63" i="23"/>
  <c r="A64" i="23"/>
  <c r="A65" i="23"/>
  <c r="A66" i="23"/>
  <c r="A67" i="23"/>
  <c r="A68" i="23"/>
  <c r="A69" i="23"/>
  <c r="A70" i="23"/>
  <c r="A71" i="23"/>
  <c r="A72" i="23"/>
  <c r="A73" i="23"/>
  <c r="A74" i="23"/>
  <c r="A75" i="23"/>
  <c r="A76" i="23"/>
  <c r="A77" i="23"/>
  <c r="A78" i="23"/>
  <c r="A79" i="23"/>
  <c r="A80" i="23"/>
  <c r="A81" i="23"/>
  <c r="A19" i="23"/>
  <c r="A17" i="23"/>
  <c r="A16" i="23"/>
  <c r="A14" i="23"/>
  <c r="A13" i="23"/>
  <c r="A9" i="23"/>
  <c r="A8" i="23"/>
  <c r="A10" i="23"/>
  <c r="A11" i="23"/>
  <c r="A839" i="22"/>
  <c r="A796" i="22"/>
  <c r="A754" i="22"/>
  <c r="A745" i="22"/>
  <c r="A742" i="22"/>
  <c r="A740" i="22"/>
  <c r="A731" i="22"/>
  <c r="A734" i="22"/>
  <c r="A737" i="22"/>
  <c r="A728" i="22"/>
  <c r="A726" i="22"/>
  <c r="A724" i="22"/>
  <c r="A721" i="22"/>
  <c r="A719" i="22"/>
  <c r="A716" i="22"/>
  <c r="A714" i="22"/>
  <c r="A708" i="22"/>
  <c r="A711" i="22"/>
  <c r="A705" i="22"/>
  <c r="A702" i="22"/>
  <c r="A700" i="22"/>
  <c r="A698" i="22"/>
  <c r="A686" i="22"/>
  <c r="A689" i="22"/>
  <c r="A692" i="22"/>
  <c r="A695" i="22"/>
  <c r="A683" i="22"/>
  <c r="A680" i="22"/>
  <c r="A676" i="22"/>
  <c r="A664" i="22"/>
  <c r="A667" i="22"/>
  <c r="A670" i="22"/>
  <c r="A673" i="22"/>
  <c r="A661" i="22"/>
  <c r="A653" i="22"/>
  <c r="A656" i="22"/>
  <c r="A641" i="22"/>
  <c r="A644" i="22"/>
  <c r="A647" i="22"/>
  <c r="A650" i="22"/>
  <c r="A638" i="22"/>
  <c r="A636" i="22"/>
  <c r="A630" i="22"/>
  <c r="A633" i="22"/>
  <c r="A627" i="22"/>
  <c r="A625" i="22"/>
  <c r="A622" i="22"/>
  <c r="A620" i="22"/>
  <c r="A614" i="22"/>
  <c r="A611" i="22"/>
  <c r="A609" i="22"/>
  <c r="A603" i="22"/>
  <c r="A606" i="22"/>
  <c r="A600" i="22"/>
  <c r="A597" i="22"/>
  <c r="A594" i="22"/>
  <c r="A591" i="22"/>
  <c r="A588" i="22"/>
  <c r="A585" i="22"/>
  <c r="A582" i="22"/>
  <c r="A580" i="22"/>
  <c r="A577" i="22"/>
  <c r="A574" i="22"/>
  <c r="A569" i="22"/>
  <c r="A566" i="22"/>
  <c r="A561" i="22"/>
  <c r="A558" i="22"/>
  <c r="A319" i="22"/>
  <c r="A322" i="22"/>
  <c r="A325" i="22"/>
  <c r="A316" i="22"/>
  <c r="A314" i="22"/>
  <c r="A312" i="22"/>
  <c r="A309" i="22"/>
  <c r="A305" i="22"/>
  <c r="A302" i="22"/>
  <c r="A300" i="22"/>
  <c r="A289" i="22"/>
  <c r="A291" i="22"/>
  <c r="A295" i="22"/>
  <c r="A297" i="22"/>
  <c r="A287" i="22"/>
  <c r="A277" i="22"/>
  <c r="A279" i="22"/>
  <c r="A281" i="22"/>
  <c r="A283" i="22"/>
  <c r="A285" i="22"/>
  <c r="A275" i="22"/>
  <c r="A272" i="22"/>
  <c r="A267" i="22"/>
  <c r="A269" i="22"/>
  <c r="A261" i="22"/>
  <c r="A263" i="22"/>
  <c r="A265" i="22"/>
  <c r="A247" i="22"/>
  <c r="A249" i="22"/>
  <c r="A251" i="22"/>
  <c r="A253" i="22"/>
  <c r="A255" i="22"/>
  <c r="A257" i="22"/>
  <c r="A259" i="22"/>
  <c r="A245" i="22"/>
  <c r="A239" i="22"/>
  <c r="A241" i="22"/>
  <c r="A243" i="22"/>
  <c r="A237" i="22"/>
  <c r="A235" i="22"/>
  <c r="A233" i="22"/>
  <c r="A231" i="22"/>
  <c r="A229" i="22"/>
  <c r="A227" i="22"/>
  <c r="A224" i="22"/>
  <c r="A222" i="22"/>
  <c r="A219" i="22"/>
  <c r="A214" i="22"/>
  <c r="A212" i="22"/>
  <c r="A204" i="22"/>
  <c r="A202" i="22"/>
  <c r="A201" i="22"/>
  <c r="A199" i="22"/>
  <c r="A189" i="22"/>
  <c r="A190" i="22"/>
  <c r="A191" i="22"/>
  <c r="A192" i="22"/>
  <c r="A193" i="22"/>
  <c r="A194" i="22"/>
  <c r="A195" i="22"/>
  <c r="A196" i="22"/>
  <c r="A197" i="22"/>
  <c r="A188" i="22"/>
  <c r="A178" i="22"/>
  <c r="A179" i="22"/>
  <c r="A180" i="22"/>
  <c r="A182" i="22"/>
  <c r="A184" i="22"/>
  <c r="A185" i="22"/>
  <c r="A177" i="22"/>
  <c r="A159" i="22"/>
  <c r="A160" i="22"/>
  <c r="A161" i="22"/>
  <c r="A162" i="22"/>
  <c r="A163" i="22"/>
  <c r="A164" i="22"/>
  <c r="A165" i="22"/>
  <c r="A166" i="22"/>
  <c r="A167" i="22"/>
  <c r="A158" i="22"/>
  <c r="A138" i="22"/>
  <c r="A139" i="22"/>
  <c r="A140" i="22"/>
  <c r="A141" i="22"/>
  <c r="A142" i="22"/>
  <c r="A143" i="22"/>
  <c r="A144" i="22"/>
  <c r="A145" i="22"/>
  <c r="A146" i="22"/>
  <c r="A147" i="22"/>
  <c r="A148" i="22"/>
  <c r="A149" i="22"/>
  <c r="A152" i="22"/>
  <c r="A154" i="22"/>
  <c r="A156" i="22"/>
  <c r="A137" i="22"/>
  <c r="A131" i="22"/>
  <c r="A132" i="22"/>
  <c r="A133" i="22"/>
  <c r="A134" i="22"/>
  <c r="A135" i="22"/>
  <c r="A130" i="22"/>
  <c r="A79" i="22"/>
  <c r="A76" i="22"/>
  <c r="A67" i="22"/>
  <c r="A68" i="22"/>
  <c r="A69" i="22"/>
  <c r="A70" i="22"/>
  <c r="A71" i="22"/>
  <c r="A72" i="22"/>
  <c r="A73" i="22"/>
  <c r="A74" i="22"/>
  <c r="A66" i="22"/>
  <c r="A42" i="22"/>
  <c r="A43" i="22"/>
  <c r="A44" i="22"/>
  <c r="A45" i="22"/>
  <c r="A46" i="22"/>
  <c r="A47" i="22"/>
  <c r="A48" i="22"/>
  <c r="A49" i="22"/>
  <c r="A50" i="22"/>
  <c r="A51" i="22"/>
  <c r="A52" i="22"/>
  <c r="A53" i="22"/>
  <c r="A54" i="22"/>
  <c r="A55" i="22"/>
  <c r="A56" i="22"/>
  <c r="A57" i="22"/>
  <c r="A58" i="22"/>
  <c r="A59" i="22"/>
  <c r="A60" i="22"/>
  <c r="A61" i="22"/>
  <c r="A62" i="22"/>
  <c r="A63" i="22"/>
  <c r="A64" i="22"/>
  <c r="A41"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13" i="22"/>
  <c r="A11" i="22"/>
  <c r="A10" i="22"/>
  <c r="A870" i="22"/>
  <c r="A9" i="30" l="1"/>
  <c r="A10" i="30"/>
  <c r="A11" i="30"/>
  <c r="A12" i="30"/>
  <c r="A13" i="30"/>
  <c r="A14" i="30"/>
  <c r="A15" i="30"/>
  <c r="A16" i="30"/>
  <c r="A17" i="30"/>
  <c r="A8" i="30"/>
  <c r="A54" i="29"/>
  <c r="A51" i="29"/>
  <c r="A50" i="29"/>
  <c r="A38" i="29"/>
  <c r="A39" i="29"/>
  <c r="A40" i="29"/>
  <c r="A41" i="29"/>
  <c r="A42" i="29"/>
  <c r="A43" i="29"/>
  <c r="A44" i="29"/>
  <c r="A45" i="29"/>
  <c r="A46" i="29"/>
  <c r="A47" i="29"/>
  <c r="A48" i="29"/>
  <c r="A37"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10" i="29"/>
  <c r="A12" i="28"/>
  <c r="A8" i="28"/>
  <c r="A9" i="27"/>
  <c r="A10" i="27"/>
  <c r="A8" i="27"/>
  <c r="A15" i="26"/>
  <c r="A16" i="26"/>
  <c r="A17" i="26"/>
  <c r="A18" i="26"/>
  <c r="A19" i="26"/>
  <c r="A20" i="26"/>
  <c r="A14" i="26"/>
  <c r="A12" i="26"/>
  <c r="A9" i="26"/>
  <c r="A10" i="26"/>
  <c r="A8" i="26"/>
  <c r="A90" i="25"/>
  <c r="A91" i="25"/>
  <c r="A92" i="25"/>
  <c r="A93" i="25"/>
  <c r="A94" i="25"/>
  <c r="A95" i="25"/>
  <c r="A89" i="25"/>
  <c r="A85" i="25"/>
  <c r="A86" i="25"/>
  <c r="A87" i="25"/>
  <c r="A84"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19" i="25"/>
  <c r="A17" i="25"/>
  <c r="A16" i="25"/>
  <c r="A14" i="25"/>
  <c r="A13" i="25"/>
  <c r="A9" i="25"/>
  <c r="A10" i="25"/>
  <c r="A11" i="25"/>
  <c r="A8" i="25"/>
  <c r="A8" i="29"/>
  <c r="A11" i="28"/>
  <c r="A10" i="28"/>
  <c r="G9" i="31" l="1"/>
  <c r="F9" i="31"/>
  <c r="I9" i="31"/>
  <c r="E9" i="31"/>
  <c r="L9" i="31" l="1"/>
  <c r="K9" i="31"/>
  <c r="H9" i="31"/>
  <c r="J9" i="31" s="1"/>
  <c r="G12" i="31" l="1"/>
  <c r="F12" i="31"/>
  <c r="E11" i="31"/>
  <c r="I12" i="31"/>
  <c r="H14" i="31"/>
  <c r="G14" i="31"/>
  <c r="F14" i="31"/>
  <c r="G11" i="31"/>
  <c r="I11" i="31"/>
  <c r="F11" i="31"/>
  <c r="I14" i="31"/>
  <c r="L11" i="31" l="1"/>
  <c r="K11" i="31"/>
  <c r="E12" i="31"/>
  <c r="E10" i="31"/>
  <c r="I10" i="31"/>
  <c r="F10" i="31"/>
  <c r="G10" i="31"/>
  <c r="E13" i="31"/>
  <c r="G13" i="31"/>
  <c r="F13" i="31"/>
  <c r="I13" i="31"/>
  <c r="A891" i="22"/>
  <c r="L13" i="31" l="1"/>
  <c r="K13" i="31"/>
  <c r="L10" i="31"/>
  <c r="K10" i="31"/>
  <c r="L12" i="31"/>
  <c r="K12" i="31"/>
  <c r="H11" i="31"/>
  <c r="J11" i="31" s="1"/>
  <c r="H12" i="31"/>
  <c r="J12" i="31" s="1"/>
  <c r="H10" i="31"/>
  <c r="J10" i="31" s="1"/>
  <c r="H13" i="31" l="1"/>
  <c r="J13" i="31" s="1"/>
  <c r="A903" i="22" l="1"/>
  <c r="A900" i="22"/>
  <c r="A897" i="22"/>
  <c r="A894" i="22"/>
  <c r="A889" i="22"/>
  <c r="A887" i="22"/>
  <c r="A877" i="22"/>
  <c r="A880" i="22"/>
  <c r="A883" i="22"/>
  <c r="A874" i="22"/>
  <c r="A867" i="22"/>
  <c r="A864" i="22"/>
  <c r="A855" i="22"/>
  <c r="A858" i="22"/>
  <c r="A861" i="22"/>
  <c r="A852" i="22"/>
  <c r="A849" i="22"/>
  <c r="A846" i="22"/>
  <c r="A843" i="22"/>
  <c r="A836" i="22"/>
  <c r="A821" i="22"/>
  <c r="A824" i="22"/>
  <c r="A827" i="22"/>
  <c r="A830" i="22"/>
  <c r="A833" i="22"/>
  <c r="A809" i="22"/>
  <c r="A812" i="22"/>
  <c r="A815" i="22"/>
  <c r="A818" i="22"/>
  <c r="A806" i="22"/>
  <c r="A803" i="22"/>
  <c r="A800" i="22"/>
  <c r="A793" i="22"/>
  <c r="A790" i="22"/>
  <c r="A779" i="22"/>
  <c r="A787" i="22"/>
  <c r="A781" i="22"/>
  <c r="A776" i="22"/>
  <c r="A773" i="22"/>
  <c r="A770" i="22"/>
  <c r="A752" i="22"/>
  <c r="A618" i="22" l="1"/>
  <c r="A328" i="22" l="1"/>
  <c r="A330" i="22"/>
  <c r="I8" i="31" l="1"/>
  <c r="I16" i="31" s="1"/>
  <c r="G8" i="31"/>
  <c r="G16" i="31" s="1"/>
  <c r="F8" i="31"/>
  <c r="F16" i="31" s="1"/>
  <c r="H8" i="31"/>
  <c r="H16" i="31" s="1"/>
  <c r="E8" i="31" l="1"/>
  <c r="A521" i="22"/>
  <c r="A519" i="22"/>
  <c r="K8" i="31" l="1"/>
  <c r="J8" i="31"/>
  <c r="L8" i="31"/>
  <c r="A517" i="22"/>
  <c r="A208" i="22" l="1"/>
  <c r="A515" i="22"/>
  <c r="A513" i="22"/>
  <c r="A511" i="22"/>
  <c r="A207" i="22" l="1"/>
  <c r="A659" i="22" l="1"/>
  <c r="A207" i="23" l="1"/>
  <c r="A214" i="23"/>
  <c r="A215" i="23"/>
  <c r="A220" i="23"/>
  <c r="A228" i="23"/>
  <c r="A229" i="23"/>
  <c r="A233" i="23"/>
  <c r="A280" i="23"/>
  <c r="A281" i="23"/>
  <c r="A282" i="23"/>
  <c r="A283" i="23"/>
  <c r="A284" i="23"/>
  <c r="A285" i="23"/>
  <c r="A286" i="23"/>
  <c r="A287" i="23"/>
  <c r="A288" i="23"/>
  <c r="A289" i="23"/>
  <c r="A290" i="23"/>
  <c r="A291" i="23"/>
  <c r="A292" i="23"/>
  <c r="A293" i="23"/>
  <c r="A294" i="23"/>
  <c r="A295" i="23"/>
  <c r="A296" i="23"/>
  <c r="A297" i="23"/>
  <c r="A312" i="23"/>
  <c r="A313" i="23"/>
  <c r="A172" i="22"/>
  <c r="A173" i="22"/>
  <c r="A174" i="22"/>
  <c r="A205" i="22"/>
  <c r="A206" i="22"/>
  <c r="A495" i="22"/>
  <c r="A497" i="22"/>
  <c r="A499" i="22"/>
  <c r="A501" i="22"/>
  <c r="A503" i="22"/>
  <c r="A505" i="22"/>
  <c r="A507" i="22"/>
  <c r="A509" i="22"/>
  <c r="A523" i="22"/>
  <c r="A525" i="22"/>
  <c r="A784" i="22"/>
  <c r="A553" i="22"/>
  <c r="A554" i="22"/>
  <c r="A556" i="22"/>
  <c r="A564" i="22"/>
  <c r="A572" i="22"/>
  <c r="E14" i="31" l="1"/>
  <c r="L14" i="31" l="1"/>
  <c r="K14" i="31"/>
  <c r="J14" i="31"/>
  <c r="E16" i="31"/>
  <c r="A18" i="31" l="1"/>
  <c r="L16" i="31"/>
  <c r="K16" i="31"/>
  <c r="J16" i="3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007DD-A9E7-446B-BD8E-61F9D8DE634B}" keepAlive="1" name="Conexión" type="5" refreshedVersion="7" saveData="1">
    <dbPr connection="Provider=Microsoft.Mashup.OleDb.1;Data Source=$Workbook$;Location=SIAF_Central;Extended Properties=&quot;&quot;;" command="SELECT * FROM [SIAF_Central]"/>
  </connection>
  <connection id="2" xr16:uid="{BEA1C34A-014C-4F0A-9E2D-4B367B4ABCC0}" keepAlive="1" name="Conexión1" type="5" refreshedVersion="7" saveData="1">
    <dbPr connection="Provider=Microsoft.Mashup.OleDb.1;Data Source=$Workbook$;Location=Cartera_Central;Extended Properties=&quot;&quot;;" command="SELECT * FROM [Cartera_Central]"/>
  </connection>
</connections>
</file>

<file path=xl/sharedStrings.xml><?xml version="1.0" encoding="utf-8"?>
<sst xmlns="http://schemas.openxmlformats.org/spreadsheetml/2006/main" count="3858" uniqueCount="2315">
  <si>
    <t>PROYECTO</t>
  </si>
  <si>
    <t>UE/META</t>
  </si>
  <si>
    <t>SUB GERENCIA DE ESTUDIOS DEFINITIVOS</t>
  </si>
  <si>
    <t>N°</t>
  </si>
  <si>
    <t>EJECUCIÓN POR ADMINISTRACIÓN DIRECTA</t>
  </si>
  <si>
    <t>GERENCIA REGIONAL DE DESARROLLO ECONOMICO</t>
  </si>
  <si>
    <t xml:space="preserve"> PROYECTO ESPECIAL TRUCHAS TITICACA - PETT</t>
  </si>
  <si>
    <t>PROYECTO ESPECIAL CAMELIDOS SUDAMERICANOS</t>
  </si>
  <si>
    <t>GERENCIA REGIONAL DE DESARROLLO SOCIAL</t>
  </si>
  <si>
    <t>DIRECCIÓN DE ESTUDIOS DE PREINVERSIÓN</t>
  </si>
  <si>
    <t>GERENCIA REGIONAL DE RECURSOS NATURALES Y GESTION AMBIENTAL</t>
  </si>
  <si>
    <t>ANEXO N° 01</t>
  </si>
  <si>
    <t>2558047 MEJORAMIENTO DE LA PLANTA PROCESADORA DE LECHE PARA LA ELABORACION DE YOGURT DE LA ASOCIACION DE CRIADORES DE GANADO VACUNO DE RAZA BROWN SWIS</t>
  </si>
  <si>
    <t>2558006 MEJORAMIENTO DEL ECONEGOCIO DE CANIHUA APROVECHANDO LA DISPONIBILIDAD DE RECURSOS EN LA ASOCIACION DE PRODUCTORES AGROINDUSTRIAL Y DE ARTESANO</t>
  </si>
  <si>
    <t>2558012 MEJORAMIENTO DE LA PRODUCCION Y PROCESAMIENTO DE LA FIBRA DE ALPACA EN ASOCIACION ACORENAMA AYRUMAS CARUMAS, DISTRITO ACORA - PUNO - PUNO</t>
  </si>
  <si>
    <t>2558028 MEJORAMIENTO DEL PROCESO DE TRANSFORMACION DE QUINUA Y CANIHUA EN LA LOCALIDAD DE SANTA ROSA, POR LA ASOCIACION DE PRODUCTORES AGROECOLOGICOS</t>
  </si>
  <si>
    <t>2558022 MEJORAMIENTO DE CALIDAD EN TAZA DE MICROLOTES DE CAFES ESPECIALES TOSTADO MOLIDO EN CAC TUPAC AMARU, DISTRITO ALTO INAMBARI - SANDIA - PUNO</t>
  </si>
  <si>
    <t>2558035 CREACION DE PLANTA DE PROCESAMIENTO Y COMERCIALIZACION DE PAPAYITA ANDINA, DISTRITO SANDIA - SANDIA - PUNO</t>
  </si>
  <si>
    <t>2558037 MEJORAMIENTO DELA PRODUCCION DE HILOS ARTESANALES DE LA FIBRA DE ALPACA EN LA COMUNIDAD CAMPESINA CHULLUNQUIANI, DISTRITO PALCA - LAMPA - PUNO</t>
  </si>
  <si>
    <t>2188379 MEJORAMIENTO DEL SERVICIO EDUCATIVO DE LA INSTITUCION EDUCATIVA PRIMARIA Nº 70605 DOMINGO SAVIO, DISTRITO DE JULIACA - SAN ROMAN - PUNO</t>
  </si>
  <si>
    <t>2196858 MEJORAMIENTO DE SERVICIOS DE EDUCACION INICIAL ESCOLARIZADA EN LA I.E.I. N 214 NIÑO JESUS DE PRAGA, DISTRITO DE PLATERIA - PUNO - PUNO</t>
  </si>
  <si>
    <t>2250457 INSTALACION DEL SERVICIO EDUCATIVO DE LA I.E.I. NRO. 295 VILLA BLANCA ANCAPUTO, DISTRITO ZEPITA - CHUCUITO - PUNO</t>
  </si>
  <si>
    <t>2196860 MEJORAMIENTO DE LOS SERVICIOS DE EDUCACION INICIAL EN LA I.E.I. NRO. 357 SAN JOSE DE LA URBANIZACION SAN JOSE II ETAPA, DISTRITO DE JULIACA -</t>
  </si>
  <si>
    <t>2016766 APOYAR AL DESARROLLO PRODUCTIVO</t>
  </si>
  <si>
    <t>2526571 MEJORAMIENTO DE LA PRODUCCION DE HILADO ARTESANAL PARA ELABORACION DE ARTESANIA TEXTIL, DISTRITO DE MACUSANI - CARABAYA - PUNO</t>
  </si>
  <si>
    <t>2558046 MEJORAMIENTO DE LA PRODUCCION Y COMERCIALIZACION DE ARTESANIA TEXTIL DE LA ASOCIACION BARTOLINA DE OLLA JULI, DISTRITO JULI - CHUCUITO - PUNO</t>
  </si>
  <si>
    <t>2558044 MEJORAMIENTO DE LA GENERACION DE VALOR AGREGADO EN LA ASOCIACION DE PRODUCTORES NUEVA ESPERANZA PERHUANI, DISTRITO USICAYOS - CARABAYA - PUNO</t>
  </si>
  <si>
    <t>2382618 RECUPERACION DE AREAS DEGRADADAS POR AGUAS RESIDUALES Y RESIDUOS SOLIDOS EN EL RIO TOROCOCHA DE LA CIUDAD DE JULIACA - SAN ROMAN - PUNO</t>
  </si>
  <si>
    <t>2150586 MEJORAMIENTO DE LA CAPACIDAD TECNICO PRODUCTIVO DE PRODUCTORES DE TRUCHA EN ZONAS ALTO ANDINAS DE LA REGION PUNO</t>
  </si>
  <si>
    <t>2187217 MEJORAMIENTO DE LA CADENA DE VALOR DE LA FIBRA DE ALPACA EN LA REGION PUNO, MULTIDISTRITAL - MULTIPROVINCIAL - PUNO</t>
  </si>
  <si>
    <t>2001621 ELABORACION DE ESTUDIOS DE PREFACTIBILIDAD</t>
  </si>
  <si>
    <t>2307608 MEJORAMIENTO DE LOS SERVICIOS DE TRANSITABILIDAD VEHICULAR Y PEATONAL DE LA VIA DE ACCESO A LA LOCALIDAD DE COATA, DISTRITO COATA - PUNO - PUNO</t>
  </si>
  <si>
    <t>2300786 MEJORAMIENTO DEL MANEJO DE HERRAMIENTAS EN TECNOLOGÍA INFORMÁTICA APLICADAS EN LA ENSEÑANZA DE LA EBR EN LA REGION DE PUNO</t>
  </si>
  <si>
    <t>2282351 MEJORAMIENTO DE SERVICIO TRANSITABILIDAD VEHICULAR Y PEATONAL DE LA AV. TAMBOPATA TRAMO AV. SAN MARTIN - AV. CIRCUNVALACION II DE LA CIUDAD DE DE JULIACA (SEGUNDA ETAPA : TRAMO AV. SANTA ROSA - AV. CIRCUNVALACION II), DISTRITO JULIACA - SAN ROMAN - PUNO</t>
  </si>
  <si>
    <t>2532537 MEJORAMIENTO Y AMPLIACION DE LOS SERVICIOS DE LA INSTITUCIÓN EDUCATIVA INICIAL N° 704 DEL CENTRO POBLADO SACARI TITICACHI DEL DISTRITO DE PILCUYO - PROVINCIA DE EL COLLAO - DEPARTAMENTO DE PUNO</t>
  </si>
  <si>
    <t>2300092 MEJORAMIENTO Y CREACION DE LA AVENIDA COSTANERA SUR Y SURESTE EN EL TRAMO JIRON LUIS BANCHERO ROSSI - JIRON ESPINAR - PANAMERICANA SUR INTERSECCION VIAL AVENIDA DEL ESTUDIANTE, DISTRITO DE PUNO, PROVINCIA DE PUNO - PUNO</t>
  </si>
  <si>
    <t>2131661 CONSTRUCCION Y MEJORAMIENTO DE LA CARRETERA DESVIO VILQUECHICO COJATA - SINA - YANAHUAYA - TRAMO III - SUB TRAMO 003 (PURUMPATA - YANAHUAYA) KM. 15 840 AL KM. 31 200) - 15.360 KM, KILOMETRO: 1.440, PUNO, SANDIA, YANAHUAYA</t>
  </si>
  <si>
    <t>2539886 MEJORAMIENTO DEL SERVICIO EDUCATIVO DEL NIVEL INICIAL DE LA I.E. NUESTRA SEÑORA DE GUADALUPE DE LA LOCALIDAD DE COJATA, DISTRITO DE COJATA - HUANCANE</t>
  </si>
  <si>
    <t>2357090 MEJORAMIENTO DE LA CAPACIDAD RESOLUTIVA DEL CENTRO DE SALUD VALLECITO I-3 DE LA MICRO RED METROPOLITANO, RED DE SALUD PUNO, DIRESA PUNO,</t>
  </si>
  <si>
    <t xml:space="preserve">EJECUCIÓN POR ADMINISTRACIÓN INDIRECTA (CONTRATA) </t>
  </si>
  <si>
    <t>2294382 MEJORAMIENTO DE LA CARRETERA ARAPA - CHUPA (PU 114) - DV. HUANCANE (EMP. PE 34H), PROVINCIAS DE AZANGARO Y HUANCANE - PUNO</t>
  </si>
  <si>
    <t>2462296 CREACION DEL SERVICIO DE TRANSITABILIDAD A TRAVES DE LA INSTALACION DE PUENTES PEATONALES EN LAS PROVINCIAS DE CARABAYA Y SANDIA DEL DEPARTAMENTO DE PUNO</t>
  </si>
  <si>
    <t>2526575 MEJORAMIENTO Y ESTANDARIZACION DEL PROCESO PRODUCTIVO DE QUESOS SEMIMADUROS Y MADURADOS EN LA EMPRESA INDUSTRIAL AGROALIMENTOS EL ESTABLO S. C. R. L, DISTRITO DE LAMPA - LAMPA - PUNO</t>
  </si>
  <si>
    <t>2526576 IMPLEMENTACION DE LA TECNOLOGIA PARA LA TRANSFORMACION DEL CAFE DE ALTURA AAPROCAAL, DISTRITO SAN JUAN DEL ORO - SANDIA - PUNO</t>
  </si>
  <si>
    <t>2526579 MEJORAMIENTO DEL PROCESAMIENTO Y COMERCIALIZACION DE QUINUA ORGANICA EN LA COOPERATIVA AGROINDUSTRIAL CABANA LTDA, DISTRITO DE CABANA - SAN ROMAN - PUNO</t>
  </si>
  <si>
    <t>2526761  MEJORAMIENTO DE NUEVA LINEA DE HILATURA DE FIBRA DE ALPACA, EN LA PRODUCCION DE TEJIDO PLANO Y ARTESANIA, DISTRITO DE JULIACA - SAN ROMAN - PUNO</t>
  </si>
  <si>
    <t>2558032  FORTALECIMIENTO DE CAPACIDADES EN LA PRODUCCION Y COMERCIALIZACION DE HILOS Y TOPS DE LA ASOCIACION DE PRODUCTORES AGROPECUARIOS LACCA ALCCAMARINI, DISTRITO MACUSANI - CARABAYA - PUNO</t>
  </si>
  <si>
    <t>2558008 MEJORAMIENTO DE LA CAPACIDAD PRODUCTIVA DE ECO ARTESANIAS DE TOTORA Y CHILLIGUA EN LA ASOCIACION ECO ARTESANIAS DE TOTORA TITIKAKA, DISTRITO PUNO - PUNO - PUNO</t>
  </si>
  <si>
    <t>2558003 MEJORAMIENTO EN LA CAPACIDAD TECNICA DE PRODUCCION DE PRENDAS EN ARTESANIA TEXTIL, EN LA ASOCIACION DE ARTESANOS SUMAC MAKY SANTA ROSITA DE LIMA, DISTRITO SANTA ROSA - MELGAR - PUNO</t>
  </si>
  <si>
    <t>2558021 CREACION DE UNA PLANTA PROCESADORA DE QUINUA DE LA ASOCIACION DE PRODUCTORES AGROPECUARIOS LOS ANDES DE PUCARA CHACAPATJA CULTA, DISTRITO ACORA - PUNO - PUNO</t>
  </si>
  <si>
    <t>2558018 CREACION DE UNA PLANTA PROCESADORA DE HILO DE FIBRA DE ALPACA DE LA ASOCIACION DE PRODUCTORES AGROPECUARIOS Y CRIADORES DE CAMELIDOS SUDAMERICANOS DE HUARIHUMANA ROSASPATA, DISTRITO ROSASPATA - HUANCANE - PUNO</t>
  </si>
  <si>
    <t>2558029 MEJORAMIENTO DE LA TRANSFORMACION DE LA FIBRA DE ALPACA DE LA ASOCIACION MULTIPLE DE CRIADORES DE CAMELIDOS SUDAMERICANOS Y ARTESANOS BABY ALPACAS, DISTRITO COJATA - HUANCANE - PUNO</t>
  </si>
  <si>
    <t>2558005 MEJORAMIENTO DE LA PRODUCCION, INNOVACION Y COMERCIALIZACION DE LA ARTESANIA TEXTIL EN LA ASOCIACION DE MUJERES DE AGUAS TERMALES DEL CP UCHUHUMA, DISTRITO COASA - CARABAYA - PUNO</t>
  </si>
  <si>
    <t>2558030 AMPLIACION DE LA CAPACIDAD PROCESADORA DE LA PLANTA DE PRODUCCION DE DERIVADOS LACTEOS DE LA ASOCIACION DE PRODUCTORES LACTEOS DELICIA ATUNCCOLLA, DISTRITO ATUNCCOLLA - PUNO</t>
  </si>
  <si>
    <t>2558049 MEJORAMIENTO DE LA PRODUCCION Y COMERCIALIZACION DE HILADO ARTESANAL DE FIBRA DE ALPACA DE LA COMUNIDAD CAMPESINA DE JATUCACHI, DISTRITO PICHACANI - PUNO - PUNO</t>
  </si>
  <si>
    <t>2558026 MEJORAMIENTO DE LA PRODUCCION Y COMERCIALIZACION DE DERIVADOS DE QUINUA DE LA ASOCIACION DE PRODUCTORES AGROPECUARIOS YANAQUE ANDINO, SANTA ROSA DE YANAQUE, ZONA LAGO, DISTRITO ACORA - PUNO - PUNO</t>
  </si>
  <si>
    <t>2558033 CREACION DE UNA PLANTA DE PROCESO DE PRODUCTOS LACTEOS DE LA ASOCIACION DE PRODUCTORES AGROPECUARIOS LACTEOS Y ARTESANALES NUEVA VISION DE CULTA, DISTRITO ACORA - PUNO - PUNO</t>
  </si>
  <si>
    <t>2558023 CREACION E IMPLEMENTACION DE UNA PLANTA PROCESADORA DE QUINUA EN LA ASOCIACION DE PRODUCTORES AGROPECUARIOS SIHUAYRO CENTRAL JULI, DISTRITO JULI - CHUCUITO - PUNO</t>
  </si>
  <si>
    <t>2558017 MEJORAMIENTO DE LA PRODUCCION Y COMERCIALIZACION DE ARTESANIA TEXTIL PUNTO, MAQUINA Y PLANO A BASE DE FIBRA DE ALPACA DE LA ORGANIZACION DE MUJERES BARTOLINA SISA, DISTRITO KELLUYO - CHUCUITO - PUNO</t>
  </si>
  <si>
    <t>2558014 MEJORAMIENTO DE LA PRODUCCION DE QUESOS TIPO PARIA EN LA ASOCIACION DE EMPRENDEDORES EN PRODUCCION AGROPECUARIA DEL DISTRITO DE POMATA, CHUCUITO - PUNO.</t>
  </si>
  <si>
    <t>2558002 MEJORAMIENTO DE LA GENERACION DE VALOR AGREGADO DE LA PINA Y SU COMERCIALIZACION EN LA COOPERATIVA AGRARIA INDUSTRIAL SAN GABAN, DISTRITO SAN GABAN - CARABAYA - PUNO</t>
  </si>
  <si>
    <t>2558036 AMPLIACION DE LA PLANTA PROCESADORA DE QUESOS DE LA ASOCIACION DE PRODUCTORES DE LECHE AGROINDUSTRIALES NUEVO HORIZONTE MACHACMARCA VILQUE, DISTRITO VILQUE - PUNO - PUNO</t>
  </si>
  <si>
    <t>2558052 MEJORAMIENTO DE LA PRODUCCION Y COMERCIALIZACION DE ARTESANIA TEXTIL, MAQUINA Y PLANO A BASE DE FIBRA DE ALPACA Y LANA DE OVINO DE LA ASOCIACION DE PRODUCTORES AGROPECUARIOS, AGROINDUSTRIALES Y ARTESANALES CCARMI,DISTRITO ORURILLO - MELGAR - PUNO</t>
  </si>
  <si>
    <t>2558015 AMPLIACION DE LA CAPACIDAD PROCESADORA DE LA PLANTA DE PRODUCCION DE DERIVADOS DE LA QUINUA DE LA ASOCIACION DE PRODUCTORES TIKARIYA PAMPA DE  LAS MUJERES ANDINAS DE MELGAR, DISTRITO AYAVIRI - MELGAR - PUNO.</t>
  </si>
  <si>
    <t>2558011  MEJORAMIENTO DE LA PRODUCCION DE QUESOS Y VALOR AGREGADO DE LA LECHE, EN LA COOPERATIVA AGRARIA SAN FRANCISCO DE CCAPALLA, DISTRITO ACORA - PUNO - PUNO</t>
  </si>
  <si>
    <t>2558045  MEJORAMIENTO DE LA PRODUCCION Y TRANSFORMACION DE QUESOS EN LA ASOCIACION DE PRODUCTORES AGROPECUARIOS Y LACTEOS, DISTRITO PLATERIA - PUNO - PUNO</t>
  </si>
  <si>
    <t>2558048 CREACION DE UNA PLANTA PROCESADORA DE QUINUA DE LA ASOCIACION DE PRODUCTORES MULTIPLES LOS NATIVOS SUMA CHUYMA DEL CENTRO POBLADO DE CULTA, DISTRITO ACORA - PUNO - PUNO</t>
  </si>
  <si>
    <t>2558050 MEJORAMIENTO DEL SERVICIO DE ALOJAMIENTO RURAL EN EL EMPRENDIMIENTO DE TURISMO RURAL COMUNITARIO DE LA ASOCIACION LUQUINA ADVENTURES, DISTRITO CHUCUITO - PUNO - PUNO</t>
  </si>
  <si>
    <t>2558042 MEJORAMIENTO DE LA PRODUCCION Y COMERCIALIZACION DE GALLETAS DE QUINUA EN LA COOPERATIVA COPAISEG SAN ROMAN LTDA, DISTRITO CABANA - SAN ROMAN - PUNO</t>
  </si>
  <si>
    <t>2558025 CREACION DE PLANTA PROCESADORA DE HILO SEMI INDUSTRIAL DE FIBRA DE ALPACA DE LA COMUNIDAD CAMPESINA CHACACONIZA, DISTRITO CORANI - CARABAYA - PUNO</t>
  </si>
  <si>
    <t>2558009 MEJORAMIENTO DE LA PLANTA PROCESADORA DE LECHE PARA LA ELABORACION DE QUESOS PASTEURIZADOS Y MADURADOS DE LA ASOCIACION DE PRODUCTORES AGROPECUARIOS LAC SUR, DISTRITO ASILLO - AZANGARO - PUNO</t>
  </si>
  <si>
    <t>2558024 MEJORAMIENTO DE LA TRANSFORMACION DE QUINUA DE LA ASOCIACION GRUPO DE AGRICULTORES SIN TIERRAS SAN FRANCISCO CAYRAHUIRE, DISTRITO AZANGARO - AZANGARO - PUNO</t>
  </si>
  <si>
    <t>2558027 MEJORAMIENTO DEL PROCESAMIENTO Y COMERCIALIZACION DE PAPAYITA ANDINA EN LA ASOCIACION DE PRODUCTORES AGROPECUARIOS Y TRANSFORMACION ARI SANDIA AYLLUNMANTA, DISTRITO SANDIA - SANDIA - PUNO,</t>
  </si>
  <si>
    <t>2558053 CREACION DEL CENTRO DE PRODUCCION DE TOPS DE FIBRA DE ALPACA EN LA ASOCIACION DE CRIADORES DE ALPACAS Y LLAMAS APU AUSANGATE, DISTRITO OLLACHEA - CARABAYA - PUNO</t>
  </si>
  <si>
    <t>2558004 CREACION DE UN TALLER DE PRODUCCION DE SOMBREROS MELGARINOS DE FIELTRO DE LANA DE OVINO, TENIDO CON TINTES NATURALES EN LA COOPERATIVA ARTESANAL DE TEXTILES ECOLOGICOS ALTAGRACIA AYAVIRI LTDA, DISTRITO AYAVIRI - MELGAR - PUNO</t>
  </si>
  <si>
    <t>2558034 MEJORAMIENTO DE CAPACIDADES TECNICAS DE LA PRODUCCION DE DERIVADOS LACTEOS EN LA SOCIEDAD AGRICOLA DE INTERES SOCIAL SOLLOCOTA LTDA. NO. 05, DISTRITO SAN JOSE - AZANGARO - PUNO</t>
  </si>
  <si>
    <t>2558051 MEJORAMIENTO DE LA PRODUCCION, TRANSFORMACION, Y COMERCIALIZACION DE DERIVADOS LACTEOS EN LA ASOCIACION DE PRODUCTORES AGROPECUARIOS DE LA PLANTA SAN FRANCISCO SINTY MAYO DE LA COMUNIDAD CAMPESINA DE COLQUEJAHUA, DISTRITO PUCARA - LAMPA - PUNO</t>
  </si>
  <si>
    <t>2558031 MEJORAMIENTO DE LOS PROCESOS DE PRODUCCION Y TRANSFORMACION DE QUINUA EN LA ASOCIACION DE PRODUCTORAS AGROECOLOGICAS FLOR DEL MUNDO, DISTRITO AYAVIRI - MELGAR - PUNO,</t>
  </si>
  <si>
    <t>2558016 MEJORAMIENTO DE LOS SERVICIOS ECOTURISTICOS DE LA ASOCIACION DE TURISMO RURAL COMUNITARIO QANTUTANI DE HUAYLLUNI C.C.CHUCASUYO CCAJJE, DISTRITO JULI - CHUCUITO - PUNO.</t>
  </si>
  <si>
    <t>2558019 MEJORAMIENTO DE LA CAPACIDAD PRODUCTIVA Y COMPETITIVIDAD DE LA ARTESANIA TEXTIL EN LA ASOCIACION ARTESANAL MODALPACA,DISTRITO PUNO - PUNO - PUNO</t>
  </si>
  <si>
    <t>2558013 CREACION DE UNA PLANTA PARA PROCESAMIENTO DE QUINUA EN LA ASOCIACION DE PRODUCTORES AGROPECUARIOS AGROINDUSTRIALES Y ECOLOGICOS SANTA CRUZ DE ATUXA, DISTRITO CHUCUITO - PUNO - PUNO</t>
  </si>
  <si>
    <t>2474102 MEJORAMIENTO DEL SERVICIO DE PROTECCION FRENTE A TORMENTAS ELECTRICAS EN 4 PROVINCIAS DEL DEPARTAMENTO DE PUNO,</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</si>
  <si>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</si>
  <si>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2293195  INSTALACION Y AMPLIACION DEL SERVICIO DE PROTECCION CONTRA INUNDACIONES EN EL CENTRO POBLADO DE YANAMAYO Y EL SECTOR DE YURAJMAYO, MARGEN IZQUIERDO</t>
  </si>
  <si>
    <t>PROYECTOS SIN EXPEDIENTE TECNICO, QUE NO ESTA EJECUTANDO SUB GER EST DEFINITIVOS</t>
  </si>
  <si>
    <t>2190612 MEJORAMIENTO Y AMPLIACIÓN DE LA CAPACIDAD RESOLUTIVA DEL PUESTO DE SALUD TOLAPALCA, MICRORRED MAÑAZO - PUNO</t>
  </si>
  <si>
    <t xml:space="preserve">2.6. 2  2. 2  2 COSTO DE CONSTRUCCION POR CONTRATA </t>
  </si>
  <si>
    <t>2.6. 8  1. 3  1 ELABORACION DE EXPEDIENTES TECNICOS</t>
  </si>
  <si>
    <t xml:space="preserve">2.6. 2  2. 3  2 COSTO DE CONSTRUCCION POR CONTRATA </t>
  </si>
  <si>
    <t>001. REGION PUNO-SEDE CENTRAL</t>
  </si>
  <si>
    <t>2326588.MEJORAMIENTO DE LOS SERVICIOS DE APOYO A LA CADENA PRODUCTIVA DE CAFES ESPECIALES EN LOS DISTRITOS DE COASA, ITUATA, OLLACHEA, USICAYOS, LIMBANI, PATAMBUCO Y PHARA DE LAS PROVINCIAS DE CARABAYA Y SANDIA - REGION PUNO</t>
  </si>
  <si>
    <t>14. INDUSTRIA</t>
  </si>
  <si>
    <t>15. TRANSPORTE</t>
  </si>
  <si>
    <t>2001621: ESTUDIOS DE PRE-INVERSION</t>
  </si>
  <si>
    <t>2131661.CONSTRUCCION Y MEJORAMIENTO DE LA CARRETERA DESVIO VILQUECHICO-COJATA-SINA-YANAHUAYA</t>
  </si>
  <si>
    <t>2456529.MEJORAMIENTO DE LA CARRETERA PU 147, EMP. PE-34I JIPATA - EMP. PE-34I MOHO, DISTRITO DE MOHO - PROVINCIA DE MOHO - DEPARTAMENTO DE PUNO</t>
  </si>
  <si>
    <t>2475053: MEJORAMIENTO DEL SERVICIO DE MOVILIDAD URBANA DE LA AV. ANDRES AVELINO CACERES (TRAMO: AV. TUPAC YUPANQUI - AV. AVIACION), AV. LOS GERANIOS DEL DISTRITO DE JULIACA - PROVINCIA DE SAN ROMAN - DEPARTAMENTO DE PUNO</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</si>
  <si>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</si>
  <si>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2357091: MEJORAMIENTO DE LA CAPACIDAD RESOLUTIVA DEL CENTRO DE SALUD COATA I-3 DE LA MICRORED JAE, RED DE SALUD PUNO - DIRESA PUNO, - DISTRITO DE COATA - PROVINCIA DE PUNO - REGION PUNO</t>
  </si>
  <si>
    <t>2196865: MEJORAMIENTO DEL SERVICIO EDUCATIVO DE NIVEL INICIAL ESCOLARIZADO EN LA I.E.I. LLUNGO, DISTRITO DE ATUNCOLLA, PROVINCIA DE PUNO - PUNO.</t>
  </si>
  <si>
    <t>2196910.INSTALACION DEL SERVICIO EDUCATIVO EN LA INSTITUCION EDUCATIVA INICIAL AMAQUILLA CICLO II, DISTRITO DE COPANI - YUNGUYO - PUNO</t>
  </si>
  <si>
    <t>2300786: MEJORAMIENTO DEL MANEJO DE HERRAMIENTAS EN TECNOLOGIA INFORMATICA APLICADAS EN LA ENSEÑANZA DE LA EBR EN LA REGION DE PUNO</t>
  </si>
  <si>
    <t>2309892: MEJORAMIENTO Y AMPLIACION DE LOS SERVICIOS EDUCATIVOS DE LA INSTITUCION EDUCATIVA SECUNDARIA AGROPECUARIO N 125 DE CHUPA, DISTRITO DE CHUPA - AZANGARO - PUNO</t>
  </si>
  <si>
    <t>2535611: MEJORAMIENTO Y AMPLIACION DEL SERVICIO DE EDUCACION SUPERIOR TECNOLOGICO PUBLICO EN EL INSTITUTO ANDRES AVELINO CACERES DISTRITO DE PUTINA - PROVINCIA DE SAN ANTONIO DE PUTINA - DEPARTAMENTO DE PUNO</t>
  </si>
  <si>
    <t xml:space="preserve"> GERENCIA DE INFRAESTRUCTURA</t>
  </si>
  <si>
    <t>2514428: CREACION DEL SERVICIO DE INTERCONEXION DE MOVILIDAD URBANA EN LA VIA TRONCAL DEL PUENTE YARAJA DISTRITO DE AZANGARO - PROVINCIA DE AZANGARO - DEPARTAMENTO DE PUNO</t>
  </si>
  <si>
    <t>2027881: OPTIMIZAR LA CAPACIDAD DE RESPUESTA EN EL HOSPITAL SAN JUAN DE DIOS DE AYAVIRI PUNO, CABECERA DE RED</t>
  </si>
  <si>
    <t xml:space="preserve">AVANCE DEVEN % </t>
  </si>
  <si>
    <t>TOTAL GERENCIA DE INFRESTRUCTURA</t>
  </si>
  <si>
    <t>TOTAL 001 REGIÓN PUNO-SEDE CENTRAL</t>
  </si>
  <si>
    <t>2190613 AMPLIACION Y MEJORAMIENTO DE LA CAPACIDAD RESOLUTIVA DEL PUESTO DE SALUD CHARAMAYA, MICRORED DE MAÑAZO - REDESS PUNO, DISTRITO MAÑAZO - PUNO - PUNO</t>
  </si>
  <si>
    <t>2316291  MEJORAMIENTO Y AMPLIACION DEL CIRCUITO VIAL ECO TURISTICO, CAPACHICA - SIALE - CCOTOS - PARAMIS - TRAMO II : SIALE - PARAMIS, DISTRITO CAPACHICA - PUNO - PUNO</t>
  </si>
  <si>
    <t>2393101: MEJORAMIENTO Y AMPLIACION DEL SERVICIO ADMINISTRATIVO DE LA UNIDAD DE GESTION EDUCATIVA LOCAL MELGAR EN EL DISTRITO DE AYAVIRI, PROVINCIA DE MELGAR, REGION PUNO</t>
  </si>
  <si>
    <t>2278822: MEJORAMIENTO DE LOS SERVICIOS DE SALUD DEL HOSPITAL RAFAEL ORTIZ RAVINES DE JULI, PROVINCIA DE CHUCUITO - REGION PUNO</t>
  </si>
  <si>
    <t>2357322: MEJORAMIENTO SERVICIO EDUCATIVO EN LA IES. 32 MARIANO H. CORNEJO DE LA LOCALIDAD DE JULIACA - DISTRITO DE JULIACA - PROVINCIA DE SAN ROMAN - REGION PUNO</t>
  </si>
  <si>
    <t>2385051: MEJORAMIENTO DEL SERVICIO EDUCATIVO EN LA I.E.S. SAN JUAN BOSCO DE SALCEDO CON JORNADA ESCOLAR COMPLETA DISTRITO DE PUNO - PROVINCIA DE PUNO - REGION PUNO</t>
  </si>
  <si>
    <t>2502758  CONSTRUCCION DE CADENA DE FRIO; ADQUISICION DE EQUIPO ELECTRICO Y CAMION BARANDA; EN EL(LA) DIRECCION REGIONAL DE SALUD, DISTRITO PUNO - PUNO - PUNO</t>
  </si>
  <si>
    <t>2455185  CREACION DE LOS SERVICIOS DE ATENCION MEDICA MOVIL DE URGENCIA (SAMU) DEL PROGRAMA MI SALUD, EN LAS 13 PROVINCIAS DEL DEPARTAMENTO DE PUNO, MULTIDISTRITAL - MULTIPROVINCIAS - PUNO</t>
  </si>
  <si>
    <t>2494757  CONSTRUCCION DE CENTRAL DE OXIGENO; ADQUISICION DE PLANTA GENERADORA DE OXIGENO MEDICINAL Y GRUPO ELECTROGENO; EN EL(LA) EESS MANUEL NUÑEZ BUTRON, DISTRITO PUNO - PUNO - PUNO</t>
  </si>
  <si>
    <t>2455185: CREACION DE LOS SERVICIOS DE ATENCION MEDICA MOVIL DE URGENCIA (SAMU) DEL PROGRAMA MI SALUD, EN LAS 13 PROVINCIAS DEL DEPARTAMENTO DE PUNO</t>
  </si>
  <si>
    <t>2251136: MEJORAMIENTO DE LA CAPACIDAD RESOLUTIVA DEL HOSPITAL LUCIO ALDAZABAL PAUCA DE REDES HUANCANE, PROVINCIA DE HUANCANE - REGION PUNO</t>
  </si>
  <si>
    <t>2411335: MEJORAMIENTO DEL SERVICIO EDUCATIVO EN LA I.E.S. SAN SALVADOR, - DISTRITO DE PUNO - PROVINCIA DE PUNO - DEPARTAMENTO DE PUNO</t>
  </si>
  <si>
    <t>2336209 MEJORAMIENTO DE LOS SERVICIOS DE GESTION TERRITORIAL DEL DEPARTAMENTO DE PUNO</t>
  </si>
  <si>
    <t>2156096 MEJORAMIENTO DE LA CARRETERA DV.CARACARA - LAMPA - CABANILLA - CABANILLAS</t>
  </si>
  <si>
    <t>2156096: MEJORAMIENTO DE LA CARRETERA DV.CARACARA - LAMPA - CABANILLA - CABANILLAS</t>
  </si>
  <si>
    <t>2591028: REPARACION DE PUENTE; EN EL(LA) PUENTE AZANGARO (PUKA CHUPA) DEL DISTRITO DE AZANGARO, PROVINCIA AZANGARO, DEPARTAMENTO PUNO</t>
  </si>
  <si>
    <t>2592407: MEJORAMIENTO DE LOS SERVICIOS OPERATIVOS O MISIONALES INSTITUCIONALES EN LA OFICINA DE EQUIPO MECANICO DEL GOBIERNO REGIONAL PUNO DISTRITO DE PUNO DE LA PROVINCIA DE PUNO DEL DEPARTAMENTO DE PUNO</t>
  </si>
  <si>
    <t>2230923: MEJORAMIENTO DE LOS SERVICIOS EDUCATIVOS DE LA I.E. QUILLISANI EN EL CENTRO POBLADO DE QUILLISANI, DISTRITO DE PARATIA, PROVINCIA DE LAMPA - PUNO</t>
  </si>
  <si>
    <t>2544369: ADQUISICION DE AMBULANCIA RURAL Y AMBULANCIA RURAL; EN CINCUENTA Y CINCO ESTABLECIMIENTOS DE SALUD I.4, ESTABLECIMIENTOS DE SALUD I.2, ESTABLECIMIENTOS DE SALUD I.3 A NIVEL DEPARTAMENTAL (PUNO)</t>
  </si>
  <si>
    <t>2601475: ADQUISICION DE TOMOGRAFO, EQUIPO ECOGRAFO, MAQUINA DE ANESTESIA Y MESA DE OPERACIONES HIDRAULICA/ELECTRICA; ADEMAS DE OTROS ACTIVOS EN EL(LA) MANUEL NUÑEZ BUTRON DISTRITO DE PUNO, PROVINCIA PUNO, DEPARTAMENTO PUNO</t>
  </si>
  <si>
    <t>2230752: MEJORAMIENTO DE LOS SERVICIOS ASISTENCIALES DE LA ALDEA INFANTIL VIRGEN DE LA CANDELARIA EN EL BARRIO LA RINCONADA DEL CENTRO POBLADO DE SALCEDO, DISTRITO DE PUNO, PROVINCIA DE PUNO, REGION DE PUNO</t>
  </si>
  <si>
    <t>2468945: MEJORAMIENTO DE LOS SERVICIOS DE APOYO A LA GESTION DE LAS MUNICIPALIDADES DE LOS CENTROS POBLADOS EN 13 PROVINCIAS DEL DEPARTAMENTO DE PUNO</t>
  </si>
  <si>
    <t>2593683: REPARACION DE PISTA DE ATLETISMO (COMPETENCIA); ADQUISICION DE TORRE DE ILUMINACION; EN EL(LA) ESTADIO ENRIQUE TORRES BELON DEL DISTRITO DE PUNO, PROVINCIA PUNO, DEPARTAMENTO PUNO</t>
  </si>
  <si>
    <t xml:space="preserve">DEVEN % </t>
  </si>
  <si>
    <t>2411317: MEJORAMIENTO DE LOS SERVICIOS PUBLICOS DEL GOBIERNO REGIONAL PUNO - SEDE CENTRAL, DEL DISTRITO DE PUNO - PROVINCIA DE PUNO - DEPARTAMENTO DE PUNO</t>
  </si>
  <si>
    <t>2183634: MEJORAMIENTO DE LA DEFENSA RIBEREÑA EN LAS MARGENES DERECHA E IZQUIERDA DEL RIO RAMIS EN LOS TRAMOS DE SACASCO, COLLANA, CHACAMARCA, PATASCACHI, YANAOCO, TUNI GRANDE, RAMIS Y BALSAPATA DE LAS PROVINCIAS DE HUANCANE Y AZANGARO - REGION PUNO</t>
  </si>
  <si>
    <t>2520451: CREACION DEL SERVICIO DE PROTECCION EN RIBERAS DEL RIO QUELLOMAYO MARGEN DERECHO VULNERABLES ANTE EL PELIGRO DE INUNDACION EN LA LOCALIDAD DE SAN GABAN, DEL DISTRITO DE SAN GABAN - PROVINCIA DE CARABAYA - DEPARTAMENTO DE PUNO</t>
  </si>
  <si>
    <t>2016766: INICIATIVA A LA COMPETITIVIDAD</t>
  </si>
  <si>
    <t>2343538: CREACION DE LOS SERVICIOS DE PROMOCION DEL COMERCIO EXTERIOR EN LA ZEEDE PUNO - REGION DE PUNO</t>
  </si>
  <si>
    <t>2526527: MEJORAMIENTO DE LAS CAPACIDADES PARA LA PRODUCTIVIDAD Y LA COMPETITIVIDAD DE ARTESANIAS EN 13 PROVINCIAS DEL DEPARTAMENTO DE PUNO</t>
  </si>
  <si>
    <t>2187217: MEJORAMIENTO DE LA CADENA DE VALOR DE LA FIBRA DE ALPACA EN LA REGION PUNO</t>
  </si>
  <si>
    <t>2324613: MEJORAMIENTO DE LAS CAPACIDADES TECNOLOGICAS EN EL MANEJO DE CADENA PRODUCTIVA DE TRUCHA EN LA REGION PUNO</t>
  </si>
  <si>
    <t>2031310: CONSTRUCCION Y MEJORAMIENTO DE LA CARRETERA SAN JOSE (EMP. R 100) VALLE GRANDE -ISILLUMA DEL DISTRITO DE ALTO INAMBARI</t>
  </si>
  <si>
    <t>2055915: MEJORAMIENTO DE LA CARRETERA AZANGARO - SAYTOCOCHA - SANDIA - SAN JUAN DEL ORO</t>
  </si>
  <si>
    <t>2131661: CONSTRUCCION Y MEJORAMIENTO DE LA CARRETERA DESVIO VILQUECHICO-COJATA-SINA-YANAHUAYA</t>
  </si>
  <si>
    <t>2159836: MEJORAMIENTO Y CREACION DEL CAMINO VECINAL SACO-HUANACURI, DISTRITO DE COASA - CARABAYA - PUNO</t>
  </si>
  <si>
    <t>2163760: MEJORAMIENTO DE LA INFRAESTRUCTURA VIAL TURISTICO, TRAMO PHUTINI - JAYU JAYU, DISTRITO DE ACORA - PUNO - PUNO</t>
  </si>
  <si>
    <t>2185578: MEJORAMIENTO DE LA CARRETERA DV. DESAGUADERO (EMP PE 36A) - KELLUYO - PISACOMA, PROVINCIA DE CHUCUITO - PUNO</t>
  </si>
  <si>
    <t>2194702: MEJORAMIENTO DE LA CARRETERA (PU 675) POMATA - YOROHOCO, PROVINCIA DE CHUCUITO - PUNO</t>
  </si>
  <si>
    <t>2195487: MEJORAMIENTO DEL CAMINO VECINAL (EMP. PE 3S) HUAQUINA ZAPIJICANE - PTO JULI - CHUCASUYO DEL DISTRITO DE JULI - PROVINCIA DE CHUCUITO - DEPARTAMENTO DE PUNO</t>
  </si>
  <si>
    <t>2287700: MEJORAMIENTO DE LA CARRETERA PU N-110: EMP. PE-34I ASIRUNI - ROSASPATA - HUAYRAPATA - EMP. PE-34I NINANTAYA, DISTRITOS DE VILQUECHICO-ROSASPATA-MOHO-HUAYRAPATA, PROVINCIA DE HUANCANE Y MOHO - PUNO</t>
  </si>
  <si>
    <t>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</si>
  <si>
    <t>2316291: MEJORAMIENTO Y AMPLIACION DEL CIRCUITO VIAL ECO TURISTICO, CAPACHICA - SIALE - CCOTOS - PARAMIS, DISTRITOS DE CAPACHICA, AMANTANI, PROVINCIA DE PUNO - PUNO</t>
  </si>
  <si>
    <t>2321290: MEJORAMIENTO DE LOS SERVICIOS DE TRANSITABILIDAD DE LA VIA VECINAL PU-595: DV. PAMPA BLANCA - RINCONADA - CERRO LUNAR, DISTRITO DE ANANEA, PROVINCIA DE SAN ANTONIO DE PUTINA - PUNO</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</si>
  <si>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</si>
  <si>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2343199: MEJORAMIENTO DE LA CARRETERA (EMP 34B) AZANGARO - (EMP PU-102) JILA PURINA DE LOS DISTRITO DE AZANGARO - DISTRITO DE TIRAPATA - PROVINCIA DE AZANGARO - REGION PUNO</t>
  </si>
  <si>
    <t>2375549: CREACION DE LA INFRAESTRUCTURA DE INTEGRACION VIAL ENTRE SANDIA (CP. QUENEQUE) Y PATAMBUCO (C.P. TIRACA), DISTRITO DE SANDIA Y PATAMBUCO, PROVINCIA DE SANDIA - PUNO</t>
  </si>
  <si>
    <t>2443679: MEJORAMIENTO DEL SERVICIO DE TRANSITABILIDAD VEHICULAR DE LA CARRETERA TRAMO I: EMP- 34L (COJATA) - HUANCASAYA, TRAMO II: HUANCASAYA - TARUCANI-EMP-PU-115 (INCHUPALLA), DEL DISTRITO DE COJATA - PROVINCIA DE HUANCANE - DEPARTAMENTO DE PUNO</t>
  </si>
  <si>
    <t>2470024: MEJORAMIENTO DEL SERVICIO DE TRANSITABILIDAD VEHICULAR A TRAVES DE PUENTES CARROZABLES EN LAS PROVINCIAS DE CARABAYA Y SANDIA DEL DEPARTAMENTO DE PUNO</t>
  </si>
  <si>
    <t>2480499: MEJORAMIENTO DE LA CARRETERA PU 146; EMP PE - 34 I (HUANCANE) - HUERTAPATA - VISCACHANI - QUELLAHUYO - EMP PE - 34 (CACUÑA), DISTRITO DE HUANCANE - PROVINCIA DE HUANCANE - DEPARTAMENTO DE PUNO</t>
  </si>
  <si>
    <t>2250970: MEJORAMIENTO DEL SERVICIO DE CONSERVACION DE LA DIVERSIDAD BIOLOGICA EN SELVA VERDE, SAN GABAN, PUNTA PERDIDA, COTACUCHO, PUNO, JUCUMARINI, CUSHINI, RIO CONDOR, RIO TAVARA, Y PACO PACUNI, DISTRITOS DE AYAPATA, SAN GABAN, SANTA ROSA, VILQUE CHICO-PUNO</t>
  </si>
  <si>
    <t>2260735: MEJORAMIENTO DE LA GESTION INTEGRADA DE LOS RECURSOS HIDRICOS EN CUENCAS DE LA REGION PUNO</t>
  </si>
  <si>
    <t>2462296: CREACION DEL SERVICIO DE TRANSITABILIDAD A TRAVES DE LA INSTALACION DE PUENTES PEATONALES EN LAS PROVINCIAS DE CARABAYA Y SANDIA DEL DEPARTAMENTO DE PUNO</t>
  </si>
  <si>
    <t>2108576: CONSTRUCCION DEL HOSPITAL MATERNO INFANTIL DEL CONO SUR JULIACA</t>
  </si>
  <si>
    <t>2308220: MEJORAMIENTO DE LA CAPACIDAD RESOLUTIVA DEL PUESTO DE SALUD DE AYMAÑA DEL CENTRO POBLADO DE AYMAÑA DEL DISTRITO DE CORANI - PROVINCIA DE CARABAYA - DEPARTAMENTO DE PUNO</t>
  </si>
  <si>
    <t>2357089: MEJORAMIENTO DE LOS SERVICIOS DEL CENTRO DE SALUD ESTRATEGICO SIMON BOLIVAR CATEGORIA I-4 RED DE SALUD PUNO, DISTRITO PUNO - PROVINCIA DE PUNO - REGION PUNO DISTRITO DE PUNO - PROVINCIA DE PUNO - DEPARTAMENTO DE PUNO</t>
  </si>
  <si>
    <t>2357092: MEJORAMIENTO DE LA CAPACIDAD RESOLUTIVA DEL CENTRO DE SALUD COJATA I-4, DE LA MICRO RED COJATA, RED DE SALUD HUANCANE, DIRESA PUNO, DISTRITO DE COJATA - PROVINCIA DE HUANCANE - DEPARTAMENTO DE PUNO</t>
  </si>
  <si>
    <t>2435272: MEJORAMIENTO Y AMPLIACION DE LOS SERVICIOS DE SALUD DEL CENTRO DE SALUD LA REVOLUCION (NIVEL I-4) DISTRITO DE SAN MIGUEL - PROVINCIA DE SAN ROMAN - DEPARTAMENTO DE PUNO</t>
  </si>
  <si>
    <t>2450812: MEJORAMIENTO DE LOS SERVICIOS DE SALUD DEL CENTRO DE SALUD ZEPITA, MICRO RED ZEPITA, RED DE SALUD CHUCUITO, DEL DISTRITO DE ZEPITA - PROVINCIA DE CHUCUITO - DEPARTAMENTO DE PUNO</t>
  </si>
  <si>
    <t>2451529: MEJORAMIENTO DEL SERVICIO DE SALUD EN EL CENTRO DE SALUD PILCUYO DE LA MICRORED PILCUYO, RED DE SALUD EL COLLAO, DEL DISTRITO DE PILCUYO - PROVINCIA DE EL COLLAO - DEPARTAMENTO DE PUNO</t>
  </si>
  <si>
    <t>2470517: MEJORAMIENTO DE LOS SERVICIOS DE SALUD DEL CENTRO DE SALUD COPANI DE LA MICRO RED COPANI, RED DE SALUD YUNGUYO, DISTRITO DE COPANI - PROVINCIA DE YUNGUYO - DEPARTAMENTO DE PUNO</t>
  </si>
  <si>
    <t>2490087: MEJORAMIENTO Y AMPLIACION DE LOS SERVICIOS DE SALUD DEL ESTABLECIMIENTO DE SALUD NIVEL I- 4 DE LA LOCALIDAD DE TARACO, DISTRITO DE TARACO - PROVINCIA DE HUANCANE - DEPARTAMENTO DE PUNO</t>
  </si>
  <si>
    <t>2504553: MEJORAMIENTO DEL SERVICIO DE SALUD EN EL CENTRO DE SALUD YANAPATA DE LA MICRO RED COPANI, RED DE SALUD YUNGUYO, DISTRITO DE YUNGUYO - PROVINCIA DE YUNGUYO - DEPARTAMENTO DE PUNO</t>
  </si>
  <si>
    <t>2517448: MEJORAMIENTO DEL SERVICIO DE SALUD EN EL CENTRO DE SALUD SAN GABAN, DISTRITO DE SAN GABAN - PROVINCIA DE CARABAYA - DEPARTAMENTO DE PUNO</t>
  </si>
  <si>
    <t>2186641: MEJORAMIENTO DEL SERVICIO DEPORTIVO, CULTURAL Y RECREACIONAL EN LA CAPITAL DE LA REGION PUNO</t>
  </si>
  <si>
    <t>2188379: MEJORAMIENTO DEL SERVICIO EDUCATIVO DE LA INSTITUCION EDUCATIVA PRIMARIA N 70605 DOMINGO SAVIO DE JULIACA, DISTRITO DE JULIACA, PROVINCIA DE SAN ROMAN - PUNO</t>
  </si>
  <si>
    <t>2194462: INSTALACION DEL SERVICIO DE EDUCACION SECUNDARIA THOMAS ALVA EDISON EN LA URBANIZACION CHILLA - LOS ROSALES EN EL DISTRITO DE JULIACA, PROVINCIA DE SAN ROMAN.</t>
  </si>
  <si>
    <t>2196857: INSTALACION DEL SERVICIO EDUCATIVO EN LA INSTITUCION EDUCATIVA INICIAL N 986 SAN JUAN BAUTISTA DEL DISTRITO DE JULIACA, PROVINCIA DE SAN ROMAN - PUNO</t>
  </si>
  <si>
    <t>2250307: INSTALACION DEL SERVICIO EDUCATIVO ESCOLARIZADO DEL NIVEL INICIAL DE 3 A 5 AÑOS EN LA I.E.I. PICHACANI QUIRINI, DISTRITO DE MACARI, PROVINCIA MELGAR PUNO</t>
  </si>
  <si>
    <t>2250396: INSTALACION DEL SERVICIO EDUCATIVO DEL NIVEL INICIAL ESCOLARIZADO CICLO II EN LA I.E.I N 707 DEL CENTRO POBLADO DE JACHOCCO HUARACO, DISTRITO ILAVE, PROVINCIA DE EL COLLAO - DEPARTAMENTO PUNO.</t>
  </si>
  <si>
    <t>2250460: INSTALACION DEL SERVICIO EDUCATIVO DE LA INSTITUCION EDUCATIVA INICIAL CICLO II NUEVA ESPERANZA, DISTRITO DE MACARI, PROVINCIA DE MELGAR - PUNO</t>
  </si>
  <si>
    <t>2284935: MEJORAMIENTO DEL SERVICIO EDUCATIVO EN LA IES POLITECNICO REGIONAL LOS ANDES, DISTRITO DE JULIACA, PROVINCIA DE SAN ROMAN - PUNO</t>
  </si>
  <si>
    <t>2301117: MEJORAMIENTO DEL SERVICIO EDUCATIVO EN LAS INSTITUCIONES EDUCATIVAS PRIMARIAS N 70511, N 70815 Y N 72637, DISTRITO DE ORURILLO - MELGAR - PUNO</t>
  </si>
  <si>
    <t>2323700: MEJORAMIENTO DEL SERVICIO EDUCATIVO DE LAS CARRERAS DE PRODUCCION, AUTOMOTRIZ, MINERIA, CONTABILIDAD, COMPUTACION, SECRETARIADO, ENFERMERIA, LABORATORIO CLINICO Y PROTESIS DENTAL DEL IST MANUEL NUÑEZ BUTRON, JULIACA, SAN ROMAN - PUNO</t>
  </si>
  <si>
    <t>2335880: MEJORAMIENTO DEL SERVICIO EDUCATIVO DE LAS CARRERAS DE CONTABILIDAD, ENFERMERIA TECNICA, COMPUTACION E INFORMATICA, INDUSTRIA ALIMENTARIA Y PRODUCCION AGROPECUARIA DEL ISEPA, PROVINCIA DE MELGAR - PUNO</t>
  </si>
  <si>
    <t>2344253: MEJORAMIENTO DEL SERVICIO EDUCATIVO EN LA I.E.S. JOSE ANTONIO ENCINAS FRANCO, CENTRO POBLADO DE LECHEMAYO DEL DISTRITO DE SAN GABAN - PROVINCIA DE CARABAYA - DEPARTAMENTO DE PUNO</t>
  </si>
  <si>
    <t>2344324: MEJORAMIENTO DE LOS SERVICIOS EDUCATIVOS DE LA I.E.S. MANUEL GONZALES PRADA, CENTRO POBLADO DE ISANI - DISTRITO DE ZEPITA - PROVINCIA DE CHUCUITO - REGION PUNO</t>
  </si>
  <si>
    <t>2357330: MEJORAMIENTO DEL SERVICIO EDUCATIVO DE LAS CARRERAS DE PRODUCCION AGROPECUARIA, MECANICA DE PRODUCCION, COMPUTACION E INFORMATICA, ENFERMERIA TECNICA EN EL INSTITUTO SUPERIOR TECNOLOGICO PUBLICO DE HUANCANE DISTRITO DE HUANCANE - PROVINCIA DE HUANCANE - DEPARTAMENTO DE PUNO</t>
  </si>
  <si>
    <t>2357337: MEJORAMIENTO Y AMPLIACION DEL SERVICIO EDUCATIVO DE LA ESCUELA SUPERIOR DE FORMACION ARTISTICA PUBLICA (ESFAP - PUNO), DISTRITO DE PUNO - PROVINCIA DE PUNO - REGION PUNO</t>
  </si>
  <si>
    <t>2384978: MEJORAMIENTO DE LOS SERVICIOS DE EDUCACION SECUNDARIA EN LA INSTITUCION EDUCATIVA PUBLICA MILITAR INCA MANCO CAPAC , CENTRO POBLADO DE TOTORANI - DISTRITO DE PUNO - PROVINCIA DE PUNO - REGION PUNO</t>
  </si>
  <si>
    <t>2385673: MEJORAMIENTO DEL SERVICIO EDUCATIVO DE LA I.E.S. LAS MERCEDES DE LA CIUDAD DE JULIACA - DISTRITO DE JULIACA - PROVINCIA DE SAN ROMAN - DEPARTAMENTO DE PUNO</t>
  </si>
  <si>
    <t>2393398: MEJORAMIENTO DEL SERVICIO EDUCATIVO DE NIVEL SECUNDARIO EN LA I.E. A - 28 PERU BIRF CENTRO POBLADO DE AZANGARO - DISTRITO DE AZANGARO - PROVINCIA DE AZANGARO - REGION PUNO</t>
  </si>
  <si>
    <t>2411336: MEJORAMIENTO SERVICIO INTEGRAL DE LA INSTITUCION EDUCATIVA SECUNDARIA INDUSTRIAL PERU BIRF DISTRITO DE SAN MIGUEL - PROVINCIA DE SAN ROMAN - DEPARTAMENTO DE PUNO</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</si>
  <si>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</si>
  <si>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2467893: MEJORAMIENTO DEL SERVICIO EDUCATIVO DEL NIVEL SECUNDARIA DE LA I.E.S. TARACO DEL DISTRITO DE TARACO - PROVINCIA DE HUANCANE - DEPARTAMENTO DE PUNO</t>
  </si>
  <si>
    <t>2521936: MEJORAMIENTO Y AMPLIACION DEL SERVICIO DE EDUCACION SUPERIOR TECNOLOGICA EN EL INSTITUTO SUPERIOR TECNOLOGICO PUBLICO DE MACUSANI DISTRITO DE MACUSANI - PROVINCIA DE CARABAYA - DEPARTAMENTO DE PUNO</t>
  </si>
  <si>
    <t>2525250: MEJORAMIENTO Y AMPLIACION DEL SERVICIO EDUCATIVO DEL NIVEL PRIMARIA DE LA I.E. Nº 70316 SAGRADO CORAZON DE JESUS DISTRITO DE ILAVE - PROVINCIA DE EL COLLAO - DEPARTAMENTO DE PUNO</t>
  </si>
  <si>
    <t>2158850: MEJORAMIENTO DEL ESTADO NUTRICIONAL DE LA PRIMERA INFANCIA EN LA ZONA CIRCUNLACUSTRE DE LA REGION PUNO</t>
  </si>
  <si>
    <t>2131389: MEJORAMIENTO DE LA INFRAESTRUCTURA VIAL DEL CIRCUITO TURISTICO LAGO SAGRADO DE LOS INCAS - DISTRITOS CAPACHICA, CHUCUITO, PLATERIA, ACORA, ILAVE</t>
  </si>
  <si>
    <t>2547436 RECUPERACION DE ECOSISTEMAS DEGRADADAS EN ZONAS ALTOANDINAS FRONTERIZAS EN CABECERAS DE CUENCA EN LAS PROVINCIAS DE CHUCUITO, PUNO Y EL COLLAO DEL DEPARTAMENTO DE PUNO</t>
  </si>
  <si>
    <t>2549395: RECUPERACION DE ECOSISTEMAS DEGRADADOS EN LAS UNIDADES HIDROGRAFICAS: LLALLIMAYO DE LA UH 018 PUCARA Y UH 019 AZANGARO, DE LA CUENCA RAMIS DEL DEPARTAMENTO DE PUNO, REGION PUNO 5 PROVINCIAS DEL DEPARTAMENTO DE PUNO</t>
  </si>
  <si>
    <t>2566295: RECUPERACION DE ECOSISTEMAS DEGRADADOS EN ZONAS ALTO ANDINAS EN CABECERA DE CUENCA DE LAS UH0172, UH0178 Y UH0171 CUENCA SUCHES EN 4 PROVINCIAS DEL DEPARTAMENTO DE PUNO</t>
  </si>
  <si>
    <t>2250382: INSTALACION DE LOS SERVICIOS DE EDUCACION INICIAL EN LA I.E.I. CHIA, DEL C.P. DE CHIA, DEL DISTRITO DE OLLACHEA - PROVINCIA CARABAYA - REGION PUNO</t>
  </si>
  <si>
    <t>2567368 ADQUISICION DE MAMOGRAFO; EN EL(LA) EESS SAN MARTIN DE P. (MACUSANI) - MACUSANI DISTRITO DE MACUSANI, PROVINCIA CARABAYA, DEPARTAMENTO PUNO</t>
  </si>
  <si>
    <t>2567375 ADQUISICION DE TOMOGRAFO COMPUTARIZADO MULTICORTE; EN EL(LA) EESS SAN MARTIN DE P. (MACUSANI) - MACUSANI DISTRITO DE MACUSANI, PROVINCIA CARABAYA, DEPARTAMENTO PUNO</t>
  </si>
  <si>
    <t>2567368: ADQUISICION DE MAMOGRAFO; EN EL(LA) EESS SAN MARTIN DE P. (MACUSANI) - MACUSANI DISTRITO DE MACUSANI, PROVINCIA CARABAYA, DEPARTAMENTO PUNO</t>
  </si>
  <si>
    <t>2567375: ADQUISICION DE TOMOGRAFO COMPUTARIZADO MULTICORTE; EN EL(LA) EESS SAN MARTIN DE P. (MACUSANI) - MACUSANI DISTRITO DE MACUSANI, PROVINCIA CARABAYA, DEPARTAMENTO PUNO</t>
  </si>
  <si>
    <t>2611130: ADQUISICION DE ANALIZADOR DE GASES Y ELECTROLITOS, ASPIRADORA DE SECRECIONES, BOMBA DE INFUSION Y COCHE DE PARO EQUIPADO; ADEMAS DE OTROS ACTIVOS EN EL(LA) MANUEL NUÑEZ BUTRON DISTRITO DE PUNO, PROVINCIA PUNO, DEPARTAMENTO PUNO</t>
  </si>
  <si>
    <t>2611144: ADQUISICION DE ANALIZADOR DE GASES Y ELECTROLITOS, ASPIRADOR DE SECRECIONES, BOMBA DE INFUSION Y COCHE DE PARO EQUIPADO; ADEMAS DE OTROS ACTIVOS EN EL(LA) CARLOS MONJE MEDRANO DISTRITO DE JULIACA, PROVINCIA SAN ROMAN, DEPARTAMENTO PUNO</t>
  </si>
  <si>
    <t>2613817: ADQUISICION DE ECOCARDIOGRAFO, ARCO EN C, BOMBA DE INFUSION Y EQUIPO ECOGRAFO; ADEMAS DE OTROS ACTIVOS EN SIETE ESTABLECIMIENTOS DE SALUD II.1 A NIVEL DEPARTAMENTAL (PUNO)</t>
  </si>
  <si>
    <t>2570978: MEJORAMIENTO DE LOS SERVICIOS DE EDUCACION SUPERIOR DEL INSTITUTO SUPERIOR TECNOLOGICO PUBLICA DE CABANILLAS DEL DISTRITO DE CABANILLAS - PROVINCIA DE SAN ROMAN - DEPARTAMENTO DE PUNO</t>
  </si>
  <si>
    <t>2334606 AMPLIACION Y MEJORAMIENTO DE LOS SERVICIOS DE SALUD DEL PUESTO DE SALUD QUILCAPUNCU - MICRO RED PUTINA, DISTRITO DE QUILCAPUNCU, PROVINCIA DE SAN ANTONIO DE PUTINA - PUNO. Modificado con la meta 231</t>
  </si>
  <si>
    <t>2612522 MEJORAMIENTO DE LA PRODUCCION Y TRANSFORMACION DE QUESOS EN LA ASOCIACION DE PRODUCTORES LACTI SUR DE HUAPACA SANTIAGO, DISTRITO POMATA - CHUCUITO - PUNO</t>
  </si>
  <si>
    <t>2612523 5 MEJORAMIENTO E INNOVACION DE LOS TEXTILES ANCESTRALES Y ELABORACION DE TAPICES A BASE DE FIBRAS ECOLOGICAS CON APLICACIONES DE ICONOGRAFIAS ANDINAS EN LA FEDERACION DE MUJERES INDIGENAS AYMARA, DISTRITO ACORA - PUNO - PUNO</t>
  </si>
  <si>
    <t>2612524 MEJORAMIENTO E IMPLEMENTACION DE UNA PLANTA PROCESADORA DE QUINUA DE LA ASOCIACION DE PRODUCTORES MUNAY TANTANI, DISTRITO AYAVIRI - MELGAR - PUNO</t>
  </si>
  <si>
    <t>2612525  MODERNIZACION Y FORTALECIMIENTO DE LA PRODUCCION DE ARTESANIAS DE CERAMICA, DE LA ASOCIACION CHASKA PUKARA, DISTRITO PUCARA - LAMPA - PUNO</t>
  </si>
  <si>
    <t>2612528  MEJORAMIENTO DE LA PRODUCCION DE QUESOS TIPO PARIA EN LA ASOCIACION DE PRODUCTORES AGROPECUARIOS Y PROVEEDORES DE LECHE TUQUILAC, DISTRITO POMATA - CHUCUITO - PUNO</t>
  </si>
  <si>
    <t>2612530  MEJORAMIENTO EN PROCESAMIENTO Y COMERCIALIZACION DE LA FIBRA Y LANA EN LA ASOCIACION DE PRODUCTORES AGROPECUARIOS Y ARTESANOS ICHURAWI LORENA, DISTRITO ASILO - AZANGARO - PUNO</t>
  </si>
  <si>
    <t>2613370  MEJORAMIENTO DE LOS SERVICIOS DE TURISMO RURAL COMUNITARIO DE LA ASOCIACION CULTURAL ISLA TICONATA TUR ASCITTUR CP CCOTOS, DISTRITO CAPACHICA - PUNO - PUNO</t>
  </si>
  <si>
    <t>2612532  MEJORAMIENTO DEL SERVICIO DE TURISMO RURAL COMUNITARIO EN LA ASOCIACION DE MUJERES EMPRENDEDORAS ORIGINARIAS QALLARIY WARMI DE LA ISLA AMANTANI, DISTRITO AMANTANI - PUNO - PUNO</t>
  </si>
  <si>
    <t>2612533 MEJORAMIENTO DE LA TRANSFORMACION DE HABAS EN HARINAS TOSTADAS EN LA ASOCIACION DE PRODUCTORES AGROPECUARIO TRANSFORMADORES HIDROBIOLOGICO Y ARTESANOS UNION WINAYMARCA, DISTRITO YUNGUYO - YUNGUYO - PUNO</t>
  </si>
  <si>
    <t>2612535 MEJORAMIENTO DE LOS SERVICIOS DE AVENTURA, RECREACION, ECO ALOJAMIENTO RURAL Y ALIMENTACION TIPICA EN LA ASOCIACION DE TURISMO RURAL SOLIDARIO, DISTRITO CAPACHICA - PUNO - PUNO</t>
  </si>
  <si>
    <t>2612536  AMPLIACION DE LA PLANTA PROCESADORA DE YOGUR DE LA ASOCIACION DE PEQUENOS PRODUCTORES AGROPECUARIOS DE CHIARAMARCA, DISTRITO AYAVIRI - MELGAR - PUNO</t>
  </si>
  <si>
    <t>2612538 MEJORAMIENTO DE LOS SERVICIOS TURISTICOS DE GASTRONOMIA ANDINA Y ALOJAMIENTO RURAL EN LA ASOCIACION CENTRO DEL DESARROLLO TURISTICO RURAL COMUNITARIO, DISTRITO CHUCUITO - PUNO - PUNO</t>
  </si>
  <si>
    <t>2612539 MEJORAMIENTO DE LA CAPACIDAD TECNICA DE PRODUCCION DE PRENDAS EN ARTESANIA TEXTIL, EN LA ASOCIACION ARTESANAL AGROPECUARIA NUEVA ESPERANZA PILCUYO, DISTRITO ILAVE - EL COLLAO - PUNO</t>
  </si>
  <si>
    <t>2612540  MEJORAMIENTO DE LA PRODUCCION Y VALOR AGREGADO DE LA TRUCHA, EN LA ASOCIACION DE PRODUCTORES DE TRUCHA BALSEROS, DISTRITO ACORA - PUNO - PUNO</t>
  </si>
  <si>
    <t>2612541 MEJORAMIENTO DE LA PRODUCCION Y COMERCIALIZACION DE DERIVADOS LACTEOS EN LA ASOCIACION DE PRODUCTORES AGROPECUARIOS EMPRENDEDORES LOS CLAVELES DE SAN SALVADOR HUATASANI, DISTRITO HUATASANI - HUANCANE - PUNO</t>
  </si>
  <si>
    <t>2612542 8 CREACION DE UNA PLANTA DE PROCESAMIENTO Y COMERCIALIZACION DE LANA DE OVEJA EN LA ASOCIACION DE PRODUCTORES AGROPECUARIOS, ARTESANALES Y TRANSFORMADORES KJAPAQ SONQO CENTRO POBLADO DE CARATA, DISTRITO COATA - PUNO - PUNO</t>
  </si>
  <si>
    <t>2612545 AMPLIACION DE LA PLANTA DE PROCESAMIENTO DE DERIVADOS LACTEOS DE LA ASOCIACION DE PRODUCTORES AGROPECUARIOS, ARTESANOS Y TURISMO ALMOZANCHE, DISTRITO COATA - PUNO - PUNO</t>
  </si>
  <si>
    <t>2612547 MEJORAMIENTO DEL SERVICIO DE PANADERIA EN EL EMPRENDIMIENTO DE LA ASOCIACION DE PANADERIA Y PASTELERIA ARTESANAL CHUCUITO, DISTRITO CHUCUITO - PUNO - PUNO</t>
  </si>
  <si>
    <t>2612546 MEJORAMIENTO DEL VALOR AGREGADO DE LOS CULTIVOS FORRAJEROS EN EL AEO ASOCIACION DE PRODUCTORES LECHEROS 24 DE JUNIO DE LA COMUNIDAD CAMPESINA DE JACHA HUINCHOCA, DISTRITO ACORA - PUNO - PUNO</t>
  </si>
  <si>
    <t>2612549 MEJORAMIENTO DE LA PRODUCCION DE QUESOS TIPO PARIA EN LA ASOCIACION DE PRODUCTORES AGROPECUARIOS POCOAQUE HUAPACA SANTIAGO, DISTRITO POMATA - CHUCUITO - PUNO</t>
  </si>
  <si>
    <t>2613373 MEJORAMIENTO DE LA TRANSFORMACION DE LOS GRANOS ANDINOS EN EL AEO ASOCIACION DE PRODUCTORES AGROPECUARIOS MULTIPLES NUEVA IMAGEN INKAPUCARA, DISTRITO AZANGARO - AZANGARO - PUNO</t>
  </si>
  <si>
    <t>2613375 MEJORAMIENTO TECNOLOGICO DE UNA PLANTA PROCESADORA DE CAFE DE LA ASOCIACION DE AGRICULTORES Y PRODUCTORES ALTO CATARANI MUNTURANI, DISTRITO YANAHUAYA - SANDIA - PUNO</t>
  </si>
  <si>
    <t>2187217 CONTROL CONCURRENTE; TRANSFERENCIAS FINANCIERAS</t>
  </si>
  <si>
    <t>2612522: MEJORAMIENTO DE LA PRODUCCION Y TRANSFORMACION DE QUESOS EN LA ASOCIACION DE PRODUCTORES LACTI SUR DE HUAPACA SANTIAGO DEL DISTRITO DE POMATA, PROVINCIA DE CHUCUITO Y DEPARTAMENTO DE PUN</t>
  </si>
  <si>
    <t>2612541: MEJORAMIENTO DE LA PRODUCCION Y COMERCIALIZACION DE DERIVADOS LACTEOS EN LA ASOCIACION DE PRODUCTORES AGROPECUARIOS EMPRENDEDORES LOS CLAVELES DE SAN SALVADOR HUATASANI, DEL DISTRITO DE HUATASANI, PROVINCIA DE HUANCANE Y REGION DE PUNO</t>
  </si>
  <si>
    <t>2196879: MEJORAMIENTO DE LOS SERVICIOS DE EDUCACION INICIAL DE LA I. E. I. N 288 DEL CENTRO POBLADO DE QUEÑUANI, DISTRITO DE YUNGUYO - YUNGUYO - PUNO.</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</si>
  <si>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</si>
  <si>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2186641 CONTROL CONCURRENTE; TRANSFERENCIAS FINANCIERAS, 2186641 CULTURAL</t>
  </si>
  <si>
    <t>2480499 CONTROL CONCURRENTE; TRANSFERENCIAS FINANCIERAS,  CARRETERA HUERTAPATA - VISCACHAN</t>
  </si>
  <si>
    <t>2490131 CONTROL CONCURRENTE; TRANSFERENCIAS FINANCIERAS, IES CABANILLAS</t>
  </si>
  <si>
    <t>2493948 CONTROL CONCURRENTE; TRANSFERENCIAS FINANCIERAS, PUENTE CARROZABLE KALAHUALA</t>
  </si>
  <si>
    <t xml:space="preserve">2494039 CONTROL CONCURRENTE; TRANSFERENCIAS FINANCIERAS, ESTABLECIMIENTO DE SALUD UMACHIRI </t>
  </si>
  <si>
    <t>2514428 CONTROL CONCURRENTE; TRANSFERENCIAS FINANCIERAS, PUENTE YARAJA</t>
  </si>
  <si>
    <t>2506927: MEJORAMIENTO DE LOS SERVICIOS DE EDUCACION SUPERIOR TECNOLOGICA DEL IESTP JOSE ANTONIO ENCINAS, DISTRITO DE PUNO - PROVINCIA DE PUNO - DEPARTAMENTO DE PUNO</t>
  </si>
  <si>
    <t>2539673: MEJORAMIENTO Y AMPLIACION DEL SERVICIO DE EDUCACION SUPERIOR TECNOLOGICA EN EL INSTITUTO SUPERIOR TECNOLOGICO PUBLICO DE JULI, DISTRITO DE JULI - PROVINCIA DE CHUCUITO - DEPARTAMENTO DE PUNO</t>
  </si>
  <si>
    <t>2357438: CREACION DEL SERVICIO DE PROTECCION CONTRA INUNDACIONES EN LA LOCALIDAD DE JULIACA, MARGENES DERECHA E IZQUIERDA DEL RIO COATA (PROGRESIVAS KM 0+000-22+500), SECTORES UNOCOLLA, MARAVILLAS Y CACACHI SAN MIGUEL - DISTRITO DE JULIACA - PROVINCIA DE SAN ROMAN - REGION PUNO</t>
  </si>
  <si>
    <t>2232371: MEJORAMIENTO Y CONSTRUCCION DE LA CARRETERA PICHACANI - YURACMAYO DISTRITO DE PICHACANI Y SAN ANTONIO, PROVINCIA DE PUNO - PUNO</t>
  </si>
  <si>
    <t>2380088: MEJORAMIENTO Y AMPLIACION DE LOS SERVICIOS DE SALUD DEL HOSPITAL CARLOS CORNEJO ROSELLO VIZCARDO DE LA CIUDAD DE AZANGARO, DISTRITO Y PROVINCIA DE AZANGARO, DEPARTAMENTO DE PUNO</t>
  </si>
  <si>
    <t>2570943: MEJORAMIENTO Y AMPLIACION DE LOS SERVICIOS DE SALUD DEL ESTABLECIMIENTO DE SALUD OLLARAYA, DISTRITO DE OLLARAYA - PROVINCIA DE YUNGUYO - DEPARTAMENTO DE PUNO</t>
  </si>
  <si>
    <t>2250295: MEJORAMIENTO DEL SERVICIO EDUCATIVO DE NIVEL INICIAL DE LA I.E.I. TULACOLLO, DISTRITO DE KELLUYO, PROVINCIA DE CHUCUITO - PUNO.</t>
  </si>
  <si>
    <t>2.6. 8 1. 4 1 GASTO POR LA CONTRATACION DE PERSONAL</t>
  </si>
  <si>
    <t>2.6. 8 1. 4 2 GASTO POR LA COMPRA DE BIENES</t>
  </si>
  <si>
    <t>2.6. 2 2. 2 3 COSTO DE CONSTRUCCION POR ADMINISTRACION DIRECTA - PERSONAL</t>
  </si>
  <si>
    <t>2.6. 2 2. 2 5 COSTO DE CONSTRUCCION POR ADMINISTRACION DIRECTA - SERVICIOS</t>
  </si>
  <si>
    <t>2.6. 8 1. 4 3 GASTO POR LA CONTRATACION DE SERVICIOS</t>
  </si>
  <si>
    <t>2.6. 8 1. 3 1 ELABORACION DE EXPEDIENTES TECNICOS</t>
  </si>
  <si>
    <t>2.6. 3 2. 1 2 MOBILIARIO</t>
  </si>
  <si>
    <t>2.6. 3 2. 3 1 EQUIPOS COMPUTACIONALES Y PERIFERICOS</t>
  </si>
  <si>
    <t>2531093 ADQUISICION DE INCUBADORA NEONATAL Y CUNA DE CALOR RADIANTE; EN EL(LA) EESS YUNGUYO - YUNGUYO EN LA LOCALIDAD YUNGUYO, DISTRITO DE YUNGUYO, PROVINCIA YUNGUYO, DEPARTAMENTO DE PUNO</t>
  </si>
  <si>
    <t>2639523 ADQUISICION DE TOMOGRAFO COMPUTARIZADO MULTICORTE;  EN EL(LA) CARLOS MONJE MEDRANO DISTRITO DE JULIACA, PROVINCIA SAN ROMAN, DEPARTAMENTO PUNO</t>
  </si>
  <si>
    <t>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</si>
  <si>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2427364: MEJORAMIENTO DE LOS SERVICIOS DE SALUD DEL HOSPITAL ANTONIO BARRIONUEVO DISTRITO DE LAMPA - PROVINCIA DE LAMPA - DEPARTAMENTO DE PUNO</t>
  </si>
  <si>
    <t>2267525: MEJORAMIENTO DE LA CARRETERA AZANGARO (EMP. PU-113) - SAN JUAN DE SALINAS - CHUPA, DISTRITOS DE AZANGARO, SAN JUAN DE SALINAS Y CHUPA, PROVINCIA DE AZANGARO -PUNO</t>
  </si>
  <si>
    <t>2585543: MEJORAMIENTO Y AMPLIACION DEL SERVICIO DE EDUCACION SUPERIOR TECNOLOGICA EN EL INSTITUTO DE EDUCACION SUPERIOR TECNOLOGICO PUBLICO ACORA DEL DISTRITO DE ACORA DE LA PROVINCIA DE PUNO DEL DEPARTAMENTO DE PUNO</t>
  </si>
  <si>
    <t>2566572: MEJORAMIENTO Y AMPLIACION DE LOS SERVICIOS DE EDUCACION SUPERIOR DEL INSTITUTO SUPERIOR TECNOLOGICO PUBLICO DE NUÑOA DEL DISTRITO DE NUÑOA - PROVINCIA DE MELGAR - DEPARTAMENTO DE PUNO</t>
  </si>
  <si>
    <t>2527184: MEJORAMIENTO DEL SERVICIO DE TRANSITABILIDAD VIAL DEL CAMINO VECINAL TRAMO VILLA PAXA A VENTILLA (PU- 1065) DEL DISTRITO DE PUNO - PROVINCIA DE PUNO - DEPARTAMENTO DE PUNO</t>
  </si>
  <si>
    <t>2527207: RECUPERACION DEL PUENTE COLONIAL DE LAMPA, DISTRITO DE LAMPA - PROVINCIA DE LAMPA - DEPARTAMENTO DE PUNO</t>
  </si>
  <si>
    <t>2531093: ADQUISICION DE INCUBADORA NEONATAL Y CUNA DE CALOR RADIANTE; EN EL(LA) EESS YUNGUYO - YUNGUYO EN LA LOCALIDAD YUNGUYO, DISTRITO DE YUNGUYO, PROVINCIA YUNGUYO, DEPARTAMENTO PUNO</t>
  </si>
  <si>
    <t>2639523: ADQUISICION DE TOMOGRAFO COMPUTARIZADO MULTICORTE; EN EL(LA) CARLOS MONJE MEDRANO DISTRITO DE JULIACA, PROVINCIA SAN ROMAN, DEPARTAMENTO PUNO</t>
  </si>
  <si>
    <t>2292669: MEJORAMIENTO Y AMPLIACION DEL SERVICIO DEPORTIVO DEL ESTADIO MUNICIPAL DE LA LOCALIDAD DE AYAVIRI DEL DISTRITO DE AYAVIRI - PROVINCIA DE MELGAR - DEPARTAMENTO DE PUNO</t>
  </si>
  <si>
    <t>2623682: RENOVACION DE AULA DE EDUCACION SUPERIOR PEDAGOGICA, LABORATORIO Y/O TALLER Y AMBIENTE COMPLEMENTARIO; REPARACION DE CERCO Y/O PORTADA; ADEMAS DE OTROS ACTIVOS EN EL(LA) INSTITUTO DE EDUCACION SUPERIOR PEDAGOGICO HUANCANE DEL DISTRITO DE HUANCANE, PROVINCIA HUANCANE, DEPARTAMENTO PUNO</t>
  </si>
  <si>
    <t>2570033: MEJORAMIENTO DE LOS SERVICIOS DE EDUCACION SUPERIOR DEL INSTITUTO SUPERIOR TECNOLOGICO PUBLICA MUÑANI DEL DISTRITO DE MUÑANI - PROVINCIA DE AZANGARO - DEPARTAMENTO DE PUNO</t>
  </si>
  <si>
    <t>2387422: MEJORAMIENTO DE LA CARRETERA TRAMO II (PUENTE CULLCO) - PICHINCUTA - QUELCAHUECO - CORARACA DEL - DISTRITO DE ILAVE - PROVINCIA DE EL COLLAO - DEPARTAMENTO DE PUNO</t>
  </si>
  <si>
    <t>2399543: MEJORAMIENTO DEL CAMINO VECINAL EMP. R01 (DV. LOANI) - CAMICACHI - EMP. R12 (ROSACANI) DISTRITO DE ILAVE - PROVINCIA DE EL COLLAO - REGION PUNO</t>
  </si>
  <si>
    <t>2290342: MEJORAMIENTO DE LA CAPACIDAD RESOLUTIVA DE LOS SERVICIOS DEL PUESTO DE SALUD I - 1 DEL CENTRO POBLADO DE CARI CARI DEL DISTRITO DE MAÑAZO - PROVINCIA DE PUNO - DEPARTAMENTO DE PUNO</t>
  </si>
  <si>
    <t>2403888: MEJORAMIENTO DE LOS SERVICIOS DE EDUCACION SUPERIOR DEL INSTITUTO DE EDUCACION SUPERIOR TECNOLOGICO PUBLICA DESAGUADERO DEL DISTRITO DE DESAGUADERO - PROVINCIA DE CHUCUITO - DEPARTAMENTO DE PUNO</t>
  </si>
  <si>
    <t>2289661: MEJORAMIENTO DE LOS SERVICIOS EDUCATIVOS EN LA I.E.S. DOS DE MAYO DE CARACOTO, DISTRITO DE CARACOTO - SAN ROMAN - PUNO</t>
  </si>
  <si>
    <t>2.6. 2 2. 2 4 COSTO DE CONSTRUCCION POR ADMINISTRACION DIRECTA - BIENES</t>
  </si>
  <si>
    <t>2614553: MEJORAMIENTO DEL SERVICIO DE TRANSITABILIDAD VIAL INTERURBANA EN LA CARRETERA MAÑAZO PU 1077 - PU 1091, - EMP PE 34 C(LLAPAPATA - CABANILLAS) DISTRITOS DE MAÑAZO, CABANILLAS DE LAS PROVINCIAS DE PUNO, SAN ROMAN DEL DEPARTAMENTO DE PUNO</t>
  </si>
  <si>
    <t>2476464: MEJORAMIENTO Y AMPLIACION DE LOS SERVICIOS DE SALUD DEL CENTRO DE SALUD KELLUYO DEL DISTRITO DE KELLUYO - PROVINCIA DE CHUCUITO - DEPARTAMENTO DE PUNO</t>
  </si>
  <si>
    <t>2591926: MEJORAMIENTO SERVICIO DE EDUCACION SUPERIOR TECNOLOGICA EN EL INSTITUTO SUPERIOR TECNOLOGICO PUBLICO JOSE DOMINGO CHOQUEHUANCA DEL DISTRITO DE JOSE DOMINGO CHOQUEHUANCA DE LA PROVINCIA DE AZANGARO DEL DEPARTAMENTO DE PUNO</t>
  </si>
  <si>
    <t>2590087: MEJORAMIENTO DEL SERVICIO DE EDUCACION SECUNDARIA EN I.E. JOSE MARIA ARGUEDAS DISTRITO DE LLALLI DE LA PROVINCIA DE MELGAR DEL DEPARTAMENTO DE PUNO</t>
  </si>
  <si>
    <t>2519621: CREACION DEL SERVICIO DE TRANSITABILIDAD VEHICULAR Y PEATONAL EN EL JR. 7 DE JUNIO Y JR. BOLOGNESI CUADRA 10 DE LA LOCALIDAD DE YUNGUYO DEL DISTRITO DE YUNGUYO - PROVINCIA DE YUNGUYO - DEPARTAMENTO DE PUNO</t>
  </si>
  <si>
    <t>2539886: MEJORAMIENTO DEL SERVICIO EDUCATIVO DEL NIVEL INICIAL DE LA I.E. NUESTRA SEÑORA DE GUADALUPE DE LA LOCALIDAD DE COJATA DEL DISTRITO DE COJATA - PROVINCIA DE HUANCANE - DEPARTAMENTO DE PUNO</t>
  </si>
  <si>
    <t>2570365: MEJORAMIENTO DEL INSTITUTO DE EDUCACION SUPERIOR TECNOLOGICO PUBLICO SANTA LUCIA DEL DISTRITO DE SANTA LUCIA - PROVINCIA DE LAMPA - DEPARTAMENTO DE PUNO</t>
  </si>
  <si>
    <t>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</si>
  <si>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2646109: REPARACION DE TRIBUNA Y/O PALCO; CONSTRUCCION DE CAMPO DEPORTIVO Y TRIBUNA Y/O PALCO; EN EL(LA) ESTADIO MUNICIPAL DE JULI DISTRITO DE JULI, PROVINCIA CHUCUITO, DEPARTAMENTO PUNO</t>
  </si>
  <si>
    <t>2646100: CONSTRUCCION DE CAMPO DEPORTIVO Y SERVICIOS HIGIENICOS Y/O VESTIDORES PARA PERSONAL; REPARACION DE TRIBUNA Y/O PALCO; EN EL(LA) ESTADIO MUNICIPAL DE SAN PEDRO DE PUTINA PUNCO DISTRITO DE SAN PEDRO DE PUTINA PUNCO, PROVINCIA SANDIA, DEPARTAMENTO PUNO</t>
  </si>
  <si>
    <t>2646095: CONSTRUCCION DE CAMPO DEPORTIVO Y SERVICIOS HIGIENICOS Y/O VESTIDORES; REPARACION DE SERVICIOS HIGIENICOS Y/O VESTIDORES Y TRIBUNA Y/O PALCO; ADEMAS DE OTROS ACTIVOS EN EL(LA) ESTADIO MUNICIPAL DE CONIMA DISTRITO DE CONIMA, PROVINCIA MOHO, DEPARTAMENTO PUNO</t>
  </si>
  <si>
    <t>2646096: CONSTRUCCION DE TRIBUNA Y/O PALCO; REPARACION DE TRIBUNA Y/O PALCO Y CAMPO DEPORTIVO; EN EL(LA) ESTADIO JOSE CARLOS MARIATEGUI DISTRITO DE YUNGUYO, PROVINCIA YUNGUYO, DEPARTAMENTO PUNO</t>
  </si>
  <si>
    <t>2645446: REPARACION DE TRIBUNA Y/O PALCO Y PISTA DE ATLETISMO (DEPORTE RECREATIVO); CONSTRUCCION DE CAMPO DEPORTIVO; EN EL(LA) ESTADIO DE LA GRAN UNIDAD SAN CARLOS DISTRITO DE PUNO, PROVINCIA PUNO, DEPARTAMENTO PUNO</t>
  </si>
  <si>
    <t>2645444: REPARACION DE TRIBUNA Y/O PALCO; CONSTRUCCION DE CAMPO DEPORTIVO; EN EL(LA) ESTADIO MUNICIPAL DE PILCUYO DISTRITO DE PILCUYO, PROVINCIA EL COLLAO, DEPARTAMENTO PUNO</t>
  </si>
  <si>
    <t>2645380: CONSTRUCCION DE TRIBUNA Y/O PALCO, CAMPO DEPORTIVO Y PISTA DE ATLETISMO (DEPORTE RECREATIVO); REPARACION DE SERVICIOS HIGIENICOS Y/O VESTIDORES; ADEMAS DE OTROS ACTIVOS EN EL(LA) ESTADIO MUNICIPAL FERNANDO ROMERO CARREON DISTRITO DE LAMPA, PROVINCIA LAMPA, DEPARTAMENTO PUNO</t>
  </si>
  <si>
    <t>2645376: REPARACION DE TRIBUNA Y/O PALCO Y CAMPO DEPORTIVO; CONSTRUCCION DE TRIBUNA Y/O PALCO Y PISTA DE ATLETISMO (DEPORTE RECREATIVO); ADEMAS DE OTROS ACTIVOS EN EL(LA) ESTADIO MUNICIPAL DE PUTINA DISTRITO DE PUTINA, PROVINCIA SAN ANTONIO DE PUTINA, DEPARTAMENTO PUNO</t>
  </si>
  <si>
    <t>2645340: REPARACION DE TRIBUNA Y/O PALCO Y SERVICIOS HIGIENICOS Y/O VESTIDORES; CONSTRUCCION DE CAMPO DEPORTIVO; EN EL(LA) ESTADIO MUNICIPAL CRUCERO DISTRITO DE CRUCERO, PROVINCIA CARABAYA, DEPARTAMENTO PUNO</t>
  </si>
  <si>
    <t>06. JUSTICIA</t>
  </si>
  <si>
    <t>META</t>
  </si>
  <si>
    <t>PIM</t>
  </si>
  <si>
    <t>42</t>
  </si>
  <si>
    <t>2494039: MEJORAMIENTO Y AMPLIACION DE LOS SERVICIOS DE SALUD EN EL ESTABLECIMIENTO DE SALUD UMACHIRI CATEGORIA I-2 DEL DISTRITO DE UMACHIRI - PROVINCIA DE MELGAR - DEPARTAMENTO DE PUNO</t>
  </si>
  <si>
    <t>2603165: MEJORAMIENTO DEL SERVICIO DE TRANSITABILIDAD VIAL INTERURBANA EN LA CARRETERA TRAMO ACHAYA - EMP. PU 113(ARAPA), DE LOS DISTRITOS DE ACHAYA, ARAPA DE LA PROVINCIA DE AZANGARO DEL DEPARTAMENTO DE PUNO</t>
  </si>
  <si>
    <t>2600443: ADQUISICION DE SISTEMA DE CIRUGIA LAPAROSCOPICA, TOMOGRAFO, MESA DE OPERACIONES HIDRAULICA/ELECTRICA Y LAMPARA QUIRURGICA DE TECHO; ADEMAS DE OTROS ACTIVOS EN EL(LA) YUNGUYO DISTRITO DE YUNGUYO, PROVINCIA YUNGUYO, DEPARTAMENTO PUNO</t>
  </si>
  <si>
    <t>2603148: MEJORAMIENTO DE LOS SERVICIOS DE APOYO AL DESARROLLO PRODUCTIVO EN 19 UNIDADES PRODUCTORAS 19 DISTRITOS DE 7 PROVINCIAS DEL DEPARTAMENTO DE PUNO</t>
  </si>
  <si>
    <t>2612527 7 MEJORAMIENTO DEL PROCESO DE CONSERVACION Y COMERCIALIZACION DE PASTOS Y FORRAJES DE LA ASOCIACION DE PRODUCTORES GANADEROS Y AGROINDUSTRIAS LAS MERCEDES APGA LAS MERCEDES, DISTRITO PUCARA - LAMPA - PUNO</t>
  </si>
  <si>
    <t>2612529 MEJORAMIENTO DE LA PRODUCION Y COMERCIALIZACION DE PASTOS Y FORRAJES EN LA ORGANIZACION DE EMPRENDEDORES ORURILLENOS NUEVA ESPERANZA EN AGROPECUARIO Y TURISMO EN GENERAL, DISTRITO ORURILLO - MELGAR - PUNO</t>
  </si>
  <si>
    <t>2612543 MEJORAMIENTO E INNOVACION EN LA CREACION DE UN MODULO DE REPRODUCCION Y ALEVINAJE DE PEJERREY ARGENTINO DE LA ASOCIACION DE ACUICULTORES Y COMERCIANTES AQUAPES, DISTRITO PILCUYO - EL COLLAO - PUNO</t>
  </si>
  <si>
    <t>2612548 CREACION E IMPLEMENTACION DE UN CENTRO DE PRODUCCION DE FORRAJES ALTOANDINOS TRANSFORMADOS DE LA ASOCIACION DE PRODUCTORES AGROPECUARIOS 24 DE JUNIO DEL C.P. JAYU JAYU, DISTRITO ACORA -PUNO - PUNO</t>
  </si>
  <si>
    <t>2466754: RECUPERACION DEL SERVICIO DEL PUENTE CARROZABLE SOBRE EL RIO RAMIS DEL DISTRITO DE SAN ANTON - PROVINCIA DE AZANGARO - DEPARTAMENTO DE PUNO</t>
  </si>
  <si>
    <t>2650340: ADQUISICION DE MESA DE OPERACIONES HIDRAULICA/ELECTRICA, ESTERILIZADOR CON GENERADOR ELECTRICO DE VAPOR (INS), EQUIPOS BIOMEDICOS Y COCHE DE PARO; ADEMAS DE OTROS ACTIVOS EN EL(LA) PUTINA DISTRITO DE PUTINA, PROVINCIA SAN ANTONIO DE PUTINA, DEPARTAMENTO PUNO</t>
  </si>
  <si>
    <t>2657837: ADQUISICION DE AMBULANCIA URBANA; EN EL(LA) SERVICIO DE ATENCION MOVIL DE URGENCIA SAMU PUNO HOSPITAL DISTRITO DE PUNO, PROVINCIA PUNO, DEPARTAMENTO PUNO</t>
  </si>
  <si>
    <t>2599489: CONSTRUCCION DE CONSULTORIO; ADQUISICION DE EQUIPOS BIOMEDICOS Y MOBILIARIO CLINICO; EN EL(LA) HOSPITAL SANDIA DISTRITO DE SANDIA, PROVINCIA SANDIA, DEPARTAMENTO PUNO</t>
  </si>
  <si>
    <t>2616445: MEJORAMIENTO DEL SERVICIO DE EDUCACION SECUNDARIA EN I.E. CRFA LUPAKAS JULI DISTRITO DE JULI DE LA PROVINCIA DE CHUCUITO DEL DEPARTAMENTO DE PUNO</t>
  </si>
  <si>
    <t>2652984: MEJORAMIENTO DEL SERVICIO DE TRANSITABILIDAD VIAL INTERURBANA EN LA CARRETERA YOROHOCO (HUACULLANI), - KELLUYO - HITO 31 DISTRITO DE HUACULLANI DE LA PROVINCIA DE CHUCUITO DEL DEPARTAMENTO DE PUNO</t>
  </si>
  <si>
    <t>2585923: MEJORAMIENTO DEL SERVICIO DE EDUCACION PRIMARIA EN I.E. 71016 MARIA AUXILIADORA DISTRITO DE JULIACA DE LA PROVINCIA DE SAN ROMAN DEL DEPARTAMENTO DE PUNO</t>
  </si>
  <si>
    <t>2603281: MEJORAMIENTO DEL SERVICIO DE TRANSITABILIDAD VIAL INTERURBANA EN LA CARRETERA PU 764: EMP PE-34B SAN SEBASTIAN - NICASIO - LARO, EMP PU 764 (LARO) - EMP PU-117 (SANTIAGO DE PUPUJA) DISTRITOS DE NICASIO, SANTIAGO DE PUPUJA DE LAS PROVINCIAS DE LAMPA, AZANGARO DEL DEPARTAMENTO DE PUNO</t>
  </si>
  <si>
    <t>2591732: MEJORAMIENTO DEL SERVICIO DE TRANSITABILIDAD VIAL INTERURBANA EN EL TRAMO DESAGUADERO (EMP PE-36C) - PUENTE CARANCAS - HUANOCOLLO DEL DISTRITO DE DESAGUADERO DE LA PROVINCIA DE CHUCUITO DEL DEPARTAMENTO DE PUNO</t>
  </si>
  <si>
    <t>2623876: MEJORAMIENTO DEL SERVICIO DE EDUCACION SUPERIOR TECNOLOGICA EN EL INSTITUTO SUPERIOR TECNOLOGICO PUBLICO SANTA ROSA DEL DISTRITO DE SANTA ROSA DE LA PROVINCIA DE MELGAR DEL DEPARTAMENTO DE PUNO</t>
  </si>
  <si>
    <t>2651270: MEJORAMIENTO DEL SERVICIO DE TRANSITABILIDAD VIAL INTERURBANA EN EL TRAMO ALMOZANCHE (EMP. PU 118), - SAMUCHACA - SANTA CRUZ CAPARA -ESCALLANI (EMP. PU 118) DE LOS DISTRITOS DE COATA, PUSI DE LAS PROVINCIAS DE PUNO, HUANCANE DEL DEPARTAMENTO DE PUNO</t>
  </si>
  <si>
    <t>2638009: MEJORAMIENTO DEL SERVICIO DE EDUCACION SECUNDARIA EN I.E. HUARAYA DE CENTRO POBLADO HUARAYA DISTRITO DE MOHO DE LA PROVINCIA DE MOHO DEL DEPARTAMENTO DE PUNO</t>
  </si>
  <si>
    <t>2637997: MEJORAMIENTO DEL SERVICIO DE EDUCACION SECUNDARIA EN I.E. UMUCHI DISTRITO DE MOHO DE LA PROVINCIA DE MOHO DEL DEPARTAMENTO DE PUNO</t>
  </si>
  <si>
    <t>2637985: MEJORAMIENTO DEL SERVICIO DE EDUCACION SECUNDARIA EN I.E. LLAULLI DE CENTRO POBLADO LLAULLI DISTRITO DE MOHO DE LA PROVINCIA DE MOHO DEL DEPARTAMENTO DE PUNO</t>
  </si>
  <si>
    <t>2631070: RECUPERACION DE LOS SERVICIOS ECOSISTEMICOS EN 19 UNIDADES PRODUCTORAS 19 DISTRITOS DE 13 PROVINCIAS DEL DEPARTAMENTO DE PUNO</t>
  </si>
  <si>
    <t>2227389: AMPLIACION Y MEJORAMIENTO DE LA CAPACIDAD RESOLUTIVA DEL HOSPITAL DE APOYO SAN MARTIN DE PORRES DE MACUSANI, PROVINCIA DE CARABAYA - PUNO</t>
  </si>
  <si>
    <t>2649221: MEJORAMIENTO DEL SERVICIO DE TRANSITABILIDAD VIAL INTERURBANA EN POQUERA CHICO - QUIACA - HUERTAPATA EN EL DISTRITO DE QUIACA DE LA PROVINCIA DE SANDIA DEL DEPARTAMENTO DE PUNO</t>
  </si>
  <si>
    <t>2645503: MEJORAMIENTO DEL SERVICIO DE TRANSITABILIDAD VIAL INTERURBANA EN LA CARRETERA PU-1040 EMP. PU 122 (VILQUE) - EMP. PU - 1039, - EMP. PU 1035 - EMP. PU 121 (CABANA) DISTRITOS DE VILQUE, CABANA DE LAS PROVINCIAS DE PUNO, SAN ROMAN DEL DEPARTAMENTO DE PUNO</t>
  </si>
  <si>
    <t>2623873: MEJORAMIENTO DE LOS SERVICIOS EDUCACION SUPERIOR PEDAGOGICA EN EL INSTITUTO DE EDUCACION SUPERIOR PEDAGOGICO DE EDUCACION FISICA DE LAMPA DEL DISTRITO DE LAMPA DE LA PROVINCIA DE LAMPA DEL DEPARTAMENTO DE PUNO</t>
  </si>
  <si>
    <t>2623875: MEJORAMIENTO DEL SERVICIO DE EDUCACION SUPERIOR TECNOLOGICA EN INSTITUTO DE EDUCACION SUPERIOR TECNOLOGICO PUBLICO SAN SALVADOR DE CAPACHICA DISTRITO DE CAPACHICA DE LA PROVINCIA DE PUNO DEL DEPARTAMENTO DE PUNO</t>
  </si>
  <si>
    <t>2585540: MEJORAMIENTO DEL SERVICIO DE TRANSITABILIDAD VIAL INTERURBANA EN LA CARRETERA PU-139 (HDA. POTONI) - SAN JOSE, - COLLANA - EMP. PU-111 - PUENTE YARAJA (AZANGARO) DISTRITOS DE POTONI, SAN JOSE DE LA PROVINCIA DE AZANGARO DEL DEPARTAMENTO DE PUNO</t>
  </si>
  <si>
    <t>2602159: MEJORAMIENTO DEL SERVICIO DE TRANSITABILIDAD VIAL INTERURBANA EN PU-138: EMP PE-34 B - PASANOCOLLO, - PUCATILLANA - EMP PU-100 (NUÑOA) DISTRITOS DE ORURILLO, NUÑOA DE LA PROVINCIA DE MELGAR DEL DEPARTAMENTO DE PUNO</t>
  </si>
  <si>
    <t>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</si>
  <si>
    <t>2645524: MEJORAMIENTO DE LOS SERVICIOS TURISTICOS PUBLICOS EN RECURSOS TURISTICOS EN 4 UNIDADES PRODUCTORAS 4 DISTRITOS DE 3 PROVINCIAS DEL DEPARTAMENTO DE PUNO</t>
  </si>
  <si>
    <t>2026782: MEJORAMIENTO DEL CENTRO DE CAPACITACION ACUICOLA DE LA REGION PUNO</t>
  </si>
  <si>
    <t>2585398: CREACION DEL SERVICIO DE TRANSITABILIDAD VIAL INTERURBANA EN EL PUENTE CARROZABLE CAMPUCO ENTRE EL DISTRITO SANTIAGO DE PUPUJA Y ARAPA DEL DISTRITO DE SANTIAGO DE PUPUJA DE LA PROVINCIA DE AZANGARO DEL DEPARTAMENTO DE PUNO</t>
  </si>
  <si>
    <t>2585541: CREACION DEL SERVICIO DE TRANSITABILIDAD VIAL INTERURBANA EN EL PUENTE CARROZABLE SANTA ROSA DE HUAYLLATA ENTRE LOS DISTRITOS DE ILAVE Y PILCUYO DEL DISTRITO DE ILAVE DE LA PROVINCIA DE EL COLLAO DEL DEPARTAMENTO DE PUNO</t>
  </si>
  <si>
    <t>2607527: MEJORAMIENTO DEL SERVICIO DE TRANSITABILIDAD VIAL INTERURBANA EN LA CARRETERA PU - 985 (EMP. PE - 34A; DV. CHOROMA) - C.C. COARITA, PU - 992 (C.C. COARITA) - PALCA DISTRITOS DE PARATIA, PALCA DE LA PROVINCIA DE LAMPA DEL DEPARTAMENTO DE PUNO</t>
  </si>
  <si>
    <t>2625216: MEJORAMIENTO DE LOS SERVICIOS ECOSISTEMICOS EN EL RIO TOROCOCHA DE LA LOCALIDAD DE JULIACA DISTRITO DE JULIACA DE LA PROVINCIA DE SAN ROMAN DEL DEPARTAMENTO DE PUNO</t>
  </si>
  <si>
    <t>2578405: MEJORAMIENTO Y AMPLIACION DEL SERVICIO DE ATENCION DE SALUD BASICOS EN CHUPA - CHUPA DISTRITO DE CHUPA DE LA PROVINCIA DE AZANGARO DEL DEPARTAMENTO DE PUNO</t>
  </si>
  <si>
    <t>2585395: MEJORAMIENTO DEL SERVICIO DE ATENCION DE SALUD BASICOS EN CAPACHICA DISTRITO DE CAPACHICA DE LA PROVINCIA DE PUNO DEL DEPARTAMENTO DE PUNO</t>
  </si>
  <si>
    <t>2594994: MEJORAMIENTO Y AMPLIACION DEL SERVICIO DE ATENCION DE SALUD BASICOS EN ASILLO DISTRITO DE ASILLO DE LA PROVINCIA DE AZANGARO DEL DEPARTAMENTO DE PUNO</t>
  </si>
  <si>
    <t>2597167: MEJORAMIENTO DEL SERVICIO DE ATENCION DE SALUD BASICOS EN COAZA DISTRITO DE COASA DE LA PROVINCIA DE CARABAYA DEL DEPARTAMENTO DE PUNO</t>
  </si>
  <si>
    <t>2603161: MEJORAMIENTO DEL SERVICIO DE ATENCION DE SALUD BASICOS EN MAÑAZO DISTRITO DE MAÑAZO DE LA PROVINCIA DE PUNO DEL DEPARTAMENTO DE PUNO</t>
  </si>
  <si>
    <t>2623878: MEJORAMIENTO DEL SERVICIO DE ATENCION DE SALUD BASICOS EN CABANILLA DISTRITO DE CABANILLA DE LA PROVINCIA DE LAMPA DEL DEPARTAMENTO DE PUNO</t>
  </si>
  <si>
    <t>2623879: MEJORAMIENTO DEL SERVICIO DE ATENCION DE SALUD BASICOS EN LARAQUERI DISTRITO DE PICHACANI DE LA PROVINCIA DE PUNO DEL DEPARTAMENTO DE PUNO</t>
  </si>
  <si>
    <t>2632832: MEJORAMIENTO DEL SERVICIO DE ATENCION DE SALUD BASICOS EN VALLECITO DISTRITO DE PUNO DE LA PROVINCIA DE PUNO DEL DEPARTAMENTO DE PUNO</t>
  </si>
  <si>
    <t>2165276: MEJORAMIENTO DEL SERVICIO DE EDUCACION SECUNDARIA EN LA IE JULIO GABANCHO ENRIQUEZ DE LA CIUDAD DE MACUSANI, DISTRITO DE MACUSANI, PROVINCIA DE CARABAYA - PUNO</t>
  </si>
  <si>
    <t>2194501: INSTALACION DEL SERVICIO EDUCATIVO DE LA INSTITUCION EDUCATIVA SECUNDARIA SANTA MONICA EN EL DISTRITO DE JULIACA, PROVINCIA DE SAN ROMAN - PUNO.</t>
  </si>
  <si>
    <t>2194504: INSTALACION DEL SERVICIO EDUCATIVO DEL NIVEL SECUNDARIO EN LA I.E.S. RODOLFO DIESEL, DISTRITO DE JULIACA, PROVINCIA SAN ROMAN - PUNO.</t>
  </si>
  <si>
    <t>2244071: MEJORAMIENTO DEL SERVICIO DE EDUCACION PRIMARIA EN LA I.E. N 72596 CESAR VALLEJO DE LA CIUDAD DE PUTINA, DISTRITO DE PUTINA, PROVINCIA DE SAN ANTONIO DE PUTINA - PUNO</t>
  </si>
  <si>
    <t>2250558: MEJORAMIENTO DE LOS SERVICIOS EDUCATIVOS DE LA INSTITUCION EDUCATIVA PRIMARIA N 72659 DE AYAVIRI, DISTRITO DE AYAVIRI, PROVINCIA DE MELGAR - PUNO</t>
  </si>
  <si>
    <t>2188542: MEJORAMIENTO DE LA CAPACIDAD DE PRESTACION DE SERVICIOS DEPORTIVOS EN EL ESTADIO GUILLERMO BRICEÑO ROSAMEDINA DE LA CIUDAD DE JULIACA, PROVINCIA DE SAN ROMAN - PUNO</t>
  </si>
  <si>
    <t>2161480: MEJORAMIENTO DE LA CARRETERA MACUSANI - ABRA SUSUYA, DISTRITO DE MACUSANI, PROVINCIA DE CARABAYA - PUNO</t>
  </si>
  <si>
    <t>2178716: MEJORAMIENTO DE LA CARRETERA CALACOTA - SANTA ROSA DE HUAYLLATA (RUTA R-11) DISTRITO DE ILAVE PROVINCIA DE EL COLLAO - PUNO</t>
  </si>
  <si>
    <t>2307608: MEJORAMIENTO DE LOS SERVICIOS DE TRANSITABILIDAD VEHICULAR Y PEATONAL DE LA VIA DE ACCESO A LA LOCALIDAD DE COATA, DISTRITO DE COATA - PROVINCIA DE PUNO - DEPARTAMENTO DE PUNO</t>
  </si>
  <si>
    <t>2454312: CREACION DEL PUENTE CARROZABLE DE INTERCONEXION ENTRE LOS C.P. QUEQUERANA Y C.P. NINANTAYA DEL DISTRITO DE MOHO - PROVINCIA DE MOHO - DEPARTAMENTO DE PUNO</t>
  </si>
  <si>
    <t>2196858: MEJORAMIENTO DE SERVICIOS DE EDUCACION INICIAL ESCOLARIZADA EN LA I.E.I. N 214 NIÑO JESUS DE PRAGA DEL DISTRITO DE PLATERIA, PROVINCIA PUNO, REGION PUNO</t>
  </si>
  <si>
    <t>2196860: MEJORAMIENTO DE LOS SERVICIOS DE EDUCACION INICIAL EN LA I.E.I. NRO. 357 SAN JOSE DE LA URBANIZACION SAN JOSE II ETAPA, DEL DISTRITO DE JULIACA, PROVINCIA DE SAN ROMAN - PUNO.</t>
  </si>
  <si>
    <t>2451476: MEJORAMIENTO DE LOS SERVICIOS DE EDUCACION INICIAL EN LA I.E.I. N° 1594 CALLACHOCO DEL DISTRITO DE PILCUYO - PROVINCIA DE EL COLLAO - DEPARTAMENTO DE PUNO</t>
  </si>
  <si>
    <t>2163853: MEJORAMIENTO DEL ESTADIO MUNICIPAL CESAR RAUL CARRERA DEL DISTRITO DE AZANGARO, PROVINCIA DE AZANGARO - PUNO</t>
  </si>
  <si>
    <t>2279375: MEJORAMIENTO DE LOS SERVICIOS DE SALUD DEL HOSPITAL DE APOYO ILAVE, PROVINCIA DE EL COLLAO - REGION PUNO</t>
  </si>
  <si>
    <t>2555837: REPARACION DE CAMPO DEPORTIVO; ADQUISICION DE EQUIPO NO DEPORTIVO PARA INSTALACIONES DEPORTIVAS; EN EL(LA) ESTADIO ENRIQUE TORRES BELON DISTRITO DE PUNO, PROVINCIA PUNO, DEPARTAMENTO PUNO</t>
  </si>
  <si>
    <t>2166678: MEJORAMIENTO DE LA CAPACIDAD RESOLUTIVA DEL CENTRO DE SALUD LA RINCONADA CATEGORIA I-4, DISTRITO DE ANANEA, PROVINCIA DE SAN ANTONIO DE PUTINA - PUNO</t>
  </si>
  <si>
    <t>2570369: MEJORAMIENTO DE LOS SERVICIOS DE EDUCACION SUPERIOR DEL INSTITUTO SUPERIOR TECNOLOGICO PUBLICA SAN JUAN DEL ORO DEL DISTRITO DE SAN JUAN DEL ORO - PROVINCIA DE SANDIA - DEPAR</t>
  </si>
  <si>
    <t>2532916: CREACION DEL SERVICIO DE PROTECCION EN RIBERAS DEL RIO LORIPONGO Y MOLLA AMBOS MARGENES VULNERABLES ANTE EL PELIGRO DE INUNDACION EN LA LOCALIDAD DE LARAQUERI Y CENTRO POBLADO DE HUARIJUYO DEL DISTRITO DE PICHACANI - PROVINCIA DE PUNO - DEPARTAMENTO DE PUNO</t>
  </si>
  <si>
    <t>2603155: MEJORAMIENTO DE LOS SERVICIOS DE APOYO AL DESARROLLO PRODUCTIVO EN 37 UNIDADES PRODUCTORAS 37 DISTRITOS DE 11 PROVINCIAS DEL DEPARTAMENTO DE PUNO</t>
  </si>
  <si>
    <t>2293239: MEJORAMIENTO DE LOS SERVICIOS DE EDUCACION SECUNDARIA EN LA I.E. SEÑOR DE HUANCA, DEL C.P. DE SAN JOSE DE CACHIPASCANA DEL DISTRITO DE SAN ANTONIO - PROVINCIA DE PUNO - DEPARTAMENTO DE PUNO</t>
  </si>
  <si>
    <t>2196877: MEJORAMIENTO DEL SERVICIO EDUCATIVO DE LA I.E.I. NRO. 288 YANAHUAYA, DISTRITO DE YANAHUAYA, PROVINCIA DE SANDIA - PUNO.</t>
  </si>
  <si>
    <t>2326588: MEJORAMIENTO DE LOS SERVICIOS DE APOYO A LA CADENA PRODUCTIVA DE CAFES ESPECIALES EN LOS DISTRITOS DE COASA, ITUATA, OLLACHEA, USICAYOS, LIMBANI, PATAMBUCO Y PHARA DE LAS PROVINCIAS DE CARABAYA Y SANDIA - REGION PUNO</t>
  </si>
  <si>
    <t>2250398: INSTALACION DEL SERVICIO EDUCATIVO DEL NIVEL INICIAL EN LA I.E.I. N 791 DE CHALLACOLLO, DISTRITO DE POMATA, PROVINCIA DE CHUCUITO PUNO</t>
  </si>
  <si>
    <t>2185111: MEJORAMIENTO DE LA CARRETERA (PU 112) PUTINA - MUÑANI, DISTRITOS DE PUTINA Y MUÑANI, PROVINCIAS DE SAN ANTONIO DE PUTINA Y AZANGARO - PUNO</t>
  </si>
  <si>
    <t>2488048: CREACION DEL SERVICIO DE ANALISIS DE BIOLOGIA MOLECULAR DE DIAGNOSTICO COVID-19 EN EL LABORATORIO DE REFERENCIA REGIONAL DE LA DIRESA PUNO, DISTRITO DE PUNO - PROVINCIA DE PUNO - DEPARTAMENTO DE PUNO</t>
  </si>
  <si>
    <t>2490075: MEJORAMIENTO DEL SERVICIO EDUCATIVO DEL NIVEL SECUNDARIA DE LA I.E. AGROPECUARIO SAN JUAN DEL ORO EN EL DISTRITO DE SAN JUAN DEL ORO - PROVINCIA DE SANDIA - DEPARTAMENTO DE PUNO</t>
  </si>
  <si>
    <t>2662467: MEJORAMIENTO DEL SERVICIO DE EDUCACION SUPERIOR TECNOLOGICA EN EL INSTITUTO SUPERIOR TECNOLOGICO PUBLICA CHUPA DEL DISTRITO DE CHUPA DE LA PROVINCIA DE AZANGARO DEL DEPARTAMENTO DE PUNO</t>
  </si>
  <si>
    <t>2652473: MEJORAMIENTO DEL SERVICIO DE EDUCACION INICIAL EN I.E. 944 DISTRITO DE JULIACA DE LA PROVINCIA DE SAN ROMAN DEL DEPARTAMENTO DE PUNO</t>
  </si>
  <si>
    <t>2651271: MEJORAMIENTO DEL SERVICIO DE TRANSITABILIDAD VIAL INTERURBANA EN EL TRAMO ALMOZANCHE (EMP PU 118) - SUCASCO - SORAZA, - COYLATA URCUNIMUNI - HATUN AYLLU (EMP PU 118) DE LOS DISTRITOS DE COATA, PUSI DE LAS PROVINCIAS DE PUNO, HUANCANE DEL DEPARTAMENTO DE PUNO</t>
  </si>
  <si>
    <t>2538950: MEJORAMIENTO DEL SERVICIO EDUCATIVO DEL NIVEL PRIMARIO DE LA I.E. 71008 EN EL DISTRITO DE LAMPA - PROVINCIA DE LAMPA - DEPARTAMENTO DE PUNO</t>
  </si>
  <si>
    <t>2680577: MEJORAMIENTO DE LA PRODUCCION DE LECHE DE LA ASOCIACION DE MUJERES EMPRENDEDORES LECHEROS Y AGROPECUARIOS QUINSACHATA AMELAQ, DISTRITO DE CABANILLA, PROVINCIA DE LAMPA, DEPARTAMENTO DE PUNO</t>
  </si>
  <si>
    <t>2680578: MEJORAMIENTO DEL PROCESO Y CALIDAD DEL QUESO TIPO PARIA DE LA ASOCIACION LACTEOS LIKHA QUINSACHATA SOCIEDAD COMERCIAL DE RESPONSABILIDAD LIMITADA, DISTRITO CABANILLA, PROVINCIA LAMPA, REGION PUNO.</t>
  </si>
  <si>
    <t>2676417: MEJORAMIENTO Y ADOPCION DE TECNOLOGIAS EN LA PRODUCCION DE VACUNOS DE CARNE EN LA ASOCIACION DE AGRO PECUARIOS HALLP A LLANK AY DEL DISTRITO DE ASILLO, PROVINCIA DE AZANGARO, REGION PUNO</t>
  </si>
  <si>
    <t>2680581: MEJORAMIENTO DE LOS SERVICIOS TURISTICOS DE AVENTURA, VIVENCIAL, ALOJAMIENTO Y ALIMENTACION RURAL EN LA ASOCIACION DE EMPRENDEDORES TURISTICOS, AGROPECUARIOS, ECOLOGICOS Y ARTESANIA SUMA AMTAWI, DISTRITO ACORA, PROVINCIA PUNO, REGION PUNO.</t>
  </si>
  <si>
    <t>2681273: MEJORAMIENTO DE LA PRODUCCION Y PRODUCTIVIDAD DE LA LECHE FRESCA EN LA ASOCIACION DE PRODUCTORES AGROPECUARIOS Y DERIVADOS LACTEOS ALLIN LLANKAY MACARIMAYO UMACHIRI MELGAR DEL DISTRITO DE UMACHIRI PROVINCIA DE MELGAR REGION DE PUNO.</t>
  </si>
  <si>
    <t>2676418: MEJORAMIENTO DE UNA PLANTA PROCESADORA DE LECHE PARA LA ELABORACION DE QUESOS FRESCOS TIPO PARIA DE LA ASOCIACION DE PRODUCTORES AGROPECUARIOS VILLA ACASSO APROAVA, DISTRITO DE PILCUYO, PROVINCIA DE EL COLLAO, REGION DE PUNO</t>
  </si>
  <si>
    <t>2676420: MEJORAMIENTO DE LA PRODUCCION DEL CULTIVO DE AJO MEDIANTE USO INTENSIVO DE MAQUINARIA AGRICOLA DE LA ASOCIACION DE PRODUCTORES AGROPECUARIOS QOTALAKA DEL DISTRITO DE ACORA , PROVINCIA DE PUNO, REGION PUNO</t>
  </si>
  <si>
    <t>2680582: MEJORAMIENTO DE LA PRODUCCION DE LECHE EN LA ASOCIACION DE PRODUCTORES AGROPECUARIOS DE LLULLUCHANI, DEL DISTRITO DE ATUNCOLLA, PROVINCIA PUNO, DEPARTAMENTO PUNO.</t>
  </si>
  <si>
    <t>2680584: MEJORAMIENTO DE LOS SERVICIOS TURISTICOS DE AVENTURA, VIVENCIAL, ALOJAMIENTO Y ALIMENTACION RURAL EN LA ASOCIACION DE ARTESANIA Y TURISMO INKATIANA TIKARY DE LA ISLA AMANTANI, DISTRITO DE AMANTANI, PROVINCIA DE PUNO Y REGION DE PUNO</t>
  </si>
  <si>
    <t>2681120: MEJORAMIENTO TECNOLOGICO DEL VALOR AGREGADO DE HABAS EN LA ASOCIACION DE PRODUCTORES AGRARIOS Y PECUARIOS NUEVO PROGRESO TAUCAMAYA, DISTRITO DE COPANI, PROVINCIA DE YUNGUYO, REGION PUNO.</t>
  </si>
  <si>
    <t>2676421: MEJORAMIENTO DE LA PRODUCTIVIDAD Y POST COSECHA DE LA CANIHUA EN LA ASOCIACION DE PRODUCTORES AGROPECUARIOS AGROINDUSTRIAL Y ARTESANAL SAN JUAN DE DIOS LAMPA, DISTRITO LAMPA, PROVINCIA LAMPA, REGION PUNO.</t>
  </si>
  <si>
    <t>2676422: MEJORAMIENTO DE LA COMPETITIVIDAD PRODUCTIVA DE LA CERAMICA TRADICIONAL DE CHECCA PUPUJA EN LA ASOCIACION CERAMICA TRADICIONAL ANCESTRAL CHACCA PUPUJA, DISTRITO DE JOSE DOMINGO CHOQUEHUANCA, PROVINCIA DE AZANGARO, REGION PUNO.</t>
  </si>
  <si>
    <t>2676423: MEJORAMIENTO EN LA PRODUCCION DE QUESOS TIPO PARIA EN LA ASOCIACION DE PRODUCTORES DE LECHE Y SUS DERIVADOS PIAS MILAN DE LA COMUNIDAD DE HUAYTA, DISTRITO DE LAMPA, PROVINCIA DE LAMPA DEL DEPARTAMENTO DE PUNO.</t>
  </si>
  <si>
    <t>2676424: MEJORAMIENTO DE LA PLANTA PROCESADORA DE CAFE PARA LA ELABORACION DE CAFE TOSTADO MOLIDO DE LA COOPERATIVA AGRARIA CAFETALERA SAN IGNACIO LTDA., DISTRITO DE SAN PEDRO DE PUTINA PUNCO, PROVINCIA DE SANDIA, REGION DE PUNO</t>
  </si>
  <si>
    <t>2681121: MEJORAMIENTO DE LA PRODUCCION DE PRENDAS DE ARTESANIA TEXTIL EN LA ASOCIACION DE PRODUCTORES RITA POMA DEL TAWANTINSUYO PUNO, DISTRITO PUNO, PROVINCIA PUNO Y REGION PUNO</t>
  </si>
  <si>
    <t>2676425: MEJORAMIENTO DE LA PRODUCCION Y LA CALIDAD DE LECHE FRESCA EN LA ASOCIACION DE JOVENES PRODUCTORES AGROPECUARIOS COMUNI, DISTRITO ASILLO, PROVINCIA AZANGARO, REGION PUNO</t>
  </si>
  <si>
    <t>2676426: MEJORAMIENTO DE LA PRODUCTIVIDAD Y GENERACION DE VALOR AGREGADO DEL GRANO DE QUINUA PARA SU COMERCIALIZACION EN LA ASOCIACION DE PRODUCTORES AGROPECUARIOS AGROINDUSTRIALES KAPIA DEL DISTRITO DE YUNGUYO, PROVINCIA DE YUNGUYO, DEPARTAMENTO DE PUNO.</t>
  </si>
  <si>
    <t>2676427: MEJORAMIENTO DE LA PRODUCCION DE LECHE FRESCA EN LA ASOCIACION DE PRODUCTORES AGROPECUARIOS, AGROINDUSTRIALES, ARTESANALES CCACCALLACTA AMPATUIRE ORURILLO, DISTRITO ORURILLO, PROVINCIA MELGAR, REGION PUNO</t>
  </si>
  <si>
    <t>2676428: MEJORAMIENTO DE LA PRODUCCION Y COMERCIALIZACION DE DERIVADOS LACTEOS EN LA ASOCIACION DE PRODUCTORES DE LECHE Y DERIVADOS LACTEOS AGUAS TERMALES ZONA SUR PUTINA DEL DISTRITO DE PUTINA, PROVINCIA DE SAN ANTONIO DE PUTINA DEPARTAMENTO DE PUNO</t>
  </si>
  <si>
    <t>2676429: MEJORAMIENTO DE LA PRODUCCION DE LECHE DE LA ASOCIACION DE PRODUCTORES AGROPECUARIOS ESTABLO DONGA PUNO PERU DE DISTRITO DE ORURILLO, PROVINCIA DE MELGAR, REGION PUNO.</t>
  </si>
  <si>
    <t>2676430: MEJORAMIENTO DEL PROCESO DE PANIFICACION DE GRANOS ANDINOS EN LA ASOCIACION DE PRODUCTORES AGROPECUARIOS AGROINDUSTRIALES Y SERVICIOS MULTIPLES JC3 APAASM JC3 EN EL DISTRITO DE ILAVE PROVINCIA EL COLLAO REGION PUNO</t>
  </si>
  <si>
    <t>2676431: MEJORAMIENTO DE LA PRODUCCION TEXTIL DE FIBRA DE ALPACA EN LA ASOCIACION DE PRODUCTORES AGROPECUARIOS AGROINDUSTRIALES Y ARTESANOS HUAYLLAPUJO, DISTRITO DE SANTA ROSA, PROVINCIA DE EL COLLAO, REGION PUNO</t>
  </si>
  <si>
    <t>2681122: MEJORAMIENTO DE LA PRODUCCION Y PRODUCTIVIDAD DE CANIHUA EN LA ASOCIACION DE PRODUCTORES AGROINDUSTRIALES SUMAQ LLANQAY LAMPA DEL DISTRITO DE LAMPA, PROVINCIA DE LAMPA, REGION PUNO</t>
  </si>
  <si>
    <t>2676432: CREACION DE LA PLANTA DE PROCESO DE ELABORACION DE PAN DE QUINUA DE LA ASOCIACION DE TRANSFORMADORES DE GRANOS ANDINOS EN PANADERIA Y PASTELERIA ARTESANAL EL SOL DE LAMPA, DEL DISTRITO DE LAMPA, PROVINCIA DE LAMPA, REGION PUNO.</t>
  </si>
  <si>
    <t>2681125: MEJORAMIENTO DE LA PRODUCTIVIDAD Y CALIDAD DE LECHE FRESCA EN LA ASOCIACION DE PRODUCTORES AGROPECUARIOS DE GANADO VACUNO LECHERO ARTESANAL KANCHAQ WASI DE COMUNIDAD COLCA ATUNCOLLA, DISTRITO DE ATUNCOLLA, PROVINCIA DE PUNO, REGION PUNO</t>
  </si>
  <si>
    <t>2681126: MEJORAMIENTO DE LA CAPACIDADES PRODUCTIVAS DE QUESO TIPO PARIA EN LA ASOCIACION DE PRODUCTORES AGROPECUARIOS VIRGEN DE ROSARIO BALSAPATA. DEL DISTRITO DE ORURILLO, PROVINCIA DE MELGAR, REGION PUNO.</t>
  </si>
  <si>
    <t>2681128: MEJORAMIENTO DE LA PRODUCCION DE QUESOS TIPO PARIA DE LA ASOCIACION DE PRODUCTORES ORGANICOS AGROPECUARIOS Y AGROINDUSTRIALES LA LIBERTAD NUNOA, DISTRITO DE NUNOA, PROVINCIA DE MELGAR, REGION PUNO</t>
  </si>
  <si>
    <t>2681129: CREACION DE UN TALLER TEXTIL PARA LA ELABORACION DE PRENDAS DE VESTIR Y ARTICULOS DE FIBRA DE ALPACA, DE LA ASOCIACION 24 DE JUNIO CHAJANA EN EL DISTRITO DE COJATA, PROVINCIA DE HUANCANE, DEPARTAMENTO DE PUNO</t>
  </si>
  <si>
    <t>2676434: MEJORAMIENTO DE LA PRODUCCION DE LECHE EN LA ASOCIACION DE PRODUCTORES AGROPECUARIOS ARTESANOS DE LA CUENCA DE LOS RIOS SACHAMAYO Y CARA CARA VIRGEN DE LAS NIEVES, DEL DISTRITO DE LAMPA, PROVINCIA DE LAMPA Y DEPARTAMENTO DE PUNO</t>
  </si>
  <si>
    <t>2681278: MEJORAMIENTO DEL PROCESO DE PRODUCCION DE SELECCIONADOR DE TRUCHAS EN MAQUINARIAS ACUITROUT SOCIEDAD COMERCIAL DE RESPONSABILIDAD DE LA COMUNIDAD DE KOLLPAJAHUIRA, DISTRITO DE JULI, PROVINCIA DE CHUCUITO, DEPARTAMENTO DE PUNO</t>
  </si>
  <si>
    <t>2676435: MEJORAMIENTO DEL PROCESO DE ENGORDE Y COMERCIALIZACION DE GANADO VACUNO EN LA ASOCIACION DE PRODUCTORES AGROPECUARIOS STMA. TRINIDAD DE CCACCAPUNCO EN EL DISTRITO DE VILQUE, PROVINCIA PUNO Y REGION PUNO</t>
  </si>
  <si>
    <t>2676436: AMPLIACION DE LA PLANTA PROCESADORA DE LECHE PARA LA ELABORACION DE QUESOS DE LA ASOCIACION DE PRODUCTORES DE LECHE Y DERIVADOS LACTEOS VIRGEN DE ASUNCION ROSASPATA, DISTRITO DE ROSASPATA, PROVINCIA DE HUANCANE, REGION PUNO</t>
  </si>
  <si>
    <t>2681276: MEJORAMIENTO EN LA CAPACIDAD TECNICA DE PRODUCCION DE PRENDAS DE TEXTIL DE TEJIDO A MANO DE ALTO RELIEVE DE FIBRA DE ALPACA DE LA ASOCIACION DE MUJERES ARTESANAS VIRGEN DE CANDELARIA PICHACANI QUIRINE DISTRITO MACARI, PROVINCIA MELGAR, REGION PUNO</t>
  </si>
  <si>
    <t>2676437: MEJORAMIENTO DE LA PRODUCCION DE QUESOS EN LA COOPERATIVA AGRARIA LAGO AZUL PHARATA DEL DISTRITO DE ILAVE, PROVINCIA DE EL COLLAO, REGION PUNO</t>
  </si>
  <si>
    <t>2681132: MEJORAMIENTO DE LA CAPACIDAD PRODUCTIVA DE CAFE TOSTADO Y MOLIDO EN LA COOPERATIVA AGRARIA EN INNOVACION TECNOLOGICA MONTANA AZUL LIMITADA, DISTRITO DE SAN PEDRO DE PUTINA PUNCO, PROVINCIA DE SANDIA, REGION PUNO.</t>
  </si>
  <si>
    <t>2676438: MEJORAMIENTO DE LA PRODUCCION DE MIEL DE ABEJA DE LA ASOCIACION DE APICULTORES Y PRODUCTORES AGROPECUARIOS DEL VALLE YANAHUAYA, DEL DISTRITO DE YANAHUARA PROVINCIA DE SANDIA DEPARTAMENTO DE PUNO</t>
  </si>
  <si>
    <t>2676439: MEJORAMIENTO DEL VALOR AGREGADO DE CULTIVOS FORRAJEROS PARA LA ELABORACION DE ALIMENTOS BALANCEADOS EN LA ASOCIACION DE PRODUCTORES LAS TOTURITAS DE TORASAYA DEL DISTRITO DE PLATERIA, PROVINCIA DE PUNO DEPARTAMENTO DE PUNO</t>
  </si>
  <si>
    <t>2681133: MEJORAMIENTO DE LA PRODUCCION DE QUESOS TIPO PARIA PASTEURIZADO DE LA CENTRAL DE ASOCIACIONES GANADEROS LECHEROS Y AGRARIOS DEL DISTRITO DE VILQUE, DISTRITO DE VILQUE, PROVINCIA DE PUNO, REGION PUNO</t>
  </si>
  <si>
    <t>2650268: MEJORAMIENTO DEL SERVICIO DE EDUCACION INICIAL EN I.E. 1243 DISTRITO DE MAÑAZO DE LA PROVINCIA DE PUNO DEL DEPARTAMENTO DE PUNO</t>
  </si>
  <si>
    <t>2603160: MEJORAMIENTO DE LOS SERVICIOS DE APOYO AL DESARROLLO PRODUCTIVO EN 4 UNIDADES PRODUCTORAS 4 DISTRITOS DE LAS PROVINCIAS DE SANDIA, CARABAYA DEL DEPARTAMENTO DE PUNO</t>
  </si>
  <si>
    <t>2683535: MEJORAMIENTO DEL SERVICIO DE SEGURIDAD CIUDADANA LOCAL EN 73 UNIDADES PRODUCTORAS 73 DISTRITOS DE 11 PROVINCIAS DEL DEPARTAMENTO DE PUNO 11 PROVINCIAS DEL DEPARTAMENTO DE PUNO</t>
  </si>
  <si>
    <t>2668521: ADQUISICION DE AMBULANCIA ACUATICA; EN DOS ESTABLECIMIENTOS DE SALUD I.2 A NIVEL PROVINCIAL (PUNO - YUNGUYO)</t>
  </si>
  <si>
    <t>2684028: ADQUISICION DE AMBULANCIA URBANA; EN ONCE ESTABLECIMIENTOS DE SALUD II.1, ESTABLECIMIENTOS DE SALUD II.2 A NIVEL DEPARTAMENTAL (PUNO)</t>
  </si>
  <si>
    <t>2606991: MEJORAMIENTO DEL SERVICIO DE EDUCACION INICIAL EN I.E. 69 DISTRITO DE ANTAUTA DE LA PROVINCIA DE MELGAR DEL DEPARTAMENTO DE PUNO</t>
  </si>
  <si>
    <t>2676419: MEJORAMIENTO DEL SISTEMA DE ENVASADO Y PRODUCCION DE AGUA DE MANANTIAL EN LA EMBASADORA DE AGUA NATIVIDAD S.A.C., DEL DISTRITO DE HUACULLANI, PROVINCIA CHUCUITO, REGION PUNO</t>
  </si>
  <si>
    <t>2681274: MEJORAMIENTO DEL PROCESO DE PRODUCCION DE ARTICULOS MECANICOS EN LA CORPORACION MARSAD S.A.C. DEL DISTRITO DE PUNO, PROVINCIA DE PUNO, REGION DE PUNO</t>
  </si>
  <si>
    <t>2681123: MEJORAMIENTO EN EL PROCESO DE VALOR AGREGADO DE TRUCHAS EN LA EMPRESA AMERICAN TROUT FARO S.R.L. EN EL DISTRITO DE POMATA, PROVINCIA DE CHUCUITO Y DEPARTAMENTO DE PUNO.</t>
  </si>
  <si>
    <t>2676433: MEJORAMIENTO DE LA CAPACIDAD PRODUCTIVA DE PRENDAS A BASE DE FIBRA DE ALPACA DE LA EMPRESA JOMATEX SRL, DISTRITO JULIACA, PROVINCIA SAN ROMAN, REGION PUNO.</t>
  </si>
  <si>
    <t>2681130: MEJORAMIENTO DE LA PRODUCCION DEL ENVASADO DE AGUA DE MESA DE LA EMPRESA GRUPO ANCCASI SOCIEDAD ANONIMA CERRADA DEL DISTRITO DE CORANI, PROVINCIA CARABAYA, DEPARTAMENTO PUNO</t>
  </si>
  <si>
    <t>2676440: MEJORAMIENTO DE LA PRODUCCION Y LA PRODUCTIVIDAD DE QUESO TIPO PARIA PASTEURIZADO DE LA EMPRESA DE PRODUCCION AGROPECUARIA MICA ASUNCION SAC DEL, DISTRITO DE AZANGARO, PROVINCIA AZANGARO, DEPARTAMENTO PUNO.</t>
  </si>
  <si>
    <t>2685431: ADQUISICION DE AMBULANCIA URBANA, CAMIONETA, CAMION PLATAFORMA Y CAMION CISTERNA; ADEMAS DE OTROS ACTIVOS EN CINCO COMPAÑIA DE BOMBEROS</t>
  </si>
  <si>
    <t>2656599: 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</si>
  <si>
    <t>2673441: MEJORAMIENTO DEL SERVICIO DE TRANSITABILIDAD VIAL INTERURBANA EN LA CARRETERA PU-1115 (EMP. PE-3S: INGENIO - EMP. PU-1116: ICHU) - PU-1116 (EMP. PU-1115: ICHU - EMP. PE-3S: SALLIHUA CALLEJON) DEL DISTRITO DE PUNO DE LA PROVINCIA DE PUNO DEL DEPARTAMENTO DE PUNO</t>
  </si>
  <si>
    <t>2657043: MEJORAMIENTO Y AMPLIACION DEL SERVICIO DE ATENCION DE SALUD BASICOS EN MOHO DISTRITO DE MOHO DE LA PROVINCIA DE MOHO DEL DEPARTAMENTO DE PUNO</t>
  </si>
  <si>
    <t>2685776: ADQUISICION DE ANALIZADOR DE GASES Y ELECTROLITOS, ESPECTROFOTOMETRO, EQUIPO DE RAYOS X DENTAL Y BIDESTILADOR DE AGUA; ADEMAS DE OTROS ACTIVOS EN EL(LA) MOHO DISTRITO DE MOHO, PROVINCIA MOHO, DEPARTAMENTO PUNO</t>
  </si>
  <si>
    <t>2551456: MEJORAMIENTO DE LOS SERVICIOS DE SALUD DEL CENTRO DE SALUD GUADALUPE, DISTRITO DE JULIACA - PROVINCIA DE SAN ROMAN - DEPARTAMENTO DE PUNO</t>
  </si>
  <si>
    <t>2649856: MEJORAMIENTO DEL SERVICIO DE EDUCACION INICIAL EN I.E. 312 DE CENTRO POBLADO JAYU JAYU DISTRITO DE ACORA DE LA PROVINCIA DE PUNO DEL DEPARTAMENTO DE PUNO</t>
  </si>
  <si>
    <t>2649798: MEJORAMIENTO DEL SERVICIO DE EDUCACION INICIAL EN I.E. 056 DISTRITO DE CRUCERO DE LA PROVINCIA DE CARABAYA DEL DEPARTAMENTO DE PUNO</t>
  </si>
  <si>
    <t>2649804: MEJORAMIENTO DEL SERVICIO DE EDUCACION INICIAL EN I.E. 50 DISTRITO DE ORURILLO DE LA PROVINCIA DE MELGAR DEL DEPARTAMENTO DE PUNO</t>
  </si>
  <si>
    <t>2649854: MEJORAMIENTO DEL SERVICIO DE EDUCACION INICIAL EN I.E. 1291 CORAZON DE JESUS DISTRITO DE ACORA DE LA PROVINCIA DE PUNO DEL DEPARTAMENTO DE PUNO</t>
  </si>
  <si>
    <t>2649858: MEJORAMIENTO DEL SERVICIO DE EDUCACION INICIAL EN I.E. EDUARDITOS DISTRITO DE PICHACANI DE LA PROVINCIA DE PUNO DEL DEPARTAMENTO DE PUNO</t>
  </si>
  <si>
    <t>2649855: MEJORAMIENTO DEL SERVICIO DE EDUCACION INICIAL EN I.E. 258 DISTRITO DE ACORA DE LA PROVINCIA DE PUNO DEL DEPARTAMENTO DE PUNO</t>
  </si>
  <si>
    <t>2649797: MEJORAMIENTO DEL SERVICIO DE EDUCACION INICIAL EN I.E. 1450 HUELLITAS DE MONTESSORI MIRAMAR DISTRITO DE MOHO DE LA PROVINCIA DE MOHO DEL DEPARTAMENTO DE PUNO</t>
  </si>
  <si>
    <t>2649805: MEJORAMIENTO DEL SERVICIO DE EDUCACION INICIAL EN I.E. 881 DISTRITO DE CABANILLA DE LA PROVINCIA DE LAMPA DEL DEPARTAMENTO DE PUNO</t>
  </si>
  <si>
    <t>2196834: MEJORAMIENTO DE LOS SERVICIOS DE EDUCACION INICIAL EN LA I.E.I. CUCURAYA DE LA COMUNIDAD DE CUCURAYA, DISTRITO DE TILALI, PROVINCIA DE MOHO - PUNO.</t>
  </si>
  <si>
    <t>2488653: MEJORAMIENTO DE LOS SERVICIOS EDUCATIVOS EN LA INSTITUCION EDUCATIVA SECUNDARIA SAN JUAN DE MACHACMARCA EN EL CENTRO POBLADO DE MACHACMARCA DEL DISTRITO DE VILQUE - PROVINCIA DE PUNO - DEPARTAMENTO DE PUNO</t>
  </si>
  <si>
    <t>2618450: MEJORAMIENTO DEL SERVICIO DE EDUCACION PRIMARIA EN I.E. 70001 DISTRITO DE PUNO DE LA PROVINCIA DE PUNO DEL DEPARTAMENTO DE PUNO</t>
  </si>
  <si>
    <t>2649852: MEJORAMIENTO DEL SERVICIO DE EDUCACION INICIAL EN I.E. 325 DISTRITO DE PUNO DE LA PROVINCIA DE PUNO DEL DEPARTAMENTO DE PUNO</t>
  </si>
  <si>
    <t>2652119: MEJORAMIENTO DEL SERVICIO DE EDUCACION PRIMARIA EN I.E. 70802 DISTRITO DE PUNO DE LA PROVINCIA DE PUNO DEL DEPARTAMENTO DE PUNO</t>
  </si>
  <si>
    <t>2646859: MEJORAMIENTO DEL SERVICIO DE TRANSITABILIDAD VIAL INTERURBANA EN LA PU - 145 (EMP. PE - 34 I: HUANCANE, - EMP. PE - 34 H: HUATASANI) DE LOS DISTRITOS DE HUANCANE, HUATASANI DE LA PROVINCIA DE HUANCANE DEL DEPARTAMENTO DE PUNO</t>
  </si>
  <si>
    <t>2490131: MEJORAMIENTO DEL SERVICIO DE EDUCACION SECUNDARIA DE LA IES CABANILLAS, DISTRITO DE CABANILLAS - PROVINCIA DE SAN ROMAN - DEPARTAMENTO DE PUNO</t>
  </si>
  <si>
    <t>2673614: MEJORAMIENTO DEL SERVICIO DE EDUCACION INICIAL EN I.E. HUARISANI RENJACHI DE CENTRO POBLADO HUARISANI DISTRITO DE HUANCANE DE LA PROVINCIA DE HUANCANE DEL DEPARTAMENTO DE PUNO</t>
  </si>
  <si>
    <t>2664940: MEJORAMIENTO DEL SERVICIO DE EDUCACION INICIAL EN I.E. 1099 INMACULADA DISTRITO DE PUTINA DE LA PROVINCIA DE SAN ANTONIO DE PUTINA DEL DEPARTAMENTO DE PUNO</t>
  </si>
  <si>
    <t>2591951: MEJORAMIENTO DEL SERVICIO DE TRANSITABILIDAD VIAL INTERURBANA EN EL CAMINO VECINAL DEL KM0+000 (DESVIO PUENTE OCRA CHUPA) AL KM 6+373 (C.P. PEDRO VILCAPAZA DE MORORCCO), DISTRITO DE MUÑANI DE LA PROVINCIA DE AZANGARO DEL DEPARTAMENTO DE PUNO</t>
  </si>
  <si>
    <t>2649789: MEJORAMIENTO DEL SERVICIO DE ATENCION DE SALUD BASICOS EN CALLACAMI DISTRITO DE JULI DE LA PROVINCIA DE CHUCUITO DEL DEPARTAMENTO DE PUNO</t>
  </si>
  <si>
    <t>2649780: MEJORAMIENTO DEL SERVICIO DE ATENCION DE SALUD BASICOS EN ACOCOLLO DISTRITO DE HUANCANE DE LA PROVINCIA DE HUANCANE DEL DEPARTAMENTO DE PUNO</t>
  </si>
  <si>
    <t>2649788: MEJORAMIENTO DEL SERVICIO DE ATENCION DE SALUD BASICOS EN CALLAZA DISTRITO DE HUACULLANI DE LA PROVINCIA DE CHUCUITO DEL DEPARTAMENTO DE PUNO</t>
  </si>
  <si>
    <t>2649786: MEJORAMIENTO DEL SERVICIO DE ATENCION DE SALUD BASICOS EN PASIRI DISTRITO DE JULI DE LA PROVINCIA DE CHUCUITO DEL DEPARTAMENTO DE PUNO</t>
  </si>
  <si>
    <t>2649778: MEJORAMIENTO DEL SERVICIO DE ATENCION DE SALUD BASICOS EN CHIJNAYA DISTRITO DE PUCARA DE LA PROVINCIA DE LAMPA DEL DEPARTAMENTO DE PUNO</t>
  </si>
  <si>
    <t>2515272: RECUPERACION DEL PUENTE COLGANTE PEATONAL SOBRE EL RIO INAMBARI EN LA LOCALIDAD SANTA ROSA YANAMAYO DEL DISTRITO DE ALTO INAMBARI - PROVINCIA DE SANDIA - DEPARTAMENTO DE PUNO</t>
  </si>
  <si>
    <t>2634040: MEJORAMIENTO DEL SERVICIO DE TRANSITABILIDAD VIAL INTERURBANA EN EL CAMINO VECINAL, TRAMO DESVIO PUCARA - POBLACION SALINAS - ASILLO SALINAS (KM 0+000 - 1+900) DEL DISTRITO DE SAN JUAN DE SALINAS DE LA PROVINCIA DE AZANGARO DEL DEPARTAMENTO DE PUNO</t>
  </si>
  <si>
    <t>2693433: ADQUISICION DE EQUIPO DE AULA DE EDUCACION INICIAL; EN EL(LA) I.E. GLORIOSO SAN CARLOS DISTRITO DE PUNO, PROVINCIA PUNO, DEPARTAMENTO PUNO</t>
  </si>
  <si>
    <t>2692840: ADQUISICION DE EQUIPO DE AULA DE EDUCACION PRIMARIA; EN EL(LA) I.E. GLORIOSO SAN CARLOS DISTRITO DE PUNO, PROVINCIA PUNO, DEPARTAMENTO PUNO</t>
  </si>
  <si>
    <t>2693441: ADQUISICION DE EQUIPO DE AULA DE EDUCACION SECUNDARIA; EN EL(LA) I.E. GLORIOSO SAN CARLOS DISTRITO DE PUNO, PROVINCIA PUNO, DEPARTAMENTO PUNO</t>
  </si>
  <si>
    <t>2282351: MEJORAMIENTO DE SERVICIO TRANSITABILIDAD VEHICULAR Y PEATONAL DE LA AV. TAMBOPATA TRAMO AV. SAN MARTIN - AV. CIRCUNVALACION II DE LA CIUDAD DE JULIACA, PROVINCIA DE SAN ROMAN - PUNO</t>
  </si>
  <si>
    <t>2 6. 2 3. 2 3 COSTO DE CONSTRUCCION POR CONTRATA</t>
  </si>
  <si>
    <t>2.6. 2  2. 3 2 COSTO DE CONTRUCCION POR CONTRATA</t>
  </si>
  <si>
    <t>2496010: ADQUISICION DE PLANTA GENERADORA DE OXIGENO MEDICINAL, GRUPO ELECTROGENO, CONCENTRADOR DE OXIGENO Y CAMA CAMILLA MULTIPROPOSITO; ADEMAS DE OTROS ACTIVOS EN NUEVE ESTABLECIMIENTOS DE SALUD II.1 A NIVEL PROVINCIAL</t>
  </si>
  <si>
    <t>2693367: ADQUISICION DE EQUIPO DE ANESTESIA, ELECTROBISTURI, ELECTROBISTURI Y ELECTROBISTURI; ADEMAS DE OTROS ACTIVOS EN EL(LA) SAN JUAN DE DIOS (AYAVIRI) JR SANTA ROSA DISTRITO DE AYAVIRI, PROVINCIA MELGAR, DEPARTAMENTO PUNO</t>
  </si>
  <si>
    <t>2691682: ADQUISICION DE MESA DE OPERACIONES HIDRAULICA/ELECTRICA, EQUIPO ECOGRAFO - ULTRASONIDO, EQUIPO ECOGRAFO Y ELECTROENCEFALOGRAFO; ADEMAS DE OTROS ACTIVOS EN EL(LA) ANTONIO BARRIONUEVO (LAMPA) DISTRITO DE LAMPA, PROVINCIA LAMPA, DEPARTAMENTO PUNO</t>
  </si>
  <si>
    <t>2692290: ADQUISICION DE EQUIPO DE ANESTESIA, VENTILADOR MECANICO, SISTEMA DE CIRUGIA LAPAROSCOPICA Y SISTEMA DE VIDEO GASTROENDOSCOPIA; ADEMAS DE OTROS ACTIVOS EN EL(LA) HOSPITAL SAN MARTIN DE PORRES DISTRITO DE MACUSANI, PROVINCIA CARABAYA, DEPARTAMENTO PUNO</t>
  </si>
  <si>
    <t>2692846: ADQUISICION DE EQUIPO ECOGRAFO, MESA HIDRAULICA PARA OPERACION QUIRURGICA, LAVADORA SECADORA AUTOMATICA Y INCUBADORA DE TRANSPORTE (SAMU); ADEMAS DE OTROS ACTIVOS EN EL(LA) CARLOS CORNEJO ROSELLO DISTRITO DE AZANGARO, PROVINCIA AZANGARO, DEPARTAMENTO PUNO</t>
  </si>
  <si>
    <t>2511009: MEJORAMIENTO DEL SERVICIO VIAL URBANO DE LA AVENIDA INDUSTRIAL DEL CENTRO POBLADO DE SALCEDO, DISTRITO DE PUNO - PROVINCIA DE PUNO - DEPARTAMENTO DE PUNO</t>
  </si>
  <si>
    <t>2651086: MEJORAMIENTO DEL SERVICIO DE EDUCACION INICIAL EN I.E. 1226 DISTRITO DE MAÑAZO DE LA PROVINCIA DE PUNO DEL DEPARTAMENTO DE PUNO</t>
  </si>
  <si>
    <t>2662786: MEJORAMIENTO DEL SERVICIO DE EDUCACION PRIMARIA EN I.E. 72662 DE CENTRO POBLADO CALLA DISTRITO DE SAN JUAN DE SALINAS DE LA PROVINCIA DE AZANGARO DEL DEPARTAMENTO DE PUNO</t>
  </si>
  <si>
    <t>2694246: ADQUISICION DE MAMOGRAFO, COLONOVIDEOENDOSCOPIO, MESA DE OPERACIONES HIDRAULICA/ELECTRICA Y CALDERO; ADEMAS DE OTROS ACTIVOS EN EL(LA) HOSPITAL REGIONAL MANUEL NUÑEZ BUTRON HOSPITAL REGIONAL MANUEL NUÑEZ BUTRON DISTRITO DE PUNO, PROVINCIA PUNO, DEPARTAMENTO PUNO</t>
  </si>
  <si>
    <t>2657867: 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</si>
  <si>
    <t>2669946: MEJORAMIENTO DEL SERVICIO DE PRACTICA DEPORTIVA Y/O RECREATIVA EN ESTADIO MUNICIPAL DE MOHO DISTRITO DE MOHO DE LA PROVINCIA DE MOHO DEL DEPARTAMENTO DE PUNO</t>
  </si>
  <si>
    <t>2656882: MEJORAMIENTO DEL SERVICIO DE EDUCACION SECUNDARIA EN I.E. AGROINDUSTRIAL MAXIMO SAN ROMAN CACERES DE AJJATIRA, DE CENTRO POBLADO SANTIAGO AJJATIRA DISTRITO DE PEDRO VILCA APAZA DE LA PROVINCIA DE SAN ANTONIO DE PUTINA DEL DEPARTAMENTO DE PUNO</t>
  </si>
  <si>
    <t>2661648: CREACION DEL SERVICIO DE TRANSITABILIDAD VIAL INTERURBANA EN EL PUENTE COLGANTE PEATONAL DE CENTRO POBLADO COHASIA DISTRITO DE HUANCANE DE LA PROVINCIA DE HUANCANE DEL DEPARTAMENTO DE PUNO</t>
  </si>
  <si>
    <t>2655389: CREACION DEL SERVICIO DE TRANSITABILIDAD VIAL INTERURBANA EN EL PUENTE CHOQUENASA DE LA CARRETERA PU-1243 DEL DISTRITO DE ILAVE DE LA PROVINCIA DE EL COLLAO DEL DEPARTAMENTO DE PUNO</t>
  </si>
  <si>
    <t>2653737: MEJORAMIENTO DEL SERVICIO DE TRANSITABILIDAD VIAL INTERURBANA EN LA CARRETRA PU-144 (EMP. PE-34L: SOLITARIO, - EMP. PU-115: INCHUPALLA) DE LOS DISTRITOS DE VILQUE CHICO, INCHUPALLA DE LA PROVINCIA DE HUANCANE DEL DEPARTAMENTO DE PUNO</t>
  </si>
  <si>
    <t>2670620: MEJORAMIENTO DEL SERVICIO DE TRANSITABILIDAD VIAL INTERURBANA EN LA CARRETERA JOSE DOMINGO CHOQUEHUANCA - QUEQUERANA, - PRIMER CHIMPA JILAHUATA - DV CAYRAHUIRE DE LOS DISTRITOS DE JOSE DOMINGO CHOQUEHUANCA, AZANGARO DE LA PROVINCIA DE AZANGARO DEL DEPARTAMENTO DE PUNO</t>
  </si>
  <si>
    <t>2659575: MEJORAMIENTO DEL SERVICIO DE EDUCACION INICIAL EN I.E. 1223 DIVINO NIÑO JESUS DISTRITO DE COATA DE LA PROVINCIA DE PUNO DEL DEPARTAMENTO DE PUNO</t>
  </si>
  <si>
    <t>2657159: 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</si>
  <si>
    <t>2657484: CONSTRUCCION DE PUENTE; EN EL(LA) CARRETERA PU-111 (PUENTE TINTIRI) DEL DISTRITO DE AZANGARO, PROVINCIA AZANGARO, DEPARTAMENTO PUNO</t>
  </si>
  <si>
    <t>2660479: MEJORAMIENTO DEL SERVICIO DE EDUCACION SECUNDARIA EN I.E. 20 DE ENERO DISTRITO DE JULIACA DE LA PROVINCIA DE SAN ROMAN DEL DEPARTAMENTO DE PUNO</t>
  </si>
  <si>
    <t>EJECUCIÓN POR ADMINISTRACIÓN DIRECTA - DIRECTIVA 17</t>
  </si>
  <si>
    <t>2690009: CONSTRUCCION DE LOSA DEPORTIVA; ADQUISICION DE EQUIPAMIENTO DE AULA DE INNOVACION PEDAGOGICA Y MOBILIARIO DE AULA DE INNOVACION PEDAGOGICA; EN EL(LA) I.E. 70064 SAN MARTIN DE PORRES DISTRITO DE PUNO, PROVINCIA PUNO, DEPARTAMENTO PUNO</t>
  </si>
  <si>
    <t>2194989: MEJORAMIENTO DE LOS SERVICIOS EDUCATIVOS EN LA INSTITUCION EDUCATIVA SECUNDARIA DANTE NAVA DEL CENTRO POBLADO SANTA CRUZ DE PUNA AYLLU, DISTRITO DE PATAMBUCO, PROVINCIA DE SANDIA, REGION PUNO</t>
  </si>
  <si>
    <t>2493948: CREACION DEL PUENTE CARROZABLE EN EL SECTOR CANGALLE DE LA COMUNIDAD DE KALAHUALA DISTRITO DE ASILLO - PROVINCIA DE AZANGARO - DEPARTAMENTO DE PUNO</t>
  </si>
  <si>
    <t>2662668: MEJORAMIENTO DEL SERVICIO DE EDUCACION PRIMARIA EN I.E. 72060 DE CENTRO POBLADO YURAJCHUPA DISTRITO DE SAN JUAN DE SALINAS DE LA PROVINCIA DE AZANGARO DEL DEPARTAMENTO DE PUNO</t>
  </si>
  <si>
    <t>2699544: ADQUISICION DE EQUIPAMIENTO DE AULA; EN SIETE II.EE. INICIAL DISTRITO DE SAN JUAN DE SALINAS, PROVINCIA AZANGARO, DEPARTAMENTO PUNO</t>
  </si>
  <si>
    <t>2500458: MEJORAMIENTO DEL SERVICIO EDUCATIVO EN LA IEP N° 70477 SAGRADO CORAZON DE JESUS DEL DISTRITO DE AYAVIRI - PROVINCIA DE MELGAR - DEPARTAMENTO DE PUNO</t>
  </si>
  <si>
    <t>2474102: MEJORAMIENTO DEL SERVICIO DE PROTECCION FRENTE A TORMENTAS ELECTRICAS EN 4 PROVINCIAS DEL DEPARTAMENTO DE PUNO</t>
  </si>
  <si>
    <t>2681264: MEJORAMIENTO DEL SERVICIO DE TRANSITABILIDAD VIAL INTERURBANA EN LA CARRETERA PU-727 (PUCARA - CHIJNAYA) DEL DISTRITO DE PUCARA DE LA PROVINCIA DE LAMPA DEL DEPARTAMENTO DE PUNO</t>
  </si>
  <si>
    <t>2661660: MEJORAMIENTO DEL SERVICIO DE TRANSITABILIDAD VIAL INTERURBANA EN LA CARRETERA DESAGUADERO - LLALLAHUA, - VISTA ALEGRE - CHIMU - ANCOPUTO - ALTO PATACOLLO - HUAPACA SAN MIGUEL DE LOS DISTRITOS DE DESAGUADERO, ZEPITA DE LA PROVINCIA DE CHUCUITO DEL DEPARTAMENTO DE PUNO</t>
  </si>
  <si>
    <t>2654509: MEJORAMIENTO DEL SERVICIO DE TRANSITABILIDAD VIAL INTERURBANA EN LA CARRETERA PU 141: EMP. PU-111 (DV CAMBRIA) - CAMBRIA, - EMP PU - 112 (DV COLLPANI) DE LOS DISTRITOS DE PUTINA, MUÑANI DE LAS PROVINCIAS DE SAN ANTONIO DE PUTINA, AZANGARO DEL DEPARTAMENTO DE PUNO</t>
  </si>
  <si>
    <t>2196910: INSTALACION DEL SERVICIO EDUCATIVO EN LA INSTITUCION EDUCATIVA INICIAL AMAQUILLA CICLO II, DISTRITO DE COPANI - YUNGUYO - PUNO</t>
  </si>
  <si>
    <t>2230776: MEJORAMIENTO DE LOS SERVICIOS DE EDUCACION INICIAL DE LA I.E.I. Nº 597 DEL CENTRO POBLADO DE PALCA, DISTRITO OLLACHEA - CARABAYA - PUNO</t>
  </si>
  <si>
    <t>2711034: ADQUISICION DE ESTERILIZADOR; EN SIETE ESTABLECIMIENTOS DE SALUD II.1, ESTABLECIMIENTOS DE SALUD II.2 DISTRITO DE PUNO, PROVINCIA PUNO, DEPARTAMENTO PUNO</t>
  </si>
  <si>
    <t>2658003: MEJORAMIENTO DEL SERVICIO DE ATENCION DE SALUD BASICOS EN ACCASO DISTRITO DE PILCUYO DE LA PROVINCIA DE EL COLLAO DEL DEPARTAMENTO DE PUNO</t>
  </si>
  <si>
    <t>2649790: MEJORAMIENTO DEL SERVICIO DE ATENCION DE SALUD BASICOS EN CHEJANI DISTRITO DE PHARA DE LA PROVINCIA DE SANDIA DEL DEPARTAMENTO DE PUNO</t>
  </si>
  <si>
    <t>220</t>
  </si>
  <si>
    <t>26</t>
  </si>
  <si>
    <t>222</t>
  </si>
  <si>
    <t>59</t>
  </si>
  <si>
    <t>60</t>
  </si>
  <si>
    <t>61</t>
  </si>
  <si>
    <t>254</t>
  </si>
  <si>
    <t>255</t>
  </si>
  <si>
    <t>2652118: MEJORAMIENTO DEL SERVICIO DE EDUCACION PRIMARIA EN I.E. 70726 DISTRITO DE PUNO DE LA PROVINCIA DE PUNO DEL DEPARTAMENTO DE PUNO</t>
  </si>
  <si>
    <t>2652120: MEJORAMIENTO DEL SERVICIO DE EDUCACION PRIMARIA EN I.E. 70682 DISTRITO DE PUNO DE LA PROVINCIA DE PUNO DEL DEPARTAMENTO DE PUNO</t>
  </si>
  <si>
    <t>2655774: MEJORAMIENTO DEL SERVICIO DE EDUCACION SECUNDARIA EN I.E. SOLLOCOTA DE CENTRO POBLADO VIRGEN DEL ROSARIO SOLLOCOTA DISTRITO DE SAN JOSE DE LA PROVINCIA DE AZANGARO DEL DEPARTAMENTO DE PUNO</t>
  </si>
  <si>
    <t>2664647: MEJORAMIENTO DEL SERVICIO DE EDUCACION SECUNDARIA EN I.E. JOSE CARLOS MARIATEGUI DISTRITO DE SAN JUAN DE SALINAS DE LA PROVINCIA DE AZANGARO DEL DEPARTAMENTO DE PUNO</t>
  </si>
  <si>
    <t>2673628: MEJORAMIENTO DEL SERVICIO DE EDUCACION PRIMARIA EN I.E. 72289 DE CENTRO POBLADO HUARISANI DISTRITO DE HUANCANE DE LA PROVINCIA DE HUANCANE DEL DEPARTAMENTO DE PUNO</t>
  </si>
  <si>
    <t>2653926: MEJORAMIENTO DEL SERVICIO DE TRANSITABILIDAD VIAL INTERURBANA EN LA CARRETERA PU 672 (EMP PE 3S-PTE. SANTA ROSA) - QUISHUARA - SANTA CRUZ- PU 673 (SANTA CRUZ-EMP. PU 680), PU 683 (MACARI, - LLALLI) DE LOS DISTRITOS DE MACARI, CUPI DE LA PROVINCIA DE MELGAR DEL DEPARTAMENTO DE PUNO</t>
  </si>
  <si>
    <t>2654549: MEJORAMIENTO DEL SERVICIO DE TRANSITABILIDAD VIAL INTERURBANA EN LA CARRETERA PU-1376 (EMP PE-38 - CUIPACUIPA) - CUIPACUIPA - EMP PU - 132 (FRONTERA CON TACNA) DEL DISTRITO DE SANTA ROSA DE LA PROVINCIA DE EL COLLAO DEL DEPARTAMENTO DE PUNO</t>
  </si>
  <si>
    <t>2656878: MEJORAMIENTO DEL SERVICIO DE TRANSITABILIDAD VIAL INTERURBANA EN LA CARRETERA PU 535(COASA - TAMBILLO), - PU 534 (EMP PU 100 -TAYACUCHO - TAMBILLO) DE LOS DISTRITOS DE COASA, ITUATA DE LA PROVINCIA DE CARABAYA DEL DEPARTAMENTO DE PUNO</t>
  </si>
  <si>
    <t>2657953: 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</si>
  <si>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</si>
  <si>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2649800: MEJORAMIENTO DEL SERVICIO DE EDUCACION INICIAL EN I.E. 1337 VISTA ALEGRE DISTRITO DE JULIACA DE LA PROVINCIA DE SAN ROMAN DEL DEPARTAMENTO DE PUNO</t>
  </si>
  <si>
    <t>2649803: MEJORAMIENTO DEL SERVICIO DE EDUCACION INICIAL EN I.E. 72 DISTRITO DE PEDRO VILCA APAZA DE LA PROVINCIA DE SAN ANTONIO DE PUTINA DEL DEPARTAMENTO DE PUNO</t>
  </si>
  <si>
    <t>2649853: MEJORAMIENTO DEL SERVICIO DE EDUCACION INICIAL EN I.E. 1240 NIÑO JESUS DISTRITO DE VILQUE DE LA PROVINCIA DE PUNO DEL DEPARTAMENTO DE PUNO</t>
  </si>
  <si>
    <t>2649857: MEJORAMIENTO DEL SERVICIO DE EDUCACION INICIAL EN I.E. SAN JERONIMO DISTRITO DE ATUNCOLLA DE LA PROVINCIA DE PUNO DEL DEPARTAMENTO DE PUNO</t>
  </si>
  <si>
    <t>2652121: MEJORAMIENTO DEL SERVICIO DE EDUCACION INICIAL EN I.E. 1205 DISTRITO DE PUNO DE LA PROVINCIA DE PUNO DEL DEPARTAMENTO DE PUNO</t>
  </si>
  <si>
    <t>2649779: MEJORAMIENTO DEL SERVICIO DE ATENCION DE SALUD BASICOS EN HUAYCHO DISTRITO DE NUÑOA DE LA PROVINCIA DE MELGAR DEL DEPARTAMENTO DE PUNO</t>
  </si>
  <si>
    <t>2649782: MEJORAMIENTO DEL SERVICIO DE ATENCION DE SALUD BASICOS EN CAYARANI DISTRITO DE ORURILLO DE LA PROVINCIA DE MELGAR DEL DEPARTAMENTO DE PUNO</t>
  </si>
  <si>
    <t>2649793: MEJORAMIENTO DEL SERVICIO DE ATENCION DE SALUD BASICOS EN NINANTAYA DISTRITO DE MOHO DE LA PROVINCIA DE MOHO DEL DEPARTAMENTO DE PUNO</t>
  </si>
  <si>
    <t>2649794: MEJORAMIENTO DEL SERVICIO DE ATENCION DE SALUD BASICOS EN SACUYO RIO GRANDE DISTRITO DE ACORA DE LA PROVINCIA DE PUNO DEL DEPARTAMENTO DE PUNO</t>
  </si>
  <si>
    <t>2154443: MEJORAMIENTO DEL ESTADO NUTRICIONAL DEL NIÑO MENOR DE TRES AÑOS Y LA MADRE GESTANTE EN LAS PROVINCIAS DE AZANGARO, LAMPA Y SAN ROMAN DE LA REGION PUNO</t>
  </si>
  <si>
    <t>2159149: MEJORAMIENTO DE LAS CAPACIDADES PARA PREVENIR LA DESNUTRICION CRONICA, EN MENORES DE 3 AÑOS EN LAS PROVINCIAS DE CARABAYA, MELGAR Y SANDIA DE LA REGION PUNO</t>
  </si>
  <si>
    <t>315</t>
  </si>
  <si>
    <t>2659574: MEJORAMIENTO DEL SERVICIO DE EDUCACION SECUNDARIA EN I.E. JOSE ABELARDO QUIÑONES GONZALES DISTRITO DE MOHO DE LA PROVINCIA DE MOHO DEL DEPARTAMENTO DE PUNO</t>
  </si>
  <si>
    <t>2539948.MEJORAMIENTO DEL SERVICIO DE TRANSITABILIDAD VIAL INTERURBANA EN EL CAMINO VECINAL R2106057 - TRAMO DESVIO CHUQUIAGUILLO, CUYURAYA, CHICASCO, ISAÑCUYO, SINTICUYO Y HUANCARANI DEL DISTRITO DE VILQUE CHICO DE LA PROVINCIA DE HUANCANE DEL DEPARTAMENT</t>
  </si>
  <si>
    <t>2681028.MEJORAMIENTO DEL SERVICIO DE EDUCACION SECUNDARIA EN I.E. JOSE CARLOS MARIATEGUI DISTRITO DE ILAVE DE LA PROVINCIA DE EL COLLAO DEL DEPARTAMENTO DE PUNO</t>
  </si>
  <si>
    <t>2681092.MEJORAMIENTO DEL SERVICIO DE TRANSITABILIDAD VIAL INTERURBANA EN LA CARRETERA EMP. PU 115: VIZCACHANI, - TOQUEPANI - LLOCOLLOCO - EMP. PU 115: INCHUPALLA DISTRITOS DE HUATASANI, INCHUPALLA DE LA PROVINCIA DE HUANCANE DEL DEPARTAMENTO DE PUNO</t>
  </si>
  <si>
    <t>2186641.MEJORAMIENTO DEL SERVICIO DEPORTIVO, CULTURAL Y RECREACIONAL EN LA CAPITAL DE LA REGION PUNO</t>
  </si>
  <si>
    <t>2717147.MEJORAMIENTO DE LOS SERVICIOS TURISTICOS DE AVENTURA Y ALOJAMIENTO RURAL EN LA ASOCIACION DE TURISMO VIVENCIAL COMUNITARIO LUQUINA CHICO, DISTRITO CHUCUITO, PROVINCIA PUNO, REGION PUNO.</t>
  </si>
  <si>
    <t>2717148.MEJORAMIENTO DE LA PRODUCCION DE LECHE FRESCA EN LA ASOCIACION DE PRODUCTORES AGROPECUARIOS FORUNTANI SAMAN, DISTRITO DE SAMAN, PROVINCIA DE AZANGARO Y REGION DE PUNO</t>
  </si>
  <si>
    <t>2717149.MEJORAMIENTO EN LA PRODUCCION DE HILOS ARTESANALES DE LA ASOCIACION DE PRODUCTORES DE CAMELIDOS SUDAMERICANOS, ARTESANAL Y AGRICOLA TIKARIY PAMPA DEL DIST,  DISTRITO MACUSANI, PROVINCIA CARABAYA, REGION PUNO</t>
  </si>
  <si>
    <t>2717150.MEJORAMIENTO DEL PROCESO PRODUCTIVO Y EL VALOR CULTURAL DE LAS CERAMICAS DE LA ASOCIACION DE ARTESANOS PRODUCTORES MUSUQ PAQARIY PUKARA, DEL DISTRITO DE PUCARA, PROVINCIA DE LAMPA, DEPARTAMENTO DE PUNO</t>
  </si>
  <si>
    <t>2717151.MEJORAMIENTO DE LA PRODUCCION DE LECHE FRESCA EN LA ASOCIACION DE PRODUCTORES AGROPECUARIOS SUMAC KANCHAY DE LA LIBERTAD NUNOA MELGAR PUNO, DISTRITO DE NUNOA, PROVINCIA DE MELGAR Y REGION PUNO</t>
  </si>
  <si>
    <t>2717152.MEJORAMIENTO DE LA PRODUCCION DE LECHE EN LA ASOCIACION DE PRODUCTORES AGROPECUARIOS LUZ Y VIDA DE LA COMUNIDAD DE NAUPAPAMPA DE DISTRITO DE ASILLO, PROVINCIA DE AZANGARO, REGION PUNO.</t>
  </si>
  <si>
    <t>2717153.MEJORAMIENTO Y AMPLIACION DE LA PRODUCCION Y COMERCIALIZACION DE CAFE TOSTADO MOLIDO Y FILTRANTE DE LA COOPERATIVA AGRARIA CAFETALERA SAN JORGE LTDA., DISTRITO DE SAN PEDRO DE PUTINA PUNCO, PROVINCIA DE SANDIA, REGION DE PUNO</t>
  </si>
  <si>
    <t>2717154.MEJORAMIENTO DE LA CAPACIDAD PRODUCTIVA  DE QUESO PARIA PASTEURIZADO EN LA ASOCIACION DE PRODUCTORES AGROPECUARIOS  VIRGEN DEL CARMEN BALSAPATA, DISTRITO ORURILLO, PROVINCIA MELGAR, REGION PUNO</t>
  </si>
  <si>
    <t>2717155.MEJORAMIENTO DE LA PRODUCCION DE LECHE FRESCA EN LA ASOCIACION DE PRODUCTORES AGROPECUARIOS Y AGROINDUSTRIALES SAN JUAN DE LA PROVINCIA DE MELGAR PUNO DE DISTRITO DE ORURILLO, PROVINCIA DE MELGAR, REGION PUNO.</t>
  </si>
  <si>
    <t>2717156.MEJORAMIENTO DE LA PRODUCCION Y LA COMERCIALIZACION DE LECHE FRESCA EN LA ORGANIZACION DE PRODUCTORES SAN JUAN DE FAON DEL DISTRITO DE HUATA, PROVINCIA DE PUNO, DEPARTAMENTO DE PUNO.</t>
  </si>
  <si>
    <t>2717157.MEJORAMIENTO DE LA PRODUCCION Y ENGORDE DE GANADO VACUNO  A  TRAVES DE LA OPTIMIZACION DE LA ALIMENTACION EN LA ASOCIACION DE PRODUCTORES AGROPECUARIOS EL TORITO BRAVO DEL DISTRITO DE QUILCAPUNCO, PROVINCIA DE SAN ANTONIO DE PUTINA, REGION PUNO.</t>
  </si>
  <si>
    <t>2717158.MEJORAMIENTO DE LA PRODUCCION DE PACAS EN LA ASOCIACION DE PRODUCTORES AGROPECUARIOS Y FORESTALES SAN PEDRO DE FRAYLIMA, DISTRITO DE AZANGARO, PROVINCIA AZANGARO Y DEPARTAMENTO DE PUNO</t>
  </si>
  <si>
    <t>2717159.MEJORAMIENTO DEL PROCESO DE PRODUCCION DE QUESO PARIA DE LA ASOCIACION DE PRODUCTORES AGROPECUARIOS DE DERIVADOS LACTEOS VILLA ORURILLO EN EL DISTRITO DE ORURILLO, PROVINCIA DE MELGAR, REGION DE PUNO.</t>
  </si>
  <si>
    <t>2717160.MEJORAMIENTO DEL SISTEMA PRODUCTIVO DEL CULTIVO DE QUINUA EN LA ASOCIACION AGROPECUARIA ECOLOGICA SURPERU, DISTRITO DE PILCUYO, PROVINCIA DE EL COLLAO REGION PUNO</t>
  </si>
  <si>
    <t>2717161.MEJORAMIENTO DE LA CAPACIDAD DE TRANSFORMACION DE CHIPS DE PAPA NATIVA, EN LA AEO ASOCIACION DE PRODUCTORES MULTIPLES SAN ISIDRO DE TANTAMACO DEL DISTRITO DE MACUSANI, PROVINCIA DE CARABAYA, REGION DE PUNO</t>
  </si>
  <si>
    <t>2717162.MEJORAMIENTO DE PRODUCCION DE LECHE FRESCA EN LA ASOCIACION DE PRODUCTORES VILLA PALCA, DISTRITO DE PAUCARCOLLA, PROVINCIA DE PUNO Y DEPARTAMENTO DE PUNO</t>
  </si>
  <si>
    <t>2717164.MEJORAMIENTO DE LA CAPACIDAD PRODUCTIVA Y DE COMERCIALIZACION DE MIEL MEDIANTE EL FORTALECIMIENTO DE PROCESOS PRODUCTIVOS APICOLAS EN LA ASOCIACION DE PRODUCTORES AGROPECUARIOS MONTE SILOE KOLLA MISKI DISTRITO PLATERIA, PROVINCIA DE PUNO, REGION P</t>
  </si>
  <si>
    <t>2717165.AMPLIACION DE LA CAPACIDAD PRODUCTIVA DE QUESO PARIA EN LA ASOCIACION DE EMPRENDEDORES RURALES CORIFLOR COMUNIDAD LICAS ACHAYA, EN EL DISTRITO DE ACHAYA, PROVINCIA DE AZANGARO, REGION PUNO</t>
  </si>
  <si>
    <t>2717166.MEJORAMIENTO DE LA PRODUCCION Y COMERCIALIZACION DE LECHE FRESCA CON INNOVACION TECNOLOGIA EN LA ASOCIACION DE PRODUCTORES AGROPECUARIOS Y CRIADORES DE OVINO BELLON DE ORO DEL DISTRITO DE AZANGARO, PROVINCIA DE AZANGARO, REGION PUNO</t>
  </si>
  <si>
    <t>2717167.MEJORAMIENTO DEL CULTIVO DE HABAS EN LA ASOCIACION DE PRODUCTORES AGROPECUARIOS VALLECITO SECTOR CCORCORI, DEL DISTRITO DE COPANI, PROVINCIA DE YUNGUYO, REGION PUNO</t>
  </si>
  <si>
    <t>2717168.MEJORAMIENTO DEL PROCESO DE PRODUCCION DE LECHE FRESCA DE LA ASOCIACION DE PRODUCTORES AGROPECUARIOS CORANI  CUPI APAC DEL DISTRITO DE CUPI, PROVINCIA DE MELGAR, REGION DE PUNO</t>
  </si>
  <si>
    <t>2717169.CREACION DE UNA PLANTA PROCESADORA DE QUINUA EN LA AEO ASOCIACION DE PRODUCTORES AGROPECUARIOS ROQUE APAZA PAMPA DEL DISTRITO DE PAUCARCOLLA, PROVINCIA DE PUNO, DEPARTAMENTO DE PUNO</t>
  </si>
  <si>
    <t>2717170.MEJORAMIENTO DE LA PRODUCCION DE LECHE EN LA ASOCIACION DE PRODUCTORES AGROPECUARIOS Y ARTESANIA TOTORUMA PAMPA  LLAQUEPA, DEL DISTRITO DE POMATA, PROVINCIA DE CHUCUITO, DEPARTAMENTO DE PUNO.</t>
  </si>
  <si>
    <t>2717171.MEJORAMIENTO DE LA PRODUCCION DE LECHE DE LA ASOCIACION DE PRODUCTORES AGROPECUARIOS SANTA ANA HUAYTA, DEL DISTRITO DE LAMPA, PROVINCIA DE LAMPA, DEPARTAMENTO DE PUNO</t>
  </si>
  <si>
    <t>2717172.MEJORAMIENTO DEL PROCESO DE PRODUCCION DE QUESO EN LA ASOCIACION DE PEQUENOS PRODUCTORES AGROPECUARIOS DE DERIVADOS LACTEOS SAN JOSE TATASQA, DISTRITO DE LAMPA, PROVINCIA DE LAMPA Y DEPARTAMENTO DE PUNO</t>
  </si>
  <si>
    <t>2717173.MEJORAMIENTO DE LA PRODUCCION DE DERIVADOS DE QUINUA EN HARINA EXTRUIDA Y POP EXTRUIDO DE LA EMPRESA CORPORACION DALSAR SOCIEDAD ANONIMA CERRADA DEL DISTRITO DE PUNO, PROVINCIA PUNO, DEPARTAMENTO PUNO.</t>
  </si>
  <si>
    <t>2717174.MEJORAMIENTO DEL ENGORDE DE GANADO VACUNO EN EL AEO ASOCIACION CAMPO VERDE TOTORALES ENGORDE AGRO Y AGROPECUARIO, DISTRITO DE ILAVE, PROVINCIA EL COLLAO, REGION PUNO</t>
  </si>
  <si>
    <t>2717175.MEJORAMIENTO DE LOS SERVICIOS DE ALOJAMIENTO TURISTICO Y DEL TURISMO VIVENCIAL DE OBSERVACION ASTRONOMICA EN LA ASOCIACION DE TURISMO COMUNITARIO TIKA WASI LLACHON, DISTRITO DE CAPACHICA, PROVINCIA DE PUNO Y DEPARTAMENTO DE PUNO.</t>
  </si>
  <si>
    <t>2717176.AMPLIACION DE LA CAPACIDAD PRODUCTIVA DE QUESOS PARIA DE LA ASOCIACION DE PRODUCTORES AGROPECUARIOS NUEVO AMANECER ALAYTIRA VILLA ORURILO, DISTRITO DE ORURILLO, PROVINCIA DE MELGAR, REGION PUNO.</t>
  </si>
  <si>
    <t>2717177.MEJORAMIENTO TECNOLOGICO DE LA PRODUCCION Y COMPETITIVIDAD EN EL ENGORDE DE VACUNOS DE CARNE DE LA ASOCIACION DE PRODUCTORES AGROPECUARIOS Y OTROS GENERACION ACTIVA DE LA COMUNIDAD DE CHALLACOLLO, DISTRITO HUACULLANI, PROVINCIA CHUCUITO,REGION PUN</t>
  </si>
  <si>
    <t>2717178.MEJORAMIENTO DEL CULTIVO DE HABAS EN CORPORACION PECUARIO AGRICOLA EMMANUEL S.A.C., DISTRITO DE ZEPITA, PROVINCIA DE CHUCUITO Y DEPARTAMENTO DE PUNO</t>
  </si>
  <si>
    <t>2717179.MEJORAMIENTO DE LA PRODUCCION Y CALIDAD DE LECHE FRESCA EN LA ASOCIACION DE PRODUCTORES DE LECHE MOYANDINA, AYAVIRI, PUNO 2 DEL DISTRITO DE AYAVIRI, MELGAR, PUNO</t>
  </si>
  <si>
    <t>2717180.MEJORAMIENTO DE LA PRODUCCION DE LECHE EN LA ASOCIACION DE PRODUCTORES AGROPECUARIOS E INDUSTRIALES ARACACHI JAHUERJALAC KELLUYO, DISTRITO DE KELLUYO, PROVINCIA DE CHUCUITO, REGION PUNO</t>
  </si>
  <si>
    <t>2717184.MEJORAMIENTO DE LA PRODUCCION Y PRODUCTIVIDAD DE LA QUINUA EN LA ASOCIACION DE PRODUCTORES AGROPECUARIOS LA ESTANCIA SUMA MARKA, DISTRITO DE ACORA, PROVINCIA PUNO, REGION PUNO</t>
  </si>
  <si>
    <t>2717185.MEJORAMIENTO DE VALOR AGREGADO DE LA TRUCHA EN AQUA INDUSTRIAS EL FARO SOCIEDAD COMERCIAL DE RESPONSABILIDAD LIMITADA, DISTRITO DE POMATA, PROVINCIA DE CHUCUITO Y DEPARTAMENTO DE PUNO</t>
  </si>
  <si>
    <t>2717186.MEJORAMIENTO DE LA PLANTA DE TRANSFORMACION DE GRANOS ANDINOS DEL GRUPO TURISTICO GASTRONOMICO SAMKA S.A.C., DISTRITO PUNO, PROVINCIA PUNO, REGION PUNO.</t>
  </si>
  <si>
    <t>2717187.MEJORAMIENTO DE LA PRODUCCION DE VACUNOS DE ENGORDE MEDIANTE TECNOLOGIAS SOSTENIBLES EN LA ASOCIACION DE EMPRENDEDORES AGROPECUARIOS TIERRA SANTA ROSASPATA DEL DISTRITO DE ROSASPATA, PROVINCIA DE HUANCANE, REGION PUNO</t>
  </si>
  <si>
    <t>2717188.MEJORAMIENTO DE LA COMPETITIVIDAD DE LA PRODUCCION DE LECHE FRESCA EN LA COOPERATIVA AGROINDUSTRIAL SAGRADO CORAZON DE JESUS DE CCOTA  DISTRITO DE PLATERIA PROVINCIA DE PUNO  DEPARTAMENTO DE  PUNO</t>
  </si>
  <si>
    <t>2717189.MEJORAMIENTO DE LA PRODUCCION DE YOGURT EN EL AEO AGROINDUSTRIA YOGULE S.A.C., DISTRITO DE CABANA, PROVINCIA SAN ROMAN, REGION PUNO</t>
  </si>
  <si>
    <t>2717190.MEJORAMIENTO DE LA PRODUCCION DE QUESO TIPO PARIA EN LA ASOCIACION DE PRODUCTORES DE LECHE Y DERIVADOS LACTEOS RIDANI LLINQUICHUPA , DISTRITO DE LAMPA, PROVINCIA DE LAMPA Y DEPARTAMENTO DE PUNO</t>
  </si>
  <si>
    <t>2717192.MEJORAMIENTO DE LA PRODUCCION Y PROCESAMIENTO DE CULTIVOS FORRAJEROS EN LA ASOCIACION DE PRODUCTORES AGROPECUARIOS ALIANZA RENOVADO CALLANCA, DISTRITO DE PLATERIA, PROVINCIA DE PUNO, DEPARTAMENTO DE PUNO</t>
  </si>
  <si>
    <t>2717193.AMPLIACION DE LA CAPACIDAD PRODUCCION DE QUESO PARIA  EN GRUPO NEBRASKA S.A.C. EN DISTRITO DE JULIACA PROVINCIA DE SAN ROMAN REGION PUNO</t>
  </si>
  <si>
    <t>2717194.MEJORAMIENTO DEL CENTRO DE ENGORDE Y COMERCIALIZACION DE GANADO VACUNO EN LA ASOCIACION DE PRODUCTORES GANADERIA LA CANTUTA, DISTRITO DE VILQUE, PROVINCIA PUNO Y REGION PUNO</t>
  </si>
  <si>
    <t>2717191.MEJORAMIENTO DE LA PRODUCTIVIDAD DE LECHE FRESCA EN LA ASOCIACION DE PRODUCTORES AGROPECUARIOS ESQUERICA DEL DISTRITO DE ROSASPATA, PROVINCIA DE HUANCANE, REGION PUNO</t>
  </si>
  <si>
    <t>434</t>
  </si>
  <si>
    <t>2196822: INSTALACION DEL SERVICIO DE EDUCACION INICIAL DE LA I.E.I. NRO. 94 DEL CENTRO POBLADO DE UMUCHI, DISTRITO DE MOHO, PROVINCIA DE MOHO, DEPARTAMENTO DE PUNO.</t>
  </si>
  <si>
    <t>2707256.ADQUISICION DE SISTEMA DE VIDEO GASTROENDOSCOPIA, GRUPO ELECTROGENO, EQUIPO ECOGRAFO - ULTRASONIDO Y LAVADORA SECADORA AUTOMATICA; ADEMAS DE OTROS ACTIVOS EN EL(LA) CARLOS MONJE MEDRANO DISTRITO DE JULIACA, PROVINCIA SAN ROMAN, DEPARTAMENTO PUNO</t>
  </si>
  <si>
    <t>233</t>
  </si>
  <si>
    <t>282</t>
  </si>
  <si>
    <t>2710291.MEJORAMIENTO DEL SERVICIO DE TRANSITABILIDAD VIAL INTERURBANA EN LA CARRETERA SAMAN (EMP. PU 804) - JUCCHILLY (DV. CHUCARIPO),PESQUERIA (EMP. PU - 113), CHUCARIPO-TITIHUE (EMP. PU 154), DV. QUEJON MOCCO (EMP. PU - 804) - QUEJON MOCCO -HOCUATA DE L</t>
  </si>
  <si>
    <t>2682870.MEJORAMIENTO DEL SERVICIO DE TRANSITABILIDAD VIAL INTERURBANA EN LA CARRETERA EMP. PE 34L (PUENTE ANTAJARANI) - C.P. MACHACAMARCA YAPUTIRA, - C.P. HALLA - ALTOGRANDE - EMP. PU-148 (C.C. UMABAMBA) DISTRITOS DE VILQUE CHICO, COJATA DE LA PROVINCIA D</t>
  </si>
  <si>
    <t>2624292.MEJORAMIENTO DE LOS SERVICIOS EDUCACION SUPERIOR PEDAGOGICA EN EL INSTITUTO DE EDUCACION SUPERIOR PEDAGOGICO PUBLICO DE AYAVIRI DEL DISTRITO DE AYAVIRI DE LA PROVINCIA DE MELGAR DEL DEPARTAMENTO DE PUNO</t>
  </si>
  <si>
    <t>2690009.CONSTRUCCION DE LOSA DEPORTIVA; ADQUISICION DE EQUIPAMIENTO DE AULA DE INNOVACION PEDAGOGICA Y MOBILIARIO DE AULA DE INNOVACION PEDAGOGICA; EN EL(LA) I.E. 70064 SAN MARTIN DE PORRES DISTRITO DE PUNO, PROVINCIA PUNO, DEPARTAMENTO PUNO</t>
  </si>
  <si>
    <t>2663002.MEJORAMIENTO DEL SERVICIO DE EDUCACION SECUNDARIA EN I.E. HUAPACA SAN MIGUEL DE CENTRO POBLADO HUAPACA SAN MIGUEL DISTRITO DE POMATA DE LA PROVINCIA DE CHUCUITO DEL DEPARTAMENTO DE PUNO</t>
  </si>
  <si>
    <t>2659573.MEJORAMIENTO DEL SERVICIO DE EDUCACION PRIMARIA EN I.E. 73003 DISTRITO DE HUANCANE DE LA PROVINCIA DE HUANCANE DEL DEPARTAMENTO DE PUNO</t>
  </si>
  <si>
    <t>2681042.MEJORAMIENTO DEL SERVICIO DE EDUCACION SUPERIOR TECNOLOGICA EN EL INSTITUTO SUPERIOR TECNOLOGICO PUBLICA MAÑAZO DEL DISTRITO DE MAÑAZO DE LA PROVINCIA DE PUNO DEL DEPARTAMENTO DE PUNO</t>
  </si>
  <si>
    <t>2575299.MEJORAMIENTO DEL SERVICIO DE TRANSITABILIDAD VIAL INTERURBANA EN EL TRAMO TIQUILLACA - CONDORIRI DEL DISTRITO DE TIQUILLACA DE LA PROVINCIA DE PUNO DEL DEPARTAMENTO DE PUNO</t>
  </si>
  <si>
    <t>2642160.MEJORAMIENTO DEL SERVICIO DE TRANSITABILIDAD VIAL INTERURBANA EN EN LA VIA VECINAL PU-713, L. PROV. LAMPA - QUISHUARANI - SALLAPATA - HUERTA -EMP. PU-124 (VILAVILA), DISTRITO DE VILAVILA DE LA PROVINCIA DE LAMPA DEL DEPARTAMENTO DE PUNO</t>
  </si>
  <si>
    <t>2669470.MEJORAMIENTO DEL SERVICIO DE TRANSITABILIDAD VIAL INTERURBANA EN LA CARRETERA PU-617 (SAN JOSE - SAN ANTON), PU-624 (EMP. PE-34 B: SAN ANTON - EMP. PU-622: VILLAPAMPA) -PU-622 (EMP. PU-624: VILLAPAMPA - LARIMAYO) DE LOS DISTRITOS DE SAN JOSE, ANTA</t>
  </si>
  <si>
    <t>2681096.MEJORAMIENTO DEL SERVICIO DE TRANSITABILIDAD VIAL INTERURBANA EN LA CARRETERA EMP. PE-3S (CHUA CHUA) - MOLINO - CHALLAPAMPA SANTA ROSA - EMP. PU-130 (TACAPISI), QUECCUANI - COPANI DE LOS DISTRITOS DE ZEPITA, COPANI DE LAS PROVINCIAS DE CHUCUITO, Y</t>
  </si>
  <si>
    <t>2692317.CONSTRUCCION DE PLATAFORMA Y DRENAJE TRANSVERSAL; REPARACION DE PLATAFORMA; ADQUISICION DE DISPOSITIVO DE CONTROL DE TRANSITO; EN EL(LA) CARRETERA PU-111 (EMP. JR. SULLANA - EMP. JR. LIMA) DISTRITO DE AZANGARO, PROVINCIA AZANGARO, DEPARTAMENTO PUN</t>
  </si>
  <si>
    <t>2492963.MEJORAMIENTO DE LOS SERVICIO EDUCATIVOS EN LA INSTITUCION EDUCATIVA INICIAL N° 68 DE LA LOCALIDAD DE AYAVIRI DEL DISTRITO DE AYAVIRI - PROVINCIA DE MELGAR - DEPARTAMENTO DE PUNO</t>
  </si>
  <si>
    <t>2650271.MEJORAMIENTO DEL SERVICIO DE EDUCACION INICIAL EN I.E. 335 DISTRITO DE MOHO DE LA PROVINCIA DE MOHO DEL DEPARTAMENTO DE PUNO</t>
  </si>
  <si>
    <t>2651383.MEJORAMIENTO DEL SERVICIO DE EDUCACION INICIAL EN I.E. 941 DISTRITO DE CABANILLAS DE LA PROVINCIA DE SAN ROMAN DEL DEPARTAMENTO DE PUNO</t>
  </si>
  <si>
    <t>2651636.MEJORAMIENTO DEL SERVICIO DE EDUCACION INICIAL EN I.E. ARICATO DISTRITO DE PHARA DE LA PROVINCIA DE SANDIA DEL DEPARTAMENTO DE PUNO</t>
  </si>
  <si>
    <t>2653339.MEJORAMIENTO DEL SERVICIO DE EDUCACION INICIAL EN I.E. 1137 DE CENTRO POBLADO LOS ANGELES DISTRITO DE CABANILLAS DE LA PROVINCIA DE SAN ROMAN DEL DEPARTAMENTO DE PUNO</t>
  </si>
  <si>
    <t>2699927.CONSTRUCCION DE INSTALACIONES EXTERIORES DE SERVICIOS BASICOS Y CASA DE FUERZA; EN EL(LA) HOSPITAL SANDIA EN EL CENTRO POBLADO SANDIA, DISTRITO DE SANDIA, PROVINCIA SANDIA, DEPARTAMENTO PUNO</t>
  </si>
  <si>
    <t>2654204.MEJORAMIENTO DEL SERVICIO DE TRANSITABILIDAD VIAL INTERURBANA EN LA CARRETERA PU - 1068 (CONDORIRI, - JUNCAL) DE LOS DISTRITOS DE TIQUILLACA, SAN ANTONIO DE LA PROVINCIA DE PUNO DEL DEPARTAMENTO DE PUNO</t>
  </si>
  <si>
    <t>2670402.MEJORAMIENTO DEL SERVICIO DE EDUCACION SECUNDARIA EN I.E. SAN AGUSTIN DISTRITO DE COATA DE LA PROVINCIA DE PUNO DEL DEPARTAMENTO DE PUNO</t>
  </si>
  <si>
    <t>455</t>
  </si>
  <si>
    <t>460</t>
  </si>
  <si>
    <t>2453224.MEJORAMIENTO DE LOS SERVICIOS DE EDUCACION SECUNDARIA DE LA INSTITUCION EDUCATIVA LIBERTADOR JOSE DE SAN MARTIN DE HUARISANI DEL DISTRITO DE HUANCANE - PROVINCIA DE HUANCANE - DEPARTAMENTO DE PUNO</t>
  </si>
  <si>
    <t>2500458.MEJORAMIENTO DEL SERVICIO EDUCATIVO EN LA IEP N° 70477 SAGRADO CORAZON DE JESUS DEL DISTRITO DE AYAVIRI - PROVINCIA DE MELGAR - DEPARTAMENTO DE PUNO</t>
  </si>
  <si>
    <t>05. ORDEN PUBLICO Y SEGURIDAD</t>
  </si>
  <si>
    <t>20. SALUD</t>
  </si>
  <si>
    <t>22. EDUCACION</t>
  </si>
  <si>
    <t>23. PROTECCION SOCIAL</t>
  </si>
  <si>
    <t>03. PLANEAMIENTO, GESTION Y RESERVA DE CONTINGENCIA</t>
  </si>
  <si>
    <t>10. AGROPECUARIA</t>
  </si>
  <si>
    <t>17. AMBIENTE</t>
  </si>
  <si>
    <t>08. COMERCIO</t>
  </si>
  <si>
    <t>09. TURISMO</t>
  </si>
  <si>
    <t>11. PESCA</t>
  </si>
  <si>
    <t>21. CULTURA Y DEPORTE</t>
  </si>
  <si>
    <t>19. VIVIENDA Y DESARROLLO URBANO</t>
  </si>
  <si>
    <t>2650340.ADQUISICION DE MESA DE OPERACIONES HIDRAULICA/ELECTRICA, ESTERILIZADOR CON GENERADOR ELECTRICO DE VAPOR (INS), EQUIPOS BIOMEDICOS Y COCHE DE PARO; ADEMAS DE OTROS ACTIVOS EN EL(LA) PUTINA DISTRITO DE PUTINA, PROVINCIA SAN ANTONIO DE PUTINA, DEPART</t>
  </si>
  <si>
    <t>2447465.MEJORAMIENTO DE LA INFRAESTRUCTURA VIAL EN LA AV. SACSAYHUAMAN TRAMO (JR. MIRAFLORES - AV. AVIACION), JR. AMANECER TRAMO (AV. INDEPENDENCIA - JR. MIRAFLORES) DE LA CIUDAD DE JULIACA, DISTRITO DE JULIACA - PROVINCIA DE SAN ROMAN - DEPARTAMENTO DE P</t>
  </si>
  <si>
    <t>2629119.MEJORAMIENTO DEL SERVICIO DE EDUCACION SECUNDARIA EN I.E. ROSASPATA DE CENTRO POBLADO ROSASPATA DISTRITO DE ROSASPATA DE LA PROVINCIA DE HUANCANE DEL DEPARTAMENTO DE PUNO</t>
  </si>
  <si>
    <t>2436247.MEJORAMIENTO DEL CAMINO VECINAL RUTA PU-713, EMP. PE 3S (AYAVIRI - DESV. CALUYO - TINAJANI - L. PROV. LAMPA), DISTRITO DE AYAVIRI - PROVINCIA DE MELGAR - DEPARTAMENTO DE PUNO</t>
  </si>
  <si>
    <t>109</t>
  </si>
  <si>
    <t>2723296.MEJORAMIENTO DE LA PRODUCCION Y COMERCIALIZACION DE ARTESANIA DE FIBRA DE ALPACA Y LANA DE OVINO EN LA ASOCIACION DE ARTESANOS EMPRENDEDORES EN TEXTILERIA SAN JUAN BAUTISTA DE NAPA ROSASPATA, DISTRITO DE ROSASPATA, PROVINCIA DE HUANCANE, REGION PU</t>
  </si>
  <si>
    <t>2717181.MEJORAMIENTO DE VACUNO EN PIE EN LA ASOCIACION DE PRODUCTORES AGROPECUARIOS FLORES ANDINOS ANCCACCA PICHACANI, LARAQUERI, DISTRITO PICHACANI, PROVINCIA PUNO Y DEPARTAMENTO PUNO</t>
  </si>
  <si>
    <t>2723300.MEJORAMIENTO DE LA PRODUCCION Y TRANSFORMACION DE FILETE DE TRUCHA DE LA EMPRESA TITIKAKA TROUT PERU SOCIEDAD COMERCIAL DE RESPONSABILIDAD LIMITADA DEL DISTRITO DE POMATA, PROVINCIA DE CHUCUITO, REGION PUNO</t>
  </si>
  <si>
    <t>2723295.MEJORAMIENTO DE LA PRODUCCION Y COMERCIALIZACION DE QUESOS TIPO PARIA DE LA ASOCIACION AGROINDUSTRIAL YURAQ WASI DE LA COMUNIDAD CAMPESINA PRIMER JILAHUATA, DISTRITO DE AZANGARO, PROVINCIA DE AZANGARO, REGION PUNO</t>
  </si>
  <si>
    <t>2723301.MEJORAMIENTO DE LA TRANSFORMACION Y COMERCIALIZACION DE HILOS Y PRENDAS DE TONOS Y TENIDOS NATURALES DE FIBRA DE ALPACA EN LA ASOCIACION DE ARTESANAS KISWAR TIKA, DISTRITO DE OCUVIRI, PROVINCIA LAMPA, REGION PUNO</t>
  </si>
  <si>
    <t>2723299.MEJORAMIENTO DE LA CAPACIDAD PRODUCTIVA DE HELADOS ARTESANALES A BASE DE GRANOS ANDINOS DEL GRUPO DE PRODUCTORES, COMERCIALIZACION Y TRANSFORMACION DE CEREALES ANDINOS SAN SANTIAGO S.A.C., DEL DISTRITO DE PUNO, PROVINCIA DE PUNO, REGION DE PUNO.</t>
  </si>
  <si>
    <t>18. SANEAMIENTO</t>
  </si>
  <si>
    <t>470</t>
  </si>
  <si>
    <t>2492442.MEJORAMIENTO Y AMPLIACION DE LOS SERVICIOS DE AGUA POTABLE Y ALCANTARILLADO SANITARIO EN LA LOCALIDAD DE CARACOTO DEL DISTRITO DE CARACOTO - PROVINCIA DE SAN ROMAN - DEPARTAMENTO DE PUNO</t>
  </si>
  <si>
    <t>2684838.MEJORAMIENTO Y AMPLIACION DEL SERVICIO DE LIMPIEZA PUBLICA EN 7 UNIDADES PRODUCTORAS 7 DISTRITOS DE LA PROVINCIA DE MELGAR DEL DEPARTAMENTO DE PUNO</t>
  </si>
  <si>
    <t>2695845.MEJORAMIENTO DEL SERVICIO DE EDUCACION SECUNDARIA EN I.E. SAN FRANCISCO DE BORJA DISTRITO DE TARACO DE LA PROVINCIA DE HUANCANE DEL DEPARTAMENTO DE PUNO</t>
  </si>
  <si>
    <t>2650476.ADQUISICION DE EQUIPAMIENTO DE AMBIENTES COMPLEMENTARIOS Y MOBILIARIO DE AULA; EN EL(LA) I.E. EL CENTENARIO DISTRITO DE PUTINA, PROVINCIA SAN ANTONIO DE PUTINA, DEPARTAMENTO PUNO</t>
  </si>
  <si>
    <t>2531093.ADQUISICION DE INCUBADORA NEONATAL Y CUNA DE CALOR RADIANTE; EN EL(LA) EESS YUNGUYO - YUNGUYO EN LA LOCALIDAD YUNGUYO, DISTRITO DE YUNGUYO, PROVINCIA YUNGUYO, DEPARTAMENTO PUNO</t>
  </si>
  <si>
    <t>2603167.MEJORAMIENTO DEL SERVICIO DE TRANSITABILIDAD VIAL INTERURBANA EN LA CARRETERA PU - 1233 (ILAVE) - ANOKARIRI (EMP. - 1234), ANOKARIRI - SACUYO - SECTOR NUEVA ALIANZA, PU 1103 (SECTOR NUEVA ALIANZA) - EMP. PE 36P (LARAQUERI PICHACANI) DISTRITOS DE I</t>
  </si>
  <si>
    <t>PIM 2026                (A)</t>
  </si>
  <si>
    <t>SALDO                   (A-B)</t>
  </si>
  <si>
    <t>DEVENGADO          ( C )</t>
  </si>
  <si>
    <t>SALDO                    (A-C)</t>
  </si>
  <si>
    <t>CERTIFICACION           (B)</t>
  </si>
  <si>
    <t>SALDO                 (A-B)</t>
  </si>
  <si>
    <t>SALDO                       (A-C)</t>
  </si>
  <si>
    <t>2585540.MEJORAMIENTO DEL SERVICIO DE TRANSITABILIDAD VIAL INTERURBANA EN LA CARRETERA PU-139 (HDA. POTONI) - SAN JOSE, - COLLANA - EMP. PU-111 - PUENTE YARAJA (AZANGARO) DISTRITOS DE POTONI, SAN JOSE DE LA PROVINCIA DE AZANGARO DEL DEPARTAMENTO DE PUNO</t>
  </si>
  <si>
    <t>2440946.MEJORAMIENTO DEL SERVICIO DE TRANSITABILIDAD VEHICULAR DE LA CARRETERA TRAMO ACHAYA (PU-140) - ESTRELLA (EMP. PE- 3S) DEL DISTRITO DE ACHAYA - PROVINCIA DE AZANGARO - DEPARTAMENTO DE PUNO</t>
  </si>
  <si>
    <t>2714049.REPARACION DE CAMPO DEPORTIVO; EN EL(LA) POLIDEPORTIVO AZANGARO DISTRITO DE AZANGARO, PROVINCIA AZANGARO, DEPARTAMENTO PUNO</t>
  </si>
  <si>
    <t>2681029.MEJORAMIENTO DEL SERVICIO DE EDUCACION SECUNDARIA EN I.E. CESAR VALLEJO DISTRITO DE HUANCANE DE LA PROVINCIA DE HUANCANE DEL DEPARTAMENTO DE PUNO</t>
  </si>
  <si>
    <t>2518131.AMPLIACION Y MEJORAMIENTO DE LOS SERVICIOS DE ADMINISTRACION DE JUSTICIA DE LOS ORGANOS JURISDICCIONALES DE LA SEDE CENTRAL DEL DISTRITO JUDICIAL DE PUNO, DISTRITO DE PUNO - PROVINCIA DE PUNO - DEPARTAMENTO DE PUNO</t>
  </si>
  <si>
    <t>2695768.REPARACION DE SALA DE CUIDADOS INTENSIVOS; EN EL(LA) CARLOS MONJE MEDRANO DISTRITO DE JULIACA, PROVINCIA SAN ROMAN, DEPARTAMENTO PUNO</t>
  </si>
  <si>
    <t>2681019.MEJORAMIENTO DEL SERVICIO DE EDUCACION SECUNDARIA EN I.E. JOSE OLAYA BALANDRA DISTRITO DE JULIACA DE LA PROVINCIA DE SAN ROMAN DEL DEPARTAMENTO DE PUNO</t>
  </si>
  <si>
    <t>2681037.MEJORAMIENTO DEL SERVICIO DE EDUCACION SECUNDARIA EN I.E. CENTENARIO PATAMBUCO DISTRITO DE PATAMBUCO DE LA PROVINCIA DE SANDIA DEL DEPARTAMENTO DE PUNO</t>
  </si>
  <si>
    <t>MEJORAMIENTO DE LOS SERVICIOS EDUCATIVOS EN LA I.E.I. N 596 MUNAYPATA DEL CENTRO POBLADO DE MUNAYPATA, DISTRITO DE OLLACHEA PROVINCIA DE CARABAYA PUNO</t>
  </si>
  <si>
    <t>2694640.ADQUISICION DE EQUIPO ECOGRAFO, EQUIPO ECOGRAFO, EQUIPO ECOGRAFO Y EQUIPO ECOGRAFO; ADEMAS DE OTROS ACTIVOS EN NUEVE ESTABLECIMIENTOS DE SALUD I.2, ESTABLECIMIENTOS DE SALUD I.3, ESTABLECIMIENTOS DE SALUD I.1 A NIVEL PROVINCIAL (PUNO - MELGAR)</t>
  </si>
  <si>
    <t>2694772.ADQUISICION DE ANALIZADOR BIOQUIMICO SEMI AUTOMATICO, DETECTOR DE LATIDOS FETALES (TELEMEDICINA), ANALIZADOR BIOQUIMICO SEMI AUTOMATICO Y ANALIZADOR BIOQUIMICO SEMI AUTOMATICO; ADEMAS DE OTROS ACTIVOS EN CATORCE ESTABLECIMIENTOS DE SALUD I.2, ESTA</t>
  </si>
  <si>
    <t>ANEXO N° 02</t>
  </si>
  <si>
    <t>2681054.MEJORAMIENTO DEL SERVICIO DE EDUCACION PRIMARIA EN I.E. 70291 DISTRITO DE HUACULLANI DE LA PROVINCIA DE CHUCUITO DEL DEPARTAMENTO DE PUNO</t>
  </si>
  <si>
    <t>2700348.MEJORAMIENTO DEL SERVICIO DE EDUCACION PRIMARIA EN I.E. 70288 DISTRITO DE DESAGUADERO DE LA PROVINCIA DE CHUCUITO DEL DEPARTAMENTO DE PUNO</t>
  </si>
  <si>
    <t>2630072.CREACION DEL SERVICIO DE PRACTICA DEPORTIVA Y/O RECREATIVA EN COLISEO CERRADO DE AYAPATA DISTRITO DE AYAPATA DE LA PROVINCIA DE CARABAYA DEL DEPARTAMENTO DE PUNO</t>
  </si>
  <si>
    <t>2727355.CONSTRUCCION DE CAMPO DEPORTIVO SINGULAR; REFORZAMIENTO ESTRUCTURAL DE CAMPO DEPORTIVO Y ESPACIO DEPORTIVO CON COBERTURA; EN EL(LA) I.E. 73001 DISTRITO DE AZANGARO, PROVINCIA AZANGARO, DEPARTAMENTO PUNO</t>
  </si>
  <si>
    <t>2501244.MEJORAMIENTO DEL SERVICIO EDUCATIVO DEL NIVEL SECUNDARIA DE LA I.E. AGROPECUARIO PAMPA YANAMAYO DEL DISTRITO DE ALTO INAMBARI - PROVINCIA DE SANDIA - DEPARTAMENTO DE PUNO</t>
  </si>
  <si>
    <t>2721991.RENOVACION DE AULA DE EDUCACION PRIMARIA, AMBIENTE ADMINISTRATIVO, SERVICIOS HIGIENICOS Y/O VESTIDORES Y AMBIENTE DE USOS MULTIPLES; ADEMAS DE OTROS ACTIVOS EN CUATRO II.EE. PRIMARIA A NIVEL DISTRITAL (PUNO - SANDIA - SAN PEDRO DE PUTINA PUNCO)</t>
  </si>
  <si>
    <t>2721892.CONSTRUCCION DE AULA DE EDUCACION SECUNDARIA, AMBIENTE ADMINISTRATIVO Y SERVICIOS HIGIENICOS Y/O VESTIDORES; ADQUISICION DE MOBILIARIO DE AULA; EN EL(LA) IE PUERTO DE EDEN DISTRITO DE SAN PEDRO DE PUTINA PUNCO, PROVINCIA SANDIA, DEPARTAMENTO PUNO</t>
  </si>
  <si>
    <t>2719529.RENOVACION DE AULA DE EDUCACION PRIMARIA, SERVICIOS HIGIENICOS Y/O VESTIDORES Y AMBIENTE DE USOS MULTIPLES; ADQUISICION DE MOBILIARIO DE AULA; EN TRES II.EE. PRIMARIA A NIVEL DISTRITAL (PUNO - SANDIA - ALTO INAMBARI)</t>
  </si>
  <si>
    <t>2723359.CONSTRUCCION DE AULA DE EDUCACION SECUNDARIA; ADQUISICION DE MOBILIARIO DE AULA; EN EL(LA) IE SECUNDARIA SANTA ROSA DISTRITO DE ALTO INAMBARI, PROVINCIA SANDIA, DEPARTAMENTO PUNO</t>
  </si>
  <si>
    <t>2721888.CONSTRUCCION DE AULA DE EDUCACION SECUNDARIA; ADQUISICION DE MOBILIARIO DE AULA; EN EL(LA) IE I.E. SECUNDARIA JOSE MARIA ARGUEDAS EN LA LOCALIDAD CCAPUNA, DISTRITO DE SANDIA, PROVINCIA SANDIA, DEPARTAMENTO PUNO</t>
  </si>
  <si>
    <t>2721886.CONSTRUCCION DE AULA DE EDUCACION INICIAL; ADQUISICION DE MOBILIARIO DE AULA; EN EL(LA) IE INICIAL N° 1048 DE HUENCALLA DISTRITO DE SANDIA, PROVINCIA SANDIA, DEPARTAMENTO PUNO</t>
  </si>
  <si>
    <t>2721889.CONSTRUCCION DE AULA DE EDUCACION INICIAL Y AMBIENTE ADMINISTRATIVO; ADQUISICION DE MOBILIARIO DE AULA Y EQUIPAMIENTO DE AULA; EN EL(LA) IE 1027 EN LA LOCALIDAD ISILLUMA, DISTRITO DE ALTO INAMBARI, PROVINCIA SANDIA, DEPARTAMENTO PUNO</t>
  </si>
  <si>
    <t>2729834.CONSTRUCCION DE AULA DE EDUCACION PRIMARIA, SERVICIOS HIGIENICOS Y/O VESTIDORES PARA ESTUDIANTES Y AMBIENTE DE GESTION ADMINISTRATIVA Y DIRECCION; ADQUISICION DE MOBILIARIO DE AULA; EN EL(LA) I.E. 72544 DISTRITO DE ALTO INAMBARI, PROVINCIA SANDIA,</t>
  </si>
  <si>
    <t>2650804.MEJORAMIENTO DEL SERVICIO DE EDUCACION PRIMARIA EN I.E. 73010 DISTRITO DE SAN PEDRO DE PUTINA PUNCO DE LA PROVINCIA DE SANDIA DEL DEPARTAMENTO DE PUNO</t>
  </si>
  <si>
    <t>2658446.PROYECTOS PARA EL DESARROLLO LOCAL</t>
  </si>
  <si>
    <t>2681015.CREACION DEL SERVICIO DE EDUCACION SUPERIOR TECNOLOGICA EN INSTITUTO SUPERIOR TECNOLOGICO MARIANO CHANCATUMA EN LA LOCALIDAD DE ASILLO DISTRITO DE ASILLO DE LA PROVINCIA DE AZANGARO DEL DEPARTAMENTO DE PUNO</t>
  </si>
  <si>
    <t>2718285.CONSTRUCCION DE ESPACIO DEPORTIVO CON COBERTURA, ESPACIO DEPORTIVO SIN COBERTURA Y ESPACIO DE CIRCULACION INTERIOR ; EN EL(LA) I.E. JOSE ANTONIO ENCINAS DISTRITO DE JULIACA, PROVINCIA SAN ROMAN, DEPARTAMENTO PUNO</t>
  </si>
  <si>
    <t>2730161.RENOVACION DE AULA DE EDUCACION PRIMARIA; ADQUISICION DE EQUIPAMIENTO DE AULA, EQUIPAMIENTO DE TALLER Y MOBILIARIO DE AULA; EN EL(LA) I.E. 70617 CESAR VALLEJO DISTRITO DE JULIACA, PROVINCIA SAN ROMAN, DEPARTAMENTO PUNO</t>
  </si>
  <si>
    <t>2727133.CONSTRUCCION DE PUENTE; EN EL(LA) CARRETERA PU 588 - ACCESO AL CENTRO POBLADO DE CURVA ALEGRE (PUENTE NUEVA ESPERANZA), DISTRITO DE SAN PEDRO DE PUTINA PUNCO, PROVINCIA SANDIA, DEPARTAMENTO PUNO</t>
  </si>
  <si>
    <t>2727299.CONSTRUCCION DE PUENTE; EN EL(LA) CARRETERA R211223 EN ACCESO AL C.P. VICTORIA, DISTRITO DE SAN PEDRO DE PUTINA PUNCO, PROVINCIA SANDIA, DEPARTAMENTO PUNO</t>
  </si>
  <si>
    <t>2719323.REPARACION DE CONSULTORIO, LABORATORIO, ALMACEN O DEPOSITO Y AMBIENTE COMPLEMENTARIO; ADEMAS DE OTROS ACTIVOS EN EL(LA) CUTURAPI DISTRITO DE CUTURAPI, PROVINCIA YUNGUYO, DEPARTAMENTO PUNO</t>
  </si>
  <si>
    <t>2733644.ADQUISICION DE PATRULLEROS Y PATRULLEROS; EN EL(LA) FRENTE POLICIAL PUNO - COMISARIAS EN LAS 13 PROVINCIAS DE LA REGION PUNO, DISTRITO DE PUNO, PROVINCIA PUNO, DEPARTAMENTO PUNO</t>
  </si>
  <si>
    <t>TOTAL G.R. DESARROLLO ECONOMICO</t>
  </si>
  <si>
    <t>TOTAL G.R. AUTORIDAD AMBIENTAL</t>
  </si>
  <si>
    <t>GERENCIA REGIONAL DE AUTORIDAD AMBIENTAL</t>
  </si>
  <si>
    <t>TOTAL P.E.T.T.</t>
  </si>
  <si>
    <t>TOTAL P.E.C.S.A.</t>
  </si>
  <si>
    <t>TOTAL G.R. DESARROLLO SOCIAL</t>
  </si>
  <si>
    <t>TOTAL D. ESTUDIOS DE PRE-INVERSION</t>
  </si>
  <si>
    <t>EJECUCIÓN POR ADMINISTRACIÓN DIRECTA - DIRECTIVA 10</t>
  </si>
  <si>
    <t>ANEXO N° 03</t>
  </si>
  <si>
    <t>ANEXO N° 04</t>
  </si>
  <si>
    <t>ANEXO N° 05</t>
  </si>
  <si>
    <t>ANEXO N° 06</t>
  </si>
  <si>
    <t>ANEXO N° 07</t>
  </si>
  <si>
    <t>CERTIFICACIÓN      (B)</t>
  </si>
  <si>
    <t>CERTIFICACIÓN           (B)</t>
  </si>
  <si>
    <t>GERENCIA</t>
  </si>
  <si>
    <t>U.E. 001 SEDE CENTRAL</t>
  </si>
  <si>
    <t>TOTAL U.E. 001 SEDE CENTRAL</t>
  </si>
  <si>
    <t>G.R. DESARROLLO ECONOMICO</t>
  </si>
  <si>
    <t>G. R. INFRESTRUCTURA</t>
  </si>
  <si>
    <t>G.R. AUTORIDAD AMBIENTAL</t>
  </si>
  <si>
    <t>P.E.T.T.</t>
  </si>
  <si>
    <t>P.E.C.S.A.</t>
  </si>
  <si>
    <t>G.R. DESARROLLO SOCIAL</t>
  </si>
  <si>
    <t>D. ESTUDIOS DE PRE-INVERSION</t>
  </si>
  <si>
    <t>%                   DEVEN</t>
  </si>
  <si>
    <t>%                 SIN               CERTIFICAR</t>
  </si>
  <si>
    <t xml:space="preserve">  COMPORTAMIENTO DE EJECUCIÓN DE  PROYECTOS DE INVERSION PUBLICA DEL AÑO FISCAL 2026 DE GERENCIAS REGIONALES</t>
  </si>
  <si>
    <t>PLIEGO 458 - GOBIERNO REGIONAL PUNO</t>
  </si>
  <si>
    <t>%                 SIN               DEVENGAR</t>
  </si>
  <si>
    <t xml:space="preserve">2650473.CONSTRUCCION DE AULA DE EDUCACION SECUNDARIA, LABORATORIO Y/O TALLER, CERCO Y/O PORTADA Y SERVICIOS HIGIENICOS Y/O VESTIDORES; ADEMAS DE OTROS ACTIVOS EN EL(LA) I.E. AGROINDUSTRIAL DISTRITO DE PUTINA, PROVINCIA SAN ANTONIO DE PUTINA, DEPARTAMENTO </t>
  </si>
  <si>
    <t>2681133.MEJORAMIENTO DE LA PRODUCCION DE QUESOS TIPO PARIA PASTEURIZADO DE LA CENTRAL DE ASOCIACIONES GANADEROS LECHEROS Y AGRARIOS DEL DISTRITO DE VILQUE, DISTRITO DE VILQUE, PROVINCIA DE PUNO, REGION PUNO</t>
  </si>
  <si>
    <t>2681074.MEJORAMIENTO DEL SERVICIO DE ATENCION DE SALUD BASICOS EN ALTO PAVITA DISTRITO DE ZEPITA DE LA PROVINCIA DE CHUCUITO DEL DEPARTAMENTO DE PUNO</t>
  </si>
  <si>
    <t>2.6.8.1.3 - 1.ELABORACION DE EXPEDIENTES TECNICOS</t>
  </si>
  <si>
    <t>2.6.2.2.2 - 2.COSTO DE CONSTRUCCION POR CONTRATA</t>
  </si>
  <si>
    <t>2.6.2.3.2 - 5.COSTO DE CONSTRUCCION POR ADMINISTRACION DIRECTA - BIENES</t>
  </si>
  <si>
    <t>2.6.2.2.3 - 2.COSTO DE CONSTRUCCION POR CONTRATA</t>
  </si>
  <si>
    <t>2.6.8.1.4 - 3.GASTO POR LA CONTRATACION DE SERVICIOS</t>
  </si>
  <si>
    <t>2.6.2.3.2 - 3.COSTO DE CONSTRUCCION POR CONTRATA</t>
  </si>
  <si>
    <t>2.6.2.3.9 - 2.COSTO DE CONSTRUCCION POR CONTRATA</t>
  </si>
  <si>
    <t>2.6.8.1.4 - 1.GASTO POR LA CONTRATACION DE PERSONAL</t>
  </si>
  <si>
    <t>2.6.8.1.4 - 2.GASTO POR LA COMPRA DE BIENES</t>
  </si>
  <si>
    <t>2.6.2.2.1 - 2.COSTO DE CONSTRUCCION POR CONTRATA</t>
  </si>
  <si>
    <t>Archivo</t>
  </si>
  <si>
    <t>Uso</t>
  </si>
  <si>
    <t>E:\New folder\Economia\8vo\gore\Cash data request\ref docs\reporte20261006085201.xls</t>
  </si>
  <si>
    <t>Reemplazar ruta al descargar un nuevo reporte</t>
  </si>
  <si>
    <t>Fecha de corte declarada</t>
  </si>
  <si>
    <t>E:\New folder\Economia\8vo\gore\Cash data request\ref docs\Cartera_261006-090543.xlsx</t>
  </si>
  <si>
    <t>Clave</t>
  </si>
  <si>
    <t>CUI</t>
  </si>
  <si>
    <t>Meta</t>
  </si>
  <si>
    <t>Certificacion</t>
  </si>
  <si>
    <t>Devengado</t>
  </si>
  <si>
    <t>2194501|23</t>
  </si>
  <si>
    <t>2194501</t>
  </si>
  <si>
    <t>23</t>
  </si>
  <si>
    <t>2194504|24</t>
  </si>
  <si>
    <t>2194504</t>
  </si>
  <si>
    <t>24</t>
  </si>
  <si>
    <t>2321290|101</t>
  </si>
  <si>
    <t>2321290</t>
  </si>
  <si>
    <t>101</t>
  </si>
  <si>
    <t>2251136|219</t>
  </si>
  <si>
    <t>2251136</t>
  </si>
  <si>
    <t>219</t>
  </si>
  <si>
    <t>2279375|220</t>
  </si>
  <si>
    <t>2279375</t>
  </si>
  <si>
    <t>2521936|245</t>
  </si>
  <si>
    <t>2521936</t>
  </si>
  <si>
    <t>245</t>
  </si>
  <si>
    <t>2527207|246</t>
  </si>
  <si>
    <t>2527207</t>
  </si>
  <si>
    <t>246</t>
  </si>
  <si>
    <t>2710291|308</t>
  </si>
  <si>
    <t>2710291</t>
  </si>
  <si>
    <t>308</t>
  </si>
  <si>
    <t>2284935|25</t>
  </si>
  <si>
    <t>2284935</t>
  </si>
  <si>
    <t>25</t>
  </si>
  <si>
    <t>2385051|32</t>
  </si>
  <si>
    <t>2385051</t>
  </si>
  <si>
    <t>32</t>
  </si>
  <si>
    <t>2385673|33</t>
  </si>
  <si>
    <t>2385673</t>
  </si>
  <si>
    <t>33</t>
  </si>
  <si>
    <t>2603165|123</t>
  </si>
  <si>
    <t>2603165</t>
  </si>
  <si>
    <t>123</t>
  </si>
  <si>
    <t>2603167|124</t>
  </si>
  <si>
    <t>2603167</t>
  </si>
  <si>
    <t>124</t>
  </si>
  <si>
    <t>2585543|161</t>
  </si>
  <si>
    <t>2585543</t>
  </si>
  <si>
    <t>161</t>
  </si>
  <si>
    <t>2664940|193</t>
  </si>
  <si>
    <t>2664940</t>
  </si>
  <si>
    <t>193</t>
  </si>
  <si>
    <t>2450812|197</t>
  </si>
  <si>
    <t>2450812</t>
  </si>
  <si>
    <t>197</t>
  </si>
  <si>
    <t>2290342|221</t>
  </si>
  <si>
    <t>2290342</t>
  </si>
  <si>
    <t>221</t>
  </si>
  <si>
    <t>2357089|226</t>
  </si>
  <si>
    <t>2357089</t>
  </si>
  <si>
    <t>226</t>
  </si>
  <si>
    <t>2357091|227</t>
  </si>
  <si>
    <t>2357091</t>
  </si>
  <si>
    <t>227</t>
  </si>
  <si>
    <t>2435272|234</t>
  </si>
  <si>
    <t>2435272</t>
  </si>
  <si>
    <t>234</t>
  </si>
  <si>
    <t>2470517|237</t>
  </si>
  <si>
    <t>2470517</t>
  </si>
  <si>
    <t>237</t>
  </si>
  <si>
    <t>2494039|241</t>
  </si>
  <si>
    <t>2494039</t>
  </si>
  <si>
    <t>241</t>
  </si>
  <si>
    <t>2535611|247</t>
  </si>
  <si>
    <t>2535611</t>
  </si>
  <si>
    <t>247</t>
  </si>
  <si>
    <t>2592407|259</t>
  </si>
  <si>
    <t>2592407</t>
  </si>
  <si>
    <t>259</t>
  </si>
  <si>
    <t>2599489|262</t>
  </si>
  <si>
    <t>2599489</t>
  </si>
  <si>
    <t>262</t>
  </si>
  <si>
    <t>2600443|263</t>
  </si>
  <si>
    <t>2600443</t>
  </si>
  <si>
    <t>263</t>
  </si>
  <si>
    <t>2685431|286</t>
  </si>
  <si>
    <t>2685431</t>
  </si>
  <si>
    <t>286</t>
  </si>
  <si>
    <t>2685776|287</t>
  </si>
  <si>
    <t>2685776</t>
  </si>
  <si>
    <t>287</t>
  </si>
  <si>
    <t>2520451|303</t>
  </si>
  <si>
    <t>2520451</t>
  </si>
  <si>
    <t>303</t>
  </si>
  <si>
    <t>2606991|306</t>
  </si>
  <si>
    <t>2606991</t>
  </si>
  <si>
    <t>306</t>
  </si>
  <si>
    <t>2611144|314</t>
  </si>
  <si>
    <t>2611144</t>
  </si>
  <si>
    <t>314</t>
  </si>
  <si>
    <t>2692290|343</t>
  </si>
  <si>
    <t>2692290</t>
  </si>
  <si>
    <t>343</t>
  </si>
  <si>
    <t>2650340|462</t>
  </si>
  <si>
    <t>2650340</t>
  </si>
  <si>
    <t>462</t>
  </si>
  <si>
    <t>2723359|509</t>
  </si>
  <si>
    <t>2723359</t>
  </si>
  <si>
    <t>509</t>
  </si>
  <si>
    <t>2721888|510</t>
  </si>
  <si>
    <t>2721888</t>
  </si>
  <si>
    <t>510</t>
  </si>
  <si>
    <t>2721886|511</t>
  </si>
  <si>
    <t>2721886</t>
  </si>
  <si>
    <t>511</t>
  </si>
  <si>
    <t>2721991|512</t>
  </si>
  <si>
    <t>2721991</t>
  </si>
  <si>
    <t>512</t>
  </si>
  <si>
    <t>2721892|513</t>
  </si>
  <si>
    <t>2721892</t>
  </si>
  <si>
    <t>513</t>
  </si>
  <si>
    <t>2721889|514</t>
  </si>
  <si>
    <t>2721889</t>
  </si>
  <si>
    <t>514</t>
  </si>
  <si>
    <t>2719529|515</t>
  </si>
  <si>
    <t>2719529</t>
  </si>
  <si>
    <t>515</t>
  </si>
  <si>
    <t>2729834|516</t>
  </si>
  <si>
    <t>2729834</t>
  </si>
  <si>
    <t>516</t>
  </si>
  <si>
    <t>2650473|525</t>
  </si>
  <si>
    <t>2650473</t>
  </si>
  <si>
    <t>525</t>
  </si>
  <si>
    <t>2108576|1</t>
  </si>
  <si>
    <t>2108576</t>
  </si>
  <si>
    <t>1</t>
  </si>
  <si>
    <t>2227389|2</t>
  </si>
  <si>
    <t>2227389</t>
  </si>
  <si>
    <t>2</t>
  </si>
  <si>
    <t>2683535|3</t>
  </si>
  <si>
    <t>2683535</t>
  </si>
  <si>
    <t>3</t>
  </si>
  <si>
    <t>2183634|4</t>
  </si>
  <si>
    <t>2183634</t>
  </si>
  <si>
    <t>4</t>
  </si>
  <si>
    <t>2474102|5</t>
  </si>
  <si>
    <t>2474102</t>
  </si>
  <si>
    <t>5</t>
  </si>
  <si>
    <t>2532916|6</t>
  </si>
  <si>
    <t>2532916</t>
  </si>
  <si>
    <t>6</t>
  </si>
  <si>
    <t>2533866|7</t>
  </si>
  <si>
    <t>2533866</t>
  </si>
  <si>
    <t>7</t>
  </si>
  <si>
    <t>2526527|20</t>
  </si>
  <si>
    <t>2526527</t>
  </si>
  <si>
    <t>20</t>
  </si>
  <si>
    <t>2188379|21</t>
  </si>
  <si>
    <t>2188379</t>
  </si>
  <si>
    <t>21</t>
  </si>
  <si>
    <t>2194462|22</t>
  </si>
  <si>
    <t>2194462</t>
  </si>
  <si>
    <t>22</t>
  </si>
  <si>
    <t>2289661|26</t>
  </si>
  <si>
    <t>2289661</t>
  </si>
  <si>
    <t>2301117|27</t>
  </si>
  <si>
    <t>2301117</t>
  </si>
  <si>
    <t>27</t>
  </si>
  <si>
    <t>2344253|28</t>
  </si>
  <si>
    <t>2344253</t>
  </si>
  <si>
    <t>28</t>
  </si>
  <si>
    <t>2344324|29</t>
  </si>
  <si>
    <t>2344324</t>
  </si>
  <si>
    <t>29</t>
  </si>
  <si>
    <t>2357322|30</t>
  </si>
  <si>
    <t>2357322</t>
  </si>
  <si>
    <t>30</t>
  </si>
  <si>
    <t>2384978|31</t>
  </si>
  <si>
    <t>2384978</t>
  </si>
  <si>
    <t>31</t>
  </si>
  <si>
    <t>2393398|34</t>
  </si>
  <si>
    <t>2393398</t>
  </si>
  <si>
    <t>34</t>
  </si>
  <si>
    <t>2411336|35</t>
  </si>
  <si>
    <t>2411336</t>
  </si>
  <si>
    <t>35</t>
  </si>
  <si>
    <t>2417765|36</t>
  </si>
  <si>
    <t>2417765</t>
  </si>
  <si>
    <t>36</t>
  </si>
  <si>
    <t>2467893|37</t>
  </si>
  <si>
    <t>2467893</t>
  </si>
  <si>
    <t>37</t>
  </si>
  <si>
    <t>2525250|38</t>
  </si>
  <si>
    <t>2525250</t>
  </si>
  <si>
    <t>38</t>
  </si>
  <si>
    <t>2538950|39</t>
  </si>
  <si>
    <t>2538950</t>
  </si>
  <si>
    <t>39</t>
  </si>
  <si>
    <t>2585923|40</t>
  </si>
  <si>
    <t>2585923</t>
  </si>
  <si>
    <t>40</t>
  </si>
  <si>
    <t>2590087|41</t>
  </si>
  <si>
    <t>2590087</t>
  </si>
  <si>
    <t>41</t>
  </si>
  <si>
    <t>2616445|42</t>
  </si>
  <si>
    <t>2616445</t>
  </si>
  <si>
    <t>2618450|43</t>
  </si>
  <si>
    <t>2618450</t>
  </si>
  <si>
    <t>43</t>
  </si>
  <si>
    <t>2629119|44</t>
  </si>
  <si>
    <t>2629119</t>
  </si>
  <si>
    <t>44</t>
  </si>
  <si>
    <t>2637985|45</t>
  </si>
  <si>
    <t>2637985</t>
  </si>
  <si>
    <t>45</t>
  </si>
  <si>
    <t>2637997|46</t>
  </si>
  <si>
    <t>2637997</t>
  </si>
  <si>
    <t>46</t>
  </si>
  <si>
    <t>2638009|47</t>
  </si>
  <si>
    <t>2638009</t>
  </si>
  <si>
    <t>47</t>
  </si>
  <si>
    <t>2652118|48</t>
  </si>
  <si>
    <t>2652118</t>
  </si>
  <si>
    <t>48</t>
  </si>
  <si>
    <t>2652119|49</t>
  </si>
  <si>
    <t>2652119</t>
  </si>
  <si>
    <t>49</t>
  </si>
  <si>
    <t>2652120|50</t>
  </si>
  <si>
    <t>2652120</t>
  </si>
  <si>
    <t>50</t>
  </si>
  <si>
    <t>2655774|51</t>
  </si>
  <si>
    <t>2655774</t>
  </si>
  <si>
    <t>51</t>
  </si>
  <si>
    <t>2656882|52</t>
  </si>
  <si>
    <t>2656882</t>
  </si>
  <si>
    <t>52</t>
  </si>
  <si>
    <t>2659574|53</t>
  </si>
  <si>
    <t>2659574</t>
  </si>
  <si>
    <t>53</t>
  </si>
  <si>
    <t>2660479|54</t>
  </si>
  <si>
    <t>2660479</t>
  </si>
  <si>
    <t>54</t>
  </si>
  <si>
    <t>2662668|55</t>
  </si>
  <si>
    <t>2662668</t>
  </si>
  <si>
    <t>55</t>
  </si>
  <si>
    <t>2662786|56</t>
  </si>
  <si>
    <t>2662786</t>
  </si>
  <si>
    <t>56</t>
  </si>
  <si>
    <t>2664647|57</t>
  </si>
  <si>
    <t>2664647</t>
  </si>
  <si>
    <t>57</t>
  </si>
  <si>
    <t>2673628|58</t>
  </si>
  <si>
    <t>2673628</t>
  </si>
  <si>
    <t>58</t>
  </si>
  <si>
    <t>2324613|59</t>
  </si>
  <si>
    <t>2324613</t>
  </si>
  <si>
    <t>2603148|60</t>
  </si>
  <si>
    <t>2603148</t>
  </si>
  <si>
    <t>2603160|61</t>
  </si>
  <si>
    <t>2603160</t>
  </si>
  <si>
    <t>2186641|62</t>
  </si>
  <si>
    <t>2186641</t>
  </si>
  <si>
    <t>62</t>
  </si>
  <si>
    <t>2188542|63</t>
  </si>
  <si>
    <t>2188542</t>
  </si>
  <si>
    <t>63</t>
  </si>
  <si>
    <t>2292669|64</t>
  </si>
  <si>
    <t>2292669</t>
  </si>
  <si>
    <t>64</t>
  </si>
  <si>
    <t>2645340|65</t>
  </si>
  <si>
    <t>2645340</t>
  </si>
  <si>
    <t>65</t>
  </si>
  <si>
    <t>2645376|66</t>
  </si>
  <si>
    <t>2645376</t>
  </si>
  <si>
    <t>66</t>
  </si>
  <si>
    <t>2645380|67</t>
  </si>
  <si>
    <t>2645380</t>
  </si>
  <si>
    <t>67</t>
  </si>
  <si>
    <t>2645444|68</t>
  </si>
  <si>
    <t>2645444</t>
  </si>
  <si>
    <t>68</t>
  </si>
  <si>
    <t>2645446|69</t>
  </si>
  <si>
    <t>2645446</t>
  </si>
  <si>
    <t>69</t>
  </si>
  <si>
    <t>2646095|70</t>
  </si>
  <si>
    <t>2646095</t>
  </si>
  <si>
    <t>70</t>
  </si>
  <si>
    <t>2646096|71</t>
  </si>
  <si>
    <t>2646096</t>
  </si>
  <si>
    <t>71</t>
  </si>
  <si>
    <t>2646100|72</t>
  </si>
  <si>
    <t>2646100</t>
  </si>
  <si>
    <t>72</t>
  </si>
  <si>
    <t>2646109|73</t>
  </si>
  <si>
    <t>2646109</t>
  </si>
  <si>
    <t>73</t>
  </si>
  <si>
    <t>2669946|74</t>
  </si>
  <si>
    <t>2669946</t>
  </si>
  <si>
    <t>74</t>
  </si>
  <si>
    <t>2357337|81</t>
  </si>
  <si>
    <t>2357337</t>
  </si>
  <si>
    <t>81</t>
  </si>
  <si>
    <t>2623873|82</t>
  </si>
  <si>
    <t>2623873</t>
  </si>
  <si>
    <t>82</t>
  </si>
  <si>
    <t>2627406|83</t>
  </si>
  <si>
    <t>2627406</t>
  </si>
  <si>
    <t>83</t>
  </si>
  <si>
    <t>2031310|87</t>
  </si>
  <si>
    <t>2031310</t>
  </si>
  <si>
    <t>87</t>
  </si>
  <si>
    <t>2055915|88</t>
  </si>
  <si>
    <t>2055915</t>
  </si>
  <si>
    <t>88</t>
  </si>
  <si>
    <t>2131389|89</t>
  </si>
  <si>
    <t>2131389</t>
  </si>
  <si>
    <t>89</t>
  </si>
  <si>
    <t>2131661|90</t>
  </si>
  <si>
    <t>2131661</t>
  </si>
  <si>
    <t>90</t>
  </si>
  <si>
    <t>2159836|91</t>
  </si>
  <si>
    <t>2159836</t>
  </si>
  <si>
    <t>91</t>
  </si>
  <si>
    <t>2185111|93</t>
  </si>
  <si>
    <t>2185111</t>
  </si>
  <si>
    <t>93</t>
  </si>
  <si>
    <t>2185578|94</t>
  </si>
  <si>
    <t>2185578</t>
  </si>
  <si>
    <t>94</t>
  </si>
  <si>
    <t>2194702|95</t>
  </si>
  <si>
    <t>2194702</t>
  </si>
  <si>
    <t>95</t>
  </si>
  <si>
    <t>2195487|96</t>
  </si>
  <si>
    <t>2195487</t>
  </si>
  <si>
    <t>96</t>
  </si>
  <si>
    <t>2232371|97</t>
  </si>
  <si>
    <t>2232371</t>
  </si>
  <si>
    <t>97</t>
  </si>
  <si>
    <t>2287700|98</t>
  </si>
  <si>
    <t>2287700</t>
  </si>
  <si>
    <t>98</t>
  </si>
  <si>
    <t>2300575|99</t>
  </si>
  <si>
    <t>2300575</t>
  </si>
  <si>
    <t>99</t>
  </si>
  <si>
    <t>2316291|100</t>
  </si>
  <si>
    <t>2316291</t>
  </si>
  <si>
    <t>100</t>
  </si>
  <si>
    <t>2338085|102</t>
  </si>
  <si>
    <t>2338085</t>
  </si>
  <si>
    <t>102</t>
  </si>
  <si>
    <t>2343199|103</t>
  </si>
  <si>
    <t>2343199</t>
  </si>
  <si>
    <t>103</t>
  </si>
  <si>
    <t>2375549|104</t>
  </si>
  <si>
    <t>2375549</t>
  </si>
  <si>
    <t>104</t>
  </si>
  <si>
    <t>2387422|105</t>
  </si>
  <si>
    <t>2387422</t>
  </si>
  <si>
    <t>105</t>
  </si>
  <si>
    <t>2399543|106</t>
  </si>
  <si>
    <t>2399543</t>
  </si>
  <si>
    <t>106</t>
  </si>
  <si>
    <t>2436247|107</t>
  </si>
  <si>
    <t>2436247</t>
  </si>
  <si>
    <t>107</t>
  </si>
  <si>
    <t>2443679|108</t>
  </si>
  <si>
    <t>2443679</t>
  </si>
  <si>
    <t>108</t>
  </si>
  <si>
    <t>2447465|109</t>
  </si>
  <si>
    <t>2447465</t>
  </si>
  <si>
    <t>2456529|110</t>
  </si>
  <si>
    <t>2456529</t>
  </si>
  <si>
    <t>110</t>
  </si>
  <si>
    <t>2470024|111</t>
  </si>
  <si>
    <t>2470024</t>
  </si>
  <si>
    <t>111</t>
  </si>
  <si>
    <t>2480499|112</t>
  </si>
  <si>
    <t>2480499</t>
  </si>
  <si>
    <t>112</t>
  </si>
  <si>
    <t>2514428|113</t>
  </si>
  <si>
    <t>2514428</t>
  </si>
  <si>
    <t>113</t>
  </si>
  <si>
    <t>2527184|114</t>
  </si>
  <si>
    <t>2527184</t>
  </si>
  <si>
    <t>114</t>
  </si>
  <si>
    <t>2585398|115</t>
  </si>
  <si>
    <t>2585398</t>
  </si>
  <si>
    <t>115</t>
  </si>
  <si>
    <t>2585540|116</t>
  </si>
  <si>
    <t>2585540</t>
  </si>
  <si>
    <t>116</t>
  </si>
  <si>
    <t>2585541|117</t>
  </si>
  <si>
    <t>2585541</t>
  </si>
  <si>
    <t>117</t>
  </si>
  <si>
    <t>2591732|118</t>
  </si>
  <si>
    <t>2591732</t>
  </si>
  <si>
    <t>118</t>
  </si>
  <si>
    <t>2591951|119</t>
  </si>
  <si>
    <t>2591951</t>
  </si>
  <si>
    <t>119</t>
  </si>
  <si>
    <t>2602159|120</t>
  </si>
  <si>
    <t>2602159</t>
  </si>
  <si>
    <t>120</t>
  </si>
  <si>
    <t>2602163|121</t>
  </si>
  <si>
    <t>2602163</t>
  </si>
  <si>
    <t>121</t>
  </si>
  <si>
    <t>2603164|122</t>
  </si>
  <si>
    <t>2603164</t>
  </si>
  <si>
    <t>122</t>
  </si>
  <si>
    <t>2603281|125</t>
  </si>
  <si>
    <t>2603281</t>
  </si>
  <si>
    <t>125</t>
  </si>
  <si>
    <t>2607527|126</t>
  </si>
  <si>
    <t>2607527</t>
  </si>
  <si>
    <t>126</t>
  </si>
  <si>
    <t>2614553|127</t>
  </si>
  <si>
    <t>2614553</t>
  </si>
  <si>
    <t>127</t>
  </si>
  <si>
    <t>2634040|128</t>
  </si>
  <si>
    <t>2634040</t>
  </si>
  <si>
    <t>128</t>
  </si>
  <si>
    <t>2645503|129</t>
  </si>
  <si>
    <t>2645503</t>
  </si>
  <si>
    <t>129</t>
  </si>
  <si>
    <t>2646859|130</t>
  </si>
  <si>
    <t>2646859</t>
  </si>
  <si>
    <t>130</t>
  </si>
  <si>
    <t>2649221|131</t>
  </si>
  <si>
    <t>2649221</t>
  </si>
  <si>
    <t>131</t>
  </si>
  <si>
    <t>2651270|132</t>
  </si>
  <si>
    <t>2651270</t>
  </si>
  <si>
    <t>132</t>
  </si>
  <si>
    <t>2651271|133</t>
  </si>
  <si>
    <t>2651271</t>
  </si>
  <si>
    <t>133</t>
  </si>
  <si>
    <t>2652984|134</t>
  </si>
  <si>
    <t>2652984</t>
  </si>
  <si>
    <t>134</t>
  </si>
  <si>
    <t>2653737|135</t>
  </si>
  <si>
    <t>2653737</t>
  </si>
  <si>
    <t>135</t>
  </si>
  <si>
    <t>2653926|136</t>
  </si>
  <si>
    <t>2653926</t>
  </si>
  <si>
    <t>136</t>
  </si>
  <si>
    <t>2654509|137</t>
  </si>
  <si>
    <t>2654509</t>
  </si>
  <si>
    <t>137</t>
  </si>
  <si>
    <t>2654549|138</t>
  </si>
  <si>
    <t>2654549</t>
  </si>
  <si>
    <t>138</t>
  </si>
  <si>
    <t>2655389|139</t>
  </si>
  <si>
    <t>2655389</t>
  </si>
  <si>
    <t>139</t>
  </si>
  <si>
    <t>2656599|140</t>
  </si>
  <si>
    <t>2656599</t>
  </si>
  <si>
    <t>140</t>
  </si>
  <si>
    <t>2656878|141</t>
  </si>
  <si>
    <t>2656878</t>
  </si>
  <si>
    <t>141</t>
  </si>
  <si>
    <t>2657159|142</t>
  </si>
  <si>
    <t>2657159</t>
  </si>
  <si>
    <t>142</t>
  </si>
  <si>
    <t>2657484|143</t>
  </si>
  <si>
    <t>2657484</t>
  </si>
  <si>
    <t>143</t>
  </si>
  <si>
    <t>2657867|144</t>
  </si>
  <si>
    <t>2657867</t>
  </si>
  <si>
    <t>144</t>
  </si>
  <si>
    <t>2657953|145</t>
  </si>
  <si>
    <t>2657953</t>
  </si>
  <si>
    <t>145</t>
  </si>
  <si>
    <t>2661648|146</t>
  </si>
  <si>
    <t>2661648</t>
  </si>
  <si>
    <t>146</t>
  </si>
  <si>
    <t>2661660|147</t>
  </si>
  <si>
    <t>2661660</t>
  </si>
  <si>
    <t>147</t>
  </si>
  <si>
    <t>2666182|148</t>
  </si>
  <si>
    <t>2666182</t>
  </si>
  <si>
    <t>148</t>
  </si>
  <si>
    <t>2670620|149</t>
  </si>
  <si>
    <t>2670620</t>
  </si>
  <si>
    <t>149</t>
  </si>
  <si>
    <t>2673441|150</t>
  </si>
  <si>
    <t>2673441</t>
  </si>
  <si>
    <t>150</t>
  </si>
  <si>
    <t>2681264|151</t>
  </si>
  <si>
    <t>2681264</t>
  </si>
  <si>
    <t>151</t>
  </si>
  <si>
    <t>2250970|152</t>
  </si>
  <si>
    <t>2250970</t>
  </si>
  <si>
    <t>152</t>
  </si>
  <si>
    <t>2625216|153</t>
  </si>
  <si>
    <t>2625216</t>
  </si>
  <si>
    <t>153</t>
  </si>
  <si>
    <t>2631070|154</t>
  </si>
  <si>
    <t>2631070</t>
  </si>
  <si>
    <t>154</t>
  </si>
  <si>
    <t>2403888|155</t>
  </si>
  <si>
    <t>2403888</t>
  </si>
  <si>
    <t>155</t>
  </si>
  <si>
    <t>2566572|156</t>
  </si>
  <si>
    <t>2566572</t>
  </si>
  <si>
    <t>156</t>
  </si>
  <si>
    <t>2570033|157</t>
  </si>
  <si>
    <t>2570033</t>
  </si>
  <si>
    <t>157</t>
  </si>
  <si>
    <t>2570365|158</t>
  </si>
  <si>
    <t>2570365</t>
  </si>
  <si>
    <t>158</t>
  </si>
  <si>
    <t>2570369|159</t>
  </si>
  <si>
    <t>2570369</t>
  </si>
  <si>
    <t>159</t>
  </si>
  <si>
    <t>2570978|160</t>
  </si>
  <si>
    <t>2570978</t>
  </si>
  <si>
    <t>160</t>
  </si>
  <si>
    <t>2591926|162</t>
  </si>
  <si>
    <t>2591926</t>
  </si>
  <si>
    <t>162</t>
  </si>
  <si>
    <t>2623875|163</t>
  </si>
  <si>
    <t>2623875</t>
  </si>
  <si>
    <t>163</t>
  </si>
  <si>
    <t>2623876|164</t>
  </si>
  <si>
    <t>2623876</t>
  </si>
  <si>
    <t>164</t>
  </si>
  <si>
    <t>2662467|165</t>
  </si>
  <si>
    <t>2662467</t>
  </si>
  <si>
    <t>165</t>
  </si>
  <si>
    <t>2475053|166</t>
  </si>
  <si>
    <t>2475053</t>
  </si>
  <si>
    <t>166</t>
  </si>
  <si>
    <t>2519621|167</t>
  </si>
  <si>
    <t>2519621</t>
  </si>
  <si>
    <t>167</t>
  </si>
  <si>
    <t>2196834|168</t>
  </si>
  <si>
    <t>2196834</t>
  </si>
  <si>
    <t>168</t>
  </si>
  <si>
    <t>2196857|169</t>
  </si>
  <si>
    <t>2196857</t>
  </si>
  <si>
    <t>169</t>
  </si>
  <si>
    <t>2196865|170</t>
  </si>
  <si>
    <t>2196865</t>
  </si>
  <si>
    <t>170</t>
  </si>
  <si>
    <t>2250307|171</t>
  </si>
  <si>
    <t>2250307</t>
  </si>
  <si>
    <t>171</t>
  </si>
  <si>
    <t>2250382|172</t>
  </si>
  <si>
    <t>2250382</t>
  </si>
  <si>
    <t>172</t>
  </si>
  <si>
    <t>2250396|173</t>
  </si>
  <si>
    <t>2250396</t>
  </si>
  <si>
    <t>173</t>
  </si>
  <si>
    <t>2250460|174</t>
  </si>
  <si>
    <t>2250460</t>
  </si>
  <si>
    <t>174</t>
  </si>
  <si>
    <t>2649797|175</t>
  </si>
  <si>
    <t>2649797</t>
  </si>
  <si>
    <t>175</t>
  </si>
  <si>
    <t>2649798|176</t>
  </si>
  <si>
    <t>2649798</t>
  </si>
  <si>
    <t>176</t>
  </si>
  <si>
    <t>2649800|177</t>
  </si>
  <si>
    <t>2649800</t>
  </si>
  <si>
    <t>177</t>
  </si>
  <si>
    <t>2649803|178</t>
  </si>
  <si>
    <t>2649803</t>
  </si>
  <si>
    <t>178</t>
  </si>
  <si>
    <t>2649804|179</t>
  </si>
  <si>
    <t>2649804</t>
  </si>
  <si>
    <t>179</t>
  </si>
  <si>
    <t>2649805|180</t>
  </si>
  <si>
    <t>2649805</t>
  </si>
  <si>
    <t>180</t>
  </si>
  <si>
    <t>2649852|181</t>
  </si>
  <si>
    <t>2649852</t>
  </si>
  <si>
    <t>181</t>
  </si>
  <si>
    <t>2649853|182</t>
  </si>
  <si>
    <t>2649853</t>
  </si>
  <si>
    <t>182</t>
  </si>
  <si>
    <t>2649854|183</t>
  </si>
  <si>
    <t>2649854</t>
  </si>
  <si>
    <t>183</t>
  </si>
  <si>
    <t>2649855|184</t>
  </si>
  <si>
    <t>2649855</t>
  </si>
  <si>
    <t>184</t>
  </si>
  <si>
    <t>2649856|185</t>
  </si>
  <si>
    <t>2649856</t>
  </si>
  <si>
    <t>185</t>
  </si>
  <si>
    <t>2649857|186</t>
  </si>
  <si>
    <t>2649857</t>
  </si>
  <si>
    <t>186</t>
  </si>
  <si>
    <t>2649858|187</t>
  </si>
  <si>
    <t>2649858</t>
  </si>
  <si>
    <t>187</t>
  </si>
  <si>
    <t>2650268|188</t>
  </si>
  <si>
    <t>2650268</t>
  </si>
  <si>
    <t>188</t>
  </si>
  <si>
    <t>2651086|189</t>
  </si>
  <si>
    <t>2651086</t>
  </si>
  <si>
    <t>189</t>
  </si>
  <si>
    <t>2652121|190</t>
  </si>
  <si>
    <t>2652121</t>
  </si>
  <si>
    <t>190</t>
  </si>
  <si>
    <t>2652473|191</t>
  </si>
  <si>
    <t>2652473</t>
  </si>
  <si>
    <t>191</t>
  </si>
  <si>
    <t>2659575|192</t>
  </si>
  <si>
    <t>2659575</t>
  </si>
  <si>
    <t>192</t>
  </si>
  <si>
    <t>2673614|194</t>
  </si>
  <si>
    <t>2673614</t>
  </si>
  <si>
    <t>194</t>
  </si>
  <si>
    <t>2154443|195</t>
  </si>
  <si>
    <t>2154443</t>
  </si>
  <si>
    <t>195</t>
  </si>
  <si>
    <t>2159149|196</t>
  </si>
  <si>
    <t>2159149</t>
  </si>
  <si>
    <t>196</t>
  </si>
  <si>
    <t>2001621|213</t>
  </si>
  <si>
    <t>2001621</t>
  </si>
  <si>
    <t>213</t>
  </si>
  <si>
    <t>2001621|214</t>
  </si>
  <si>
    <t>214</t>
  </si>
  <si>
    <t>2016766|216</t>
  </si>
  <si>
    <t>2016766</t>
  </si>
  <si>
    <t>216</t>
  </si>
  <si>
    <t>2163853|217</t>
  </si>
  <si>
    <t>2163853</t>
  </si>
  <si>
    <t>217</t>
  </si>
  <si>
    <t>2187217|218</t>
  </si>
  <si>
    <t>2187217</t>
  </si>
  <si>
    <t>218</t>
  </si>
  <si>
    <t>2308220|222</t>
  </si>
  <si>
    <t>2308220</t>
  </si>
  <si>
    <t>2323700|223</t>
  </si>
  <si>
    <t>2323700</t>
  </si>
  <si>
    <t>223</t>
  </si>
  <si>
    <t>2335880|224</t>
  </si>
  <si>
    <t>2335880</t>
  </si>
  <si>
    <t>224</t>
  </si>
  <si>
    <t>2343538|225</t>
  </si>
  <si>
    <t>2343538</t>
  </si>
  <si>
    <t>225</t>
  </si>
  <si>
    <t>2357092|228</t>
  </si>
  <si>
    <t>2357092</t>
  </si>
  <si>
    <t>228</t>
  </si>
  <si>
    <t>2357330|229</t>
  </si>
  <si>
    <t>2357330</t>
  </si>
  <si>
    <t>229</t>
  </si>
  <si>
    <t>2380088|230</t>
  </si>
  <si>
    <t>2380088</t>
  </si>
  <si>
    <t>230</t>
  </si>
  <si>
    <t>2393101|231</t>
  </si>
  <si>
    <t>2393101</t>
  </si>
  <si>
    <t>231</t>
  </si>
  <si>
    <t>2411317|232</t>
  </si>
  <si>
    <t>2411317</t>
  </si>
  <si>
    <t>232</t>
  </si>
  <si>
    <t>2427364|233</t>
  </si>
  <si>
    <t>2427364</t>
  </si>
  <si>
    <t>2451529|235</t>
  </si>
  <si>
    <t>2451529</t>
  </si>
  <si>
    <t>235</t>
  </si>
  <si>
    <t>2462296|236</t>
  </si>
  <si>
    <t>2462296</t>
  </si>
  <si>
    <t>236</t>
  </si>
  <si>
    <t>2476464|238</t>
  </si>
  <si>
    <t>2476464</t>
  </si>
  <si>
    <t>238</t>
  </si>
  <si>
    <t>2488048|239</t>
  </si>
  <si>
    <t>2488048</t>
  </si>
  <si>
    <t>239</t>
  </si>
  <si>
    <t>2490087|240</t>
  </si>
  <si>
    <t>2490087</t>
  </si>
  <si>
    <t>240</t>
  </si>
  <si>
    <t>2504553|242</t>
  </si>
  <si>
    <t>2504553</t>
  </si>
  <si>
    <t>242</t>
  </si>
  <si>
    <t>2506927|243</t>
  </si>
  <si>
    <t>2506927</t>
  </si>
  <si>
    <t>243</t>
  </si>
  <si>
    <t>2517448|244</t>
  </si>
  <si>
    <t>2517448</t>
  </si>
  <si>
    <t>244</t>
  </si>
  <si>
    <t>2539673|248</t>
  </si>
  <si>
    <t>2539673</t>
  </si>
  <si>
    <t>248</t>
  </si>
  <si>
    <t>2544369|249</t>
  </si>
  <si>
    <t>2544369</t>
  </si>
  <si>
    <t>249</t>
  </si>
  <si>
    <t>2549395|250</t>
  </si>
  <si>
    <t>2549395</t>
  </si>
  <si>
    <t>250</t>
  </si>
  <si>
    <t>2551456|251</t>
  </si>
  <si>
    <t>2551456</t>
  </si>
  <si>
    <t>251</t>
  </si>
  <si>
    <t>2555837|252</t>
  </si>
  <si>
    <t>2555837</t>
  </si>
  <si>
    <t>252</t>
  </si>
  <si>
    <t>2566295|253</t>
  </si>
  <si>
    <t>2566295</t>
  </si>
  <si>
    <t>253</t>
  </si>
  <si>
    <t>2567368|254</t>
  </si>
  <si>
    <t>2567368</t>
  </si>
  <si>
    <t>2567375|255</t>
  </si>
  <si>
    <t>2567375</t>
  </si>
  <si>
    <t>2570943|256</t>
  </si>
  <si>
    <t>2570943</t>
  </si>
  <si>
    <t>256</t>
  </si>
  <si>
    <t>2578405|257</t>
  </si>
  <si>
    <t>2578405</t>
  </si>
  <si>
    <t>257</t>
  </si>
  <si>
    <t>2585395|258</t>
  </si>
  <si>
    <t>2585395</t>
  </si>
  <si>
    <t>258</t>
  </si>
  <si>
    <t>2593683|260</t>
  </si>
  <si>
    <t>2593683</t>
  </si>
  <si>
    <t>260</t>
  </si>
  <si>
    <t>2594994|261</t>
  </si>
  <si>
    <t>2594994</t>
  </si>
  <si>
    <t>261</t>
  </si>
  <si>
    <t>2603155|264</t>
  </si>
  <si>
    <t>2603155</t>
  </si>
  <si>
    <t>264</t>
  </si>
  <si>
    <t>2603161|265</t>
  </si>
  <si>
    <t>2603161</t>
  </si>
  <si>
    <t>265</t>
  </si>
  <si>
    <t>2608728|266</t>
  </si>
  <si>
    <t>2608728</t>
  </si>
  <si>
    <t>266</t>
  </si>
  <si>
    <t>2623878|267</t>
  </si>
  <si>
    <t>2623878</t>
  </si>
  <si>
    <t>267</t>
  </si>
  <si>
    <t>2623879|268</t>
  </si>
  <si>
    <t>2623879</t>
  </si>
  <si>
    <t>268</t>
  </si>
  <si>
    <t>2632832|269</t>
  </si>
  <si>
    <t>2632832</t>
  </si>
  <si>
    <t>269</t>
  </si>
  <si>
    <t>2645524|270</t>
  </si>
  <si>
    <t>2645524</t>
  </si>
  <si>
    <t>270</t>
  </si>
  <si>
    <t>2649778|271</t>
  </si>
  <si>
    <t>2649778</t>
  </si>
  <si>
    <t>271</t>
  </si>
  <si>
    <t>2649779|272</t>
  </si>
  <si>
    <t>2649779</t>
  </si>
  <si>
    <t>272</t>
  </si>
  <si>
    <t>2649780|273</t>
  </si>
  <si>
    <t>2649780</t>
  </si>
  <si>
    <t>273</t>
  </si>
  <si>
    <t>2649782|274</t>
  </si>
  <si>
    <t>2649782</t>
  </si>
  <si>
    <t>274</t>
  </si>
  <si>
    <t>2649786|275</t>
  </si>
  <si>
    <t>2649786</t>
  </si>
  <si>
    <t>275</t>
  </si>
  <si>
    <t>2649788|276</t>
  </si>
  <si>
    <t>2649788</t>
  </si>
  <si>
    <t>276</t>
  </si>
  <si>
    <t>2649789|277</t>
  </si>
  <si>
    <t>2649789</t>
  </si>
  <si>
    <t>277</t>
  </si>
  <si>
    <t>2649790|278</t>
  </si>
  <si>
    <t>2649790</t>
  </si>
  <si>
    <t>278</t>
  </si>
  <si>
    <t>2649793|279</t>
  </si>
  <si>
    <t>2649793</t>
  </si>
  <si>
    <t>279</t>
  </si>
  <si>
    <t>2649794|280</t>
  </si>
  <si>
    <t>2649794</t>
  </si>
  <si>
    <t>280</t>
  </si>
  <si>
    <t>2650340|281</t>
  </si>
  <si>
    <t>281</t>
  </si>
  <si>
    <t>2657043|282</t>
  </si>
  <si>
    <t>2657043</t>
  </si>
  <si>
    <t>2658003|283</t>
  </si>
  <si>
    <t>2658003</t>
  </si>
  <si>
    <t>283</t>
  </si>
  <si>
    <t>2662519|284</t>
  </si>
  <si>
    <t>2662519</t>
  </si>
  <si>
    <t>284</t>
  </si>
  <si>
    <t>2684028|285</t>
  </si>
  <si>
    <t>2684028</t>
  </si>
  <si>
    <t>285</t>
  </si>
  <si>
    <t>2539948|304</t>
  </si>
  <si>
    <t>2539948</t>
  </si>
  <si>
    <t>304</t>
  </si>
  <si>
    <t>2411335|307</t>
  </si>
  <si>
    <t>2411335</t>
  </si>
  <si>
    <t>307</t>
  </si>
  <si>
    <t>2682870|309</t>
  </si>
  <si>
    <t>2682870</t>
  </si>
  <si>
    <t>309</t>
  </si>
  <si>
    <t>2681092|310</t>
  </si>
  <si>
    <t>2681092</t>
  </si>
  <si>
    <t>310</t>
  </si>
  <si>
    <t>2417765|311</t>
  </si>
  <si>
    <t>311</t>
  </si>
  <si>
    <t>2694246|313</t>
  </si>
  <si>
    <t>2694246</t>
  </si>
  <si>
    <t>313</t>
  </si>
  <si>
    <t>2490075|315</t>
  </si>
  <si>
    <t>2490075</t>
  </si>
  <si>
    <t>2681042|316</t>
  </si>
  <si>
    <t>2681042</t>
  </si>
  <si>
    <t>316</t>
  </si>
  <si>
    <t>2659573|317</t>
  </si>
  <si>
    <t>2659573</t>
  </si>
  <si>
    <t>317</t>
  </si>
  <si>
    <t>2663002|318</t>
  </si>
  <si>
    <t>2663002</t>
  </si>
  <si>
    <t>318</t>
  </si>
  <si>
    <t>2681028|319</t>
  </si>
  <si>
    <t>2681028</t>
  </si>
  <si>
    <t>319</t>
  </si>
  <si>
    <t>2690009|320</t>
  </si>
  <si>
    <t>2690009</t>
  </si>
  <si>
    <t>320</t>
  </si>
  <si>
    <t>2186641|321</t>
  </si>
  <si>
    <t>321</t>
  </si>
  <si>
    <t>2624292|323</t>
  </si>
  <si>
    <t>2624292</t>
  </si>
  <si>
    <t>323</t>
  </si>
  <si>
    <t>2131661|324</t>
  </si>
  <si>
    <t>324</t>
  </si>
  <si>
    <t>2575299|325</t>
  </si>
  <si>
    <t>2575299</t>
  </si>
  <si>
    <t>325</t>
  </si>
  <si>
    <t>2642160|326</t>
  </si>
  <si>
    <t>2642160</t>
  </si>
  <si>
    <t>326</t>
  </si>
  <si>
    <t>2669470|327</t>
  </si>
  <si>
    <t>2669470</t>
  </si>
  <si>
    <t>327</t>
  </si>
  <si>
    <t>2681096|328</t>
  </si>
  <si>
    <t>2681096</t>
  </si>
  <si>
    <t>328</t>
  </si>
  <si>
    <t>2692317|329</t>
  </si>
  <si>
    <t>2692317</t>
  </si>
  <si>
    <t>329</t>
  </si>
  <si>
    <t>2492963|331</t>
  </si>
  <si>
    <t>2492963</t>
  </si>
  <si>
    <t>331</t>
  </si>
  <si>
    <t>2650271|332</t>
  </si>
  <si>
    <t>2650271</t>
  </si>
  <si>
    <t>332</t>
  </si>
  <si>
    <t>2651383|333</t>
  </si>
  <si>
    <t>2651383</t>
  </si>
  <si>
    <t>333</t>
  </si>
  <si>
    <t>2651636|334</t>
  </si>
  <si>
    <t>2651636</t>
  </si>
  <si>
    <t>334</t>
  </si>
  <si>
    <t>2518131|337</t>
  </si>
  <si>
    <t>2518131</t>
  </si>
  <si>
    <t>337</t>
  </si>
  <si>
    <t>2699927|341</t>
  </si>
  <si>
    <t>2699927</t>
  </si>
  <si>
    <t>341</t>
  </si>
  <si>
    <t>2654204|342</t>
  </si>
  <si>
    <t>2654204</t>
  </si>
  <si>
    <t>342</t>
  </si>
  <si>
    <t>2668521|344</t>
  </si>
  <si>
    <t>2668521</t>
  </si>
  <si>
    <t>344</t>
  </si>
  <si>
    <t>2699546|345</t>
  </si>
  <si>
    <t>2699546</t>
  </si>
  <si>
    <t>345</t>
  </si>
  <si>
    <t>2613817|346</t>
  </si>
  <si>
    <t>2613817</t>
  </si>
  <si>
    <t>346</t>
  </si>
  <si>
    <t>2131661|347</t>
  </si>
  <si>
    <t>347</t>
  </si>
  <si>
    <t>2693441|348</t>
  </si>
  <si>
    <t>2693441</t>
  </si>
  <si>
    <t>348</t>
  </si>
  <si>
    <t>2692840|349</t>
  </si>
  <si>
    <t>2692840</t>
  </si>
  <si>
    <t>349</t>
  </si>
  <si>
    <t>2612522|351</t>
  </si>
  <si>
    <t>2612522</t>
  </si>
  <si>
    <t>351</t>
  </si>
  <si>
    <t>2612541|352</t>
  </si>
  <si>
    <t>2612541</t>
  </si>
  <si>
    <t>352</t>
  </si>
  <si>
    <t>2680578|353</t>
  </si>
  <si>
    <t>2680578</t>
  </si>
  <si>
    <t>353</t>
  </si>
  <si>
    <t>2676418|354</t>
  </si>
  <si>
    <t>2676418</t>
  </si>
  <si>
    <t>354</t>
  </si>
  <si>
    <t>2681120|355</t>
  </si>
  <si>
    <t>2681120</t>
  </si>
  <si>
    <t>355</t>
  </si>
  <si>
    <t>2676422|356</t>
  </si>
  <si>
    <t>2676422</t>
  </si>
  <si>
    <t>356</t>
  </si>
  <si>
    <t>2676423|357</t>
  </si>
  <si>
    <t>2676423</t>
  </si>
  <si>
    <t>357</t>
  </si>
  <si>
    <t>2676424|358</t>
  </si>
  <si>
    <t>2676424</t>
  </si>
  <si>
    <t>358</t>
  </si>
  <si>
    <t>2681121|359</t>
  </si>
  <si>
    <t>2681121</t>
  </si>
  <si>
    <t>359</t>
  </si>
  <si>
    <t>2676426|360</t>
  </si>
  <si>
    <t>2676426</t>
  </si>
  <si>
    <t>360</t>
  </si>
  <si>
    <t>2676427|361</t>
  </si>
  <si>
    <t>2676427</t>
  </si>
  <si>
    <t>361</t>
  </si>
  <si>
    <t>2676430|362</t>
  </si>
  <si>
    <t>2676430</t>
  </si>
  <si>
    <t>362</t>
  </si>
  <si>
    <t>2676431|363</t>
  </si>
  <si>
    <t>2676431</t>
  </si>
  <si>
    <t>363</t>
  </si>
  <si>
    <t>2676432|364</t>
  </si>
  <si>
    <t>2676432</t>
  </si>
  <si>
    <t>364</t>
  </si>
  <si>
    <t>2681125|365</t>
  </si>
  <si>
    <t>2681125</t>
  </si>
  <si>
    <t>365</t>
  </si>
  <si>
    <t>2681128|366</t>
  </si>
  <si>
    <t>2681128</t>
  </si>
  <si>
    <t>366</t>
  </si>
  <si>
    <t>2681129|367</t>
  </si>
  <si>
    <t>2681129</t>
  </si>
  <si>
    <t>367</t>
  </si>
  <si>
    <t>2681278|368</t>
  </si>
  <si>
    <t>2681278</t>
  </si>
  <si>
    <t>368</t>
  </si>
  <si>
    <t>2676435|369</t>
  </si>
  <si>
    <t>2676435</t>
  </si>
  <si>
    <t>369</t>
  </si>
  <si>
    <t>2676436|370</t>
  </si>
  <si>
    <t>2676436</t>
  </si>
  <si>
    <t>370</t>
  </si>
  <si>
    <t>2681276|371</t>
  </si>
  <si>
    <t>2681276</t>
  </si>
  <si>
    <t>371</t>
  </si>
  <si>
    <t>2681132|372</t>
  </si>
  <si>
    <t>2681132</t>
  </si>
  <si>
    <t>372</t>
  </si>
  <si>
    <t>2676438|373</t>
  </si>
  <si>
    <t>2676438</t>
  </si>
  <si>
    <t>373</t>
  </si>
  <si>
    <t>2681274|374</t>
  </si>
  <si>
    <t>2681274</t>
  </si>
  <si>
    <t>374</t>
  </si>
  <si>
    <t>2681123|375</t>
  </si>
  <si>
    <t>2681123</t>
  </si>
  <si>
    <t>375</t>
  </si>
  <si>
    <t>2676433|376</t>
  </si>
  <si>
    <t>2676433</t>
  </si>
  <si>
    <t>376</t>
  </si>
  <si>
    <t>2681130|377</t>
  </si>
  <si>
    <t>2681130</t>
  </si>
  <si>
    <t>377</t>
  </si>
  <si>
    <t>2676440|378</t>
  </si>
  <si>
    <t>2676440</t>
  </si>
  <si>
    <t>378</t>
  </si>
  <si>
    <t>2692846|379</t>
  </si>
  <si>
    <t>2692846</t>
  </si>
  <si>
    <t>379</t>
  </si>
  <si>
    <t>2691682|380</t>
  </si>
  <si>
    <t>2691682</t>
  </si>
  <si>
    <t>380</t>
  </si>
  <si>
    <t>2711034|382</t>
  </si>
  <si>
    <t>2711034</t>
  </si>
  <si>
    <t>382</t>
  </si>
  <si>
    <t>2717147|383</t>
  </si>
  <si>
    <t>2717147</t>
  </si>
  <si>
    <t>383</t>
  </si>
  <si>
    <t>2717148|384</t>
  </si>
  <si>
    <t>2717148</t>
  </si>
  <si>
    <t>384</t>
  </si>
  <si>
    <t>2717149|385</t>
  </si>
  <si>
    <t>2717149</t>
  </si>
  <si>
    <t>385</t>
  </si>
  <si>
    <t>2717150|386</t>
  </si>
  <si>
    <t>2717150</t>
  </si>
  <si>
    <t>386</t>
  </si>
  <si>
    <t>2717151|387</t>
  </si>
  <si>
    <t>2717151</t>
  </si>
  <si>
    <t>387</t>
  </si>
  <si>
    <t>2717152|388</t>
  </si>
  <si>
    <t>2717152</t>
  </si>
  <si>
    <t>388</t>
  </si>
  <si>
    <t>2717153|389</t>
  </si>
  <si>
    <t>2717153</t>
  </si>
  <si>
    <t>389</t>
  </si>
  <si>
    <t>2717154|390</t>
  </si>
  <si>
    <t>2717154</t>
  </si>
  <si>
    <t>390</t>
  </si>
  <si>
    <t>2717155|391</t>
  </si>
  <si>
    <t>2717155</t>
  </si>
  <si>
    <t>391</t>
  </si>
  <si>
    <t>2717156|392</t>
  </si>
  <si>
    <t>2717156</t>
  </si>
  <si>
    <t>392</t>
  </si>
  <si>
    <t>2717157|393</t>
  </si>
  <si>
    <t>2717157</t>
  </si>
  <si>
    <t>393</t>
  </si>
  <si>
    <t>2717158|394</t>
  </si>
  <si>
    <t>2717158</t>
  </si>
  <si>
    <t>394</t>
  </si>
  <si>
    <t>2717159|395</t>
  </si>
  <si>
    <t>2717159</t>
  </si>
  <si>
    <t>395</t>
  </si>
  <si>
    <t>2717160|396</t>
  </si>
  <si>
    <t>2717160</t>
  </si>
  <si>
    <t>396</t>
  </si>
  <si>
    <t>2717161|397</t>
  </si>
  <si>
    <t>2717161</t>
  </si>
  <si>
    <t>397</t>
  </si>
  <si>
    <t>2717162|398</t>
  </si>
  <si>
    <t>2717162</t>
  </si>
  <si>
    <t>398</t>
  </si>
  <si>
    <t>2717164|399</t>
  </si>
  <si>
    <t>2717164</t>
  </si>
  <si>
    <t>399</t>
  </si>
  <si>
    <t>2717165|400</t>
  </si>
  <si>
    <t>2717165</t>
  </si>
  <si>
    <t>400</t>
  </si>
  <si>
    <t>2717166|401</t>
  </si>
  <si>
    <t>2717166</t>
  </si>
  <si>
    <t>401</t>
  </si>
  <si>
    <t>2717167|402</t>
  </si>
  <si>
    <t>2717167</t>
  </si>
  <si>
    <t>402</t>
  </si>
  <si>
    <t>2717168|403</t>
  </si>
  <si>
    <t>2717168</t>
  </si>
  <si>
    <t>403</t>
  </si>
  <si>
    <t>2717169|404</t>
  </si>
  <si>
    <t>2717169</t>
  </si>
  <si>
    <t>404</t>
  </si>
  <si>
    <t>2717170|405</t>
  </si>
  <si>
    <t>2717170</t>
  </si>
  <si>
    <t>405</t>
  </si>
  <si>
    <t>2717171|406</t>
  </si>
  <si>
    <t>2717171</t>
  </si>
  <si>
    <t>406</t>
  </si>
  <si>
    <t>2717172|407</t>
  </si>
  <si>
    <t>2717172</t>
  </si>
  <si>
    <t>407</t>
  </si>
  <si>
    <t>2717173|408</t>
  </si>
  <si>
    <t>2717173</t>
  </si>
  <si>
    <t>408</t>
  </si>
  <si>
    <t>2717174|409</t>
  </si>
  <si>
    <t>2717174</t>
  </si>
  <si>
    <t>409</t>
  </si>
  <si>
    <t>2717175|410</t>
  </si>
  <si>
    <t>2717175</t>
  </si>
  <si>
    <t>410</t>
  </si>
  <si>
    <t>2717176|411</t>
  </si>
  <si>
    <t>2717176</t>
  </si>
  <si>
    <t>411</t>
  </si>
  <si>
    <t>2717177|412</t>
  </si>
  <si>
    <t>2717177</t>
  </si>
  <si>
    <t>412</t>
  </si>
  <si>
    <t>2717178|413</t>
  </si>
  <si>
    <t>2717178</t>
  </si>
  <si>
    <t>413</t>
  </si>
  <si>
    <t>2717179|414</t>
  </si>
  <si>
    <t>2717179</t>
  </si>
  <si>
    <t>414</t>
  </si>
  <si>
    <t>2717180|415</t>
  </si>
  <si>
    <t>2717180</t>
  </si>
  <si>
    <t>415</t>
  </si>
  <si>
    <t>2717184|416</t>
  </si>
  <si>
    <t>2717184</t>
  </si>
  <si>
    <t>416</t>
  </si>
  <si>
    <t>2717185|417</t>
  </si>
  <si>
    <t>2717185</t>
  </si>
  <si>
    <t>417</t>
  </si>
  <si>
    <t>2717186|418</t>
  </si>
  <si>
    <t>2717186</t>
  </si>
  <si>
    <t>418</t>
  </si>
  <si>
    <t>2717187|419</t>
  </si>
  <si>
    <t>2717187</t>
  </si>
  <si>
    <t>419</t>
  </si>
  <si>
    <t>2717188|420</t>
  </si>
  <si>
    <t>2717188</t>
  </si>
  <si>
    <t>420</t>
  </si>
  <si>
    <t>2717189|421</t>
  </si>
  <si>
    <t>2717189</t>
  </si>
  <si>
    <t>421</t>
  </si>
  <si>
    <t>2717190|422</t>
  </si>
  <si>
    <t>2717190</t>
  </si>
  <si>
    <t>422</t>
  </si>
  <si>
    <t>2717192|423</t>
  </si>
  <si>
    <t>2717192</t>
  </si>
  <si>
    <t>423</t>
  </si>
  <si>
    <t>2717193|424</t>
  </si>
  <si>
    <t>2717193</t>
  </si>
  <si>
    <t>424</t>
  </si>
  <si>
    <t>2717194|425</t>
  </si>
  <si>
    <t>2717194</t>
  </si>
  <si>
    <t>425</t>
  </si>
  <si>
    <t>2717191|426</t>
  </si>
  <si>
    <t>2717191</t>
  </si>
  <si>
    <t>426</t>
  </si>
  <si>
    <t>2001621|428</t>
  </si>
  <si>
    <t>428</t>
  </si>
  <si>
    <t>2001621|429</t>
  </si>
  <si>
    <t>429</t>
  </si>
  <si>
    <t>2001621|430</t>
  </si>
  <si>
    <t>430</t>
  </si>
  <si>
    <t>2001621|431</t>
  </si>
  <si>
    <t>431</t>
  </si>
  <si>
    <t>2001621|432</t>
  </si>
  <si>
    <t>432</t>
  </si>
  <si>
    <t>2515272|433</t>
  </si>
  <si>
    <t>2515272</t>
  </si>
  <si>
    <t>433</t>
  </si>
  <si>
    <t>2278822|434</t>
  </si>
  <si>
    <t>2278822</t>
  </si>
  <si>
    <t>2001621|436</t>
  </si>
  <si>
    <t>436</t>
  </si>
  <si>
    <t>2693367|437</t>
  </si>
  <si>
    <t>2693367</t>
  </si>
  <si>
    <t>437</t>
  </si>
  <si>
    <t>2196822|453</t>
  </si>
  <si>
    <t>2196822</t>
  </si>
  <si>
    <t>453</t>
  </si>
  <si>
    <t>2707256|454</t>
  </si>
  <si>
    <t>2707256</t>
  </si>
  <si>
    <t>454</t>
  </si>
  <si>
    <t>2453224|455</t>
  </si>
  <si>
    <t>2453224</t>
  </si>
  <si>
    <t>2230752|456</t>
  </si>
  <si>
    <t>2230752</t>
  </si>
  <si>
    <t>456</t>
  </si>
  <si>
    <t>2440946|457</t>
  </si>
  <si>
    <t>2440946</t>
  </si>
  <si>
    <t>457</t>
  </si>
  <si>
    <t>2194989|458</t>
  </si>
  <si>
    <t>2194989</t>
  </si>
  <si>
    <t>458</t>
  </si>
  <si>
    <t>2670402|459</t>
  </si>
  <si>
    <t>2670402</t>
  </si>
  <si>
    <t>459</t>
  </si>
  <si>
    <t>2500458|460</t>
  </si>
  <si>
    <t>2500458</t>
  </si>
  <si>
    <t>2699544|461</t>
  </si>
  <si>
    <t>2699544</t>
  </si>
  <si>
    <t>461</t>
  </si>
  <si>
    <t>2511009|463</t>
  </si>
  <si>
    <t>2511009</t>
  </si>
  <si>
    <t>463</t>
  </si>
  <si>
    <t>2490131|464</t>
  </si>
  <si>
    <t>2490131</t>
  </si>
  <si>
    <t>464</t>
  </si>
  <si>
    <t>2260735|465</t>
  </si>
  <si>
    <t>2260735</t>
  </si>
  <si>
    <t>465</t>
  </si>
  <si>
    <t>2492442|470</t>
  </si>
  <si>
    <t>2492442</t>
  </si>
  <si>
    <t>2684838|471</t>
  </si>
  <si>
    <t>2684838</t>
  </si>
  <si>
    <t>471</t>
  </si>
  <si>
    <t>2723295|473</t>
  </si>
  <si>
    <t>2723295</t>
  </si>
  <si>
    <t>473</t>
  </si>
  <si>
    <t>2723300|474</t>
  </si>
  <si>
    <t>2723300</t>
  </si>
  <si>
    <t>474</t>
  </si>
  <si>
    <t>2723296|475</t>
  </si>
  <si>
    <t>2723296</t>
  </si>
  <si>
    <t>475</t>
  </si>
  <si>
    <t>2723301|476</t>
  </si>
  <si>
    <t>2723301</t>
  </si>
  <si>
    <t>476</t>
  </si>
  <si>
    <t>2723299|477</t>
  </si>
  <si>
    <t>2723299</t>
  </si>
  <si>
    <t>477</t>
  </si>
  <si>
    <t>2717181|478</t>
  </si>
  <si>
    <t>2717181</t>
  </si>
  <si>
    <t>478</t>
  </si>
  <si>
    <t>2695845|479</t>
  </si>
  <si>
    <t>2695845</t>
  </si>
  <si>
    <t>479</t>
  </si>
  <si>
    <t>2650476|480</t>
  </si>
  <si>
    <t>2650476</t>
  </si>
  <si>
    <t>480</t>
  </si>
  <si>
    <t>2001621|481</t>
  </si>
  <si>
    <t>481</t>
  </si>
  <si>
    <t>2531093|482</t>
  </si>
  <si>
    <t>2531093</t>
  </si>
  <si>
    <t>482</t>
  </si>
  <si>
    <t>2623682|484</t>
  </si>
  <si>
    <t>2623682</t>
  </si>
  <si>
    <t>484</t>
  </si>
  <si>
    <t>2639523|485</t>
  </si>
  <si>
    <t>2639523</t>
  </si>
  <si>
    <t>485</t>
  </si>
  <si>
    <t>2326588|487</t>
  </si>
  <si>
    <t>2326588</t>
  </si>
  <si>
    <t>487</t>
  </si>
  <si>
    <t>2301117|489</t>
  </si>
  <si>
    <t>489</t>
  </si>
  <si>
    <t>2301117|490</t>
  </si>
  <si>
    <t>490</t>
  </si>
  <si>
    <t>2714049|491</t>
  </si>
  <si>
    <t>2714049</t>
  </si>
  <si>
    <t>491</t>
  </si>
  <si>
    <t>2681029|492</t>
  </si>
  <si>
    <t>2681029</t>
  </si>
  <si>
    <t>492</t>
  </si>
  <si>
    <t>2016766|493</t>
  </si>
  <si>
    <t>493</t>
  </si>
  <si>
    <t>2695768|494</t>
  </si>
  <si>
    <t>2695768</t>
  </si>
  <si>
    <t>494</t>
  </si>
  <si>
    <t>2681019|495</t>
  </si>
  <si>
    <t>2681019</t>
  </si>
  <si>
    <t>495</t>
  </si>
  <si>
    <t>2681037|496</t>
  </si>
  <si>
    <t>2681037</t>
  </si>
  <si>
    <t>496</t>
  </si>
  <si>
    <t>2694640|497</t>
  </si>
  <si>
    <t>2694640</t>
  </si>
  <si>
    <t>497</t>
  </si>
  <si>
    <t>2694772|498</t>
  </si>
  <si>
    <t>2694772</t>
  </si>
  <si>
    <t>498</t>
  </si>
  <si>
    <t>2231037|499</t>
  </si>
  <si>
    <t>2231037</t>
  </si>
  <si>
    <t>499</t>
  </si>
  <si>
    <t>2681054|501</t>
  </si>
  <si>
    <t>2681054</t>
  </si>
  <si>
    <t>501</t>
  </si>
  <si>
    <t>2700348|502</t>
  </si>
  <si>
    <t>2700348</t>
  </si>
  <si>
    <t>502</t>
  </si>
  <si>
    <t>2630072|504</t>
  </si>
  <si>
    <t>2630072</t>
  </si>
  <si>
    <t>504</t>
  </si>
  <si>
    <t>2501244|506</t>
  </si>
  <si>
    <t>2501244</t>
  </si>
  <si>
    <t>506</t>
  </si>
  <si>
    <t>2585540|508</t>
  </si>
  <si>
    <t>508</t>
  </si>
  <si>
    <t>2650804|517</t>
  </si>
  <si>
    <t>2650804</t>
  </si>
  <si>
    <t>517</t>
  </si>
  <si>
    <t>2681015|518</t>
  </si>
  <si>
    <t>2681015</t>
  </si>
  <si>
    <t>518</t>
  </si>
  <si>
    <t>2727133|521</t>
  </si>
  <si>
    <t>2727133</t>
  </si>
  <si>
    <t>521</t>
  </si>
  <si>
    <t>2727299|522</t>
  </si>
  <si>
    <t>2727299</t>
  </si>
  <si>
    <t>522</t>
  </si>
  <si>
    <t>2733644|524</t>
  </si>
  <si>
    <t>2733644</t>
  </si>
  <si>
    <t>524</t>
  </si>
  <si>
    <t>2681133|526</t>
  </si>
  <si>
    <t>2681133</t>
  </si>
  <si>
    <t>526</t>
  </si>
  <si>
    <t>2617364|532</t>
  </si>
  <si>
    <t>2617364</t>
  </si>
  <si>
    <t>532</t>
  </si>
  <si>
    <t>2163760|92</t>
  </si>
  <si>
    <t>2163760</t>
  </si>
  <si>
    <t>92</t>
  </si>
  <si>
    <t>2001621|215</t>
  </si>
  <si>
    <t>215</t>
  </si>
  <si>
    <t>2658446|507</t>
  </si>
  <si>
    <t>2658446</t>
  </si>
  <si>
    <t>507</t>
  </si>
  <si>
    <t>2681074|528</t>
  </si>
  <si>
    <t>2681074</t>
  </si>
  <si>
    <t>528</t>
  </si>
  <si>
    <t>2681141|533</t>
  </si>
  <si>
    <t>2681141</t>
  </si>
  <si>
    <t>533</t>
  </si>
  <si>
    <t>Proyecto</t>
  </si>
  <si>
    <t>PMI2026</t>
  </si>
  <si>
    <t>PMI2027</t>
  </si>
  <si>
    <t>PMI2028</t>
  </si>
  <si>
    <t>PMI2029</t>
  </si>
  <si>
    <t>ADQUISICION DE ECOCARDIOGRAFO, ARCO EN C, BOMBA DE INFUSION Y EQUIPO ECOGRAFO; ADEMÁS DE OTROS ACTIVOS EN SIETE ESTABLECIMIENTOS DE SALUD II.1 A NIVEL DEPARTAMENTAL (PUNO)</t>
  </si>
  <si>
    <t>INSTALACION DEL SERVICIO EDUCATIVO DE LA INSTITUCION EDUCATIVA SECUNDARIA SANTA MONICA EN EL DISTRITO DE JULIACA, PROVINCIA DE SAN ROMAN - PUNO.</t>
  </si>
  <si>
    <t>MEJORAMIENTO DE LAS CAPACIDADES PARA PREVENIR LA DESNUTRICION CRONICA, EN MENORES DE 3 AÑOS EN LAS PROVINCIAS DE CARABAYA, MELGAR Y SANDIA DE LA REGION PUNO</t>
  </si>
  <si>
    <t>MEJORAMIENTO DE LOS SERVICIOS DE TRANSITABILIDAD DE LA VÍA VECINAL PU-595: DV. PAMPA BLANCA - RINCONADA - CERRO LUNAR, DISTRITO DE ANANEA, PROVINCIA DE SAN ANTONIO DE PUTINA - PUNO</t>
  </si>
  <si>
    <t>MEJORAMIENTO DEL ESTADO NUTRICIONAL DEL NIÑO MENOR DE TRES AÑOS Y LA MADRE GESTANTE EN LAS PROVINCIAS DE AZANGARO, LAMPA Y SAN ROMAN DE LA REGION PUNO</t>
  </si>
  <si>
    <t>MEJORAMIENTO DEL SERVICIO DE MOVILIDAD URBANA DE LA AV. ANDRES AVELINO CACERES (TRAMO: AV. TUPAC YUPANQUI - AV. AVIACIÓN), AV. LOS GERANIOS DEL  DISTRITO DE JULIACA - PROVINCIA DE SAN ROMAN - DEPARTAMENTO DE PUNO</t>
  </si>
  <si>
    <t>MEJORAMIENTO Y AMPLIACION DEL SERVICIO DE EDUCACIÓN SUPERIOR TECNOLÓGICA EN EL INSTITUTO SUPERIOR TECNOLÓGICO PUBLICO DE MACUSANI  DISTRITO DE MACUSANI - PROVINCIA DE CARABAYA - DEPARTAMENTO DE PUNO</t>
  </si>
  <si>
    <t>MEJORAMIENTO DE LA DEFENSA RIBEREÑA EN LAS MARGENES DERECHA E IZQUIERDA DEL RIO RAMIS EN LOS TRAMOS DE SACASCO, COLLANA, CHACAMARCA, PATASCACHI, YANAOCO, TUNI GRANDE, RAMIS Y BALSAPATA DE LAS PROVINCIAS DE HUANCANE Y AZANGARO - REGION PUNO</t>
  </si>
  <si>
    <t>CREACION DEL SERVICIO DE PROTECCION EN RIBERAS DEL RIO QUELLOMAYO MARGEN DERECHO VULNERABLES ANTE EL PELIGRO DE INUNDACION EN LA LOCALIDAD DE SAN GABAN, DEL DISTRITO DE SAN GABAN - PROVINCIA DE CARABAYA - DEPARTAMENTO DE PUNO</t>
  </si>
  <si>
    <t>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</si>
  <si>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ADQUISICION DE AMBULANCIA RURAL Y AMBULANCIA RURAL; EN CINCUENTA Y CINCO ESTABLECIMIENTOS DE SALUD I.4, ESTABLECIMIENTOS DE SALUD I.2, ESTABLECIMIENTOS DE SALUD I.3 A NIVEL DEPARTAMENTAL (PUNO)</t>
  </si>
  <si>
    <t>MEJORAMIENTO DEL SERVICIO EDUCATIVO EN LA IES POLITÉCNICO REGIONAL LOS ANDES, DISTRITO DE JULIACA, PROVINCIA DE SAN ROMÁN - PUNO</t>
  </si>
  <si>
    <t>ADQUISICION DE TOMOGRAFO COMPUTARIZADO MULTICORTE; EN EL(LA) EESS SAN MARTIN DE P. (MACUSANI) - MACUSANI  DISTRITO DE MACUSANI, PROVINCIA CARABAYA, DEPARTAMENTO PUNO</t>
  </si>
  <si>
    <t>MEJORAMIENTO DEL SERVICIO EDUCATIVO EN LA I.E.S.  SAN JUAN BOSCO DE SALCEDO CON JORNADA ESCOLAR COMPLETA DISTRITO DE PUNO - PROVINCIA DE PUNO - REGIÓN PUNO</t>
  </si>
  <si>
    <t>MEJORAMIENTO DEL SERVICIO EDUCATIVO DE LA I.E.S. LAS MERCEDES DE LA CIUDAD DE JULIACA - DISTRITO DE JULIACA - PROVINCIA DE SAN ROMAN - DEPARTAMENTO DE PUNO</t>
  </si>
  <si>
    <t>MEJORAMIENTO DEL SERVICIO DE TRANSITABILIDAD VIAL INTERURBANA EN LA CARRETERA TRAMO ACHAYA ¿ EMP. PU 113(ARAPA) , DE LOS   DISTRITOS DE ACHAYA, ARAPA DE LA PROVINCIA DE AZANGARO DEL DEPARTAMENTO DE PUNO</t>
  </si>
  <si>
    <t>MEJORAMIENTO DEL SERVICIO EDUCATIVO EN LAS INSTITUCIONES EDUCATIVAS PRIMARIAS  N 70511, N 70815 Y N 72637, DISTRITO DE ORURILLO - MELGAR - PUNO</t>
  </si>
  <si>
    <t>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</si>
  <si>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ADQUISICION DE MAMOGRAFO; EN EL(LA) EESS SAN MARTIN DE P. (MACUSANI) - MACUSANI  DISTRITO DE MACUSANI, PROVINCIA CARABAYA, DEPARTAMENTO PUNO</t>
  </si>
  <si>
    <t>MEJORAMIENTO Y AMPLIACION DEL SERVICIO DE EDUCACIÓN SUPERIOR TECNOLÓGICA  EN EL INSTITUTO DE EDUCACIÓN SUPERIOR TECNOLÓGICO PUBLICO ACORA DEL   DISTRITO DE ACORA DE LA PROVINCIA DE PUNO DEL DEPARTAMENTO DE PUNO</t>
  </si>
  <si>
    <t>ADQUISICION DE SISTEMA DE CIRUGIA LAPAROSCOPICA, TOMOGRAFO, MESA DE OPERACIONES HIDRAULICA/ELECTRICA Y LAMPARA QUIRURGICA DE TECHO; ADEMÁS DE OTROS ACTIVOS EN EL(LA) YUNGUYO  DISTRITO DE YUNGUYO, PROVINCIA YUNGUYO, DEPARTAMENTO PUNO</t>
  </si>
  <si>
    <t>MEJORAMIENTO DEL SERVICIO DE EDUCACIÓN INICIAL EN I.E. 1099 INMACULADA   DISTRITO DE PUTINA DE LA PROVINCIA DE SAN ANTONIO DE PUTINA DEL DEPARTAMENTO DE PUNO</t>
  </si>
  <si>
    <t>RECUPERACION DEL PUENTE COLGANTE PEATONAL SOBRE EL RIO INAMBARI EN LA LOCALIDAD SANTA ROSA YANAMAYO DEL DISTRITO DE ALTO INAMBARI - PROVINCIA DE SANDIA - DEPARTAMENTO DE PUNO</t>
  </si>
  <si>
    <t>MEJORAMIENTO DE LOS SERVICIOS DE SALUD DEL CENTRO DE SALUD ZEPITA, MICRO RED ZEPITA, RED DE SALUD CHUCUITO, DEL  DISTRITO DE ZEPITA - PROVINCIA DE CHUCUITO - DEPARTAMENTO DE PUNO</t>
  </si>
  <si>
    <t>ADQUISICION DE EQUIPO DE ANESTESIA, ELECTROBISTURI, ELECTROBISTURI Y ELECTROBISTURI; ADEMÁS DE OTROS ACTIVOS EN EL(LA) SAN JUAN DE DIOS (AYAVIRI) JR SANTA ROSA DISTRITO DE AYAVIRI, PROVINCIA MELGAR, DEPARTAMENTO PUNO</t>
  </si>
  <si>
    <t>MEJORAMIENTO DE LA CAPACIDAD RESOLUTIVA DE LOS SERVICIOS DEL PUESTO DE SALUD I - 1 DEL CENTRO POBLADO DE CARI CARI DEL DISTRITO DE MAÑAZO - PROVINCIA DE PUNO - DEPARTAMENTO DE PUNO</t>
  </si>
  <si>
    <t>ADQUISICION DE EQUIPO DE AULA DE EDUCACION PRIMARIA; EN EL(LA) I.E. GLORIOSO SAN CARLOS  DISTRITO DE PUNO, PROVINCIA PUNO, DEPARTAMENTO PUNO</t>
  </si>
  <si>
    <t>MEJORAMIENTO DE LOS SERVICIOS DEL CENTRO DE SALUD ESTRATÉGICO SIMÓN BOLÍVAR CATEGORÍA I-4 RED DE SALUD PUNO, DISTRITO PUNO -  PROVINCIA DE PUNO - REGIÓN PUNO¿  DISTRITO DE PUNO - PROVINCIA DE PUNO - DEPARTAMENTO DE PUNO</t>
  </si>
  <si>
    <t>MEJORAMIENTO DEL SERVICIO EDUCATIVO DE NIVEL INICIAL ESCOLARIZADO EN LA I.E.I. LLUNGO, DISTRITO DE ATUNCOLLA, PROVINCIA DE PUNO - PUNO.</t>
  </si>
  <si>
    <t>MEJORAMIENTO DE LA CAPACIDAD RESOLUTIVA DEL CENTRO DE SALUD COATA I-3 DE LA MICRORED JAE, RED DE SALUD PUNO - DIRESA PUNO, , - DISTRITO DE COATA - PROVINCIA DE PUNO - REGIÓN PUNO</t>
  </si>
  <si>
    <t>ADQUISICION DE EQUIPO DE ANESTESIA, VENTILADOR MECANICO, SISTEMA DE CIRUGIA LAPAROSCOPICA Y SISTEMA DE VIDEO GASTROENDOSCOPIA; ADEMÁS DE OTROS ACTIVOS EN EL(LA) HOSPITAL SAN MARTIN DE PORRES  DISTRITO DE MACUSANI, PROVINCIA CARABAYA, DEPARTAMENTO PUNO</t>
  </si>
  <si>
    <t>MEJORAMIENTO Y AMPLIACION DE LOS SERVICIOS DE SALUD DEL CENTRO DE SALUD LA REVOLUCIÓN (NIVEL I-4)  DISTRITO DE SAN MIGUEL - PROVINCIA DE SAN ROMAN - DEPARTAMENTO DE PUNO</t>
  </si>
  <si>
    <t>INSTALACION DEL SERVICIO DE EDUCACION INICIAL DE LA I.E.I. NRO. 94 DEL CENTRO POBLADO DE UMUCHI, DISTRITO DE MOHO, PROVINCIA DE MOHO, DEPARTAMENTO DE PUNO.</t>
  </si>
  <si>
    <t>MEJORAMIENTO DE LOS SERVICIOS DE SALUD DEL CENTRO DE SALUD COPANI DE LA MICRO RED COPANI, RED DE SALUD YUNGUYO,  DISTRITO DE COPANI - PROVINCIA DE YUNGUYO - DEPARTAMENTO DE PUNO</t>
  </si>
  <si>
    <t>ADQUISICION DE MAMOGRAFO, COLONOVIDEOENDOSCOPIO, MESA DE OPERACIONES HIDRAULICA/ELECTRICA Y CALDERO; ADEMÁS DE OTROS ACTIVOS EN EL(LA) HOSPITAL REGIONAL MANUEL NUÑEZ BUTRON HOSPITAL REGIONAL MANUEL NUÑEZ BUTRON DISTRITO DE PUNO, PROVINCIA PUNO, DEPARTAMENTO PUNO</t>
  </si>
  <si>
    <t>MEJORAMIENTO Y AMPLIACION DE LOS SERVICIOS DE SALUD EN EL ESTABLECIMIENTO DE SALUD UMACHIRI CATEGORÍA I-2 DEL  DISTRITO DE UMACHIRI - PROVINCIA DE MELGAR - DEPARTAMENTO DE PUNO</t>
  </si>
  <si>
    <t>MEJORAMIENTO Y AMPLIACION DEL SERVICIO DE EDUCACION SUPERIOR TECNOLOGICO PUBLICO EN EL INSTITUTO  "ANDRES AVELINO CACERES"  DISTRITO DE PUTINA - PROVINCIA DE SAN ANTONIO DE PUTINA - DEPARTAMENTO DE PUNO</t>
  </si>
  <si>
    <t>CREACION DEL SERVICIO DE ANÁLISIS DE BIOLOGIA MOLECULAR DE DIAGNÓSTICO COVID-19 EN EL LABORATORIO DE REFERENCIA REGIONAL DE LA DIRESA PUNO,  DISTRITO DE PUNO - PROVINCIA DE PUNO - DEPARTAMENTO DE PUNO</t>
  </si>
  <si>
    <t>MEJORAMIENTO DE LOS SERVICIOS OPERATIVOS O MISIONALES INSTITUCIONALES EN LA OFICINA DE EQUIPO MECANICO DEL GOBIERNO REGIONAL PUNO   DISTRITO DE PUNO DE LA PROVINCIA DE PUNO DEL DEPARTAMENTO DE PUNO</t>
  </si>
  <si>
    <t>CONSTRUCCION DE CONSULTORIO; ADQUISICION DE EQUIPOS BIOMEDICOS Y MOBILIARIO CLINICO; EN EL(LA) HOSPITAL SANDIA  DISTRITO DE SANDIA, PROVINCIA SANDIA, DEPARTAMENTO PUNO</t>
  </si>
  <si>
    <t>ADQUISICION DE EQUIPAMIENTO DE AULA DE INNOVACION PEDAGOGICA; EN OCHO II.EE. PRIMARIA  DISTRITO DE SAN JUAN DE SALINAS, PROVINCIA AZANGARO, DEPARTAMENTO PUNO</t>
  </si>
  <si>
    <t>ADQUISICION DE AMBULANCIA URBANA, CAMIONETA, CAMIÓN PLATAFORMA Y CAMION CISTERNA; ADEMÁS DE OTROS ACTIVOS EN CINCO COMPAÑÍA DE BOMBEROS A NIVEL DEPARTAMENTAL (PUNO)</t>
  </si>
  <si>
    <t>ADQUISICION DE ESTERILIZADOR; EN SIETE ESTABLECIMIENTOS DE SALUD II.1, ESTABLECIMIENTOS DE SALUD II.2  DISTRITO DE PUNO, PROVINCIA PUNO, DEPARTAMENTO PUNO</t>
  </si>
  <si>
    <t>ADQUISICION DE ANALIZADOR DE GASES Y ELECTROLITOS, ESPECTROFOTOMETRO, EQUIPO DE RAYOS X DENTAL Y BIDESTILADOR DE AGUA; ADEMÁS DE OTROS ACTIVOS EN EL(LA) MOHO  DISTRITO DE MOHO, PROVINCIA MOHO, DEPARTAMENTO PUNO</t>
  </si>
  <si>
    <t>ADQUISICION DE EQUIPO ECOGRAFO, MESA HIDRAULICA PARA OPERACION QUIRURGICA, LAVADORA SECADORA AUTOMATICA Y INCUBADORA DE TRANSPORTE (SAMU); ADEMÁS DE OTROS ACTIVOS EN EL(LA) CARLOS CORNEJO ROSELLO  DISTRITO DE AZANGARO, PROVINCIA AZANGARO, DEPARTAMENTO PUNO</t>
  </si>
  <si>
    <t>MEJORAMIENTO Y AMPLIACION DE LOS SERVICIOS DE SALUD DEL ESTABLECIMIENTO DE SALUD NIVEL I- 4 DE LA LOCALIDAD DE TARACO,  DISTRITO DE TARACO - PROVINCIA DE HUANCANE - DEPARTAMENTO DE PUNO</t>
  </si>
  <si>
    <t>ADQUISICION DE ANALIZADOR DE GASES Y ELECTROLITOS, ASPIRADOR DE SECRECIONES, BOMBA DE INFUSION Y COCHE DE PARO EQUIPADO; ADEMÁS DE OTROS ACTIVOS EN EL(LA) CARLOS MONJE MEDRANO  DISTRITO DE JULIACA, PROVINCIA SAN ROMAN, DEPARTAMENTO PUNO</t>
  </si>
  <si>
    <t>AMPLIACION Y MEJORAMIENTO DE LA CAPACIDAD RESOLUTIVA DEL HOSPITAL DE APOYO SAN MARTIN DE PORRES DE MACUSANI, PROVINCIA DE CARABAYA - PUNO</t>
  </si>
  <si>
    <t>ADQUISICION DE MESA DE OPERACIONES HIDRAULICA/ELECTRICA, ESTERILIZADOR CON GENERADOR ELECTRICO DE VAPOR (INS), EQUIPOS BIOMEDICOS Y COCHE DE PARO; ADEMÁS DE OTROS ACTIVOS EN EL(LA) PUTINA  DISTRITO DE PUTINA, PROVINCIA SAN ANTONIO DE PUTINA, DEPARTAMENTO PUNO</t>
  </si>
  <si>
    <t>ADQUISICION DE AMBULANCIA ACUATICA; EN DOS ESTABLECIMIENTOS DE SALUD I.2 A NIVEL PROVINCIAL (PUNO - YUNGUYO)</t>
  </si>
  <si>
    <t>INSTALACION DE LOS SERVICIOS DE EDUCACION INICIAL  EN LA I.E.I.  CHIA, DEL  C.P. DE  CHIA, DEL DISTRITO DE OLLACHEA - PROVINCIA CARABAYA - REGION PUNO</t>
  </si>
  <si>
    <t>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</si>
  <si>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MEJORAMIENTO DEL SERVICIO DE EDUCATIVO EN LA I.E.S.  THOMAS ALVA EDISON DE LA URBANIZACIÓN CHILLA ¿ LOS ROSALES, CENTRO POBLADO DE CHILLA - DISTRITO DE JULIACA - PROVINCIA DE SAN ROMAN - REGIÓN PUNO</t>
  </si>
  <si>
    <t>MEJORAMIENTO DEL SERVICIO EDUCATIVO EN LA I.E.S. SAN SALVADOR , - DISTRITO DE PUNO - PROVINCIA DE PUNO - DEPARTAMENTO DE PUNO</t>
  </si>
  <si>
    <t>MEJORAMIENTO DE LOS SERVICIOS EDUCATIVOS DE LA I.E.S. MANUEL GONZALES PRADA, CENTRO POBLADO DE ISANI - DISTRITO DE ZEPITA - PROVINCIA DE CHUCUITO - REGIÓN PUNO</t>
  </si>
  <si>
    <t>MEJORAMIENTO DEL SERVICIO EDUCATIVO DEL NIVEL SECUNDARIA DE LA I.E. AGROPECUARIO SAN JUAN DEL ORO EN EL  DISTRITO DE SAN JUAN DEL ORO - PROVINCIA DE SANDIA - DEPARTAMENTO DE PUNO</t>
  </si>
  <si>
    <t>CONSTRUCCION DEL HOSPITAL MATERNO INFANTIL DEL CONO SUR JULIACA</t>
  </si>
  <si>
    <t>MEJORAMIENTO DEL SERVICIO EDUCATIVO DEL NIVEL SECUNDARIA DE LA I.E.S. TARACO DEL DISTRITO DE TARACO - PROVINCIA DE HUANCANE - DEPARTAMENTO DE PUNO</t>
  </si>
  <si>
    <t>ADQUISICION DE EQUIPO DE AULA DE EDUCACION SECUNDARIA; EN EL(LA) I.E. GLORIOSO SAN CARLOS  DISTRITO DE PUNO, PROVINCIA PUNO, DEPARTAMENTO PUNO</t>
  </si>
  <si>
    <t>MEJORAMIENTO DEL SERVICIO DE SEGURIDAD CIUDADANA LOCAL EN 73 UNIDADES PRODUCTORAS 73 DISTRITOS DE 11 PROVINCIAS DEL DEPARTAMENTO DE PUNO 11 PROVINCIAS DEL DEPARTAMENTO DE PUNO</t>
  </si>
  <si>
    <t>MEJORAMIENTO DEL SERVICIO EDUCATIVO DE LAS CARRERAS DE CONTABILIDAD, ENFERMERÍA TÉCNICA, COMPUTACIÓN E INFORMÁTICA, INDUSTRIA ALIMENTARIA Y PRODUCCIÓN AGROPECUARIA DEL ISEPA, PROVINCIA DE MELGAR - PUNO</t>
  </si>
  <si>
    <t>MEJORAMIENTO DEL SERVICIO DE PROTECCIÓN FRENTE A TORMENTAS ELÉCTRICAS EN 4 PROVINCIAS DEL DEPARTAMENTO DE PUNO</t>
  </si>
  <si>
    <t>CREACION DEL SERVICIO DE PROTECCIÓN EN RIBERAS DEL RÍO LORIPONGO Y MOLLA AMBOS MÁRGENES VULNERABLES ANTE EL PELIGRO DE INUNDACIÓN EN LA LOCALIDAD DE LARAQUERI Y CENTRO POBLADO DE HUARIJUYO DEL DISTRITO DE PICHACANI - PROVINCIA DE PUNO - DEPARTAMENTO DE PUNO</t>
  </si>
  <si>
    <t>MEJORAMIENTO DE LOS SERVICIOS DE EDUCACIÓN SUPERIOR DEL INSTITUTO SUPERIOR TECNOLÓGICO PUBLICA DE CABANILLAS DEL  DISTRITO DE CABANILLAS - PROVINCIA DE SAN ROMAN - DEPARTAMENTO DE PUNO</t>
  </si>
  <si>
    <t>RECUPERACION DE ECOSISTEMAS DEGRADADOS POR VERTIMIENTO DE AGUAS RESIDUALES Y RESIDUOS SOLIDOS EN LA DESEMBOCADURA DEL RIO COATA, EN LOS DISTRITOS DE HUATA, COATA, CAPACHICA, JULIACA Y SAN MIGUEL EN LAS PROVINCIAS DE PUNO Y SAN ROMAN DEL  DEPARTAMENTO DE PUNO</t>
  </si>
  <si>
    <t>MEJORAMIENTO DE LAS CAPACIDADES PARA LA PRODUCTIVIDAD Y LA COMPETITIVIDAD DE ARTESANÍAS EN 13 PROVINCIAS DEL DEPARTAMENTO DE PUNO</t>
  </si>
  <si>
    <t>MEJORAMIENTO DEL SERVICIO EDUCATIVO DE LAS CARRERAS DE PRODUCCIÓN, AUTOMOTRIZ, MINERÍA, CONTABILIDAD, COMPUTACIÓN,  SECRETARIADO, ENFERMERÍA, LABORATORIO CLÍNICO Y PRÓTESIS DENTAL DEL IST MANUEL NÚÑEZ  BUTRÓN, JULIACA, SAN ROMÁN - PUNO</t>
  </si>
  <si>
    <t>MEJORAMIENTO DEL SERVICIO EDUCATIVO DE LA INSTITUCION EDUCATIVA PRIMARIA  N 70605 DOMINGO SAVIO DE JULIACA, DISTRITO DE JULIACA, PROVINCIA DE SAN ROMAN - PUNO</t>
  </si>
  <si>
    <t>MEJORAMIENTO Y AMPLIACIÓN DEL CIRCUITO VIAL ECO TURÍSTICO, CAPACHICA - SIALE - CCOTOS - PARAMIS, DISTRITOS DE CAPACHICA,  AMANTANI, PROVINCIA DE PUNO - PUNO</t>
  </si>
  <si>
    <t>MEJORAMIENTO DEL SERVICIO EDUCATIVO EN LA I.E.S.  JOSÉ ANTONIO ENCINAS FRANCO, CENTRO POBLADO DE LECHEMAYO DEL DISTRITO DE SAN GABAN - PROVINCIA DE CARABAYA - DEPARTAMENTO DE PUNO</t>
  </si>
  <si>
    <t>REPARACION DE TRIBUNA Y/O PALCO Y CAMPO DEPORTIVO; CONSTRUCCION DE TRIBUNA Y/O PALCO Y PISTA DE ATLETISMO (DEPORTE RECREATIVO); ADEMÁS DE OTROS ACTIVOS EN EL(LA) ESTADIO MUNICIPAL DE PUTINA  DISTRITO DE PUTINA, PROVINCIA SAN ANTONIO DE PUTINA, DEPARTAMENTO PUNO</t>
  </si>
  <si>
    <t>MEJORAMIENTO SERVICIO EDUCATIVO EN LA IES. 32 MARIANO H. CORNEJO DE LA LOCALIDAD DE JULIACA - DISTRITO DE JULIACA - PROVINCIA DE SAN ROMAN - REGIÓN PUNO</t>
  </si>
  <si>
    <t>MEJORAMIENTO DE LOS SERVICIOS DE EDUCACIÓN SECUNDARIA EN LA INSTITUCIÓN EDUCATIVA PÚBLICA MILITAR ¿INCA MANCO CAPAC¿ , CENTRO POBLADO DE TOTORANI - DISTRITO DE PUNO - PROVINCIA DE PUNO - REGIÓN PUNO</t>
  </si>
  <si>
    <t>MEJORAMIENTO DE LA CAPACIDAD DE PRESTACION DE SERVICIOS DEPORTIVOS EN EL ESTADIO GUILLERMO BRICEÑO ROSAMEDINA DE LA CIUDAD DE JULIACA, PROVINCIA DE SAN ROMAN - PUNO</t>
  </si>
  <si>
    <t>MEJORAMIENTO DEL SERVICIO EDUCATIVO DE NIVEL SECUNDARIO EN LA I.E. A - 28 PERÚ BIRF CENTRO POBLADO DE AZANGARO - DISTRITO DE AZANGARO - PROVINCIA DE AZANGARO - REGIÓN PUNO</t>
  </si>
  <si>
    <t>MEJORAMIENTO DEL ESTADIO MUNICIPAL CESAR RAUL CARRERA DEL DISTRITO DE AZANGARO, PROVINCIA DE AZANGARO - PUNO</t>
  </si>
  <si>
    <t>MEJORAMIENTO SERVICIO INTEGRAL DE LA INSTITUCION EDUCATIVA SECUNDARIA INDUSTRIAL PERU BIRF  DISTRITO DE SAN MIGUEL - PROVINCIA DE SAN ROMAN - DEPARTAMENTO DE PUNO</t>
  </si>
  <si>
    <t>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</si>
  <si>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MEJORAMIENTO Y AMPLIACION DEL SERVICIO ADMINISTRATIVO DE LA UNIDAD  DE  GESTIÓN EDUCATIVA LOCAL MELGAR EN EL DISTRITO DE AYAVIRI, PROVINCIA DE MELGAR, REGIÓN PUNO</t>
  </si>
  <si>
    <t>MEJORAMIENTO Y AMPLIACION DEL SERVICIO EDUCATIVO DEL NIVEL PRIMARIA DE LA I.E. Nº 70316 SAGRADO CORAZÓN DE JESÚS  DISTRITO DE ILAVE - PROVINCIA DE EL COLLAO - DEPARTAMENTO DE PUNO</t>
  </si>
  <si>
    <t>MEJORAMIENTO DE LA CADENA DE VALOR DE LA FIBRA DE ALPACA EN LA REGION PUNO</t>
  </si>
  <si>
    <t>MEJORAMIENTO DEL SERVICIO DE EDUCACION PRIMARIA EN I.E. 71016 MARIA AUXILIADORA DISTRITO DE JULIACA DE LA PROVINCIA DE SAN ROMAN DEL DEPARTAMENTO DE PUNO</t>
  </si>
  <si>
    <t>MEJORAMIENTO DE LA CARRETERA (PU 675) POMATA - YOROHOCO, PROVINCIA DE CHUCUITO - PUNO</t>
  </si>
  <si>
    <t>CREACION DEL SERVICIO DE INTERCONEXION DE MOVILIDAD URBANA EN LA VÍA TRONCAL DEL PUENTE YARAJA  DISTRITO DE AZANGARO - PROVINCIA DE AZANGARO - DEPARTAMENTO DE PUNO</t>
  </si>
  <si>
    <t>MEJORAMIENTO DEL SERVICIO DE EDUCACIÓN SECUNDARIA EN I.E. CRFA LUPAKAS JULI   DISTRITO DE JULI DE LA PROVINCIA DE CHUCUITO DEL DEPARTAMENTO DE PUNO</t>
  </si>
  <si>
    <t>CREACION DE LA INFRAESTRUCTURA DE INTEGRACION VIAL ENTRE SANDIA (CP. QUENEQUE) Y PATAMBUCO (C.P. TIRACA), DISTRITO DE SANDIA Y PATAMBUCO, PROVINCIA DE SANDIA - PUNO</t>
  </si>
  <si>
    <t>MEJORAMIENTO DEL SERVICIO DE EDUCACION PRIMARIA EN I.E. 70001   DISTRITO DE PUNO DE LA PROVINCIA DE PUNO DEL DEPARTAMENTO DE PUNO</t>
  </si>
  <si>
    <t>MEJORAMIENTO DEL SERVICIO DE TRANSITABILIDAD VIAL INTERURBANA EN LA CARRETERA  PU-139 (HDA. POTONI) ¿ SAN JOSÉ , ¿ COLLANA ¿ EMP. PU-111 ¿ PUENTE YARAJA (AZANGARO)   DISTRITOS DE POTONI, SAN JOSE DE LA PROVINCIA DE AZANGARO DEL DEPARTAMENTO DE PUNO</t>
  </si>
  <si>
    <t>MEJORAMIENTO DEL SERVICIO DE EDUCACIÓN SECUNDARIA EN I.E. ROSASPATA  DE CENTRO POBLADO ROSASPATA DISTRITO DE ROSASPATA DE LA PROVINCIA DE HUANCANE DEL DEPARTAMENTO DE PUNO</t>
  </si>
  <si>
    <t>MEJORAMIENTO DE LA CARRETERA (EMP 34B) AZANGARO - (EMP PU-102) JILA PURINA DE LOS DISTRITO DE AZÁNGARO - DISTRITO DE TIRAPATA - PROVINCIA DE AZANGARO - REGIÓN PUNO</t>
  </si>
  <si>
    <t>MEJORAMIENTO DEL SERVICIO DE EDUCACIÓN SECUNDARIA EN I.E. LLAULLI  DE CENTRO POBLADO LLAULLI DISTRITO DE MOHO DE LA PROVINCIA DE MOHO DEL DEPARTAMENTO DE PUNO</t>
  </si>
  <si>
    <t>MEJORAMIENTO DEL SERVICIO DE EDUCACIÓN SECUNDARIA EN I.E. UMUCHI   DISTRITO DE MOHO DE LA PROVINCIA DE MOHO DEL DEPARTAMENTO DE PUNO</t>
  </si>
  <si>
    <t>MEJORAMIENTO DE LA CARRETERA PU 146; EMP PE - 34 I (HUANCANÉ) - HUERTAPATA - VISCACHANI - QUELLAHUYO - EMP PE - 34 (CACUÑA),  DISTRITO DE HUANCANE - PROVINCIA DE HUANCANE - DEPARTAMENTO DE PUNO</t>
  </si>
  <si>
    <t>MEJORAMIENTO DEL SERVICIO DE EDUCACIÓN SECUNDARIA EN I.E. HUARAYA  DE CENTRO POBLADO HUARAYA DISTRITO DE MOHO DE LA PROVINCIA DE MOHO DEL DEPARTAMENTO DE PUNO</t>
  </si>
  <si>
    <t>INSTALACION DEL SERVICIO EDUCATIVO DEL NIVEL INICIAL ESCOLARIZADO CICLO II EN LA I.E.I N 707 DEL CENTRO POBLADO DE JACHOCCO HUARACO, DISTRITO ILAVE, PROVINCIA DE EL COLLAO - DEPARTAMENTO PUNO.</t>
  </si>
  <si>
    <t>MEJORAMIENTO DEL SERVICIO DE EDUCACION PRIMARIA EN I.E. 70726   DISTRITO DE PUNO DE LA PROVINCIA DE PUNO DEL DEPARTAMENTO DE PUNO</t>
  </si>
  <si>
    <t>MEJORAMIENTO DEL SERVICIO DE EDUCACION PRIMARIA EN I.E. 70802   DISTRITO DE PUNO DE LA PROVINCIA DE PUNO DEL DEPARTAMENTO DE PUNO</t>
  </si>
  <si>
    <t>MEJORAMIENTO DE LA CARRETERA PU 147, EMP. PE-34I JIPATA - EMP. PE-34I MOHO,  DISTRITO DE MOHO - PROVINCIA DE MOHO - DEPARTAMENTO DE PUNO</t>
  </si>
  <si>
    <t>MEJORAMIENTO DEL SERVICIO DE EDUCACION PRIMARIA EN I.E. 70682   DISTRITO DE PUNO DE LA PROVINCIA DE PUNO DEL DEPARTAMENTO DE PUNO</t>
  </si>
  <si>
    <t>MEJORAMIENTO DE LA CARRETERA PU N-110: EMP. PE-34I ASIRUNI - ROSASPATA - HUAYRAPATA - EMP. PE-34I NINANTAYA, DISTRITOS DE VILQUECHICO-ROSASPATA-MOHO-HUAYRAPATA, PROVINCIA DE HUANCANÉ Y MOHO - PUNO</t>
  </si>
  <si>
    <t>MEJORAMIENTO DEL SERVICIO DE EDUCACIÓN SECUNDARIA EN I.E. SOLLOCOTA  DE CENTRO POBLADO VIRGEN DEL ROSARIO SOLLOCOTA DISTRITO DE SAN JOSE DE LA PROVINCIA DE AZANGARO DEL DEPARTAMENTO DE PUNO</t>
  </si>
  <si>
    <t>MEJORAMIENTO DEL CAMINO VECINAL (EMP. PE 3S) HUAQUINA ZAPIJICANE - PTO JULI - CHUCASUYO DEL DISTRITO DE JULI - PROVINCIA DE CHUCUITO - DEPARTAMENTO DE PUNO</t>
  </si>
  <si>
    <t>MEJORAMIENTO DEL SERVICIO DE EDUCACIÓN SECUNDARIA EN I.E. AGROINDUSTRIAL MAXIMO SAN ROMAN CACERES DE AJJATIRA ,   DE CENTRO POBLADO SANTIAGO AJJATIRA DISTRITO DE PEDRO VILCA APAZA DE LA PROVINCIA DE SAN ANTONIO DE PUTINA DEL DEPARTAMENTO DE PUNO</t>
  </si>
  <si>
    <t>MEJORAMIENTO DEL SERVICIO DE EDUCACIÓN SECUNDARIA EN I.E. JOSE ABELARDO QUIÑONES GONZALES   DISTRITO DE MOHO DE LA PROVINCIA DE MOHO DEL DEPARTAMENTO DE PUNO</t>
  </si>
  <si>
    <t>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</si>
  <si>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MEJORAMIENTO DEL SERVICIO DE EDUCACIÓN SECUNDARIA EN I.E. 20 DE ENERO   DISTRITO DE JULIACA DE LA PROVINCIA DE SAN ROMAN DEL DEPARTAMENTO DE PUNO</t>
  </si>
  <si>
    <t>MEJORAMIENTO DEL SERVICIO DE EDUCACION PRIMARIA EN I.E. 72060  DE CENTRO POBLADO YURAJCHUPA DISTRITO DE SAN JUAN DE SALINAS DE LA PROVINCIA DE AZANGARO DEL DEPARTAMENTO DE PUNO</t>
  </si>
  <si>
    <t>MEJORAMIENTO DE LA CARRETERA AZANGARO - SAYTOCOCHA - SANDIA - SAN JUAN DEL ORO</t>
  </si>
  <si>
    <t>MEJORAMIENTO DEL SERVICIO DE EDUCACION PRIMARIA EN I.E. 72662  DE CENTRO POBLADO CALLA DISTRITO DE SAN JUAN DE SALINAS DE LA PROVINCIA DE AZANGARO DEL DEPARTAMENTO DE PUNO</t>
  </si>
  <si>
    <t>MEJORAMIENTO DE LA INFRAESTRUCTURA VIAL DEL CIRCUITO TURISTICO LAGO SAGRADO DE LOS INCAS - DISTRITOS CAPACHICA, CHUCUITO, PLATERIA, ACORA, ILAVE</t>
  </si>
  <si>
    <t>MEJORAMIENTO DEL SERVICIO DE EDUCACIÓN SECUNDARIA EN I.E. JOSE CARLOS MARIATEGUI   DISTRITO DE SAN JUAN DE SALINAS DE LA PROVINCIA DE AZANGARO DEL DEPARTAMENTO DE PUNO</t>
  </si>
  <si>
    <t>MEJORAMIENTO DE LA CARRETERA DV. DESAGUADERO (EMP PE 36A) - KELLUYO - PISACOMA, PROVINCIA DE CHUCUITO - PUNO</t>
  </si>
  <si>
    <t>MEJORAMIENTO DEL SERVICIO DE EDUCACION PRIMARIA EN I.E. 72289  DE CENTRO POBLADO  HUARISANI DISTRITO DE HUANCANE DE LA PROVINCIA DE HUANCANE DEL DEPARTAMENTO DE PUNO</t>
  </si>
  <si>
    <t>MEJORAMIENTO DE LAS CAPACIDADES TECNOLÓGICAS EN EL MANEJO DE CADENA PRODUCTIVA DE TRUCHA EN LA REGIÓN PUNO</t>
  </si>
  <si>
    <t>MEJORAMIENTO DE LOS SERVICIOS DE APOYO AL DESARROLLO PRODUCTIVO EN 19 UNIDADES PRODUCTORAS 19 DISTRITOS DE 7 PROVINCIAS DEL DEPARTAMENTO DE PUNO</t>
  </si>
  <si>
    <t>MEJORAMIENTO DE LOS SERVICIOS DE APOYO AL DESARROLLO PRODUCTIVO EN 4 UNIDADES PRODUCTORAS  4 DISTRITOS  DE LAS PROVINCIAS DE SANDIA, CARABAYA DEL DEPARTAMENTO DE PUNO</t>
  </si>
  <si>
    <t>REPARACION DE CAMPO DEPORTIVO; ADQUISICION DE EQUIPO NO DEPORTIVO PARA INSTALACIONES DEPORTIVAS; EN EL(LA) ESTADIO ENRIQUE TORRES BELON  DISTRITO DE PUNO, PROVINCIA PUNO, DEPARTAMENTO PUNO</t>
  </si>
  <si>
    <t>MEJORAMIENTO DEL SERVICIO DEPORTIVO, CULTURAL Y RECREACIONAL EN LA CAPITAL DE LA REGION PUNO</t>
  </si>
  <si>
    <t>MEJORAMIENTO Y AMPLIACION DEL SERVICIO DEPORTIVO DEL ESTADIO MUNICIPAL DE LA LOCALIDAD DE AYAVIRI DEL DISTRITO DE AYAVIRI - PROVINCIA DE MELGAR - DEPARTAMENTO DE PUNO</t>
  </si>
  <si>
    <t>MEJORAMIENTO DEL SERVICIO DE EDUCACIÓN INICIAL EN I.E. EDUARDITOS   DISTRITO DE PICHACANI DE LA PROVINCIA DE PUNO DEL DEPARTAMENTO DE PUNO</t>
  </si>
  <si>
    <t>REPARACION DE TRIBUNA Y/O PALCO Y SERVICIOS HIGIENICOS Y/O VESTIDORES; CONSTRUCCION DE CAMPO DEPORTIVO; EN EL(LA) ESTADIO MUNICIPAL CRUCERO  DISTRITO DE CRUCERO, PROVINCIA CARABAYA, DEPARTAMENTO PUNO</t>
  </si>
  <si>
    <t>CONSTRUCCION DE CAMPO DEPORTIVO Y SERVICIOS HIGIENICOS Y/O VESTIDORES PARA PERSONAL; REPARACION DE TRIBUNA Y/O PALCO; EN EL(LA) ESTADIO MUNICIPAL DE SAN PEDRO DE PUTINA PUNCO DISTRITO DE SAN PEDRO DE PUTINA PUNCO, PROVINCIA SANDIA, DEPARTAMENTO PUNO</t>
  </si>
  <si>
    <t>CONSTRUCCION DE TRIBUNA Y/O PALCO, CAMPO DEPORTIVO Y PISTA DE ATLETISMO (DEPORTE RECREATIVO); REPARACION DE SERVICIOS HIGIENICOS Y/O VESTIDORES; ADEMÁS DE OTROS ACTIVOS EN EL(LA) ESTADIO MUNICIPAL FERNANDO ROMERO CARREÓN  DISTRITO DE LAMPA, PROVINCIA LAMPA, DEPARTAMENTO PUNO</t>
  </si>
  <si>
    <t>REPARACION DE TRIBUNA Y/O PALCO; CONSTRUCCION DE CAMPO DEPORTIVO; EN EL(LA) ESTADIO MUNICIPAL DE PILCUYO  DISTRITO DE PILCUYO, PROVINCIA EL COLLAO, DEPARTAMENTO PUNO</t>
  </si>
  <si>
    <t>REPARACION DE TRIBUNA Y/O PALCO Y PISTA DE ATLETISMO (DEPORTE RECREATIVO); CONSTRUCCION DE CAMPO DEPORTIVO; EN EL(LA) ESTADIO DE LA GRAN UNIDAD SAN CARLOS  DISTRITO DE PUNO, PROVINCIA PUNO, DEPARTAMENTO PUNO</t>
  </si>
  <si>
    <t>MEJORAMIENTO DE LA CAPACIDAD RESOLUTIVA DEL PUESTO DE SALUD DE AYMAÑA DEL CENTRO POBLADO DE AYMAÑA DEL DISTRITO DE CORANI - PROVINCIA DE CARABAYA - DEPARTAMENTO DE PUNO</t>
  </si>
  <si>
    <t>CONSTRUCCION DE CAMPO DEPORTIVO Y SERVICIOS HIGIENICOS Y/O VESTIDORES; REPARACION DE SERVICIOS HIGIENICOS Y/O VESTIDORES Y TRIBUNA Y/O PALCO; ADEMÁS DE OTROS ACTIVOS EN EL(LA) ESTADIO MUNICIPAL DE CONIMA  DISTRITO DE CONIMA, PROVINCIA MOHO, DEPARTAMENTO PUNO</t>
  </si>
  <si>
    <t>CONSTRUCCION DE TRIBUNA Y/O PALCO; REPARACION DE TRIBUNA Y/O PALCO Y CAMPO DEPORTIVO; EN EL(LA) ESTADIO JOSE CARLOS MARIATEGUI  DISTRITO DE YUNGUYO, PROVINCIA YUNGUYO, DEPARTAMENTO PUNO</t>
  </si>
  <si>
    <t>INSTALACION DEL SERVICIO EDUCATIVO ESCOLARIZADO  DEL NIVEL INICIAL DE 3 A 5 AÑOS EN LA I.E.I. PICHACANI QUIRINI, DISTRITO DE MACARI, PROVINCIA MELGAR PUNO</t>
  </si>
  <si>
    <t>MEJORAMIENTO DEL SERVICIO DE EDUCACIÓN INICIAL EN I.E. 881   DISTRITO DE CABANILLA DE LA PROVINCIA DE LAMPA DEL DEPARTAMENTO DE PUNO</t>
  </si>
  <si>
    <t>REPARACION DE TRIBUNA Y/O PALCO; CONSTRUCCION DE CAMPO DEPORTIVO Y TRIBUNA Y/O PALCO; EN EL(LA) ESTADIO MUNICIPAL DE JULI  DISTRITO DE JULI, PROVINCIA CHUCUITO, DEPARTAMENTO PUNO</t>
  </si>
  <si>
    <t>INSTALACION DEL SERVICIO EDUCATIVO DE LA INSTITUCION EDUCATIVA INICIAL CICLO II NUEVA ESPERANZA, DISTRITO DE MACARI, PROVINCIA DE MELGAR - PUNO</t>
  </si>
  <si>
    <t>MEJORAMIENTO DEL SERVICIO DE PRÁCTICA DEPORTIVA Y/O RECREATIVA EN ESTADIO MUNICIPAL DE MOHO   DISTRITO DE MOHO DE LA PROVINCIA DE MOHO DEL DEPARTAMENTO DE PUNO</t>
  </si>
  <si>
    <t>MEJORAMIENTO Y AMPLIACION DEL SERVICIO EDUCATIVO DE LA ESCUELA SUPERIOR DE FORMACIÓN ARTÍSTICA PÚBLICA (ESFAP ¿ PUNO), DISTRITO DE PUNO - PROVINCIA DE PUNO - REGIÓN PUNO</t>
  </si>
  <si>
    <t>MEJORAMIENTO DE LOS SERVICIOS EDUCACIÓN SUPERIOR PEDAGÓGICA EN EL INSTITUTO DE EDUCACIÓN SUPERIOR PEDAGÓGICO DE EDUCACIÓN FÍSICA DE LAMPA DEL   DISTRITO DE LAMPA DE LA PROVINCIA DE LAMPA DEL DEPARTAMENTO DE PUNO</t>
  </si>
  <si>
    <t>CONSTRUCCION Y MEJORAMIENTO DE LA CARRETERA SAN JOSE (EMP. R 100) VALLE GRANDE -ISILLUMA DEL DISTRITO DE ALTO INAMBARI</t>
  </si>
  <si>
    <t>MEJORAMIENTO DE LOS SERVICIOS DE EDUCACIÓN SUPERIOR TECNOLÓGICA DEL IESTP HUANCANÉ DEL  DISTRITO DE HUANCANE - PROVINCIA DE HUANCANE - DEPARTAMENTO DE PUNO</t>
  </si>
  <si>
    <t>MEJORAMIENTO  SERVICIO DE EDUCACIÓN SUPERIOR TECNOLÓGICA  EN EL INSTITUTO SUPERIOR TECNOLÓGICO PUBLICO JOSE DOMINGO CHOQUEHUANCA DEL   DISTRITO DE JOSE DOMINGO CHOQUEHUANCA DE LA PROVINCIA DE AZANGARO DEL DEPARTAMENTO DE PUNO</t>
  </si>
  <si>
    <t>CONSTRUCCION Y MEJORAMIENTO DE LA CARRETERA DESVIO VILQUECHICO-COJATA-SINA-YANAHUAYA.</t>
  </si>
  <si>
    <t>MEJORAMIENTO Y CREACION DEL CAMINO VECINAL SACO-HUANACURI, DISTRITO DE COASA - CARABAYA - PUNO</t>
  </si>
  <si>
    <t>MEJORAMIENTO DE LA CARRETERA (PU 112) PUTINA - MUÑANI, DISTRITOS DE PUTINA Y MUÑANI, PROVINCIAS DE SAN ANTONIO DE PUTINA Y AZÁNGARO - PUNO</t>
  </si>
  <si>
    <t>MEJORAMIENTO DEL SERVICIO DE SALUD EN EL CENTRO DE SALUD YANAPATA DE LA MICRO RED COPANI, RED DE SALUD YUNGUYO,  DISTRITO DE YUNGUYO - PROVINCIA DE YUNGUYO - DEPARTAMENTO DE PUNO</t>
  </si>
  <si>
    <t>MEJORAMIENTO Y CONSTRUCCION DE LA CARRETERA PICHACANI - YURACMAYO DISTRITO DE PICHACANI Y SAN ANTONIO, PROVINCIA DE PUNO - PUNO</t>
  </si>
  <si>
    <t>MEJORAMIENTO DE LOS SERVICIOS DE SALUD DEL CENTRO DE SALUD COJATA,  DISTRITO DE COJATA - PROVINCIA DE HUANCANE - DEPARTAMENTO DE PUNO</t>
  </si>
  <si>
    <t>MEJORAMIENTO DEL SERVICIO DE SALUD EN EL CENTRO DE SALUD PILCUYO DE LA MICRORED PILCUYO, RED DE SALUD EL COLLAO , DEL DISTRITO DE PILCUYO - PROVINCIA DE EL COLLAO - DEPARTAMENTO DE PUNO</t>
  </si>
  <si>
    <t>MEJORAMIENTO DEL SERVICIO DE EDUCACIÓN INICIAL EN I.E. 325   DISTRITO DE PUNO DE LA PROVINCIA DE PUNO DEL DEPARTAMENTO DE PUNO</t>
  </si>
  <si>
    <t>MEJORAMIENTO DE LOS SERVICIOS DE EDUCACION SUPERIOR DEL INSTITUTO SUPERIOR TECNOLOGICO PUBLICA SAN JUAN DEL ORO DEL  DISTRITO DE SAN JUAN DEL ORO - PROVINCIA DE SANDIA - DEPARTAMENTO DE PUNO</t>
  </si>
  <si>
    <t>MEJORAMIENTO DEL SERVICIO DE TRANSITABILIDAD VEHICULAR DE LA CARRETERA TRAMO I: EMP- 34L (COJATA) ¿ HUANCASAYA, TRAMO II: HUANCASAYA ¿ TARUCANI-EMP-PU-115 (INCHUPALLA), DEL  DISTRITO DE COJATA - PROVINCIA DE HUANCANE - DEPARTAMENTO DE PUNO</t>
  </si>
  <si>
    <t>MEJORAMIENTO DE LA INFRAESTRUCTURA VIAL EN LA AV. SACSAYHUAMAN TRAMO (JR. MIRAFLORES ¿ AV. AVIACIÓN), JR. AMANECER TRAMO (AV. INDEPENDENCIA ¿ JR. MIRAFLORES) DE LA CIUDAD DE JULIACA,  DISTRITO DE JULIACA - PROVINCIA DE SAN ROMAN - DEPARTAMENTO DE PUNO</t>
  </si>
  <si>
    <t>MEJORAMIENTO DEL SERVICIO DE TRANSITABILIDAD VEHICULAR A TRAVES DE PUENTES CARROZABLES EN LAS PROVINCIAS DE CARABAYA Y SANDIA DEL  DEPARTAMENTO DE PUNO</t>
  </si>
  <si>
    <t>CREACION DEL SERVICIO DE TRANSITABILIDAD VIAL INTERURBANA EN EL PUENTE CARROZABLE CAMPUCO ENTRE EL DISTRITO SANTIAGO DE PUPUJA Y ARAPA DEL   DISTRITO DE SANTIAGO DE PUPUJA DE LA PROVINCIA DE AZANGARO DEL DEPARTAMENTO DE PUNO</t>
  </si>
  <si>
    <t>CREACION DEL SERVICIO DE TRANSITABILIDAD VIAL INTERURBANA EN EL PUENTE CARROZABLE SANTA ROSA DE HUAYLLATA ENTRE LOS DISTRITOS DE ILAVE Y PILCUYO DEL   DISTRITO DE ILAVE DE LA PROVINCIA DE EL COLLAO DEL DEPARTAMENTO DE PUNO</t>
  </si>
  <si>
    <t>ADQUISICION DE AMBULANCIA URBANA; EN ONCE ESTABLECIMIENTOS DE SALUD II.1, ESTABLECIMIENTOS DE SALUD II.2 A NIVEL DEPARTAMENTAL (PUNO)</t>
  </si>
  <si>
    <t>MEJORAMIENTO DEL SERVICIO DE TRANSITABILIDAD VIAL INTERURBANA EN EL TRAMO DESAGUADERO (EMP PE-36C)  - PUENTE CARANCAS - HUANOCOLLO DEL   DISTRITO DE DESAGUADERO DE LA PROVINCIA DE CHUCUITO DEL DEPARTAMENTO DE PUNO</t>
  </si>
  <si>
    <t>CREACION DEL SERVICIO DE TRANSITABILIDAD A TRAVES DE LA INSTALACION DE PUENTES PEATONALES EN LAS PROVINCIAS DE CARABAYA Y SANDIA DEL  DEPARTAMENTO DE PUNO</t>
  </si>
  <si>
    <t>MEJORAMIENTO DEL SERVICIO DE TRANSITABILIDAD VIAL INTERURBANA EN PU-138: EMP PE-34 B ¿ PASANOCOLLO , ¿ PUCATILLANA ¿ EMP PU-100 (NUÑOA)   DISTRITOS DE ORURILLO, NUÑOA DE LA PROVINCIA DE MELGAR DEL DEPARTAMENTO DE PUNO</t>
  </si>
  <si>
    <t>REPARACION DE PISTA DE ATLETISMO (COMPETENCIA); ADQUISICION DE TORRE DE ILUMINACION; EN EL(LA) ESTADIO ENRIQUE TORRES BELON DEL  DISTRITO DE PUNO, PROVINCIA PUNO, DEPARTAMENTO PUNO</t>
  </si>
  <si>
    <t>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</si>
  <si>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ADQUISICION DE MESA DE OPERACIONES HIDRAULICA/ELECTRICA, EQUIPO ECOGRAFO - ULTRASONIDO, EQUIPO ECOGRAFO Y ELECTROENCEFALOGRAFO; ADEMÁS DE OTROS ACTIVOS EN EL(LA) ANTONIO BARRIONUEVO (LAMPA)  DISTRITO DE LAMPA, PROVINCIA LAMPA, DEPARTAMENTO PUNO</t>
  </si>
  <si>
    <t>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</si>
  <si>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</si>
  <si>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MEJORAMIENTO DEL SERVICIO DE TRANSITABILIDAD VIAL INTERURBANA EN LA CARRETERA PU ¿ 985 (EMP. PE ¿ 34A; DV. CHOROMA) ¿ C.C. COARITA , PU ¿ 992 (C.C. COARITA) ¿ PALCA   DISTRITOS DE PARATIA, PALCA DE LA PROVINCIA DE LAMPA DEL DEPARTAMENTO DE PUNO</t>
  </si>
  <si>
    <t>MEJORAMIENTO DEL SERVICIO DE TRANSITABILIDAD VIAL INTERURBANA EN LA CARRETERA MAÑAZO PU 1077 - PU 1091 , - EMP PE 34 C(LLAPAPATA - CABANILLAS)   DISTRITOS DE MAÑAZO, CABANILLAS DE LAS PROVINCIAS DE PUNO, SAN ROMAN DEL DEPARTAMENTO DE PUNO</t>
  </si>
  <si>
    <t>MEJORAMIENTO DEL SERVICIO DE TRANSITABILIDAD VIAL INTERURBANA EN LA CARRETERA PU-1040 EMP. PU 122 (VILQUE) - EMP. PU - 1039 , - EMP. PU 1035 - EMP. PU 121 (CABANA)   DISTRITOS DE VILQUE, CABANA DE LAS PROVINCIAS DE PUNO, SAN ROMAN DEL DEPARTAMENTO DE PUNO</t>
  </si>
  <si>
    <t>MEJORAMIENTO DEL SERVICIO DE TRANSITABILIDAD VIAL INTERURBANA EN LA PU - 145 (EMP. PE - 34 I: HUANCANÉ , - EMP. PE - 34 H: HUATASANI)  DE LOS   DISTRITOS DE HUANCANE, HUATASANI DE LA PROVINCIA DE HUANCANE DEL DEPARTAMENTO DE PUNO</t>
  </si>
  <si>
    <t>MEJORAMIENTO DEL SERVICIO DE TRANSITABILIDAD VIAL INTERURBANA EN POQUERA CHICO ¿ QUIACA ¿ HUERTAPATA EN EL   DISTRITO DE QUIACA DE LA PROVINCIA DE SANDIA DEL DEPARTAMENTO DE PUNO</t>
  </si>
  <si>
    <t>MEJORAMIENTO DEL SERVICIO DE TRANSITABILIDAD VIAL INTERURBANA EN EL TRAMO ALMOZANCHE (EMP. PU 118), - SAMUCHACA - SANTA CRUZ CAPARA -ESCALLANI (EMP. PU 118) DE LOS DISTRITOS DE COATA, PUSI DE LAS PROVINCIAS DE PUNO, HUANCANE DEL DEPARTAMENTO DE PUNO</t>
  </si>
  <si>
    <t>MEJORAMIENTO DEL SERVICIO DE TRANSITABILIDAD VIAL INTERURBANA EN EL TRAMO ALMOZANCHE (EMP PU 118) - SUCASCO - SORAZA , - COYLATA URCUNIMUNI - HATUN AYLLU (EMP PU 118)  DE LOS   DISTRITOS DE COATA, PUSI DE LAS PROVINCIAS DE PUNO, HUANCANE DEL DEPARTAMENTO DE PUNO</t>
  </si>
  <si>
    <t>MEJORAMIENTO DEL SERVICIO DE TRANSITABILIDAD VIAL INTERURBANA EN LA CARRETERA YOROHOCO (HUACULLANI) , ¿ KELLUYO ¿ HITO 31   DISTRITO DE HUACULLANI DE LA PROVINCIA DE CHUCUITO DEL DEPARTAMENTO DE PUNO</t>
  </si>
  <si>
    <t>MEJORAMIENTO DE LOS SERVICIOS DE APOYO AL DESARROLLO PRODUCTIVO EN 37 UNIDADES PRODUCTORAS 37 DISTRITOS DE 11 PROVINCIAS DEL DEPARTAMENTO DE PUNO</t>
  </si>
  <si>
    <t>MEJORAMIENTO DEL SERVICIO DE TRANSITABILIDAD VIAL INTERURBANA EN LA CARRETRA PU¿144 (EMP. PE-34L: SOLITARIO , - EMP. PU-115: INCHUPALLA) DE LOS   DISTRITOS DE VILQUE CHICO, INCHUPALLA DE LA PROVINCIA DE HUANCANE DEL DEPARTAMENTO DE PUNO</t>
  </si>
  <si>
    <t>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</si>
  <si>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MEJORAMIENTO DEL SERVICIO DE TRANSITABILIDAD VIAL INTERURBANA EN LA CARRETERA PU 672 (EMP PE 3S-PTE. SANTA ROSA) ¿ QUISHUARA ¿ SANTA CRUZ- PU 673 (SANTA CRUZ-EMP. PU 680), PU 683 (MACARI , - LLALLI) DE LOS   DISTRITOS DE MACARI, CUPI DE LA PROVINCIA DE MELGAR DEL DEPARTAMENTO DE PUNO</t>
  </si>
  <si>
    <t>MEJORAMIENTO DEL SERVICIO DE TRANSITABILIDAD VIAL INTERURBANA EN LA CARRETERA PU 141: EMP. PU-111 (DV CAMBRIA) - CAMBRIA , - EMP PU - 112 (DV COLLPANI) DE LOS   DISTRITOS DE PUTINA, MUÑANI DE LAS PROVINCIAS DE SAN ANTONIO DE PUTINA, AZANGARO DEL DEPARTAMENTO DE PUNO</t>
  </si>
  <si>
    <t>MEJORAMIENTO DEL SERVICIO DE TRANSITABILIDAD VIAL INTERURBANA EN LA CARRETERA PU-1376 (EMP PE-38 ¿ CUIPACUIPA) ¿ CUIPACUIPA - EMP PU - 132 (FRONTERA CON TACNA)  DEL   DISTRITO DE SANTA ROSA DE LA PROVINCIA DE EL COLLAO DEL DEPARTAMENTO DE PUNO</t>
  </si>
  <si>
    <t>CREACION DEL SERVICIO DE TRANSITABILIDAD VIAL INTERURBANA EN EL PUENTE CHOQUENASA  DE LA CARRETERA PU-1243  DEL   DISTRITO DE ILAVE DE LA PROVINCIA DE EL COLLAO DEL DEPARTAMENTO DE PUNO</t>
  </si>
  <si>
    <t>MEJORAMIENTO DEL SERVICIO DE CONSERVACION DE LA DIVERSIDAD BIOLOGICA EN SELVA VERDE, SAN GABAN, PUNTA PERDIDA, COTACUCHO, PUNO, JUCUMARINI, CUSHINI, RIO CONDOR, RIO TAVARA, Y PACO PACUNI, DISTRITOS DE AYAPATA, SAN GABAN, SANTA ROSA, VILQUE CHICO-PUNO</t>
  </si>
  <si>
    <t>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</si>
  <si>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MEJORAMIENTO DEL SERVICIO DE TRANSITABILIDAD VIAL INTERURBANA EN LA CARRETERA PU 535(COASA - TAMBILLO) , ¿ PU 534 (EMP PU 100 -TAYACUCHO - TAMBILLO) DE LOS   DISTRITOS DE COASA, ITUATA DE LA PROVINCIA DE CARABAYA DEL DEPARTAMENTO DE PUNO</t>
  </si>
  <si>
    <t>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</si>
  <si>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CONSTRUCCION DE PUENTE; EN EL(LA) CARRETERA PU-111 (PUENTE TINTIRI) DEL  DISTRITO DE AZANGARO, PROVINCIA AZANGARO, DEPARTAMENTO PUNO</t>
  </si>
  <si>
    <t>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</si>
  <si>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</si>
  <si>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CREACION DEL SERVICIO DE TRANSITABILIDAD VIAL INTERURBANA EN EL PUENTE COLGANTE PEATONAL  DE CENTRO POBLADO COHASIA DISTRITO DE HUANCANE DE LA PROVINCIA DE HUANCANE DEL DEPARTAMENTO DE PUNO</t>
  </si>
  <si>
    <t>MEJORAMIENTO Y AMPLIACION DE LOS SERVICIOS DE SALUD DEL HOSPITAL CARLOS CORNEJO ROSELLO VIZCARDO DE LA CIUDAD DE AZANGARO, DISTRITO Y PROVINCIA DE AZANGARO, DEPARTAMENTO DE PUNO</t>
  </si>
  <si>
    <t>MEJORAMIENTO DEL SERVICIO DE TRANSITABILIDAD VIAL INTERURBANA EN LA CARRETERA DESAGUADERO - LLALLAHUA , - VISTA ALEGRE - CHIMU - ANCOPUTO - ALTO PATACOLLO - HUAPACA SAN MIGUEL DE LOS   DISTRITOS DE DESAGUADERO, ZEPITA DE LA PROVINCIA DE CHUCUITO DEL DEPARTAMENTO DE PUNO</t>
  </si>
  <si>
    <t>MEJORAMIENTO DE LOS SERVICIOS DE EDUCACIÓN SUPERIOR  TECNOLÓGICA DEL IESTP JOSE ANTONIO ENCINAS,  DISTRITO DE PUNO - PROVINCIA DE PUNO - DEPARTAMENTO DE PUNO</t>
  </si>
  <si>
    <t>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</si>
  <si>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CONSTRUCCION DE INSTALACIONES EXTERIORES DE SERVICIOS BASICOS Y CASA DE FUERZA; EN EL(LA) HOSPITAL SANDIA EN EL CENTRO POBLADO SANDIA, DISTRITO DE SANDIA, PROVINCIA SANDIA, DEPARTAMENTO PUNO</t>
  </si>
  <si>
    <t>MEJORAMIENTO DEL SERVICIO DE TRANSITABILIDAD VIAL INTERURBANA EN LA CARRETERA JOSÉ DOMINGO CHOQUEHUANCA ¿ QUEQUERANA , ¿ PRIMER CHIMPA JILAHUATA - DV CAYRAHUIRE DE LOS   DISTRITOS DE JOSE DOMINGO CHOQUEHUANCA, AZANGARO DE LA PROVINCIA DE AZANGARO DEL DEPARTAMENTO DE PUNO</t>
  </si>
  <si>
    <t>MEJORAMIENTO DEL SERVICIO DE TRANSITABILIDAD VIAL INTERURBANA EN LA CARRETERA PU-1115 (EMP. PE-3S: INGENIO - EMP. PU-1116: ICHU) - PU-1116 (EMP. PU-1115: ICHU - EMP. PE-3S: SALLIHUA CALLEJÓN) DEL   DISTRITO DE PUNO DE LA PROVINCIA DE PUNO DEL DEPARTAMENTO DE PUNO</t>
  </si>
  <si>
    <t>CONSTRUCCION DE LOSA DEPORTIVA; ADQUISICION DE EQUIPAMIENTO DE AULA DE INNOVACION PEDAGOGICA Y MOBILIARIO DE AULA DE INNOVACION PEDAGOGICA; EN EL(LA) I.E. 70064 SAN MARTIN DE PORRES  DISTRITO DE PUNO, PROVINCIA PUNO, DEPARTAMENTO PUNO</t>
  </si>
  <si>
    <t>MEJORAMIENTO DEL SERVICIO DE TRANSITABILIDAD VIAL INTERURBANA EN LA CARRETERA PU-727 (PUCARA - CHIJNAYA) DEL   DISTRITO DE PUCARA DE LA PROVINCIA DE LAMPA DEL DEPARTAMENTO DE PUNO</t>
  </si>
  <si>
    <t>MEJORAMIENTO Y AMPLIACION DEL SERVICIO DE ATENCIÓN DE SALUD BÁSICOS EN CHUPA - CHUPA   DISTRITO DE CHUPA DE LA PROVINCIA DE AZANGARO DEL DEPARTAMENTO DE PUNO</t>
  </si>
  <si>
    <t>MEJORAMIENTO Y AMPLIACION DEL SERVICIO DE ATENCIÓN DE SALUD BÁSICOS EN ASILLO   DISTRITO DE ASILLO DE LA PROVINCIA DE AZANGARO DEL DEPARTAMENTO DE PUNO</t>
  </si>
  <si>
    <t>MEJORAMIENTO DEL SERVICIO DE ATENCIÓN DE SALUD BÁSICOS EN CALLACAMI   DISTRITO DE JULI DE LA PROVINCIA DE CHUCUITO DEL DEPARTAMENTO DE PUNO</t>
  </si>
  <si>
    <t>RECUPERACION DE LOS SERVICIOS ECOSISTÉMICOS  EN 19 UNIDADES PRODUCTORAS  19 DISTRITOS  DE 13 PROVINCIAS DEL DEPARTAMENTO DE PUNO</t>
  </si>
  <si>
    <t>MEJORAMIENTO DEL SERVICIO DE ATENCIÓN DE SALUD BÁSICOS EN ACOCOLLO   DISTRITO DE HUANCANE DE LA PROVINCIA DE HUANCANE DEL DEPARTAMENTO DE PUNO</t>
  </si>
  <si>
    <t>MEJORAMIENTO DE LOS SERVICIOS DE EDUCACIÓN SUPERIOR DEL INSTITUTO DE EDUCACIÓN SUPERIOR TECNOLÓGICO PÚBLICA DESAGUADERO DEL  DISTRITO DE DESAGUADERO - PROVINCIA DE CHUCUITO - DEPARTAMENTO DE PUNO</t>
  </si>
  <si>
    <t>INSTALACION DEL SERVICIO EDUCATIVO EN LA INSTITUCIÓN EDUCATIVA INICIAL N 986 SAN JUAN BAUTISTA DEL DISTRITO DE JULIACA, PROVINCIA DE SAN ROMAN - PUNO</t>
  </si>
  <si>
    <t>MEJORAMIENTO Y AMPLIACION DE LOS SERVICIOS DE EDUCACIÓN SUPERIOR DEL INSTITUTO SUPERIOR TECNOLÓGICO PUBLICO DE NUÑOA DEL  DISTRITO DE NUÑOA - PROVINCIA DE MELGAR - DEPARTAMENTO DE PUNO</t>
  </si>
  <si>
    <t>MEJORAMIENTO DE LOS SERVICIOS DE EDUCACIÓN SUPERIOR DEL INSTITUTO SUPERIOR TECNOLÓGICO PUBLICA MUÑANI DEL  DISTRITO DE MUÑANI - PROVINCIA DE AZANGARO - DEPARTAMENTO DE PUNO</t>
  </si>
  <si>
    <t>MEJORAMIENTO DEL INSTITUTO DE EDUCACIÓN SUPERIOR TECNOLÓGICO PÚBLICO SANTA LUCÍA DEL  DISTRITO DE SANTA LUCIA - PROVINCIA DE LAMPA - DEPARTAMENTO DE PUNO</t>
  </si>
  <si>
    <t>MEJORAMIENTO Y AMPLIACION DE LOS SERVICIOS DE SALUD DEL CENTRO DE SALUD KELLUYO DEL  DISTRITO DE KELLUYO - PROVINCIA DE CHUCUITO - DEPARTAMENTO DE PUNO</t>
  </si>
  <si>
    <t>MEJORAMIENTO DEL SERVICIO DE EDUCACIÓN INICIAL EN I.E. 1291 CORAZON DE JESUS   DISTRITO DE ACORA DE LA PROVINCIA DE PUNO DEL DEPARTAMENTO DE PUNO</t>
  </si>
  <si>
    <t>MEJORAMIENTO DEL SERVICIO DE EDUCACIÓN SUPERIOR TECNOLÓGICA  EN INSTITUTO DE EDUCACION SUPERIOR TECNOLOGICO PUBLICO SAN SALVADOR DE CAPACHICA   DISTRITO DE CAPACHICA DE LA PROVINCIA DE PUNO DEL DEPARTAMENTO DE PUNO</t>
  </si>
  <si>
    <t>MEJORAMIENTO DEL SERVICIO DE EDUCACIÓN SUPERIOR TECNOLÓGICA  EN EL INSTITUTO SUPERIOR TECNOLOGICO PUBLICO SANTA ROSA DEL   DISTRITO DE SANTA ROSA DE LA PROVINCIA DE MELGAR DEL DEPARTAMENTO DE PUNO</t>
  </si>
  <si>
    <t>MEJORAMIENTO DEL SERVICIO DE EDUCACIÓN SUPERIOR TECNOLÓGICA  EN EL INSTITUTO SUPERIOR TECNOLÓGICO PUBLICA CHUPA DEL   DISTRITO DE CHUPA DE LA PROVINCIA DE AZANGARO DEL DEPARTAMENTO DE PUNO</t>
  </si>
  <si>
    <t>MEJORAMIENTO DEL SERVICIO DE EDUCACIÓN SECUNDARIA EN I.E. JOSE CARLOS MARIATEGUI   DISTRITO DE ILAVE DE LA PROVINCIA DE EL COLLAO DEL DEPARTAMENTO DE PUNO</t>
  </si>
  <si>
    <t xml:space="preserve"> MEJORAMIENTO DE LOS SERVICIOS DE EDUCACION INICIAL EN LA I.E.I. CUCURAYA DE LA COMUNIDAD DE CUCURAYA, DISTRITO DE TILALI, PROVINCIA DE MOHO - PUNO.</t>
  </si>
  <si>
    <t>MEJORAMIENTO Y AMPLIACION DEL SERVICIO DE EDUCACIÓN SUPERIOR TECNOLÓGICA EN EL INSTITUTO SUPERIOR TECNOLÓGICO PÚBLICO DE JULI,  DISTRITO DE JULI - PROVINCIA DE CHUCUITO - DEPARTAMENTO DE PUNO</t>
  </si>
  <si>
    <t>MEJORAMIENTO DEL SERVICIO DE EDUCACIÓN INICIAL EN I.E. 1450 HUELLITAS DE MONTESSORI MIRAMAR   DISTRITO DE MOHO DE LA PROVINCIA DE MOHO DEL DEPARTAMENTO DE PUNO</t>
  </si>
  <si>
    <t>MEJORAMIENTO DEL SERVICIO DE EDUCACIÓN INICIAL EN I.E. 056   DISTRITO DE CRUCERO DE LA PROVINCIA DE CARABAYA DEL DEPARTAMENTO DE PUNO</t>
  </si>
  <si>
    <t>MEJORAMIENTO DEL SERVICIO DE EDUCACIÓN INICIAL EN I.E. 1337 VISTA ALEGRE   DISTRITO DE JULIACA DE LA PROVINCIA DE SAN ROMAN DEL DEPARTAMENTO DE PUNO</t>
  </si>
  <si>
    <t>MEJORAMIENTO DEL SERVICIO DE EDUCACIÓN INICIAL EN I.E. 72   DISTRITO DE PEDRO VILCA APAZA DE LA PROVINCIA DE SAN ANTONIO DE PUTINA DEL DEPARTAMENTO DE PUNO</t>
  </si>
  <si>
    <t>MEJORAMIENTO DEL SERVICIO DE EDUCACIÓN INICIAL EN I.E. 50   DISTRITO DE ORURILLO DE LA PROVINCIA DE MELGAR DEL DEPARTAMENTO DE PUNO</t>
  </si>
  <si>
    <t>MEJORAMIENTO DEL SERVICIO DE EDUCACIÓN INICIAL EN I.E. 1240 NIÑO JESUS   DISTRITO DE VILQUE DE LA PROVINCIA DE PUNO DEL DEPARTAMENTO DE PUNO</t>
  </si>
  <si>
    <t>MEJORAMIENTO DEL SERVICIO DE EDUCACIÓN INICIAL EN I.E. 258   DISTRITO DE ACORA DE LA PROVINCIA DE PUNO DEL DEPARTAMENTO DE PUNO</t>
  </si>
  <si>
    <t>MEJORAMIENTO DEL SERVICIO DE EDUCACIÓN INICIAL EN I.E. 312  DE CENTRO POBLADO JAYU JAYU DISTRITO DE ACORA DE LA PROVINCIA DE PUNO DEL DEPARTAMENTO DE PUNO</t>
  </si>
  <si>
    <t>MEJORAMIENTO DEL SERVICIO DE EDUCACIÓN INICIAL EN I.E. SAN JERONIMO   DISTRITO DE ATUNCOLLA DE LA PROVINCIA DE PUNO DEL DEPARTAMENTO DE PUNO</t>
  </si>
  <si>
    <t>MEJORAMIENTO DEL SERVICIO DE EDUCACIÓN INICIAL EN I.E. 1243   DISTRITO DE MAÑAZO DE LA PROVINCIA DE PUNO DEL DEPARTAMENTO DE PUNO</t>
  </si>
  <si>
    <t>MEJORAMIENTO DEL SERVICIO DE EDUCACIÓN INICIAL EN I.E. 1226   DISTRITO DE MAÑAZO DE LA PROVINCIA DE PUNO DEL DEPARTAMENTO DE PUNO</t>
  </si>
  <si>
    <t>MEJORAMIENTO DEL SERVICIO DE EDUCACIÓN INICIAL EN I.E. 1205   DISTRITO DE PUNO DE LA PROVINCIA DE PUNO DEL DEPARTAMENTO DE PUNO</t>
  </si>
  <si>
    <t>MEJORAMIENTO DEL SERVICIO DE EDUCACIÓN INICIAL EN I.E. 944   DISTRITO DE JULIACA DE LA PROVINCIA DE SAN ROMAN DEL DEPARTAMENTO DE PUNO</t>
  </si>
  <si>
    <t>MEJORAMIENTO DEL SERVICIO DE EDUCACIÓN INICIAL EN I.E. 1223 DIVINO NIÑO JESUS   DISTRITO DE COATA DE LA PROVINCIA DE PUNO DEL DEPARTAMENTO DE PUNO</t>
  </si>
  <si>
    <t>MEJORAMIENTO DEL SERVICIO DE EDUCACIÓN INICIAL EN I.E. HUARISANI RENJACHI  DE CENTRO POBLADO HUARISANI DISTRITO DE HUANCANE DE LA PROVINCIA DE HUANCANE DEL DEPARTAMENTO DE PUNO</t>
  </si>
  <si>
    <t>MEJORAMIENTO DEL SERVICIO DE TRANSITABILIDAD VIAL INTERURBANA EN LA CARRETERA PU ¿ 1068 (CONDORIRI , ¿ JUNCAL) DE LOS   DISTRITOS DE TIQUILLACA, SAN ANTONIO DE LA PROVINCIA DE PUNO DEL DEPARTAMENTO DE PUNO</t>
  </si>
  <si>
    <t>CREACION DE LOS SERVICIOS DE PROMOCIÓN DEL COMERCIO EXTERIOR EN LA ZEEDE PUNO - REGIÓN DE PUNO</t>
  </si>
  <si>
    <t>MEJORAMIENTO DE LOS SERVICIOS PÚBLICOS DEL GOBIERNO REGIONAL PUNO - SEDE CENTRAL , DEL DISTRITO DE PUNO - PROVINCIA DE PUNO - DEPARTAMENTO DE PUNO</t>
  </si>
  <si>
    <t>MEJORAMIENTO DEL SERVICIO DE TRANSITABILIDAD VIAL INTERURBANA EN LA CARRETERA EMP. PE-3S (CHUA CHUA) - MOLINO - CHALLAPAMPA SANTA ROSA -  EMP. PU-130 (TACAPISI) , QUECCUANI - COPANI DE LOS   DISTRITOS DE ZEPITA, COPANI DE LAS PROVINCIAS DE CHUCUITO, YUNGUYO DEL DEPARTAMENTO DE PUNO</t>
  </si>
  <si>
    <t>MEJORAMIENTO DEL SERVICIO DE TRANSITABILIDAD VIAL INTERURBANA EN LA CARRETERA EMP. PU 115: VIZCACHANI , ¿ TOQUEPANI ¿ LLOCOLLOCO ¿ EMP. PU 115: INCHUPALLA   DISTRITOS DE HUATASANI, INCHUPALLA DE LA PROVINCIA DE HUANCANE DEL DEPARTAMENTO DE PUNO</t>
  </si>
  <si>
    <t>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</si>
  <si>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CONSTRUCCION DE PLATAFORMA Y DRENAJE TRANSVERSAL; REPARACION DE PLATAFORMA; ADQUISICION DE DISPOSITIVO DE CONTROL DE TRANSITO; EN EL(LA) CARRETERA PU-111 (EMP. JR. SULLANA ¿ EMP. JR. LIMA)  DISTRITO DE AZANGARO, PROVINCIA AZANGARO, DEPARTAMENTO PUNO</t>
  </si>
  <si>
    <t>MEJORAMIENTO DEL SERVICIO DE SALUD EN EL CENTRO DE SALUD  SAN GABÁN,  DISTRITO DE SAN GABAN - PROVINCIA DE CARABAYA - DEPARTAMENTO DE PUNO</t>
  </si>
  <si>
    <t>RECUPERACION DE ECOSISTEMAS DEGRADADOS EN LAS UNIDADES HIDROGRAFICAS:  LLALLIMAYO DE LA UH 018 PUCARA  Y UH 019 AZANGARO, DE LA CUENCA RAMIS DEL DEPARTAMENTO DE PUNO, REGION PUNO 5 PROVINCIAS DEL DEPARTAMENTO DE PUNO</t>
  </si>
  <si>
    <t>RECUPERACION DE ECOSISTEMAS DEGRADADOS EN ZONAS ALTO ANDINAS EN CABECERA DE CUENCA DE LAS UH0172, UH0178 Y UH0171 CUENCA SUCHES EN 4 PROVINCIAS DEL DEPARTAMENTO DE PUNO</t>
  </si>
  <si>
    <t>MEJORAMIENTO DEL SERVICIO DE ATENCIÓN DE SALUD BÁSICOS EN CHIJNAYA   DISTRITO DE PUCARA DE LA PROVINCIA DE LAMPA DEL DEPARTAMENTO DE PUNO</t>
  </si>
  <si>
    <t>MEJORAMIENTO DEL SERVICIO DE ATENCIÓN DE SALUD BÁSICOS EN CALLAZA   DISTRITO DE HUACULLANI DE LA PROVINCIA DE CHUCUITO DEL DEPARTAMENTO DE PUNO</t>
  </si>
  <si>
    <t>MEJORAMIENTO DEL SERVICIO DE ATENCIÓN DE SALUD BÁSICOS EN PASIRI   DISTRITO DE JULI DE LA PROVINCIA DE CHUCUITO DEL DEPARTAMENTO DE PUNO</t>
  </si>
  <si>
    <t>MEJORAMIENTO Y AMPLIACION DE LOS SERVICIOS DE SALUD DEL ESTABLECIMIENTO DE SALUD OLLARAYA,  DISTRITO DE OLLARAYA - PROVINCIA DE YUNGUYO - DEPARTAMENTO DE PUNO</t>
  </si>
  <si>
    <t>MEJORAMIENTO DEL SERVICIO DE ATENCIÓN DE SALUD BÁSICOS EN CHEJANI   DISTRITO DE PHARA DE LA PROVINCIA DE SANDIA DEL DEPARTAMENTO DE PUNO</t>
  </si>
  <si>
    <t>MEJORAMIENTO DEL SERVICIO DE ATENCIÓN DE SALUD BÁSICOS EN CAPACHICA   DISTRITO DE CAPACHICA DE LA PROVINCIA DE PUNO DEL DEPARTAMENTO DE PUNO</t>
  </si>
  <si>
    <t>MEJORAMIENTO DEL SERVICIO DE ATENCIÓN DE SALUD BÁSICOS EN ACCASO   DISTRITO DE PILCUYO DE LA PROVINCIA DE EL COLLAO DEL DEPARTAMENTO DE PUNO</t>
  </si>
  <si>
    <t>MEJORAMIENTO DEL SERVICIO DE ATENCIÓN DE SALUD BÁSICOS EN MAÑAZO   DISTRITO DE MAÑAZO DE LA PROVINCIA DE PUNO DEL DEPARTAMENTO DE PUNO</t>
  </si>
  <si>
    <t>MEJORAMIENTO DEL SERVICIO DE ATENCIÓN DE SALUD BÁSICOS EN CABANILLA   DISTRITO DE CABANILLA DE LA PROVINCIA DE LAMPA DEL DEPARTAMENTO DE PUNO</t>
  </si>
  <si>
    <t>MEJORAMIENTO DEL SERVICIO DE ATENCIÓN DE SALUD BÁSICOS EN LARAQUERI   DISTRITO DE PICHACANI DE LA PROVINCIA DE PUNO DEL DEPARTAMENTO DE PUNO</t>
  </si>
  <si>
    <t>MEJORAMIENTO DEL SERVICIO DE ATENCIÓN DE SALUD BÁSICOS EN VALLECITO   DISTRITO DE PUNO DE LA PROVINCIA DE PUNO DEL DEPARTAMENTO DE PUNO</t>
  </si>
  <si>
    <t>MEJORAMIENTO DE LOS SERVICIOS TURÍSTICOS PÚBLICOS EN RECURSOS TURÍSTICOS  EN 4 UNIDADES PRODUCTORAS  4 DISTRITOS  DE 3 PROVINCIAS DEL DEPARTAMENTO DE PUNO</t>
  </si>
  <si>
    <t>MEJORAMIENTO DEL SERVICIO DE ATENCIÓN DE SALUD BÁSICOS EN HUAYCHO   DISTRITO DE NUÑOA DE LA PROVINCIA DE MELGAR DEL DEPARTAMENTO DE PUNO</t>
  </si>
  <si>
    <t>MEJORAMIENTO DEL SERVICIO DE ATENCIÓN DE SALUD BÁSICOS EN CAYARANI   DISTRITO DE ORURILLO DE LA PROVINCIA DE MELGAR DEL DEPARTAMENTO DE PUNO</t>
  </si>
  <si>
    <t>MEJORAMIENTO DEL SERVICIO DE EDUCACIÓN INICIAL EN I.E. 335   DISTRITO DE MOHO DE LA PROVINCIA DE MOHO DEL DEPARTAMENTO DE PUNO</t>
  </si>
  <si>
    <t>MEJORAMIENTO DEL SERVICIO DE ATENCIÓN DE SALUD BÁSICOS EN NINANTAYA   DISTRITO DE MOHO DE LA PROVINCIA DE MOHO DEL DEPARTAMENTO DE PUNO</t>
  </si>
  <si>
    <t>MEJORAMIENTO DEL SERVICIO DE EDUCACIÓN INICIAL EN I.E. ARICATO   DISTRITO DE PHARA DE LA PROVINCIA DE SANDIA DEL DEPARTAMENTO DE PUNO</t>
  </si>
  <si>
    <t>MEJORAMIENTO DEL SERVICIO DE ATENCIÓN DE SALUD BÁSICOS EN SACUYO RIO GRANDE   DISTRITO DE ACORA DE LA PROVINCIA DE PUNO DEL DEPARTAMENTO DE PUNO</t>
  </si>
  <si>
    <t>MEJORAMIENTO DEL SERVICIO DE EDUCACIÓN INICIAL EN I.E. 941   DISTRITO DE CABANILLAS DE LA PROVINCIA DE SAN ROMAN DEL DEPARTAMENTO DE PUNO</t>
  </si>
  <si>
    <t>MEJORAMIENTO Y AMPLIACION DEL SERVICIO DE ATENCIÓN DE SALUD BÁSICOS EN MOHO   DISTRITO DE MOHO DE LA PROVINCIA DE MOHO DEL DEPARTAMENTO DE PUNO</t>
  </si>
  <si>
    <t>MEJORAMIENTO DEL SERVICIO DE ATENCIÓN DE SALUD BÁSICOS EN C.S. CLAS PUSI   DISTRITO DE PUSI DE LA PROVINCIA DE HUANCANE DEL DEPARTAMENTO DE PUNO</t>
  </si>
  <si>
    <t>MEJORAMIENTO DEL SERVICIO DE TRANSITABILIDAD VIAL INTERURBANA EN LA CARRETERA EMP. PE 34L (PUENTE ANTAJARANI) ¿ C.P. MACHACAMARCA YAPUTIRA , ¿ C.P. HALLA ¿ ALTOGRANDE ¿ EMP. PU-148 (C.C. UMABAMBA)   DISTRITOS DE VILQUE CHICO, COJATA DE LA PROVINCIA DE HUANCANE DEL DEPARTAMENTO DE PUNO</t>
  </si>
  <si>
    <t>MEJORAMIENTO DEL SERVICIO DE EDUCACIÓN SUPERIOR TECNOLÓGICA  EN EL INSTITUTO SUPERIOR TECNOLÓGICO PÚBLICA MAÑAZO DEL   DISTRITO DE MAÑAZO DE LA PROVINCIA DE PUNO DEL DEPARTAMENTO DE PUNO</t>
  </si>
  <si>
    <t>MEJORAMIENTO DE LOS SERVICIOS ASISTENCIALES DE LA ALDEA INFANTIL VIRGEN DE LA CANDELARIA EN EL BARRIO LA RINCONADA DEL CENTRO POBLADO DE SALCEDO, DISTRITO DE PUNO, PROVINCIA DE PUNO, REGION DE PUNO</t>
  </si>
  <si>
    <t>MEJORAMIENTO DEL SERVICIO DE TRANSITABILIDAD VEHICULAR DE LA CARRETERA TRAMO  ACHAYA (PU-140) - ESTRELLA (EMP. PE- 3S)  DEL  DISTRITO DE ACHAYA - PROVINCIA DE AZANGARO - DEPARTAMENTO DE PUNO</t>
  </si>
  <si>
    <t>MEJORAMIENTO DEL SERVICIO DE EDUCACIÓN SECUNDARIA EN I.E. SAN AGUSTIN   DISTRITO DE COATA DE LA PROVINCIA DE PUNO DEL DEPARTAMENTO DE PUNO</t>
  </si>
  <si>
    <t>ADQUISICION DE EQUIPAMIENTO DE AULA; EN SIETE II.EE. INICIAL  DISTRITO DE SAN JUAN DE SALINAS, PROVINCIA AZANGARO, DEPARTAMENTO PUNO</t>
  </si>
  <si>
    <t>MEJORAMIENTO DEL SERVICIO DE EDUCACIÓN SECUNDARIA DE LA IES CABANILLAS,  DISTRITO DE CABANILLAS - PROVINCIA DE SAN ROMAN - DEPARTAMENTO DE PUNO</t>
  </si>
  <si>
    <t>MEJORAMIENTO DE LA GESTION INTEGRADA DE LOS RECURSOS HIDRICOS EN CUENCAS DE LA REGION PUNO</t>
  </si>
  <si>
    <t>MEJORAMIENTO Y AMPLIACION DEL SERVICIO DE LIMPIEZA PÚBLICA EN 7 UNIDADES PRODUCTORAS  7 DISTRITOS  DE LA PROVINCIA DE MELGAR DEL DEPARTAMENTO DE PUNO</t>
  </si>
  <si>
    <t>ADQUISICION DE INCUBADORA NEONATAL Y CUNA DE CALOR RADIANTE; EN EL(LA) EESS YUNGUYO - YUNGUYO EN LA LOCALIDAD YUNGUYO, DISTRITO DE YUNGUYO, PROVINCIA YUNGUYO, DEPARTAMENTO PUNO</t>
  </si>
  <si>
    <t>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</si>
  <si>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ADQUISICION DE TOMOGRAFO COMPUTARIZADO MULTICORTE; EN EL(LA) CARLOS MONJE MEDRANO  DISTRITO DE JULIACA, PROVINCIA SAN ROMAN, DEPARTAMENTO PUNO</t>
  </si>
  <si>
    <t>MEJORAMIENTO DE LOS SERVICIOS DE APOYO A LA CADENA PRODUCTIVA DE CAFÉS ESPECIALES EN LOS DISTRITOS DE COASA, ITUATA, OLLACHEA, USICAYOS, LIMBANI, PATAMBUCO Y PHARA DE LAS PROVINCIAS DE CARABAYA Y SANDIA - REGIÓN PUNO</t>
  </si>
  <si>
    <t>REPARACION DE CAMPO DEPORTIVO; EN EL(LA) POLIDEPORTIVO AZANGARO DISTRITO DE AZANGARO, PROVINCIA AZANGARO, DEPARTAMENTO PUNO</t>
  </si>
  <si>
    <t>MEJORAMIENTO DEL SERVICIO DE EDUCACIÓN SECUNDARIA EN I.E. CESAR VALLEJO   DISTRITO DE HUANCANE DE LA PROVINCIA DE HUANCANE DEL DEPARTAMENTO DE PUNO</t>
  </si>
  <si>
    <t>MEJORAMIENTO DEL SERVICIO DE EDUCACIÓN SECUNDARIA EN I.E. JOSE OLAYA BALANDRA   DISTRITO DE JULIACA DE LA PROVINCIA DE SAN ROMAN DEL DEPARTAMENTO DE PUNO</t>
  </si>
  <si>
    <t>MEJORAMIENTO DEL SERVICIO DE EDUCACIÓN SECUNDARIA EN I.E. CENTENARIO PATAMBUCO   DISTRITO DE PATAMBUCO DE LA PROVINCIA DE SANDIA DEL DEPARTAMENTO DE PUNO</t>
  </si>
  <si>
    <t xml:space="preserve"> MEJORAMIENTO DE LOS SERVICIOS EDUCATIVOS EN LA I.E.I. N 596 MUNAYPATA DEL CENTRO POBLADO DE MUNAYPATA, DISTRITO DE OLLACHEA  PROVINCIA DE CARABAYA  PUNO</t>
  </si>
  <si>
    <t>MEJORAMIENTO DEL SERVICIO DE EDUCACION PRIMARIA EN I.E. 70291   DISTRITO DE HUACULLANI DE LA PROVINCIA DE CHUCUITO DEL DEPARTAMENTO DE PUNO</t>
  </si>
  <si>
    <t>MEJORAMIENTO DEL SERVICIO DE EDUCACION PRIMARIA EN I.E. 70288   DISTRITO DE DESAGUADERO DE LA PROVINCIA DE CHUCUITO DEL DEPARTAMENTO DE PUNO</t>
  </si>
  <si>
    <t>CREACION DEL SERVICIO DE EDUCACIÓN SUPERIOR TECNOLÓGICA  EN INSTITUTO SUPERIOR TECNOLOGICO "MARIANO CHANCATUMA" EN LA LOCALIDAD DE ASILLO   DISTRITO DE ASILLO DE LA PROVINCIA DE AZANGARO DEL DEPARTAMENTO DE PUNO</t>
  </si>
  <si>
    <t>MEJORAMIENTO DE LA INFRAESTRUCTURA VIAL TURISTICO, TRAMO PHUTINI - JAYU JAYU ACORA, DISTRITO DE ACORA - PUNO - PUNO</t>
  </si>
  <si>
    <t>MEJORAMIENTO DEL SERVICIO DE ATENCIÓN DE SALUD BÁSICOS EN ALTO PAVITA   DISTRITO DE ZEPITA DE LA PROVINCIA DE CHUCUITO DEL DEPARTAMENTO DE PUNO</t>
  </si>
  <si>
    <t>MEJORAMIENTO DEL SERVICIO DE ATENCIÓN DE SALUD BÁSICOS EN HUACULLANI   DISTRITO DE HUACULLANI DE LA PROVINCIA DE CHUCUITO DEL DEPARTAMENTO DE PUNO</t>
  </si>
  <si>
    <t>MODALIDAD DE EJECUCIÓN</t>
  </si>
  <si>
    <t>ESTADO SITUACIONAL DEL PROYECTO</t>
  </si>
  <si>
    <t>Monto Año 2026 (S/)</t>
  </si>
  <si>
    <t>Monto Año 2027 (S/)</t>
  </si>
  <si>
    <t>Monto Año 2028 (S/)</t>
  </si>
  <si>
    <t>Monto Año 2029 (S/)</t>
  </si>
  <si>
    <t>Por completar</t>
  </si>
  <si>
    <t>EJECUCIÓN POR ADMINISTRACIÓN INDIRECTA (CONTRATA)</t>
  </si>
  <si>
    <t>METAS SIAF POR CLASIFICAR EN EL FORMATO</t>
  </si>
  <si>
    <t>2194989: MEJORAMIENTO DE LOS SERVICIOS EDUCATIVOS EN LA INSTITUCION EDUCATIVA SECUNDARIA DANTE NAVA DEL CENTRO POBLADO SANTA CRUZ DE PUNA AYLLU, DISTRITO PATAMBUCO - SANDIA - PUNO</t>
  </si>
  <si>
    <t>Por validar</t>
  </si>
  <si>
    <t>2231037: MEJORAMIENTO DE LOS SERVICIOS EDUCATIVOS EN LA I.E.I. N 596 MUNAYPATA DEL CENTRO POBLADO DE MUNAYPATA, DISTRITO DE OLLACHEA - CARABAYA - PUNO</t>
  </si>
  <si>
    <t>2617364: MEJORAMIENTO Y AMPLIACION DEL SERVICIO DE EDUCACION INICIAL, SERVICIO DE EDUCACION PRIMARIA Y SERVICIO DE EDUCACION SECUNDARIA EN I.E. 27 SANTA LUCIA FE Y ALEGRIA DISTRITO DE MACARI - MELGAR - PUNO</t>
  </si>
  <si>
    <t>2662519: MEJORAMIENTO DEL SERVICIO DE ATENCION DE SALUD BASICOS EN C.S. CLAS PUSI DISTRITO DE PUSI - HUANCANE - PUNO</t>
  </si>
  <si>
    <t>2681141: MEJORAMIENTO DEL SERVICIO DE ATENCION DE SALUD BASICOS EN HUACULLANI, DISTRITO DE HUACULLANI - CHUCUITO - PUNO</t>
  </si>
  <si>
    <t>2699546: ADQUISICION DE EQUIPAMIENTO DE AULA DE INNOVACION PEDAGOGICA</t>
  </si>
  <si>
    <t>TOTAL METAS POR CLASIFICAR</t>
  </si>
  <si>
    <t>METAS POR CLASIFICAR</t>
  </si>
  <si>
    <t>Actualización: Datos &gt; Actualizar todo. Cambiar rutas y fechas en las hojas SIAF y Cartera (ocultas).</t>
  </si>
  <si>
    <t>Modalidad referencial según agrupación de Alex; confirmar en J. Estado editable en K de los dos reportes principales.</t>
  </si>
  <si>
    <t>La programación PMI se repite si un CUI tiene varias metas. No sumar los años entre metas. Sin PMI no significa cero.</t>
  </si>
  <si>
    <t>Se ocultan filas de la plantilla sin coincidencia CUI + meta. Las seis metas no coincidentes se muestran por clasificar.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</si>
</sst>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_ ;[Red]\-#,##0\ "/>
    <numFmt numFmtId="166" formatCode="0.0%"/>
    <numFmt numFmtId="167" formatCode="dd/mm/yyyy"/>
  </numFmts>
  <fonts count="5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b/>
      <sz val="14"/>
      <name val="Arial"/>
      <family val="2"/>
    </font>
    <font>
      <sz val="10"/>
      <name val="Arial"/>
      <family val="2"/>
    </font>
    <font>
      <sz val="14"/>
      <name val="Arial"/>
      <family val="2"/>
    </font>
    <font>
      <sz val="10"/>
      <name val="Arial"/>
      <family val="2"/>
    </font>
    <font>
      <sz val="13"/>
      <name val="Arial"/>
      <family val="2"/>
    </font>
    <font>
      <b/>
      <sz val="13"/>
      <name val="Arial"/>
      <family val="2"/>
    </font>
    <font>
      <sz val="10"/>
      <name val="Arial"/>
      <family val="2"/>
    </font>
    <font>
      <b/>
      <sz val="10"/>
      <name val="Arial"/>
      <family val="2"/>
    </font>
    <font>
      <sz val="10"/>
      <name val="Arial Narrow"/>
      <family val="2"/>
    </font>
    <font>
      <sz val="8"/>
      <name val="Arial"/>
      <family val="2"/>
    </font>
    <font>
      <sz val="11"/>
      <name val="Arial"/>
      <family val="2"/>
    </font>
    <font>
      <b/>
      <sz val="10"/>
      <name val="Arial Narrow"/>
      <family val="2"/>
    </font>
    <font>
      <b/>
      <sz val="11"/>
      <name val="Arial Narrow"/>
      <family val="2"/>
    </font>
    <font>
      <sz val="13"/>
      <name val="Arial Narrow"/>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name val="Arial Narrow"/>
      <family val="2"/>
    </font>
    <font>
      <b/>
      <sz val="12"/>
      <color theme="1"/>
      <name val="Arial Narrow"/>
      <family val="2"/>
    </font>
    <font>
      <sz val="12"/>
      <name val="Arial Narrow"/>
      <family val="2"/>
    </font>
    <font>
      <b/>
      <sz val="11"/>
      <name val="Arial"/>
      <family val="2"/>
    </font>
    <font>
      <sz val="12"/>
      <name val="Arial"/>
      <family val="2"/>
    </font>
    <font>
      <b/>
      <sz val="8"/>
      <name val="Arial Narrow"/>
      <family val="2"/>
    </font>
    <font>
      <b/>
      <u/>
      <sz val="14"/>
      <name val="Arial"/>
      <family val="2"/>
    </font>
    <font>
      <b/>
      <sz val="13"/>
      <color theme="1"/>
      <name val="Arial Narrow"/>
      <family val="2"/>
    </font>
    <font>
      <sz val="11"/>
      <name val="Arial Narrow"/>
      <family val="2"/>
    </font>
    <font>
      <b/>
      <u/>
      <sz val="11"/>
      <name val="Arial Narrow"/>
      <family val="2"/>
    </font>
    <font>
      <b/>
      <sz val="10"/>
      <color theme="1"/>
      <name val="Arial Narrow"/>
      <family val="2"/>
    </font>
    <font>
      <b/>
      <sz val="12"/>
      <color theme="0"/>
      <name val="Arial Narrow"/>
      <family val="2"/>
    </font>
    <font>
      <b/>
      <sz val="12"/>
      <color theme="0"/>
      <name val="Arial"/>
      <family val="2"/>
    </font>
    <font>
      <sz val="8"/>
      <name val="Arial Narrow"/>
      <family val="2"/>
    </font>
    <font>
      <b/>
      <sz val="11"/>
      <color theme="0"/>
      <name val="Arial Narrow"/>
      <family val="2"/>
    </font>
    <font>
      <b/>
      <sz val="11"/>
      <color theme="0"/>
      <name val="Arial"/>
      <family val="2"/>
    </font>
    <font>
      <b/>
      <sz val="9"/>
      <name val="Arial Narrow"/>
      <family val="2"/>
    </font>
  </fonts>
  <fills count="39">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rgb="FF002060"/>
        <bgColor indexed="64"/>
      </patternFill>
    </fill>
    <fill>
      <patternFill patternType="solid">
        <fgColor theme="5" tint="0.3999755851924192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style="thin">
        <color theme="0" tint="-4.9989318521683403E-2"/>
      </right>
      <top style="thin">
        <color indexed="64"/>
      </top>
      <bottom/>
      <diagonal/>
    </border>
    <border>
      <left style="thin">
        <color indexed="64"/>
      </left>
      <right style="thin">
        <color theme="0" tint="-4.9989318521683403E-2"/>
      </right>
      <top/>
      <bottom style="thin">
        <color indexed="64"/>
      </bottom>
      <diagonal/>
    </border>
    <border>
      <left style="thin">
        <color theme="0" tint="-4.9989318521683403E-2"/>
      </left>
      <right/>
      <top style="thin">
        <color indexed="64"/>
      </top>
      <bottom/>
      <diagonal/>
    </border>
    <border>
      <left style="thin">
        <color theme="0" tint="-4.9989318521683403E-2"/>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4.9989318521683403E-2"/>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theme="0" tint="-4.9989318521683403E-2"/>
      </right>
      <top/>
      <bottom style="thin">
        <color indexed="64"/>
      </bottom>
      <diagonal/>
    </border>
    <border>
      <left/>
      <right style="thin">
        <color theme="0" tint="-4.9989318521683403E-2"/>
      </right>
      <top style="thin">
        <color indexed="64"/>
      </top>
      <bottom style="thin">
        <color indexed="64"/>
      </bottom>
      <diagonal/>
    </border>
    <border>
      <left style="thin">
        <color indexed="64"/>
      </left>
      <right style="thin">
        <color theme="0"/>
      </right>
      <top style="thin">
        <color indexed="64"/>
      </top>
      <bottom/>
      <diagonal/>
    </border>
    <border>
      <left style="thin">
        <color indexed="64"/>
      </left>
      <right style="thin">
        <color theme="0"/>
      </right>
      <top/>
      <bottom style="thin">
        <color indexed="64"/>
      </bottom>
      <diagonal/>
    </border>
    <border>
      <left/>
      <right style="thin">
        <color theme="0"/>
      </right>
      <top style="thin">
        <color indexed="64"/>
      </top>
      <bottom/>
      <diagonal/>
    </border>
    <border>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diagonal/>
    </border>
    <border>
      <left style="thin">
        <color theme="0"/>
      </left>
      <right style="thin">
        <color theme="0"/>
      </right>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indexed="64"/>
      </right>
      <top style="thin">
        <color indexed="64"/>
      </top>
      <bottom/>
      <diagonal/>
    </border>
    <border>
      <left style="thin">
        <color theme="0"/>
      </left>
      <right style="thin">
        <color indexed="64"/>
      </right>
      <top/>
      <bottom style="thin">
        <color indexed="64"/>
      </bottom>
      <diagonal/>
    </border>
    <border>
      <left style="thin">
        <color theme="0"/>
      </left>
      <right style="thin">
        <color indexed="64"/>
      </right>
      <top style="thin">
        <color indexed="64"/>
      </top>
      <bottom style="thin">
        <color theme="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2">
    <xf numFmtId="0" fontId="0" fillId="0" borderId="0"/>
    <xf numFmtId="0" fontId="5" fillId="0" borderId="0"/>
    <xf numFmtId="0" fontId="7" fillId="0" borderId="0"/>
    <xf numFmtId="9" fontId="5" fillId="0" borderId="0" applyFont="0" applyFill="0" applyBorder="0" applyAlignment="0" applyProtection="0"/>
    <xf numFmtId="0" fontId="10" fillId="0" borderId="0"/>
    <xf numFmtId="9" fontId="10"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10" applyNumberFormat="0" applyFill="0" applyAlignment="0" applyProtection="0"/>
    <xf numFmtId="0" fontId="21" fillId="0" borderId="11" applyNumberFormat="0" applyFill="0" applyAlignment="0" applyProtection="0"/>
    <xf numFmtId="0" fontId="21" fillId="0" borderId="0" applyNumberFormat="0" applyFill="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0" applyNumberFormat="0" applyBorder="0" applyAlignment="0" applyProtection="0"/>
    <xf numFmtId="0" fontId="25" fillId="8" borderId="12" applyNumberFormat="0" applyAlignment="0" applyProtection="0"/>
    <xf numFmtId="0" fontId="26" fillId="9" borderId="13" applyNumberFormat="0" applyAlignment="0" applyProtection="0"/>
    <xf numFmtId="0" fontId="27" fillId="9" borderId="12" applyNumberFormat="0" applyAlignment="0" applyProtection="0"/>
    <xf numFmtId="0" fontId="28" fillId="0" borderId="14" applyNumberFormat="0" applyFill="0" applyAlignment="0" applyProtection="0"/>
    <xf numFmtId="0" fontId="29" fillId="10" borderId="15" applyNumberFormat="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17" applyNumberFormat="0" applyFill="0" applyAlignment="0" applyProtection="0"/>
    <xf numFmtId="0" fontId="3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16" applyNumberFormat="0" applyFont="0" applyAlignment="0" applyProtection="0"/>
    <xf numFmtId="0" fontId="2" fillId="0" borderId="0"/>
    <xf numFmtId="164" fontId="2" fillId="0" borderId="0" applyFont="0" applyFill="0" applyBorder="0" applyAlignment="0" applyProtection="0"/>
    <xf numFmtId="0" fontId="5" fillId="0" borderId="0"/>
    <xf numFmtId="0" fontId="1" fillId="0" borderId="0"/>
  </cellStyleXfs>
  <cellXfs count="269">
    <xf numFmtId="0" fontId="0" fillId="0" borderId="0" xfId="0"/>
    <xf numFmtId="0" fontId="8" fillId="0" borderId="0" xfId="0" applyFont="1" applyAlignment="1">
      <alignment horizontal="center" vertical="center"/>
    </xf>
    <xf numFmtId="165" fontId="6" fillId="0" borderId="0" xfId="0" applyNumberFormat="1" applyFont="1" applyAlignment="1">
      <alignment vertical="center"/>
    </xf>
    <xf numFmtId="0" fontId="0" fillId="0" borderId="0" xfId="0" applyAlignment="1">
      <alignment horizontal="center"/>
    </xf>
    <xf numFmtId="0" fontId="8" fillId="0" borderId="1" xfId="0" applyFont="1" applyBorder="1" applyAlignment="1">
      <alignment horizontal="center" vertical="center"/>
    </xf>
    <xf numFmtId="0" fontId="17" fillId="0" borderId="1" xfId="0" applyFont="1" applyBorder="1" applyAlignment="1">
      <alignment vertical="center" wrapText="1"/>
    </xf>
    <xf numFmtId="49" fontId="8" fillId="0" borderId="1" xfId="0" applyNumberFormat="1" applyFont="1" applyBorder="1" applyAlignment="1">
      <alignment horizontal="center" vertical="center"/>
    </xf>
    <xf numFmtId="0" fontId="17" fillId="0" borderId="1" xfId="1" applyFont="1" applyBorder="1" applyAlignment="1">
      <alignment vertical="center" wrapText="1"/>
    </xf>
    <xf numFmtId="0" fontId="9" fillId="0" borderId="1" xfId="0" applyFont="1" applyBorder="1" applyAlignment="1">
      <alignment horizontal="center" vertical="center" wrapText="1"/>
    </xf>
    <xf numFmtId="165" fontId="6" fillId="0" borderId="1" xfId="0" applyNumberFormat="1" applyFont="1" applyBorder="1" applyAlignment="1">
      <alignment vertical="center"/>
    </xf>
    <xf numFmtId="0" fontId="8" fillId="0" borderId="0" xfId="0" applyFont="1" applyAlignment="1">
      <alignment horizontal="center" vertical="center" wrapText="1"/>
    </xf>
    <xf numFmtId="0" fontId="0" fillId="0" borderId="0" xfId="0" applyAlignment="1">
      <alignment wrapText="1"/>
    </xf>
    <xf numFmtId="0" fontId="8" fillId="0" borderId="1" xfId="0" applyFont="1" applyBorder="1" applyAlignment="1">
      <alignment horizontal="center" vertical="center" wrapText="1"/>
    </xf>
    <xf numFmtId="165" fontId="6" fillId="0" borderId="1" xfId="0" applyNumberFormat="1" applyFont="1" applyBorder="1" applyAlignment="1">
      <alignment vertical="center" wrapText="1"/>
    </xf>
    <xf numFmtId="165" fontId="6" fillId="0" borderId="1" xfId="0" applyNumberFormat="1" applyFont="1" applyBorder="1" applyAlignment="1">
      <alignment horizontal="right" vertical="center" wrapText="1"/>
    </xf>
    <xf numFmtId="166" fontId="6" fillId="0" borderId="1" xfId="3" applyNumberFormat="1" applyFont="1" applyFill="1" applyBorder="1" applyAlignment="1">
      <alignment horizontal="right" vertical="center" wrapText="1"/>
    </xf>
    <xf numFmtId="166" fontId="6" fillId="0" borderId="1" xfId="3" applyNumberFormat="1" applyFont="1" applyFill="1" applyBorder="1" applyAlignment="1">
      <alignment vertical="center"/>
    </xf>
    <xf numFmtId="166" fontId="0" fillId="0" borderId="0" xfId="0" applyNumberFormat="1" applyAlignment="1">
      <alignment wrapText="1"/>
    </xf>
    <xf numFmtId="166" fontId="0" fillId="0" borderId="0" xfId="0" applyNumberFormat="1"/>
    <xf numFmtId="0" fontId="4" fillId="0" borderId="7" xfId="0" applyFont="1" applyBorder="1" applyAlignment="1">
      <alignment horizontal="right"/>
    </xf>
    <xf numFmtId="49" fontId="8" fillId="0" borderId="1" xfId="0" applyNumberFormat="1" applyFont="1" applyBorder="1" applyAlignment="1">
      <alignment horizontal="center" vertical="center" wrapText="1"/>
    </xf>
    <xf numFmtId="166" fontId="6" fillId="0" borderId="1" xfId="3" applyNumberFormat="1" applyFont="1" applyFill="1" applyBorder="1" applyAlignment="1">
      <alignment vertical="center" wrapText="1"/>
    </xf>
    <xf numFmtId="9" fontId="6" fillId="0" borderId="1" xfId="3" applyFont="1" applyFill="1" applyBorder="1" applyAlignment="1">
      <alignment vertical="center" wrapText="1"/>
    </xf>
    <xf numFmtId="0" fontId="36" fillId="0" borderId="1" xfId="0" applyFont="1" applyBorder="1" applyAlignment="1">
      <alignment vertical="center" wrapText="1"/>
    </xf>
    <xf numFmtId="0" fontId="36" fillId="0" borderId="1" xfId="0" applyFont="1" applyBorder="1" applyAlignment="1">
      <alignment horizontal="left" vertical="center" wrapText="1"/>
    </xf>
    <xf numFmtId="0" fontId="36" fillId="0" borderId="1" xfId="0" applyFont="1" applyBorder="1" applyAlignment="1">
      <alignment horizontal="center" vertical="center" wrapText="1"/>
    </xf>
    <xf numFmtId="0" fontId="36" fillId="36" borderId="1" xfId="0" applyFont="1" applyFill="1" applyBorder="1" applyAlignment="1">
      <alignment vertical="center" wrapText="1"/>
    </xf>
    <xf numFmtId="165" fontId="6" fillId="36" borderId="1" xfId="0" applyNumberFormat="1" applyFont="1" applyFill="1" applyBorder="1" applyAlignment="1">
      <alignment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49" fontId="34" fillId="0" borderId="1" xfId="0" applyNumberFormat="1" applyFont="1" applyBorder="1" applyAlignment="1">
      <alignment horizontal="center" vertical="center" wrapText="1"/>
    </xf>
    <xf numFmtId="49" fontId="35" fillId="0" borderId="1" xfId="0" applyNumberFormat="1" applyFont="1" applyBorder="1" applyAlignment="1">
      <alignment horizontal="center" vertical="center" wrapText="1"/>
    </xf>
    <xf numFmtId="1" fontId="35"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41" fillId="0" borderId="1" xfId="0" applyNumberFormat="1" applyFont="1" applyBorder="1" applyAlignment="1">
      <alignment horizontal="center" vertical="center" wrapText="1"/>
    </xf>
    <xf numFmtId="0" fontId="9" fillId="0" borderId="1" xfId="0" applyFont="1" applyBorder="1" applyAlignment="1">
      <alignment horizontal="center" vertical="center"/>
    </xf>
    <xf numFmtId="0" fontId="38" fillId="0" borderId="1" xfId="0" applyFont="1" applyBorder="1" applyAlignment="1">
      <alignment horizontal="center" vertical="center" wrapText="1"/>
    </xf>
    <xf numFmtId="0" fontId="34" fillId="0" borderId="5" xfId="0" applyFont="1" applyBorder="1" applyAlignment="1">
      <alignment vertical="center" wrapText="1"/>
    </xf>
    <xf numFmtId="0" fontId="38"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6" fillId="0" borderId="1" xfId="1" applyFont="1" applyBorder="1" applyAlignment="1">
      <alignment vertical="center" wrapText="1"/>
    </xf>
    <xf numFmtId="0" fontId="14" fillId="0" borderId="1" xfId="0" applyFont="1" applyBorder="1" applyAlignment="1">
      <alignment horizontal="center" vertical="center" wrapText="1"/>
    </xf>
    <xf numFmtId="0" fontId="40" fillId="0" borderId="0" xfId="0" applyFont="1" applyAlignment="1">
      <alignment horizontal="center" vertical="center" wrapText="1"/>
    </xf>
    <xf numFmtId="165" fontId="37" fillId="3" borderId="1" xfId="0" applyNumberFormat="1" applyFont="1" applyFill="1" applyBorder="1" applyAlignment="1">
      <alignment horizontal="right" vertical="center" wrapText="1"/>
    </xf>
    <xf numFmtId="10" fontId="37" fillId="3" borderId="1" xfId="3" applyNumberFormat="1" applyFont="1" applyFill="1" applyBorder="1" applyAlignment="1">
      <alignment horizontal="right" vertical="center" wrapText="1"/>
    </xf>
    <xf numFmtId="165" fontId="37" fillId="4" borderId="1" xfId="0" applyNumberFormat="1" applyFont="1" applyFill="1" applyBorder="1" applyAlignment="1">
      <alignment horizontal="right" vertical="center" wrapText="1"/>
    </xf>
    <xf numFmtId="166" fontId="37" fillId="4" borderId="1" xfId="3" applyNumberFormat="1" applyFont="1" applyFill="1" applyBorder="1" applyAlignment="1">
      <alignment horizontal="right" vertical="center" wrapText="1"/>
    </xf>
    <xf numFmtId="165" fontId="37" fillId="3" borderId="1" xfId="0" applyNumberFormat="1" applyFont="1" applyFill="1" applyBorder="1" applyAlignment="1">
      <alignment vertical="center" wrapText="1"/>
    </xf>
    <xf numFmtId="166" fontId="37" fillId="3" borderId="1" xfId="3" applyNumberFormat="1" applyFont="1" applyFill="1" applyBorder="1" applyAlignment="1">
      <alignment vertical="center" wrapText="1"/>
    </xf>
    <xf numFmtId="165" fontId="14" fillId="38" borderId="1" xfId="0" applyNumberFormat="1" applyFont="1" applyFill="1" applyBorder="1" applyAlignment="1">
      <alignment vertical="center" wrapText="1"/>
    </xf>
    <xf numFmtId="166" fontId="14" fillId="38" borderId="1" xfId="3" applyNumberFormat="1" applyFont="1" applyFill="1" applyBorder="1" applyAlignment="1">
      <alignment vertical="center" wrapText="1"/>
    </xf>
    <xf numFmtId="0" fontId="0" fillId="0" borderId="1" xfId="0" applyFont="1" applyBorder="1" applyAlignment="1">
      <alignment horizontal="center" vertical="center" wrapText="1"/>
    </xf>
    <xf numFmtId="0" fontId="15" fillId="0" borderId="1" xfId="0" applyFont="1" applyBorder="1" applyAlignment="1">
      <alignment horizontal="center" vertical="center" wrapText="1"/>
    </xf>
    <xf numFmtId="165" fontId="0" fillId="0" borderId="1" xfId="0" applyNumberFormat="1" applyFont="1" applyBorder="1" applyAlignment="1">
      <alignment horizontal="right" vertical="center" wrapText="1"/>
    </xf>
    <xf numFmtId="166" fontId="0" fillId="0" borderId="1" xfId="3" applyNumberFormat="1" applyFont="1" applyFill="1" applyBorder="1" applyAlignment="1">
      <alignment horizontal="right" vertical="center" wrapText="1"/>
    </xf>
    <xf numFmtId="0" fontId="44" fillId="0" borderId="1" xfId="0" applyFont="1" applyBorder="1" applyAlignment="1">
      <alignment horizontal="center" vertical="center" wrapText="1"/>
    </xf>
    <xf numFmtId="49" fontId="15" fillId="0" borderId="1" xfId="0" applyNumberFormat="1" applyFont="1" applyBorder="1" applyAlignment="1">
      <alignment horizontal="center" vertical="center" wrapText="1"/>
    </xf>
    <xf numFmtId="49" fontId="44" fillId="0" borderId="1" xfId="0" applyNumberFormat="1" applyFont="1" applyBorder="1" applyAlignment="1">
      <alignment horizontal="center" vertical="center" wrapText="1"/>
    </xf>
    <xf numFmtId="0" fontId="15" fillId="0" borderId="5" xfId="0" applyFont="1" applyBorder="1" applyAlignment="1">
      <alignment vertical="center" wrapText="1"/>
    </xf>
    <xf numFmtId="165" fontId="0" fillId="0" borderId="1" xfId="0" applyNumberFormat="1" applyFont="1" applyBorder="1" applyAlignment="1">
      <alignment vertical="center" wrapText="1"/>
    </xf>
    <xf numFmtId="165" fontId="0" fillId="0" borderId="1" xfId="0" applyNumberFormat="1" applyFont="1" applyFill="1" applyBorder="1" applyAlignment="1">
      <alignment horizontal="right" vertical="center" wrapText="1"/>
    </xf>
    <xf numFmtId="0" fontId="15" fillId="0" borderId="5" xfId="0" applyFont="1" applyBorder="1" applyAlignment="1">
      <alignment horizontal="center" vertical="center" wrapText="1"/>
    </xf>
    <xf numFmtId="165" fontId="16" fillId="3" borderId="1" xfId="0" applyNumberFormat="1" applyFont="1" applyFill="1" applyBorder="1" applyAlignment="1">
      <alignment vertical="center" wrapText="1"/>
    </xf>
    <xf numFmtId="166" fontId="16" fillId="3" borderId="1" xfId="3" applyNumberFormat="1" applyFont="1" applyFill="1" applyBorder="1" applyAlignment="1">
      <alignment vertical="center" wrapText="1"/>
    </xf>
    <xf numFmtId="166" fontId="11" fillId="0" borderId="1" xfId="3" applyNumberFormat="1" applyFont="1" applyFill="1" applyBorder="1" applyAlignment="1">
      <alignment vertical="center" wrapText="1"/>
    </xf>
    <xf numFmtId="166" fontId="0" fillId="0" borderId="1" xfId="3" applyNumberFormat="1" applyFont="1" applyFill="1" applyBorder="1" applyAlignment="1">
      <alignment vertical="center" wrapText="1"/>
    </xf>
    <xf numFmtId="165" fontId="37" fillId="3" borderId="1" xfId="0" applyNumberFormat="1" applyFont="1" applyFill="1" applyBorder="1" applyAlignment="1">
      <alignment vertical="center"/>
    </xf>
    <xf numFmtId="166" fontId="37" fillId="3" borderId="1" xfId="3" applyNumberFormat="1" applyFont="1" applyFill="1" applyBorder="1" applyAlignment="1">
      <alignment vertical="center"/>
    </xf>
    <xf numFmtId="0" fontId="11" fillId="0" borderId="1" xfId="0" applyFont="1" applyBorder="1" applyAlignment="1">
      <alignment horizontal="center" vertical="center" wrapText="1"/>
    </xf>
    <xf numFmtId="49" fontId="11" fillId="0" borderId="1" xfId="0" applyNumberFormat="1" applyFont="1" applyBorder="1" applyAlignment="1">
      <alignment horizontal="center" vertical="center" wrapText="1"/>
    </xf>
    <xf numFmtId="49" fontId="14" fillId="0" borderId="1" xfId="0" applyNumberFormat="1" applyFont="1" applyBorder="1" applyAlignment="1">
      <alignment horizontal="center" vertical="center" wrapText="1"/>
    </xf>
    <xf numFmtId="0" fontId="42" fillId="0" borderId="1" xfId="1" applyFont="1" applyBorder="1" applyAlignment="1">
      <alignment vertical="center" wrapText="1"/>
    </xf>
    <xf numFmtId="165" fontId="14" fillId="0" borderId="1" xfId="0" applyNumberFormat="1" applyFont="1" applyBorder="1" applyAlignment="1">
      <alignment vertical="center" wrapText="1"/>
    </xf>
    <xf numFmtId="166" fontId="14" fillId="0" borderId="1" xfId="3" applyNumberFormat="1" applyFont="1" applyFill="1" applyBorder="1" applyAlignment="1">
      <alignment vertical="center" wrapText="1"/>
    </xf>
    <xf numFmtId="0" fontId="37" fillId="0" borderId="1" xfId="0" applyFont="1" applyBorder="1" applyAlignment="1">
      <alignment horizontal="center" vertical="center" wrapText="1"/>
    </xf>
    <xf numFmtId="0" fontId="11" fillId="0" borderId="1" xfId="0" applyFont="1" applyBorder="1" applyAlignment="1">
      <alignment horizontal="center" vertical="center"/>
    </xf>
    <xf numFmtId="165" fontId="0" fillId="0" borderId="1" xfId="0" applyNumberFormat="1" applyFont="1" applyBorder="1" applyAlignment="1">
      <alignment vertical="center"/>
    </xf>
    <xf numFmtId="166" fontId="0" fillId="0" borderId="1" xfId="3" applyNumberFormat="1" applyFont="1" applyFill="1" applyBorder="1" applyAlignment="1">
      <alignment vertical="center"/>
    </xf>
    <xf numFmtId="165" fontId="46" fillId="37" borderId="1" xfId="0" applyNumberFormat="1" applyFont="1" applyFill="1" applyBorder="1" applyAlignment="1">
      <alignment vertical="center"/>
    </xf>
    <xf numFmtId="166" fontId="46" fillId="37" borderId="1" xfId="3" applyNumberFormat="1" applyFont="1" applyFill="1" applyBorder="1" applyAlignment="1">
      <alignment vertical="center"/>
    </xf>
    <xf numFmtId="0" fontId="47" fillId="0" borderId="1" xfId="0" applyFont="1" applyBorder="1" applyAlignment="1">
      <alignment vertical="center" wrapText="1"/>
    </xf>
    <xf numFmtId="0" fontId="47" fillId="0" borderId="1" xfId="1" applyFont="1" applyBorder="1" applyAlignment="1">
      <alignment vertical="center" wrapText="1"/>
    </xf>
    <xf numFmtId="0" fontId="47" fillId="0" borderId="4" xfId="1" applyFont="1" applyBorder="1" applyAlignment="1">
      <alignment vertical="center" wrapText="1"/>
    </xf>
    <xf numFmtId="0" fontId="15" fillId="0" borderId="5" xfId="0" applyFont="1" applyBorder="1" applyAlignment="1">
      <alignment horizontal="center" vertical="center" wrapText="1"/>
    </xf>
    <xf numFmtId="166" fontId="49" fillId="37" borderId="4" xfId="3" applyNumberFormat="1" applyFont="1" applyFill="1" applyBorder="1" applyAlignment="1">
      <alignment vertical="center"/>
    </xf>
    <xf numFmtId="165" fontId="49" fillId="37" borderId="30" xfId="0" applyNumberFormat="1" applyFont="1" applyFill="1" applyBorder="1" applyAlignment="1">
      <alignment vertical="center"/>
    </xf>
    <xf numFmtId="165" fontId="49" fillId="37" borderId="27" xfId="0" applyNumberFormat="1" applyFont="1" applyFill="1" applyBorder="1" applyAlignment="1">
      <alignment vertical="center"/>
    </xf>
    <xf numFmtId="165" fontId="49" fillId="37" borderId="3" xfId="0" applyNumberFormat="1" applyFont="1" applyFill="1" applyBorder="1" applyAlignment="1">
      <alignment vertical="center"/>
    </xf>
    <xf numFmtId="166" fontId="49" fillId="37" borderId="38" xfId="3" applyNumberFormat="1" applyFont="1" applyFill="1" applyBorder="1" applyAlignment="1">
      <alignment vertical="center"/>
    </xf>
    <xf numFmtId="165" fontId="49" fillId="37" borderId="35" xfId="0" applyNumberFormat="1" applyFont="1" applyFill="1" applyBorder="1" applyAlignment="1">
      <alignment vertical="center"/>
    </xf>
    <xf numFmtId="165" fontId="49" fillId="37" borderId="39" xfId="0" applyNumberFormat="1" applyFont="1" applyFill="1" applyBorder="1" applyAlignment="1">
      <alignment vertical="center"/>
    </xf>
    <xf numFmtId="165" fontId="49" fillId="37" borderId="40" xfId="0" applyNumberFormat="1" applyFont="1" applyFill="1" applyBorder="1" applyAlignment="1">
      <alignment vertical="center"/>
    </xf>
    <xf numFmtId="166" fontId="46" fillId="37" borderId="38" xfId="3" applyNumberFormat="1" applyFont="1" applyFill="1" applyBorder="1" applyAlignment="1">
      <alignment vertical="center"/>
    </xf>
    <xf numFmtId="165" fontId="46" fillId="37" borderId="35" xfId="0" applyNumberFormat="1" applyFont="1" applyFill="1" applyBorder="1" applyAlignment="1">
      <alignment vertical="center"/>
    </xf>
    <xf numFmtId="166" fontId="49" fillId="37" borderId="43" xfId="3" applyNumberFormat="1" applyFont="1" applyFill="1" applyBorder="1" applyAlignment="1">
      <alignment vertical="center"/>
    </xf>
    <xf numFmtId="0" fontId="4" fillId="0" borderId="0" xfId="0" applyFont="1" applyBorder="1" applyAlignment="1">
      <alignment horizontal="right"/>
    </xf>
    <xf numFmtId="0" fontId="9" fillId="0" borderId="0" xfId="0" applyFont="1" applyAlignment="1">
      <alignment horizontal="left" vertical="center"/>
    </xf>
    <xf numFmtId="166" fontId="37" fillId="0" borderId="1" xfId="3" applyNumberFormat="1" applyFont="1" applyFill="1" applyBorder="1" applyAlignment="1">
      <alignment vertical="center"/>
    </xf>
    <xf numFmtId="0" fontId="0" fillId="0" borderId="1" xfId="0" applyFont="1" applyFill="1" applyBorder="1" applyAlignment="1">
      <alignment horizontal="center" vertical="center"/>
    </xf>
    <xf numFmtId="3" fontId="14" fillId="0" borderId="1" xfId="0" applyNumberFormat="1" applyFont="1" applyFill="1" applyBorder="1"/>
    <xf numFmtId="0" fontId="0" fillId="0" borderId="5" xfId="0" applyFont="1" applyFill="1" applyBorder="1" applyAlignment="1">
      <alignment horizontal="center" vertical="center"/>
    </xf>
    <xf numFmtId="3" fontId="14" fillId="0" borderId="5" xfId="0" applyNumberFormat="1" applyFont="1" applyFill="1" applyBorder="1"/>
    <xf numFmtId="166" fontId="37" fillId="0" borderId="5" xfId="3" applyNumberFormat="1" applyFont="1" applyFill="1" applyBorder="1" applyAlignment="1">
      <alignment vertical="center"/>
    </xf>
    <xf numFmtId="3" fontId="37" fillId="0" borderId="45" xfId="0" applyNumberFormat="1" applyFont="1" applyBorder="1"/>
    <xf numFmtId="166" fontId="37" fillId="0" borderId="45" xfId="3" applyNumberFormat="1" applyFont="1" applyBorder="1"/>
    <xf numFmtId="166" fontId="37" fillId="0" borderId="46" xfId="3" applyNumberFormat="1" applyFont="1" applyBorder="1"/>
    <xf numFmtId="0" fontId="0" fillId="0" borderId="6" xfId="0" applyFont="1" applyFill="1" applyBorder="1" applyAlignment="1">
      <alignment horizontal="center" vertical="center"/>
    </xf>
    <xf numFmtId="3" fontId="14" fillId="0" borderId="6" xfId="0" applyNumberFormat="1" applyFont="1" applyFill="1" applyBorder="1" applyAlignment="1">
      <alignment vertical="center"/>
    </xf>
    <xf numFmtId="166" fontId="37" fillId="0" borderId="6" xfId="3" applyNumberFormat="1" applyFont="1" applyFill="1" applyBorder="1" applyAlignment="1">
      <alignment vertical="center"/>
    </xf>
    <xf numFmtId="0" fontId="47" fillId="0" borderId="1" xfId="0" applyFont="1" applyFill="1" applyBorder="1" applyAlignment="1">
      <alignment vertical="center" wrapText="1"/>
    </xf>
    <xf numFmtId="3" fontId="0" fillId="0" borderId="1" xfId="0" applyNumberFormat="1" applyFont="1" applyFill="1" applyBorder="1" applyAlignment="1">
      <alignment horizontal="right" vertical="center" wrapText="1"/>
    </xf>
    <xf numFmtId="3" fontId="13" fillId="0" borderId="1" xfId="0" applyNumberFormat="1" applyFont="1" applyFill="1" applyBorder="1" applyAlignment="1">
      <alignment vertical="center" wrapText="1"/>
    </xf>
    <xf numFmtId="0" fontId="12" fillId="0" borderId="5"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47" fillId="0" borderId="1" xfId="0" applyFont="1" applyFill="1" applyBorder="1" applyAlignment="1">
      <alignment horizontal="left" vertical="center" wrapText="1"/>
    </xf>
    <xf numFmtId="0" fontId="12" fillId="0" borderId="6"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44" fillId="0" borderId="5" xfId="0" applyFont="1" applyFill="1" applyBorder="1" applyAlignment="1">
      <alignment horizontal="center" vertical="center" wrapText="1"/>
    </xf>
    <xf numFmtId="0" fontId="0"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47" fillId="0" borderId="3" xfId="1" applyFont="1" applyBorder="1" applyAlignment="1">
      <alignment vertical="center" wrapText="1"/>
    </xf>
    <xf numFmtId="165" fontId="0" fillId="0" borderId="3" xfId="0" applyNumberFormat="1" applyFont="1" applyBorder="1" applyAlignment="1">
      <alignment vertical="center" wrapText="1"/>
    </xf>
    <xf numFmtId="166" fontId="0" fillId="0" borderId="4" xfId="3" applyNumberFormat="1" applyFont="1" applyFill="1" applyBorder="1" applyAlignment="1">
      <alignment vertical="center" wrapText="1"/>
    </xf>
    <xf numFmtId="0" fontId="16" fillId="38" borderId="1" xfId="0" applyFont="1" applyFill="1" applyBorder="1" applyAlignment="1">
      <alignment horizontal="left" vertical="center"/>
    </xf>
    <xf numFmtId="0" fontId="12" fillId="0" borderId="5"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6" xfId="0" applyFont="1" applyFill="1" applyBorder="1" applyAlignment="1">
      <alignment horizontal="center" vertical="center" wrapText="1"/>
    </xf>
    <xf numFmtId="3" fontId="15" fillId="0" borderId="5" xfId="0" applyNumberFormat="1" applyFont="1" applyFill="1" applyBorder="1" applyAlignment="1">
      <alignment horizontal="center" vertical="center" wrapText="1"/>
    </xf>
    <xf numFmtId="3" fontId="15" fillId="0" borderId="6" xfId="0" applyNumberFormat="1" applyFont="1" applyFill="1" applyBorder="1" applyAlignment="1">
      <alignment horizontal="center" vertical="center" wrapText="1"/>
    </xf>
    <xf numFmtId="0" fontId="38" fillId="0" borderId="5" xfId="0" applyFont="1" applyBorder="1" applyAlignment="1">
      <alignment horizontal="center" vertical="center" wrapText="1"/>
    </xf>
    <xf numFmtId="0" fontId="38" fillId="0" borderId="6"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45" fillId="37" borderId="2" xfId="0" applyFont="1" applyFill="1" applyBorder="1" applyAlignment="1">
      <alignment horizontal="center" vertical="center" wrapText="1"/>
    </xf>
    <xf numFmtId="0" fontId="45" fillId="37" borderId="35" xfId="0" applyFont="1" applyFill="1" applyBorder="1" applyAlignment="1">
      <alignment horizontal="center" vertical="center" wrapText="1"/>
    </xf>
    <xf numFmtId="0" fontId="40" fillId="0" borderId="0" xfId="0" applyFont="1" applyAlignment="1">
      <alignment horizontal="center" vertical="center" wrapText="1"/>
    </xf>
    <xf numFmtId="0" fontId="40" fillId="0" borderId="0" xfId="0" applyFont="1" applyAlignment="1">
      <alignment horizontal="center" wrapText="1"/>
    </xf>
    <xf numFmtId="166" fontId="45" fillId="37" borderId="38" xfId="0" applyNumberFormat="1" applyFont="1" applyFill="1" applyBorder="1" applyAlignment="1">
      <alignment horizontal="center" vertical="center" wrapText="1"/>
    </xf>
    <xf numFmtId="0" fontId="16" fillId="3" borderId="1" xfId="0" applyFont="1" applyFill="1" applyBorder="1" applyAlignment="1">
      <alignment horizontal="left" vertical="center" wrapText="1"/>
    </xf>
    <xf numFmtId="0" fontId="43" fillId="3"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6" fillId="38" borderId="2" xfId="0" applyFont="1" applyFill="1" applyBorder="1" applyAlignment="1">
      <alignment horizontal="left" vertical="center" wrapText="1"/>
    </xf>
    <xf numFmtId="0" fontId="16" fillId="38" borderId="3" xfId="0" applyFont="1" applyFill="1" applyBorder="1" applyAlignment="1">
      <alignment horizontal="left" vertical="center" wrapText="1"/>
    </xf>
    <xf numFmtId="0" fontId="16" fillId="38" borderId="4" xfId="0" applyFont="1" applyFill="1" applyBorder="1" applyAlignment="1">
      <alignment horizontal="left" vertical="center" wrapText="1"/>
    </xf>
    <xf numFmtId="0" fontId="16" fillId="38" borderId="1" xfId="0" applyFont="1" applyFill="1" applyBorder="1" applyAlignment="1">
      <alignment horizontal="left" vertical="center" wrapText="1"/>
    </xf>
    <xf numFmtId="0" fontId="48" fillId="37" borderId="40" xfId="0" applyFont="1" applyFill="1" applyBorder="1" applyAlignment="1">
      <alignment horizontal="center" vertical="center"/>
    </xf>
    <xf numFmtId="0" fontId="48" fillId="37" borderId="3" xfId="0" applyFont="1" applyFill="1" applyBorder="1" applyAlignment="1">
      <alignment horizontal="center" vertical="center"/>
    </xf>
    <xf numFmtId="0" fontId="48" fillId="37" borderId="39" xfId="0" applyFont="1" applyFill="1" applyBorder="1" applyAlignment="1">
      <alignment horizontal="center" vertical="center"/>
    </xf>
    <xf numFmtId="0" fontId="44" fillId="0" borderId="5" xfId="0" applyFont="1" applyFill="1" applyBorder="1" applyAlignment="1">
      <alignment horizontal="center" vertical="center" wrapText="1"/>
    </xf>
    <xf numFmtId="0" fontId="44" fillId="0" borderId="6" xfId="0" applyFont="1" applyFill="1" applyBorder="1" applyAlignment="1">
      <alignment horizontal="center" vertical="center" wrapText="1"/>
    </xf>
    <xf numFmtId="0" fontId="44" fillId="0" borderId="8" xfId="0" applyFont="1" applyFill="1" applyBorder="1" applyAlignment="1">
      <alignment horizontal="center" vertical="center" wrapText="1"/>
    </xf>
    <xf numFmtId="0" fontId="16" fillId="38" borderId="2" xfId="0" applyFont="1" applyFill="1" applyBorder="1" applyAlignment="1">
      <alignment horizontal="left" vertical="center"/>
    </xf>
    <xf numFmtId="0" fontId="16" fillId="38" borderId="3" xfId="0" applyFont="1" applyFill="1" applyBorder="1" applyAlignment="1">
      <alignment horizontal="left" vertical="center"/>
    </xf>
    <xf numFmtId="0" fontId="16" fillId="38" borderId="4" xfId="0" applyFont="1" applyFill="1" applyBorder="1" applyAlignment="1">
      <alignment horizontal="left" vertical="center"/>
    </xf>
    <xf numFmtId="166" fontId="34" fillId="2" borderId="1" xfId="0" applyNumberFormat="1" applyFont="1" applyFill="1" applyBorder="1" applyAlignment="1">
      <alignment horizontal="center" vertical="center" wrapText="1"/>
    </xf>
    <xf numFmtId="0" fontId="16" fillId="3" borderId="2" xfId="0" applyFont="1" applyFill="1" applyBorder="1" applyAlignment="1">
      <alignment horizontal="left" vertical="center" wrapText="1"/>
    </xf>
    <xf numFmtId="0" fontId="16" fillId="3" borderId="3"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34" fillId="2" borderId="1" xfId="0" applyFont="1" applyFill="1" applyBorder="1" applyAlignment="1">
      <alignment horizontal="center" vertical="center" wrapText="1"/>
    </xf>
    <xf numFmtId="0" fontId="45" fillId="37" borderId="2" xfId="0" applyFont="1" applyFill="1" applyBorder="1" applyAlignment="1">
      <alignment horizontal="left" vertical="center"/>
    </xf>
    <xf numFmtId="0" fontId="45" fillId="37" borderId="3" xfId="0" applyFont="1" applyFill="1" applyBorder="1" applyAlignment="1">
      <alignment horizontal="left" vertical="center"/>
    </xf>
    <xf numFmtId="0" fontId="45" fillId="37" borderId="4"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left" vertical="center"/>
    </xf>
    <xf numFmtId="0" fontId="16" fillId="3" borderId="4" xfId="0" applyFont="1" applyFill="1" applyBorder="1" applyAlignment="1">
      <alignment horizontal="left" vertical="center"/>
    </xf>
    <xf numFmtId="0" fontId="45" fillId="37" borderId="36" xfId="0" applyFont="1" applyFill="1" applyBorder="1" applyAlignment="1">
      <alignment horizontal="center" vertical="center" wrapText="1"/>
    </xf>
    <xf numFmtId="0" fontId="45" fillId="37" borderId="37" xfId="0" applyFont="1" applyFill="1" applyBorder="1" applyAlignment="1">
      <alignment horizontal="center" vertical="center" wrapText="1"/>
    </xf>
    <xf numFmtId="0" fontId="40" fillId="0" borderId="0" xfId="0" applyFont="1" applyAlignment="1">
      <alignment horizontal="center" vertical="center"/>
    </xf>
    <xf numFmtId="166" fontId="45" fillId="37" borderId="41" xfId="0" applyNumberFormat="1" applyFont="1" applyFill="1" applyBorder="1" applyAlignment="1">
      <alignment horizontal="center" vertical="center" wrapText="1"/>
    </xf>
    <xf numFmtId="166" fontId="45" fillId="37" borderId="42" xfId="0" applyNumberFormat="1" applyFont="1" applyFill="1" applyBorder="1" applyAlignment="1">
      <alignment horizontal="center" vertical="center" wrapText="1"/>
    </xf>
    <xf numFmtId="0" fontId="45" fillId="37" borderId="18" xfId="0" applyFont="1" applyFill="1" applyBorder="1" applyAlignment="1">
      <alignment horizontal="center" vertical="center" wrapText="1"/>
    </xf>
    <xf numFmtId="0" fontId="45" fillId="37" borderId="19" xfId="0" applyFont="1" applyFill="1" applyBorder="1" applyAlignment="1">
      <alignment horizontal="center" vertical="center" wrapText="1"/>
    </xf>
    <xf numFmtId="166" fontId="45" fillId="37" borderId="25" xfId="0" applyNumberFormat="1" applyFont="1" applyFill="1" applyBorder="1" applyAlignment="1">
      <alignment horizontal="center" vertical="center" wrapText="1"/>
    </xf>
    <xf numFmtId="166" fontId="45" fillId="37" borderId="26" xfId="0" applyNumberFormat="1" applyFont="1" applyFill="1" applyBorder="1" applyAlignment="1">
      <alignment horizontal="center" vertical="center" wrapText="1"/>
    </xf>
    <xf numFmtId="0" fontId="48" fillId="37" borderId="2" xfId="0" applyFont="1" applyFill="1" applyBorder="1" applyAlignment="1">
      <alignment horizontal="left" vertical="center"/>
    </xf>
    <xf numFmtId="0" fontId="48" fillId="37" borderId="3" xfId="0" applyFont="1" applyFill="1" applyBorder="1" applyAlignment="1">
      <alignment horizontal="left" vertical="center"/>
    </xf>
    <xf numFmtId="0" fontId="15" fillId="3" borderId="2" xfId="0" applyFont="1" applyFill="1" applyBorder="1" applyAlignment="1">
      <alignment horizontal="left" vertical="center" wrapText="1"/>
    </xf>
    <xf numFmtId="0" fontId="15" fillId="3" borderId="3"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39" fillId="3" borderId="1" xfId="0" applyFont="1" applyFill="1" applyBorder="1" applyAlignment="1">
      <alignment horizontal="left" vertical="center" wrapText="1"/>
    </xf>
    <xf numFmtId="0" fontId="50" fillId="38" borderId="1" xfId="0" applyFont="1" applyFill="1" applyBorder="1" applyAlignment="1">
      <alignment horizontal="left" vertical="center" wrapText="1"/>
    </xf>
    <xf numFmtId="0" fontId="45" fillId="37" borderId="33" xfId="0" applyFont="1" applyFill="1" applyBorder="1" applyAlignment="1">
      <alignment horizontal="center" vertical="center" wrapText="1"/>
    </xf>
    <xf numFmtId="0" fontId="45" fillId="37" borderId="34" xfId="0" applyFont="1" applyFill="1" applyBorder="1" applyAlignment="1">
      <alignment horizontal="center" vertical="center" wrapText="1"/>
    </xf>
    <xf numFmtId="0" fontId="45" fillId="37" borderId="20" xfId="0" applyFont="1" applyFill="1" applyBorder="1" applyAlignment="1">
      <alignment horizontal="center" vertical="center" wrapText="1"/>
    </xf>
    <xf numFmtId="0" fontId="45" fillId="37" borderId="7" xfId="0" applyFont="1" applyFill="1" applyBorder="1" applyAlignment="1">
      <alignment horizontal="center" vertical="center" wrapText="1"/>
    </xf>
    <xf numFmtId="0" fontId="45" fillId="37" borderId="31" xfId="0" applyFont="1" applyFill="1" applyBorder="1" applyAlignment="1">
      <alignment horizontal="center" vertical="center" wrapText="1"/>
    </xf>
    <xf numFmtId="0" fontId="45" fillId="37" borderId="32" xfId="0" applyFont="1" applyFill="1" applyBorder="1" applyAlignment="1">
      <alignment horizontal="center" vertical="center" wrapText="1"/>
    </xf>
    <xf numFmtId="0" fontId="45" fillId="37" borderId="28" xfId="0" applyFont="1" applyFill="1" applyBorder="1" applyAlignment="1">
      <alignment horizontal="center" vertical="center" wrapText="1"/>
    </xf>
    <xf numFmtId="0" fontId="45" fillId="37" borderId="29" xfId="0" applyFont="1" applyFill="1" applyBorder="1" applyAlignment="1">
      <alignment horizontal="center" vertical="center" wrapText="1"/>
    </xf>
    <xf numFmtId="0" fontId="45" fillId="37" borderId="25" xfId="0" applyFont="1" applyFill="1" applyBorder="1" applyAlignment="1">
      <alignment horizontal="center" vertical="center" wrapText="1"/>
    </xf>
    <xf numFmtId="0" fontId="45" fillId="37" borderId="26" xfId="0" applyFont="1" applyFill="1" applyBorder="1" applyAlignment="1">
      <alignment horizontal="center" vertical="center" wrapText="1"/>
    </xf>
    <xf numFmtId="0" fontId="45" fillId="37" borderId="21" xfId="0" applyFont="1" applyFill="1" applyBorder="1" applyAlignment="1">
      <alignment horizontal="center" vertical="center" wrapText="1"/>
    </xf>
    <xf numFmtId="0" fontId="45" fillId="37" borderId="22" xfId="0" applyFont="1" applyFill="1" applyBorder="1" applyAlignment="1">
      <alignment horizontal="center" vertical="center" wrapText="1"/>
    </xf>
    <xf numFmtId="0" fontId="45" fillId="37" borderId="23" xfId="0" applyFont="1" applyFill="1" applyBorder="1" applyAlignment="1">
      <alignment horizontal="center" vertical="center" wrapText="1"/>
    </xf>
    <xf numFmtId="0" fontId="45" fillId="37" borderId="24" xfId="0" applyFont="1" applyFill="1" applyBorder="1" applyAlignment="1">
      <alignment horizontal="center" vertical="center" wrapText="1"/>
    </xf>
    <xf numFmtId="166" fontId="34" fillId="0" borderId="49" xfId="0" applyNumberFormat="1" applyFont="1" applyFill="1" applyBorder="1" applyAlignment="1">
      <alignment horizontal="center" vertical="center" wrapText="1"/>
    </xf>
    <xf numFmtId="166" fontId="34" fillId="0" borderId="52" xfId="0" applyNumberFormat="1" applyFont="1" applyFill="1" applyBorder="1" applyAlignment="1">
      <alignment horizontal="center" vertical="center" wrapText="1"/>
    </xf>
    <xf numFmtId="0" fontId="42" fillId="0" borderId="1" xfId="0" applyFont="1" applyFill="1" applyBorder="1" applyAlignment="1">
      <alignment horizontal="left" vertical="center"/>
    </xf>
    <xf numFmtId="0" fontId="42" fillId="0" borderId="5" xfId="0" applyFont="1" applyFill="1" applyBorder="1" applyAlignment="1">
      <alignment horizontal="left" vertical="center"/>
    </xf>
    <xf numFmtId="0" fontId="11" fillId="0" borderId="44" xfId="0" applyFont="1" applyBorder="1" applyAlignment="1">
      <alignment horizontal="center"/>
    </xf>
    <xf numFmtId="0" fontId="11" fillId="0" borderId="45" xfId="0" applyFont="1" applyBorder="1" applyAlignment="1">
      <alignment horizontal="center"/>
    </xf>
    <xf numFmtId="166" fontId="34" fillId="0" borderId="48" xfId="0" applyNumberFormat="1" applyFont="1" applyFill="1" applyBorder="1" applyAlignment="1">
      <alignment horizontal="center" vertical="center" wrapText="1"/>
    </xf>
    <xf numFmtId="166" fontId="34" fillId="0" borderId="51" xfId="0" applyNumberFormat="1" applyFont="1" applyFill="1" applyBorder="1" applyAlignment="1">
      <alignment horizontal="center" vertical="center" wrapText="1"/>
    </xf>
    <xf numFmtId="0" fontId="42" fillId="0" borderId="6" xfId="0" applyFont="1" applyFill="1" applyBorder="1" applyAlignment="1">
      <alignment horizontal="left" vertical="center"/>
    </xf>
    <xf numFmtId="0" fontId="34" fillId="0" borderId="48" xfId="0" applyFont="1" applyFill="1" applyBorder="1" applyAlignment="1">
      <alignment horizontal="center" vertical="center" wrapText="1"/>
    </xf>
    <xf numFmtId="0" fontId="34" fillId="0" borderId="51" xfId="0" applyFont="1" applyFill="1" applyBorder="1" applyAlignment="1">
      <alignment horizontal="center" vertical="center" wrapText="1"/>
    </xf>
    <xf numFmtId="0" fontId="36" fillId="0" borderId="1" xfId="0" applyFont="1" applyFill="1" applyBorder="1" applyAlignment="1">
      <alignment horizontal="left" vertical="center"/>
    </xf>
    <xf numFmtId="0" fontId="34" fillId="0" borderId="47" xfId="0" applyFont="1" applyFill="1" applyBorder="1" applyAlignment="1">
      <alignment horizontal="center" vertical="center" wrapText="1"/>
    </xf>
    <xf numFmtId="0" fontId="34" fillId="0" borderId="50" xfId="0" applyFont="1" applyFill="1" applyBorder="1" applyAlignment="1">
      <alignment horizontal="center" vertical="center" wrapText="1"/>
    </xf>
    <xf numFmtId="167" fontId="0" fillId="0" borderId="0" xfId="0" applyNumberFormat="1"/>
    <xf numFmtId="4" fontId="0" fillId="0" borderId="0" xfId="0" applyNumberFormat="1"/>
    <xf numFmtId="166" fontId="45" fillId="37" borderId="5" xfId="0" applyNumberFormat="1" applyFont="1" applyFill="1" applyBorder="1" applyAlignment="1">
      <alignment horizontal="center" vertical="center" wrapText="1"/>
    </xf>
    <xf numFmtId="166" fontId="45" fillId="37" borderId="6" xfId="0" applyNumberFormat="1" applyFont="1" applyFill="1" applyBorder="1" applyAlignment="1">
      <alignment horizontal="center" vertical="center" wrapText="1"/>
    </xf>
    <xf numFmtId="49" fontId="37" fillId="4" borderId="1" xfId="3" applyNumberFormat="1" applyFont="1" applyFill="1" applyBorder="1" applyAlignment="1">
      <alignment horizontal="right" vertical="center" wrapText="1"/>
    </xf>
    <xf numFmtId="49" fontId="37" fillId="3" borderId="1" xfId="3" applyNumberFormat="1" applyFont="1" applyFill="1" applyBorder="1" applyAlignment="1">
      <alignment vertical="center" wrapText="1"/>
    </xf>
    <xf numFmtId="49" fontId="14" fillId="38" borderId="1" xfId="3" applyNumberFormat="1" applyFont="1" applyFill="1" applyBorder="1" applyAlignment="1">
      <alignment vertical="center" wrapText="1"/>
    </xf>
    <xf numFmtId="49" fontId="0" fillId="0" borderId="1" xfId="3" applyNumberFormat="1" applyFont="1" applyFill="1" applyBorder="1" applyAlignment="1">
      <alignment horizontal="right" vertical="center" wrapText="1"/>
    </xf>
    <xf numFmtId="49" fontId="6" fillId="0" borderId="1" xfId="3" applyNumberFormat="1" applyFont="1" applyFill="1" applyBorder="1" applyAlignment="1">
      <alignment horizontal="right" vertical="center" wrapText="1"/>
    </xf>
    <xf numFmtId="49" fontId="0" fillId="0" borderId="0" xfId="0" applyNumberFormat="1" applyAlignment="1">
      <alignment wrapText="1"/>
    </xf>
    <xf numFmtId="49" fontId="16" fillId="3" borderId="1" xfId="3" applyNumberFormat="1" applyFont="1" applyFill="1" applyBorder="1" applyAlignment="1">
      <alignment vertical="center" wrapText="1"/>
    </xf>
    <xf numFmtId="49" fontId="11" fillId="0" borderId="1" xfId="3" applyNumberFormat="1" applyFont="1" applyFill="1" applyBorder="1" applyAlignment="1">
      <alignment vertical="center" wrapText="1"/>
    </xf>
    <xf numFmtId="49" fontId="0" fillId="0" borderId="1" xfId="3" applyNumberFormat="1" applyFont="1" applyFill="1" applyBorder="1" applyAlignment="1">
      <alignment vertical="center" wrapText="1"/>
    </xf>
    <xf numFmtId="4" fontId="37" fillId="4" borderId="1" xfId="3" applyNumberFormat="1" applyFont="1" applyFill="1" applyBorder="1" applyAlignment="1">
      <alignment horizontal="right" vertical="center" wrapText="1"/>
    </xf>
    <xf numFmtId="4" fontId="37" fillId="3" borderId="1" xfId="3" applyNumberFormat="1" applyFont="1" applyFill="1" applyBorder="1" applyAlignment="1">
      <alignment vertical="center" wrapText="1"/>
    </xf>
    <xf numFmtId="4" fontId="14" fillId="38" borderId="1" xfId="3" applyNumberFormat="1" applyFont="1" applyFill="1" applyBorder="1" applyAlignment="1">
      <alignment vertical="center" wrapText="1"/>
    </xf>
    <xf numFmtId="4" fontId="0" fillId="0" borderId="1" xfId="3" applyNumberFormat="1" applyFont="1" applyFill="1" applyBorder="1" applyAlignment="1">
      <alignment horizontal="right" vertical="center" wrapText="1"/>
    </xf>
    <xf numFmtId="4" fontId="6" fillId="0" borderId="1" xfId="3" applyNumberFormat="1" applyFont="1" applyFill="1" applyBorder="1" applyAlignment="1">
      <alignment horizontal="right" vertical="center" wrapText="1"/>
    </xf>
    <xf numFmtId="4" fontId="0" fillId="0" borderId="0" xfId="0" applyNumberFormat="1" applyAlignment="1">
      <alignment wrapText="1"/>
    </xf>
    <xf numFmtId="4" fontId="16" fillId="3" borderId="1" xfId="3" applyNumberFormat="1" applyFont="1" applyFill="1" applyBorder="1" applyAlignment="1">
      <alignment vertical="center" wrapText="1"/>
    </xf>
    <xf numFmtId="4" fontId="11" fillId="0" borderId="1" xfId="3" applyNumberFormat="1" applyFont="1" applyFill="1" applyBorder="1" applyAlignment="1">
      <alignment vertical="center" wrapText="1"/>
    </xf>
    <xf numFmtId="4" fontId="0" fillId="0" borderId="1" xfId="3" applyNumberFormat="1" applyFont="1" applyFill="1" applyBorder="1" applyAlignment="1">
      <alignment vertical="center" wrapText="1"/>
    </xf>
    <xf numFmtId="4" fontId="49" fillId="37" borderId="43" xfId="3" applyNumberFormat="1" applyFont="1" applyFill="1" applyBorder="1" applyAlignment="1">
      <alignment vertical="center"/>
    </xf>
    <xf numFmtId="49" fontId="49" fillId="37" borderId="43" xfId="3" applyNumberFormat="1" applyFont="1" applyFill="1" applyBorder="1" applyAlignment="1">
      <alignment vertical="center" wrapText="1"/>
    </xf>
    <xf numFmtId="0" fontId="40" fillId="0" borderId="7" xfId="0" applyFont="1" applyBorder="1" applyAlignment="1">
      <alignment horizontal="center" wrapText="1"/>
    </xf>
    <xf numFmtId="166" fontId="34" fillId="2" borderId="5" xfId="0" applyNumberFormat="1" applyFont="1" applyFill="1" applyBorder="1" applyAlignment="1">
      <alignment horizontal="center" vertical="center" wrapText="1"/>
    </xf>
    <xf numFmtId="166" fontId="34" fillId="2" borderId="6" xfId="0" applyNumberFormat="1" applyFont="1" applyFill="1" applyBorder="1" applyAlignment="1">
      <alignment horizontal="center" vertical="center" wrapText="1"/>
    </xf>
    <xf numFmtId="49" fontId="6" fillId="0" borderId="1" xfId="3" applyNumberFormat="1" applyFont="1" applyFill="1" applyBorder="1" applyAlignment="1">
      <alignment vertical="center" wrapText="1"/>
    </xf>
    <xf numFmtId="49" fontId="14" fillId="0" borderId="1" xfId="3" applyNumberFormat="1" applyFont="1" applyFill="1" applyBorder="1" applyAlignment="1">
      <alignment vertical="center" wrapText="1"/>
    </xf>
    <xf numFmtId="4" fontId="6" fillId="0" borderId="1" xfId="3" applyNumberFormat="1" applyFont="1" applyFill="1" applyBorder="1" applyAlignment="1">
      <alignment vertical="center" wrapText="1"/>
    </xf>
    <xf numFmtId="4" fontId="14" fillId="0" borderId="1" xfId="3" applyNumberFormat="1" applyFont="1" applyFill="1" applyBorder="1" applyAlignment="1">
      <alignment vertical="center" wrapText="1"/>
    </xf>
    <xf numFmtId="4" fontId="37" fillId="3" borderId="1" xfId="3" applyNumberFormat="1" applyFont="1" applyFill="1" applyBorder="1" applyAlignment="1">
      <alignment vertical="center"/>
    </xf>
    <xf numFmtId="4" fontId="6" fillId="0" borderId="1" xfId="3" applyNumberFormat="1" applyFont="1" applyFill="1" applyBorder="1" applyAlignment="1">
      <alignment vertical="center"/>
    </xf>
    <xf numFmtId="4" fontId="0" fillId="0" borderId="1" xfId="3" applyNumberFormat="1" applyFont="1" applyFill="1" applyBorder="1" applyAlignment="1">
      <alignment vertical="center"/>
    </xf>
    <xf numFmtId="4" fontId="46" fillId="37" borderId="1" xfId="3" applyNumberFormat="1" applyFont="1" applyFill="1" applyBorder="1" applyAlignment="1">
      <alignment vertical="center"/>
    </xf>
    <xf numFmtId="49" fontId="46" fillId="37" borderId="1" xfId="3" applyNumberFormat="1" applyFont="1" applyFill="1" applyBorder="1" applyAlignment="1">
      <alignment vertical="center" wrapText="1"/>
    </xf>
    <xf numFmtId="4" fontId="46" fillId="37" borderId="38" xfId="3" applyNumberFormat="1" applyFont="1" applyFill="1" applyBorder="1" applyAlignment="1">
      <alignment vertical="center"/>
    </xf>
    <xf numFmtId="4" fontId="49" fillId="37" borderId="38" xfId="3" applyNumberFormat="1" applyFont="1" applyFill="1" applyBorder="1" applyAlignment="1">
      <alignment vertical="center"/>
    </xf>
    <xf numFmtId="4" fontId="0" fillId="0" borderId="4" xfId="3" applyNumberFormat="1" applyFont="1" applyFill="1" applyBorder="1" applyAlignment="1">
      <alignment vertical="center" wrapText="1"/>
    </xf>
    <xf numFmtId="4" fontId="49" fillId="37" borderId="4" xfId="3" applyNumberFormat="1" applyFont="1" applyFill="1" applyBorder="1" applyAlignment="1">
      <alignment vertical="center"/>
    </xf>
    <xf numFmtId="0" fontId="37" fillId="3" borderId="1" xfId="3" applyNumberFormat="1" applyFont="1" applyFill="1" applyBorder="1" applyAlignment="1">
      <alignment vertical="center" wrapText="1"/>
    </xf>
    <xf numFmtId="0" fontId="14" fillId="38" borderId="1" xfId="3" applyNumberFormat="1" applyFont="1" applyFill="1" applyBorder="1" applyAlignment="1">
      <alignment vertical="center" wrapText="1"/>
    </xf>
    <xf numFmtId="0" fontId="0" fillId="0" borderId="1" xfId="3" applyNumberFormat="1" applyFont="1" applyFill="1" applyBorder="1" applyAlignment="1">
      <alignment vertical="center" wrapText="1"/>
    </xf>
    <xf numFmtId="0" fontId="0" fillId="0" borderId="1" xfId="3" applyNumberFormat="1" applyFont="1" applyFill="1" applyBorder="1" applyAlignment="1">
      <alignment horizontal="right" vertical="center" wrapText="1"/>
    </xf>
    <xf numFmtId="0" fontId="46" fillId="37" borderId="38" xfId="3" applyNumberFormat="1" applyFont="1" applyFill="1" applyBorder="1" applyAlignment="1">
      <alignment vertical="center" wrapText="1"/>
    </xf>
    <xf numFmtId="0" fontId="49" fillId="37" borderId="38" xfId="3" applyNumberFormat="1" applyFont="1" applyFill="1" applyBorder="1" applyAlignment="1">
      <alignment vertical="center" wrapText="1"/>
    </xf>
    <xf numFmtId="0" fontId="16" fillId="3" borderId="1" xfId="3" applyNumberFormat="1" applyFont="1" applyFill="1" applyBorder="1" applyAlignment="1">
      <alignment vertical="center" wrapText="1"/>
    </xf>
    <xf numFmtId="0" fontId="6" fillId="0" borderId="1" xfId="3" applyNumberFormat="1" applyFont="1" applyFill="1" applyBorder="1" applyAlignment="1">
      <alignment vertical="center" wrapText="1"/>
    </xf>
    <xf numFmtId="0" fontId="14" fillId="0" borderId="1" xfId="3" applyNumberFormat="1" applyFont="1" applyFill="1" applyBorder="1" applyAlignment="1">
      <alignment vertical="center" wrapText="1"/>
    </xf>
    <xf numFmtId="0" fontId="0" fillId="0" borderId="4" xfId="3" applyNumberFormat="1" applyFont="1" applyFill="1" applyBorder="1" applyAlignment="1">
      <alignment vertical="center" wrapText="1"/>
    </xf>
    <xf numFmtId="0" fontId="49" fillId="37" borderId="4" xfId="3" applyNumberFormat="1" applyFont="1" applyFill="1" applyBorder="1" applyAlignment="1">
      <alignment vertical="center" wrapText="1"/>
    </xf>
    <xf numFmtId="0" fontId="0" fillId="0" borderId="0" xfId="0"/>
    <xf numFmtId="0" fontId="0" fillId="0" borderId="0" xfId="0" applyAlignment="1">
      <alignment wrapText="1"/>
    </xf>
    <xf numFmtId="0" fontId="11" fillId="0" borderId="0" xfId="0" applyFont="1" applyBorder="1" applyAlignment="1">
      <alignment horizontal="left" wrapText="1"/>
    </xf>
  </cellXfs>
  <cellStyles count="52">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Bueno" xfId="11" builtinId="26" customBuiltin="1"/>
    <cellStyle name="Cálculo" xfId="16" builtinId="22" customBuiltin="1"/>
    <cellStyle name="Celda de comprobación" xfId="18" builtinId="23" customBuiltin="1"/>
    <cellStyle name="Celda vinculada" xfId="17" builtinId="24" customBuiltin="1"/>
    <cellStyle name="Encabezado 1" xfId="7" builtinId="16" customBuiltin="1"/>
    <cellStyle name="Encabezado 4" xfId="10"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4" builtinId="20" customBuiltin="1"/>
    <cellStyle name="Incorrecto" xfId="12" builtinId="27" customBuiltin="1"/>
    <cellStyle name="Millares 2" xfId="49" xr:uid="{00000000-0005-0000-0000-000020000000}"/>
    <cellStyle name="Neutral" xfId="13" builtinId="28" customBuiltin="1"/>
    <cellStyle name="Normal" xfId="0" builtinId="0"/>
    <cellStyle name="Normal 2" xfId="1" xr:uid="{00000000-0005-0000-0000-000023000000}"/>
    <cellStyle name="Normal 3" xfId="2" xr:uid="{00000000-0005-0000-0000-000024000000}"/>
    <cellStyle name="Normal 4" xfId="4" xr:uid="{00000000-0005-0000-0000-000025000000}"/>
    <cellStyle name="Normal 4 2" xfId="50" xr:uid="{00000000-0005-0000-0000-000026000000}"/>
    <cellStyle name="Normal 5" xfId="46" xr:uid="{00000000-0005-0000-0000-000027000000}"/>
    <cellStyle name="Normal 6" xfId="48" xr:uid="{00000000-0005-0000-0000-000028000000}"/>
    <cellStyle name="Normal 7" xfId="51" xr:uid="{00000000-0005-0000-0000-000029000000}"/>
    <cellStyle name="Notas 2" xfId="47" xr:uid="{00000000-0005-0000-0000-00002A000000}"/>
    <cellStyle name="Porcentaje" xfId="3" builtinId="5"/>
    <cellStyle name="Porcentaje 2" xfId="5" xr:uid="{00000000-0005-0000-0000-00002C000000}"/>
    <cellStyle name="Salida" xfId="15" builtinId="21" customBuiltin="1"/>
    <cellStyle name="Texto de advertencia" xfId="19" builtinId="11" customBuiltin="1"/>
    <cellStyle name="Texto explicativo" xfId="20" builtinId="53" customBuiltin="1"/>
    <cellStyle name="Título" xfId="6" builtinId="15" customBuiltin="1"/>
    <cellStyle name="Título 2" xfId="8" builtinId="17" customBuiltin="1"/>
    <cellStyle name="Título 3" xfId="9" builtinId="18" customBuiltin="1"/>
    <cellStyle name="Total" xfId="21" builtinId="25" customBuiltin="1"/>
  </cellStyles>
  <dxfs count="14">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408213</xdr:colOff>
      <xdr:row>314</xdr:row>
      <xdr:rowOff>0</xdr:rowOff>
    </xdr:from>
    <xdr:ext cx="7701643" cy="4004833"/>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grayscl/>
          <a:alphaModFix/>
        </a:blip>
        <a:srcRect/>
        <a:stretch>
          <a:fillRect/>
        </a:stretch>
      </xdr:blipFill>
      <xdr:spPr bwMode="auto">
        <a:xfrm>
          <a:off x="1932213" y="49387121"/>
          <a:ext cx="7701643" cy="400483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adjustColumnWidth="0" connectionId="1" xr16:uid="{B4CE87C3-4EFB-44DA-AEFA-7E442AFB2FC5}" autoFormatId="16" applyNumberFormats="0" applyBorderFormats="0" applyFontFormats="1" applyPatternFormats="1" applyAlignmentFormats="0" applyWidthHeightFormats="0">
  <queryTableRefresh nextId="7">
    <queryTableFields count="6">
      <queryTableField id="1" name="Clave" tableColumnId="7"/>
      <queryTableField id="2" name="CUI" tableColumnId="8"/>
      <queryTableField id="3" name="Meta" tableColumnId="9"/>
      <queryTableField id="4" name="PIM" tableColumnId="10"/>
      <queryTableField id="5" name="Certificacion" tableColumnId="11"/>
      <queryTableField id="6" name="Devengado"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backgroundRefresh="0" adjustColumnWidth="0" connectionId="2" xr16:uid="{1F298911-848A-42D9-86B9-C476784D6383}" autoFormatId="16" applyNumberFormats="0" applyBorderFormats="0" applyFontFormats="1" applyPatternFormats="1" applyAlignmentFormats="0" applyWidthHeightFormats="0">
  <queryTableRefresh nextId="7">
    <queryTableFields count="6">
      <queryTableField id="1" name="CUI" tableColumnId="7"/>
      <queryTableField id="2" name="Proyecto" tableColumnId="8"/>
      <queryTableField id="3" name="PMI2026" tableColumnId="9"/>
      <queryTableField id="4" name="PMI2027" tableColumnId="10"/>
      <queryTableField id="5" name="PMI2028" tableColumnId="11"/>
      <queryTableField id="6" name="PMI2029" tableColumnId="1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72295-3B01-4A10-AB00-F5AE63111EA4}" name="tRutaSIAF" displayName="tRutaSIAF" ref="A1:B3" totalsRowShown="0">
  <autoFilter ref="A1:B3" xr:uid="{14E72295-3B01-4A10-AB00-F5AE63111EA4}"/>
  <tableColumns count="2">
    <tableColumn id="1" xr3:uid="{B89776AC-6968-46BE-8495-8176134FCD23}" name="Archivo"/>
    <tableColumn id="2" xr3:uid="{82C8B3D7-82F9-4B16-A5A1-2A0865C76F5F}" name="Us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09ABC3-39D0-4AF1-96A6-80BC8A6F75AA}" name="tSIAF" displayName="tSIAF" ref="A6:F442" tableType="queryTable" totalsRowShown="0" dataDxfId="13">
  <autoFilter ref="A6:F442" xr:uid="{3F09ABC3-39D0-4AF1-96A6-80BC8A6F75AA}"/>
  <tableColumns count="6">
    <tableColumn id="7" xr3:uid="{095FA5A3-A483-4A05-BB56-3B815BF5B8B3}" uniqueName="7" name="Clave" queryTableFieldId="1" dataDxfId="11"/>
    <tableColumn id="8" xr3:uid="{FC1E5B74-CB97-4636-B9DA-5B31E963445B}" uniqueName="8" name="CUI" queryTableFieldId="2" dataDxfId="10"/>
    <tableColumn id="9" xr3:uid="{1D20B1D0-4DF2-4E24-9F62-6DB4ACED5BBD}" uniqueName="9" name="Meta" queryTableFieldId="3" dataDxfId="9"/>
    <tableColumn id="10" xr3:uid="{3D9DCB89-79FF-441E-B4C7-29B4DFA730A0}" uniqueName="10" name="PIM" queryTableFieldId="4" dataDxfId="8"/>
    <tableColumn id="11" xr3:uid="{0971150E-D9FD-45A3-BCE1-5B0231522AE7}" uniqueName="11" name="Certificacion" queryTableFieldId="5" dataDxfId="7"/>
    <tableColumn id="12" xr3:uid="{786FE4DF-9041-4AB9-90E8-247DAA1C92CA}" uniqueName="12" name="Devengado" queryTableFieldId="6" dataDxfId="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A7467C-FCB9-4AE1-9BBB-DF53BC289632}" name="tRutaPMI" displayName="tRutaPMI" ref="A1:B3" totalsRowShown="0">
  <autoFilter ref="A1:B3" xr:uid="{5DA7467C-FCB9-4AE1-9BBB-DF53BC289632}"/>
  <tableColumns count="2">
    <tableColumn id="1" xr3:uid="{73D27EF6-97EF-4842-9816-BC67679E4D2D}" name="Archivo"/>
    <tableColumn id="2" xr3:uid="{21A47E8D-99B0-4ACD-8A85-212003F55531}" name="Us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E62A37-38D4-4504-9AA0-F9B3AA452A5C}" name="tCartera" displayName="tCartera" ref="A6:F287" tableType="queryTable" totalsRowShown="0" dataDxfId="12">
  <autoFilter ref="A6:F287" xr:uid="{A3E62A37-38D4-4504-9AA0-F9B3AA452A5C}"/>
  <tableColumns count="6">
    <tableColumn id="7" xr3:uid="{B3711189-A7D3-4DF3-B2BF-40848C13518A}" uniqueName="7" name="CUI" queryTableFieldId="1" dataDxfId="5"/>
    <tableColumn id="8" xr3:uid="{9918EBB8-6483-4F66-87A7-FAB18E54064E}" uniqueName="8" name="Proyecto" queryTableFieldId="2" dataDxfId="4"/>
    <tableColumn id="9" xr3:uid="{84CE5665-B02F-4AF8-BC65-BB9FCBB3B217}" uniqueName="9" name="PMI2026" queryTableFieldId="3" dataDxfId="3"/>
    <tableColumn id="10" xr3:uid="{DBDF7CBB-0EA3-4688-94ED-65B676E3D7DD}" uniqueName="10" name="PMI2027" queryTableFieldId="4" dataDxfId="2"/>
    <tableColumn id="11" xr3:uid="{1577C14F-6841-4102-BDCC-3D4A93D57AFD}" uniqueName="11" name="PMI2028" queryTableFieldId="5" dataDxfId="1"/>
    <tableColumn id="12" xr3:uid="{EC972278-1CAA-40D9-80F7-AB952217A5D5}" uniqueName="12" name="PMI2029" queryTableFieldId="6"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pageSetUpPr fitToPage="1"/>
  </sheetPr>
  <dimension ref="A1:O905"/>
  <sheetViews>
    <sheetView tabSelected="1" zoomScale="85" zoomScaleNormal="85" workbookViewId="0">
      <pane ySplit="4" topLeftCell="A5" activePane="bottomLeft" state="frozen"/>
      <selection activeCell="D356" sqref="D356"/>
      <selection pane="bottomLeft"/>
    </sheetView>
  </sheetViews>
  <sheetFormatPr baseColWidth="10" defaultColWidth="10.85546875" defaultRowHeight="12.75" x14ac:dyDescent="0.2"/>
  <cols>
    <col min="1" max="1" width="4.5703125" style="11" customWidth="1"/>
    <col min="2" max="2" width="5.85546875" style="11" customWidth="1"/>
    <col min="3" max="3" width="47.140625" style="11" customWidth="1"/>
    <col min="4" max="4" width="16.85546875" style="11" customWidth="1"/>
    <col min="5" max="5" width="17.28515625" style="11" customWidth="1"/>
    <col min="6" max="6" width="16.85546875" style="11" customWidth="1"/>
    <col min="7" max="7" width="16.28515625" style="11" customWidth="1"/>
    <col min="8" max="8" width="16.85546875" style="11" customWidth="1"/>
    <col min="9" max="9" width="10.85546875" style="17" customWidth="1"/>
    <col min="10" max="10" width="32.7109375" style="11" customWidth="1"/>
    <col min="11" max="11" width="29.7109375" style="11" customWidth="1"/>
    <col min="12" max="15" width="20.7109375" style="11" customWidth="1"/>
    <col min="16" max="16384" width="10.85546875" style="11"/>
  </cols>
  <sheetData>
    <row r="1" spans="1:15" ht="14.25" customHeight="1" x14ac:dyDescent="0.2">
      <c r="A1" s="10"/>
      <c r="B1" s="43"/>
      <c r="C1" s="141" t="s">
        <v>11</v>
      </c>
      <c r="D1" s="141"/>
      <c r="E1" s="141"/>
      <c r="F1" s="141"/>
      <c r="G1" s="141"/>
      <c r="H1" s="141"/>
      <c r="I1" s="141"/>
    </row>
    <row r="2" spans="1:15" ht="42" customHeight="1" x14ac:dyDescent="0.25">
      <c r="A2" s="239" t="str">
        <f>"COMPORTAMIENTO DE EJECUCIÓN DE PROYECTOS DE INVERSIÓN PÚBLICA 2026 - U.E. 001 SEDE CENTRAL AL "&amp;TEXT(SIAF!B3,"dd/mm/yyyy")</f>
        <v>COMPORTAMIENTO DE EJECUCIÓN DE PROYECTOS DE INVERSIÓN PÚBLICA 2026 - U.E. 001 SEDE CENTRAL AL 06/10/2026</v>
      </c>
      <c r="B2" s="239"/>
      <c r="C2" s="239"/>
      <c r="D2" s="239"/>
      <c r="E2" s="239"/>
      <c r="F2" s="239"/>
      <c r="G2" s="239"/>
      <c r="H2" s="239"/>
      <c r="I2" s="239"/>
      <c r="J2" s="239"/>
      <c r="K2" s="239"/>
      <c r="L2" s="239"/>
      <c r="M2" s="239"/>
      <c r="N2" s="239"/>
      <c r="O2" s="239"/>
    </row>
    <row r="3" spans="1:15" ht="12.75" customHeight="1" x14ac:dyDescent="0.2">
      <c r="A3" s="139" t="s">
        <v>3</v>
      </c>
      <c r="B3" s="140" t="s">
        <v>298</v>
      </c>
      <c r="C3" s="140" t="s">
        <v>0</v>
      </c>
      <c r="D3" s="140" t="s">
        <v>639</v>
      </c>
      <c r="E3" s="140" t="s">
        <v>693</v>
      </c>
      <c r="F3" s="140" t="s">
        <v>640</v>
      </c>
      <c r="G3" s="140" t="s">
        <v>641</v>
      </c>
      <c r="H3" s="140" t="s">
        <v>642</v>
      </c>
      <c r="I3" s="143" t="s">
        <v>107</v>
      </c>
      <c r="J3" s="217" t="s">
        <v>2293</v>
      </c>
      <c r="K3" s="217" t="s">
        <v>2294</v>
      </c>
      <c r="L3" s="217" t="s">
        <v>2295</v>
      </c>
      <c r="M3" s="217" t="s">
        <v>2296</v>
      </c>
      <c r="N3" s="217" t="s">
        <v>2297</v>
      </c>
      <c r="O3" s="217" t="s">
        <v>2298</v>
      </c>
    </row>
    <row r="4" spans="1:15" ht="37.5" customHeight="1" x14ac:dyDescent="0.2">
      <c r="A4" s="139"/>
      <c r="B4" s="140"/>
      <c r="C4" s="140"/>
      <c r="D4" s="140"/>
      <c r="E4" s="140"/>
      <c r="F4" s="140"/>
      <c r="G4" s="140"/>
      <c r="H4" s="140"/>
      <c r="I4" s="143"/>
      <c r="J4" s="218"/>
      <c r="K4" s="218"/>
      <c r="L4" s="218"/>
      <c r="M4" s="218"/>
      <c r="N4" s="218"/>
      <c r="O4" s="218"/>
    </row>
    <row r="5" spans="1:15" ht="16.5" x14ac:dyDescent="0.2">
      <c r="A5" s="145" t="s">
        <v>89</v>
      </c>
      <c r="B5" s="145"/>
      <c r="C5" s="145"/>
      <c r="D5" s="44">
        <f>'Gerencias y Oficinas'!D314</f>
        <v>905026984</v>
      </c>
      <c r="E5" s="44">
        <f>'Gerencias y Oficinas'!E314</f>
        <v>843143127.17999959</v>
      </c>
      <c r="F5" s="44">
        <f>'Gerencias y Oficinas'!F314</f>
        <v>61883856.82000041</v>
      </c>
      <c r="G5" s="44">
        <f>'Gerencias y Oficinas'!G314</f>
        <v>433575772.65000033</v>
      </c>
      <c r="H5" s="44">
        <f>'Gerencias y Oficinas'!H314</f>
        <v>471451211.34999967</v>
      </c>
      <c r="I5" s="45">
        <f>'Gerencias y Oficinas'!I314</f>
        <v>0.47907496717247089</v>
      </c>
      <c r="J5" s="45"/>
      <c r="K5" s="45"/>
      <c r="L5" s="45"/>
      <c r="M5" s="45"/>
      <c r="N5" s="45"/>
      <c r="O5" s="45"/>
    </row>
    <row r="6" spans="1:15" ht="16.5" x14ac:dyDescent="0.2">
      <c r="A6" s="146" t="s">
        <v>104</v>
      </c>
      <c r="B6" s="146"/>
      <c r="C6" s="146"/>
      <c r="D6" s="46">
        <f>D10+D11+D13+D14+D15+D16+D17+D18+D19+D20+D21+D22+D23+D24+D25+D26+D27+D28+D29+D30+D31+D32+D33+D34+D35+D37+D38+D39+D41+D42+D43+D44+D45+D46+D47+D48+D49+D50+D51+D52+D53+D54+D55+D56+D57+D58+D59+D60+D61+D62+D63+D64+D66+D67+D68+D69+D70+D71+D72+D73+D74+D76+D79+D130+D131+D132+D133+D134+D135+D137+D138+D139+D140+D141+D142+D143+D144+D145+D146+D147+D148+D149+D150+D151+D152+D153+D154+D155+D156+D158+D159+D160+D161+D162+D163+D164+D165+D166+D167+D169+D170+D171+D177+D178+D179+D180+D181+D182+D183+D184+D185+D188+D189+D190+D191+D192+D193+D194+D195+D196+D197+D199+D201+D202+D204+D212+D216+D219+D222+D224+D227+D229+D231+D233+D235+D237+D241+D243+D245+D249+D251+D253+D255+D257+D259+D263+D265+D272+D275+D277+D279+D281+D283+D285+D287+D289+D291+D293+D295+D297+D300+D302+D305+D309+D312+D314+D316+D319+D322+D325+D558+D561+D566+D569+D574+D577+D580+D582+D585+D588+D591+D594+D597+D600+D603+D606+D609+D611+D620+D622+D625+D627+D630+D633+D636+D638+D641+D644+D647+D650+D653+D656+D661+D664+D667+D670+D673+D676+D680+D683+D686+D689+D692+D695+D698+D700+D702+D705+D708+D711+D714+D716+D719+D721+D724+D726+D728+D731+D734+D737+D740+D742+D745+D752+D754+D767+D770+D773+D776+D779+D781+D787+D790+D793+D796+D800+D803+D806+D809+D812+D815+D818+D821+D824+D827+D830+D833+D836+D839+D843+D846+D849+D852+D855+D858+D861+D864+D867+D870+D874+D877+D880+D883+D887+D889+D891+D894+D897+D900+D903</f>
        <v>770071302</v>
      </c>
      <c r="E6" s="46">
        <f>E10+E11+E13+E14+E15+E16+E17+E18+E19+E20+E21+E22+E23+E24+E25+E26+E27+E28+E29+E30+E31+E32+E33+E34+E35+E37+E38+E39+E41+E42+E43+E44+E45+E46+E47+E48+E49+E50+E51+E52+E53+E54+E55+E56+E57+E58+E59+E60+E61+E62+E63+E64+E66+E67+E68+E69+E70+E71+E72+E73+E74+E76+E79+E130+E131+E132+E133+E134+E135+E137+E138+E139+E140+E141+E142+E143+E144+E145+E146+E147+E148+E149+E150+E151+E152+E153+E154+E155+E156+E158+E159+E160+E161+E162+E163+E164+E165+E166+E167+E169+E170+E171+E177+E178+E179+E180+E181+E182+E183+E184+E185+E188+E189+E190+E191+E192+E193+E194+E195+E196+E197+E199+E201+E202+E204+E212+E216+E219+E222+E224+E227+E229+E231+E233+E235+E237+E241+E243+E245+E249+E251+E253+E255+E257+E259+E263+E265+E272+E275+E277+E279+E281+E283+E285+E287+E289+E291+E293+E295+E297+E300+E302+E305+E309+E312+E314+E316+E319+E322+E325+E558+E561+E566+E569+E574+E577+E580+E582+E585+E588+E591+E594+E597+E600+E603+E606+E609+E611+E620+E622+E625+E627+E630+E633+E636+E638+E641+E644+E647+E650+E653+E656+E661+E664+E667+E670+E673+E676+E680+E683+E686+E689+E692+E695+E698+E700+E702+E705+E708+E711+E714+E716+E719+E721+E724+E726+E728+E731+E734+E737+E740+E742+E745+E752+E754+E767+E770+E773+E776+E779+E781+E787+E790+E793+E796+E800+E803+E806+E809+E812+E815+E818+E821+E824+E827+E830+E833+E836+E839+E843+E846+E849+E852+E855+E858+E861+E864+E867+E870+E874+E877+E880+E883+E887+E889+E891+E894+E897+E900+E903</f>
        <v>722649554.93999958</v>
      </c>
      <c r="F6" s="46">
        <f>D6-E6</f>
        <v>47421747.06000042</v>
      </c>
      <c r="G6" s="46">
        <f>G10+G11+G13+G14+G15+G16+G17+G18+G19+G20+G21+G22+G23+G24+G25+G26+G27+G28+G29+G30+G31+G32+G33+G34+G35+G37+G38+G39+G41+G42+G43+G44+G45+G46+G47+G48+G49+G50+G51+G52+G53+G54+G55+G56+G57+G58+G59+G60+G61+G62+G63+G64+G66+G67+G68+G69+G70+G71+G72+G73+G74+G76+G79+G130+G131+G132+G133+G134+G135+G137+G138+G139+G140+G141+G142+G143+G144+G145+G146+G147+G148+G149+G150+G151+G152+G153+G154+G155+G156+G158+G159+G160+G161+G162+G163+G164+G165+G166+G167+G169+G170+G171+G177+G178+G179+G180+G181+G182+G183+G184+G185+G188+G189+G190+G191+G192+G193+G194+G195+G196+G197+G199+G201+G202+G204+G212+G216+G219+G222+G224+G227+G229+G231+G233+G235+G237+G241+G243+G245+G249+G251+G253+G255+G257+G259+G263+G265+G272+G275+G277+G279+G281+G283+G285+G287+G289+G291+G293+G295+G297+G300+G302+G305+G309+G312+G314+G316+G319+G322+G325+G558+G561+G566+G569+G574+G577+G580+G582+G585+G588+G591+G594+G597+G600+G603+G606+G609+G611+G620+G622+G625+G627+G630+G633+G636+G638+G641+G644+G647+G650+G653+G656+G661+G664+G667+G670+G673+G676+G680+G683+G686+G689+G692+G695+G698+G700+G702+G705+G708+G711+G714+G716+G719+G721+G724+G726+G728+G731+G734+G737+G740+G742+G745+G752+G754+G767+G770+G773+G776+G779+G781+G787+G790+G793+G796+G800+G803+G806+G809+G812+G815+G818+G821+G824+G827+G830+G833+G836+G839+G843+G846+G849+G852+G855+G858+G861+G864+G867+G870+G874+G877+G880+G883+G887+G889+G891+G894+G897+G900+G903</f>
        <v>381727436.3100003</v>
      </c>
      <c r="H6" s="46">
        <f>D6-G6</f>
        <v>388343865.6899997</v>
      </c>
      <c r="I6" s="47">
        <f>IF(D6=0,0,G6/D6)</f>
        <v>0.49570401509391698</v>
      </c>
      <c r="J6" s="219"/>
      <c r="K6" s="219"/>
      <c r="L6" s="228"/>
      <c r="M6" s="228"/>
      <c r="N6" s="228"/>
      <c r="O6" s="228"/>
    </row>
    <row r="7" spans="1:15" ht="16.5" x14ac:dyDescent="0.2">
      <c r="A7" s="144" t="s">
        <v>4</v>
      </c>
      <c r="B7" s="144"/>
      <c r="C7" s="144"/>
      <c r="D7" s="48">
        <f>D10+D11+D13+D14+D15+D16+D17+D18+D19+D20+D21+D22+D23+D24+D25+D26+D27+D28+D29+D30+D31+D32+D33+D34+D35+D37+D38+D39+D41+D42+D43+D44+D45+D46+D47+D48+D49+D50+D51+D52+D53+D54+D55+D56+D57+D58+D59+D60+D61+D62+D63+D64+D66+D67+D68+D69+D70+D71+D72+D73+D74+D76+D79+D130+D131+D132+D133+D134+D135+D137+D138+D139+D140+D141+D142+D143+D144+D145+D146+D147+D148+D149+D150+D151+D152+D153+D154+D155+D156+D158+D159+D160+D161+D162+D163+D164+D165+D166+D167+D169+D170+D171</f>
        <v>501723065</v>
      </c>
      <c r="E7" s="48">
        <f>E10+E11+E13+E14+E15+E16+E17+E18+E19+E20+E21+E22+E23+E24+E25+E26+E27+E28+E29+E30+E31+E32+E33+E34+E35+E37+E38+E39+E41+E42+E43+E44+E45+E46+E47+E48+E49+E50+E51+E52+E53+E54+E55+E56+E57+E58+E59+E60+E61+E62+E63+E64+E66+E67+E68+E69+E70+E71+E72+E73+E74+E76+E79+E130+E131+E132+E133+E134+E135+E137+E138+E139+E140+E141+E142+E143+E144+E145+E146+E147+E148+E149+E150+E151+E152+E153+E154+E155+E156+E158+E159+E160+E161+E162+E163+E164+E165+E166+E167+E169+E170+E171</f>
        <v>472582959.94999993</v>
      </c>
      <c r="F7" s="48">
        <f>D7-E7</f>
        <v>29140105.050000072</v>
      </c>
      <c r="G7" s="48">
        <f>G10+G11+G13+G14+G15+G16+G17+G18+G19+G20+G21+G22+G23+G24+G25+G26+G27+G28+G29+G30+G31+G32+G33+G34+G35+G37+G38+G39+G41+G42+G43+G44+G45+G46+G47+G48+G49+G50+G51+G52+G53+G54+G55+G56+G57+G58+G59+G60+G61+G62+G63+G64+G66+G67+G68+G69+G70+G71+G72+G73+G74+G76+G79+G130+G131+G132+G133+G134+G135+G137+G138+G139+G140+G141+G142+G143+G144+G145+G146+G147+G148+G149+G150+G151+G152+G153+G154+G155+G156+G158+G159+G160+G161+G162+G163+G164+G165+G166+G167+G169+G170+G171</f>
        <v>259074451.50000003</v>
      </c>
      <c r="H7" s="48">
        <f>D7-G7</f>
        <v>242648613.49999997</v>
      </c>
      <c r="I7" s="49">
        <f>IF(D7=0,0,G7/D7)</f>
        <v>0.51636942682712828</v>
      </c>
      <c r="J7" s="220"/>
      <c r="K7" s="220"/>
      <c r="L7" s="229"/>
      <c r="M7" s="229"/>
      <c r="N7" s="229"/>
      <c r="O7" s="229"/>
    </row>
    <row r="8" spans="1:15" ht="39.75" customHeight="1" x14ac:dyDescent="0.2">
      <c r="A8" s="144" t="s">
        <v>687</v>
      </c>
      <c r="B8" s="144"/>
      <c r="C8" s="144"/>
      <c r="D8" s="48">
        <f>D10+D11+D13+D14+D15+D16+D17+D18+D19+D20+D21+D22+D23+D24+D25+D26+D27+D28+D29+D30+D31+D32+D33+D34+D35+D37+D38+D39+D41+D42+D43+D44+D45+D46+D47+D48+D49+D50+D51+D52+D53+D54+D55+D56+D57+D58+D59+D60+D61+D62+D63+D64+D66+D67+D68+D69+D70+D71+D72+D73+D74+D76+D79</f>
        <v>234326742</v>
      </c>
      <c r="E8" s="48">
        <f>E10+E11+E13+E14+E15+E16+E17+E18+E19+E20+E21+E22+E23+E24+E25+E26+E27+E28+E29+E30+E31+E32+E33+E34+E35+E37+E38+E39+E41+E42+E43+E44+E45+E46+E47+E48+E49+E50+E51+E52+E53+E54+E55+E56+E57+E58+E59+E60+E61+E62+E63+E64+E66+E67+E68+E69+E70+E71+E72+E73+E74+E76+E79</f>
        <v>223637170.78999996</v>
      </c>
      <c r="F8" s="48">
        <f>D8-E8</f>
        <v>10689571.210000038</v>
      </c>
      <c r="G8" s="48">
        <f>G10+G11+G13+G14+G15+G16+G17+G18+G19+G20+G21+G22+G23+G24+G25+G26+G27+G28+G29+G30+G31+G32+G33+G34+G35+G37+G38+G39+G41+G42+G43+G44+G45+G46+G47+G48+G49+G50+G51+G52+G53+G54+G55+G56+G57+G58+G59+G60+G61+G62+G63+G64+G66+G67+G68+G69+G70+G71+G72+G73+G74+G76+G79</f>
        <v>99970240.229999989</v>
      </c>
      <c r="H8" s="48">
        <f>D8-G8</f>
        <v>134356501.77000001</v>
      </c>
      <c r="I8" s="49">
        <f>IF(D8=0,0,G8/D8)</f>
        <v>0.42662753459867586</v>
      </c>
      <c r="J8" s="220"/>
      <c r="K8" s="220"/>
      <c r="L8" s="229"/>
      <c r="M8" s="229"/>
      <c r="N8" s="229"/>
      <c r="O8" s="229"/>
    </row>
    <row r="9" spans="1:15" ht="16.5" x14ac:dyDescent="0.2">
      <c r="A9" s="126" t="s">
        <v>609</v>
      </c>
      <c r="B9" s="126"/>
      <c r="C9" s="126"/>
      <c r="D9" s="50">
        <f>D10+D11</f>
        <v>53926751</v>
      </c>
      <c r="E9" s="50">
        <f>E10+E11</f>
        <v>53909348.199999996</v>
      </c>
      <c r="F9" s="50">
        <f>D9-E9</f>
        <v>17402.80000000447</v>
      </c>
      <c r="G9" s="50">
        <f>G10+G11</f>
        <v>364124.26</v>
      </c>
      <c r="H9" s="50">
        <f>D9-G9</f>
        <v>53562626.740000002</v>
      </c>
      <c r="I9" s="51">
        <f>IF(D9=0,0,G9/D9)</f>
        <v>6.7522009623757978E-3</v>
      </c>
      <c r="J9" s="221"/>
      <c r="K9" s="221"/>
      <c r="L9" s="230"/>
      <c r="M9" s="230"/>
      <c r="N9" s="230"/>
      <c r="O9" s="230"/>
    </row>
    <row r="10" spans="1:15" ht="42" customHeight="1" x14ac:dyDescent="0.2">
      <c r="A10" s="52">
        <f>SUBTOTAL(103,$B$10:B10)</f>
        <v>1</v>
      </c>
      <c r="B10" s="53">
        <v>1</v>
      </c>
      <c r="C10" s="81" t="s">
        <v>163</v>
      </c>
      <c r="D10" s="54">
        <f>IF(COUNTIF(tSIAF[Clave],"2108576|1")=0,"",SUMIF(tSIAF[Clave],"2108576|1",tSIAF[PIM]))</f>
        <v>167354</v>
      </c>
      <c r="E10" s="54">
        <f>IF(COUNTIF(tSIAF[Clave],"2108576|1")=0,"",SUMIF(tSIAF[Clave],"2108576|1",tSIAF[Certificacion]))</f>
        <v>149951.29999999999</v>
      </c>
      <c r="F10" s="54">
        <f>IF(D10="","",D10-E10)</f>
        <v>17402.700000000012</v>
      </c>
      <c r="G10" s="54">
        <f>IF(COUNTIF(tSIAF[Clave],"2108576|1")=0,"",SUMIF(tSIAF[Clave],"2108576|1",tSIAF[Devengado]))</f>
        <v>102781.21</v>
      </c>
      <c r="H10" s="54">
        <f>IF(D10="","",D10-G10)</f>
        <v>64572.789999999994</v>
      </c>
      <c r="I10" s="55">
        <f>IF(D10="","",IF(D10=0,0,G10/D10))</f>
        <v>0.6141544868960408</v>
      </c>
      <c r="J10" s="222" t="s">
        <v>687</v>
      </c>
      <c r="K10" s="222" t="s">
        <v>2299</v>
      </c>
      <c r="L10" s="231">
        <f>IF(COUNTIF(tCartera[CUI],"2108576")=0,"Sin PMI",IF(INDEX(tCartera[PMI2026],MATCH("2108576",tCartera[CUI],0))="","No informado",INDEX(tCartera[PMI2026],MATCH("2108576",tCartera[CUI],0))))</f>
        <v>12460540</v>
      </c>
      <c r="M10" s="231">
        <f>IF(COUNTIF(tCartera[CUI],"2108576")=0,"Sin PMI",IF(INDEX(tCartera[PMI2027],MATCH("2108576",tCartera[CUI],0))="","No informado",INDEX(tCartera[PMI2027],MATCH("2108576",tCartera[CUI],0))))</f>
        <v>5731000</v>
      </c>
      <c r="N10" s="231">
        <f>IF(COUNTIF(tCartera[CUI],"2108576")=0,"Sin PMI",IF(INDEX(tCartera[PMI2028],MATCH("2108576",tCartera[CUI],0))="","No informado",INDEX(tCartera[PMI2028],MATCH("2108576",tCartera[CUI],0))))</f>
        <v>5000000</v>
      </c>
      <c r="O10" s="231">
        <f>IF(COUNTIF(tCartera[CUI],"2108576")=0,"Sin PMI",IF(INDEX(tCartera[PMI2029],MATCH("2108576",tCartera[CUI],0))="","No informado",INDEX(tCartera[PMI2029],MATCH("2108576",tCartera[CUI],0))))</f>
        <v>5000000</v>
      </c>
    </row>
    <row r="11" spans="1:15" ht="42" customHeight="1" x14ac:dyDescent="0.2">
      <c r="A11" s="52">
        <f>SUBTOTAL(103,$B$10:B11)</f>
        <v>2</v>
      </c>
      <c r="B11" s="57" t="s">
        <v>500</v>
      </c>
      <c r="C11" s="81" t="s">
        <v>360</v>
      </c>
      <c r="D11" s="54">
        <f>IF(COUNTIF(tSIAF[Clave],"2279375|220")=0,"",SUMIF(tSIAF[Clave],"2279375|220",tSIAF[PIM]))</f>
        <v>53759397</v>
      </c>
      <c r="E11" s="54">
        <f>IF(COUNTIF(tSIAF[Clave],"2279375|220")=0,"",SUMIF(tSIAF[Clave],"2279375|220",tSIAF[Certificacion]))</f>
        <v>53759396.899999999</v>
      </c>
      <c r="F11" s="54">
        <f>IF(D11="","",D11-E11)</f>
        <v>0.10000000149011612</v>
      </c>
      <c r="G11" s="54">
        <f>IF(COUNTIF(tSIAF[Clave],"2279375|220")=0,"",SUMIF(tSIAF[Clave],"2279375|220",tSIAF[Devengado]))</f>
        <v>261343.05</v>
      </c>
      <c r="H11" s="54">
        <f>IF(D11="","",D11-G11)</f>
        <v>53498053.950000003</v>
      </c>
      <c r="I11" s="55">
        <f>IF(D11="","",IF(D11=0,0,G11/D11))</f>
        <v>4.8613463800570526E-3</v>
      </c>
      <c r="J11" s="222" t="s">
        <v>687</v>
      </c>
      <c r="K11" s="222" t="s">
        <v>2299</v>
      </c>
      <c r="L11" s="231" t="str">
        <f>IF(COUNTIF(tCartera[CUI],"2279375")=0,"Sin PMI",IF(INDEX(tCartera[PMI2026],MATCH("2279375",tCartera[CUI],0))="","No informado",INDEX(tCartera[PMI2026],MATCH("2279375",tCartera[CUI],0))))</f>
        <v>Sin PMI</v>
      </c>
      <c r="M11" s="231" t="str">
        <f>IF(COUNTIF(tCartera[CUI],"2279375")=0,"Sin PMI",IF(INDEX(tCartera[PMI2027],MATCH("2279375",tCartera[CUI],0))="","No informado",INDEX(tCartera[PMI2027],MATCH("2279375",tCartera[CUI],0))))</f>
        <v>Sin PMI</v>
      </c>
      <c r="N11" s="231" t="str">
        <f>IF(COUNTIF(tCartera[CUI],"2279375")=0,"Sin PMI",IF(INDEX(tCartera[PMI2028],MATCH("2279375",tCartera[CUI],0))="","No informado",INDEX(tCartera[PMI2028],MATCH("2279375",tCartera[CUI],0))))</f>
        <v>Sin PMI</v>
      </c>
      <c r="O11" s="231" t="str">
        <f>IF(COUNTIF(tCartera[CUI],"2279375")=0,"Sin PMI",IF(INDEX(tCartera[PMI2029],MATCH("2279375",tCartera[CUI],0))="","No informado",INDEX(tCartera[PMI2029],MATCH("2279375",tCartera[CUI],0))))</f>
        <v>Sin PMI</v>
      </c>
    </row>
    <row r="12" spans="1:15" ht="16.5" x14ac:dyDescent="0.2">
      <c r="A12" s="126" t="s">
        <v>610</v>
      </c>
      <c r="B12" s="126"/>
      <c r="C12" s="126"/>
      <c r="D12" s="50">
        <f>D13+D14+D15+D16+D17+D18+D19+D20+D21+D22+D23+D24+D25+D26+D27+D28+D29+D30+D31+D32+D33+D34+D35+D37+D38+D39</f>
        <v>60810433</v>
      </c>
      <c r="E12" s="50">
        <f>E13+E14+E15+E16+E17+E18+E19+E20+E21+E22+E23+E24+E25+E26+E27+E28+E29+E30+E31+E32+E33+E34+E35+E37+E38+E39</f>
        <v>57496092.030000001</v>
      </c>
      <c r="F12" s="50">
        <f>D12-E12</f>
        <v>3314340.9699999988</v>
      </c>
      <c r="G12" s="50">
        <f>G13+G14+G15+G16+G17+G18+G19+G20+G21+G22+G23+G24+G25+G26+G27+G28+G29+G30+G31+G32+G33+G34+G35+G37+G38+G39</f>
        <v>35508319.740000002</v>
      </c>
      <c r="H12" s="50">
        <f>D12-G12</f>
        <v>25302113.259999998</v>
      </c>
      <c r="I12" s="51">
        <f>IF(D12=0,0,G12/D12)</f>
        <v>0.58391821909901553</v>
      </c>
      <c r="J12" s="221"/>
      <c r="K12" s="221"/>
      <c r="L12" s="230"/>
      <c r="M12" s="230"/>
      <c r="N12" s="230"/>
      <c r="O12" s="230"/>
    </row>
    <row r="13" spans="1:15" ht="63.75" x14ac:dyDescent="0.2">
      <c r="A13" s="52">
        <f>SUBTOTAL(103,$B$10:B13)</f>
        <v>3</v>
      </c>
      <c r="B13" s="53">
        <v>223</v>
      </c>
      <c r="C13" s="81" t="s">
        <v>183</v>
      </c>
      <c r="D13" s="54">
        <f>IF(COUNTIF(tSIAF[Clave],"2323700|223")=0,"",SUMIF(tSIAF[Clave],"2323700|223",tSIAF[PIM]))</f>
        <v>10519577</v>
      </c>
      <c r="E13" s="54">
        <f>IF(COUNTIF(tSIAF[Clave],"2323700|223")=0,"",SUMIF(tSIAF[Clave],"2323700|223",tSIAF[Certificacion]))</f>
        <v>10386241.220000001</v>
      </c>
      <c r="F13" s="54">
        <f>IF(D13="","",D13-E13)</f>
        <v>133335.77999999933</v>
      </c>
      <c r="G13" s="54">
        <f>IF(COUNTIF(tSIAF[Clave],"2323700|223")=0,"",SUMIF(tSIAF[Clave],"2323700|223",tSIAF[Devengado]))</f>
        <v>7596372.6799999997</v>
      </c>
      <c r="H13" s="54">
        <f>IF(D13="","",D13-G13)</f>
        <v>2923204.3200000003</v>
      </c>
      <c r="I13" s="55">
        <f>IF(D13="","",IF(D13=0,0,G13/D13))</f>
        <v>0.72211769351562327</v>
      </c>
      <c r="J13" s="222" t="s">
        <v>687</v>
      </c>
      <c r="K13" s="222" t="s">
        <v>2299</v>
      </c>
      <c r="L13" s="231">
        <f>IF(COUNTIF(tCartera[CUI],"2323700")=0,"Sin PMI",IF(INDEX(tCartera[PMI2026],MATCH("2323700",tCartera[CUI],0))="","No informado",INDEX(tCartera[PMI2026],MATCH("2323700",tCartera[CUI],0))))</f>
        <v>2546207</v>
      </c>
      <c r="M13" s="231">
        <f>IF(COUNTIF(tCartera[CUI],"2323700")=0,"Sin PMI",IF(INDEX(tCartera[PMI2027],MATCH("2323700",tCartera[CUI],0))="","No informado",INDEX(tCartera[PMI2027],MATCH("2323700",tCartera[CUI],0))))</f>
        <v>638376</v>
      </c>
      <c r="N13" s="231">
        <f>IF(COUNTIF(tCartera[CUI],"2323700")=0,"Sin PMI",IF(INDEX(tCartera[PMI2028],MATCH("2323700",tCartera[CUI],0))="","No informado",INDEX(tCartera[PMI2028],MATCH("2323700",tCartera[CUI],0))))</f>
        <v>2568939</v>
      </c>
      <c r="O13" s="231">
        <f>IF(COUNTIF(tCartera[CUI],"2323700")=0,"Sin PMI",IF(INDEX(tCartera[PMI2029],MATCH("2323700",tCartera[CUI],0))="","No informado",INDEX(tCartera[PMI2029],MATCH("2323700",tCartera[CUI],0))))</f>
        <v>0</v>
      </c>
    </row>
    <row r="14" spans="1:15" ht="63.75" x14ac:dyDescent="0.2">
      <c r="A14" s="52">
        <f>SUBTOTAL(103,$B$10:B14)</f>
        <v>4</v>
      </c>
      <c r="B14" s="56">
        <v>224</v>
      </c>
      <c r="C14" s="81" t="s">
        <v>184</v>
      </c>
      <c r="D14" s="54">
        <f>IF(COUNTIF(tSIAF[Clave],"2335880|224")=0,"",SUMIF(tSIAF[Clave],"2335880|224",tSIAF[PIM]))</f>
        <v>10208307</v>
      </c>
      <c r="E14" s="54">
        <f>IF(COUNTIF(tSIAF[Clave],"2335880|224")=0,"",SUMIF(tSIAF[Clave],"2335880|224",tSIAF[Certificacion]))</f>
        <v>9968469.6199999992</v>
      </c>
      <c r="F14" s="54">
        <f>IF(D14="","",D14-E14)</f>
        <v>239837.38000000082</v>
      </c>
      <c r="G14" s="54">
        <f>IF(COUNTIF(tSIAF[Clave],"2335880|224")=0,"",SUMIF(tSIAF[Clave],"2335880|224",tSIAF[Devengado]))</f>
        <v>6440724.4800000004</v>
      </c>
      <c r="H14" s="54">
        <f>IF(D14="","",D14-G14)</f>
        <v>3767582.5199999996</v>
      </c>
      <c r="I14" s="55">
        <f>IF(D14="","",IF(D14=0,0,G14/D14))</f>
        <v>0.63092973986773715</v>
      </c>
      <c r="J14" s="222" t="s">
        <v>687</v>
      </c>
      <c r="K14" s="222" t="s">
        <v>2299</v>
      </c>
      <c r="L14" s="231">
        <f>IF(COUNTIF(tCartera[CUI],"2335880")=0,"Sin PMI",IF(INDEX(tCartera[PMI2026],MATCH("2335880",tCartera[CUI],0))="","No informado",INDEX(tCartera[PMI2026],MATCH("2335880",tCartera[CUI],0))))</f>
        <v>5597990</v>
      </c>
      <c r="M14" s="231">
        <f>IF(COUNTIF(tCartera[CUI],"2335880")=0,"Sin PMI",IF(INDEX(tCartera[PMI2027],MATCH("2335880",tCartera[CUI],0))="","No informado",INDEX(tCartera[PMI2027],MATCH("2335880",tCartera[CUI],0))))</f>
        <v>1254673</v>
      </c>
      <c r="N14" s="231">
        <f>IF(COUNTIF(tCartera[CUI],"2335880")=0,"Sin PMI",IF(INDEX(tCartera[PMI2028],MATCH("2335880",tCartera[CUI],0))="","No informado",INDEX(tCartera[PMI2028],MATCH("2335880",tCartera[CUI],0))))</f>
        <v>2493351</v>
      </c>
      <c r="O14" s="231">
        <f>IF(COUNTIF(tCartera[CUI],"2335880")=0,"Sin PMI",IF(INDEX(tCartera[PMI2029],MATCH("2335880",tCartera[CUI],0))="","No informado",INDEX(tCartera[PMI2029],MATCH("2335880",tCartera[CUI],0))))</f>
        <v>0</v>
      </c>
    </row>
    <row r="15" spans="1:15" ht="51" x14ac:dyDescent="0.2">
      <c r="A15" s="52">
        <f>SUBTOTAL(103,$B$10:B15)</f>
        <v>5</v>
      </c>
      <c r="B15" s="56">
        <v>245</v>
      </c>
      <c r="C15" s="81" t="s">
        <v>195</v>
      </c>
      <c r="D15" s="54">
        <f>IF(COUNTIF(tSIAF[Clave],"2521936|245")=0,"",SUMIF(tSIAF[Clave],"2521936|245",tSIAF[PIM]))</f>
        <v>11203165</v>
      </c>
      <c r="E15" s="54">
        <f>IF(COUNTIF(tSIAF[Clave],"2521936|245")=0,"",SUMIF(tSIAF[Clave],"2521936|245",tSIAF[Certificacion]))</f>
        <v>10889668.59</v>
      </c>
      <c r="F15" s="54">
        <f>IF(D15="","",D15-E15)</f>
        <v>313496.41000000015</v>
      </c>
      <c r="G15" s="54">
        <f>IF(COUNTIF(tSIAF[Clave],"2521936|245")=0,"",SUMIF(tSIAF[Clave],"2521936|245",tSIAF[Devengado]))</f>
        <v>6395813.3399999999</v>
      </c>
      <c r="H15" s="54">
        <f>IF(D15="","",D15-G15)</f>
        <v>4807351.66</v>
      </c>
      <c r="I15" s="55">
        <f>IF(D15="","",IF(D15=0,0,G15/D15))</f>
        <v>0.57089343413222959</v>
      </c>
      <c r="J15" s="222" t="s">
        <v>687</v>
      </c>
      <c r="K15" s="222" t="s">
        <v>2299</v>
      </c>
      <c r="L15" s="231">
        <f>IF(COUNTIF(tCartera[CUI],"2521936")=0,"Sin PMI",IF(INDEX(tCartera[PMI2026],MATCH("2521936",tCartera[CUI],0))="","No informado",INDEX(tCartera[PMI2026],MATCH("2521936",tCartera[CUI],0))))</f>
        <v>4902849</v>
      </c>
      <c r="M15" s="231">
        <f>IF(COUNTIF(tCartera[CUI],"2521936")=0,"Sin PMI",IF(INDEX(tCartera[PMI2027],MATCH("2521936",tCartera[CUI],0))="","No informado",INDEX(tCartera[PMI2027],MATCH("2521936",tCartera[CUI],0))))</f>
        <v>60001</v>
      </c>
      <c r="N15" s="231">
        <f>IF(COUNTIF(tCartera[CUI],"2521936")=0,"Sin PMI",IF(INDEX(tCartera[PMI2028],MATCH("2521936",tCartera[CUI],0))="","No informado",INDEX(tCartera[PMI2028],MATCH("2521936",tCartera[CUI],0))))</f>
        <v>2722594</v>
      </c>
      <c r="O15" s="231">
        <f>IF(COUNTIF(tCartera[CUI],"2521936")=0,"Sin PMI",IF(INDEX(tCartera[PMI2029],MATCH("2521936",tCartera[CUI],0))="","No informado",INDEX(tCartera[PMI2029],MATCH("2521936",tCartera[CUI],0))))</f>
        <v>0</v>
      </c>
    </row>
    <row r="16" spans="1:15" ht="42" customHeight="1" x14ac:dyDescent="0.2">
      <c r="A16" s="52">
        <f>SUBTOTAL(103,$B$10:B16)</f>
        <v>6</v>
      </c>
      <c r="B16" s="53">
        <v>29</v>
      </c>
      <c r="C16" s="81" t="s">
        <v>186</v>
      </c>
      <c r="D16" s="54">
        <f>IF(COUNTIF(tSIAF[Clave],"2344324|29")=0,"",SUMIF(tSIAF[Clave],"2344324|29",tSIAF[PIM]))</f>
        <v>2079431</v>
      </c>
      <c r="E16" s="54">
        <f>IF(COUNTIF(tSIAF[Clave],"2344324|29")=0,"",SUMIF(tSIAF[Clave],"2344324|29",tSIAF[Certificacion]))</f>
        <v>1994037.46</v>
      </c>
      <c r="F16" s="54">
        <f>IF(D16="","",D16-E16)</f>
        <v>85393.540000000037</v>
      </c>
      <c r="G16" s="54">
        <f>IF(COUNTIF(tSIAF[Clave],"2344324|29")=0,"",SUMIF(tSIAF[Clave],"2344324|29",tSIAF[Devengado]))</f>
        <v>1946470.94</v>
      </c>
      <c r="H16" s="54">
        <f>IF(D16="","",D16-G16)</f>
        <v>132960.06000000006</v>
      </c>
      <c r="I16" s="55">
        <f>IF(D16="","",IF(D16=0,0,G16/D16))</f>
        <v>0.93605940278855126</v>
      </c>
      <c r="J16" s="222" t="s">
        <v>687</v>
      </c>
      <c r="K16" s="222" t="s">
        <v>2299</v>
      </c>
      <c r="L16" s="231">
        <f>IF(COUNTIF(tCartera[CUI],"2344324")=0,"Sin PMI",IF(INDEX(tCartera[PMI2026],MATCH("2344324",tCartera[CUI],0))="","No informado",INDEX(tCartera[PMI2026],MATCH("2344324",tCartera[CUI],0))))</f>
        <v>298669</v>
      </c>
      <c r="M16" s="231">
        <f>IF(COUNTIF(tCartera[CUI],"2344324")=0,"Sin PMI",IF(INDEX(tCartera[PMI2027],MATCH("2344324",tCartera[CUI],0))="","No informado",INDEX(tCartera[PMI2027],MATCH("2344324",tCartera[CUI],0))))</f>
        <v>349669</v>
      </c>
      <c r="N16" s="231">
        <f>IF(COUNTIF(tCartera[CUI],"2344324")=0,"Sin PMI",IF(INDEX(tCartera[PMI2028],MATCH("2344324",tCartera[CUI],0))="","No informado",INDEX(tCartera[PMI2028],MATCH("2344324",tCartera[CUI],0))))</f>
        <v>84977</v>
      </c>
      <c r="O16" s="231">
        <f>IF(COUNTIF(tCartera[CUI],"2344324")=0,"Sin PMI",IF(INDEX(tCartera[PMI2029],MATCH("2344324",tCartera[CUI],0))="","No informado",INDEX(tCartera[PMI2029],MATCH("2344324",tCartera[CUI],0))))</f>
        <v>0</v>
      </c>
    </row>
    <row r="17" spans="1:15" ht="51" x14ac:dyDescent="0.2">
      <c r="A17" s="52">
        <f>SUBTOTAL(103,$B$10:B17)</f>
        <v>7</v>
      </c>
      <c r="B17" s="58" t="s">
        <v>529</v>
      </c>
      <c r="C17" s="81" t="s">
        <v>372</v>
      </c>
      <c r="D17" s="54">
        <f>IF(COUNTIF(tSIAF[Clave],"2490075|315")=0,"",SUMIF(tSIAF[Clave],"2490075|315",tSIAF[PIM]))</f>
        <v>1425006</v>
      </c>
      <c r="E17" s="54">
        <f>IF(COUNTIF(tSIAF[Clave],"2490075|315")=0,"",SUMIF(tSIAF[Clave],"2490075|315",tSIAF[Certificacion]))</f>
        <v>1239788.8999999999</v>
      </c>
      <c r="F17" s="54">
        <f>IF(D17="","",D17-E17)</f>
        <v>185217.10000000009</v>
      </c>
      <c r="G17" s="54">
        <f>IF(COUNTIF(tSIAF[Clave],"2490075|315")=0,"",SUMIF(tSIAF[Clave],"2490075|315",tSIAF[Devengado]))</f>
        <v>1170436.98</v>
      </c>
      <c r="H17" s="54">
        <f>IF(D17="","",D17-G17)</f>
        <v>254569.02000000002</v>
      </c>
      <c r="I17" s="55">
        <f>IF(D17="","",IF(D17=0,0,G17/D17))</f>
        <v>0.82135582587020683</v>
      </c>
      <c r="J17" s="222" t="s">
        <v>687</v>
      </c>
      <c r="K17" s="222" t="s">
        <v>2299</v>
      </c>
      <c r="L17" s="231">
        <f>IF(COUNTIF(tCartera[CUI],"2490075")=0,"Sin PMI",IF(INDEX(tCartera[PMI2026],MATCH("2490075",tCartera[CUI],0))="","No informado",INDEX(tCartera[PMI2026],MATCH("2490075",tCartera[CUI],0))))</f>
        <v>1122019</v>
      </c>
      <c r="M17" s="231">
        <f>IF(COUNTIF(tCartera[CUI],"2490075")=0,"Sin PMI",IF(INDEX(tCartera[PMI2027],MATCH("2490075",tCartera[CUI],0))="","No informado",INDEX(tCartera[PMI2027],MATCH("2490075",tCartera[CUI],0))))</f>
        <v>0</v>
      </c>
      <c r="N17" s="231">
        <f>IF(COUNTIF(tCartera[CUI],"2490075")=0,"Sin PMI",IF(INDEX(tCartera[PMI2028],MATCH("2490075",tCartera[CUI],0))="","No informado",INDEX(tCartera[PMI2028],MATCH("2490075",tCartera[CUI],0))))</f>
        <v>32869</v>
      </c>
      <c r="O17" s="231">
        <f>IF(COUNTIF(tCartera[CUI],"2490075")=0,"Sin PMI",IF(INDEX(tCartera[PMI2029],MATCH("2490075",tCartera[CUI],0))="","No informado",INDEX(tCartera[PMI2029],MATCH("2490075",tCartera[CUI],0))))</f>
        <v>0</v>
      </c>
    </row>
    <row r="18" spans="1:15" ht="51" x14ac:dyDescent="0.2">
      <c r="A18" s="52">
        <f>SUBTOTAL(103,$B$10:B18)</f>
        <v>8</v>
      </c>
      <c r="B18" s="53">
        <v>160</v>
      </c>
      <c r="C18" s="81" t="s">
        <v>210</v>
      </c>
      <c r="D18" s="54">
        <f>IF(COUNTIF(tSIAF[Clave],"2570978|160")=0,"",SUMIF(tSIAF[Clave],"2570978|160",tSIAF[PIM]))</f>
        <v>9222405</v>
      </c>
      <c r="E18" s="54">
        <f>IF(COUNTIF(tSIAF[Clave],"2570978|160")=0,"",SUMIF(tSIAF[Clave],"2570978|160",tSIAF[Certificacion]))</f>
        <v>9003232.5299999993</v>
      </c>
      <c r="F18" s="54">
        <f>IF(D18="","",D18-E18)</f>
        <v>219172.47000000067</v>
      </c>
      <c r="G18" s="54">
        <f>IF(COUNTIF(tSIAF[Clave],"2570978|160")=0,"",SUMIF(tSIAF[Clave],"2570978|160",tSIAF[Devengado]))</f>
        <v>5421356.6100000003</v>
      </c>
      <c r="H18" s="54">
        <f>IF(D18="","",D18-G18)</f>
        <v>3801048.3899999997</v>
      </c>
      <c r="I18" s="55">
        <f>IF(D18="","",IF(D18=0,0,G18/D18))</f>
        <v>0.5878462949740334</v>
      </c>
      <c r="J18" s="222" t="s">
        <v>687</v>
      </c>
      <c r="K18" s="222" t="s">
        <v>2299</v>
      </c>
      <c r="L18" s="231">
        <f>IF(COUNTIF(tCartera[CUI],"2570978")=0,"Sin PMI",IF(INDEX(tCartera[PMI2026],MATCH("2570978",tCartera[CUI],0))="","No informado",INDEX(tCartera[PMI2026],MATCH("2570978",tCartera[CUI],0))))</f>
        <v>2595053</v>
      </c>
      <c r="M18" s="231">
        <f>IF(COUNTIF(tCartera[CUI],"2570978")=0,"Sin PMI",IF(INDEX(tCartera[PMI2027],MATCH("2570978",tCartera[CUI],0))="","No informado",INDEX(tCartera[PMI2027],MATCH("2570978",tCartera[CUI],0))))</f>
        <v>255676</v>
      </c>
      <c r="N18" s="231">
        <f>IF(COUNTIF(tCartera[CUI],"2570978")=0,"Sin PMI",IF(INDEX(tCartera[PMI2028],MATCH("2570978",tCartera[CUI],0))="","No informado",INDEX(tCartera[PMI2028],MATCH("2570978",tCartera[CUI],0))))</f>
        <v>1817178</v>
      </c>
      <c r="O18" s="231">
        <f>IF(COUNTIF(tCartera[CUI],"2570978")=0,"Sin PMI",IF(INDEX(tCartera[PMI2029],MATCH("2570978",tCartera[CUI],0))="","No informado",INDEX(tCartera[PMI2029],MATCH("2570978",tCartera[CUI],0))))</f>
        <v>0</v>
      </c>
    </row>
    <row r="19" spans="1:15" ht="63.75" x14ac:dyDescent="0.2">
      <c r="A19" s="52">
        <f>SUBTOTAL(103,$B$10:B19)</f>
        <v>9</v>
      </c>
      <c r="B19" s="53">
        <v>162</v>
      </c>
      <c r="C19" s="81" t="s">
        <v>282</v>
      </c>
      <c r="D19" s="54">
        <f>IF(COUNTIF(tSIAF[Clave],"2591926|162")=0,"",SUMIF(tSIAF[Clave],"2591926|162",tSIAF[PIM]))</f>
        <v>5194033</v>
      </c>
      <c r="E19" s="54">
        <f>IF(COUNTIF(tSIAF[Clave],"2591926|162")=0,"",SUMIF(tSIAF[Clave],"2591926|162",tSIAF[Certificacion]))</f>
        <v>5106124.7699999996</v>
      </c>
      <c r="F19" s="54">
        <f>IF(D19="","",D19-E19)</f>
        <v>87908.230000000447</v>
      </c>
      <c r="G19" s="54">
        <f>IF(COUNTIF(tSIAF[Clave],"2591926|162")=0,"",SUMIF(tSIAF[Clave],"2591926|162",tSIAF[Devengado]))</f>
        <v>1941765.29</v>
      </c>
      <c r="H19" s="54">
        <f>IF(D19="","",D19-G19)</f>
        <v>3252267.71</v>
      </c>
      <c r="I19" s="55">
        <f>IF(D19="","",IF(D19=0,0,G19/D19))</f>
        <v>0.37384538950753682</v>
      </c>
      <c r="J19" s="222" t="s">
        <v>687</v>
      </c>
      <c r="K19" s="222" t="s">
        <v>2299</v>
      </c>
      <c r="L19" s="231">
        <f>IF(COUNTIF(tCartera[CUI],"2591926")=0,"Sin PMI",IF(INDEX(tCartera[PMI2026],MATCH("2591926",tCartera[CUI],0))="","No informado",INDEX(tCartera[PMI2026],MATCH("2591926",tCartera[CUI],0))))</f>
        <v>5194033</v>
      </c>
      <c r="M19" s="231">
        <f>IF(COUNTIF(tCartera[CUI],"2591926")=0,"Sin PMI",IF(INDEX(tCartera[PMI2027],MATCH("2591926",tCartera[CUI],0))="","No informado",INDEX(tCartera[PMI2027],MATCH("2591926",tCartera[CUI],0))))</f>
        <v>6569076</v>
      </c>
      <c r="N19" s="231">
        <f>IF(COUNTIF(tCartera[CUI],"2591926")=0,"Sin PMI",IF(INDEX(tCartera[PMI2028],MATCH("2591926",tCartera[CUI],0))="","No informado",INDEX(tCartera[PMI2028],MATCH("2591926",tCartera[CUI],0))))</f>
        <v>1</v>
      </c>
      <c r="O19" s="231">
        <f>IF(COUNTIF(tCartera[CUI],"2591926")=0,"Sin PMI",IF(INDEX(tCartera[PMI2029],MATCH("2591926",tCartera[CUI],0))="","No informado",INDEX(tCartera[PMI2029],MATCH("2591926",tCartera[CUI],0))))</f>
        <v>0</v>
      </c>
    </row>
    <row r="20" spans="1:15" ht="51" x14ac:dyDescent="0.2">
      <c r="A20" s="52">
        <f>SUBTOTAL(103,$B$10:B20)</f>
        <v>10</v>
      </c>
      <c r="B20" s="53">
        <v>44</v>
      </c>
      <c r="C20" s="81" t="s">
        <v>622</v>
      </c>
      <c r="D20" s="54">
        <f>IF(COUNTIF(tSIAF[Clave],"2629119|44")=0,"",SUMIF(tSIAF[Clave],"2629119|44",tSIAF[PIM]))</f>
        <v>3656326</v>
      </c>
      <c r="E20" s="54">
        <f>IF(COUNTIF(tSIAF[Clave],"2629119|44")=0,"",SUMIF(tSIAF[Clave],"2629119|44",tSIAF[Certificacion]))</f>
        <v>3383177.1</v>
      </c>
      <c r="F20" s="54">
        <f>IF(D20="","",D20-E20)</f>
        <v>273148.89999999991</v>
      </c>
      <c r="G20" s="54">
        <f>IF(COUNTIF(tSIAF[Clave],"2629119|44")=0,"",SUMIF(tSIAF[Clave],"2629119|44",tSIAF[Devengado]))</f>
        <v>2126125.38</v>
      </c>
      <c r="H20" s="54">
        <f>IF(D20="","",D20-G20)</f>
        <v>1530200.62</v>
      </c>
      <c r="I20" s="55">
        <f>IF(D20="","",IF(D20=0,0,G20/D20))</f>
        <v>0.58149229034828953</v>
      </c>
      <c r="J20" s="222" t="s">
        <v>687</v>
      </c>
      <c r="K20" s="222" t="s">
        <v>2299</v>
      </c>
      <c r="L20" s="231">
        <f>IF(COUNTIF(tCartera[CUI],"2629119")=0,"Sin PMI",IF(INDEX(tCartera[PMI2026],MATCH("2629119",tCartera[CUI],0))="","No informado",INDEX(tCartera[PMI2026],MATCH("2629119",tCartera[CUI],0))))</f>
        <v>2278000</v>
      </c>
      <c r="M20" s="231">
        <f>IF(COUNTIF(tCartera[CUI],"2629119")=0,"Sin PMI",IF(INDEX(tCartera[PMI2027],MATCH("2629119",tCartera[CUI],0))="","No informado",INDEX(tCartera[PMI2027],MATCH("2629119",tCartera[CUI],0))))</f>
        <v>1683936</v>
      </c>
      <c r="N20" s="231">
        <f>IF(COUNTIF(tCartera[CUI],"2629119")=0,"Sin PMI",IF(INDEX(tCartera[PMI2028],MATCH("2629119",tCartera[CUI],0))="","No informado",INDEX(tCartera[PMI2028],MATCH("2629119",tCartera[CUI],0))))</f>
        <v>1459275</v>
      </c>
      <c r="O20" s="231">
        <f>IF(COUNTIF(tCartera[CUI],"2629119")=0,"Sin PMI",IF(INDEX(tCartera[PMI2029],MATCH("2629119",tCartera[CUI],0))="","No informado",INDEX(tCartera[PMI2029],MATCH("2629119",tCartera[CUI],0))))</f>
        <v>0</v>
      </c>
    </row>
    <row r="21" spans="1:15" ht="51" x14ac:dyDescent="0.2">
      <c r="A21" s="52">
        <f>SUBTOTAL(103,$B$10:B21)</f>
        <v>11</v>
      </c>
      <c r="B21" s="53">
        <v>248</v>
      </c>
      <c r="C21" s="81" t="s">
        <v>246</v>
      </c>
      <c r="D21" s="54">
        <f>IF(COUNTIF(tSIAF[Clave],"2539673|248")=0,"",SUMIF(tSIAF[Clave],"2539673|248",tSIAF[PIM]))</f>
        <v>2000000</v>
      </c>
      <c r="E21" s="54">
        <f>IF(COUNTIF(tSIAF[Clave],"2539673|248")=0,"",SUMIF(tSIAF[Clave],"2539673|248",tSIAF[Certificacion]))</f>
        <v>2000000</v>
      </c>
      <c r="F21" s="54">
        <f>IF(D21="","",D21-E21)</f>
        <v>0</v>
      </c>
      <c r="G21" s="54">
        <f>IF(COUNTIF(tSIAF[Clave],"2539673|248")=0,"",SUMIF(tSIAF[Clave],"2539673|248",tSIAF[Devengado]))</f>
        <v>0</v>
      </c>
      <c r="H21" s="54">
        <f>IF(D21="","",D21-G21)</f>
        <v>2000000</v>
      </c>
      <c r="I21" s="55">
        <f>IF(D21="","",IF(D21=0,0,G21/D21))</f>
        <v>0</v>
      </c>
      <c r="J21" s="222" t="s">
        <v>687</v>
      </c>
      <c r="K21" s="222" t="s">
        <v>2299</v>
      </c>
      <c r="L21" s="231">
        <f>IF(COUNTIF(tCartera[CUI],"2539673")=0,"Sin PMI",IF(INDEX(tCartera[PMI2026],MATCH("2539673",tCartera[CUI],0))="","No informado",INDEX(tCartera[PMI2026],MATCH("2539673",tCartera[CUI],0))))</f>
        <v>12000000</v>
      </c>
      <c r="M21" s="231">
        <f>IF(COUNTIF(tCartera[CUI],"2539673")=0,"Sin PMI",IF(INDEX(tCartera[PMI2027],MATCH("2539673",tCartera[CUI],0))="","No informado",INDEX(tCartera[PMI2027],MATCH("2539673",tCartera[CUI],0))))</f>
        <v>14558623</v>
      </c>
      <c r="N21" s="231">
        <f>IF(COUNTIF(tCartera[CUI],"2539673")=0,"Sin PMI",IF(INDEX(tCartera[PMI2028],MATCH("2539673",tCartera[CUI],0))="","No informado",INDEX(tCartera[PMI2028],MATCH("2539673",tCartera[CUI],0))))</f>
        <v>14894208</v>
      </c>
      <c r="O21" s="231">
        <f>IF(COUNTIF(tCartera[CUI],"2539673")=0,"Sin PMI",IF(INDEX(tCartera[PMI2029],MATCH("2539673",tCartera[CUI],0))="","No informado",INDEX(tCartera[PMI2029],MATCH("2539673",tCartera[CUI],0))))</f>
        <v>10928387</v>
      </c>
    </row>
    <row r="22" spans="1:15" ht="42" customHeight="1" x14ac:dyDescent="0.2">
      <c r="A22" s="52">
        <f>SUBTOTAL(103,$B$10:B22)</f>
        <v>12</v>
      </c>
      <c r="B22" s="53">
        <v>45</v>
      </c>
      <c r="C22" s="81" t="s">
        <v>322</v>
      </c>
      <c r="D22" s="54">
        <f>IF(COUNTIF(tSIAF[Clave],"2637985|45")=0,"",SUMIF(tSIAF[Clave],"2637985|45",tSIAF[PIM]))</f>
        <v>0</v>
      </c>
      <c r="E22" s="54">
        <f>IF(COUNTIF(tSIAF[Clave],"2637985|45")=0,"",SUMIF(tSIAF[Clave],"2637985|45",tSIAF[Certificacion]))</f>
        <v>0</v>
      </c>
      <c r="F22" s="54">
        <f>IF(D22="","",D22-E22)</f>
        <v>0</v>
      </c>
      <c r="G22" s="54">
        <f>IF(COUNTIF(tSIAF[Clave],"2637985|45")=0,"",SUMIF(tSIAF[Clave],"2637985|45",tSIAF[Devengado]))</f>
        <v>0</v>
      </c>
      <c r="H22" s="54">
        <f>IF(D22="","",D22-G22)</f>
        <v>0</v>
      </c>
      <c r="I22" s="55">
        <f>IF(D22="","",IF(D22=0,0,G22/D22))</f>
        <v>0</v>
      </c>
      <c r="J22" s="222" t="s">
        <v>687</v>
      </c>
      <c r="K22" s="222" t="s">
        <v>2299</v>
      </c>
      <c r="L22" s="231">
        <f>IF(COUNTIF(tCartera[CUI],"2637985")=0,"Sin PMI",IF(INDEX(tCartera[PMI2026],MATCH("2637985",tCartera[CUI],0))="","No informado",INDEX(tCartera[PMI2026],MATCH("2637985",tCartera[CUI],0))))</f>
        <v>100000</v>
      </c>
      <c r="M22" s="231">
        <f>IF(COUNTIF(tCartera[CUI],"2637985")=0,"Sin PMI",IF(INDEX(tCartera[PMI2027],MATCH("2637985",tCartera[CUI],0))="","No informado",INDEX(tCartera[PMI2027],MATCH("2637985",tCartera[CUI],0))))</f>
        <v>1234564</v>
      </c>
      <c r="N22" s="231">
        <f>IF(COUNTIF(tCartera[CUI],"2637985")=0,"Sin PMI",IF(INDEX(tCartera[PMI2028],MATCH("2637985",tCartera[CUI],0))="","No informado",INDEX(tCartera[PMI2028],MATCH("2637985",tCartera[CUI],0))))</f>
        <v>0</v>
      </c>
      <c r="O22" s="231">
        <f>IF(COUNTIF(tCartera[CUI],"2637985")=0,"Sin PMI",IF(INDEX(tCartera[PMI2029],MATCH("2637985",tCartera[CUI],0))="","No informado",INDEX(tCartera[PMI2029],MATCH("2637985",tCartera[CUI],0))))</f>
        <v>3335545</v>
      </c>
    </row>
    <row r="23" spans="1:15" ht="42" customHeight="1" x14ac:dyDescent="0.2">
      <c r="A23" s="52">
        <f>SUBTOTAL(103,$B$10:B23)</f>
        <v>13</v>
      </c>
      <c r="B23" s="56">
        <v>193</v>
      </c>
      <c r="C23" s="81" t="s">
        <v>449</v>
      </c>
      <c r="D23" s="54">
        <f>IF(COUNTIF(tSIAF[Clave],"2664940|193")=0,"",SUMIF(tSIAF[Clave],"2664940|193",tSIAF[PIM]))</f>
        <v>1861270</v>
      </c>
      <c r="E23" s="54">
        <f>IF(COUNTIF(tSIAF[Clave],"2664940|193")=0,"",SUMIF(tSIAF[Clave],"2664940|193",tSIAF[Certificacion]))</f>
        <v>1466941.41</v>
      </c>
      <c r="F23" s="54">
        <f>IF(D23="","",D23-E23)</f>
        <v>394328.59000000008</v>
      </c>
      <c r="G23" s="54">
        <f>IF(COUNTIF(tSIAF[Clave],"2664940|193")=0,"",SUMIF(tSIAF[Clave],"2664940|193",tSIAF[Devengado]))</f>
        <v>1164545.3700000001</v>
      </c>
      <c r="H23" s="54">
        <f>IF(D23="","",D23-G23)</f>
        <v>696724.62999999989</v>
      </c>
      <c r="I23" s="55">
        <f>IF(D23="","",IF(D23=0,0,G23/D23))</f>
        <v>0.62567245482922962</v>
      </c>
      <c r="J23" s="222" t="s">
        <v>687</v>
      </c>
      <c r="K23" s="222" t="s">
        <v>2299</v>
      </c>
      <c r="L23" s="231">
        <f>IF(COUNTIF(tCartera[CUI],"2664940")=0,"Sin PMI",IF(INDEX(tCartera[PMI2026],MATCH("2664940",tCartera[CUI],0))="","No informado",INDEX(tCartera[PMI2026],MATCH("2664940",tCartera[CUI],0))))</f>
        <v>1410000</v>
      </c>
      <c r="M23" s="231">
        <f>IF(COUNTIF(tCartera[CUI],"2664940")=0,"Sin PMI",IF(INDEX(tCartera[PMI2027],MATCH("2664940",tCartera[CUI],0))="","No informado",INDEX(tCartera[PMI2027],MATCH("2664940",tCartera[CUI],0))))</f>
        <v>833474</v>
      </c>
      <c r="N23" s="231">
        <f>IF(COUNTIF(tCartera[CUI],"2664940")=0,"Sin PMI",IF(INDEX(tCartera[PMI2028],MATCH("2664940",tCartera[CUI],0))="","No informado",INDEX(tCartera[PMI2028],MATCH("2664940",tCartera[CUI],0))))</f>
        <v>0</v>
      </c>
      <c r="O23" s="231">
        <f>IF(COUNTIF(tCartera[CUI],"2664940")=0,"Sin PMI",IF(INDEX(tCartera[PMI2029],MATCH("2664940",tCartera[CUI],0))="","No informado",INDEX(tCartera[PMI2029],MATCH("2664940",tCartera[CUI],0))))</f>
        <v>0</v>
      </c>
    </row>
    <row r="24" spans="1:15" ht="42" customHeight="1" x14ac:dyDescent="0.2">
      <c r="A24" s="52">
        <f>SUBTOTAL(103,$B$10:B24)</f>
        <v>14</v>
      </c>
      <c r="B24" s="56">
        <v>46</v>
      </c>
      <c r="C24" s="81" t="s">
        <v>321</v>
      </c>
      <c r="D24" s="54">
        <f>IF(COUNTIF(tSIAF[Clave],"2637997|46")=0,"",SUMIF(tSIAF[Clave],"2637997|46",tSIAF[PIM]))</f>
        <v>304829</v>
      </c>
      <c r="E24" s="54">
        <f>IF(COUNTIF(tSIAF[Clave],"2637997|46")=0,"",SUMIF(tSIAF[Clave],"2637997|46",tSIAF[Certificacion]))</f>
        <v>0</v>
      </c>
      <c r="F24" s="54">
        <f>IF(D24="","",D24-E24)</f>
        <v>304829</v>
      </c>
      <c r="G24" s="54">
        <f>IF(COUNTIF(tSIAF[Clave],"2637997|46")=0,"",SUMIF(tSIAF[Clave],"2637997|46",tSIAF[Devengado]))</f>
        <v>0</v>
      </c>
      <c r="H24" s="54">
        <f>IF(D24="","",D24-G24)</f>
        <v>304829</v>
      </c>
      <c r="I24" s="55">
        <f>IF(D24="","",IF(D24=0,0,G24/D24))</f>
        <v>0</v>
      </c>
      <c r="J24" s="222" t="s">
        <v>687</v>
      </c>
      <c r="K24" s="222" t="s">
        <v>2299</v>
      </c>
      <c r="L24" s="231">
        <f>IF(COUNTIF(tCartera[CUI],"2637997")=0,"Sin PMI",IF(INDEX(tCartera[PMI2026],MATCH("2637997",tCartera[CUI],0))="","No informado",INDEX(tCartera[PMI2026],MATCH("2637997",tCartera[CUI],0))))</f>
        <v>100000</v>
      </c>
      <c r="M24" s="231">
        <f>IF(COUNTIF(tCartera[CUI],"2637997")=0,"Sin PMI",IF(INDEX(tCartera[PMI2027],MATCH("2637997",tCartera[CUI],0))="","No informado",INDEX(tCartera[PMI2027],MATCH("2637997",tCartera[CUI],0))))</f>
        <v>0</v>
      </c>
      <c r="N24" s="231">
        <f>IF(COUNTIF(tCartera[CUI],"2637997")=0,"Sin PMI",IF(INDEX(tCartera[PMI2028],MATCH("2637997",tCartera[CUI],0))="","No informado",INDEX(tCartera[PMI2028],MATCH("2637997",tCartera[CUI],0))))</f>
        <v>0</v>
      </c>
      <c r="O24" s="231">
        <f>IF(COUNTIF(tCartera[CUI],"2637997")=0,"Sin PMI",IF(INDEX(tCartera[PMI2029],MATCH("2637997",tCartera[CUI],0))="","No informado",INDEX(tCartera[PMI2029],MATCH("2637997",tCartera[CUI],0))))</f>
        <v>4317457</v>
      </c>
    </row>
    <row r="25" spans="1:15" ht="51" x14ac:dyDescent="0.2">
      <c r="A25" s="52">
        <f>SUBTOTAL(103,$B$10:B25)</f>
        <v>15</v>
      </c>
      <c r="B25" s="56">
        <v>480</v>
      </c>
      <c r="C25" s="81" t="s">
        <v>636</v>
      </c>
      <c r="D25" s="54">
        <f>IF(COUNTIF(tSIAF[Clave],"2650476|480")=0,"",SUMIF(tSIAF[Clave],"2650476|480",tSIAF[PIM]))</f>
        <v>677644</v>
      </c>
      <c r="E25" s="54">
        <f>IF(COUNTIF(tSIAF[Clave],"2650476|480")=0,"",SUMIF(tSIAF[Clave],"2650476|480",tSIAF[Certificacion]))</f>
        <v>607692.88</v>
      </c>
      <c r="F25" s="54">
        <f>IF(D25="","",D25-E25)</f>
        <v>69951.12</v>
      </c>
      <c r="G25" s="54">
        <f>IF(COUNTIF(tSIAF[Clave],"2650476|480")=0,"",SUMIF(tSIAF[Clave],"2650476|480",tSIAF[Devengado]))</f>
        <v>131223.38</v>
      </c>
      <c r="H25" s="54">
        <f>IF(D25="","",D25-G25)</f>
        <v>546420.62</v>
      </c>
      <c r="I25" s="55">
        <f>IF(D25="","",IF(D25=0,0,G25/D25))</f>
        <v>0.19364648694594802</v>
      </c>
      <c r="J25" s="222" t="s">
        <v>687</v>
      </c>
      <c r="K25" s="222" t="s">
        <v>2299</v>
      </c>
      <c r="L25" s="231" t="str">
        <f>IF(COUNTIF(tCartera[CUI],"2650476")=0,"Sin PMI",IF(INDEX(tCartera[PMI2026],MATCH("2650476",tCartera[CUI],0))="","No informado",INDEX(tCartera[PMI2026],MATCH("2650476",tCartera[CUI],0))))</f>
        <v>Sin PMI</v>
      </c>
      <c r="M25" s="231" t="str">
        <f>IF(COUNTIF(tCartera[CUI],"2650476")=0,"Sin PMI",IF(INDEX(tCartera[PMI2027],MATCH("2650476",tCartera[CUI],0))="","No informado",INDEX(tCartera[PMI2027],MATCH("2650476",tCartera[CUI],0))))</f>
        <v>Sin PMI</v>
      </c>
      <c r="N25" s="231" t="str">
        <f>IF(COUNTIF(tCartera[CUI],"2650476")=0,"Sin PMI",IF(INDEX(tCartera[PMI2028],MATCH("2650476",tCartera[CUI],0))="","No informado",INDEX(tCartera[PMI2028],MATCH("2650476",tCartera[CUI],0))))</f>
        <v>Sin PMI</v>
      </c>
      <c r="O25" s="231" t="str">
        <f>IF(COUNTIF(tCartera[CUI],"2650476")=0,"Sin PMI",IF(INDEX(tCartera[PMI2029],MATCH("2650476",tCartera[CUI],0))="","No informado",INDEX(tCartera[PMI2029],MATCH("2650476",tCartera[CUI],0))))</f>
        <v>Sin PMI</v>
      </c>
    </row>
    <row r="26" spans="1:15" ht="42" customHeight="1" x14ac:dyDescent="0.2">
      <c r="A26" s="52">
        <f>SUBTOTAL(103,$B$10:B26)</f>
        <v>16</v>
      </c>
      <c r="B26" s="56">
        <v>479</v>
      </c>
      <c r="C26" s="81" t="s">
        <v>635</v>
      </c>
      <c r="D26" s="54">
        <f>IF(COUNTIF(tSIAF[Clave],"2695845|479")=0,"",SUMIF(tSIAF[Clave],"2695845|479",tSIAF[PIM]))</f>
        <v>492669</v>
      </c>
      <c r="E26" s="54">
        <f>IF(COUNTIF(tSIAF[Clave],"2695845|479")=0,"",SUMIF(tSIAF[Clave],"2695845|479",tSIAF[Certificacion]))</f>
        <v>464894</v>
      </c>
      <c r="F26" s="54">
        <f>IF(D26="","",D26-E26)</f>
        <v>27775</v>
      </c>
      <c r="G26" s="54">
        <f>IF(COUNTIF(tSIAF[Clave],"2695845|479")=0,"",SUMIF(tSIAF[Clave],"2695845|479",tSIAF[Devengado]))</f>
        <v>211662.5</v>
      </c>
      <c r="H26" s="54">
        <f>IF(D26="","",D26-G26)</f>
        <v>281006.5</v>
      </c>
      <c r="I26" s="55">
        <f>IF(D26="","",IF(D26=0,0,G26/D26))</f>
        <v>0.4296241492766949</v>
      </c>
      <c r="J26" s="222" t="s">
        <v>687</v>
      </c>
      <c r="K26" s="222" t="s">
        <v>2299</v>
      </c>
      <c r="L26" s="231" t="str">
        <f>IF(COUNTIF(tCartera[CUI],"2695845")=0,"Sin PMI",IF(INDEX(tCartera[PMI2026],MATCH("2695845",tCartera[CUI],0))="","No informado",INDEX(tCartera[PMI2026],MATCH("2695845",tCartera[CUI],0))))</f>
        <v>Sin PMI</v>
      </c>
      <c r="M26" s="231" t="str">
        <f>IF(COUNTIF(tCartera[CUI],"2695845")=0,"Sin PMI",IF(INDEX(tCartera[PMI2027],MATCH("2695845",tCartera[CUI],0))="","No informado",INDEX(tCartera[PMI2027],MATCH("2695845",tCartera[CUI],0))))</f>
        <v>Sin PMI</v>
      </c>
      <c r="N26" s="231" t="str">
        <f>IF(COUNTIF(tCartera[CUI],"2695845")=0,"Sin PMI",IF(INDEX(tCartera[PMI2028],MATCH("2695845",tCartera[CUI],0))="","No informado",INDEX(tCartera[PMI2028],MATCH("2695845",tCartera[CUI],0))))</f>
        <v>Sin PMI</v>
      </c>
      <c r="O26" s="231" t="str">
        <f>IF(COUNTIF(tCartera[CUI],"2695845")=0,"Sin PMI",IF(INDEX(tCartera[PMI2029],MATCH("2695845",tCartera[CUI],0))="","No informado",INDEX(tCartera[PMI2029],MATCH("2695845",tCartera[CUI],0))))</f>
        <v>Sin PMI</v>
      </c>
    </row>
    <row r="27" spans="1:15" ht="42" customHeight="1" x14ac:dyDescent="0.2">
      <c r="A27" s="52">
        <f>SUBTOTAL(103,$B$10:B27)</f>
        <v>17</v>
      </c>
      <c r="B27" s="56">
        <v>170</v>
      </c>
      <c r="C27" s="81" t="s">
        <v>99</v>
      </c>
      <c r="D27" s="54">
        <f>IF(COUNTIF(tSIAF[Clave],"2196865|170")=0,"",SUMIF(tSIAF[Clave],"2196865|170",tSIAF[PIM]))</f>
        <v>118539</v>
      </c>
      <c r="E27" s="54">
        <f>IF(COUNTIF(tSIAF[Clave],"2196865|170")=0,"",SUMIF(tSIAF[Clave],"2196865|170",tSIAF[Certificacion]))</f>
        <v>70562.13</v>
      </c>
      <c r="F27" s="54">
        <f>IF(D27="","",D27-E27)</f>
        <v>47976.869999999995</v>
      </c>
      <c r="G27" s="54">
        <f>IF(COUNTIF(tSIAF[Clave],"2196865|170")=0,"",SUMIF(tSIAF[Clave],"2196865|170",tSIAF[Devengado]))</f>
        <v>70562.13</v>
      </c>
      <c r="H27" s="54">
        <f>IF(D27="","",D27-G27)</f>
        <v>47976.869999999995</v>
      </c>
      <c r="I27" s="55">
        <f>IF(D27="","",IF(D27=0,0,G27/D27))</f>
        <v>0.59526510262445276</v>
      </c>
      <c r="J27" s="222" t="s">
        <v>687</v>
      </c>
      <c r="K27" s="222" t="s">
        <v>2299</v>
      </c>
      <c r="L27" s="231">
        <f>IF(COUNTIF(tCartera[CUI],"2196865")=0,"Sin PMI",IF(INDEX(tCartera[PMI2026],MATCH("2196865",tCartera[CUI],0))="","No informado",INDEX(tCartera[PMI2026],MATCH("2196865",tCartera[CUI],0))))</f>
        <v>159740</v>
      </c>
      <c r="M27" s="231">
        <f>IF(COUNTIF(tCartera[CUI],"2196865")=0,"Sin PMI",IF(INDEX(tCartera[PMI2027],MATCH("2196865",tCartera[CUI],0))="","No informado",INDEX(tCartera[PMI2027],MATCH("2196865",tCartera[CUI],0))))</f>
        <v>0</v>
      </c>
      <c r="N27" s="231">
        <f>IF(COUNTIF(tCartera[CUI],"2196865")=0,"Sin PMI",IF(INDEX(tCartera[PMI2028],MATCH("2196865",tCartera[CUI],0))="","No informado",INDEX(tCartera[PMI2028],MATCH("2196865",tCartera[CUI],0))))</f>
        <v>0</v>
      </c>
      <c r="O27" s="231">
        <f>IF(COUNTIF(tCartera[CUI],"2196865")=0,"Sin PMI",IF(INDEX(tCartera[PMI2029],MATCH("2196865",tCartera[CUI],0))="","No informado",INDEX(tCartera[PMI2029],MATCH("2196865",tCartera[CUI],0))))</f>
        <v>0</v>
      </c>
    </row>
    <row r="28" spans="1:15" ht="42" customHeight="1" x14ac:dyDescent="0.2">
      <c r="A28" s="52">
        <f>SUBTOTAL(103,$B$10:B28)</f>
        <v>18</v>
      </c>
      <c r="B28" s="56">
        <v>490</v>
      </c>
      <c r="C28" s="81" t="s">
        <v>182</v>
      </c>
      <c r="D28" s="54">
        <f>IF(COUNTIF(tSIAF[Clave],"2301117|490")=0,"",SUMIF(tSIAF[Clave],"2301117|490",tSIAF[PIM]))</f>
        <v>28700</v>
      </c>
      <c r="E28" s="54">
        <f>IF(COUNTIF(tSIAF[Clave],"2301117|490")=0,"",SUMIF(tSIAF[Clave],"2301117|490",tSIAF[Certificacion]))</f>
        <v>0</v>
      </c>
      <c r="F28" s="54">
        <f>IF(D28="","",D28-E28)</f>
        <v>28700</v>
      </c>
      <c r="G28" s="54">
        <f>IF(COUNTIF(tSIAF[Clave],"2301117|490")=0,"",SUMIF(tSIAF[Clave],"2301117|490",tSIAF[Devengado]))</f>
        <v>0</v>
      </c>
      <c r="H28" s="54">
        <f>IF(D28="","",D28-G28)</f>
        <v>28700</v>
      </c>
      <c r="I28" s="55">
        <f>IF(D28="","",IF(D28=0,0,G28/D28))</f>
        <v>0</v>
      </c>
      <c r="J28" s="222" t="s">
        <v>687</v>
      </c>
      <c r="K28" s="222" t="s">
        <v>2299</v>
      </c>
      <c r="L28" s="231">
        <f>IF(COUNTIF(tCartera[CUI],"2301117")=0,"Sin PMI",IF(INDEX(tCartera[PMI2026],MATCH("2301117",tCartera[CUI],0))="","No informado",INDEX(tCartera[PMI2026],MATCH("2301117",tCartera[CUI],0))))</f>
        <v>539829</v>
      </c>
      <c r="M28" s="231">
        <f>IF(COUNTIF(tCartera[CUI],"2301117")=0,"Sin PMI",IF(INDEX(tCartera[PMI2027],MATCH("2301117",tCartera[CUI],0))="","No informado",INDEX(tCartera[PMI2027],MATCH("2301117",tCartera[CUI],0))))</f>
        <v>504509</v>
      </c>
      <c r="N28" s="231">
        <f>IF(COUNTIF(tCartera[CUI],"2301117")=0,"Sin PMI",IF(INDEX(tCartera[PMI2028],MATCH("2301117",tCartera[CUI],0))="","No informado",INDEX(tCartera[PMI2028],MATCH("2301117",tCartera[CUI],0))))</f>
        <v>0</v>
      </c>
      <c r="O28" s="231">
        <f>IF(COUNTIF(tCartera[CUI],"2301117")=0,"Sin PMI",IF(INDEX(tCartera[PMI2029],MATCH("2301117",tCartera[CUI],0))="","No informado",INDEX(tCartera[PMI2029],MATCH("2301117",tCartera[CUI],0))))</f>
        <v>0</v>
      </c>
    </row>
    <row r="29" spans="1:15" ht="42" customHeight="1" x14ac:dyDescent="0.2">
      <c r="A29" s="52">
        <f>SUBTOTAL(103,$B$10:B29)</f>
        <v>19</v>
      </c>
      <c r="B29" s="56">
        <v>489</v>
      </c>
      <c r="C29" s="81" t="s">
        <v>182</v>
      </c>
      <c r="D29" s="54">
        <f>IF(COUNTIF(tSIAF[Clave],"2301117|489")=0,"",SUMIF(tSIAF[Clave],"2301117|489",tSIAF[PIM]))</f>
        <v>25000</v>
      </c>
      <c r="E29" s="54">
        <f>IF(COUNTIF(tSIAF[Clave],"2301117|489")=0,"",SUMIF(tSIAF[Clave],"2301117|489",tSIAF[Certificacion]))</f>
        <v>0</v>
      </c>
      <c r="F29" s="54">
        <f>IF(D29="","",D29-E29)</f>
        <v>25000</v>
      </c>
      <c r="G29" s="54">
        <f>IF(COUNTIF(tSIAF[Clave],"2301117|489")=0,"",SUMIF(tSIAF[Clave],"2301117|489",tSIAF[Devengado]))</f>
        <v>0</v>
      </c>
      <c r="H29" s="54">
        <f>IF(D29="","",D29-G29)</f>
        <v>25000</v>
      </c>
      <c r="I29" s="55">
        <f>IF(D29="","",IF(D29=0,0,G29/D29))</f>
        <v>0</v>
      </c>
      <c r="J29" s="222" t="s">
        <v>687</v>
      </c>
      <c r="K29" s="222" t="s">
        <v>2299</v>
      </c>
      <c r="L29" s="231">
        <f>IF(COUNTIF(tCartera[CUI],"2301117")=0,"Sin PMI",IF(INDEX(tCartera[PMI2026],MATCH("2301117",tCartera[CUI],0))="","No informado",INDEX(tCartera[PMI2026],MATCH("2301117",tCartera[CUI],0))))</f>
        <v>539829</v>
      </c>
      <c r="M29" s="231">
        <f>IF(COUNTIF(tCartera[CUI],"2301117")=0,"Sin PMI",IF(INDEX(tCartera[PMI2027],MATCH("2301117",tCartera[CUI],0))="","No informado",INDEX(tCartera[PMI2027],MATCH("2301117",tCartera[CUI],0))))</f>
        <v>504509</v>
      </c>
      <c r="N29" s="231">
        <f>IF(COUNTIF(tCartera[CUI],"2301117")=0,"Sin PMI",IF(INDEX(tCartera[PMI2028],MATCH("2301117",tCartera[CUI],0))="","No informado",INDEX(tCartera[PMI2028],MATCH("2301117",tCartera[CUI],0))))</f>
        <v>0</v>
      </c>
      <c r="O29" s="231">
        <f>IF(COUNTIF(tCartera[CUI],"2301117")=0,"Sin PMI",IF(INDEX(tCartera[PMI2029],MATCH("2301117",tCartera[CUI],0))="","No informado",INDEX(tCartera[PMI2029],MATCH("2301117",tCartera[CUI],0))))</f>
        <v>0</v>
      </c>
    </row>
    <row r="30" spans="1:15" ht="76.5" x14ac:dyDescent="0.2">
      <c r="A30" s="52">
        <f>SUBTOTAL(103,$B$10:B30)</f>
        <v>20</v>
      </c>
      <c r="B30" s="56">
        <v>484</v>
      </c>
      <c r="C30" s="81" t="s">
        <v>272</v>
      </c>
      <c r="D30" s="54">
        <f>IF(COUNTIF(tSIAF[Clave],"2623682|484")=0,"",SUMIF(tSIAF[Clave],"2623682|484",tSIAF[PIM]))</f>
        <v>23560</v>
      </c>
      <c r="E30" s="54">
        <f>IF(COUNTIF(tSIAF[Clave],"2623682|484")=0,"",SUMIF(tSIAF[Clave],"2623682|484",tSIAF[Certificacion]))</f>
        <v>22650</v>
      </c>
      <c r="F30" s="54">
        <f>IF(D30="","",D30-E30)</f>
        <v>910</v>
      </c>
      <c r="G30" s="54">
        <f>IF(COUNTIF(tSIAF[Clave],"2623682|484")=0,"",SUMIF(tSIAF[Clave],"2623682|484",tSIAF[Devengado]))</f>
        <v>14282.09</v>
      </c>
      <c r="H30" s="54">
        <f>IF(D30="","",D30-G30)</f>
        <v>9277.91</v>
      </c>
      <c r="I30" s="55">
        <f>IF(D30="","",IF(D30=0,0,G30/D30))</f>
        <v>0.60620076400679113</v>
      </c>
      <c r="J30" s="222" t="s">
        <v>687</v>
      </c>
      <c r="K30" s="222" t="s">
        <v>2299</v>
      </c>
      <c r="L30" s="231">
        <f>IF(COUNTIF(tCartera[CUI],"2623682")=0,"Sin PMI",IF(INDEX(tCartera[PMI2026],MATCH("2623682",tCartera[CUI],0))="","No informado",INDEX(tCartera[PMI2026],MATCH("2623682",tCartera[CUI],0))))</f>
        <v>23560</v>
      </c>
      <c r="M30" s="231">
        <f>IF(COUNTIF(tCartera[CUI],"2623682")=0,"Sin PMI",IF(INDEX(tCartera[PMI2027],MATCH("2623682",tCartera[CUI],0))="","No informado",INDEX(tCartera[PMI2027],MATCH("2623682",tCartera[CUI],0))))</f>
        <v>27080</v>
      </c>
      <c r="N30" s="231">
        <f>IF(COUNTIF(tCartera[CUI],"2623682")=0,"Sin PMI",IF(INDEX(tCartera[PMI2028],MATCH("2623682",tCartera[CUI],0))="","No informado",INDEX(tCartera[PMI2028],MATCH("2623682",tCartera[CUI],0))))</f>
        <v>0</v>
      </c>
      <c r="O30" s="231">
        <f>IF(COUNTIF(tCartera[CUI],"2623682")=0,"Sin PMI",IF(INDEX(tCartera[PMI2029],MATCH("2623682",tCartera[CUI],0))="","No informado",INDEX(tCartera[PMI2029],MATCH("2623682",tCartera[CUI],0))))</f>
        <v>0</v>
      </c>
    </row>
    <row r="31" spans="1:15" ht="42" customHeight="1" x14ac:dyDescent="0.2">
      <c r="A31" s="52">
        <f>SUBTOTAL(103,$B$10:B31)</f>
        <v>21</v>
      </c>
      <c r="B31" s="56">
        <v>453</v>
      </c>
      <c r="C31" s="81" t="s">
        <v>580</v>
      </c>
      <c r="D31" s="54">
        <f>IF(COUNTIF(tSIAF[Clave],"2196822|453")=0,"",SUMIF(tSIAF[Clave],"2196822|453",tSIAF[PIM]))</f>
        <v>17714</v>
      </c>
      <c r="E31" s="54">
        <f>IF(COUNTIF(tSIAF[Clave],"2196822|453")=0,"",SUMIF(tSIAF[Clave],"2196822|453",tSIAF[Certificacion]))</f>
        <v>14228.68</v>
      </c>
      <c r="F31" s="54">
        <f>IF(D31="","",D31-E31)</f>
        <v>3485.3199999999997</v>
      </c>
      <c r="G31" s="54">
        <f>IF(COUNTIF(tSIAF[Clave],"2196822|453")=0,"",SUMIF(tSIAF[Clave],"2196822|453",tSIAF[Devengado]))</f>
        <v>9749.7999999999993</v>
      </c>
      <c r="H31" s="54">
        <f>IF(D31="","",D31-G31)</f>
        <v>7964.2000000000007</v>
      </c>
      <c r="I31" s="55">
        <f>IF(D31="","",IF(D31=0,0,G31/D31))</f>
        <v>0.55040081291633736</v>
      </c>
      <c r="J31" s="222" t="s">
        <v>687</v>
      </c>
      <c r="K31" s="222" t="s">
        <v>2299</v>
      </c>
      <c r="L31" s="231">
        <f>IF(COUNTIF(tCartera[CUI],"2196822")=0,"Sin PMI",IF(INDEX(tCartera[PMI2026],MATCH("2196822",tCartera[CUI],0))="","No informado",INDEX(tCartera[PMI2026],MATCH("2196822",tCartera[CUI],0))))</f>
        <v>13915</v>
      </c>
      <c r="M31" s="231">
        <f>IF(COUNTIF(tCartera[CUI],"2196822")=0,"Sin PMI",IF(INDEX(tCartera[PMI2027],MATCH("2196822",tCartera[CUI],0))="","No informado",INDEX(tCartera[PMI2027],MATCH("2196822",tCartera[CUI],0))))</f>
        <v>0</v>
      </c>
      <c r="N31" s="231">
        <f>IF(COUNTIF(tCartera[CUI],"2196822")=0,"Sin PMI",IF(INDEX(tCartera[PMI2028],MATCH("2196822",tCartera[CUI],0))="","No informado",INDEX(tCartera[PMI2028],MATCH("2196822",tCartera[CUI],0))))</f>
        <v>0</v>
      </c>
      <c r="O31" s="231">
        <f>IF(COUNTIF(tCartera[CUI],"2196822")=0,"Sin PMI",IF(INDEX(tCartera[PMI2029],MATCH("2196822",tCartera[CUI],0))="","No informado",INDEX(tCartera[PMI2029],MATCH("2196822",tCartera[CUI],0))))</f>
        <v>0</v>
      </c>
    </row>
    <row r="32" spans="1:15" ht="42" customHeight="1" x14ac:dyDescent="0.2">
      <c r="A32" s="52">
        <f>SUBTOTAL(103,$B$10:B32)</f>
        <v>22</v>
      </c>
      <c r="B32" s="53">
        <v>24</v>
      </c>
      <c r="C32" s="81" t="s">
        <v>348</v>
      </c>
      <c r="D32" s="54">
        <f>IF(COUNTIF(tSIAF[Clave],"2194504|24")=0,"",SUMIF(tSIAF[Clave],"2194504|24",tSIAF[PIM]))</f>
        <v>0</v>
      </c>
      <c r="E32" s="54">
        <f>IF(COUNTIF(tSIAF[Clave],"2194504|24")=0,"",SUMIF(tSIAF[Clave],"2194504|24",tSIAF[Certificacion]))</f>
        <v>0</v>
      </c>
      <c r="F32" s="54">
        <f>IF(D32="","",D32-E32)</f>
        <v>0</v>
      </c>
      <c r="G32" s="54">
        <f>IF(COUNTIF(tSIAF[Clave],"2194504|24")=0,"",SUMIF(tSIAF[Clave],"2194504|24",tSIAF[Devengado]))</f>
        <v>0</v>
      </c>
      <c r="H32" s="54">
        <f>IF(D32="","",D32-G32)</f>
        <v>0</v>
      </c>
      <c r="I32" s="55">
        <f>IF(D32="","",IF(D32=0,0,G32/D32))</f>
        <v>0</v>
      </c>
      <c r="J32" s="222" t="s">
        <v>687</v>
      </c>
      <c r="K32" s="222" t="s">
        <v>2299</v>
      </c>
      <c r="L32" s="231" t="str">
        <f>IF(COUNTIF(tCartera[CUI],"2194504")=0,"Sin PMI",IF(INDEX(tCartera[PMI2026],MATCH("2194504",tCartera[CUI],0))="","No informado",INDEX(tCartera[PMI2026],MATCH("2194504",tCartera[CUI],0))))</f>
        <v>Sin PMI</v>
      </c>
      <c r="M32" s="231" t="str">
        <f>IF(COUNTIF(tCartera[CUI],"2194504")=0,"Sin PMI",IF(INDEX(tCartera[PMI2027],MATCH("2194504",tCartera[CUI],0))="","No informado",INDEX(tCartera[PMI2027],MATCH("2194504",tCartera[CUI],0))))</f>
        <v>Sin PMI</v>
      </c>
      <c r="N32" s="231" t="str">
        <f>IF(COUNTIF(tCartera[CUI],"2194504")=0,"Sin PMI",IF(INDEX(tCartera[PMI2028],MATCH("2194504",tCartera[CUI],0))="","No informado",INDEX(tCartera[PMI2028],MATCH("2194504",tCartera[CUI],0))))</f>
        <v>Sin PMI</v>
      </c>
      <c r="O32" s="231" t="str">
        <f>IF(COUNTIF(tCartera[CUI],"2194504")=0,"Sin PMI",IF(INDEX(tCartera[PMI2029],MATCH("2194504",tCartera[CUI],0))="","No informado",INDEX(tCartera[PMI2029],MATCH("2194504",tCartera[CUI],0))))</f>
        <v>Sin PMI</v>
      </c>
    </row>
    <row r="33" spans="1:15" ht="42" customHeight="1" x14ac:dyDescent="0.2">
      <c r="A33" s="52">
        <f>SUBTOTAL(103,$B$10:B33)</f>
        <v>23</v>
      </c>
      <c r="B33" s="56">
        <v>168</v>
      </c>
      <c r="C33" s="81" t="s">
        <v>441</v>
      </c>
      <c r="D33" s="54">
        <f>IF(COUNTIF(tSIAF[Clave],"2196834|168")=0,"",SUMIF(tSIAF[Clave],"2196834|168",tSIAF[PIM]))</f>
        <v>728529</v>
      </c>
      <c r="E33" s="54">
        <f>IF(COUNTIF(tSIAF[Clave],"2196834|168")=0,"",SUMIF(tSIAF[Clave],"2196834|168",tSIAF[Certificacion]))</f>
        <v>0</v>
      </c>
      <c r="F33" s="54">
        <f>IF(D33="","",D33-E33)</f>
        <v>728529</v>
      </c>
      <c r="G33" s="54">
        <f>IF(COUNTIF(tSIAF[Clave],"2196834|168")=0,"",SUMIF(tSIAF[Clave],"2196834|168",tSIAF[Devengado]))</f>
        <v>0</v>
      </c>
      <c r="H33" s="54">
        <f>IF(D33="","",D33-G33)</f>
        <v>728529</v>
      </c>
      <c r="I33" s="55">
        <f>IF(D33="","",IF(D33=0,0,G33/D33))</f>
        <v>0</v>
      </c>
      <c r="J33" s="222" t="s">
        <v>687</v>
      </c>
      <c r="K33" s="222" t="s">
        <v>2299</v>
      </c>
      <c r="L33" s="231">
        <f>IF(COUNTIF(tCartera[CUI],"2196834")=0,"Sin PMI",IF(INDEX(tCartera[PMI2026],MATCH("2196834",tCartera[CUI],0))="","No informado",INDEX(tCartera[PMI2026],MATCH("2196834",tCartera[CUI],0))))</f>
        <v>699403</v>
      </c>
      <c r="M33" s="231">
        <f>IF(COUNTIF(tCartera[CUI],"2196834")=0,"Sin PMI",IF(INDEX(tCartera[PMI2027],MATCH("2196834",tCartera[CUI],0))="","No informado",INDEX(tCartera[PMI2027],MATCH("2196834",tCartera[CUI],0))))</f>
        <v>0</v>
      </c>
      <c r="N33" s="231">
        <f>IF(COUNTIF(tCartera[CUI],"2196834")=0,"Sin PMI",IF(INDEX(tCartera[PMI2028],MATCH("2196834",tCartera[CUI],0))="","No informado",INDEX(tCartera[PMI2028],MATCH("2196834",tCartera[CUI],0))))</f>
        <v>0</v>
      </c>
      <c r="O33" s="231">
        <f>IF(COUNTIF(tCartera[CUI],"2196834")=0,"Sin PMI",IF(INDEX(tCartera[PMI2029],MATCH("2196834",tCartera[CUI],0))="","No informado",INDEX(tCartera[PMI2029],MATCH("2196834",tCartera[CUI],0))))</f>
        <v>0</v>
      </c>
    </row>
    <row r="34" spans="1:15" ht="42" customHeight="1" x14ac:dyDescent="0.2">
      <c r="A34" s="52">
        <f>SUBTOTAL(103,$B$10:B34)</f>
        <v>24</v>
      </c>
      <c r="B34" s="56">
        <v>464</v>
      </c>
      <c r="C34" s="81" t="s">
        <v>447</v>
      </c>
      <c r="D34" s="54">
        <f>IF(COUNTIF(tSIAF[Clave],"2490131|464")=0,"",SUMIF(tSIAF[Clave],"2490131|464",tSIAF[PIM]))</f>
        <v>40621</v>
      </c>
      <c r="E34" s="54">
        <f>IF(COUNTIF(tSIAF[Clave],"2490131|464")=0,"",SUMIF(tSIAF[Clave],"2490131|464",tSIAF[Certificacion]))</f>
        <v>28914.400000000001</v>
      </c>
      <c r="F34" s="54">
        <f>IF(D34="","",D34-E34)</f>
        <v>11706.599999999999</v>
      </c>
      <c r="G34" s="54">
        <f>IF(COUNTIF(tSIAF[Clave],"2490131|464")=0,"",SUMIF(tSIAF[Clave],"2490131|464",tSIAF[Devengado]))</f>
        <v>27953.93</v>
      </c>
      <c r="H34" s="54">
        <f>IF(D34="","",D34-G34)</f>
        <v>12667.07</v>
      </c>
      <c r="I34" s="55">
        <f>IF(D34="","",IF(D34=0,0,G34/D34))</f>
        <v>0.68816449619654863</v>
      </c>
      <c r="J34" s="222" t="s">
        <v>687</v>
      </c>
      <c r="K34" s="222" t="s">
        <v>2299</v>
      </c>
      <c r="L34" s="231">
        <f>IF(COUNTIF(tCartera[CUI],"2490131")=0,"Sin PMI",IF(INDEX(tCartera[PMI2026],MATCH("2490131",tCartera[CUI],0))="","No informado",INDEX(tCartera[PMI2026],MATCH("2490131",tCartera[CUI],0))))</f>
        <v>2455</v>
      </c>
      <c r="M34" s="231">
        <f>IF(COUNTIF(tCartera[CUI],"2490131")=0,"Sin PMI",IF(INDEX(tCartera[PMI2027],MATCH("2490131",tCartera[CUI],0))="","No informado",INDEX(tCartera[PMI2027],MATCH("2490131",tCartera[CUI],0))))</f>
        <v>0</v>
      </c>
      <c r="N34" s="231">
        <f>IF(COUNTIF(tCartera[CUI],"2490131")=0,"Sin PMI",IF(INDEX(tCartera[PMI2028],MATCH("2490131",tCartera[CUI],0))="","No informado",INDEX(tCartera[PMI2028],MATCH("2490131",tCartera[CUI],0))))</f>
        <v>0</v>
      </c>
      <c r="O34" s="231">
        <f>IF(COUNTIF(tCartera[CUI],"2490131")=0,"Sin PMI",IF(INDEX(tCartera[PMI2029],MATCH("2490131",tCartera[CUI],0))="","No informado",INDEX(tCartera[PMI2029],MATCH("2490131",tCartera[CUI],0))))</f>
        <v>0</v>
      </c>
    </row>
    <row r="35" spans="1:15" ht="42" customHeight="1" x14ac:dyDescent="0.2">
      <c r="A35" s="52">
        <f>SUBTOTAL(103,$B$10:B35)</f>
        <v>25</v>
      </c>
      <c r="B35" s="53">
        <v>169</v>
      </c>
      <c r="C35" s="81" t="s">
        <v>177</v>
      </c>
      <c r="D35" s="54">
        <f>IF(COUNTIF(tSIAF[Clave],"2196857|169")=0,"",SUMIF(tSIAF[Clave],"2196857|169",tSIAF[PIM]))</f>
        <v>0</v>
      </c>
      <c r="E35" s="54">
        <f>IF(COUNTIF(tSIAF[Clave],"2196857|169")=0,"",SUMIF(tSIAF[Clave],"2196857|169",tSIAF[Certificacion]))</f>
        <v>0</v>
      </c>
      <c r="F35" s="54">
        <f>IF(D35="","",D35-E35)</f>
        <v>0</v>
      </c>
      <c r="G35" s="54">
        <f>IF(COUNTIF(tSIAF[Clave],"2196857|169")=0,"",SUMIF(tSIAF[Clave],"2196857|169",tSIAF[Devengado]))</f>
        <v>0</v>
      </c>
      <c r="H35" s="54">
        <f>IF(D35="","",D35-G35)</f>
        <v>0</v>
      </c>
      <c r="I35" s="55">
        <f>IF(D35="","",IF(D35=0,0,G35/D35))</f>
        <v>0</v>
      </c>
      <c r="J35" s="222" t="s">
        <v>687</v>
      </c>
      <c r="K35" s="222" t="s">
        <v>2299</v>
      </c>
      <c r="L35" s="231">
        <f>IF(COUNTIF(tCartera[CUI],"2196857")=0,"Sin PMI",IF(INDEX(tCartera[PMI2026],MATCH("2196857",tCartera[CUI],0))="","No informado",INDEX(tCartera[PMI2026],MATCH("2196857",tCartera[CUI],0))))</f>
        <v>2878733</v>
      </c>
      <c r="M35" s="231">
        <f>IF(COUNTIF(tCartera[CUI],"2196857")=0,"Sin PMI",IF(INDEX(tCartera[PMI2027],MATCH("2196857",tCartera[CUI],0))="","No informado",INDEX(tCartera[PMI2027],MATCH("2196857",tCartera[CUI],0))))</f>
        <v>0</v>
      </c>
      <c r="N35" s="231">
        <f>IF(COUNTIF(tCartera[CUI],"2196857")=0,"Sin PMI",IF(INDEX(tCartera[PMI2028],MATCH("2196857",tCartera[CUI],0))="","No informado",INDEX(tCartera[PMI2028],MATCH("2196857",tCartera[CUI],0))))</f>
        <v>0</v>
      </c>
      <c r="O35" s="231">
        <f>IF(COUNTIF(tCartera[CUI],"2196857")=0,"Sin PMI",IF(INDEX(tCartera[PMI2029],MATCH("2196857",tCartera[CUI],0))="","No informado",INDEX(tCartera[PMI2029],MATCH("2196857",tCartera[CUI],0))))</f>
        <v>0</v>
      </c>
    </row>
    <row r="36" spans="1:15" ht="38.25" hidden="1" x14ac:dyDescent="0.2">
      <c r="A36" s="52">
        <f>SUBTOTAL(103,$B$10:B36)</f>
        <v>25</v>
      </c>
      <c r="B36" s="53">
        <v>499</v>
      </c>
      <c r="C36" s="81" t="s">
        <v>654</v>
      </c>
      <c r="D36" s="54"/>
      <c r="E36" s="54"/>
      <c r="F36" s="54"/>
      <c r="G36" s="54"/>
      <c r="H36" s="54"/>
      <c r="I36" s="55"/>
      <c r="J36" s="222"/>
      <c r="K36" s="222"/>
      <c r="L36" s="231"/>
      <c r="M36" s="231"/>
      <c r="N36" s="231"/>
      <c r="O36" s="231"/>
    </row>
    <row r="37" spans="1:15" ht="42" customHeight="1" x14ac:dyDescent="0.2">
      <c r="A37" s="52">
        <f>SUBTOTAL(103,$B$10:B37)</f>
        <v>26</v>
      </c>
      <c r="B37" s="56">
        <v>27</v>
      </c>
      <c r="C37" s="81" t="s">
        <v>182</v>
      </c>
      <c r="D37" s="54">
        <f>IF(COUNTIF(tSIAF[Clave],"2301117|27")=0,"",SUMIF(tSIAF[Clave],"2301117|27",tSIAF[PIM]))</f>
        <v>855386</v>
      </c>
      <c r="E37" s="54">
        <f>IF(COUNTIF(tSIAF[Clave],"2301117|27")=0,"",SUMIF(tSIAF[Clave],"2301117|27",tSIAF[Certificacion]))</f>
        <v>725859.11</v>
      </c>
      <c r="F37" s="54">
        <f>IF(D37="","",D37-E37)</f>
        <v>129526.89000000001</v>
      </c>
      <c r="G37" s="54">
        <f>IF(COUNTIF(tSIAF[Clave],"2301117|27")=0,"",SUMIF(tSIAF[Clave],"2301117|27",tSIAF[Devengado]))</f>
        <v>715665.61</v>
      </c>
      <c r="H37" s="54">
        <f>IF(D37="","",D37-G37)</f>
        <v>139720.39000000001</v>
      </c>
      <c r="I37" s="55">
        <f>IF(D37="","",IF(D37=0,0,G37/D37))</f>
        <v>0.8366580818484286</v>
      </c>
      <c r="J37" s="222" t="s">
        <v>687</v>
      </c>
      <c r="K37" s="222" t="s">
        <v>2299</v>
      </c>
      <c r="L37" s="231">
        <f>IF(COUNTIF(tCartera[CUI],"2301117")=0,"Sin PMI",IF(INDEX(tCartera[PMI2026],MATCH("2301117",tCartera[CUI],0))="","No informado",INDEX(tCartera[PMI2026],MATCH("2301117",tCartera[CUI],0))))</f>
        <v>539829</v>
      </c>
      <c r="M37" s="231">
        <f>IF(COUNTIF(tCartera[CUI],"2301117")=0,"Sin PMI",IF(INDEX(tCartera[PMI2027],MATCH("2301117",tCartera[CUI],0))="","No informado",INDEX(tCartera[PMI2027],MATCH("2301117",tCartera[CUI],0))))</f>
        <v>504509</v>
      </c>
      <c r="N37" s="231">
        <f>IF(COUNTIF(tCartera[CUI],"2301117")=0,"Sin PMI",IF(INDEX(tCartera[PMI2028],MATCH("2301117",tCartera[CUI],0))="","No informado",INDEX(tCartera[PMI2028],MATCH("2301117",tCartera[CUI],0))))</f>
        <v>0</v>
      </c>
      <c r="O37" s="231">
        <f>IF(COUNTIF(tCartera[CUI],"2301117")=0,"Sin PMI",IF(INDEX(tCartera[PMI2029],MATCH("2301117",tCartera[CUI],0))="","No informado",INDEX(tCartera[PMI2029],MATCH("2301117",tCartera[CUI],0))))</f>
        <v>0</v>
      </c>
    </row>
    <row r="38" spans="1:15" ht="42" customHeight="1" x14ac:dyDescent="0.2">
      <c r="A38" s="52">
        <f>SUBTOTAL(103,$B$10:B38)</f>
        <v>27</v>
      </c>
      <c r="B38" s="53">
        <v>22</v>
      </c>
      <c r="C38" s="81" t="s">
        <v>176</v>
      </c>
      <c r="D38" s="54">
        <f>IF(COUNTIF(tSIAF[Clave],"2194462|22")=0,"",SUMIF(tSIAF[Clave],"2194462|22",tSIAF[PIM]))</f>
        <v>77590</v>
      </c>
      <c r="E38" s="54">
        <f>IF(COUNTIF(tSIAF[Clave],"2194462|22")=0,"",SUMIF(tSIAF[Clave],"2194462|22",tSIAF[Certificacion]))</f>
        <v>76159.179999999993</v>
      </c>
      <c r="F38" s="54">
        <f>IF(D38="","",D38-E38)</f>
        <v>1430.820000000007</v>
      </c>
      <c r="G38" s="54">
        <f>IF(COUNTIF(tSIAF[Clave],"2194462|22")=0,"",SUMIF(tSIAF[Clave],"2194462|22",tSIAF[Devengado]))</f>
        <v>76159.179999999993</v>
      </c>
      <c r="H38" s="54">
        <f>IF(D38="","",D38-G38)</f>
        <v>1430.820000000007</v>
      </c>
      <c r="I38" s="55">
        <f>IF(D38="","",IF(D38=0,0,G38/D38))</f>
        <v>0.98155922154916864</v>
      </c>
      <c r="J38" s="222" t="s">
        <v>687</v>
      </c>
      <c r="K38" s="222" t="s">
        <v>2299</v>
      </c>
      <c r="L38" s="231">
        <f>IF(COUNTIF(tCartera[CUI],"2194462")=0,"Sin PMI",IF(INDEX(tCartera[PMI2026],MATCH("2194462",tCartera[CUI],0))="","No informado",INDEX(tCartera[PMI2026],MATCH("2194462",tCartera[CUI],0))))</f>
        <v>357505</v>
      </c>
      <c r="M38" s="231">
        <f>IF(COUNTIF(tCartera[CUI],"2194462")=0,"Sin PMI",IF(INDEX(tCartera[PMI2027],MATCH("2194462",tCartera[CUI],0))="","No informado",INDEX(tCartera[PMI2027],MATCH("2194462",tCartera[CUI],0))))</f>
        <v>0</v>
      </c>
      <c r="N38" s="231">
        <f>IF(COUNTIF(tCartera[CUI],"2194462")=0,"Sin PMI",IF(INDEX(tCartera[PMI2028],MATCH("2194462",tCartera[CUI],0))="","No informado",INDEX(tCartera[PMI2028],MATCH("2194462",tCartera[CUI],0))))</f>
        <v>0</v>
      </c>
      <c r="O38" s="231">
        <f>IF(COUNTIF(tCartera[CUI],"2194462")=0,"Sin PMI",IF(INDEX(tCartera[PMI2029],MATCH("2194462",tCartera[CUI],0))="","No informado",INDEX(tCartera[PMI2029],MATCH("2194462",tCartera[CUI],0))))</f>
        <v>344884</v>
      </c>
    </row>
    <row r="39" spans="1:15" ht="42" customHeight="1" x14ac:dyDescent="0.2">
      <c r="A39" s="52">
        <f>SUBTOTAL(103,$B$10:B39)</f>
        <v>28</v>
      </c>
      <c r="B39" s="53">
        <v>37</v>
      </c>
      <c r="C39" s="81" t="s">
        <v>194</v>
      </c>
      <c r="D39" s="54">
        <f>IF(COUNTIF(tSIAF[Clave],"2467893|37")=0,"",SUMIF(tSIAF[Clave],"2467893|37",tSIAF[PIM]))</f>
        <v>50132</v>
      </c>
      <c r="E39" s="54">
        <f>IF(COUNTIF(tSIAF[Clave],"2467893|37")=0,"",SUMIF(tSIAF[Clave],"2467893|37",tSIAF[Certificacion]))</f>
        <v>47450.05</v>
      </c>
      <c r="F39" s="54">
        <f>IF(D39="","",D39-E39)</f>
        <v>2681.9499999999971</v>
      </c>
      <c r="G39" s="54">
        <f>IF(COUNTIF(tSIAF[Clave],"2467893|37")=0,"",SUMIF(tSIAF[Clave],"2467893|37",tSIAF[Devengado]))</f>
        <v>47450.05</v>
      </c>
      <c r="H39" s="54">
        <f>IF(D39="","",D39-G39)</f>
        <v>2681.9499999999971</v>
      </c>
      <c r="I39" s="55">
        <f>IF(D39="","",IF(D39=0,0,G39/D39))</f>
        <v>0.94650223410197087</v>
      </c>
      <c r="J39" s="222" t="s">
        <v>687</v>
      </c>
      <c r="K39" s="222" t="s">
        <v>2299</v>
      </c>
      <c r="L39" s="231">
        <f>IF(COUNTIF(tCartera[CUI],"2467893")=0,"Sin PMI",IF(INDEX(tCartera[PMI2026],MATCH("2467893",tCartera[CUI],0))="","No informado",INDEX(tCartera[PMI2026],MATCH("2467893",tCartera[CUI],0))))</f>
        <v>175369</v>
      </c>
      <c r="M39" s="231">
        <f>IF(COUNTIF(tCartera[CUI],"2467893")=0,"Sin PMI",IF(INDEX(tCartera[PMI2027],MATCH("2467893",tCartera[CUI],0))="","No informado",INDEX(tCartera[PMI2027],MATCH("2467893",tCartera[CUI],0))))</f>
        <v>79091</v>
      </c>
      <c r="N39" s="231">
        <f>IF(COUNTIF(tCartera[CUI],"2467893")=0,"Sin PMI",IF(INDEX(tCartera[PMI2028],MATCH("2467893",tCartera[CUI],0))="","No informado",INDEX(tCartera[PMI2028],MATCH("2467893",tCartera[CUI],0))))</f>
        <v>583672</v>
      </c>
      <c r="O39" s="231">
        <f>IF(COUNTIF(tCartera[CUI],"2467893")=0,"Sin PMI",IF(INDEX(tCartera[PMI2029],MATCH("2467893",tCartera[CUI],0))="","No informado",INDEX(tCartera[PMI2029],MATCH("2467893",tCartera[CUI],0))))</f>
        <v>0</v>
      </c>
    </row>
    <row r="40" spans="1:15" ht="16.5" x14ac:dyDescent="0.2">
      <c r="A40" s="126" t="s">
        <v>92</v>
      </c>
      <c r="B40" s="126"/>
      <c r="C40" s="126"/>
      <c r="D40" s="50">
        <f>D41+D42+D43+D44+D45+D46+D47+D48+D49+D50+D51+D52+D53+D54+D55+D56+D57+D58+D59+D60+D61+D62+D63+D64</f>
        <v>87794613</v>
      </c>
      <c r="E40" s="50">
        <f>E41+E42+E43+E44+E45+E46+E47+E48+E49+E50+E51+E52+E53+E54+E55+E56+E57+E58+E59+E60+E61+E62+E63+E64</f>
        <v>83882330.739999995</v>
      </c>
      <c r="F40" s="50">
        <f>D40-E40</f>
        <v>3912282.2600000054</v>
      </c>
      <c r="G40" s="50">
        <f>G41+G42+G43+G44+G45+G46+G47+G48+G49+G50+G51+G52+G53+G54+G55+G56+G57+G58+G59+G60+G61+G62+G63+G64</f>
        <v>50834365.700000003</v>
      </c>
      <c r="H40" s="50">
        <f>D40-G40</f>
        <v>36960247.299999997</v>
      </c>
      <c r="I40" s="51">
        <f>IF(D40=0,0,G40/D40)</f>
        <v>0.57901463384775098</v>
      </c>
      <c r="J40" s="221"/>
      <c r="K40" s="221"/>
      <c r="L40" s="230"/>
      <c r="M40" s="230"/>
      <c r="N40" s="230"/>
      <c r="O40" s="230"/>
    </row>
    <row r="41" spans="1:15" ht="42" customHeight="1" x14ac:dyDescent="0.2">
      <c r="A41" s="52">
        <f>SUBTOTAL(103,$B$10:B41)</f>
        <v>29</v>
      </c>
      <c r="B41" s="53">
        <v>95</v>
      </c>
      <c r="C41" s="81" t="s">
        <v>148</v>
      </c>
      <c r="D41" s="54">
        <f>IF(COUNTIF(tSIAF[Clave],"2194702|95")=0,"",SUMIF(tSIAF[Clave],"2194702|95",tSIAF[PIM]))</f>
        <v>18401182</v>
      </c>
      <c r="E41" s="54">
        <f>IF(COUNTIF(tSIAF[Clave],"2194702|95")=0,"",SUMIF(tSIAF[Clave],"2194702|95",tSIAF[Certificacion]))</f>
        <v>17764557.93</v>
      </c>
      <c r="F41" s="54">
        <f>IF(D41="","",D41-E41)</f>
        <v>636624.0700000003</v>
      </c>
      <c r="G41" s="54">
        <f>IF(COUNTIF(tSIAF[Clave],"2194702|95")=0,"",SUMIF(tSIAF[Clave],"2194702|95",tSIAF[Devengado]))</f>
        <v>15484259.859999999</v>
      </c>
      <c r="H41" s="54">
        <f>IF(D41="","",D41-G41)</f>
        <v>2916922.1400000006</v>
      </c>
      <c r="I41" s="55">
        <f>IF(D41="","",IF(D41=0,0,G41/D41))</f>
        <v>0.84148180589703414</v>
      </c>
      <c r="J41" s="222" t="s">
        <v>687</v>
      </c>
      <c r="K41" s="222" t="s">
        <v>2299</v>
      </c>
      <c r="L41" s="231">
        <f>IF(COUNTIF(tCartera[CUI],"2194702")=0,"Sin PMI",IF(INDEX(tCartera[PMI2026],MATCH("2194702",tCartera[CUI],0))="","No informado",INDEX(tCartera[PMI2026],MATCH("2194702",tCartera[CUI],0))))</f>
        <v>9922902</v>
      </c>
      <c r="M41" s="231">
        <f>IF(COUNTIF(tCartera[CUI],"2194702")=0,"Sin PMI",IF(INDEX(tCartera[PMI2027],MATCH("2194702",tCartera[CUI],0))="","No informado",INDEX(tCartera[PMI2027],MATCH("2194702",tCartera[CUI],0))))</f>
        <v>180000</v>
      </c>
      <c r="N41" s="231">
        <f>IF(COUNTIF(tCartera[CUI],"2194702")=0,"Sin PMI",IF(INDEX(tCartera[PMI2028],MATCH("2194702",tCartera[CUI],0))="","No informado",INDEX(tCartera[PMI2028],MATCH("2194702",tCartera[CUI],0))))</f>
        <v>0</v>
      </c>
      <c r="O41" s="231">
        <f>IF(COUNTIF(tCartera[CUI],"2194702")=0,"Sin PMI",IF(INDEX(tCartera[PMI2029],MATCH("2194702",tCartera[CUI],0))="","No informado",INDEX(tCartera[PMI2029],MATCH("2194702",tCartera[CUI],0))))</f>
        <v>0</v>
      </c>
    </row>
    <row r="42" spans="1:15" ht="51" x14ac:dyDescent="0.2">
      <c r="A42" s="52">
        <f>SUBTOTAL(103,$B$10:B42)</f>
        <v>30</v>
      </c>
      <c r="B42" s="56">
        <v>98</v>
      </c>
      <c r="C42" s="81" t="s">
        <v>150</v>
      </c>
      <c r="D42" s="54">
        <f>IF(COUNTIF(tSIAF[Clave],"2287700|98")=0,"",SUMIF(tSIAF[Clave],"2287700|98",tSIAF[PIM]))</f>
        <v>10002053</v>
      </c>
      <c r="E42" s="54">
        <f>IF(COUNTIF(tSIAF[Clave],"2287700|98")=0,"",SUMIF(tSIAF[Clave],"2287700|98",tSIAF[Certificacion]))</f>
        <v>9636351.4800000004</v>
      </c>
      <c r="F42" s="54">
        <f>IF(D42="","",D42-E42)</f>
        <v>365701.51999999955</v>
      </c>
      <c r="G42" s="54">
        <f>IF(COUNTIF(tSIAF[Clave],"2287700|98")=0,"",SUMIF(tSIAF[Clave],"2287700|98",tSIAF[Devengado]))</f>
        <v>5473965.0599999996</v>
      </c>
      <c r="H42" s="54">
        <f>IF(D42="","",D42-G42)</f>
        <v>4528087.9400000004</v>
      </c>
      <c r="I42" s="55">
        <f>IF(D42="","",IF(D42=0,0,G42/D42))</f>
        <v>0.54728414856429974</v>
      </c>
      <c r="J42" s="222" t="s">
        <v>687</v>
      </c>
      <c r="K42" s="222" t="s">
        <v>2299</v>
      </c>
      <c r="L42" s="231">
        <f>IF(COUNTIF(tCartera[CUI],"2287700")=0,"Sin PMI",IF(INDEX(tCartera[PMI2026],MATCH("2287700",tCartera[CUI],0))="","No informado",INDEX(tCartera[PMI2026],MATCH("2287700",tCartera[CUI],0))))</f>
        <v>4289351</v>
      </c>
      <c r="M42" s="231">
        <f>IF(COUNTIF(tCartera[CUI],"2287700")=0,"Sin PMI",IF(INDEX(tCartera[PMI2027],MATCH("2287700",tCartera[CUI],0))="","No informado",INDEX(tCartera[PMI2027],MATCH("2287700",tCartera[CUI],0))))</f>
        <v>500000</v>
      </c>
      <c r="N42" s="231">
        <f>IF(COUNTIF(tCartera[CUI],"2287700")=0,"Sin PMI",IF(INDEX(tCartera[PMI2028],MATCH("2287700",tCartera[CUI],0))="","No informado",INDEX(tCartera[PMI2028],MATCH("2287700",tCartera[CUI],0))))</f>
        <v>109570</v>
      </c>
      <c r="O42" s="231">
        <f>IF(COUNTIF(tCartera[CUI],"2287700")=0,"Sin PMI",IF(INDEX(tCartera[PMI2029],MATCH("2287700",tCartera[CUI],0))="","No informado",INDEX(tCartera[PMI2029],MATCH("2287700",tCartera[CUI],0))))</f>
        <v>0</v>
      </c>
    </row>
    <row r="43" spans="1:15" ht="51" x14ac:dyDescent="0.2">
      <c r="A43" s="52">
        <f>SUBTOTAL(103,$B$10:B43)</f>
        <v>31</v>
      </c>
      <c r="B43" s="53">
        <v>112</v>
      </c>
      <c r="C43" s="81" t="s">
        <v>159</v>
      </c>
      <c r="D43" s="54">
        <f>IF(COUNTIF(tSIAF[Clave],"2480499|112")=0,"",SUMIF(tSIAF[Clave],"2480499|112",tSIAF[PIM]))</f>
        <v>3297813</v>
      </c>
      <c r="E43" s="54">
        <f>IF(COUNTIF(tSIAF[Clave],"2480499|112")=0,"",SUMIF(tSIAF[Clave],"2480499|112",tSIAF[Certificacion]))</f>
        <v>3286650.45</v>
      </c>
      <c r="F43" s="54">
        <f>IF(D43="","",D43-E43)</f>
        <v>11162.549999999814</v>
      </c>
      <c r="G43" s="54">
        <f>IF(COUNTIF(tSIAF[Clave],"2480499|112")=0,"",SUMIF(tSIAF[Clave],"2480499|112",tSIAF[Devengado]))</f>
        <v>3269277.28</v>
      </c>
      <c r="H43" s="54">
        <f>IF(D43="","",D43-G43)</f>
        <v>28535.720000000205</v>
      </c>
      <c r="I43" s="55">
        <f>IF(D43="","",IF(D43=0,0,G43/D43))</f>
        <v>0.99134707759354446</v>
      </c>
      <c r="J43" s="222" t="s">
        <v>687</v>
      </c>
      <c r="K43" s="222" t="s">
        <v>2299</v>
      </c>
      <c r="L43" s="231">
        <f>IF(COUNTIF(tCartera[CUI],"2480499")=0,"Sin PMI",IF(INDEX(tCartera[PMI2026],MATCH("2480499",tCartera[CUI],0))="","No informado",INDEX(tCartera[PMI2026],MATCH("2480499",tCartera[CUI],0))))</f>
        <v>5406629</v>
      </c>
      <c r="M43" s="231">
        <f>IF(COUNTIF(tCartera[CUI],"2480499")=0,"Sin PMI",IF(INDEX(tCartera[PMI2027],MATCH("2480499",tCartera[CUI],0))="","No informado",INDEX(tCartera[PMI2027],MATCH("2480499",tCartera[CUI],0))))</f>
        <v>0</v>
      </c>
      <c r="N43" s="231">
        <f>IF(COUNTIF(tCartera[CUI],"2480499")=0,"Sin PMI",IF(INDEX(tCartera[PMI2028],MATCH("2480499",tCartera[CUI],0))="","No informado",INDEX(tCartera[PMI2028],MATCH("2480499",tCartera[CUI],0))))</f>
        <v>304959</v>
      </c>
      <c r="O43" s="231">
        <f>IF(COUNTIF(tCartera[CUI],"2480499")=0,"Sin PMI",IF(INDEX(tCartera[PMI2029],MATCH("2480499",tCartera[CUI],0))="","No informado",INDEX(tCartera[PMI2029],MATCH("2480499",tCartera[CUI],0))))</f>
        <v>0</v>
      </c>
    </row>
    <row r="44" spans="1:15" ht="76.5" x14ac:dyDescent="0.2">
      <c r="A44" s="52">
        <f>SUBTOTAL(103,$B$10:B44)</f>
        <v>32</v>
      </c>
      <c r="B44" s="53">
        <v>99</v>
      </c>
      <c r="C44" s="81" t="s">
        <v>151</v>
      </c>
      <c r="D44" s="54">
        <f>IF(COUNTIF(tSIAF[Clave],"2300575|99")=0,"",SUMIF(tSIAF[Clave],"2300575|99",tSIAF[PIM]))</f>
        <v>2394023</v>
      </c>
      <c r="E44" s="54">
        <f>IF(COUNTIF(tSIAF[Clave],"2300575|99")=0,"",SUMIF(tSIAF[Clave],"2300575|99",tSIAF[Certificacion]))</f>
        <v>2316938.79</v>
      </c>
      <c r="F44" s="54">
        <f>IF(D44="","",D44-E44)</f>
        <v>77084.209999999963</v>
      </c>
      <c r="G44" s="54">
        <f>IF(COUNTIF(tSIAF[Clave],"2300575|99")=0,"",SUMIF(tSIAF[Clave],"2300575|99",tSIAF[Devengado]))</f>
        <v>1138698.8400000001</v>
      </c>
      <c r="H44" s="54">
        <f>IF(D44="","",D44-G44)</f>
        <v>1255324.1599999999</v>
      </c>
      <c r="I44" s="55">
        <f>IF(D44="","",IF(D44=0,0,G44/D44))</f>
        <v>0.47564239775474176</v>
      </c>
      <c r="J44" s="222" t="s">
        <v>687</v>
      </c>
      <c r="K44" s="222" t="s">
        <v>2299</v>
      </c>
      <c r="L44" s="231">
        <f>IF(COUNTIF(tCartera[CUI],"2300575")=0,"Sin PMI",IF(INDEX(tCartera[PMI2026],MATCH("2300575",tCartera[CUI],0))="","No informado",INDEX(tCartera[PMI2026],MATCH("2300575",tCartera[CUI],0))))</f>
        <v>3545977</v>
      </c>
      <c r="M44" s="231">
        <f>IF(COUNTIF(tCartera[CUI],"2300575")=0,"Sin PMI",IF(INDEX(tCartera[PMI2027],MATCH("2300575",tCartera[CUI],0))="","No informado",INDEX(tCartera[PMI2027],MATCH("2300575",tCartera[CUI],0))))</f>
        <v>1000000</v>
      </c>
      <c r="N44" s="231">
        <f>IF(COUNTIF(tCartera[CUI],"2300575")=0,"Sin PMI",IF(INDEX(tCartera[PMI2028],MATCH("2300575",tCartera[CUI],0))="","No informado",INDEX(tCartera[PMI2028],MATCH("2300575",tCartera[CUI],0))))</f>
        <v>3651450</v>
      </c>
      <c r="O44" s="231">
        <f>IF(COUNTIF(tCartera[CUI],"2300575")=0,"Sin PMI",IF(INDEX(tCartera[PMI2029],MATCH("2300575",tCartera[CUI],0))="","No informado",INDEX(tCartera[PMI2029],MATCH("2300575",tCartera[CUI],0))))</f>
        <v>1489826</v>
      </c>
    </row>
    <row r="45" spans="1:15" ht="42" customHeight="1" x14ac:dyDescent="0.2">
      <c r="A45" s="52">
        <f>SUBTOTAL(103,$B$10:B45)</f>
        <v>33</v>
      </c>
      <c r="B45" s="53">
        <v>87</v>
      </c>
      <c r="C45" s="81" t="s">
        <v>142</v>
      </c>
      <c r="D45" s="54">
        <f>IF(COUNTIF(tSIAF[Clave],"2031310|87")=0,"",SUMIF(tSIAF[Clave],"2031310|87",tSIAF[PIM]))</f>
        <v>1122559</v>
      </c>
      <c r="E45" s="54">
        <f>IF(COUNTIF(tSIAF[Clave],"2031310|87")=0,"",SUMIF(tSIAF[Clave],"2031310|87",tSIAF[Certificacion]))</f>
        <v>1117871.05</v>
      </c>
      <c r="F45" s="54">
        <f>IF(D45="","",D45-E45)</f>
        <v>4687.9499999999534</v>
      </c>
      <c r="G45" s="54">
        <f>IF(COUNTIF(tSIAF[Clave],"2031310|87")=0,"",SUMIF(tSIAF[Clave],"2031310|87",tSIAF[Devengado]))</f>
        <v>1042098.56</v>
      </c>
      <c r="H45" s="54">
        <f>IF(D45="","",D45-G45)</f>
        <v>80460.439999999944</v>
      </c>
      <c r="I45" s="55">
        <f>IF(D45="","",IF(D45=0,0,G45/D45))</f>
        <v>0.92832408808802036</v>
      </c>
      <c r="J45" s="222" t="s">
        <v>687</v>
      </c>
      <c r="K45" s="222" t="s">
        <v>2299</v>
      </c>
      <c r="L45" s="231">
        <f>IF(COUNTIF(tCartera[CUI],"2031310")=0,"Sin PMI",IF(INDEX(tCartera[PMI2026],MATCH("2031310",tCartera[CUI],0))="","No informado",INDEX(tCartera[PMI2026],MATCH("2031310",tCartera[CUI],0))))</f>
        <v>1404195</v>
      </c>
      <c r="M45" s="231">
        <f>IF(COUNTIF(tCartera[CUI],"2031310")=0,"Sin PMI",IF(INDEX(tCartera[PMI2027],MATCH("2031310",tCartera[CUI],0))="","No informado",INDEX(tCartera[PMI2027],MATCH("2031310",tCartera[CUI],0))))</f>
        <v>324567</v>
      </c>
      <c r="N45" s="231">
        <f>IF(COUNTIF(tCartera[CUI],"2031310")=0,"Sin PMI",IF(INDEX(tCartera[PMI2028],MATCH("2031310",tCartera[CUI],0))="","No informado",INDEX(tCartera[PMI2028],MATCH("2031310",tCartera[CUI],0))))</f>
        <v>0</v>
      </c>
      <c r="O45" s="231">
        <f>IF(COUNTIF(tCartera[CUI],"2031310")=0,"Sin PMI",IF(INDEX(tCartera[PMI2029],MATCH("2031310",tCartera[CUI],0))="","No informado",INDEX(tCartera[PMI2029],MATCH("2031310",tCartera[CUI],0))))</f>
        <v>936265</v>
      </c>
    </row>
    <row r="46" spans="1:15" ht="42" customHeight="1" x14ac:dyDescent="0.2">
      <c r="A46" s="52">
        <f>SUBTOTAL(103,$B$10:B46)</f>
        <v>34</v>
      </c>
      <c r="B46" s="53">
        <v>92</v>
      </c>
      <c r="C46" s="81" t="s">
        <v>146</v>
      </c>
      <c r="D46" s="54">
        <f>IF(COUNTIF(tSIAF[Clave],"2163760|92")=0,"",SUMIF(tSIAF[Clave],"2163760|92",tSIAF[PIM]))</f>
        <v>1202934</v>
      </c>
      <c r="E46" s="54">
        <f>IF(COUNTIF(tSIAF[Clave],"2163760|92")=0,"",SUMIF(tSIAF[Clave],"2163760|92",tSIAF[Certificacion]))</f>
        <v>1151623.79</v>
      </c>
      <c r="F46" s="54">
        <f>IF(D46="","",D46-E46)</f>
        <v>51310.209999999963</v>
      </c>
      <c r="G46" s="54">
        <f>IF(COUNTIF(tSIAF[Clave],"2163760|92")=0,"",SUMIF(tSIAF[Clave],"2163760|92",tSIAF[Devengado]))</f>
        <v>1105100.42</v>
      </c>
      <c r="H46" s="54">
        <f>IF(D46="","",D46-G46)</f>
        <v>97833.580000000075</v>
      </c>
      <c r="I46" s="55">
        <f>IF(D46="","",IF(D46=0,0,G46/D46))</f>
        <v>0.91867086639832274</v>
      </c>
      <c r="J46" s="222" t="s">
        <v>687</v>
      </c>
      <c r="K46" s="222" t="s">
        <v>2299</v>
      </c>
      <c r="L46" s="231">
        <f>IF(COUNTIF(tCartera[CUI],"2163760")=0,"Sin PMI",IF(INDEX(tCartera[PMI2026],MATCH("2163760",tCartera[CUI],0))="","No informado",INDEX(tCartera[PMI2026],MATCH("2163760",tCartera[CUI],0))))</f>
        <v>2596051</v>
      </c>
      <c r="M46" s="231">
        <f>IF(COUNTIF(tCartera[CUI],"2163760")=0,"Sin PMI",IF(INDEX(tCartera[PMI2027],MATCH("2163760",tCartera[CUI],0))="","No informado",INDEX(tCartera[PMI2027],MATCH("2163760",tCartera[CUI],0))))</f>
        <v>120000</v>
      </c>
      <c r="N46" s="231">
        <f>IF(COUNTIF(tCartera[CUI],"2163760")=0,"Sin PMI",IF(INDEX(tCartera[PMI2028],MATCH("2163760",tCartera[CUI],0))="","No informado",INDEX(tCartera[PMI2028],MATCH("2163760",tCartera[CUI],0))))</f>
        <v>2215461</v>
      </c>
      <c r="O46" s="231">
        <f>IF(COUNTIF(tCartera[CUI],"2163760")=0,"Sin PMI",IF(INDEX(tCartera[PMI2029],MATCH("2163760",tCartera[CUI],0))="","No informado",INDEX(tCartera[PMI2029],MATCH("2163760",tCartera[CUI],0))))</f>
        <v>3675255</v>
      </c>
    </row>
    <row r="47" spans="1:15" ht="42" customHeight="1" x14ac:dyDescent="0.2">
      <c r="A47" s="52">
        <f>SUBTOTAL(103,$B$10:B47)</f>
        <v>35</v>
      </c>
      <c r="B47" s="53">
        <v>104</v>
      </c>
      <c r="C47" s="81" t="s">
        <v>156</v>
      </c>
      <c r="D47" s="54">
        <f>IF(COUNTIF(tSIAF[Clave],"2375549|104")=0,"",SUMIF(tSIAF[Clave],"2375549|104",tSIAF[PIM]))</f>
        <v>167638</v>
      </c>
      <c r="E47" s="54">
        <f>IF(COUNTIF(tSIAF[Clave],"2375549|104")=0,"",SUMIF(tSIAF[Clave],"2375549|104",tSIAF[Certificacion]))</f>
        <v>167637.03</v>
      </c>
      <c r="F47" s="54">
        <f>IF(D47="","",D47-E47)</f>
        <v>0.97000000000116415</v>
      </c>
      <c r="G47" s="54">
        <f>IF(COUNTIF(tSIAF[Clave],"2375549|104")=0,"",SUMIF(tSIAF[Clave],"2375549|104",tSIAF[Devengado]))</f>
        <v>124800.07</v>
      </c>
      <c r="H47" s="54">
        <f>IF(D47="","",D47-G47)</f>
        <v>42837.929999999993</v>
      </c>
      <c r="I47" s="55">
        <f>IF(D47="","",IF(D47=0,0,G47/D47))</f>
        <v>0.74446169722855204</v>
      </c>
      <c r="J47" s="222" t="s">
        <v>687</v>
      </c>
      <c r="K47" s="222" t="s">
        <v>2299</v>
      </c>
      <c r="L47" s="231">
        <f>IF(COUNTIF(tCartera[CUI],"2375549")=0,"Sin PMI",IF(INDEX(tCartera[PMI2026],MATCH("2375549",tCartera[CUI],0))="","No informado",INDEX(tCartera[PMI2026],MATCH("2375549",tCartera[CUI],0))))</f>
        <v>1200000</v>
      </c>
      <c r="M47" s="231">
        <f>IF(COUNTIF(tCartera[CUI],"2375549")=0,"Sin PMI",IF(INDEX(tCartera[PMI2027],MATCH("2375549",tCartera[CUI],0))="","No informado",INDEX(tCartera[PMI2027],MATCH("2375549",tCartera[CUI],0))))</f>
        <v>2500000</v>
      </c>
      <c r="N47" s="231">
        <f>IF(COUNTIF(tCartera[CUI],"2375549")=0,"Sin PMI",IF(INDEX(tCartera[PMI2028],MATCH("2375549",tCartera[CUI],0))="","No informado",INDEX(tCartera[PMI2028],MATCH("2375549",tCartera[CUI],0))))</f>
        <v>2882362</v>
      </c>
      <c r="O47" s="231">
        <f>IF(COUNTIF(tCartera[CUI],"2375549")=0,"Sin PMI",IF(INDEX(tCartera[PMI2029],MATCH("2375549",tCartera[CUI],0))="","No informado",INDEX(tCartera[PMI2029],MATCH("2375549",tCartera[CUI],0))))</f>
        <v>1526602</v>
      </c>
    </row>
    <row r="48" spans="1:15" ht="51" x14ac:dyDescent="0.2">
      <c r="A48" s="52">
        <f>SUBTOTAL(103,$B$10:B48)</f>
        <v>36</v>
      </c>
      <c r="B48" s="53">
        <v>101</v>
      </c>
      <c r="C48" s="81" t="s">
        <v>153</v>
      </c>
      <c r="D48" s="54">
        <f>IF(COUNTIF(tSIAF[Clave],"2321290|101")=0,"",SUMIF(tSIAF[Clave],"2321290|101",tSIAF[PIM]))</f>
        <v>844818</v>
      </c>
      <c r="E48" s="54">
        <f>IF(COUNTIF(tSIAF[Clave],"2321290|101")=0,"",SUMIF(tSIAF[Clave],"2321290|101",tSIAF[Certificacion]))</f>
        <v>75387.03</v>
      </c>
      <c r="F48" s="54">
        <f>IF(D48="","",D48-E48)</f>
        <v>769430.97</v>
      </c>
      <c r="G48" s="54">
        <f>IF(COUNTIF(tSIAF[Clave],"2321290|101")=0,"",SUMIF(tSIAF[Clave],"2321290|101",tSIAF[Devengado]))</f>
        <v>75387.03</v>
      </c>
      <c r="H48" s="54">
        <f>IF(D48="","",D48-G48)</f>
        <v>769430.97</v>
      </c>
      <c r="I48" s="55">
        <f>IF(D48="","",IF(D48=0,0,G48/D48))</f>
        <v>8.9234639886934225E-2</v>
      </c>
      <c r="J48" s="222" t="s">
        <v>687</v>
      </c>
      <c r="K48" s="222" t="s">
        <v>2299</v>
      </c>
      <c r="L48" s="231">
        <f>IF(COUNTIF(tCartera[CUI],"2321290")=0,"Sin PMI",IF(INDEX(tCartera[PMI2026],MATCH("2321290",tCartera[CUI],0))="","No informado",INDEX(tCartera[PMI2026],MATCH("2321290",tCartera[CUI],0))))</f>
        <v>1050000</v>
      </c>
      <c r="M48" s="231">
        <f>IF(COUNTIF(tCartera[CUI],"2321290")=0,"Sin PMI",IF(INDEX(tCartera[PMI2027],MATCH("2321290",tCartera[CUI],0))="","No informado",INDEX(tCartera[PMI2027],MATCH("2321290",tCartera[CUI],0))))</f>
        <v>50000</v>
      </c>
      <c r="N48" s="231">
        <f>IF(COUNTIF(tCartera[CUI],"2321290")=0,"Sin PMI",IF(INDEX(tCartera[PMI2028],MATCH("2321290",tCartera[CUI],0))="","No informado",INDEX(tCartera[PMI2028],MATCH("2321290",tCartera[CUI],0))))</f>
        <v>1054806</v>
      </c>
      <c r="O48" s="231">
        <f>IF(COUNTIF(tCartera[CUI],"2321290")=0,"Sin PMI",IF(INDEX(tCartera[PMI2029],MATCH("2321290",tCartera[CUI],0))="","No informado",INDEX(tCartera[PMI2029],MATCH("2321290",tCartera[CUI],0))))</f>
        <v>0</v>
      </c>
    </row>
    <row r="49" spans="1:15" ht="51" x14ac:dyDescent="0.2">
      <c r="A49" s="52">
        <f>SUBTOTAL(103,$B$10:B49)</f>
        <v>37</v>
      </c>
      <c r="B49" s="53">
        <v>166</v>
      </c>
      <c r="C49" s="81" t="s">
        <v>96</v>
      </c>
      <c r="D49" s="54">
        <f>IF(COUNTIF(tSIAF[Clave],"2475053|166")=0,"",SUMIF(tSIAF[Clave],"2475053|166",tSIAF[PIM]))</f>
        <v>0</v>
      </c>
      <c r="E49" s="54">
        <f>IF(COUNTIF(tSIAF[Clave],"2475053|166")=0,"",SUMIF(tSIAF[Clave],"2475053|166",tSIAF[Certificacion]))</f>
        <v>0</v>
      </c>
      <c r="F49" s="54">
        <f>IF(D49="","",D49-E49)</f>
        <v>0</v>
      </c>
      <c r="G49" s="54">
        <f>IF(COUNTIF(tSIAF[Clave],"2475053|166")=0,"",SUMIF(tSIAF[Clave],"2475053|166",tSIAF[Devengado]))</f>
        <v>0</v>
      </c>
      <c r="H49" s="54">
        <f>IF(D49="","",D49-G49)</f>
        <v>0</v>
      </c>
      <c r="I49" s="55">
        <f>IF(D49="","",IF(D49=0,0,G49/D49))</f>
        <v>0</v>
      </c>
      <c r="J49" s="222" t="s">
        <v>687</v>
      </c>
      <c r="K49" s="222" t="s">
        <v>2299</v>
      </c>
      <c r="L49" s="231">
        <f>IF(COUNTIF(tCartera[CUI],"2475053")=0,"Sin PMI",IF(INDEX(tCartera[PMI2026],MATCH("2475053",tCartera[CUI],0))="","No informado",INDEX(tCartera[PMI2026],MATCH("2475053",tCartera[CUI],0))))</f>
        <v>675842</v>
      </c>
      <c r="M49" s="231">
        <f>IF(COUNTIF(tCartera[CUI],"2475053")=0,"Sin PMI",IF(INDEX(tCartera[PMI2027],MATCH("2475053",tCartera[CUI],0))="","No informado",INDEX(tCartera[PMI2027],MATCH("2475053",tCartera[CUI],0))))</f>
        <v>110000</v>
      </c>
      <c r="N49" s="231">
        <f>IF(COUNTIF(tCartera[CUI],"2475053")=0,"Sin PMI",IF(INDEX(tCartera[PMI2028],MATCH("2475053",tCartera[CUI],0))="","No informado",INDEX(tCartera[PMI2028],MATCH("2475053",tCartera[CUI],0))))</f>
        <v>0</v>
      </c>
      <c r="O49" s="231">
        <f>IF(COUNTIF(tCartera[CUI],"2475053")=0,"Sin PMI",IF(INDEX(tCartera[PMI2029],MATCH("2475053",tCartera[CUI],0))="","No informado",INDEX(tCartera[PMI2029],MATCH("2475053",tCartera[CUI],0))))</f>
        <v>0</v>
      </c>
    </row>
    <row r="50" spans="1:15" ht="42" customHeight="1" x14ac:dyDescent="0.2">
      <c r="A50" s="52">
        <f>SUBTOTAL(103,$B$10:B50)</f>
        <v>38</v>
      </c>
      <c r="B50" s="53">
        <v>90</v>
      </c>
      <c r="C50" s="81" t="s">
        <v>144</v>
      </c>
      <c r="D50" s="54">
        <f>IF(COUNTIF(tSIAF[Clave],"2131661|90")=0,"",SUMIF(tSIAF[Clave],"2131661|90",tSIAF[PIM]))</f>
        <v>459851</v>
      </c>
      <c r="E50" s="54">
        <f>IF(COUNTIF(tSIAF[Clave],"2131661|90")=0,"",SUMIF(tSIAF[Clave],"2131661|90",tSIAF[Certificacion]))</f>
        <v>344060.18</v>
      </c>
      <c r="F50" s="54">
        <f>IF(D50="","",D50-E50)</f>
        <v>115790.82</v>
      </c>
      <c r="G50" s="54">
        <f>IF(COUNTIF(tSIAF[Clave],"2131661|90")=0,"",SUMIF(tSIAF[Clave],"2131661|90",tSIAF[Devengado]))</f>
        <v>300345.76</v>
      </c>
      <c r="H50" s="54">
        <f>IF(D50="","",D50-G50)</f>
        <v>159505.24</v>
      </c>
      <c r="I50" s="55">
        <f>IF(D50="","",IF(D50=0,0,G50/D50))</f>
        <v>0.65313712485131059</v>
      </c>
      <c r="J50" s="222" t="s">
        <v>687</v>
      </c>
      <c r="K50" s="222" t="s">
        <v>2299</v>
      </c>
      <c r="L50" s="231">
        <f>IF(COUNTIF(tCartera[CUI],"2131661")=0,"Sin PMI",IF(INDEX(tCartera[PMI2026],MATCH("2131661",tCartera[CUI],0))="","No informado",INDEX(tCartera[PMI2026],MATCH("2131661",tCartera[CUI],0))))</f>
        <v>4800690</v>
      </c>
      <c r="M50" s="231">
        <f>IF(COUNTIF(tCartera[CUI],"2131661")=0,"Sin PMI",IF(INDEX(tCartera[PMI2027],MATCH("2131661",tCartera[CUI],0))="","No informado",INDEX(tCartera[PMI2027],MATCH("2131661",tCartera[CUI],0))))</f>
        <v>4000000</v>
      </c>
      <c r="N50" s="231">
        <f>IF(COUNTIF(tCartera[CUI],"2131661")=0,"Sin PMI",IF(INDEX(tCartera[PMI2028],MATCH("2131661",tCartera[CUI],0))="","No informado",INDEX(tCartera[PMI2028],MATCH("2131661",tCartera[CUI],0))))</f>
        <v>14883202</v>
      </c>
      <c r="O50" s="231">
        <f>IF(COUNTIF(tCartera[CUI],"2131661")=0,"Sin PMI",IF(INDEX(tCartera[PMI2029],MATCH("2131661",tCartera[CUI],0))="","No informado",INDEX(tCartera[PMI2029],MATCH("2131661",tCartera[CUI],0))))</f>
        <v>19038629</v>
      </c>
    </row>
    <row r="51" spans="1:15" ht="42" customHeight="1" x14ac:dyDescent="0.2">
      <c r="A51" s="52">
        <f>SUBTOTAL(103,$B$10:B51)</f>
        <v>39</v>
      </c>
      <c r="B51" s="53">
        <v>96</v>
      </c>
      <c r="C51" s="81" t="s">
        <v>149</v>
      </c>
      <c r="D51" s="54">
        <f>IF(COUNTIF(tSIAF[Clave],"2195487|96")=0,"",SUMIF(tSIAF[Clave],"2195487|96",tSIAF[PIM]))</f>
        <v>91759</v>
      </c>
      <c r="E51" s="54">
        <f>IF(COUNTIF(tSIAF[Clave],"2195487|96")=0,"",SUMIF(tSIAF[Clave],"2195487|96",tSIAF[Certificacion]))</f>
        <v>91758.5</v>
      </c>
      <c r="F51" s="54">
        <f>IF(D51="","",D51-E51)</f>
        <v>0.5</v>
      </c>
      <c r="G51" s="54">
        <f>IF(COUNTIF(tSIAF[Clave],"2195487|96")=0,"",SUMIF(tSIAF[Clave],"2195487|96",tSIAF[Devengado]))</f>
        <v>82094.58</v>
      </c>
      <c r="H51" s="54">
        <f>IF(D51="","",D51-G51)</f>
        <v>9664.4199999999983</v>
      </c>
      <c r="I51" s="55">
        <f>IF(D51="","",IF(D51=0,0,G51/D51))</f>
        <v>0.89467605357512614</v>
      </c>
      <c r="J51" s="222" t="s">
        <v>687</v>
      </c>
      <c r="K51" s="222" t="s">
        <v>2299</v>
      </c>
      <c r="L51" s="231">
        <f>IF(COUNTIF(tCartera[CUI],"2195487")=0,"Sin PMI",IF(INDEX(tCartera[PMI2026],MATCH("2195487",tCartera[CUI],0))="","No informado",INDEX(tCartera[PMI2026],MATCH("2195487",tCartera[CUI],0))))</f>
        <v>774665</v>
      </c>
      <c r="M51" s="231">
        <f>IF(COUNTIF(tCartera[CUI],"2195487")=0,"Sin PMI",IF(INDEX(tCartera[PMI2027],MATCH("2195487",tCartera[CUI],0))="","No informado",INDEX(tCartera[PMI2027],MATCH("2195487",tCartera[CUI],0))))</f>
        <v>0</v>
      </c>
      <c r="N51" s="231">
        <f>IF(COUNTIF(tCartera[CUI],"2195487")=0,"Sin PMI",IF(INDEX(tCartera[PMI2028],MATCH("2195487",tCartera[CUI],0))="","No informado",INDEX(tCartera[PMI2028],MATCH("2195487",tCartera[CUI],0))))</f>
        <v>707599</v>
      </c>
      <c r="O51" s="231">
        <f>IF(COUNTIF(tCartera[CUI],"2195487")=0,"Sin PMI",IF(INDEX(tCartera[PMI2029],MATCH("2195487",tCartera[CUI],0))="","No informado",INDEX(tCartera[PMI2029],MATCH("2195487",tCartera[CUI],0))))</f>
        <v>0</v>
      </c>
    </row>
    <row r="52" spans="1:15" ht="51" x14ac:dyDescent="0.2">
      <c r="A52" s="52">
        <f>SUBTOTAL(103,$B$10:B52)</f>
        <v>40</v>
      </c>
      <c r="B52" s="53">
        <v>113</v>
      </c>
      <c r="C52" s="81" t="s">
        <v>105</v>
      </c>
      <c r="D52" s="54">
        <f>IF(COUNTIF(tSIAF[Clave],"2514428|113")=0,"",SUMIF(tSIAF[Clave],"2514428|113",tSIAF[PIM]))</f>
        <v>104124</v>
      </c>
      <c r="E52" s="54">
        <f>IF(COUNTIF(tSIAF[Clave],"2514428|113")=0,"",SUMIF(tSIAF[Clave],"2514428|113",tSIAF[Certificacion]))</f>
        <v>48234.879999999997</v>
      </c>
      <c r="F52" s="54">
        <f>IF(D52="","",D52-E52)</f>
        <v>55889.120000000003</v>
      </c>
      <c r="G52" s="54">
        <f>IF(COUNTIF(tSIAF[Clave],"2514428|113")=0,"",SUMIF(tSIAF[Clave],"2514428|113",tSIAF[Devengado]))</f>
        <v>48234.879999999997</v>
      </c>
      <c r="H52" s="54">
        <f>IF(D52="","",D52-G52)</f>
        <v>55889.120000000003</v>
      </c>
      <c r="I52" s="55">
        <f>IF(D52="","",IF(D52=0,0,G52/D52))</f>
        <v>0.46324459298528675</v>
      </c>
      <c r="J52" s="222" t="s">
        <v>687</v>
      </c>
      <c r="K52" s="222" t="s">
        <v>2299</v>
      </c>
      <c r="L52" s="231">
        <f>IF(COUNTIF(tCartera[CUI],"2514428")=0,"Sin PMI",IF(INDEX(tCartera[PMI2026],MATCH("2514428",tCartera[CUI],0))="","No informado",INDEX(tCartera[PMI2026],MATCH("2514428",tCartera[CUI],0))))</f>
        <v>228677</v>
      </c>
      <c r="M52" s="231">
        <f>IF(COUNTIF(tCartera[CUI],"2514428")=0,"Sin PMI",IF(INDEX(tCartera[PMI2027],MATCH("2514428",tCartera[CUI],0))="","No informado",INDEX(tCartera[PMI2027],MATCH("2514428",tCartera[CUI],0))))</f>
        <v>0</v>
      </c>
      <c r="N52" s="231">
        <f>IF(COUNTIF(tCartera[CUI],"2514428")=0,"Sin PMI",IF(INDEX(tCartera[PMI2028],MATCH("2514428",tCartera[CUI],0))="","No informado",INDEX(tCartera[PMI2028],MATCH("2514428",tCartera[CUI],0))))</f>
        <v>0</v>
      </c>
      <c r="O52" s="231">
        <f>IF(COUNTIF(tCartera[CUI],"2514428")=0,"Sin PMI",IF(INDEX(tCartera[PMI2029],MATCH("2514428",tCartera[CUI],0))="","No informado",INDEX(tCartera[PMI2029],MATCH("2514428",tCartera[CUI],0))))</f>
        <v>865181</v>
      </c>
    </row>
    <row r="53" spans="1:15" ht="51" x14ac:dyDescent="0.2">
      <c r="A53" s="52">
        <f>SUBTOTAL(103,$B$10:B53)</f>
        <v>41</v>
      </c>
      <c r="B53" s="56">
        <v>107</v>
      </c>
      <c r="C53" s="81" t="s">
        <v>623</v>
      </c>
      <c r="D53" s="54">
        <f>IF(COUNTIF(tSIAF[Clave],"2436247|107")=0,"",SUMIF(tSIAF[Clave],"2436247|107",tSIAF[PIM]))</f>
        <v>22224878</v>
      </c>
      <c r="E53" s="54">
        <f>IF(COUNTIF(tSIAF[Clave],"2436247|107")=0,"",SUMIF(tSIAF[Clave],"2436247|107",tSIAF[Certificacion]))</f>
        <v>21946068.199999999</v>
      </c>
      <c r="F53" s="54">
        <f>IF(D53="","",D53-E53)</f>
        <v>278809.80000000075</v>
      </c>
      <c r="G53" s="54">
        <f>IF(COUNTIF(tSIAF[Clave],"2436247|107")=0,"",SUMIF(tSIAF[Clave],"2436247|107",tSIAF[Devengado]))</f>
        <v>7073509.5599999996</v>
      </c>
      <c r="H53" s="54">
        <f>IF(D53="","",D53-G53)</f>
        <v>15151368.440000001</v>
      </c>
      <c r="I53" s="55">
        <f>IF(D53="","",IF(D53=0,0,G53/D53))</f>
        <v>0.31826989376499615</v>
      </c>
      <c r="J53" s="222" t="s">
        <v>687</v>
      </c>
      <c r="K53" s="222" t="s">
        <v>2299</v>
      </c>
      <c r="L53" s="231" t="str">
        <f>IF(COUNTIF(tCartera[CUI],"2436247")=0,"Sin PMI",IF(INDEX(tCartera[PMI2026],MATCH("2436247",tCartera[CUI],0))="","No informado",INDEX(tCartera[PMI2026],MATCH("2436247",tCartera[CUI],0))))</f>
        <v>Sin PMI</v>
      </c>
      <c r="M53" s="231" t="str">
        <f>IF(COUNTIF(tCartera[CUI],"2436247")=0,"Sin PMI",IF(INDEX(tCartera[PMI2027],MATCH("2436247",tCartera[CUI],0))="","No informado",INDEX(tCartera[PMI2027],MATCH("2436247",tCartera[CUI],0))))</f>
        <v>Sin PMI</v>
      </c>
      <c r="N53" s="231" t="str">
        <f>IF(COUNTIF(tCartera[CUI],"2436247")=0,"Sin PMI",IF(INDEX(tCartera[PMI2028],MATCH("2436247",tCartera[CUI],0))="","No informado",INDEX(tCartera[PMI2028],MATCH("2436247",tCartera[CUI],0))))</f>
        <v>Sin PMI</v>
      </c>
      <c r="O53" s="231" t="str">
        <f>IF(COUNTIF(tCartera[CUI],"2436247")=0,"Sin PMI",IF(INDEX(tCartera[PMI2029],MATCH("2436247",tCartera[CUI],0))="","No informado",INDEX(tCartera[PMI2029],MATCH("2436247",tCartera[CUI],0))))</f>
        <v>Sin PMI</v>
      </c>
    </row>
    <row r="54" spans="1:15" ht="63.75" x14ac:dyDescent="0.2">
      <c r="A54" s="52">
        <f>SUBTOTAL(103,$B$10:B54)</f>
        <v>42</v>
      </c>
      <c r="B54" s="53">
        <v>124</v>
      </c>
      <c r="C54" s="81" t="s">
        <v>638</v>
      </c>
      <c r="D54" s="54">
        <f>IF(COUNTIF(tSIAF[Clave],"2603167|124")=0,"",SUMIF(tSIAF[Clave],"2603167|124",tSIAF[PIM]))</f>
        <v>11412366</v>
      </c>
      <c r="E54" s="54">
        <f>IF(COUNTIF(tSIAF[Clave],"2603167|124")=0,"",SUMIF(tSIAF[Clave],"2603167|124",tSIAF[Certificacion]))</f>
        <v>10878205.23</v>
      </c>
      <c r="F54" s="54">
        <f>IF(D54="","",D54-E54)</f>
        <v>534160.76999999955</v>
      </c>
      <c r="G54" s="54">
        <f>IF(COUNTIF(tSIAF[Clave],"2603167|124")=0,"",SUMIF(tSIAF[Clave],"2603167|124",tSIAF[Devengado]))</f>
        <v>6860678.4199999999</v>
      </c>
      <c r="H54" s="54">
        <f>IF(D54="","",D54-G54)</f>
        <v>4551687.58</v>
      </c>
      <c r="I54" s="55">
        <f>IF(D54="","",IF(D54=0,0,G54/D54))</f>
        <v>0.60116179414505277</v>
      </c>
      <c r="J54" s="222" t="s">
        <v>687</v>
      </c>
      <c r="K54" s="222" t="s">
        <v>2299</v>
      </c>
      <c r="L54" s="231">
        <f>IF(COUNTIF(tCartera[CUI],"2603167")=0,"Sin PMI",IF(INDEX(tCartera[PMI2026],MATCH("2603167",tCartera[CUI],0))="","No informado",INDEX(tCartera[PMI2026],MATCH("2603167",tCartera[CUI],0))))</f>
        <v>2800000</v>
      </c>
      <c r="M54" s="231">
        <f>IF(COUNTIF(tCartera[CUI],"2603167")=0,"Sin PMI",IF(INDEX(tCartera[PMI2027],MATCH("2603167",tCartera[CUI],0))="","No informado",INDEX(tCartera[PMI2027],MATCH("2603167",tCartera[CUI],0))))</f>
        <v>10234564</v>
      </c>
      <c r="N54" s="231">
        <f>IF(COUNTIF(tCartera[CUI],"2603167")=0,"Sin PMI",IF(INDEX(tCartera[PMI2028],MATCH("2603167",tCartera[CUI],0))="","No informado",INDEX(tCartera[PMI2028],MATCH("2603167",tCartera[CUI],0))))</f>
        <v>6182303</v>
      </c>
      <c r="O54" s="231">
        <f>IF(COUNTIF(tCartera[CUI],"2603167")=0,"Sin PMI",IF(INDEX(tCartera[PMI2029],MATCH("2603167",tCartera[CUI],0))="","No informado",INDEX(tCartera[PMI2029],MATCH("2603167",tCartera[CUI],0))))</f>
        <v>9563936</v>
      </c>
    </row>
    <row r="55" spans="1:15" ht="63.75" x14ac:dyDescent="0.2">
      <c r="A55" s="52">
        <f>SUBTOTAL(103,$B$10:B55)</f>
        <v>43</v>
      </c>
      <c r="B55" s="53">
        <v>116</v>
      </c>
      <c r="C55" s="81" t="s">
        <v>329</v>
      </c>
      <c r="D55" s="54">
        <f>IF(COUNTIF(tSIAF[Clave],"2585540|116")=0,"",SUMIF(tSIAF[Clave],"2585540|116",tSIAF[PIM]))</f>
        <v>6736048</v>
      </c>
      <c r="E55" s="54">
        <f>IF(COUNTIF(tSIAF[Clave],"2585540|116")=0,"",SUMIF(tSIAF[Clave],"2585540|116",tSIAF[Certificacion]))</f>
        <v>6652871.21</v>
      </c>
      <c r="F55" s="54">
        <f>IF(D55="","",D55-E55)</f>
        <v>83176.790000000037</v>
      </c>
      <c r="G55" s="54">
        <f>IF(COUNTIF(tSIAF[Clave],"2585540|116")=0,"",SUMIF(tSIAF[Clave],"2585540|116",tSIAF[Devengado]))</f>
        <v>3336854.35</v>
      </c>
      <c r="H55" s="54">
        <f>IF(D55="","",D55-G55)</f>
        <v>3399193.65</v>
      </c>
      <c r="I55" s="55">
        <f>IF(D55="","",IF(D55=0,0,G55/D55))</f>
        <v>0.49537270963627339</v>
      </c>
      <c r="J55" s="222" t="s">
        <v>687</v>
      </c>
      <c r="K55" s="222" t="s">
        <v>2299</v>
      </c>
      <c r="L55" s="231">
        <f>IF(COUNTIF(tCartera[CUI],"2585540")=0,"Sin PMI",IF(INDEX(tCartera[PMI2026],MATCH("2585540",tCartera[CUI],0))="","No informado",INDEX(tCartera[PMI2026],MATCH("2585540",tCartera[CUI],0))))</f>
        <v>800000</v>
      </c>
      <c r="M55" s="231">
        <f>IF(COUNTIF(tCartera[CUI],"2585540")=0,"Sin PMI",IF(INDEX(tCartera[PMI2027],MATCH("2585540",tCartera[CUI],0))="","No informado",INDEX(tCartera[PMI2027],MATCH("2585540",tCartera[CUI],0))))</f>
        <v>12057170</v>
      </c>
      <c r="N55" s="231">
        <f>IF(COUNTIF(tCartera[CUI],"2585540")=0,"Sin PMI",IF(INDEX(tCartera[PMI2028],MATCH("2585540",tCartera[CUI],0))="","No informado",INDEX(tCartera[PMI2028],MATCH("2585540",tCartera[CUI],0))))</f>
        <v>6000000</v>
      </c>
      <c r="O55" s="231">
        <f>IF(COUNTIF(tCartera[CUI],"2585540")=0,"Sin PMI",IF(INDEX(tCartera[PMI2029],MATCH("2585540",tCartera[CUI],0))="","No informado",INDEX(tCartera[PMI2029],MATCH("2585540",tCartera[CUI],0))))</f>
        <v>7375100</v>
      </c>
    </row>
    <row r="56" spans="1:15" ht="51" x14ac:dyDescent="0.2">
      <c r="A56" s="52">
        <f>SUBTOTAL(103,$B$10:B56)</f>
        <v>44</v>
      </c>
      <c r="B56" s="53">
        <v>123</v>
      </c>
      <c r="C56" s="81" t="s">
        <v>302</v>
      </c>
      <c r="D56" s="54">
        <f>IF(COUNTIF(tSIAF[Clave],"2603165|123")=0,"",SUMIF(tSIAF[Clave],"2603165|123",tSIAF[PIM]))</f>
        <v>9037622</v>
      </c>
      <c r="E56" s="54">
        <f>IF(COUNTIF(tSIAF[Clave],"2603165|123")=0,"",SUMIF(tSIAF[Clave],"2603165|123",tSIAF[Certificacion]))</f>
        <v>8236997.0899999999</v>
      </c>
      <c r="F56" s="54">
        <f>IF(D56="","",D56-E56)</f>
        <v>800624.91000000015</v>
      </c>
      <c r="G56" s="54">
        <f>IF(COUNTIF(tSIAF[Clave],"2603165|123")=0,"",SUMIF(tSIAF[Clave],"2603165|123",tSIAF[Devengado]))</f>
        <v>5290297.7</v>
      </c>
      <c r="H56" s="54">
        <f>IF(D56="","",D56-G56)</f>
        <v>3747324.3</v>
      </c>
      <c r="I56" s="55">
        <f>IF(D56="","",IF(D56=0,0,G56/D56))</f>
        <v>0.58536390435448615</v>
      </c>
      <c r="J56" s="222" t="s">
        <v>687</v>
      </c>
      <c r="K56" s="222" t="s">
        <v>2299</v>
      </c>
      <c r="L56" s="231">
        <f>IF(COUNTIF(tCartera[CUI],"2603165")=0,"Sin PMI",IF(INDEX(tCartera[PMI2026],MATCH("2603165",tCartera[CUI],0))="","No informado",INDEX(tCartera[PMI2026],MATCH("2603165",tCartera[CUI],0))))</f>
        <v>2500000</v>
      </c>
      <c r="M56" s="231">
        <f>IF(COUNTIF(tCartera[CUI],"2603165")=0,"Sin PMI",IF(INDEX(tCartera[PMI2027],MATCH("2603165",tCartera[CUI],0))="","No informado",INDEX(tCartera[PMI2027],MATCH("2603165",tCartera[CUI],0))))</f>
        <v>6578987</v>
      </c>
      <c r="N56" s="231">
        <f>IF(COUNTIF(tCartera[CUI],"2603165")=0,"Sin PMI",IF(INDEX(tCartera[PMI2028],MATCH("2603165",tCartera[CUI],0))="","No informado",INDEX(tCartera[PMI2028],MATCH("2603165",tCartera[CUI],0))))</f>
        <v>6552040</v>
      </c>
      <c r="O56" s="231">
        <f>IF(COUNTIF(tCartera[CUI],"2603165")=0,"Sin PMI",IF(INDEX(tCartera[PMI2029],MATCH("2603165",tCartera[CUI],0))="","No informado",INDEX(tCartera[PMI2029],MATCH("2603165",tCartera[CUI],0))))</f>
        <v>2921013</v>
      </c>
    </row>
    <row r="57" spans="1:15" ht="42" customHeight="1" x14ac:dyDescent="0.2">
      <c r="A57" s="52">
        <f>SUBTOTAL(103,$B$10:B57)</f>
        <v>45</v>
      </c>
      <c r="B57" s="53">
        <v>94</v>
      </c>
      <c r="C57" s="81" t="s">
        <v>147</v>
      </c>
      <c r="D57" s="54">
        <f>IF(COUNTIF(tSIAF[Clave],"2185578|94")=0,"",SUMIF(tSIAF[Clave],"2185578|94",tSIAF[PIM]))</f>
        <v>67139</v>
      </c>
      <c r="E57" s="54">
        <f>IF(COUNTIF(tSIAF[Clave],"2185578|94")=0,"",SUMIF(tSIAF[Clave],"2185578|94",tSIAF[Certificacion]))</f>
        <v>0</v>
      </c>
      <c r="F57" s="54">
        <f>IF(D57="","",D57-E57)</f>
        <v>67139</v>
      </c>
      <c r="G57" s="54">
        <f>IF(COUNTIF(tSIAF[Clave],"2185578|94")=0,"",SUMIF(tSIAF[Clave],"2185578|94",tSIAF[Devengado]))</f>
        <v>0</v>
      </c>
      <c r="H57" s="54">
        <f>IF(D57="","",D57-G57)</f>
        <v>67139</v>
      </c>
      <c r="I57" s="55">
        <f>IF(D57="","",IF(D57=0,0,G57/D57))</f>
        <v>0</v>
      </c>
      <c r="J57" s="222" t="s">
        <v>687</v>
      </c>
      <c r="K57" s="222" t="s">
        <v>2299</v>
      </c>
      <c r="L57" s="231">
        <f>IF(COUNTIF(tCartera[CUI],"2185578")=0,"Sin PMI",IF(INDEX(tCartera[PMI2026],MATCH("2185578",tCartera[CUI],0))="","No informado",INDEX(tCartera[PMI2026],MATCH("2185578",tCartera[CUI],0))))</f>
        <v>1732548</v>
      </c>
      <c r="M57" s="231">
        <f>IF(COUNTIF(tCartera[CUI],"2185578")=0,"Sin PMI",IF(INDEX(tCartera[PMI2027],MATCH("2185578",tCartera[CUI],0))="","No informado",INDEX(tCartera[PMI2027],MATCH("2185578",tCartera[CUI],0))))</f>
        <v>0</v>
      </c>
      <c r="N57" s="231">
        <f>IF(COUNTIF(tCartera[CUI],"2185578")=0,"Sin PMI",IF(INDEX(tCartera[PMI2028],MATCH("2185578",tCartera[CUI],0))="","No informado",INDEX(tCartera[PMI2028],MATCH("2185578",tCartera[CUI],0))))</f>
        <v>2325267</v>
      </c>
      <c r="O57" s="231">
        <f>IF(COUNTIF(tCartera[CUI],"2185578")=0,"Sin PMI",IF(INDEX(tCartera[PMI2029],MATCH("2185578",tCartera[CUI],0))="","No informado",INDEX(tCartera[PMI2029],MATCH("2185578",tCartera[CUI],0))))</f>
        <v>0</v>
      </c>
    </row>
    <row r="58" spans="1:15" ht="51" x14ac:dyDescent="0.2">
      <c r="A58" s="52">
        <f>SUBTOTAL(103,$B$10:B58)</f>
        <v>46</v>
      </c>
      <c r="B58" s="56">
        <v>433</v>
      </c>
      <c r="C58" s="81" t="s">
        <v>456</v>
      </c>
      <c r="D58" s="54">
        <f>IF(COUNTIF(tSIAF[Clave],"2515272|433")=0,"",SUMIF(tSIAF[Clave],"2515272|433",tSIAF[PIM]))</f>
        <v>105000</v>
      </c>
      <c r="E58" s="54">
        <f>IF(COUNTIF(tSIAF[Clave],"2515272|433")=0,"",SUMIF(tSIAF[Clave],"2515272|433",tSIAF[Certificacion]))</f>
        <v>44312.3</v>
      </c>
      <c r="F58" s="54">
        <f>IF(D58="","",D58-E58)</f>
        <v>60687.7</v>
      </c>
      <c r="G58" s="54">
        <f>IF(COUNTIF(tSIAF[Clave],"2515272|433")=0,"",SUMIF(tSIAF[Clave],"2515272|433",tSIAF[Devengado]))</f>
        <v>39935.870000000003</v>
      </c>
      <c r="H58" s="54">
        <f>IF(D58="","",D58-G58)</f>
        <v>65064.13</v>
      </c>
      <c r="I58" s="55">
        <f>IF(D58="","",IF(D58=0,0,G58/D58))</f>
        <v>0.3803416190476191</v>
      </c>
      <c r="J58" s="222" t="s">
        <v>687</v>
      </c>
      <c r="K58" s="222" t="s">
        <v>2299</v>
      </c>
      <c r="L58" s="231">
        <f>IF(COUNTIF(tCartera[CUI],"2515272")=0,"Sin PMI",IF(INDEX(tCartera[PMI2026],MATCH("2515272",tCartera[CUI],0))="","No informado",INDEX(tCartera[PMI2026],MATCH("2515272",tCartera[CUI],0))))</f>
        <v>105000</v>
      </c>
      <c r="M58" s="231">
        <f>IF(COUNTIF(tCartera[CUI],"2515272")=0,"Sin PMI",IF(INDEX(tCartera[PMI2027],MATCH("2515272",tCartera[CUI],0))="","No informado",INDEX(tCartera[PMI2027],MATCH("2515272",tCartera[CUI],0))))</f>
        <v>0</v>
      </c>
      <c r="N58" s="231">
        <f>IF(COUNTIF(tCartera[CUI],"2515272")=0,"Sin PMI",IF(INDEX(tCartera[PMI2028],MATCH("2515272",tCartera[CUI],0))="","No informado",INDEX(tCartera[PMI2028],MATCH("2515272",tCartera[CUI],0))))</f>
        <v>0</v>
      </c>
      <c r="O58" s="231">
        <f>IF(COUNTIF(tCartera[CUI],"2515272")=0,"Sin PMI",IF(INDEX(tCartera[PMI2029],MATCH("2515272",tCartera[CUI],0))="","No informado",INDEX(tCartera[PMI2029],MATCH("2515272",tCartera[CUI],0))))</f>
        <v>0</v>
      </c>
    </row>
    <row r="59" spans="1:15" ht="63.75" x14ac:dyDescent="0.2">
      <c r="A59" s="52">
        <f>SUBTOTAL(103,$B$10:B59)</f>
        <v>47</v>
      </c>
      <c r="B59" s="56">
        <v>508</v>
      </c>
      <c r="C59" s="81" t="s">
        <v>646</v>
      </c>
      <c r="D59" s="54">
        <f>IF(COUNTIF(tSIAF[Clave],"2585540|508")=0,"",SUMIF(tSIAF[Clave],"2585540|508",tSIAF[PIM]))</f>
        <v>94054</v>
      </c>
      <c r="E59" s="54">
        <f>IF(COUNTIF(tSIAF[Clave],"2585540|508")=0,"",SUMIF(tSIAF[Clave],"2585540|508",tSIAF[Certificacion]))</f>
        <v>94054</v>
      </c>
      <c r="F59" s="54">
        <f>IF(D59="","",D59-E59)</f>
        <v>0</v>
      </c>
      <c r="G59" s="54">
        <f>IF(COUNTIF(tSIAF[Clave],"2585540|508")=0,"",SUMIF(tSIAF[Clave],"2585540|508",tSIAF[Devengado]))</f>
        <v>60075.86</v>
      </c>
      <c r="H59" s="54">
        <f>IF(D59="","",D59-G59)</f>
        <v>33978.14</v>
      </c>
      <c r="I59" s="55">
        <f>IF(D59="","",IF(D59=0,0,G59/D59))</f>
        <v>0.63873795904480402</v>
      </c>
      <c r="J59" s="222" t="s">
        <v>687</v>
      </c>
      <c r="K59" s="222" t="s">
        <v>2299</v>
      </c>
      <c r="L59" s="231">
        <f>IF(COUNTIF(tCartera[CUI],"2585540")=0,"Sin PMI",IF(INDEX(tCartera[PMI2026],MATCH("2585540",tCartera[CUI],0))="","No informado",INDEX(tCartera[PMI2026],MATCH("2585540",tCartera[CUI],0))))</f>
        <v>800000</v>
      </c>
      <c r="M59" s="231">
        <f>IF(COUNTIF(tCartera[CUI],"2585540")=0,"Sin PMI",IF(INDEX(tCartera[PMI2027],MATCH("2585540",tCartera[CUI],0))="","No informado",INDEX(tCartera[PMI2027],MATCH("2585540",tCartera[CUI],0))))</f>
        <v>12057170</v>
      </c>
      <c r="N59" s="231">
        <f>IF(COUNTIF(tCartera[CUI],"2585540")=0,"Sin PMI",IF(INDEX(tCartera[PMI2028],MATCH("2585540",tCartera[CUI],0))="","No informado",INDEX(tCartera[PMI2028],MATCH("2585540",tCartera[CUI],0))))</f>
        <v>6000000</v>
      </c>
      <c r="O59" s="231">
        <f>IF(COUNTIF(tCartera[CUI],"2585540")=0,"Sin PMI",IF(INDEX(tCartera[PMI2029],MATCH("2585540",tCartera[CUI],0))="","No informado",INDEX(tCartera[PMI2029],MATCH("2585540",tCartera[CUI],0))))</f>
        <v>7375100</v>
      </c>
    </row>
    <row r="60" spans="1:15" ht="51" x14ac:dyDescent="0.2">
      <c r="A60" s="52">
        <f>SUBTOTAL(103,$B$10:B60)</f>
        <v>48</v>
      </c>
      <c r="B60" s="56">
        <v>457</v>
      </c>
      <c r="C60" s="81" t="s">
        <v>647</v>
      </c>
      <c r="D60" s="54">
        <f>IF(COUNTIF(tSIAF[Clave],"2440946|457")=0,"",SUMIF(tSIAF[Clave],"2440946|457",tSIAF[PIM]))</f>
        <v>28752</v>
      </c>
      <c r="E60" s="54">
        <f>IF(COUNTIF(tSIAF[Clave],"2440946|457")=0,"",SUMIF(tSIAF[Clave],"2440946|457",tSIAF[Certificacion]))</f>
        <v>28751.599999999999</v>
      </c>
      <c r="F60" s="54">
        <f>IF(D60="","",D60-E60)</f>
        <v>0.40000000000145519</v>
      </c>
      <c r="G60" s="54">
        <f>IF(COUNTIF(tSIAF[Clave],"2440946|457")=0,"",SUMIF(tSIAF[Clave],"2440946|457",tSIAF[Devengado]))</f>
        <v>28751.599999999999</v>
      </c>
      <c r="H60" s="54">
        <f>IF(D60="","",D60-G60)</f>
        <v>0.40000000000145519</v>
      </c>
      <c r="I60" s="55">
        <f>IF(D60="","",IF(D60=0,0,G60/D60))</f>
        <v>0.99998608792431831</v>
      </c>
      <c r="J60" s="222" t="s">
        <v>687</v>
      </c>
      <c r="K60" s="222" t="s">
        <v>2299</v>
      </c>
      <c r="L60" s="231">
        <f>IF(COUNTIF(tCartera[CUI],"2440946")=0,"Sin PMI",IF(INDEX(tCartera[PMI2026],MATCH("2440946",tCartera[CUI],0))="","No informado",INDEX(tCartera[PMI2026],MATCH("2440946",tCartera[CUI],0))))</f>
        <v>28752</v>
      </c>
      <c r="M60" s="231">
        <f>IF(COUNTIF(tCartera[CUI],"2440946")=0,"Sin PMI",IF(INDEX(tCartera[PMI2027],MATCH("2440946",tCartera[CUI],0))="","No informado",INDEX(tCartera[PMI2027],MATCH("2440946",tCartera[CUI],0))))</f>
        <v>50000</v>
      </c>
      <c r="N60" s="231">
        <f>IF(COUNTIF(tCartera[CUI],"2440946")=0,"Sin PMI",IF(INDEX(tCartera[PMI2028],MATCH("2440946",tCartera[CUI],0))="","No informado",INDEX(tCartera[PMI2028],MATCH("2440946",tCartera[CUI],0))))</f>
        <v>0</v>
      </c>
      <c r="O60" s="231">
        <f>IF(COUNTIF(tCartera[CUI],"2440946")=0,"Sin PMI",IF(INDEX(tCartera[PMI2029],MATCH("2440946",tCartera[CUI],0))="","No informado",INDEX(tCartera[PMI2029],MATCH("2440946",tCartera[CUI],0))))</f>
        <v>0</v>
      </c>
    </row>
    <row r="61" spans="1:15" ht="42" customHeight="1" x14ac:dyDescent="0.2">
      <c r="A61" s="52">
        <f>SUBTOTAL(103,$B$10:B61)</f>
        <v>49</v>
      </c>
      <c r="B61" s="53">
        <v>88</v>
      </c>
      <c r="C61" s="81" t="s">
        <v>143</v>
      </c>
      <c r="D61" s="54">
        <f>IF(COUNTIF(tSIAF[Clave],"2055915|88")=0,"",SUMIF(tSIAF[Clave],"2055915|88",tSIAF[PIM]))</f>
        <v>0</v>
      </c>
      <c r="E61" s="54">
        <f>IF(COUNTIF(tSIAF[Clave],"2055915|88")=0,"",SUMIF(tSIAF[Clave],"2055915|88",tSIAF[Certificacion]))</f>
        <v>0</v>
      </c>
      <c r="F61" s="54">
        <f>IF(D61="","",D61-E61)</f>
        <v>0</v>
      </c>
      <c r="G61" s="54">
        <f>IF(COUNTIF(tSIAF[Clave],"2055915|88")=0,"",SUMIF(tSIAF[Clave],"2055915|88",tSIAF[Devengado]))</f>
        <v>0</v>
      </c>
      <c r="H61" s="54">
        <f>IF(D61="","",D61-G61)</f>
        <v>0</v>
      </c>
      <c r="I61" s="55">
        <f>IF(D61="","",IF(D61=0,0,G61/D61))</f>
        <v>0</v>
      </c>
      <c r="J61" s="222" t="s">
        <v>687</v>
      </c>
      <c r="K61" s="222" t="s">
        <v>2299</v>
      </c>
      <c r="L61" s="231">
        <f>IF(COUNTIF(tCartera[CUI],"2055915")=0,"Sin PMI",IF(INDEX(tCartera[PMI2026],MATCH("2055915",tCartera[CUI],0))="","No informado",INDEX(tCartera[PMI2026],MATCH("2055915",tCartera[CUI],0))))</f>
        <v>7600000</v>
      </c>
      <c r="M61" s="231">
        <f>IF(COUNTIF(tCartera[CUI],"2055915")=0,"Sin PMI",IF(INDEX(tCartera[PMI2027],MATCH("2055915",tCartera[CUI],0))="","No informado",INDEX(tCartera[PMI2027],MATCH("2055915",tCartera[CUI],0))))</f>
        <v>413080</v>
      </c>
      <c r="N61" s="231">
        <f>IF(COUNTIF(tCartera[CUI],"2055915")=0,"Sin PMI",IF(INDEX(tCartera[PMI2028],MATCH("2055915",tCartera[CUI],0))="","No informado",INDEX(tCartera[PMI2028],MATCH("2055915",tCartera[CUI],0))))</f>
        <v>1413086</v>
      </c>
      <c r="O61" s="231">
        <f>IF(COUNTIF(tCartera[CUI],"2055915")=0,"Sin PMI",IF(INDEX(tCartera[PMI2029],MATCH("2055915",tCartera[CUI],0))="","No informado",INDEX(tCartera[PMI2029],MATCH("2055915",tCartera[CUI],0))))</f>
        <v>5797708</v>
      </c>
    </row>
    <row r="62" spans="1:15" ht="42" customHeight="1" x14ac:dyDescent="0.2">
      <c r="A62" s="52">
        <f>SUBTOTAL(103,$B$10:B62)</f>
        <v>50</v>
      </c>
      <c r="B62" s="53">
        <v>89</v>
      </c>
      <c r="C62" s="81" t="s">
        <v>198</v>
      </c>
      <c r="D62" s="54">
        <f>IF(COUNTIF(tSIAF[Clave],"2131389|89")=0,"",SUMIF(tSIAF[Clave],"2131389|89",tSIAF[PIM]))</f>
        <v>0</v>
      </c>
      <c r="E62" s="54">
        <f>IF(COUNTIF(tSIAF[Clave],"2131389|89")=0,"",SUMIF(tSIAF[Clave],"2131389|89",tSIAF[Certificacion]))</f>
        <v>0</v>
      </c>
      <c r="F62" s="54">
        <f>IF(D62="","",D62-E62)</f>
        <v>0</v>
      </c>
      <c r="G62" s="54">
        <f>IF(COUNTIF(tSIAF[Clave],"2131389|89")=0,"",SUMIF(tSIAF[Clave],"2131389|89",tSIAF[Devengado]))</f>
        <v>0</v>
      </c>
      <c r="H62" s="54">
        <f>IF(D62="","",D62-G62)</f>
        <v>0</v>
      </c>
      <c r="I62" s="55">
        <f>IF(D62="","",IF(D62=0,0,G62/D62))</f>
        <v>0</v>
      </c>
      <c r="J62" s="222" t="s">
        <v>687</v>
      </c>
      <c r="K62" s="222" t="s">
        <v>2299</v>
      </c>
      <c r="L62" s="231">
        <f>IF(COUNTIF(tCartera[CUI],"2131389")=0,"Sin PMI",IF(INDEX(tCartera[PMI2026],MATCH("2131389",tCartera[CUI],0))="","No informado",INDEX(tCartera[PMI2026],MATCH("2131389",tCartera[CUI],0))))</f>
        <v>3778561</v>
      </c>
      <c r="M62" s="231">
        <f>IF(COUNTIF(tCartera[CUI],"2131389")=0,"Sin PMI",IF(INDEX(tCartera[PMI2027],MATCH("2131389",tCartera[CUI],0))="","No informado",INDEX(tCartera[PMI2027],MATCH("2131389",tCartera[CUI],0))))</f>
        <v>0</v>
      </c>
      <c r="N62" s="231">
        <f>IF(COUNTIF(tCartera[CUI],"2131389")=0,"Sin PMI",IF(INDEX(tCartera[PMI2028],MATCH("2131389",tCartera[CUI],0))="","No informado",INDEX(tCartera[PMI2028],MATCH("2131389",tCartera[CUI],0))))</f>
        <v>0</v>
      </c>
      <c r="O62" s="231">
        <f>IF(COUNTIF(tCartera[CUI],"2131389")=0,"Sin PMI",IF(INDEX(tCartera[PMI2029],MATCH("2131389",tCartera[CUI],0))="","No informado",INDEX(tCartera[PMI2029],MATCH("2131389",tCartera[CUI],0))))</f>
        <v>1047863</v>
      </c>
    </row>
    <row r="63" spans="1:15" ht="42" customHeight="1" x14ac:dyDescent="0.2">
      <c r="A63" s="52">
        <f>SUBTOTAL(103,$B$10:B63)</f>
        <v>51</v>
      </c>
      <c r="B63" s="56">
        <v>97</v>
      </c>
      <c r="C63" s="81" t="s">
        <v>248</v>
      </c>
      <c r="D63" s="54">
        <f>IF(COUNTIF(tSIAF[Clave],"2232371|97")=0,"",SUMIF(tSIAF[Clave],"2232371|97",tSIAF[PIM]))</f>
        <v>0</v>
      </c>
      <c r="E63" s="54">
        <f>IF(COUNTIF(tSIAF[Clave],"2232371|97")=0,"",SUMIF(tSIAF[Clave],"2232371|97",tSIAF[Certificacion]))</f>
        <v>0</v>
      </c>
      <c r="F63" s="54">
        <f>IF(D63="","",D63-E63)</f>
        <v>0</v>
      </c>
      <c r="G63" s="54">
        <f>IF(COUNTIF(tSIAF[Clave],"2232371|97")=0,"",SUMIF(tSIAF[Clave],"2232371|97",tSIAF[Devengado]))</f>
        <v>0</v>
      </c>
      <c r="H63" s="54">
        <f>IF(D63="","",D63-G63)</f>
        <v>0</v>
      </c>
      <c r="I63" s="55">
        <f>IF(D63="","",IF(D63=0,0,G63/D63))</f>
        <v>0</v>
      </c>
      <c r="J63" s="222" t="s">
        <v>687</v>
      </c>
      <c r="K63" s="222" t="s">
        <v>2299</v>
      </c>
      <c r="L63" s="231">
        <f>IF(COUNTIF(tCartera[CUI],"2232371")=0,"Sin PMI",IF(INDEX(tCartera[PMI2026],MATCH("2232371",tCartera[CUI],0))="","No informado",INDEX(tCartera[PMI2026],MATCH("2232371",tCartera[CUI],0))))</f>
        <v>1023926</v>
      </c>
      <c r="M63" s="231">
        <f>IF(COUNTIF(tCartera[CUI],"2232371")=0,"Sin PMI",IF(INDEX(tCartera[PMI2027],MATCH("2232371",tCartera[CUI],0))="","No informado",INDEX(tCartera[PMI2027],MATCH("2232371",tCartera[CUI],0))))</f>
        <v>0</v>
      </c>
      <c r="N63" s="231">
        <f>IF(COUNTIF(tCartera[CUI],"2232371")=0,"Sin PMI",IF(INDEX(tCartera[PMI2028],MATCH("2232371",tCartera[CUI],0))="","No informado",INDEX(tCartera[PMI2028],MATCH("2232371",tCartera[CUI],0))))</f>
        <v>0</v>
      </c>
      <c r="O63" s="231">
        <f>IF(COUNTIF(tCartera[CUI],"2232371")=0,"Sin PMI",IF(INDEX(tCartera[PMI2029],MATCH("2232371",tCartera[CUI],0))="","No informado",INDEX(tCartera[PMI2029],MATCH("2232371",tCartera[CUI],0))))</f>
        <v>0</v>
      </c>
    </row>
    <row r="64" spans="1:15" ht="42" customHeight="1" x14ac:dyDescent="0.2">
      <c r="A64" s="52">
        <f>SUBTOTAL(103,$B$10:B64)</f>
        <v>52</v>
      </c>
      <c r="B64" s="53">
        <v>108</v>
      </c>
      <c r="C64" s="81" t="s">
        <v>157</v>
      </c>
      <c r="D64" s="54">
        <f>IF(COUNTIF(tSIAF[Clave],"2443679|108")=0,"",SUMIF(tSIAF[Clave],"2443679|108",tSIAF[PIM]))</f>
        <v>0</v>
      </c>
      <c r="E64" s="54">
        <f>IF(COUNTIF(tSIAF[Clave],"2443679|108")=0,"",SUMIF(tSIAF[Clave],"2443679|108",tSIAF[Certificacion]))</f>
        <v>0</v>
      </c>
      <c r="F64" s="54">
        <f>IF(D64="","",D64-E64)</f>
        <v>0</v>
      </c>
      <c r="G64" s="54">
        <f>IF(COUNTIF(tSIAF[Clave],"2443679|108")=0,"",SUMIF(tSIAF[Clave],"2443679|108",tSIAF[Devengado]))</f>
        <v>0</v>
      </c>
      <c r="H64" s="54">
        <f>IF(D64="","",D64-G64)</f>
        <v>0</v>
      </c>
      <c r="I64" s="55">
        <f>IF(D64="","",IF(D64=0,0,G64/D64))</f>
        <v>0</v>
      </c>
      <c r="J64" s="222" t="s">
        <v>687</v>
      </c>
      <c r="K64" s="222" t="s">
        <v>2299</v>
      </c>
      <c r="L64" s="231">
        <f>IF(COUNTIF(tCartera[CUI],"2443679")=0,"Sin PMI",IF(INDEX(tCartera[PMI2026],MATCH("2443679",tCartera[CUI],0))="","No informado",INDEX(tCartera[PMI2026],MATCH("2443679",tCartera[CUI],0))))</f>
        <v>800000</v>
      </c>
      <c r="M64" s="231">
        <f>IF(COUNTIF(tCartera[CUI],"2443679")=0,"Sin PMI",IF(INDEX(tCartera[PMI2027],MATCH("2443679",tCartera[CUI],0))="","No informado",INDEX(tCartera[PMI2027],MATCH("2443679",tCartera[CUI],0))))</f>
        <v>2345478</v>
      </c>
      <c r="N64" s="231">
        <f>IF(COUNTIF(tCartera[CUI],"2443679")=0,"Sin PMI",IF(INDEX(tCartera[PMI2028],MATCH("2443679",tCartera[CUI],0))="","No informado",INDEX(tCartera[PMI2028],MATCH("2443679",tCartera[CUI],0))))</f>
        <v>9005306</v>
      </c>
      <c r="O64" s="231">
        <f>IF(COUNTIF(tCartera[CUI],"2443679")=0,"Sin PMI",IF(INDEX(tCartera[PMI2029],MATCH("2443679",tCartera[CUI],0))="","No informado",INDEX(tCartera[PMI2029],MATCH("2443679",tCartera[CUI],0))))</f>
        <v>19493721</v>
      </c>
    </row>
    <row r="65" spans="1:15" ht="16.5" x14ac:dyDescent="0.2">
      <c r="A65" s="126" t="s">
        <v>618</v>
      </c>
      <c r="B65" s="126"/>
      <c r="C65" s="126"/>
      <c r="D65" s="50">
        <f>D66+D67+D68+D69+D70+D71+D72+D73+D74</f>
        <v>24086616</v>
      </c>
      <c r="E65" s="50">
        <f>E66+E67+E68+E69+E70+E71+E72+E73+E74</f>
        <v>20655001.350000001</v>
      </c>
      <c r="F65" s="50">
        <f>D65-E65</f>
        <v>3431614.6499999985</v>
      </c>
      <c r="G65" s="50">
        <f>G66+G67+G68+G69+G70+G71+G72+G73+G74</f>
        <v>5596985.3700000001</v>
      </c>
      <c r="H65" s="50">
        <f>D65-G65</f>
        <v>18489630.629999999</v>
      </c>
      <c r="I65" s="51">
        <f>IF(D65=0,0,G65/D65)</f>
        <v>0.23236910365490943</v>
      </c>
      <c r="J65" s="221"/>
      <c r="K65" s="221"/>
      <c r="L65" s="230"/>
      <c r="M65" s="230"/>
      <c r="N65" s="230"/>
      <c r="O65" s="230"/>
    </row>
    <row r="66" spans="1:15" ht="42" customHeight="1" x14ac:dyDescent="0.2">
      <c r="A66" s="52">
        <f>SUBTOTAL(103,$B$10:B66)</f>
        <v>53</v>
      </c>
      <c r="B66" s="53">
        <v>217</v>
      </c>
      <c r="C66" s="81" t="s">
        <v>359</v>
      </c>
      <c r="D66" s="54">
        <f>IF(COUNTIF(tSIAF[Clave],"2163853|217")=0,"",SUMIF(tSIAF[Clave],"2163853|217",tSIAF[PIM]))</f>
        <v>5810277</v>
      </c>
      <c r="E66" s="54">
        <f>IF(COUNTIF(tSIAF[Clave],"2163853|217")=0,"",SUMIF(tSIAF[Clave],"2163853|217",tSIAF[Certificacion]))</f>
        <v>5204423.5999999996</v>
      </c>
      <c r="F66" s="54">
        <f>IF(D66="","",D66-E66)</f>
        <v>605853.40000000037</v>
      </c>
      <c r="G66" s="54">
        <f>IF(COUNTIF(tSIAF[Clave],"2163853|217")=0,"",SUMIF(tSIAF[Clave],"2163853|217",tSIAF[Devengado]))</f>
        <v>1157372.6000000001</v>
      </c>
      <c r="H66" s="54">
        <f>IF(D66="","",D66-G66)</f>
        <v>4652904.4000000004</v>
      </c>
      <c r="I66" s="55">
        <f>IF(D66="","",IF(D66=0,0,G66/D66))</f>
        <v>0.19919404875189256</v>
      </c>
      <c r="J66" s="222" t="s">
        <v>687</v>
      </c>
      <c r="K66" s="222" t="s">
        <v>2299</v>
      </c>
      <c r="L66" s="231">
        <f>IF(COUNTIF(tCartera[CUI],"2163853")=0,"Sin PMI",IF(INDEX(tCartera[PMI2026],MATCH("2163853",tCartera[CUI],0))="","No informado",INDEX(tCartera[PMI2026],MATCH("2163853",tCartera[CUI],0))))</f>
        <v>6269000</v>
      </c>
      <c r="M66" s="231">
        <f>IF(COUNTIF(tCartera[CUI],"2163853")=0,"Sin PMI",IF(INDEX(tCartera[PMI2027],MATCH("2163853",tCartera[CUI],0))="","No informado",INDEX(tCartera[PMI2027],MATCH("2163853",tCartera[CUI],0))))</f>
        <v>1345765</v>
      </c>
      <c r="N66" s="231">
        <f>IF(COUNTIF(tCartera[CUI],"2163853")=0,"Sin PMI",IF(INDEX(tCartera[PMI2028],MATCH("2163853",tCartera[CUI],0))="","No informado",INDEX(tCartera[PMI2028],MATCH("2163853",tCartera[CUI],0))))</f>
        <v>5566267</v>
      </c>
      <c r="O66" s="231">
        <f>IF(COUNTIF(tCartera[CUI],"2163853")=0,"Sin PMI",IF(INDEX(tCartera[PMI2029],MATCH("2163853",tCartera[CUI],0))="","No informado",INDEX(tCartera[PMI2029],MATCH("2163853",tCartera[CUI],0))))</f>
        <v>0</v>
      </c>
    </row>
    <row r="67" spans="1:15" ht="45.75" customHeight="1" x14ac:dyDescent="0.2">
      <c r="A67" s="52">
        <f>SUBTOTAL(103,$B$10:B67)</f>
        <v>54</v>
      </c>
      <c r="B67" s="53">
        <v>63</v>
      </c>
      <c r="C67" s="81" t="s">
        <v>351</v>
      </c>
      <c r="D67" s="54">
        <f>IF(COUNTIF(tSIAF[Clave],"2188542|63")=0,"",SUMIF(tSIAF[Clave],"2188542|63",tSIAF[PIM]))</f>
        <v>5921783</v>
      </c>
      <c r="E67" s="54">
        <f>IF(COUNTIF(tSIAF[Clave],"2188542|63")=0,"",SUMIF(tSIAF[Clave],"2188542|63",tSIAF[Certificacion]))</f>
        <v>5612635.5199999996</v>
      </c>
      <c r="F67" s="54">
        <f>IF(D67="","",D67-E67)</f>
        <v>309147.48000000045</v>
      </c>
      <c r="G67" s="54">
        <f>IF(COUNTIF(tSIAF[Clave],"2188542|63")=0,"",SUMIF(tSIAF[Clave],"2188542|63",tSIAF[Devengado]))</f>
        <v>1271806.72</v>
      </c>
      <c r="H67" s="54">
        <f>IF(D67="","",D67-G67)</f>
        <v>4649976.28</v>
      </c>
      <c r="I67" s="55">
        <f>IF(D67="","",IF(D67=0,0,G67/D67))</f>
        <v>0.21476753200851836</v>
      </c>
      <c r="J67" s="222" t="s">
        <v>687</v>
      </c>
      <c r="K67" s="222" t="s">
        <v>2299</v>
      </c>
      <c r="L67" s="231">
        <f>IF(COUNTIF(tCartera[CUI],"2188542")=0,"Sin PMI",IF(INDEX(tCartera[PMI2026],MATCH("2188542",tCartera[CUI],0))="","No informado",INDEX(tCartera[PMI2026],MATCH("2188542",tCartera[CUI],0))))</f>
        <v>1139986</v>
      </c>
      <c r="M67" s="231">
        <f>IF(COUNTIF(tCartera[CUI],"2188542")=0,"Sin PMI",IF(INDEX(tCartera[PMI2027],MATCH("2188542",tCartera[CUI],0))="","No informado",INDEX(tCartera[PMI2027],MATCH("2188542",tCartera[CUI],0))))</f>
        <v>500000</v>
      </c>
      <c r="N67" s="231">
        <f>IF(COUNTIF(tCartera[CUI],"2188542")=0,"Sin PMI",IF(INDEX(tCartera[PMI2028],MATCH("2188542",tCartera[CUI],0))="","No informado",INDEX(tCartera[PMI2028],MATCH("2188542",tCartera[CUI],0))))</f>
        <v>3220643</v>
      </c>
      <c r="O67" s="231">
        <f>IF(COUNTIF(tCartera[CUI],"2188542")=0,"Sin PMI",IF(INDEX(tCartera[PMI2029],MATCH("2188542",tCartera[CUI],0))="","No informado",INDEX(tCartera[PMI2029],MATCH("2188542",tCartera[CUI],0))))</f>
        <v>0</v>
      </c>
    </row>
    <row r="68" spans="1:15" ht="42" customHeight="1" x14ac:dyDescent="0.2">
      <c r="A68" s="52">
        <f>SUBTOTAL(103,$B$10:B68)</f>
        <v>55</v>
      </c>
      <c r="B68" s="53">
        <v>62</v>
      </c>
      <c r="C68" s="81" t="s">
        <v>174</v>
      </c>
      <c r="D68" s="54">
        <f>IF(COUNTIF(tSIAF[Clave],"2186641|62")=0,"",SUMIF(tSIAF[Clave],"2186641|62",tSIAF[PIM]))</f>
        <v>1180793</v>
      </c>
      <c r="E68" s="54">
        <f>IF(COUNTIF(tSIAF[Clave],"2186641|62")=0,"",SUMIF(tSIAF[Clave],"2186641|62",tSIAF[Certificacion]))</f>
        <v>1110291.73</v>
      </c>
      <c r="F68" s="54">
        <f>IF(D68="","",D68-E68)</f>
        <v>70501.270000000019</v>
      </c>
      <c r="G68" s="54">
        <f>IF(COUNTIF(tSIAF[Clave],"2186641|62")=0,"",SUMIF(tSIAF[Clave],"2186641|62",tSIAF[Devengado]))</f>
        <v>1081390.27</v>
      </c>
      <c r="H68" s="54">
        <f>IF(D68="","",D68-G68)</f>
        <v>99402.729999999981</v>
      </c>
      <c r="I68" s="55">
        <f>IF(D68="","",IF(D68=0,0,G68/D68))</f>
        <v>0.91581697215345959</v>
      </c>
      <c r="J68" s="222" t="s">
        <v>687</v>
      </c>
      <c r="K68" s="222" t="s">
        <v>2299</v>
      </c>
      <c r="L68" s="231">
        <f>IF(COUNTIF(tCartera[CUI],"2186641")=0,"Sin PMI",IF(INDEX(tCartera[PMI2026],MATCH("2186641",tCartera[CUI],0))="","No informado",INDEX(tCartera[PMI2026],MATCH("2186641",tCartera[CUI],0))))</f>
        <v>11675669</v>
      </c>
      <c r="M68" s="231">
        <f>IF(COUNTIF(tCartera[CUI],"2186641")=0,"Sin PMI",IF(INDEX(tCartera[PMI2027],MATCH("2186641",tCartera[CUI],0))="","No informado",INDEX(tCartera[PMI2027],MATCH("2186641",tCartera[CUI],0))))</f>
        <v>6000000</v>
      </c>
      <c r="N68" s="231">
        <f>IF(COUNTIF(tCartera[CUI],"2186641")=0,"Sin PMI",IF(INDEX(tCartera[PMI2028],MATCH("2186641",tCartera[CUI],0))="","No informado",INDEX(tCartera[PMI2028],MATCH("2186641",tCartera[CUI],0))))</f>
        <v>6503691</v>
      </c>
      <c r="O68" s="231">
        <f>IF(COUNTIF(tCartera[CUI],"2186641")=0,"Sin PMI",IF(INDEX(tCartera[PMI2029],MATCH("2186641",tCartera[CUI],0))="","No informado",INDEX(tCartera[PMI2029],MATCH("2186641",tCartera[CUI],0))))</f>
        <v>7526858</v>
      </c>
    </row>
    <row r="69" spans="1:15" ht="63.75" x14ac:dyDescent="0.2">
      <c r="A69" s="52">
        <f>SUBTOTAL(103,$B$10:B69)</f>
        <v>56</v>
      </c>
      <c r="B69" s="53">
        <v>72</v>
      </c>
      <c r="C69" s="81" t="s">
        <v>289</v>
      </c>
      <c r="D69" s="54">
        <f>IF(COUNTIF(tSIAF[Clave],"2646100|72")=0,"",SUMIF(tSIAF[Clave],"2646100|72",tSIAF[PIM]))</f>
        <v>2167000</v>
      </c>
      <c r="E69" s="54">
        <f>IF(COUNTIF(tSIAF[Clave],"2646100|72")=0,"",SUMIF(tSIAF[Clave],"2646100|72",tSIAF[Certificacion]))</f>
        <v>1860545</v>
      </c>
      <c r="F69" s="54">
        <f>IF(D69="","",D69-E69)</f>
        <v>306455</v>
      </c>
      <c r="G69" s="54">
        <f>IF(COUNTIF(tSIAF[Clave],"2646100|72")=0,"",SUMIF(tSIAF[Clave],"2646100|72",tSIAF[Devengado]))</f>
        <v>33059.94</v>
      </c>
      <c r="H69" s="54">
        <f>IF(D69="","",D69-G69)</f>
        <v>2133940.06</v>
      </c>
      <c r="I69" s="55">
        <f>IF(D69="","",IF(D69=0,0,G69/D69))</f>
        <v>1.5256086755883712E-2</v>
      </c>
      <c r="J69" s="222" t="s">
        <v>687</v>
      </c>
      <c r="K69" s="222" t="s">
        <v>2299</v>
      </c>
      <c r="L69" s="231">
        <f>IF(COUNTIF(tCartera[CUI],"2646100")=0,"Sin PMI",IF(INDEX(tCartera[PMI2026],MATCH("2646100",tCartera[CUI],0))="","No informado",INDEX(tCartera[PMI2026],MATCH("2646100",tCartera[CUI],0))))</f>
        <v>2000000</v>
      </c>
      <c r="M69" s="231">
        <f>IF(COUNTIF(tCartera[CUI],"2646100")=0,"Sin PMI",IF(INDEX(tCartera[PMI2027],MATCH("2646100",tCartera[CUI],0))="","No informado",INDEX(tCartera[PMI2027],MATCH("2646100",tCartera[CUI],0))))</f>
        <v>1547463</v>
      </c>
      <c r="N69" s="231">
        <f>IF(COUNTIF(tCartera[CUI],"2646100")=0,"Sin PMI",IF(INDEX(tCartera[PMI2028],MATCH("2646100",tCartera[CUI],0))="","No informado",INDEX(tCartera[PMI2028],MATCH("2646100",tCartera[CUI],0))))</f>
        <v>0</v>
      </c>
      <c r="O69" s="231">
        <f>IF(COUNTIF(tCartera[CUI],"2646100")=0,"Sin PMI",IF(INDEX(tCartera[PMI2029],MATCH("2646100",tCartera[CUI],0))="","No informado",INDEX(tCartera[PMI2029],MATCH("2646100",tCartera[CUI],0))))</f>
        <v>0</v>
      </c>
    </row>
    <row r="70" spans="1:15" ht="76.5" x14ac:dyDescent="0.2">
      <c r="A70" s="52">
        <f>SUBTOTAL(103,$B$10:B70)</f>
        <v>57</v>
      </c>
      <c r="B70" s="53">
        <v>67</v>
      </c>
      <c r="C70" s="81" t="s">
        <v>294</v>
      </c>
      <c r="D70" s="54">
        <f>IF(COUNTIF(tSIAF[Clave],"2645380|67")=0,"",SUMIF(tSIAF[Clave],"2645380|67",tSIAF[PIM]))</f>
        <v>2575916</v>
      </c>
      <c r="E70" s="54">
        <f>IF(COUNTIF(tSIAF[Clave],"2645380|67")=0,"",SUMIF(tSIAF[Clave],"2645380|67",tSIAF[Certificacion]))</f>
        <v>2503779</v>
      </c>
      <c r="F70" s="54">
        <f>IF(D70="","",D70-E70)</f>
        <v>72137</v>
      </c>
      <c r="G70" s="54">
        <f>IF(COUNTIF(tSIAF[Clave],"2645380|67")=0,"",SUMIF(tSIAF[Clave],"2645380|67",tSIAF[Devengado]))</f>
        <v>23527.19</v>
      </c>
      <c r="H70" s="54">
        <f>IF(D70="","",D70-G70)</f>
        <v>2552388.81</v>
      </c>
      <c r="I70" s="55">
        <f>IF(D70="","",IF(D70=0,0,G70/D70))</f>
        <v>9.1335237639736701E-3</v>
      </c>
      <c r="J70" s="222" t="s">
        <v>687</v>
      </c>
      <c r="K70" s="222" t="s">
        <v>2299</v>
      </c>
      <c r="L70" s="231">
        <f>IF(COUNTIF(tCartera[CUI],"2645380")=0,"Sin PMI",IF(INDEX(tCartera[PMI2026],MATCH("2645380",tCartera[CUI],0))="","No informado",INDEX(tCartera[PMI2026],MATCH("2645380",tCartera[CUI],0))))</f>
        <v>2575916</v>
      </c>
      <c r="M70" s="231">
        <f>IF(COUNTIF(tCartera[CUI],"2645380")=0,"Sin PMI",IF(INDEX(tCartera[PMI2027],MATCH("2645380",tCartera[CUI],0))="","No informado",INDEX(tCartera[PMI2027],MATCH("2645380",tCartera[CUI],0))))</f>
        <v>2345678</v>
      </c>
      <c r="N70" s="231">
        <f>IF(COUNTIF(tCartera[CUI],"2645380")=0,"Sin PMI",IF(INDEX(tCartera[PMI2028],MATCH("2645380",tCartera[CUI],0))="","No informado",INDEX(tCartera[PMI2028],MATCH("2645380",tCartera[CUI],0))))</f>
        <v>1558799</v>
      </c>
      <c r="O70" s="231">
        <f>IF(COUNTIF(tCartera[CUI],"2645380")=0,"Sin PMI",IF(INDEX(tCartera[PMI2029],MATCH("2645380",tCartera[CUI],0))="","No informado",INDEX(tCartera[PMI2029],MATCH("2645380",tCartera[CUI],0))))</f>
        <v>0</v>
      </c>
    </row>
    <row r="71" spans="1:15" ht="51" x14ac:dyDescent="0.2">
      <c r="A71" s="52">
        <f>SUBTOTAL(103,$B$10:B71)</f>
        <v>58</v>
      </c>
      <c r="B71" s="53">
        <v>71</v>
      </c>
      <c r="C71" s="81" t="s">
        <v>291</v>
      </c>
      <c r="D71" s="54">
        <f>IF(COUNTIF(tSIAF[Clave],"2646096|71")=0,"",SUMIF(tSIAF[Clave],"2646096|71",tSIAF[PIM]))</f>
        <v>2054253</v>
      </c>
      <c r="E71" s="54">
        <f>IF(COUNTIF(tSIAF[Clave],"2646096|71")=0,"",SUMIF(tSIAF[Clave],"2646096|71",tSIAF[Certificacion]))</f>
        <v>1854253</v>
      </c>
      <c r="F71" s="54">
        <f>IF(D71="","",D71-E71)</f>
        <v>200000</v>
      </c>
      <c r="G71" s="54">
        <f>IF(COUNTIF(tSIAF[Clave],"2646096|71")=0,"",SUMIF(tSIAF[Clave],"2646096|71",tSIAF[Devengado]))</f>
        <v>0</v>
      </c>
      <c r="H71" s="54">
        <f>IF(D71="","",D71-G71)</f>
        <v>2054253</v>
      </c>
      <c r="I71" s="55">
        <f>IF(D71="","",IF(D71=0,0,G71/D71))</f>
        <v>0</v>
      </c>
      <c r="J71" s="222" t="s">
        <v>687</v>
      </c>
      <c r="K71" s="222" t="s">
        <v>2299</v>
      </c>
      <c r="L71" s="231">
        <f>IF(COUNTIF(tCartera[CUI],"2646096")=0,"Sin PMI",IF(INDEX(tCartera[PMI2026],MATCH("2646096",tCartera[CUI],0))="","No informado",INDEX(tCartera[PMI2026],MATCH("2646096",tCartera[CUI],0))))</f>
        <v>2054253</v>
      </c>
      <c r="M71" s="231">
        <f>IF(COUNTIF(tCartera[CUI],"2646096")=0,"Sin PMI",IF(INDEX(tCartera[PMI2027],MATCH("2646096",tCartera[CUI],0))="","No informado",INDEX(tCartera[PMI2027],MATCH("2646096",tCartera[CUI],0))))</f>
        <v>2546789</v>
      </c>
      <c r="N71" s="231">
        <f>IF(COUNTIF(tCartera[CUI],"2646096")=0,"Sin PMI",IF(INDEX(tCartera[PMI2028],MATCH("2646096",tCartera[CUI],0))="","No informado",INDEX(tCartera[PMI2028],MATCH("2646096",tCartera[CUI],0))))</f>
        <v>0</v>
      </c>
      <c r="O71" s="231">
        <f>IF(COUNTIF(tCartera[CUI],"2646096")=0,"Sin PMI",IF(INDEX(tCartera[PMI2029],MATCH("2646096",tCartera[CUI],0))="","No informado",INDEX(tCartera[PMI2029],MATCH("2646096",tCartera[CUI],0))))</f>
        <v>0</v>
      </c>
    </row>
    <row r="72" spans="1:15" ht="51" x14ac:dyDescent="0.2">
      <c r="A72" s="52">
        <f>SUBTOTAL(103,$B$10:B72)</f>
        <v>59</v>
      </c>
      <c r="B72" s="53">
        <v>65</v>
      </c>
      <c r="C72" s="81" t="s">
        <v>296</v>
      </c>
      <c r="D72" s="54">
        <f>IF(COUNTIF(tSIAF[Clave],"2645340|65")=0,"",SUMIF(tSIAF[Clave],"2645340|65",tSIAF[PIM]))</f>
        <v>2038388</v>
      </c>
      <c r="E72" s="54">
        <f>IF(COUNTIF(tSIAF[Clave],"2645340|65")=0,"",SUMIF(tSIAF[Clave],"2645340|65",tSIAF[Certificacion]))</f>
        <v>2031210.5</v>
      </c>
      <c r="F72" s="54">
        <f>IF(D72="","",D72-E72)</f>
        <v>7177.5</v>
      </c>
      <c r="G72" s="54">
        <f>IF(COUNTIF(tSIAF[Clave],"2645340|65")=0,"",SUMIF(tSIAF[Clave],"2645340|65",tSIAF[Devengado]))</f>
        <v>1711781.12</v>
      </c>
      <c r="H72" s="54">
        <f>IF(D72="","",D72-G72)</f>
        <v>326606.87999999989</v>
      </c>
      <c r="I72" s="55">
        <f>IF(D72="","",IF(D72=0,0,G72/D72))</f>
        <v>0.83977197667961156</v>
      </c>
      <c r="J72" s="222" t="s">
        <v>687</v>
      </c>
      <c r="K72" s="222" t="s">
        <v>2299</v>
      </c>
      <c r="L72" s="231">
        <f>IF(COUNTIF(tCartera[CUI],"2645340")=0,"Sin PMI",IF(INDEX(tCartera[PMI2026],MATCH("2645340",tCartera[CUI],0))="","No informado",INDEX(tCartera[PMI2026],MATCH("2645340",tCartera[CUI],0))))</f>
        <v>2028388</v>
      </c>
      <c r="M72" s="231">
        <f>IF(COUNTIF(tCartera[CUI],"2645340")=0,"Sin PMI",IF(INDEX(tCartera[PMI2027],MATCH("2645340",tCartera[CUI],0))="","No informado",INDEX(tCartera[PMI2027],MATCH("2645340",tCartera[CUI],0))))</f>
        <v>2258011</v>
      </c>
      <c r="N72" s="231">
        <f>IF(COUNTIF(tCartera[CUI],"2645340")=0,"Sin PMI",IF(INDEX(tCartera[PMI2028],MATCH("2645340",tCartera[CUI],0))="","No informado",INDEX(tCartera[PMI2028],MATCH("2645340",tCartera[CUI],0))))</f>
        <v>0</v>
      </c>
      <c r="O72" s="231">
        <f>IF(COUNTIF(tCartera[CUI],"2645340")=0,"Sin PMI",IF(INDEX(tCartera[PMI2029],MATCH("2645340",tCartera[CUI],0))="","No informado",INDEX(tCartera[PMI2029],MATCH("2645340",tCartera[CUI],0))))</f>
        <v>0</v>
      </c>
    </row>
    <row r="73" spans="1:15" ht="51" x14ac:dyDescent="0.2">
      <c r="A73" s="52">
        <f>SUBTOTAL(103,$B$10:B73)</f>
        <v>60</v>
      </c>
      <c r="B73" s="53">
        <v>252</v>
      </c>
      <c r="C73" s="81" t="s">
        <v>361</v>
      </c>
      <c r="D73" s="54">
        <f>IF(COUNTIF(tSIAF[Clave],"2555837|252")=0,"",SUMIF(tSIAF[Clave],"2555837|252",tSIAF[PIM]))</f>
        <v>2047936</v>
      </c>
      <c r="E73" s="54">
        <f>IF(COUNTIF(tSIAF[Clave],"2555837|252")=0,"",SUMIF(tSIAF[Clave],"2555837|252",tSIAF[Certificacion]))</f>
        <v>377863</v>
      </c>
      <c r="F73" s="54">
        <f>IF(D73="","",D73-E73)</f>
        <v>1670073</v>
      </c>
      <c r="G73" s="54">
        <f>IF(COUNTIF(tSIAF[Clave],"2555837|252")=0,"",SUMIF(tSIAF[Clave],"2555837|252",tSIAF[Devengado]))</f>
        <v>318047.53000000003</v>
      </c>
      <c r="H73" s="54">
        <f>IF(D73="","",D73-G73)</f>
        <v>1729888.47</v>
      </c>
      <c r="I73" s="55">
        <f>IF(D73="","",IF(D73=0,0,G73/D73))</f>
        <v>0.15530149867964627</v>
      </c>
      <c r="J73" s="222" t="s">
        <v>687</v>
      </c>
      <c r="K73" s="222" t="s">
        <v>2299</v>
      </c>
      <c r="L73" s="231">
        <f>IF(COUNTIF(tCartera[CUI],"2555837")=0,"Sin PMI",IF(INDEX(tCartera[PMI2026],MATCH("2555837",tCartera[CUI],0))="","No informado",INDEX(tCartera[PMI2026],MATCH("2555837",tCartera[CUI],0))))</f>
        <v>327863</v>
      </c>
      <c r="M73" s="231">
        <f>IF(COUNTIF(tCartera[CUI],"2555837")=0,"Sin PMI",IF(INDEX(tCartera[PMI2027],MATCH("2555837",tCartera[CUI],0))="","No informado",INDEX(tCartera[PMI2027],MATCH("2555837",tCartera[CUI],0))))</f>
        <v>1876545</v>
      </c>
      <c r="N73" s="231">
        <f>IF(COUNTIF(tCartera[CUI],"2555837")=0,"Sin PMI",IF(INDEX(tCartera[PMI2028],MATCH("2555837",tCartera[CUI],0))="","No informado",INDEX(tCartera[PMI2028],MATCH("2555837",tCartera[CUI],0))))</f>
        <v>0</v>
      </c>
      <c r="O73" s="231">
        <f>IF(COUNTIF(tCartera[CUI],"2555837")=0,"Sin PMI",IF(INDEX(tCartera[PMI2029],MATCH("2555837",tCartera[CUI],0))="","No informado",INDEX(tCartera[PMI2029],MATCH("2555837",tCartera[CUI],0))))</f>
        <v>0</v>
      </c>
    </row>
    <row r="74" spans="1:15" ht="51" x14ac:dyDescent="0.2">
      <c r="A74" s="52">
        <f>SUBTOTAL(103,$B$10:B74)</f>
        <v>61</v>
      </c>
      <c r="B74" s="53">
        <v>260</v>
      </c>
      <c r="C74" s="81" t="s">
        <v>132</v>
      </c>
      <c r="D74" s="54">
        <f>IF(COUNTIF(tSIAF[Clave],"2593683|260")=0,"",SUMIF(tSIAF[Clave],"2593683|260",tSIAF[PIM]))</f>
        <v>290270</v>
      </c>
      <c r="E74" s="54">
        <f>IF(COUNTIF(tSIAF[Clave],"2593683|260")=0,"",SUMIF(tSIAF[Clave],"2593683|260",tSIAF[Certificacion]))</f>
        <v>100000</v>
      </c>
      <c r="F74" s="54">
        <f>IF(D74="","",D74-E74)</f>
        <v>190270</v>
      </c>
      <c r="G74" s="54">
        <f>IF(COUNTIF(tSIAF[Clave],"2593683|260")=0,"",SUMIF(tSIAF[Clave],"2593683|260",tSIAF[Devengado]))</f>
        <v>0</v>
      </c>
      <c r="H74" s="54">
        <f>IF(D74="","",D74-G74)</f>
        <v>290270</v>
      </c>
      <c r="I74" s="55">
        <f>IF(D74="","",IF(D74=0,0,G74/D74))</f>
        <v>0</v>
      </c>
      <c r="J74" s="222" t="s">
        <v>687</v>
      </c>
      <c r="K74" s="222" t="s">
        <v>2299</v>
      </c>
      <c r="L74" s="231">
        <f>IF(COUNTIF(tCartera[CUI],"2593683")=0,"Sin PMI",IF(INDEX(tCartera[PMI2026],MATCH("2593683",tCartera[CUI],0))="","No informado",INDEX(tCartera[PMI2026],MATCH("2593683",tCartera[CUI],0))))</f>
        <v>100000</v>
      </c>
      <c r="M74" s="231">
        <f>IF(COUNTIF(tCartera[CUI],"2593683")=0,"Sin PMI",IF(INDEX(tCartera[PMI2027],MATCH("2593683",tCartera[CUI],0))="","No informado",INDEX(tCartera[PMI2027],MATCH("2593683",tCartera[CUI],0))))</f>
        <v>2089685</v>
      </c>
      <c r="N74" s="231">
        <f>IF(COUNTIF(tCartera[CUI],"2593683")=0,"Sin PMI",IF(INDEX(tCartera[PMI2028],MATCH("2593683",tCartera[CUI],0))="","No informado",INDEX(tCartera[PMI2028],MATCH("2593683",tCartera[CUI],0))))</f>
        <v>3000000</v>
      </c>
      <c r="O74" s="231">
        <f>IF(COUNTIF(tCartera[CUI],"2593683")=0,"Sin PMI",IF(INDEX(tCartera[PMI2029],MATCH("2593683",tCartera[CUI],0))="","No informado",INDEX(tCartera[PMI2029],MATCH("2593683",tCartera[CUI],0))))</f>
        <v>11639950</v>
      </c>
    </row>
    <row r="75" spans="1:15" ht="16.5" x14ac:dyDescent="0.2">
      <c r="A75" s="147" t="s">
        <v>612</v>
      </c>
      <c r="B75" s="148"/>
      <c r="C75" s="149"/>
      <c r="D75" s="50">
        <f>D76</f>
        <v>7609099</v>
      </c>
      <c r="E75" s="50">
        <f>E76</f>
        <v>7595390.8799999999</v>
      </c>
      <c r="F75" s="50">
        <f>D75-E75</f>
        <v>13708.120000000112</v>
      </c>
      <c r="G75" s="50">
        <f>G76</f>
        <v>7570246.3900000006</v>
      </c>
      <c r="H75" s="50">
        <f>D75-G75</f>
        <v>38852.609999999404</v>
      </c>
      <c r="I75" s="51">
        <f>IF(D75=0,0,G75/D75)</f>
        <v>0.99489392765161822</v>
      </c>
      <c r="J75" s="221"/>
      <c r="K75" s="221"/>
      <c r="L75" s="230"/>
      <c r="M75" s="230"/>
      <c r="N75" s="230"/>
      <c r="O75" s="230"/>
    </row>
    <row r="76" spans="1:15" ht="51" x14ac:dyDescent="0.2">
      <c r="A76" s="52">
        <f>SUBTOTAL(103,$B$10:B76)</f>
        <v>62</v>
      </c>
      <c r="B76" s="53">
        <v>259</v>
      </c>
      <c r="C76" s="81" t="s">
        <v>126</v>
      </c>
      <c r="D76" s="54">
        <f>IF(COUNTIF(tSIAF[Clave],"2592407|259")=0,"",SUMIF(tSIAF[Clave],"2592407|259",tSIAF[PIM]))</f>
        <v>7609099</v>
      </c>
      <c r="E76" s="54">
        <f>IF(COUNTIF(tSIAF[Clave],"2592407|259")=0,"",SUMIF(tSIAF[Clave],"2592407|259",tSIAF[Certificacion]))</f>
        <v>7595390.8799999999</v>
      </c>
      <c r="F76" s="54">
        <f>IF(D76="","",D76-E76)</f>
        <v>13708.120000000112</v>
      </c>
      <c r="G76" s="54">
        <f>IF(COUNTIF(tSIAF[Clave],"2592407|259")=0,"",SUMIF(tSIAF[Clave],"2592407|259",tSIAF[Devengado]))</f>
        <v>7570246.3900000006</v>
      </c>
      <c r="H76" s="54">
        <f>IF(D76="","",D76-G76)</f>
        <v>38852.609999999404</v>
      </c>
      <c r="I76" s="55">
        <f>IF(D76="","",IF(D76=0,0,G76/D76))</f>
        <v>0.99489392765161822</v>
      </c>
      <c r="J76" s="222" t="s">
        <v>687</v>
      </c>
      <c r="K76" s="222" t="s">
        <v>2299</v>
      </c>
      <c r="L76" s="231">
        <f>IF(COUNTIF(tCartera[CUI],"2592407")=0,"Sin PMI",IF(INDEX(tCartera[PMI2026],MATCH("2592407",tCartera[CUI],0))="","No informado",INDEX(tCartera[PMI2026],MATCH("2592407",tCartera[CUI],0))))</f>
        <v>6185000</v>
      </c>
      <c r="M76" s="231">
        <f>IF(COUNTIF(tCartera[CUI],"2592407")=0,"Sin PMI",IF(INDEX(tCartera[PMI2027],MATCH("2592407",tCartera[CUI],0))="","No informado",INDEX(tCartera[PMI2027],MATCH("2592407",tCartera[CUI],0))))</f>
        <v>1000000</v>
      </c>
      <c r="N76" s="231">
        <f>IF(COUNTIF(tCartera[CUI],"2592407")=0,"Sin PMI",IF(INDEX(tCartera[PMI2028],MATCH("2592407",tCartera[CUI],0))="","No informado",INDEX(tCartera[PMI2028],MATCH("2592407",tCartera[CUI],0))))</f>
        <v>0</v>
      </c>
      <c r="O76" s="231">
        <f>IF(COUNTIF(tCartera[CUI],"2592407")=0,"Sin PMI",IF(INDEX(tCartera[PMI2029],MATCH("2592407",tCartera[CUI],0))="","No informado",INDEX(tCartera[PMI2029],MATCH("2592407",tCartera[CUI],0))))</f>
        <v>1000000</v>
      </c>
    </row>
    <row r="77" spans="1:15" ht="47.25" hidden="1" x14ac:dyDescent="0.2">
      <c r="A77" s="36"/>
      <c r="B77" s="28"/>
      <c r="C77" s="23" t="s">
        <v>106</v>
      </c>
      <c r="D77" s="14"/>
      <c r="E77" s="14"/>
      <c r="F77" s="14"/>
      <c r="G77" s="14"/>
      <c r="H77" s="14"/>
      <c r="I77" s="15"/>
      <c r="J77" s="223"/>
      <c r="K77" s="223"/>
      <c r="L77" s="232"/>
      <c r="M77" s="232"/>
      <c r="N77" s="232"/>
      <c r="O77" s="232"/>
    </row>
    <row r="78" spans="1:15" ht="16.5" x14ac:dyDescent="0.2">
      <c r="A78" s="157" t="s">
        <v>611</v>
      </c>
      <c r="B78" s="158"/>
      <c r="C78" s="159"/>
      <c r="D78" s="50">
        <f>D79</f>
        <v>99230</v>
      </c>
      <c r="E78" s="50">
        <f>E79</f>
        <v>99007.59</v>
      </c>
      <c r="F78" s="50">
        <f>D78-E78</f>
        <v>222.41000000000349</v>
      </c>
      <c r="G78" s="50">
        <f>G79</f>
        <v>96198.77</v>
      </c>
      <c r="H78" s="50">
        <f>D78-G78</f>
        <v>3031.2299999999959</v>
      </c>
      <c r="I78" s="51">
        <f>IF(D78=0,0,G78/D78)</f>
        <v>0.96945248412778395</v>
      </c>
      <c r="J78" s="221"/>
      <c r="K78" s="221"/>
      <c r="L78" s="230"/>
      <c r="M78" s="230"/>
      <c r="N78" s="230"/>
      <c r="O78" s="230"/>
    </row>
    <row r="79" spans="1:15" ht="51" x14ac:dyDescent="0.2">
      <c r="A79" s="52">
        <f>SUBTOTAL(103,$B$10:B79)</f>
        <v>63</v>
      </c>
      <c r="B79" s="56">
        <v>456</v>
      </c>
      <c r="C79" s="81" t="s">
        <v>130</v>
      </c>
      <c r="D79" s="54">
        <f>IF(COUNTIF(tSIAF[Clave],"2230752|456")=0,"",SUMIF(tSIAF[Clave],"2230752|456",tSIAF[PIM]))</f>
        <v>99230</v>
      </c>
      <c r="E79" s="54">
        <f>IF(COUNTIF(tSIAF[Clave],"2230752|456")=0,"",SUMIF(tSIAF[Clave],"2230752|456",tSIAF[Certificacion]))</f>
        <v>99007.59</v>
      </c>
      <c r="F79" s="54">
        <f>IF(D79="","",D79-E79)</f>
        <v>222.41000000000349</v>
      </c>
      <c r="G79" s="54">
        <f>IF(COUNTIF(tSIAF[Clave],"2230752|456")=0,"",SUMIF(tSIAF[Clave],"2230752|456",tSIAF[Devengado]))</f>
        <v>96198.77</v>
      </c>
      <c r="H79" s="54">
        <f>IF(D79="","",D79-G79)</f>
        <v>3031.2299999999959</v>
      </c>
      <c r="I79" s="55">
        <f>IF(D79="","",IF(D79=0,0,G79/D79))</f>
        <v>0.96945248412778395</v>
      </c>
      <c r="J79" s="222" t="s">
        <v>687</v>
      </c>
      <c r="K79" s="222" t="s">
        <v>2299</v>
      </c>
      <c r="L79" s="231">
        <f>IF(COUNTIF(tCartera[CUI],"2230752")=0,"Sin PMI",IF(INDEX(tCartera[PMI2026],MATCH("2230752",tCartera[CUI],0))="","No informado",INDEX(tCartera[PMI2026],MATCH("2230752",tCartera[CUI],0))))</f>
        <v>99230</v>
      </c>
      <c r="M79" s="231">
        <f>IF(COUNTIF(tCartera[CUI],"2230752")=0,"Sin PMI",IF(INDEX(tCartera[PMI2027],MATCH("2230752",tCartera[CUI],0))="","No informado",INDEX(tCartera[PMI2027],MATCH("2230752",tCartera[CUI],0))))</f>
        <v>0</v>
      </c>
      <c r="N79" s="231">
        <f>IF(COUNTIF(tCartera[CUI],"2230752")=0,"Sin PMI",IF(INDEX(tCartera[PMI2028],MATCH("2230752",tCartera[CUI],0))="","No informado",INDEX(tCartera[PMI2028],MATCH("2230752",tCartera[CUI],0))))</f>
        <v>0</v>
      </c>
      <c r="O79" s="231">
        <f>IF(COUNTIF(tCartera[CUI],"2230752")=0,"Sin PMI",IF(INDEX(tCartera[PMI2029],MATCH("2230752",tCartera[CUI],0))="","No informado",INDEX(tCartera[PMI2029],MATCH("2230752",tCartera[CUI],0))))</f>
        <v>0</v>
      </c>
    </row>
    <row r="80" spans="1:15" ht="63" hidden="1" x14ac:dyDescent="0.2">
      <c r="A80" s="52"/>
      <c r="B80" s="28"/>
      <c r="C80" s="23" t="s">
        <v>19</v>
      </c>
      <c r="D80" s="14"/>
      <c r="E80" s="14"/>
      <c r="F80" s="14"/>
      <c r="G80" s="14"/>
      <c r="H80" s="14"/>
      <c r="I80" s="15"/>
      <c r="J80" s="223"/>
      <c r="K80" s="223"/>
      <c r="L80" s="232"/>
      <c r="M80" s="232"/>
      <c r="N80" s="232"/>
      <c r="O80" s="232"/>
    </row>
    <row r="81" spans="1:15" ht="78.75" hidden="1" x14ac:dyDescent="0.2">
      <c r="A81" s="36"/>
      <c r="B81" s="28"/>
      <c r="C81" s="23" t="s">
        <v>346</v>
      </c>
      <c r="D81" s="14"/>
      <c r="E81" s="14"/>
      <c r="F81" s="14"/>
      <c r="G81" s="14"/>
      <c r="H81" s="14"/>
      <c r="I81" s="15"/>
      <c r="J81" s="223"/>
      <c r="K81" s="223"/>
      <c r="L81" s="232"/>
      <c r="M81" s="232"/>
      <c r="N81" s="232"/>
      <c r="O81" s="232"/>
    </row>
    <row r="82" spans="1:15" ht="78.75" hidden="1" x14ac:dyDescent="0.2">
      <c r="A82" s="36"/>
      <c r="B82" s="28"/>
      <c r="C82" s="23" t="s">
        <v>349</v>
      </c>
      <c r="D82" s="14"/>
      <c r="E82" s="14"/>
      <c r="F82" s="14"/>
      <c r="G82" s="14"/>
      <c r="H82" s="14"/>
      <c r="I82" s="15"/>
      <c r="J82" s="223"/>
      <c r="K82" s="223"/>
      <c r="L82" s="232"/>
      <c r="M82" s="232"/>
      <c r="N82" s="232"/>
      <c r="O82" s="232"/>
    </row>
    <row r="83" spans="1:15" ht="63" hidden="1" x14ac:dyDescent="0.2">
      <c r="A83" s="36"/>
      <c r="B83" s="28"/>
      <c r="C83" s="23" t="s">
        <v>350</v>
      </c>
      <c r="D83" s="14"/>
      <c r="E83" s="14"/>
      <c r="F83" s="14"/>
      <c r="G83" s="14"/>
      <c r="H83" s="14"/>
      <c r="I83" s="15"/>
      <c r="J83" s="223"/>
      <c r="K83" s="223"/>
      <c r="L83" s="232"/>
      <c r="M83" s="232"/>
      <c r="N83" s="232"/>
      <c r="O83" s="232"/>
    </row>
    <row r="84" spans="1:15" ht="110.25" hidden="1" x14ac:dyDescent="0.2">
      <c r="A84" s="36"/>
      <c r="B84" s="28"/>
      <c r="C84" s="23" t="s">
        <v>33</v>
      </c>
      <c r="D84" s="14"/>
      <c r="E84" s="14"/>
      <c r="F84" s="14"/>
      <c r="G84" s="14"/>
      <c r="H84" s="14"/>
      <c r="I84" s="15"/>
      <c r="J84" s="223"/>
      <c r="K84" s="223"/>
      <c r="L84" s="232"/>
      <c r="M84" s="232"/>
      <c r="N84" s="232"/>
      <c r="O84" s="232"/>
    </row>
    <row r="85" spans="1:15" ht="78.75" hidden="1" customHeight="1" x14ac:dyDescent="0.2">
      <c r="A85" s="36"/>
      <c r="B85" s="28"/>
      <c r="C85" s="23" t="s">
        <v>352</v>
      </c>
      <c r="D85" s="14"/>
      <c r="E85" s="14"/>
      <c r="F85" s="14"/>
      <c r="G85" s="14"/>
      <c r="H85" s="14"/>
      <c r="I85" s="15"/>
      <c r="J85" s="223"/>
      <c r="K85" s="223"/>
      <c r="L85" s="232"/>
      <c r="M85" s="232"/>
      <c r="N85" s="232"/>
      <c r="O85" s="232"/>
    </row>
    <row r="86" spans="1:15" ht="63" hidden="1" x14ac:dyDescent="0.2">
      <c r="A86" s="36"/>
      <c r="B86" s="28"/>
      <c r="C86" s="23" t="s">
        <v>353</v>
      </c>
      <c r="D86" s="14"/>
      <c r="E86" s="14"/>
      <c r="F86" s="14"/>
      <c r="G86" s="14"/>
      <c r="H86" s="14"/>
      <c r="I86" s="15"/>
      <c r="J86" s="223"/>
      <c r="K86" s="223"/>
      <c r="L86" s="232"/>
      <c r="M86" s="232"/>
      <c r="N86" s="232"/>
      <c r="O86" s="232"/>
    </row>
    <row r="87" spans="1:15" ht="78.75" hidden="1" x14ac:dyDescent="0.2">
      <c r="A87" s="36"/>
      <c r="B87" s="28"/>
      <c r="C87" s="23" t="s">
        <v>264</v>
      </c>
      <c r="D87" s="14"/>
      <c r="E87" s="14"/>
      <c r="F87" s="14"/>
      <c r="G87" s="14"/>
      <c r="H87" s="14"/>
      <c r="I87" s="15"/>
      <c r="J87" s="223"/>
      <c r="K87" s="223"/>
      <c r="L87" s="232"/>
      <c r="M87" s="232"/>
      <c r="N87" s="232"/>
      <c r="O87" s="232"/>
    </row>
    <row r="88" spans="1:15" ht="78.75" hidden="1" x14ac:dyDescent="0.2">
      <c r="A88" s="36"/>
      <c r="B88" s="28"/>
      <c r="C88" s="23" t="s">
        <v>354</v>
      </c>
      <c r="D88" s="14"/>
      <c r="E88" s="14"/>
      <c r="F88" s="14"/>
      <c r="G88" s="14"/>
      <c r="H88" s="14"/>
      <c r="I88" s="15"/>
      <c r="J88" s="223"/>
      <c r="K88" s="223"/>
      <c r="L88" s="232"/>
      <c r="M88" s="232"/>
      <c r="N88" s="232"/>
      <c r="O88" s="232"/>
    </row>
    <row r="89" spans="1:15" ht="94.5" hidden="1" x14ac:dyDescent="0.2">
      <c r="A89" s="36"/>
      <c r="B89" s="28"/>
      <c r="C89" s="23" t="s">
        <v>35</v>
      </c>
      <c r="D89" s="14"/>
      <c r="E89" s="14"/>
      <c r="F89" s="14"/>
      <c r="G89" s="14"/>
      <c r="H89" s="14"/>
      <c r="I89" s="15"/>
      <c r="J89" s="223"/>
      <c r="K89" s="223"/>
      <c r="L89" s="232"/>
      <c r="M89" s="232"/>
      <c r="N89" s="232"/>
      <c r="O89" s="232"/>
    </row>
    <row r="90" spans="1:15" ht="78.75" hidden="1" x14ac:dyDescent="0.2">
      <c r="A90" s="36"/>
      <c r="B90" s="28"/>
      <c r="C90" s="23" t="s">
        <v>355</v>
      </c>
      <c r="D90" s="14"/>
      <c r="E90" s="14"/>
      <c r="F90" s="14"/>
      <c r="G90" s="14"/>
      <c r="H90" s="14"/>
      <c r="I90" s="15"/>
      <c r="J90" s="223"/>
      <c r="K90" s="223"/>
      <c r="L90" s="232"/>
      <c r="M90" s="232"/>
      <c r="N90" s="232"/>
      <c r="O90" s="232"/>
    </row>
    <row r="91" spans="1:15" ht="63" hidden="1" x14ac:dyDescent="0.2">
      <c r="A91" s="36"/>
      <c r="B91" s="28"/>
      <c r="C91" s="23" t="s">
        <v>38</v>
      </c>
      <c r="D91" s="14"/>
      <c r="E91" s="14"/>
      <c r="F91" s="14"/>
      <c r="G91" s="14"/>
      <c r="H91" s="14"/>
      <c r="I91" s="15"/>
      <c r="J91" s="223"/>
      <c r="K91" s="223"/>
      <c r="L91" s="232"/>
      <c r="M91" s="232"/>
      <c r="N91" s="232"/>
      <c r="O91" s="232"/>
    </row>
    <row r="92" spans="1:15" ht="63" hidden="1" x14ac:dyDescent="0.2">
      <c r="A92" s="36"/>
      <c r="B92" s="28"/>
      <c r="C92" s="23" t="s">
        <v>22</v>
      </c>
      <c r="D92" s="14"/>
      <c r="E92" s="14"/>
      <c r="F92" s="14"/>
      <c r="G92" s="14"/>
      <c r="H92" s="14"/>
      <c r="I92" s="15"/>
      <c r="J92" s="223"/>
      <c r="K92" s="223"/>
      <c r="L92" s="232"/>
      <c r="M92" s="232"/>
      <c r="N92" s="232"/>
      <c r="O92" s="232"/>
    </row>
    <row r="93" spans="1:15" ht="94.5" hidden="1" x14ac:dyDescent="0.2">
      <c r="A93" s="36"/>
      <c r="B93" s="28"/>
      <c r="C93" s="23" t="s">
        <v>36</v>
      </c>
      <c r="D93" s="14"/>
      <c r="E93" s="14"/>
      <c r="F93" s="14"/>
      <c r="G93" s="14"/>
      <c r="H93" s="14"/>
      <c r="I93" s="15"/>
      <c r="J93" s="223"/>
      <c r="K93" s="223"/>
      <c r="L93" s="232"/>
      <c r="M93" s="232"/>
      <c r="N93" s="232"/>
      <c r="O93" s="232"/>
    </row>
    <row r="94" spans="1:15" ht="63" hidden="1" x14ac:dyDescent="0.2">
      <c r="A94" s="36"/>
      <c r="B94" s="28"/>
      <c r="C94" s="23" t="s">
        <v>309</v>
      </c>
      <c r="D94" s="14"/>
      <c r="E94" s="14"/>
      <c r="F94" s="14"/>
      <c r="G94" s="14"/>
      <c r="H94" s="14"/>
      <c r="I94" s="15"/>
      <c r="J94" s="223"/>
      <c r="K94" s="223"/>
      <c r="L94" s="232"/>
      <c r="M94" s="232"/>
      <c r="N94" s="232"/>
      <c r="O94" s="232"/>
    </row>
    <row r="95" spans="1:15" ht="63" hidden="1" x14ac:dyDescent="0.2">
      <c r="A95" s="36"/>
      <c r="B95" s="28"/>
      <c r="C95" s="23" t="s">
        <v>356</v>
      </c>
      <c r="D95" s="14"/>
      <c r="E95" s="14"/>
      <c r="F95" s="14"/>
      <c r="G95" s="14"/>
      <c r="H95" s="14"/>
      <c r="I95" s="15"/>
      <c r="J95" s="223"/>
      <c r="K95" s="223"/>
      <c r="L95" s="232"/>
      <c r="M95" s="232"/>
      <c r="N95" s="232"/>
      <c r="O95" s="232"/>
    </row>
    <row r="96" spans="1:15" ht="78.75" hidden="1" x14ac:dyDescent="0.2">
      <c r="A96" s="36"/>
      <c r="B96" s="28"/>
      <c r="C96" s="23" t="s">
        <v>357</v>
      </c>
      <c r="D96" s="14"/>
      <c r="E96" s="14"/>
      <c r="F96" s="14"/>
      <c r="G96" s="14"/>
      <c r="H96" s="14"/>
      <c r="I96" s="15"/>
      <c r="J96" s="223"/>
      <c r="K96" s="223"/>
      <c r="L96" s="232"/>
      <c r="M96" s="232"/>
      <c r="N96" s="232"/>
      <c r="O96" s="232"/>
    </row>
    <row r="97" spans="1:15" ht="47.25" hidden="1" x14ac:dyDescent="0.2">
      <c r="A97" s="36"/>
      <c r="B97" s="30"/>
      <c r="C97" s="23" t="s">
        <v>85</v>
      </c>
      <c r="D97" s="14"/>
      <c r="E97" s="14"/>
      <c r="F97" s="14"/>
      <c r="G97" s="14"/>
      <c r="H97" s="14"/>
      <c r="I97" s="15"/>
      <c r="J97" s="223"/>
      <c r="K97" s="223"/>
      <c r="L97" s="232"/>
      <c r="M97" s="232"/>
      <c r="N97" s="232"/>
      <c r="O97" s="232"/>
    </row>
    <row r="98" spans="1:15" ht="63" hidden="1" x14ac:dyDescent="0.2">
      <c r="A98" s="36"/>
      <c r="B98" s="28"/>
      <c r="C98" s="23" t="s">
        <v>237</v>
      </c>
      <c r="D98" s="14"/>
      <c r="E98" s="14"/>
      <c r="F98" s="14"/>
      <c r="G98" s="14"/>
      <c r="H98" s="14"/>
      <c r="I98" s="15"/>
      <c r="J98" s="223"/>
      <c r="K98" s="223"/>
      <c r="L98" s="232"/>
      <c r="M98" s="232"/>
      <c r="N98" s="232"/>
      <c r="O98" s="232"/>
    </row>
    <row r="99" spans="1:15" ht="63" hidden="1" x14ac:dyDescent="0.2">
      <c r="A99" s="36"/>
      <c r="B99" s="28"/>
      <c r="C99" s="23" t="s">
        <v>251</v>
      </c>
      <c r="D99" s="14"/>
      <c r="E99" s="14"/>
      <c r="F99" s="14"/>
      <c r="G99" s="14"/>
      <c r="H99" s="14"/>
      <c r="I99" s="15"/>
      <c r="J99" s="223"/>
      <c r="K99" s="223"/>
      <c r="L99" s="232"/>
      <c r="M99" s="232"/>
      <c r="N99" s="232"/>
      <c r="O99" s="232"/>
    </row>
    <row r="100" spans="1:15" ht="78.75" hidden="1" x14ac:dyDescent="0.2">
      <c r="A100" s="36"/>
      <c r="B100" s="28"/>
      <c r="C100" s="23" t="s">
        <v>34</v>
      </c>
      <c r="D100" s="14"/>
      <c r="E100" s="14"/>
      <c r="F100" s="14"/>
      <c r="G100" s="14"/>
      <c r="H100" s="14"/>
      <c r="I100" s="15"/>
      <c r="J100" s="223"/>
      <c r="K100" s="223"/>
      <c r="L100" s="232"/>
      <c r="M100" s="232"/>
      <c r="N100" s="232"/>
      <c r="O100" s="232"/>
    </row>
    <row r="101" spans="1:15" ht="78.75" hidden="1" x14ac:dyDescent="0.2">
      <c r="A101" s="36"/>
      <c r="B101" s="28"/>
      <c r="C101" s="23" t="s">
        <v>211</v>
      </c>
      <c r="D101" s="14"/>
      <c r="E101" s="14"/>
      <c r="F101" s="14"/>
      <c r="G101" s="14"/>
      <c r="H101" s="14"/>
      <c r="I101" s="15"/>
      <c r="J101" s="223"/>
      <c r="K101" s="223"/>
      <c r="L101" s="232"/>
      <c r="M101" s="232"/>
      <c r="N101" s="232"/>
      <c r="O101" s="232"/>
    </row>
    <row r="102" spans="1:15" ht="78.75" hidden="1" x14ac:dyDescent="0.2">
      <c r="A102" s="36"/>
      <c r="B102" s="28"/>
      <c r="C102" s="23" t="s">
        <v>358</v>
      </c>
      <c r="D102" s="14"/>
      <c r="E102" s="14"/>
      <c r="F102" s="14"/>
      <c r="G102" s="14"/>
      <c r="H102" s="14"/>
      <c r="I102" s="15"/>
      <c r="J102" s="223"/>
      <c r="K102" s="223"/>
      <c r="L102" s="232"/>
      <c r="M102" s="232"/>
      <c r="N102" s="232"/>
      <c r="O102" s="232"/>
    </row>
    <row r="103" spans="1:15" ht="94.5" hidden="1" x14ac:dyDescent="0.2">
      <c r="A103" s="36"/>
      <c r="B103" s="28"/>
      <c r="C103" s="23" t="s">
        <v>285</v>
      </c>
      <c r="D103" s="14"/>
      <c r="E103" s="14"/>
      <c r="F103" s="14"/>
      <c r="G103" s="14"/>
      <c r="H103" s="14"/>
      <c r="I103" s="15"/>
      <c r="J103" s="223"/>
      <c r="K103" s="223"/>
      <c r="L103" s="232"/>
      <c r="M103" s="232"/>
      <c r="N103" s="232"/>
      <c r="O103" s="232"/>
    </row>
    <row r="104" spans="1:15" ht="63" hidden="1" x14ac:dyDescent="0.2">
      <c r="A104" s="36"/>
      <c r="B104" s="28"/>
      <c r="C104" s="23" t="s">
        <v>20</v>
      </c>
      <c r="D104" s="14"/>
      <c r="E104" s="14"/>
      <c r="F104" s="14"/>
      <c r="G104" s="14"/>
      <c r="H104" s="14"/>
      <c r="I104" s="15"/>
      <c r="J104" s="223"/>
      <c r="K104" s="223"/>
      <c r="L104" s="232"/>
      <c r="M104" s="232"/>
      <c r="N104" s="232"/>
      <c r="O104" s="232"/>
    </row>
    <row r="105" spans="1:15" ht="47.25" hidden="1" x14ac:dyDescent="0.2">
      <c r="A105" s="36"/>
      <c r="B105" s="28"/>
      <c r="C105" s="23" t="s">
        <v>21</v>
      </c>
      <c r="D105" s="14"/>
      <c r="E105" s="14"/>
      <c r="F105" s="14"/>
      <c r="G105" s="14"/>
      <c r="H105" s="14"/>
      <c r="I105" s="15"/>
      <c r="J105" s="223"/>
      <c r="K105" s="223"/>
      <c r="L105" s="232"/>
      <c r="M105" s="232"/>
      <c r="N105" s="232"/>
      <c r="O105" s="232"/>
    </row>
    <row r="106" spans="1:15" ht="78.75" hidden="1" x14ac:dyDescent="0.2">
      <c r="A106" s="36"/>
      <c r="B106" s="28"/>
      <c r="C106" s="23" t="s">
        <v>37</v>
      </c>
      <c r="D106" s="14"/>
      <c r="E106" s="14"/>
      <c r="F106" s="14"/>
      <c r="G106" s="14"/>
      <c r="H106" s="14"/>
      <c r="I106" s="15"/>
      <c r="J106" s="223"/>
      <c r="K106" s="223"/>
      <c r="L106" s="232"/>
      <c r="M106" s="232"/>
      <c r="N106" s="232"/>
      <c r="O106" s="232"/>
    </row>
    <row r="107" spans="1:15" ht="63" hidden="1" x14ac:dyDescent="0.2">
      <c r="A107" s="36"/>
      <c r="B107" s="28"/>
      <c r="C107" s="23" t="s">
        <v>31</v>
      </c>
      <c r="D107" s="14"/>
      <c r="E107" s="14"/>
      <c r="F107" s="14"/>
      <c r="G107" s="14"/>
      <c r="H107" s="14"/>
      <c r="I107" s="15"/>
      <c r="J107" s="223"/>
      <c r="K107" s="223"/>
      <c r="L107" s="232"/>
      <c r="M107" s="232"/>
      <c r="N107" s="232"/>
      <c r="O107" s="232"/>
    </row>
    <row r="108" spans="1:15" ht="63" hidden="1" x14ac:dyDescent="0.2">
      <c r="A108" s="36"/>
      <c r="B108" s="30"/>
      <c r="C108" s="23" t="s">
        <v>110</v>
      </c>
      <c r="D108" s="14"/>
      <c r="E108" s="14"/>
      <c r="F108" s="14"/>
      <c r="G108" s="14"/>
      <c r="H108" s="14"/>
      <c r="I108" s="15"/>
      <c r="J108" s="223"/>
      <c r="K108" s="223"/>
      <c r="L108" s="232"/>
      <c r="M108" s="232"/>
      <c r="N108" s="232"/>
      <c r="O108" s="232"/>
    </row>
    <row r="109" spans="1:15" ht="47.25" hidden="1" x14ac:dyDescent="0.2">
      <c r="A109" s="36"/>
      <c r="B109" s="30"/>
      <c r="C109" s="23" t="s">
        <v>123</v>
      </c>
      <c r="D109" s="14"/>
      <c r="E109" s="14"/>
      <c r="F109" s="14"/>
      <c r="G109" s="14"/>
      <c r="H109" s="14"/>
      <c r="I109" s="15"/>
      <c r="J109" s="223"/>
      <c r="K109" s="223"/>
      <c r="L109" s="232"/>
      <c r="M109" s="232"/>
      <c r="N109" s="232"/>
      <c r="O109" s="232"/>
    </row>
    <row r="110" spans="1:15" ht="47.25" hidden="1" x14ac:dyDescent="0.2">
      <c r="A110" s="36"/>
      <c r="B110" s="31"/>
      <c r="C110" s="23" t="s">
        <v>239</v>
      </c>
      <c r="D110" s="14"/>
      <c r="E110" s="14"/>
      <c r="F110" s="14"/>
      <c r="G110" s="14"/>
      <c r="H110" s="14"/>
      <c r="I110" s="15"/>
      <c r="J110" s="223"/>
      <c r="K110" s="223"/>
      <c r="L110" s="232"/>
      <c r="M110" s="232"/>
      <c r="N110" s="232"/>
      <c r="O110" s="232"/>
    </row>
    <row r="111" spans="1:15" ht="47.25" hidden="1" x14ac:dyDescent="0.2">
      <c r="A111" s="36"/>
      <c r="B111" s="31"/>
      <c r="C111" s="23" t="s">
        <v>240</v>
      </c>
      <c r="D111" s="14"/>
      <c r="E111" s="14"/>
      <c r="F111" s="14"/>
      <c r="G111" s="14"/>
      <c r="H111" s="14"/>
      <c r="I111" s="15"/>
      <c r="J111" s="223"/>
      <c r="K111" s="223"/>
      <c r="L111" s="232"/>
      <c r="M111" s="232"/>
      <c r="N111" s="232"/>
      <c r="O111" s="232"/>
    </row>
    <row r="112" spans="1:15" ht="47.25" hidden="1" x14ac:dyDescent="0.2">
      <c r="A112" s="36"/>
      <c r="B112" s="31"/>
      <c r="C112" s="23" t="s">
        <v>241</v>
      </c>
      <c r="D112" s="14"/>
      <c r="E112" s="14"/>
      <c r="F112" s="14"/>
      <c r="G112" s="14"/>
      <c r="H112" s="14"/>
      <c r="I112" s="15"/>
      <c r="J112" s="223"/>
      <c r="K112" s="223"/>
      <c r="L112" s="232"/>
      <c r="M112" s="232"/>
      <c r="N112" s="232"/>
      <c r="O112" s="232"/>
    </row>
    <row r="113" spans="1:15" ht="47.25" hidden="1" x14ac:dyDescent="0.2">
      <c r="A113" s="36"/>
      <c r="B113" s="31"/>
      <c r="C113" s="23" t="s">
        <v>242</v>
      </c>
      <c r="D113" s="14"/>
      <c r="E113" s="14"/>
      <c r="F113" s="14"/>
      <c r="G113" s="14"/>
      <c r="H113" s="14"/>
      <c r="I113" s="15"/>
      <c r="J113" s="223"/>
      <c r="K113" s="223"/>
      <c r="L113" s="232"/>
      <c r="M113" s="232"/>
      <c r="N113" s="232"/>
      <c r="O113" s="232"/>
    </row>
    <row r="114" spans="1:15" ht="47.25" hidden="1" x14ac:dyDescent="0.2">
      <c r="A114" s="36"/>
      <c r="B114" s="31"/>
      <c r="C114" s="23" t="s">
        <v>243</v>
      </c>
      <c r="D114" s="14"/>
      <c r="E114" s="14"/>
      <c r="F114" s="14"/>
      <c r="G114" s="14"/>
      <c r="H114" s="14"/>
      <c r="I114" s="15"/>
      <c r="J114" s="223"/>
      <c r="K114" s="223"/>
      <c r="L114" s="232"/>
      <c r="M114" s="232"/>
      <c r="N114" s="232"/>
      <c r="O114" s="232"/>
    </row>
    <row r="115" spans="1:15" ht="47.25" hidden="1" x14ac:dyDescent="0.2">
      <c r="A115" s="36"/>
      <c r="B115" s="31"/>
      <c r="C115" s="23" t="s">
        <v>244</v>
      </c>
      <c r="D115" s="14"/>
      <c r="E115" s="14"/>
      <c r="F115" s="14"/>
      <c r="G115" s="14"/>
      <c r="H115" s="14"/>
      <c r="I115" s="15"/>
      <c r="J115" s="223"/>
      <c r="K115" s="223"/>
      <c r="L115" s="232"/>
      <c r="M115" s="232"/>
      <c r="N115" s="232"/>
      <c r="O115" s="232"/>
    </row>
    <row r="116" spans="1:15" ht="63" hidden="1" x14ac:dyDescent="0.2">
      <c r="A116" s="36"/>
      <c r="B116" s="29"/>
      <c r="C116" s="23" t="s">
        <v>182</v>
      </c>
      <c r="D116" s="14"/>
      <c r="E116" s="14"/>
      <c r="F116" s="14"/>
      <c r="G116" s="14"/>
      <c r="H116" s="14"/>
      <c r="I116" s="15"/>
      <c r="J116" s="223"/>
      <c r="K116" s="223"/>
      <c r="L116" s="232"/>
      <c r="M116" s="232"/>
      <c r="N116" s="232"/>
      <c r="O116" s="232"/>
    </row>
    <row r="117" spans="1:15" ht="63" hidden="1" x14ac:dyDescent="0.2">
      <c r="A117" s="36"/>
      <c r="B117" s="29"/>
      <c r="C117" s="23" t="s">
        <v>369</v>
      </c>
      <c r="D117" s="14"/>
      <c r="E117" s="14"/>
      <c r="F117" s="14"/>
      <c r="G117" s="14"/>
      <c r="H117" s="14"/>
      <c r="I117" s="15"/>
      <c r="J117" s="223"/>
      <c r="K117" s="223"/>
      <c r="L117" s="232"/>
      <c r="M117" s="232"/>
      <c r="N117" s="232"/>
      <c r="O117" s="232"/>
    </row>
    <row r="118" spans="1:15" ht="63" hidden="1" x14ac:dyDescent="0.2">
      <c r="A118" s="36"/>
      <c r="B118" s="29"/>
      <c r="C118" s="23" t="s">
        <v>127</v>
      </c>
      <c r="D118" s="14"/>
      <c r="E118" s="14"/>
      <c r="F118" s="14"/>
      <c r="G118" s="14"/>
      <c r="H118" s="14"/>
      <c r="I118" s="15"/>
      <c r="J118" s="223"/>
      <c r="K118" s="223"/>
      <c r="L118" s="232"/>
      <c r="M118" s="232"/>
      <c r="N118" s="232"/>
      <c r="O118" s="232"/>
    </row>
    <row r="119" spans="1:15" ht="47.25" hidden="1" x14ac:dyDescent="0.2">
      <c r="A119" s="36"/>
      <c r="B119" s="29"/>
      <c r="C119" s="23" t="s">
        <v>124</v>
      </c>
      <c r="D119" s="14"/>
      <c r="E119" s="14"/>
      <c r="F119" s="14"/>
      <c r="G119" s="14"/>
      <c r="H119" s="14"/>
      <c r="I119" s="15"/>
      <c r="J119" s="223"/>
      <c r="K119" s="223"/>
      <c r="L119" s="232"/>
      <c r="M119" s="232"/>
      <c r="N119" s="232"/>
      <c r="O119" s="232"/>
    </row>
    <row r="120" spans="1:15" ht="78.75" hidden="1" x14ac:dyDescent="0.2">
      <c r="A120" s="36"/>
      <c r="B120" s="29"/>
      <c r="C120" s="23" t="s">
        <v>461</v>
      </c>
      <c r="D120" s="14"/>
      <c r="E120" s="14"/>
      <c r="F120" s="14"/>
      <c r="G120" s="14"/>
      <c r="H120" s="14"/>
      <c r="I120" s="15"/>
      <c r="J120" s="223"/>
      <c r="K120" s="223"/>
      <c r="L120" s="232"/>
      <c r="M120" s="232"/>
      <c r="N120" s="232"/>
      <c r="O120" s="232"/>
    </row>
    <row r="121" spans="1:15" ht="94.5" hidden="1" x14ac:dyDescent="0.2">
      <c r="A121" s="38"/>
      <c r="B121" s="29"/>
      <c r="C121" s="23" t="s">
        <v>486</v>
      </c>
      <c r="D121" s="14"/>
      <c r="E121" s="14"/>
      <c r="F121" s="14"/>
      <c r="G121" s="14"/>
      <c r="H121" s="14"/>
      <c r="I121" s="15"/>
      <c r="J121" s="223"/>
      <c r="K121" s="223"/>
      <c r="L121" s="232"/>
      <c r="M121" s="232"/>
      <c r="N121" s="232"/>
      <c r="O121" s="232"/>
    </row>
    <row r="122" spans="1:15" ht="63" hidden="1" x14ac:dyDescent="0.2">
      <c r="A122" s="38"/>
      <c r="B122" s="29"/>
      <c r="C122" s="23" t="s">
        <v>487</v>
      </c>
      <c r="D122" s="14"/>
      <c r="E122" s="14"/>
      <c r="F122" s="14"/>
      <c r="G122" s="14"/>
      <c r="H122" s="14"/>
      <c r="I122" s="15"/>
      <c r="J122" s="223"/>
      <c r="K122" s="223"/>
      <c r="L122" s="232"/>
      <c r="M122" s="232"/>
      <c r="N122" s="232"/>
      <c r="O122" s="232"/>
    </row>
    <row r="123" spans="1:15" ht="63" hidden="1" x14ac:dyDescent="0.2">
      <c r="A123" s="40"/>
      <c r="B123" s="29"/>
      <c r="C123" s="23" t="s">
        <v>496</v>
      </c>
      <c r="D123" s="14"/>
      <c r="E123" s="14"/>
      <c r="F123" s="14"/>
      <c r="G123" s="14"/>
      <c r="H123" s="14"/>
      <c r="I123" s="15"/>
      <c r="J123" s="223"/>
      <c r="K123" s="223"/>
      <c r="L123" s="232"/>
      <c r="M123" s="232"/>
      <c r="N123" s="232"/>
      <c r="O123" s="232"/>
    </row>
    <row r="124" spans="1:15" ht="47.25" hidden="1" x14ac:dyDescent="0.2">
      <c r="A124" s="40"/>
      <c r="B124" s="29"/>
      <c r="C124" s="23" t="s">
        <v>174</v>
      </c>
      <c r="D124" s="14"/>
      <c r="E124" s="14"/>
      <c r="F124" s="14"/>
      <c r="G124" s="14"/>
      <c r="H124" s="14"/>
      <c r="I124" s="15"/>
      <c r="J124" s="223"/>
      <c r="K124" s="223"/>
      <c r="L124" s="232"/>
      <c r="M124" s="232"/>
      <c r="N124" s="232"/>
      <c r="O124" s="232"/>
    </row>
    <row r="125" spans="1:15" ht="78.75" hidden="1" x14ac:dyDescent="0.2">
      <c r="A125" s="36"/>
      <c r="B125" s="32"/>
      <c r="C125" s="23" t="s">
        <v>366</v>
      </c>
      <c r="D125" s="14"/>
      <c r="E125" s="14"/>
      <c r="F125" s="14"/>
      <c r="G125" s="14"/>
      <c r="H125" s="14"/>
      <c r="I125" s="15"/>
      <c r="J125" s="223"/>
      <c r="K125" s="223"/>
      <c r="L125" s="232"/>
      <c r="M125" s="232"/>
      <c r="N125" s="232"/>
      <c r="O125" s="232"/>
    </row>
    <row r="126" spans="1:15" ht="63" hidden="1" x14ac:dyDescent="0.2">
      <c r="A126" s="36"/>
      <c r="B126" s="29"/>
      <c r="C126" s="23" t="s">
        <v>367</v>
      </c>
      <c r="D126" s="14"/>
      <c r="E126" s="14"/>
      <c r="F126" s="14"/>
      <c r="G126" s="14"/>
      <c r="H126" s="14"/>
      <c r="I126" s="15"/>
      <c r="J126" s="223"/>
      <c r="K126" s="223"/>
      <c r="L126" s="232"/>
      <c r="M126" s="232"/>
      <c r="N126" s="232"/>
      <c r="O126" s="232"/>
    </row>
    <row r="127" spans="1:15" ht="47.25" hidden="1" x14ac:dyDescent="0.2">
      <c r="A127" s="36"/>
      <c r="B127" s="29"/>
      <c r="C127" s="23" t="s">
        <v>144</v>
      </c>
      <c r="D127" s="14"/>
      <c r="E127" s="14"/>
      <c r="F127" s="14"/>
      <c r="G127" s="14"/>
      <c r="H127" s="14"/>
      <c r="I127" s="15"/>
      <c r="J127" s="223"/>
      <c r="K127" s="223"/>
      <c r="L127" s="232"/>
      <c r="M127" s="232"/>
      <c r="N127" s="232"/>
      <c r="O127" s="232"/>
    </row>
    <row r="128" spans="1:15" ht="16.5" x14ac:dyDescent="0.2">
      <c r="A128" s="144" t="s">
        <v>484</v>
      </c>
      <c r="B128" s="144"/>
      <c r="C128" s="144"/>
      <c r="D128" s="48">
        <f>D130+D131+D132+D133+D134+D135+D137+D138+D139+D140+D141+D142+D143+D144+D145+D146+D147+D148+D149+D150+D151+D152+D153+D154+D155+D156+D158+D159+D160+D161+D162+D163+D164+D165+D166+D167+D169+D170+D171</f>
        <v>267396323</v>
      </c>
      <c r="E128" s="48">
        <f>E130+E131+E132+E133+E134+E135+E137+E138+E139+E140+E141+E142+E143+E144+E145+E146+E147+E148+E149+E150+E151+E152+E153+E154+E155+E156+E158+E159+E160+E161+E162+E163+E164+E165+E166+E167+E169+E170+E171</f>
        <v>248945789.16000006</v>
      </c>
      <c r="F128" s="48">
        <f>D128-E128</f>
        <v>18450533.839999944</v>
      </c>
      <c r="G128" s="48">
        <f>G130+G131+G132+G133+G134+G135+G137+G138+G139+G140+G141+G142+G143+G144+G145+G146+G147+G148+G149+G150+G151+G152+G153+G154+G155+G156+G158+G159+G160+G161+G162+G163+G164+G165+G166+G167+G169+G170+G171</f>
        <v>159104211.27000001</v>
      </c>
      <c r="H128" s="48">
        <f>D128-G128</f>
        <v>108292111.72999999</v>
      </c>
      <c r="I128" s="49">
        <f>IF(D128=0,0,G128/D128)</f>
        <v>0.59501271178661652</v>
      </c>
      <c r="J128" s="220"/>
      <c r="K128" s="220"/>
      <c r="L128" s="229"/>
      <c r="M128" s="229"/>
      <c r="N128" s="229"/>
      <c r="O128" s="229"/>
    </row>
    <row r="129" spans="1:15" ht="16.5" x14ac:dyDescent="0.2">
      <c r="A129" s="126" t="s">
        <v>609</v>
      </c>
      <c r="B129" s="126"/>
      <c r="C129" s="126"/>
      <c r="D129" s="50">
        <f>D130+D131+D132+D133+D134+D135</f>
        <v>32634907</v>
      </c>
      <c r="E129" s="50">
        <f>E130+E131+E132+E133+E134+E135</f>
        <v>31001163.52</v>
      </c>
      <c r="F129" s="50">
        <f>D129-E129</f>
        <v>1633743.4800000004</v>
      </c>
      <c r="G129" s="50">
        <f>G130+G131+G132+G133+G134+G135</f>
        <v>13051953.640000001</v>
      </c>
      <c r="H129" s="50">
        <f>D129-G129</f>
        <v>19582953.359999999</v>
      </c>
      <c r="I129" s="51">
        <f>IF(D129=0,0,G129/D129)</f>
        <v>0.39993843524665174</v>
      </c>
      <c r="J129" s="221"/>
      <c r="K129" s="221"/>
      <c r="L129" s="230"/>
      <c r="M129" s="230"/>
      <c r="N129" s="230"/>
      <c r="O129" s="230"/>
    </row>
    <row r="130" spans="1:15" ht="51" x14ac:dyDescent="0.2">
      <c r="A130" s="52">
        <f>SUBTOTAL(103,$B$10:B130)</f>
        <v>64</v>
      </c>
      <c r="B130" s="53">
        <v>242</v>
      </c>
      <c r="C130" s="81" t="s">
        <v>172</v>
      </c>
      <c r="D130" s="54">
        <f>IF(COUNTIF(tSIAF[Clave],"2504553|242")=0,"",SUMIF(tSIAF[Clave],"2504553|242",tSIAF[PIM]))</f>
        <v>8256172</v>
      </c>
      <c r="E130" s="54">
        <f>IF(COUNTIF(tSIAF[Clave],"2504553|242")=0,"",SUMIF(tSIAF[Clave],"2504553|242",tSIAF[Certificacion]))</f>
        <v>7527846.9100000001</v>
      </c>
      <c r="F130" s="54">
        <f>IF(D130="","",D130-E130)</f>
        <v>728325.08999999985</v>
      </c>
      <c r="G130" s="54">
        <f>IF(COUNTIF(tSIAF[Clave],"2504553|242")=0,"",SUMIF(tSIAF[Clave],"2504553|242",tSIAF[Devengado]))</f>
        <v>4485721.8099999996</v>
      </c>
      <c r="H130" s="54">
        <f>IF(D130="","",D130-G130)</f>
        <v>3770450.1900000004</v>
      </c>
      <c r="I130" s="55">
        <f>IF(D130="","",IF(D130=0,0,G130/D130))</f>
        <v>0.54331738849432876</v>
      </c>
      <c r="J130" s="222" t="s">
        <v>484</v>
      </c>
      <c r="K130" s="222" t="s">
        <v>2299</v>
      </c>
      <c r="L130" s="231">
        <f>IF(COUNTIF(tCartera[CUI],"2504553")=0,"Sin PMI",IF(INDEX(tCartera[PMI2026],MATCH("2504553",tCartera[CUI],0))="","No informado",INDEX(tCartera[PMI2026],MATCH("2504553",tCartera[CUI],0))))</f>
        <v>9468125</v>
      </c>
      <c r="M130" s="231">
        <f>IF(COUNTIF(tCartera[CUI],"2504553")=0,"Sin PMI",IF(INDEX(tCartera[PMI2027],MATCH("2504553",tCartera[CUI],0))="","No informado",INDEX(tCartera[PMI2027],MATCH("2504553",tCartera[CUI],0))))</f>
        <v>933429</v>
      </c>
      <c r="N130" s="231">
        <f>IF(COUNTIF(tCartera[CUI],"2504553")=0,"Sin PMI",IF(INDEX(tCartera[PMI2028],MATCH("2504553",tCartera[CUI],0))="","No informado",INDEX(tCartera[PMI2028],MATCH("2504553",tCartera[CUI],0))))</f>
        <v>6042788</v>
      </c>
      <c r="O130" s="231">
        <f>IF(COUNTIF(tCartera[CUI],"2504553")=0,"Sin PMI",IF(INDEX(tCartera[PMI2029],MATCH("2504553",tCartera[CUI],0))="","No informado",INDEX(tCartera[PMI2029],MATCH("2504553",tCartera[CUI],0))))</f>
        <v>2500000</v>
      </c>
    </row>
    <row r="131" spans="1:15" ht="51" x14ac:dyDescent="0.2">
      <c r="A131" s="52">
        <f>SUBTOTAL(103,$B$10:B131)</f>
        <v>65</v>
      </c>
      <c r="B131" s="56">
        <v>237</v>
      </c>
      <c r="C131" s="81" t="s">
        <v>170</v>
      </c>
      <c r="D131" s="60">
        <f>IF(COUNTIF(tSIAF[Clave],"2470517|237")=0,"",SUMIF(tSIAF[Clave],"2470517|237",tSIAF[PIM]))</f>
        <v>7374992</v>
      </c>
      <c r="E131" s="60">
        <f>IF(COUNTIF(tSIAF[Clave],"2470517|237")=0,"",SUMIF(tSIAF[Clave],"2470517|237",tSIAF[Certificacion]))</f>
        <v>7374802</v>
      </c>
      <c r="F131" s="60">
        <f>IF(D131="","",D131-E131)</f>
        <v>190</v>
      </c>
      <c r="G131" s="60">
        <f>IF(COUNTIF(tSIAF[Clave],"2470517|237")=0,"",SUMIF(tSIAF[Clave],"2470517|237",tSIAF[Devengado]))</f>
        <v>0</v>
      </c>
      <c r="H131" s="60">
        <f>IF(D131="","",D131-G131)</f>
        <v>7374992</v>
      </c>
      <c r="I131" s="55">
        <f>IF(D131="","",IF(D131=0,0,G131/D131))</f>
        <v>0</v>
      </c>
      <c r="J131" s="222" t="s">
        <v>484</v>
      </c>
      <c r="K131" s="222" t="s">
        <v>2299</v>
      </c>
      <c r="L131" s="231">
        <f>IF(COUNTIF(tCartera[CUI],"2470517")=0,"Sin PMI",IF(INDEX(tCartera[PMI2026],MATCH("2470517",tCartera[CUI],0))="","No informado",INDEX(tCartera[PMI2026],MATCH("2470517",tCartera[CUI],0))))</f>
        <v>8000000</v>
      </c>
      <c r="M131" s="231">
        <f>IF(COUNTIF(tCartera[CUI],"2470517")=0,"Sin PMI",IF(INDEX(tCartera[PMI2027],MATCH("2470517",tCartera[CUI],0))="","No informado",INDEX(tCartera[PMI2027],MATCH("2470517",tCartera[CUI],0))))</f>
        <v>8258658</v>
      </c>
      <c r="N131" s="231">
        <f>IF(COUNTIF(tCartera[CUI],"2470517")=0,"Sin PMI",IF(INDEX(tCartera[PMI2028],MATCH("2470517",tCartera[CUI],0))="","No informado",INDEX(tCartera[PMI2028],MATCH("2470517",tCartera[CUI],0))))</f>
        <v>10741348</v>
      </c>
      <c r="O131" s="231">
        <f>IF(COUNTIF(tCartera[CUI],"2470517")=0,"Sin PMI",IF(INDEX(tCartera[PMI2029],MATCH("2470517",tCartera[CUI],0))="","No informado",INDEX(tCartera[PMI2029],MATCH("2470517",tCartera[CUI],0))))</f>
        <v>1075057</v>
      </c>
    </row>
    <row r="132" spans="1:15" ht="51" x14ac:dyDescent="0.2">
      <c r="A132" s="52">
        <f>SUBTOTAL(103,$B$10:B132)</f>
        <v>66</v>
      </c>
      <c r="B132" s="56">
        <v>228</v>
      </c>
      <c r="C132" s="81" t="s">
        <v>166</v>
      </c>
      <c r="D132" s="60">
        <f>IF(COUNTIF(tSIAF[Clave],"2357092|228")=0,"",SUMIF(tSIAF[Clave],"2357092|228",tSIAF[PIM]))</f>
        <v>6997430</v>
      </c>
      <c r="E132" s="60">
        <f>IF(COUNTIF(tSIAF[Clave],"2357092|228")=0,"",SUMIF(tSIAF[Clave],"2357092|228",tSIAF[Certificacion]))</f>
        <v>6787158.8099999996</v>
      </c>
      <c r="F132" s="60">
        <f>IF(D132="","",D132-E132)</f>
        <v>210271.19000000041</v>
      </c>
      <c r="G132" s="60">
        <f>IF(COUNTIF(tSIAF[Clave],"2357092|228")=0,"",SUMIF(tSIAF[Clave],"2357092|228",tSIAF[Devengado]))</f>
        <v>2630352.42</v>
      </c>
      <c r="H132" s="60">
        <f>IF(D132="","",D132-G132)</f>
        <v>4367077.58</v>
      </c>
      <c r="I132" s="55">
        <f>IF(D132="","",IF(D132=0,0,G132/D132))</f>
        <v>0.37590264139834195</v>
      </c>
      <c r="J132" s="222" t="s">
        <v>484</v>
      </c>
      <c r="K132" s="222" t="s">
        <v>2299</v>
      </c>
      <c r="L132" s="231">
        <f>IF(COUNTIF(tCartera[CUI],"2357092")=0,"Sin PMI",IF(INDEX(tCartera[PMI2026],MATCH("2357092",tCartera[CUI],0))="","No informado",INDEX(tCartera[PMI2026],MATCH("2357092",tCartera[CUI],0))))</f>
        <v>8000000</v>
      </c>
      <c r="M132" s="231">
        <f>IF(COUNTIF(tCartera[CUI],"2357092")=0,"Sin PMI",IF(INDEX(tCartera[PMI2027],MATCH("2357092",tCartera[CUI],0))="","No informado",INDEX(tCartera[PMI2027],MATCH("2357092",tCartera[CUI],0))))</f>
        <v>10256256</v>
      </c>
      <c r="N132" s="231">
        <f>IF(COUNTIF(tCartera[CUI],"2357092")=0,"Sin PMI",IF(INDEX(tCartera[PMI2028],MATCH("2357092",tCartera[CUI],0))="","No informado",INDEX(tCartera[PMI2028],MATCH("2357092",tCartera[CUI],0))))</f>
        <v>15069544</v>
      </c>
      <c r="O132" s="231">
        <f>IF(COUNTIF(tCartera[CUI],"2357092")=0,"Sin PMI",IF(INDEX(tCartera[PMI2029],MATCH("2357092",tCartera[CUI],0))="","No informado",INDEX(tCartera[PMI2029],MATCH("2357092",tCartera[CUI],0))))</f>
        <v>4478827</v>
      </c>
    </row>
    <row r="133" spans="1:15" ht="51" x14ac:dyDescent="0.2">
      <c r="A133" s="52">
        <f>SUBTOTAL(103,$B$10:B133)</f>
        <v>67</v>
      </c>
      <c r="B133" s="53">
        <v>241</v>
      </c>
      <c r="C133" s="81" t="s">
        <v>301</v>
      </c>
      <c r="D133" s="54">
        <f>IF(COUNTIF(tSIAF[Clave],"2494039|241")=0,"",SUMIF(tSIAF[Clave],"2494039|241",tSIAF[PIM]))</f>
        <v>6688287</v>
      </c>
      <c r="E133" s="54">
        <f>IF(COUNTIF(tSIAF[Clave],"2494039|241")=0,"",SUMIF(tSIAF[Clave],"2494039|241",tSIAF[Certificacion]))</f>
        <v>6156914.2300000004</v>
      </c>
      <c r="F133" s="54">
        <f>IF(D133="","",D133-E133)</f>
        <v>531372.76999999955</v>
      </c>
      <c r="G133" s="54">
        <f>IF(COUNTIF(tSIAF[Clave],"2494039|241")=0,"",SUMIF(tSIAF[Clave],"2494039|241",tSIAF[Devengado]))</f>
        <v>3692512.7</v>
      </c>
      <c r="H133" s="54">
        <f>IF(D133="","",D133-G133)</f>
        <v>2995774.3</v>
      </c>
      <c r="I133" s="55">
        <f>IF(D133="","",IF(D133=0,0,G133/D133))</f>
        <v>0.55208646100264536</v>
      </c>
      <c r="J133" s="222" t="s">
        <v>484</v>
      </c>
      <c r="K133" s="222" t="s">
        <v>2299</v>
      </c>
      <c r="L133" s="231">
        <f>IF(COUNTIF(tCartera[CUI],"2494039")=0,"Sin PMI",IF(INDEX(tCartera[PMI2026],MATCH("2494039",tCartera[CUI],0))="","No informado",INDEX(tCartera[PMI2026],MATCH("2494039",tCartera[CUI],0))))</f>
        <v>2822702</v>
      </c>
      <c r="M133" s="231">
        <f>IF(COUNTIF(tCartera[CUI],"2494039")=0,"Sin PMI",IF(INDEX(tCartera[PMI2027],MATCH("2494039",tCartera[CUI],0))="","No informado",INDEX(tCartera[PMI2027],MATCH("2494039",tCartera[CUI],0))))</f>
        <v>65844</v>
      </c>
      <c r="N133" s="231">
        <f>IF(COUNTIF(tCartera[CUI],"2494039")=0,"Sin PMI",IF(INDEX(tCartera[PMI2028],MATCH("2494039",tCartera[CUI],0))="","No informado",INDEX(tCartera[PMI2028],MATCH("2494039",tCartera[CUI],0))))</f>
        <v>0</v>
      </c>
      <c r="O133" s="231">
        <f>IF(COUNTIF(tCartera[CUI],"2494039")=0,"Sin PMI",IF(INDEX(tCartera[PMI2029],MATCH("2494039",tCartera[CUI],0))="","No informado",INDEX(tCartera[PMI2029],MATCH("2494039",tCartera[CUI],0))))</f>
        <v>0</v>
      </c>
    </row>
    <row r="134" spans="1:15" ht="51" x14ac:dyDescent="0.2">
      <c r="A134" s="52">
        <f>SUBTOTAL(103,$B$10:B134)</f>
        <v>68</v>
      </c>
      <c r="B134" s="56">
        <v>221</v>
      </c>
      <c r="C134" s="81" t="s">
        <v>276</v>
      </c>
      <c r="D134" s="54">
        <f>IF(COUNTIF(tSIAF[Clave],"2290342|221")=0,"",SUMIF(tSIAF[Clave],"2290342|221",tSIAF[PIM]))</f>
        <v>3318026</v>
      </c>
      <c r="E134" s="54">
        <f>IF(COUNTIF(tSIAF[Clave],"2290342|221")=0,"",SUMIF(tSIAF[Clave],"2290342|221",tSIAF[Certificacion]))</f>
        <v>3154441.57</v>
      </c>
      <c r="F134" s="54">
        <f>IF(D134="","",D134-E134)</f>
        <v>163584.43000000017</v>
      </c>
      <c r="G134" s="54">
        <f>IF(COUNTIF(tSIAF[Clave],"2290342|221")=0,"",SUMIF(tSIAF[Clave],"2290342|221",tSIAF[Devengado]))</f>
        <v>2243366.71</v>
      </c>
      <c r="H134" s="54">
        <f>IF(D134="","",D134-G134)</f>
        <v>1074659.29</v>
      </c>
      <c r="I134" s="55">
        <f>IF(D134="","",IF(D134=0,0,G134/D134))</f>
        <v>0.67611486769543094</v>
      </c>
      <c r="J134" s="222" t="s">
        <v>484</v>
      </c>
      <c r="K134" s="222" t="s">
        <v>2299</v>
      </c>
      <c r="L134" s="231">
        <f>IF(COUNTIF(tCartera[CUI],"2290342")=0,"Sin PMI",IF(INDEX(tCartera[PMI2026],MATCH("2290342",tCartera[CUI],0))="","No informado",INDEX(tCartera[PMI2026],MATCH("2290342",tCartera[CUI],0))))</f>
        <v>821892</v>
      </c>
      <c r="M134" s="231">
        <f>IF(COUNTIF(tCartera[CUI],"2290342")=0,"Sin PMI",IF(INDEX(tCartera[PMI2027],MATCH("2290342",tCartera[CUI],0))="","No informado",INDEX(tCartera[PMI2027],MATCH("2290342",tCartera[CUI],0))))</f>
        <v>47336</v>
      </c>
      <c r="N134" s="231">
        <f>IF(COUNTIF(tCartera[CUI],"2290342")=0,"Sin PMI",IF(INDEX(tCartera[PMI2028],MATCH("2290342",tCartera[CUI],0))="","No informado",INDEX(tCartera[PMI2028],MATCH("2290342",tCartera[CUI],0))))</f>
        <v>0</v>
      </c>
      <c r="O134" s="231">
        <f>IF(COUNTIF(tCartera[CUI],"2290342")=0,"Sin PMI",IF(INDEX(tCartera[PMI2029],MATCH("2290342",tCartera[CUI],0))="","No informado",INDEX(tCartera[PMI2029],MATCH("2290342",tCartera[CUI],0))))</f>
        <v>0</v>
      </c>
    </row>
    <row r="135" spans="1:15" ht="42" customHeight="1" x14ac:dyDescent="0.2">
      <c r="A135" s="52">
        <f>SUBTOTAL(103,$B$10:B135)</f>
        <v>69</v>
      </c>
      <c r="B135" s="53">
        <v>235</v>
      </c>
      <c r="C135" s="81" t="s">
        <v>169</v>
      </c>
      <c r="D135" s="60">
        <f>IF(COUNTIF(tSIAF[Clave],"2451529|235")=0,"",SUMIF(tSIAF[Clave],"2451529|235",tSIAF[PIM]))</f>
        <v>0</v>
      </c>
      <c r="E135" s="60">
        <f>IF(COUNTIF(tSIAF[Clave],"2451529|235")=0,"",SUMIF(tSIAF[Clave],"2451529|235",tSIAF[Certificacion]))</f>
        <v>0</v>
      </c>
      <c r="F135" s="60">
        <f>IF(D135="","",D135-E135)</f>
        <v>0</v>
      </c>
      <c r="G135" s="60">
        <f>IF(COUNTIF(tSIAF[Clave],"2451529|235")=0,"",SUMIF(tSIAF[Clave],"2451529|235",tSIAF[Devengado]))</f>
        <v>0</v>
      </c>
      <c r="H135" s="60">
        <f>IF(D135="","",D135-G135)</f>
        <v>0</v>
      </c>
      <c r="I135" s="55">
        <f>IF(D135="","",IF(D135=0,0,G135/D135))</f>
        <v>0</v>
      </c>
      <c r="J135" s="222" t="s">
        <v>484</v>
      </c>
      <c r="K135" s="222" t="s">
        <v>2299</v>
      </c>
      <c r="L135" s="231">
        <f>IF(COUNTIF(tCartera[CUI],"2451529")=0,"Sin PMI",IF(INDEX(tCartera[PMI2026],MATCH("2451529",tCartera[CUI],0))="","No informado",INDEX(tCartera[PMI2026],MATCH("2451529",tCartera[CUI],0))))</f>
        <v>12571000</v>
      </c>
      <c r="M135" s="231">
        <f>IF(COUNTIF(tCartera[CUI],"2451529")=0,"Sin PMI",IF(INDEX(tCartera[PMI2027],MATCH("2451529",tCartera[CUI],0))="","No informado",INDEX(tCartera[PMI2027],MATCH("2451529",tCartera[CUI],0))))</f>
        <v>5987564</v>
      </c>
      <c r="N135" s="231">
        <f>IF(COUNTIF(tCartera[CUI],"2451529")=0,"Sin PMI",IF(INDEX(tCartera[PMI2028],MATCH("2451529",tCartera[CUI],0))="","No informado",INDEX(tCartera[PMI2028],MATCH("2451529",tCartera[CUI],0))))</f>
        <v>16094501</v>
      </c>
      <c r="O135" s="231">
        <f>IF(COUNTIF(tCartera[CUI],"2451529")=0,"Sin PMI",IF(INDEX(tCartera[PMI2029],MATCH("2451529",tCartera[CUI],0))="","No informado",INDEX(tCartera[PMI2029],MATCH("2451529",tCartera[CUI],0))))</f>
        <v>22576094</v>
      </c>
    </row>
    <row r="136" spans="1:15" ht="16.5" x14ac:dyDescent="0.2">
      <c r="A136" s="126" t="s">
        <v>610</v>
      </c>
      <c r="B136" s="126"/>
      <c r="C136" s="126"/>
      <c r="D136" s="50">
        <f>D137+D138+D139+D140+D141+D142+D143+D144+D145+D146+D147+D148+D149+D150+D151+D152+D153+D154+D155+D156</f>
        <v>160639248</v>
      </c>
      <c r="E136" s="50">
        <f>E137+E138+E139+E140+E141+E142+E143+E144+E145+E146+E147+E148+E149+E150+E151+E152+E153+E154+E155+E156</f>
        <v>150095951.71000001</v>
      </c>
      <c r="F136" s="50">
        <f>D136-E136</f>
        <v>10543296.289999992</v>
      </c>
      <c r="G136" s="50">
        <f>G137+G138+G139+G140+G141+G142+G143+G144+G145+G146+G147+G148+G149+G150+G151+G152+G153+G154+G155+G156</f>
        <v>104648494.13000003</v>
      </c>
      <c r="H136" s="50">
        <f>D136-G136</f>
        <v>55990753.869999975</v>
      </c>
      <c r="I136" s="51">
        <f>IF(D136=0,0,G136/D136)</f>
        <v>0.65145034873420238</v>
      </c>
      <c r="J136" s="221"/>
      <c r="K136" s="221"/>
      <c r="L136" s="230"/>
      <c r="M136" s="230"/>
      <c r="N136" s="230"/>
      <c r="O136" s="230"/>
    </row>
    <row r="137" spans="1:15" ht="42" customHeight="1" x14ac:dyDescent="0.2">
      <c r="A137" s="52">
        <f>SUBTOTAL(103,$B$10:B137)</f>
        <v>70</v>
      </c>
      <c r="B137" s="53">
        <v>35</v>
      </c>
      <c r="C137" s="81" t="s">
        <v>192</v>
      </c>
      <c r="D137" s="60">
        <f>IF(COUNTIF(tSIAF[Clave],"2411336|35")=0,"",SUMIF(tSIAF[Clave],"2411336|35",tSIAF[PIM]))</f>
        <v>21914154</v>
      </c>
      <c r="E137" s="60">
        <f>IF(COUNTIF(tSIAF[Clave],"2411336|35")=0,"",SUMIF(tSIAF[Clave],"2411336|35",tSIAF[Certificacion]))</f>
        <v>21776068.059999999</v>
      </c>
      <c r="F137" s="60">
        <f>IF(D137="","",D137-E137)</f>
        <v>138085.94000000134</v>
      </c>
      <c r="G137" s="60">
        <f>IF(COUNTIF(tSIAF[Clave],"2411336|35")=0,"",SUMIF(tSIAF[Clave],"2411336|35",tSIAF[Devengado]))</f>
        <v>15564867.439999999</v>
      </c>
      <c r="H137" s="60">
        <f>IF(D137="","",D137-G137)</f>
        <v>6349286.5600000005</v>
      </c>
      <c r="I137" s="55">
        <f>IF(D137="","",IF(D137=0,0,G137/D137))</f>
        <v>0.71026549507683479</v>
      </c>
      <c r="J137" s="222" t="s">
        <v>484</v>
      </c>
      <c r="K137" s="222" t="s">
        <v>2299</v>
      </c>
      <c r="L137" s="231">
        <f>IF(COUNTIF(tCartera[CUI],"2411336")=0,"Sin PMI",IF(INDEX(tCartera[PMI2026],MATCH("2411336",tCartera[CUI],0))="","No informado",INDEX(tCartera[PMI2026],MATCH("2411336",tCartera[CUI],0))))</f>
        <v>11955231</v>
      </c>
      <c r="M137" s="231">
        <f>IF(COUNTIF(tCartera[CUI],"2411336")=0,"Sin PMI",IF(INDEX(tCartera[PMI2027],MATCH("2411336",tCartera[CUI],0))="","No informado",INDEX(tCartera[PMI2027],MATCH("2411336",tCartera[CUI],0))))</f>
        <v>2500000</v>
      </c>
      <c r="N137" s="231">
        <f>IF(COUNTIF(tCartera[CUI],"2411336")=0,"Sin PMI",IF(INDEX(tCartera[PMI2028],MATCH("2411336",tCartera[CUI],0))="","No informado",INDEX(tCartera[PMI2028],MATCH("2411336",tCartera[CUI],0))))</f>
        <v>3884089</v>
      </c>
      <c r="O137" s="231">
        <f>IF(COUNTIF(tCartera[CUI],"2411336")=0,"Sin PMI",IF(INDEX(tCartera[PMI2029],MATCH("2411336",tCartera[CUI],0))="","No informado",INDEX(tCartera[PMI2029],MATCH("2411336",tCartera[CUI],0))))</f>
        <v>0</v>
      </c>
    </row>
    <row r="138" spans="1:15" ht="42" customHeight="1" x14ac:dyDescent="0.2">
      <c r="A138" s="52">
        <f>SUBTOTAL(103,$B$10:B138)</f>
        <v>71</v>
      </c>
      <c r="B138" s="53">
        <v>25</v>
      </c>
      <c r="C138" s="81" t="s">
        <v>181</v>
      </c>
      <c r="D138" s="54">
        <f>IF(COUNTIF(tSIAF[Clave],"2284935|25")=0,"",SUMIF(tSIAF[Clave],"2284935|25",tSIAF[PIM]))</f>
        <v>22276780</v>
      </c>
      <c r="E138" s="54">
        <f>IF(COUNTIF(tSIAF[Clave],"2284935|25")=0,"",SUMIF(tSIAF[Clave],"2284935|25",tSIAF[Certificacion]))</f>
        <v>17912911.210000001</v>
      </c>
      <c r="F138" s="54">
        <f>IF(D138="","",D138-E138)</f>
        <v>4363868.7899999991</v>
      </c>
      <c r="G138" s="54">
        <f>IF(COUNTIF(tSIAF[Clave],"2284935|25")=0,"",SUMIF(tSIAF[Clave],"2284935|25",tSIAF[Devengado]))</f>
        <v>15417466.049999999</v>
      </c>
      <c r="H138" s="54">
        <f>IF(D138="","",D138-G138)</f>
        <v>6859313.9500000011</v>
      </c>
      <c r="I138" s="55">
        <f>IF(D138="","",IF(D138=0,0,G138/D138))</f>
        <v>0.69208682987397641</v>
      </c>
      <c r="J138" s="222" t="s">
        <v>484</v>
      </c>
      <c r="K138" s="222" t="s">
        <v>2299</v>
      </c>
      <c r="L138" s="231">
        <f>IF(COUNTIF(tCartera[CUI],"2284935")=0,"Sin PMI",IF(INDEX(tCartera[PMI2026],MATCH("2284935",tCartera[CUI],0))="","No informado",INDEX(tCartera[PMI2026],MATCH("2284935",tCartera[CUI],0))))</f>
        <v>15800000</v>
      </c>
      <c r="M138" s="231">
        <f>IF(COUNTIF(tCartera[CUI],"2284935")=0,"Sin PMI",IF(INDEX(tCartera[PMI2027],MATCH("2284935",tCartera[CUI],0))="","No informado",INDEX(tCartera[PMI2027],MATCH("2284935",tCartera[CUI],0))))</f>
        <v>14789542</v>
      </c>
      <c r="N138" s="231">
        <f>IF(COUNTIF(tCartera[CUI],"2284935")=0,"Sin PMI",IF(INDEX(tCartera[PMI2028],MATCH("2284935",tCartera[CUI],0))="","No informado",INDEX(tCartera[PMI2028],MATCH("2284935",tCartera[CUI],0))))</f>
        <v>15918407</v>
      </c>
      <c r="O138" s="231">
        <f>IF(COUNTIF(tCartera[CUI],"2284935")=0,"Sin PMI",IF(INDEX(tCartera[PMI2029],MATCH("2284935",tCartera[CUI],0))="","No informado",INDEX(tCartera[PMI2029],MATCH("2284935",tCartera[CUI],0))))</f>
        <v>10295229</v>
      </c>
    </row>
    <row r="139" spans="1:15" ht="76.5" x14ac:dyDescent="0.2">
      <c r="A139" s="52">
        <f>SUBTOTAL(103,$B$10:B139)</f>
        <v>72</v>
      </c>
      <c r="B139" s="56">
        <v>229</v>
      </c>
      <c r="C139" s="81" t="s">
        <v>187</v>
      </c>
      <c r="D139" s="60">
        <f>IF(COUNTIF(tSIAF[Clave],"2357330|229")=0,"",SUMIF(tSIAF[Clave],"2357330|229",tSIAF[PIM]))</f>
        <v>17354707</v>
      </c>
      <c r="E139" s="60">
        <f>IF(COUNTIF(tSIAF[Clave],"2357330|229")=0,"",SUMIF(tSIAF[Clave],"2357330|229",tSIAF[Certificacion]))</f>
        <v>17083718.420000002</v>
      </c>
      <c r="F139" s="60">
        <f>IF(D139="","",D139-E139)</f>
        <v>270988.57999999821</v>
      </c>
      <c r="G139" s="60">
        <f>IF(COUNTIF(tSIAF[Clave],"2357330|229")=0,"",SUMIF(tSIAF[Clave],"2357330|229",tSIAF[Devengado]))</f>
        <v>8610007.6500000004</v>
      </c>
      <c r="H139" s="60">
        <f>IF(D139="","",D139-G139)</f>
        <v>8744699.3499999996</v>
      </c>
      <c r="I139" s="55">
        <f>IF(D139="","",IF(D139=0,0,G139/D139))</f>
        <v>0.49611944759424637</v>
      </c>
      <c r="J139" s="222" t="s">
        <v>484</v>
      </c>
      <c r="K139" s="222" t="s">
        <v>2299</v>
      </c>
      <c r="L139" s="231">
        <f>IF(COUNTIF(tCartera[CUI],"2357330")=0,"Sin PMI",IF(INDEX(tCartera[PMI2026],MATCH("2357330",tCartera[CUI],0))="","No informado",INDEX(tCartera[PMI2026],MATCH("2357330",tCartera[CUI],0))))</f>
        <v>12500000</v>
      </c>
      <c r="M139" s="231">
        <f>IF(COUNTIF(tCartera[CUI],"2357330")=0,"Sin PMI",IF(INDEX(tCartera[PMI2027],MATCH("2357330",tCartera[CUI],0))="","No informado",INDEX(tCartera[PMI2027],MATCH("2357330",tCartera[CUI],0))))</f>
        <v>4806839</v>
      </c>
      <c r="N139" s="231">
        <f>IF(COUNTIF(tCartera[CUI],"2357330")=0,"Sin PMI",IF(INDEX(tCartera[PMI2028],MATCH("2357330",tCartera[CUI],0))="","No informado",INDEX(tCartera[PMI2028],MATCH("2357330",tCartera[CUI],0))))</f>
        <v>753613</v>
      </c>
      <c r="O139" s="231">
        <f>IF(COUNTIF(tCartera[CUI],"2357330")=0,"Sin PMI",IF(INDEX(tCartera[PMI2029],MATCH("2357330",tCartera[CUI],0))="","No informado",INDEX(tCartera[PMI2029],MATCH("2357330",tCartera[CUI],0))))</f>
        <v>0</v>
      </c>
    </row>
    <row r="140" spans="1:15" ht="42" customHeight="1" x14ac:dyDescent="0.2">
      <c r="A140" s="52">
        <f>SUBTOTAL(103,$B$10:B140)</f>
        <v>73</v>
      </c>
      <c r="B140" s="53">
        <v>30</v>
      </c>
      <c r="C140" s="81" t="s">
        <v>114</v>
      </c>
      <c r="D140" s="54">
        <f>IF(COUNTIF(tSIAF[Clave],"2357322|30")=0,"",SUMIF(tSIAF[Clave],"2357322|30",tSIAF[PIM]))</f>
        <v>19795501</v>
      </c>
      <c r="E140" s="54">
        <f>IF(COUNTIF(tSIAF[Clave],"2357322|30")=0,"",SUMIF(tSIAF[Clave],"2357322|30",tSIAF[Certificacion]))</f>
        <v>19793411.719999999</v>
      </c>
      <c r="F140" s="54">
        <f>IF(D140="","",D140-E140)</f>
        <v>2089.2800000011921</v>
      </c>
      <c r="G140" s="54">
        <f>IF(COUNTIF(tSIAF[Clave],"2357322|30")=0,"",SUMIF(tSIAF[Clave],"2357322|30",tSIAF[Devengado]))</f>
        <v>14545766.24</v>
      </c>
      <c r="H140" s="54">
        <f>IF(D140="","",D140-G140)</f>
        <v>5249734.76</v>
      </c>
      <c r="I140" s="55">
        <f>IF(D140="","",IF(D140=0,0,G140/D140))</f>
        <v>0.73480162184326636</v>
      </c>
      <c r="J140" s="222" t="s">
        <v>484</v>
      </c>
      <c r="K140" s="222" t="s">
        <v>2299</v>
      </c>
      <c r="L140" s="231">
        <f>IF(COUNTIF(tCartera[CUI],"2357322")=0,"Sin PMI",IF(INDEX(tCartera[PMI2026],MATCH("2357322",tCartera[CUI],0))="","No informado",INDEX(tCartera[PMI2026],MATCH("2357322",tCartera[CUI],0))))</f>
        <v>9609000</v>
      </c>
      <c r="M140" s="231">
        <f>IF(COUNTIF(tCartera[CUI],"2357322")=0,"Sin PMI",IF(INDEX(tCartera[PMI2027],MATCH("2357322",tCartera[CUI],0))="","No informado",INDEX(tCartera[PMI2027],MATCH("2357322",tCartera[CUI],0))))</f>
        <v>897867</v>
      </c>
      <c r="N140" s="231">
        <f>IF(COUNTIF(tCartera[CUI],"2357322")=0,"Sin PMI",IF(INDEX(tCartera[PMI2028],MATCH("2357322",tCartera[CUI],0))="","No informado",INDEX(tCartera[PMI2028],MATCH("2357322",tCartera[CUI],0))))</f>
        <v>6124874</v>
      </c>
      <c r="O140" s="231">
        <f>IF(COUNTIF(tCartera[CUI],"2357322")=0,"Sin PMI",IF(INDEX(tCartera[PMI2029],MATCH("2357322",tCartera[CUI],0))="","No informado",INDEX(tCartera[PMI2029],MATCH("2357322",tCartera[CUI],0))))</f>
        <v>0</v>
      </c>
    </row>
    <row r="141" spans="1:15" ht="42" customHeight="1" x14ac:dyDescent="0.2">
      <c r="A141" s="52">
        <f>SUBTOTAL(103,$B$10:B141)</f>
        <v>74</v>
      </c>
      <c r="B141" s="53">
        <v>33</v>
      </c>
      <c r="C141" s="81" t="s">
        <v>190</v>
      </c>
      <c r="D141" s="54">
        <f>IF(COUNTIF(tSIAF[Clave],"2385673|33")=0,"",SUMIF(tSIAF[Clave],"2385673|33",tSIAF[PIM]))</f>
        <v>17241964</v>
      </c>
      <c r="E141" s="54">
        <f>IF(COUNTIF(tSIAF[Clave],"2385673|33")=0,"",SUMIF(tSIAF[Clave],"2385673|33",tSIAF[Certificacion]))</f>
        <v>17144704.560000002</v>
      </c>
      <c r="F141" s="54">
        <f>IF(D141="","",D141-E141)</f>
        <v>97259.439999997616</v>
      </c>
      <c r="G141" s="54">
        <f>IF(COUNTIF(tSIAF[Clave],"2385673|33")=0,"",SUMIF(tSIAF[Clave],"2385673|33",tSIAF[Devengado]))</f>
        <v>11639796.34</v>
      </c>
      <c r="H141" s="54">
        <f>IF(D141="","",D141-G141)</f>
        <v>5602167.6600000001</v>
      </c>
      <c r="I141" s="55">
        <f>IF(D141="","",IF(D141=0,0,G141/D141))</f>
        <v>0.67508529422750219</v>
      </c>
      <c r="J141" s="222" t="s">
        <v>484</v>
      </c>
      <c r="K141" s="222" t="s">
        <v>2299</v>
      </c>
      <c r="L141" s="231">
        <f>IF(COUNTIF(tCartera[CUI],"2385673")=0,"Sin PMI",IF(INDEX(tCartera[PMI2026],MATCH("2385673",tCartera[CUI],0))="","No informado",INDEX(tCartera[PMI2026],MATCH("2385673",tCartera[CUI],0))))</f>
        <v>8016014</v>
      </c>
      <c r="M141" s="231">
        <f>IF(COUNTIF(tCartera[CUI],"2385673")=0,"Sin PMI",IF(INDEX(tCartera[PMI2027],MATCH("2385673",tCartera[CUI],0))="","No informado",INDEX(tCartera[PMI2027],MATCH("2385673",tCartera[CUI],0))))</f>
        <v>10000000</v>
      </c>
      <c r="N141" s="231">
        <f>IF(COUNTIF(tCartera[CUI],"2385673")=0,"Sin PMI",IF(INDEX(tCartera[PMI2028],MATCH("2385673",tCartera[CUI],0))="","No informado",INDEX(tCartera[PMI2028],MATCH("2385673",tCartera[CUI],0))))</f>
        <v>1057112</v>
      </c>
      <c r="O141" s="231">
        <f>IF(COUNTIF(tCartera[CUI],"2385673")=0,"Sin PMI",IF(INDEX(tCartera[PMI2029],MATCH("2385673",tCartera[CUI],0))="","No informado",INDEX(tCartera[PMI2029],MATCH("2385673",tCartera[CUI],0))))</f>
        <v>2541629</v>
      </c>
    </row>
    <row r="142" spans="1:15" ht="63.75" x14ac:dyDescent="0.2">
      <c r="A142" s="52">
        <f>SUBTOTAL(103,$B$10:B142)</f>
        <v>75</v>
      </c>
      <c r="B142" s="53">
        <v>161</v>
      </c>
      <c r="C142" s="81" t="s">
        <v>265</v>
      </c>
      <c r="D142" s="54">
        <f>IF(COUNTIF(tSIAF[Clave],"2585543|161")=0,"",SUMIF(tSIAF[Clave],"2585543|161",tSIAF[PIM]))</f>
        <v>15380884</v>
      </c>
      <c r="E142" s="54">
        <f>IF(COUNTIF(tSIAF[Clave],"2585543|161")=0,"",SUMIF(tSIAF[Clave],"2585543|161",tSIAF[Certificacion]))</f>
        <v>14270657.16</v>
      </c>
      <c r="F142" s="54">
        <f>IF(D142="","",D142-E142)</f>
        <v>1110226.8399999999</v>
      </c>
      <c r="G142" s="54">
        <f>IF(COUNTIF(tSIAF[Clave],"2585543|161")=0,"",SUMIF(tSIAF[Clave],"2585543|161",tSIAF[Devengado]))</f>
        <v>9463521.4600000009</v>
      </c>
      <c r="H142" s="54">
        <f>IF(D142="","",D142-G142)</f>
        <v>5917362.5399999991</v>
      </c>
      <c r="I142" s="55">
        <f>IF(D142="","",IF(D142=0,0,G142/D142))</f>
        <v>0.6152781244563057</v>
      </c>
      <c r="J142" s="222" t="s">
        <v>484</v>
      </c>
      <c r="K142" s="222" t="s">
        <v>2299</v>
      </c>
      <c r="L142" s="231">
        <f>IF(COUNTIF(tCartera[CUI],"2585543")=0,"Sin PMI",IF(INDEX(tCartera[PMI2026],MATCH("2585543",tCartera[CUI],0))="","No informado",INDEX(tCartera[PMI2026],MATCH("2585543",tCartera[CUI],0))))</f>
        <v>6000000</v>
      </c>
      <c r="M142" s="231">
        <f>IF(COUNTIF(tCartera[CUI],"2585543")=0,"Sin PMI",IF(INDEX(tCartera[PMI2027],MATCH("2585543",tCartera[CUI],0))="","No informado",INDEX(tCartera[PMI2027],MATCH("2585543",tCartera[CUI],0))))</f>
        <v>3456765</v>
      </c>
      <c r="N142" s="231">
        <f>IF(COUNTIF(tCartera[CUI],"2585543")=0,"Sin PMI",IF(INDEX(tCartera[PMI2028],MATCH("2585543",tCartera[CUI],0))="","No informado",INDEX(tCartera[PMI2028],MATCH("2585543",tCartera[CUI],0))))</f>
        <v>1108030</v>
      </c>
      <c r="O142" s="231">
        <f>IF(COUNTIF(tCartera[CUI],"2585543")=0,"Sin PMI",IF(INDEX(tCartera[PMI2029],MATCH("2585543",tCartera[CUI],0))="","No informado",INDEX(tCartera[PMI2029],MATCH("2585543",tCartera[CUI],0))))</f>
        <v>0</v>
      </c>
    </row>
    <row r="143" spans="1:15" ht="51" x14ac:dyDescent="0.2">
      <c r="A143" s="52">
        <f>SUBTOTAL(103,$B$10:B143)</f>
        <v>76</v>
      </c>
      <c r="B143" s="53">
        <v>247</v>
      </c>
      <c r="C143" s="81" t="s">
        <v>103</v>
      </c>
      <c r="D143" s="60">
        <f>IF(COUNTIF(tSIAF[Clave],"2535611|247")=0,"",SUMIF(tSIAF[Clave],"2535611|247",tSIAF[PIM]))</f>
        <v>9666000</v>
      </c>
      <c r="E143" s="60">
        <f>IF(COUNTIF(tSIAF[Clave],"2535611|247")=0,"",SUMIF(tSIAF[Clave],"2535611|247",tSIAF[Certificacion]))</f>
        <v>9191703.8300000001</v>
      </c>
      <c r="F143" s="60">
        <f>IF(D143="","",D143-E143)</f>
        <v>474296.16999999993</v>
      </c>
      <c r="G143" s="60">
        <f>IF(COUNTIF(tSIAF[Clave],"2535611|247")=0,"",SUMIF(tSIAF[Clave],"2535611|247",tSIAF[Devengado]))</f>
        <v>5594991.0599999996</v>
      </c>
      <c r="H143" s="60">
        <f>IF(D143="","",D143-G143)</f>
        <v>4071008.9400000004</v>
      </c>
      <c r="I143" s="55">
        <f>IF(D143="","",IF(D143=0,0,G143/D143))</f>
        <v>0.57883209807572933</v>
      </c>
      <c r="J143" s="222" t="s">
        <v>484</v>
      </c>
      <c r="K143" s="222" t="s">
        <v>2299</v>
      </c>
      <c r="L143" s="231">
        <f>IF(COUNTIF(tCartera[CUI],"2535611")=0,"Sin PMI",IF(INDEX(tCartera[PMI2026],MATCH("2535611",tCartera[CUI],0))="","No informado",INDEX(tCartera[PMI2026],MATCH("2535611",tCartera[CUI],0))))</f>
        <v>7546000</v>
      </c>
      <c r="M143" s="231">
        <f>IF(COUNTIF(tCartera[CUI],"2535611")=0,"Sin PMI",IF(INDEX(tCartera[PMI2027],MATCH("2535611",tCartera[CUI],0))="","No informado",INDEX(tCartera[PMI2027],MATCH("2535611",tCartera[CUI],0))))</f>
        <v>1410563</v>
      </c>
      <c r="N143" s="231">
        <f>IF(COUNTIF(tCartera[CUI],"2535611")=0,"Sin PMI",IF(INDEX(tCartera[PMI2028],MATCH("2535611",tCartera[CUI],0))="","No informado",INDEX(tCartera[PMI2028],MATCH("2535611",tCartera[CUI],0))))</f>
        <v>1509243</v>
      </c>
      <c r="O143" s="231">
        <f>IF(COUNTIF(tCartera[CUI],"2535611")=0,"Sin PMI",IF(INDEX(tCartera[PMI2029],MATCH("2535611",tCartera[CUI],0))="","No informado",INDEX(tCartera[PMI2029],MATCH("2535611",tCartera[CUI],0))))</f>
        <v>0</v>
      </c>
    </row>
    <row r="144" spans="1:15" ht="42" customHeight="1" x14ac:dyDescent="0.2">
      <c r="A144" s="52">
        <f>SUBTOTAL(103,$B$10:B144)</f>
        <v>77</v>
      </c>
      <c r="B144" s="56">
        <v>39</v>
      </c>
      <c r="C144" s="81" t="s">
        <v>376</v>
      </c>
      <c r="D144" s="54">
        <f>IF(COUNTIF(tSIAF[Clave],"2538950|39")=0,"",SUMIF(tSIAF[Clave],"2538950|39",tSIAF[PIM]))</f>
        <v>6765264</v>
      </c>
      <c r="E144" s="54">
        <f>IF(COUNTIF(tSIAF[Clave],"2538950|39")=0,"",SUMIF(tSIAF[Clave],"2538950|39",tSIAF[Certificacion]))</f>
        <v>6659441.1900000004</v>
      </c>
      <c r="F144" s="54">
        <f>IF(D144="","",D144-E144)</f>
        <v>105822.80999999959</v>
      </c>
      <c r="G144" s="54">
        <f>IF(COUNTIF(tSIAF[Clave],"2538950|39")=0,"",SUMIF(tSIAF[Clave],"2538950|39",tSIAF[Devengado]))</f>
        <v>4177875.53</v>
      </c>
      <c r="H144" s="54">
        <f>IF(D144="","",D144-G144)</f>
        <v>2587388.4700000002</v>
      </c>
      <c r="I144" s="55">
        <f>IF(D144="","",IF(D144=0,0,G144/D144))</f>
        <v>0.61754804099293092</v>
      </c>
      <c r="J144" s="222" t="s">
        <v>484</v>
      </c>
      <c r="K144" s="222" t="s">
        <v>2299</v>
      </c>
      <c r="L144" s="231" t="str">
        <f>IF(COUNTIF(tCartera[CUI],"2538950")=0,"Sin PMI",IF(INDEX(tCartera[PMI2026],MATCH("2538950",tCartera[CUI],0))="","No informado",INDEX(tCartera[PMI2026],MATCH("2538950",tCartera[CUI],0))))</f>
        <v>Sin PMI</v>
      </c>
      <c r="M144" s="231" t="str">
        <f>IF(COUNTIF(tCartera[CUI],"2538950")=0,"Sin PMI",IF(INDEX(tCartera[PMI2027],MATCH("2538950",tCartera[CUI],0))="","No informado",INDEX(tCartera[PMI2027],MATCH("2538950",tCartera[CUI],0))))</f>
        <v>Sin PMI</v>
      </c>
      <c r="N144" s="231" t="str">
        <f>IF(COUNTIF(tCartera[CUI],"2538950")=0,"Sin PMI",IF(INDEX(tCartera[PMI2028],MATCH("2538950",tCartera[CUI],0))="","No informado",INDEX(tCartera[PMI2028],MATCH("2538950",tCartera[CUI],0))))</f>
        <v>Sin PMI</v>
      </c>
      <c r="O144" s="231" t="str">
        <f>IF(COUNTIF(tCartera[CUI],"2538950")=0,"Sin PMI",IF(INDEX(tCartera[PMI2029],MATCH("2538950",tCartera[CUI],0))="","No informado",INDEX(tCartera[PMI2029],MATCH("2538950",tCartera[CUI],0))))</f>
        <v>Sin PMI</v>
      </c>
    </row>
    <row r="145" spans="1:15" ht="42" customHeight="1" x14ac:dyDescent="0.2">
      <c r="A145" s="52">
        <f>SUBTOTAL(103,$B$10:B145)</f>
        <v>78</v>
      </c>
      <c r="B145" s="58" t="s">
        <v>501</v>
      </c>
      <c r="C145" s="81" t="s">
        <v>278</v>
      </c>
      <c r="D145" s="54">
        <f>IF(COUNTIF(tSIAF[Clave],"2289661|26")=0,"",SUMIF(tSIAF[Clave],"2289661|26",tSIAF[PIM]))</f>
        <v>4291327</v>
      </c>
      <c r="E145" s="54">
        <f>IF(COUNTIF(tSIAF[Clave],"2289661|26")=0,"",SUMIF(tSIAF[Clave],"2289661|26",tSIAF[Certificacion]))</f>
        <v>4093667.05</v>
      </c>
      <c r="F145" s="54">
        <f>IF(D145="","",D145-E145)</f>
        <v>197659.95000000019</v>
      </c>
      <c r="G145" s="54">
        <f>IF(COUNTIF(tSIAF[Clave],"2289661|26")=0,"",SUMIF(tSIAF[Clave],"2289661|26",tSIAF[Devengado]))</f>
        <v>3891386.79</v>
      </c>
      <c r="H145" s="54">
        <f>IF(D145="","",D145-G145)</f>
        <v>399940.20999999996</v>
      </c>
      <c r="I145" s="55">
        <f>IF(D145="","",IF(D145=0,0,G145/D145))</f>
        <v>0.90680267199400089</v>
      </c>
      <c r="J145" s="222" t="s">
        <v>484</v>
      </c>
      <c r="K145" s="222" t="s">
        <v>2299</v>
      </c>
      <c r="L145" s="231" t="str">
        <f>IF(COUNTIF(tCartera[CUI],"2289661")=0,"Sin PMI",IF(INDEX(tCartera[PMI2026],MATCH("2289661",tCartera[CUI],0))="","No informado",INDEX(tCartera[PMI2026],MATCH("2289661",tCartera[CUI],0))))</f>
        <v>Sin PMI</v>
      </c>
      <c r="M145" s="231" t="str">
        <f>IF(COUNTIF(tCartera[CUI],"2289661")=0,"Sin PMI",IF(INDEX(tCartera[PMI2027],MATCH("2289661",tCartera[CUI],0))="","No informado",INDEX(tCartera[PMI2027],MATCH("2289661",tCartera[CUI],0))))</f>
        <v>Sin PMI</v>
      </c>
      <c r="N145" s="231" t="str">
        <f>IF(COUNTIF(tCartera[CUI],"2289661")=0,"Sin PMI",IF(INDEX(tCartera[PMI2028],MATCH("2289661",tCartera[CUI],0))="","No informado",INDEX(tCartera[PMI2028],MATCH("2289661",tCartera[CUI],0))))</f>
        <v>Sin PMI</v>
      </c>
      <c r="O145" s="231" t="str">
        <f>IF(COUNTIF(tCartera[CUI],"2289661")=0,"Sin PMI",IF(INDEX(tCartera[PMI2029],MATCH("2289661",tCartera[CUI],0))="","No informado",INDEX(tCartera[PMI2029],MATCH("2289661",tCartera[CUI],0))))</f>
        <v>Sin PMI</v>
      </c>
    </row>
    <row r="146" spans="1:15" ht="42" customHeight="1" x14ac:dyDescent="0.2">
      <c r="A146" s="52">
        <f>SUBTOTAL(103,$B$10:B146)</f>
        <v>79</v>
      </c>
      <c r="B146" s="53">
        <v>41</v>
      </c>
      <c r="C146" s="81" t="s">
        <v>283</v>
      </c>
      <c r="D146" s="54">
        <f>IF(COUNTIF(tSIAF[Clave],"2590087|41")=0,"",SUMIF(tSIAF[Clave],"2590087|41",tSIAF[PIM]))</f>
        <v>5799805</v>
      </c>
      <c r="E146" s="54">
        <f>IF(COUNTIF(tSIAF[Clave],"2590087|41")=0,"",SUMIF(tSIAF[Clave],"2590087|41",tSIAF[Certificacion]))</f>
        <v>5459070.2999999998</v>
      </c>
      <c r="F146" s="54">
        <f>IF(D146="","",D146-E146)</f>
        <v>340734.70000000019</v>
      </c>
      <c r="G146" s="54">
        <f>IF(COUNTIF(tSIAF[Clave],"2590087|41")=0,"",SUMIF(tSIAF[Clave],"2590087|41",tSIAF[Devengado]))</f>
        <v>3888315.88</v>
      </c>
      <c r="H146" s="54">
        <f>IF(D146="","",D146-G146)</f>
        <v>1911489.12</v>
      </c>
      <c r="I146" s="55">
        <f>IF(D146="","",IF(D146=0,0,G146/D146))</f>
        <v>0.67042182969944675</v>
      </c>
      <c r="J146" s="222" t="s">
        <v>484</v>
      </c>
      <c r="K146" s="222" t="s">
        <v>2299</v>
      </c>
      <c r="L146" s="231" t="str">
        <f>IF(COUNTIF(tCartera[CUI],"2590087")=0,"Sin PMI",IF(INDEX(tCartera[PMI2026],MATCH("2590087",tCartera[CUI],0))="","No informado",INDEX(tCartera[PMI2026],MATCH("2590087",tCartera[CUI],0))))</f>
        <v>Sin PMI</v>
      </c>
      <c r="M146" s="231" t="str">
        <f>IF(COUNTIF(tCartera[CUI],"2590087")=0,"Sin PMI",IF(INDEX(tCartera[PMI2027],MATCH("2590087",tCartera[CUI],0))="","No informado",INDEX(tCartera[PMI2027],MATCH("2590087",tCartera[CUI],0))))</f>
        <v>Sin PMI</v>
      </c>
      <c r="N146" s="231" t="str">
        <f>IF(COUNTIF(tCartera[CUI],"2590087")=0,"Sin PMI",IF(INDEX(tCartera[PMI2028],MATCH("2590087",tCartera[CUI],0))="","No informado",INDEX(tCartera[PMI2028],MATCH("2590087",tCartera[CUI],0))))</f>
        <v>Sin PMI</v>
      </c>
      <c r="O146" s="231" t="str">
        <f>IF(COUNTIF(tCartera[CUI],"2590087")=0,"Sin PMI",IF(INDEX(tCartera[PMI2029],MATCH("2590087",tCartera[CUI],0))="","No informado",INDEX(tCartera[PMI2029],MATCH("2590087",tCartera[CUI],0))))</f>
        <v>Sin PMI</v>
      </c>
    </row>
    <row r="147" spans="1:15" ht="76.5" x14ac:dyDescent="0.2">
      <c r="A147" s="52">
        <f>SUBTOTAL(103,$B$10:B147)</f>
        <v>80</v>
      </c>
      <c r="B147" s="53">
        <v>36</v>
      </c>
      <c r="C147" s="81" t="s">
        <v>193</v>
      </c>
      <c r="D147" s="60">
        <f>IF(COUNTIF(tSIAF[Clave],"2417765|36")=0,"",SUMIF(tSIAF[Clave],"2417765|36",tSIAF[PIM]))</f>
        <v>4802506</v>
      </c>
      <c r="E147" s="60">
        <f>IF(COUNTIF(tSIAF[Clave],"2417765|36")=0,"",SUMIF(tSIAF[Clave],"2417765|36",tSIAF[Certificacion]))</f>
        <v>4376181.62</v>
      </c>
      <c r="F147" s="60">
        <f>IF(D147="","",D147-E147)</f>
        <v>426324.37999999989</v>
      </c>
      <c r="G147" s="60">
        <f>IF(COUNTIF(tSIAF[Clave],"2417765|36")=0,"",SUMIF(tSIAF[Clave],"2417765|36",tSIAF[Devengado]))</f>
        <v>3250907.82</v>
      </c>
      <c r="H147" s="60">
        <f>IF(D147="","",D147-G147)</f>
        <v>1551598.1800000002</v>
      </c>
      <c r="I147" s="55">
        <f>IF(D147="","",IF(D147=0,0,G147/D147))</f>
        <v>0.67691905434371136</v>
      </c>
      <c r="J147" s="222" t="s">
        <v>484</v>
      </c>
      <c r="K147" s="222" t="s">
        <v>2299</v>
      </c>
      <c r="L147" s="231">
        <f>IF(COUNTIF(tCartera[CUI],"2417765")=0,"Sin PMI",IF(INDEX(tCartera[PMI2026],MATCH("2417765",tCartera[CUI],0))="","No informado",INDEX(tCartera[PMI2026],MATCH("2417765",tCartera[CUI],0))))</f>
        <v>3770000</v>
      </c>
      <c r="M147" s="231">
        <f>IF(COUNTIF(tCartera[CUI],"2417765")=0,"Sin PMI",IF(INDEX(tCartera[PMI2027],MATCH("2417765",tCartera[CUI],0))="","No informado",INDEX(tCartera[PMI2027],MATCH("2417765",tCartera[CUI],0))))</f>
        <v>876556</v>
      </c>
      <c r="N147" s="231">
        <f>IF(COUNTIF(tCartera[CUI],"2417765")=0,"Sin PMI",IF(INDEX(tCartera[PMI2028],MATCH("2417765",tCartera[CUI],0))="","No informado",INDEX(tCartera[PMI2028],MATCH("2417765",tCartera[CUI],0))))</f>
        <v>4649244</v>
      </c>
      <c r="O147" s="231">
        <f>IF(COUNTIF(tCartera[CUI],"2417765")=0,"Sin PMI",IF(INDEX(tCartera[PMI2029],MATCH("2417765",tCartera[CUI],0))="","No informado",INDEX(tCartera[PMI2029],MATCH("2417765",tCartera[CUI],0))))</f>
        <v>7795363</v>
      </c>
    </row>
    <row r="148" spans="1:15" ht="76.5" x14ac:dyDescent="0.2">
      <c r="A148" s="52">
        <f>SUBTOTAL(103,$B$10:B148)</f>
        <v>81</v>
      </c>
      <c r="B148" s="53">
        <v>311</v>
      </c>
      <c r="C148" s="81" t="s">
        <v>193</v>
      </c>
      <c r="D148" s="54">
        <f>IF(COUNTIF(tSIAF[Clave],"2417765|311")=0,"",SUMIF(tSIAF[Clave],"2417765|311",tSIAF[PIM]))</f>
        <v>4992699</v>
      </c>
      <c r="E148" s="54">
        <f>IF(COUNTIF(tSIAF[Clave],"2417765|311")=0,"",SUMIF(tSIAF[Clave],"2417765|311",tSIAF[Certificacion]))</f>
        <v>4276945.21</v>
      </c>
      <c r="F148" s="54">
        <f>IF(D148="","",D148-E148)</f>
        <v>715753.79</v>
      </c>
      <c r="G148" s="54">
        <f>IF(COUNTIF(tSIAF[Clave],"2417765|311")=0,"",SUMIF(tSIAF[Clave],"2417765|311",tSIAF[Devengado]))</f>
        <v>3252598.59</v>
      </c>
      <c r="H148" s="54">
        <f>IF(D148="","",D148-G148)</f>
        <v>1740100.4100000001</v>
      </c>
      <c r="I148" s="55">
        <f>IF(D148="","",IF(D148=0,0,G148/D148))</f>
        <v>0.65147099594828362</v>
      </c>
      <c r="J148" s="222" t="s">
        <v>484</v>
      </c>
      <c r="K148" s="222" t="s">
        <v>2299</v>
      </c>
      <c r="L148" s="231">
        <f>IF(COUNTIF(tCartera[CUI],"2417765")=0,"Sin PMI",IF(INDEX(tCartera[PMI2026],MATCH("2417765",tCartera[CUI],0))="","No informado",INDEX(tCartera[PMI2026],MATCH("2417765",tCartera[CUI],0))))</f>
        <v>3770000</v>
      </c>
      <c r="M148" s="231">
        <f>IF(COUNTIF(tCartera[CUI],"2417765")=0,"Sin PMI",IF(INDEX(tCartera[PMI2027],MATCH("2417765",tCartera[CUI],0))="","No informado",INDEX(tCartera[PMI2027],MATCH("2417765",tCartera[CUI],0))))</f>
        <v>876556</v>
      </c>
      <c r="N148" s="231">
        <f>IF(COUNTIF(tCartera[CUI],"2417765")=0,"Sin PMI",IF(INDEX(tCartera[PMI2028],MATCH("2417765",tCartera[CUI],0))="","No informado",INDEX(tCartera[PMI2028],MATCH("2417765",tCartera[CUI],0))))</f>
        <v>4649244</v>
      </c>
      <c r="O148" s="231">
        <f>IF(COUNTIF(tCartera[CUI],"2417765")=0,"Sin PMI",IF(INDEX(tCartera[PMI2029],MATCH("2417765",tCartera[CUI],0))="","No informado",INDEX(tCartera[PMI2029],MATCH("2417765",tCartera[CUI],0))))</f>
        <v>7795363</v>
      </c>
    </row>
    <row r="149" spans="1:15" ht="42" customHeight="1" x14ac:dyDescent="0.2">
      <c r="A149" s="52">
        <f>SUBTOTAL(103,$B$10:B149)</f>
        <v>82</v>
      </c>
      <c r="B149" s="56">
        <v>306</v>
      </c>
      <c r="C149" s="81" t="s">
        <v>420</v>
      </c>
      <c r="D149" s="54">
        <f>IF(COUNTIF(tSIAF[Clave],"2606991|306")=0,"",SUMIF(tSIAF[Clave],"2606991|306",tSIAF[PIM]))</f>
        <v>3853164</v>
      </c>
      <c r="E149" s="54">
        <f>IF(COUNTIF(tSIAF[Clave],"2606991|306")=0,"",SUMIF(tSIAF[Clave],"2606991|306",tSIAF[Certificacion]))</f>
        <v>3701445.63</v>
      </c>
      <c r="F149" s="54">
        <f>IF(D149="","",D149-E149)</f>
        <v>151718.37000000011</v>
      </c>
      <c r="G149" s="54">
        <f>IF(COUNTIF(tSIAF[Clave],"2606991|306")=0,"",SUMIF(tSIAF[Clave],"2606991|306",tSIAF[Devengado]))</f>
        <v>3036070.05</v>
      </c>
      <c r="H149" s="54">
        <f>IF(D149="","",D149-G149)</f>
        <v>817093.95000000019</v>
      </c>
      <c r="I149" s="55">
        <f>IF(D149="","",IF(D149=0,0,G149/D149))</f>
        <v>0.78794207825049745</v>
      </c>
      <c r="J149" s="222" t="s">
        <v>484</v>
      </c>
      <c r="K149" s="222" t="s">
        <v>2299</v>
      </c>
      <c r="L149" s="231" t="str">
        <f>IF(COUNTIF(tCartera[CUI],"2606991")=0,"Sin PMI",IF(INDEX(tCartera[PMI2026],MATCH("2606991",tCartera[CUI],0))="","No informado",INDEX(tCartera[PMI2026],MATCH("2606991",tCartera[CUI],0))))</f>
        <v>Sin PMI</v>
      </c>
      <c r="M149" s="231" t="str">
        <f>IF(COUNTIF(tCartera[CUI],"2606991")=0,"Sin PMI",IF(INDEX(tCartera[PMI2027],MATCH("2606991",tCartera[CUI],0))="","No informado",INDEX(tCartera[PMI2027],MATCH("2606991",tCartera[CUI],0))))</f>
        <v>Sin PMI</v>
      </c>
      <c r="N149" s="231" t="str">
        <f>IF(COUNTIF(tCartera[CUI],"2606991")=0,"Sin PMI",IF(INDEX(tCartera[PMI2028],MATCH("2606991",tCartera[CUI],0))="","No informado",INDEX(tCartera[PMI2028],MATCH("2606991",tCartera[CUI],0))))</f>
        <v>Sin PMI</v>
      </c>
      <c r="O149" s="231" t="str">
        <f>IF(COUNTIF(tCartera[CUI],"2606991")=0,"Sin PMI",IF(INDEX(tCartera[PMI2029],MATCH("2606991",tCartera[CUI],0))="","No informado",INDEX(tCartera[PMI2029],MATCH("2606991",tCartera[CUI],0))))</f>
        <v>Sin PMI</v>
      </c>
    </row>
    <row r="150" spans="1:15" ht="42" customHeight="1" x14ac:dyDescent="0.2">
      <c r="A150" s="52">
        <f>SUBTOTAL(103,$B$10:B150)</f>
        <v>83</v>
      </c>
      <c r="B150" s="56">
        <v>181</v>
      </c>
      <c r="C150" s="110" t="s">
        <v>444</v>
      </c>
      <c r="D150" s="111">
        <f>IF(COUNTIF(tSIAF[Clave],"2649852|181")=0,"",SUMIF(tSIAF[Clave],"2649852|181",tSIAF[PIM]))</f>
        <v>1142346</v>
      </c>
      <c r="E150" s="111">
        <f>IF(COUNTIF(tSIAF[Clave],"2649852|181")=0,"",SUMIF(tSIAF[Clave],"2649852|181",tSIAF[Certificacion]))</f>
        <v>911210.56</v>
      </c>
      <c r="F150" s="111">
        <f>IF(D150="","",D150-E150)</f>
        <v>231135.43999999994</v>
      </c>
      <c r="G150" s="111">
        <f>IF(COUNTIF(tSIAF[Clave],"2649852|181")=0,"",SUMIF(tSIAF[Clave],"2649852|181",tSIAF[Devengado]))</f>
        <v>18478.900000000001</v>
      </c>
      <c r="H150" s="111">
        <f>IF(D150="","",D150-G150)</f>
        <v>1123867.1000000001</v>
      </c>
      <c r="I150" s="55">
        <f>IF(D150="","",IF(D150=0,0,G150/D150))</f>
        <v>1.6176272337803083E-2</v>
      </c>
      <c r="J150" s="222" t="s">
        <v>484</v>
      </c>
      <c r="K150" s="222" t="s">
        <v>2299</v>
      </c>
      <c r="L150" s="231">
        <f>IF(COUNTIF(tCartera[CUI],"2649852")=0,"Sin PMI",IF(INDEX(tCartera[PMI2026],MATCH("2649852",tCartera[CUI],0))="","No informado",INDEX(tCartera[PMI2026],MATCH("2649852",tCartera[CUI],0))))</f>
        <v>100000</v>
      </c>
      <c r="M150" s="231">
        <f>IF(COUNTIF(tCartera[CUI],"2649852")=0,"Sin PMI",IF(INDEX(tCartera[PMI2027],MATCH("2649852",tCartera[CUI],0))="","No informado",INDEX(tCartera[PMI2027],MATCH("2649852",tCartera[CUI],0))))</f>
        <v>0</v>
      </c>
      <c r="N150" s="231">
        <f>IF(COUNTIF(tCartera[CUI],"2649852")=0,"Sin PMI",IF(INDEX(tCartera[PMI2028],MATCH("2649852",tCartera[CUI],0))="","No informado",INDEX(tCartera[PMI2028],MATCH("2649852",tCartera[CUI],0))))</f>
        <v>959009</v>
      </c>
      <c r="O150" s="231">
        <f>IF(COUNTIF(tCartera[CUI],"2649852")=0,"Sin PMI",IF(INDEX(tCartera[PMI2029],MATCH("2649852",tCartera[CUI],0))="","No informado",INDEX(tCartera[PMI2029],MATCH("2649852",tCartera[CUI],0))))</f>
        <v>0</v>
      </c>
    </row>
    <row r="151" spans="1:15" ht="42" customHeight="1" x14ac:dyDescent="0.2">
      <c r="A151" s="52">
        <f>SUBTOTAL(103,$B$10:B151)</f>
        <v>84</v>
      </c>
      <c r="B151" s="53">
        <v>187</v>
      </c>
      <c r="C151" s="81" t="s">
        <v>437</v>
      </c>
      <c r="D151" s="54">
        <f>IF(COUNTIF(tSIAF[Clave],"2649858|187")=0,"",SUMIF(tSIAF[Clave],"2649858|187",tSIAF[PIM]))</f>
        <v>2361641</v>
      </c>
      <c r="E151" s="54">
        <f>IF(COUNTIF(tSIAF[Clave],"2649858|187")=0,"",SUMIF(tSIAF[Clave],"2649858|187",tSIAF[Certificacion]))</f>
        <v>1509241.36</v>
      </c>
      <c r="F151" s="54">
        <f>IF(D151="","",D151-E151)</f>
        <v>852399.6399999999</v>
      </c>
      <c r="G151" s="54">
        <f>IF(COUNTIF(tSIAF[Clave],"2649858|187")=0,"",SUMIF(tSIAF[Clave],"2649858|187",tSIAF[Devengado]))</f>
        <v>1059463.81</v>
      </c>
      <c r="H151" s="54">
        <f>IF(D151="","",D151-G151)</f>
        <v>1302177.19</v>
      </c>
      <c r="I151" s="55">
        <f>IF(D151="","",IF(D151=0,0,G151/D151))</f>
        <v>0.44861340483164042</v>
      </c>
      <c r="J151" s="222" t="s">
        <v>484</v>
      </c>
      <c r="K151" s="222" t="s">
        <v>2299</v>
      </c>
      <c r="L151" s="231">
        <f>IF(COUNTIF(tCartera[CUI],"2649858")=0,"Sin PMI",IF(INDEX(tCartera[PMI2026],MATCH("2649858",tCartera[CUI],0))="","No informado",INDEX(tCartera[PMI2026],MATCH("2649858",tCartera[CUI],0))))</f>
        <v>100000</v>
      </c>
      <c r="M151" s="231">
        <f>IF(COUNTIF(tCartera[CUI],"2649858")=0,"Sin PMI",IF(INDEX(tCartera[PMI2027],MATCH("2649858",tCartera[CUI],0))="","No informado",INDEX(tCartera[PMI2027],MATCH("2649858",tCartera[CUI],0))))</f>
        <v>45539</v>
      </c>
      <c r="N151" s="231">
        <f>IF(COUNTIF(tCartera[CUI],"2649858")=0,"Sin PMI",IF(INDEX(tCartera[PMI2028],MATCH("2649858",tCartera[CUI],0))="","No informado",INDEX(tCartera[PMI2028],MATCH("2649858",tCartera[CUI],0))))</f>
        <v>0</v>
      </c>
      <c r="O151" s="231">
        <f>IF(COUNTIF(tCartera[CUI],"2649858")=0,"Sin PMI",IF(INDEX(tCartera[PMI2029],MATCH("2649858",tCartera[CUI],0))="","No informado",INDEX(tCartera[PMI2029],MATCH("2649858",tCartera[CUI],0))))</f>
        <v>0</v>
      </c>
    </row>
    <row r="152" spans="1:15" ht="42" customHeight="1" x14ac:dyDescent="0.2">
      <c r="A152" s="52">
        <f>SUBTOTAL(103,$B$10:B152)</f>
        <v>85</v>
      </c>
      <c r="B152" s="53">
        <v>307</v>
      </c>
      <c r="C152" s="81" t="s">
        <v>121</v>
      </c>
      <c r="D152" s="54">
        <f>IF(COUNTIF(tSIAF[Clave],"2411335|307")=0,"",SUMIF(tSIAF[Clave],"2411335|307",tSIAF[PIM]))</f>
        <v>1272735</v>
      </c>
      <c r="E152" s="54">
        <f>IF(COUNTIF(tSIAF[Clave],"2411335|307")=0,"",SUMIF(tSIAF[Clave],"2411335|307",tSIAF[Certificacion]))</f>
        <v>1253656.8600000001</v>
      </c>
      <c r="F152" s="54">
        <f>IF(D152="","",D152-E152)</f>
        <v>19078.139999999898</v>
      </c>
      <c r="G152" s="54">
        <f>IF(COUNTIF(tSIAF[Clave],"2411335|307")=0,"",SUMIF(tSIAF[Clave],"2411335|307",tSIAF[Devengado]))</f>
        <v>1181486.1499999999</v>
      </c>
      <c r="H152" s="54">
        <f>IF(D152="","",D152-G152)</f>
        <v>91248.850000000093</v>
      </c>
      <c r="I152" s="55">
        <f>IF(D152="","",IF(D152=0,0,G152/D152))</f>
        <v>0.92830491029161599</v>
      </c>
      <c r="J152" s="222" t="s">
        <v>484</v>
      </c>
      <c r="K152" s="222" t="s">
        <v>2299</v>
      </c>
      <c r="L152" s="231">
        <f>IF(COUNTIF(tCartera[CUI],"2411335")=0,"Sin PMI",IF(INDEX(tCartera[PMI2026],MATCH("2411335",tCartera[CUI],0))="","No informado",INDEX(tCartera[PMI2026],MATCH("2411335",tCartera[CUI],0))))</f>
        <v>1216856</v>
      </c>
      <c r="M152" s="231">
        <f>IF(COUNTIF(tCartera[CUI],"2411335")=0,"Sin PMI",IF(INDEX(tCartera[PMI2027],MATCH("2411335",tCartera[CUI],0))="","No informado",INDEX(tCartera[PMI2027],MATCH("2411335",tCartera[CUI],0))))</f>
        <v>370264</v>
      </c>
      <c r="N152" s="231">
        <f>IF(COUNTIF(tCartera[CUI],"2411335")=0,"Sin PMI",IF(INDEX(tCartera[PMI2028],MATCH("2411335",tCartera[CUI],0))="","No informado",INDEX(tCartera[PMI2028],MATCH("2411335",tCartera[CUI],0))))</f>
        <v>0</v>
      </c>
      <c r="O152" s="231">
        <f>IF(COUNTIF(tCartera[CUI],"2411335")=0,"Sin PMI",IF(INDEX(tCartera[PMI2029],MATCH("2411335",tCartera[CUI],0))="","No informado",INDEX(tCartera[PMI2029],MATCH("2411335",tCartera[CUI],0))))</f>
        <v>0</v>
      </c>
    </row>
    <row r="153" spans="1:15" ht="42" customHeight="1" x14ac:dyDescent="0.2">
      <c r="A153" s="52">
        <f>SUBTOTAL(103,$B$10:B153)</f>
        <v>86</v>
      </c>
      <c r="B153" s="53">
        <v>333</v>
      </c>
      <c r="C153" s="110" t="s">
        <v>598</v>
      </c>
      <c r="D153" s="111">
        <f>IF(COUNTIF(tSIAF[Clave],"2651383|333")=0,"",SUMIF(tSIAF[Clave],"2651383|333",tSIAF[PIM]))</f>
        <v>919876</v>
      </c>
      <c r="E153" s="111">
        <f>IF(COUNTIF(tSIAF[Clave],"2651383|333")=0,"",SUMIF(tSIAF[Clave],"2651383|333",tSIAF[Certificacion]))</f>
        <v>340967.6</v>
      </c>
      <c r="F153" s="111">
        <f>IF(D153="","",D153-E153)</f>
        <v>578908.4</v>
      </c>
      <c r="G153" s="111">
        <f>IF(COUNTIF(tSIAF[Clave],"2651383|333")=0,"",SUMIF(tSIAF[Clave],"2651383|333",tSIAF[Devengado]))</f>
        <v>7840.91</v>
      </c>
      <c r="H153" s="111">
        <f>IF(D153="","",D153-G153)</f>
        <v>912035.09</v>
      </c>
      <c r="I153" s="55">
        <f>IF(D153="","",IF(D153=0,0,G153/D153))</f>
        <v>8.5238771312655184E-3</v>
      </c>
      <c r="J153" s="222" t="s">
        <v>484</v>
      </c>
      <c r="K153" s="222" t="s">
        <v>2299</v>
      </c>
      <c r="L153" s="231">
        <f>IF(COUNTIF(tCartera[CUI],"2651383")=0,"Sin PMI",IF(INDEX(tCartera[PMI2026],MATCH("2651383",tCartera[CUI],0))="","No informado",INDEX(tCartera[PMI2026],MATCH("2651383",tCartera[CUI],0))))</f>
        <v>903516</v>
      </c>
      <c r="M153" s="231">
        <f>IF(COUNTIF(tCartera[CUI],"2651383")=0,"Sin PMI",IF(INDEX(tCartera[PMI2027],MATCH("2651383",tCartera[CUI],0))="","No informado",INDEX(tCartera[PMI2027],MATCH("2651383",tCartera[CUI],0))))</f>
        <v>919620</v>
      </c>
      <c r="N153" s="231">
        <f>IF(COUNTIF(tCartera[CUI],"2651383")=0,"Sin PMI",IF(INDEX(tCartera[PMI2028],MATCH("2651383",tCartera[CUI],0))="","No informado",INDEX(tCartera[PMI2028],MATCH("2651383",tCartera[CUI],0))))</f>
        <v>268263</v>
      </c>
      <c r="O153" s="231">
        <f>IF(COUNTIF(tCartera[CUI],"2651383")=0,"Sin PMI",IF(INDEX(tCartera[PMI2029],MATCH("2651383",tCartera[CUI],0))="","No informado",INDEX(tCartera[PMI2029],MATCH("2651383",tCartera[CUI],0))))</f>
        <v>0</v>
      </c>
    </row>
    <row r="154" spans="1:15" ht="51" x14ac:dyDescent="0.2">
      <c r="A154" s="52">
        <f>SUBTOTAL(103,$B$10:B154)</f>
        <v>87</v>
      </c>
      <c r="B154" s="53">
        <v>173</v>
      </c>
      <c r="C154" s="81" t="s">
        <v>179</v>
      </c>
      <c r="D154" s="54">
        <f>IF(COUNTIF(tSIAF[Clave],"2250396|173")=0,"",SUMIF(tSIAF[Clave],"2250396|173",tSIAF[PIM]))</f>
        <v>41720</v>
      </c>
      <c r="E154" s="54">
        <f>IF(COUNTIF(tSIAF[Clave],"2250396|173")=0,"",SUMIF(tSIAF[Clave],"2250396|173",tSIAF[Certificacion]))</f>
        <v>31883.37</v>
      </c>
      <c r="F154" s="54">
        <f>IF(D154="","",D154-E154)</f>
        <v>9836.630000000001</v>
      </c>
      <c r="G154" s="54">
        <f>IF(COUNTIF(tSIAF[Clave],"2250396|173")=0,"",SUMIF(tSIAF[Clave],"2250396|173",tSIAF[Devengado]))</f>
        <v>31883.37</v>
      </c>
      <c r="H154" s="54">
        <f>IF(D154="","",D154-G154)</f>
        <v>9836.630000000001</v>
      </c>
      <c r="I154" s="55">
        <f>IF(D154="","",IF(D154=0,0,G154/D154))</f>
        <v>0.76422267497603069</v>
      </c>
      <c r="J154" s="222" t="s">
        <v>484</v>
      </c>
      <c r="K154" s="222" t="s">
        <v>2299</v>
      </c>
      <c r="L154" s="231">
        <f>IF(COUNTIF(tCartera[CUI],"2250396")=0,"Sin PMI",IF(INDEX(tCartera[PMI2026],MATCH("2250396",tCartera[CUI],0))="","No informado",INDEX(tCartera[PMI2026],MATCH("2250396",tCartera[CUI],0))))</f>
        <v>120201</v>
      </c>
      <c r="M154" s="231">
        <f>IF(COUNTIF(tCartera[CUI],"2250396")=0,"Sin PMI",IF(INDEX(tCartera[PMI2027],MATCH("2250396",tCartera[CUI],0))="","No informado",INDEX(tCartera[PMI2027],MATCH("2250396",tCartera[CUI],0))))</f>
        <v>0</v>
      </c>
      <c r="N154" s="231">
        <f>IF(COUNTIF(tCartera[CUI],"2250396")=0,"Sin PMI",IF(INDEX(tCartera[PMI2028],MATCH("2250396",tCartera[CUI],0))="","No informado",INDEX(tCartera[PMI2028],MATCH("2250396",tCartera[CUI],0))))</f>
        <v>0</v>
      </c>
      <c r="O154" s="231">
        <f>IF(COUNTIF(tCartera[CUI],"2250396")=0,"Sin PMI",IF(INDEX(tCartera[PMI2029],MATCH("2250396",tCartera[CUI],0))="","No informado",INDEX(tCartera[PMI2029],MATCH("2250396",tCartera[CUI],0))))</f>
        <v>0</v>
      </c>
    </row>
    <row r="155" spans="1:15" ht="42" customHeight="1" x14ac:dyDescent="0.2">
      <c r="A155" s="52">
        <f>SUBTOTAL(103,$B$10:B155)</f>
        <v>88</v>
      </c>
      <c r="B155" s="53">
        <v>180</v>
      </c>
      <c r="C155" s="110" t="s">
        <v>440</v>
      </c>
      <c r="D155" s="111">
        <f>IF(COUNTIF(tSIAF[Clave],"2649805|180")=0,"",SUMIF(tSIAF[Clave],"2649805|180",tSIAF[PIM]))</f>
        <v>704972</v>
      </c>
      <c r="E155" s="111">
        <f>IF(COUNTIF(tSIAF[Clave],"2649805|180")=0,"",SUMIF(tSIAF[Clave],"2649805|180",tSIAF[Certificacion]))</f>
        <v>309066</v>
      </c>
      <c r="F155" s="111">
        <f>IF(D155="","",D155-E155)</f>
        <v>395906</v>
      </c>
      <c r="G155" s="111">
        <f>IF(COUNTIF(tSIAF[Clave],"2649805|180")=0,"",SUMIF(tSIAF[Clave],"2649805|180",tSIAF[Devengado]))</f>
        <v>15770.09</v>
      </c>
      <c r="H155" s="111">
        <f>IF(D155="","",D155-G155)</f>
        <v>689201.91</v>
      </c>
      <c r="I155" s="55">
        <f>IF(D155="","",IF(D155=0,0,G155/D155))</f>
        <v>2.2369810432187377E-2</v>
      </c>
      <c r="J155" s="222" t="s">
        <v>484</v>
      </c>
      <c r="K155" s="222" t="s">
        <v>2299</v>
      </c>
      <c r="L155" s="231">
        <f>IF(COUNTIF(tCartera[CUI],"2649805")=0,"Sin PMI",IF(INDEX(tCartera[PMI2026],MATCH("2649805",tCartera[CUI],0))="","No informado",INDEX(tCartera[PMI2026],MATCH("2649805",tCartera[CUI],0))))</f>
        <v>100000</v>
      </c>
      <c r="M155" s="231">
        <f>IF(COUNTIF(tCartera[CUI],"2649805")=0,"Sin PMI",IF(INDEX(tCartera[PMI2027],MATCH("2649805",tCartera[CUI],0))="","No informado",INDEX(tCartera[PMI2027],MATCH("2649805",tCartera[CUI],0))))</f>
        <v>0</v>
      </c>
      <c r="N155" s="231">
        <f>IF(COUNTIF(tCartera[CUI],"2649805")=0,"Sin PMI",IF(INDEX(tCartera[PMI2028],MATCH("2649805",tCartera[CUI],0))="","No informado",INDEX(tCartera[PMI2028],MATCH("2649805",tCartera[CUI],0))))</f>
        <v>921923</v>
      </c>
      <c r="O155" s="231">
        <f>IF(COUNTIF(tCartera[CUI],"2649805")=0,"Sin PMI",IF(INDEX(tCartera[PMI2029],MATCH("2649805",tCartera[CUI],0))="","No informado",INDEX(tCartera[PMI2029],MATCH("2649805",tCartera[CUI],0))))</f>
        <v>0</v>
      </c>
    </row>
    <row r="156" spans="1:15" ht="76.5" x14ac:dyDescent="0.2">
      <c r="A156" s="52">
        <f>SUBTOTAL(103,$B$10:B156)</f>
        <v>89</v>
      </c>
      <c r="B156" s="53">
        <v>83</v>
      </c>
      <c r="C156" s="81" t="s">
        <v>262</v>
      </c>
      <c r="D156" s="54">
        <f>IF(COUNTIF(tSIAF[Clave],"2627406|83")=0,"",SUMIF(tSIAF[Clave],"2627406|83",tSIAF[PIM]))</f>
        <v>61203</v>
      </c>
      <c r="E156" s="54">
        <f>IF(COUNTIF(tSIAF[Clave],"2627406|83")=0,"",SUMIF(tSIAF[Clave],"2627406|83",tSIAF[Certificacion]))</f>
        <v>0</v>
      </c>
      <c r="F156" s="54">
        <f>IF(D156="","",D156-E156)</f>
        <v>61203</v>
      </c>
      <c r="G156" s="54">
        <f>IF(COUNTIF(tSIAF[Clave],"2627406|83")=0,"",SUMIF(tSIAF[Clave],"2627406|83",tSIAF[Devengado]))</f>
        <v>0</v>
      </c>
      <c r="H156" s="54">
        <f>IF(D156="","",D156-G156)</f>
        <v>61203</v>
      </c>
      <c r="I156" s="55">
        <f>IF(D156="","",IF(D156=0,0,G156/D156))</f>
        <v>0</v>
      </c>
      <c r="J156" s="222" t="s">
        <v>484</v>
      </c>
      <c r="K156" s="222" t="s">
        <v>2299</v>
      </c>
      <c r="L156" s="231">
        <f>IF(COUNTIF(tCartera[CUI],"2627406")=0,"Sin PMI",IF(INDEX(tCartera[PMI2026],MATCH("2627406",tCartera[CUI],0))="","No informado",INDEX(tCartera[PMI2026],MATCH("2627406",tCartera[CUI],0))))</f>
        <v>61203</v>
      </c>
      <c r="M156" s="231">
        <f>IF(COUNTIF(tCartera[CUI],"2627406")=0,"Sin PMI",IF(INDEX(tCartera[PMI2027],MATCH("2627406",tCartera[CUI],0))="","No informado",INDEX(tCartera[PMI2027],MATCH("2627406",tCartera[CUI],0))))</f>
        <v>0</v>
      </c>
      <c r="N156" s="231">
        <f>IF(COUNTIF(tCartera[CUI],"2627406")=0,"Sin PMI",IF(INDEX(tCartera[PMI2028],MATCH("2627406",tCartera[CUI],0))="","No informado",INDEX(tCartera[PMI2028],MATCH("2627406",tCartera[CUI],0))))</f>
        <v>0</v>
      </c>
      <c r="O156" s="231">
        <f>IF(COUNTIF(tCartera[CUI],"2627406")=0,"Sin PMI",IF(INDEX(tCartera[PMI2029],MATCH("2627406",tCartera[CUI],0))="","No informado",INDEX(tCartera[PMI2029],MATCH("2627406",tCartera[CUI],0))))</f>
        <v>0</v>
      </c>
    </row>
    <row r="157" spans="1:15" ht="16.5" x14ac:dyDescent="0.2">
      <c r="A157" s="126" t="s">
        <v>92</v>
      </c>
      <c r="B157" s="126"/>
      <c r="C157" s="126"/>
      <c r="D157" s="50">
        <f>D158+D159+D160+D161+D162+D163+D164+D165+D166+D167</f>
        <v>67673088</v>
      </c>
      <c r="E157" s="50">
        <f>E158+E159+E160+E161+E162+E163+E164+E165+E166+E167</f>
        <v>61457129.289999999</v>
      </c>
      <c r="F157" s="50">
        <f>D157-E157</f>
        <v>6215958.7100000009</v>
      </c>
      <c r="G157" s="50">
        <f>G158+G159+G160+G161+G162+G163+G164+G165+G166+G167</f>
        <v>41195298.649999991</v>
      </c>
      <c r="H157" s="50">
        <f>D157-G157</f>
        <v>26477789.350000009</v>
      </c>
      <c r="I157" s="51">
        <f>IF(D157=0,0,G157/D157)</f>
        <v>0.60873974969193057</v>
      </c>
      <c r="J157" s="221"/>
      <c r="K157" s="221"/>
      <c r="L157" s="230"/>
      <c r="M157" s="230"/>
      <c r="N157" s="230"/>
      <c r="O157" s="230"/>
    </row>
    <row r="158" spans="1:15" ht="42" customHeight="1" x14ac:dyDescent="0.2">
      <c r="A158" s="52">
        <f>SUBTOTAL(103,$B$10:B158)</f>
        <v>90</v>
      </c>
      <c r="B158" s="53">
        <v>110</v>
      </c>
      <c r="C158" s="81" t="s">
        <v>95</v>
      </c>
      <c r="D158" s="54">
        <f>IF(COUNTIF(tSIAF[Clave],"2456529|110")=0,"",SUMIF(tSIAF[Clave],"2456529|110",tSIAF[PIM]))</f>
        <v>23143575</v>
      </c>
      <c r="E158" s="54">
        <f>IF(COUNTIF(tSIAF[Clave],"2456529|110")=0,"",SUMIF(tSIAF[Clave],"2456529|110",tSIAF[Certificacion]))</f>
        <v>22275710.84</v>
      </c>
      <c r="F158" s="54">
        <f>IF(D158="","",D158-E158)</f>
        <v>867864.16000000015</v>
      </c>
      <c r="G158" s="54">
        <f>IF(COUNTIF(tSIAF[Clave],"2456529|110")=0,"",SUMIF(tSIAF[Clave],"2456529|110",tSIAF[Devengado]))</f>
        <v>12059018.399999999</v>
      </c>
      <c r="H158" s="54">
        <f>IF(D158="","",D158-G158)</f>
        <v>11084556.600000001</v>
      </c>
      <c r="I158" s="55">
        <f>IF(D158="","",IF(D158=0,0,G158/D158))</f>
        <v>0.52105253401862062</v>
      </c>
      <c r="J158" s="222" t="s">
        <v>484</v>
      </c>
      <c r="K158" s="222" t="s">
        <v>2299</v>
      </c>
      <c r="L158" s="231">
        <f>IF(COUNTIF(tCartera[CUI],"2456529")=0,"Sin PMI",IF(INDEX(tCartera[PMI2026],MATCH("2456529",tCartera[CUI],0))="","No informado",INDEX(tCartera[PMI2026],MATCH("2456529",tCartera[CUI],0))))</f>
        <v>15500800</v>
      </c>
      <c r="M158" s="231">
        <f>IF(COUNTIF(tCartera[CUI],"2456529")=0,"Sin PMI",IF(INDEX(tCartera[PMI2027],MATCH("2456529",tCartera[CUI],0))="","No informado",INDEX(tCartera[PMI2027],MATCH("2456529",tCartera[CUI],0))))</f>
        <v>4458489</v>
      </c>
      <c r="N158" s="231">
        <f>IF(COUNTIF(tCartera[CUI],"2456529")=0,"Sin PMI",IF(INDEX(tCartera[PMI2028],MATCH("2456529",tCartera[CUI],0))="","No informado",INDEX(tCartera[PMI2028],MATCH("2456529",tCartera[CUI],0))))</f>
        <v>450011</v>
      </c>
      <c r="O158" s="231">
        <f>IF(COUNTIF(tCartera[CUI],"2456529")=0,"Sin PMI",IF(INDEX(tCartera[PMI2029],MATCH("2456529",tCartera[CUI],0))="","No informado",INDEX(tCartera[PMI2029],MATCH("2456529",tCartera[CUI],0))))</f>
        <v>0</v>
      </c>
    </row>
    <row r="159" spans="1:15" ht="42" customHeight="1" x14ac:dyDescent="0.2">
      <c r="A159" s="52">
        <f>SUBTOTAL(103,$B$10:B159)</f>
        <v>91</v>
      </c>
      <c r="B159" s="53">
        <v>103</v>
      </c>
      <c r="C159" s="81" t="s">
        <v>155</v>
      </c>
      <c r="D159" s="54">
        <f>IF(COUNTIF(tSIAF[Clave],"2343199|103")=0,"",SUMIF(tSIAF[Clave],"2343199|103",tSIAF[PIM]))</f>
        <v>14991498</v>
      </c>
      <c r="E159" s="54">
        <f>IF(COUNTIF(tSIAF[Clave],"2343199|103")=0,"",SUMIF(tSIAF[Clave],"2343199|103",tSIAF[Certificacion]))</f>
        <v>14685002.969999999</v>
      </c>
      <c r="F159" s="54">
        <f>IF(D159="","",D159-E159)</f>
        <v>306495.03000000119</v>
      </c>
      <c r="G159" s="54">
        <f>IF(COUNTIF(tSIAF[Clave],"2343199|103")=0,"",SUMIF(tSIAF[Clave],"2343199|103",tSIAF[Devengado]))</f>
        <v>11502166.710000001</v>
      </c>
      <c r="H159" s="54">
        <f>IF(D159="","",D159-G159)</f>
        <v>3489331.2899999991</v>
      </c>
      <c r="I159" s="55">
        <f>IF(D159="","",IF(D159=0,0,G159/D159))</f>
        <v>0.76724598902658037</v>
      </c>
      <c r="J159" s="222" t="s">
        <v>484</v>
      </c>
      <c r="K159" s="222" t="s">
        <v>2299</v>
      </c>
      <c r="L159" s="231">
        <f>IF(COUNTIF(tCartera[CUI],"2343199")=0,"Sin PMI",IF(INDEX(tCartera[PMI2026],MATCH("2343199",tCartera[CUI],0))="","No informado",INDEX(tCartera[PMI2026],MATCH("2343199",tCartera[CUI],0))))</f>
        <v>12491498</v>
      </c>
      <c r="M159" s="231">
        <f>IF(COUNTIF(tCartera[CUI],"2343199")=0,"Sin PMI",IF(INDEX(tCartera[PMI2027],MATCH("2343199",tCartera[CUI],0))="","No informado",INDEX(tCartera[PMI2027],MATCH("2343199",tCartera[CUI],0))))</f>
        <v>632388</v>
      </c>
      <c r="N159" s="231">
        <f>IF(COUNTIF(tCartera[CUI],"2343199")=0,"Sin PMI",IF(INDEX(tCartera[PMI2028],MATCH("2343199",tCartera[CUI],0))="","No informado",INDEX(tCartera[PMI2028],MATCH("2343199",tCartera[CUI],0))))</f>
        <v>41870</v>
      </c>
      <c r="O159" s="231">
        <f>IF(COUNTIF(tCartera[CUI],"2343199")=0,"Sin PMI",IF(INDEX(tCartera[PMI2029],MATCH("2343199",tCartera[CUI],0))="","No informado",INDEX(tCartera[PMI2029],MATCH("2343199",tCartera[CUI],0))))</f>
        <v>0</v>
      </c>
    </row>
    <row r="160" spans="1:15" ht="42" customHeight="1" x14ac:dyDescent="0.2">
      <c r="A160" s="52">
        <f>SUBTOTAL(103,$B$10:B160)</f>
        <v>92</v>
      </c>
      <c r="B160" s="56">
        <v>106</v>
      </c>
      <c r="C160" s="81" t="s">
        <v>275</v>
      </c>
      <c r="D160" s="54">
        <f>IF(COUNTIF(tSIAF[Clave],"2399543|106")=0,"",SUMIF(tSIAF[Clave],"2399543|106",tSIAF[PIM]))</f>
        <v>5270087</v>
      </c>
      <c r="E160" s="54">
        <f>IF(COUNTIF(tSIAF[Clave],"2399543|106")=0,"",SUMIF(tSIAF[Clave],"2399543|106",tSIAF[Certificacion]))</f>
        <v>5222084.29</v>
      </c>
      <c r="F160" s="54">
        <f>IF(D160="","",D160-E160)</f>
        <v>48002.709999999963</v>
      </c>
      <c r="G160" s="54">
        <f>IF(COUNTIF(tSIAF[Clave],"2399543|106")=0,"",SUMIF(tSIAF[Clave],"2399543|106",tSIAF[Devengado]))</f>
        <v>5220159.29</v>
      </c>
      <c r="H160" s="54">
        <f>IF(D160="","",D160-G160)</f>
        <v>49927.709999999963</v>
      </c>
      <c r="I160" s="55">
        <f>IF(D160="","",IF(D160=0,0,G160/D160))</f>
        <v>0.99052620763186638</v>
      </c>
      <c r="J160" s="222" t="s">
        <v>484</v>
      </c>
      <c r="K160" s="222" t="s">
        <v>2299</v>
      </c>
      <c r="L160" s="231" t="str">
        <f>IF(COUNTIF(tCartera[CUI],"2399543")=0,"Sin PMI",IF(INDEX(tCartera[PMI2026],MATCH("2399543",tCartera[CUI],0))="","No informado",INDEX(tCartera[PMI2026],MATCH("2399543",tCartera[CUI],0))))</f>
        <v>Sin PMI</v>
      </c>
      <c r="M160" s="231" t="str">
        <f>IF(COUNTIF(tCartera[CUI],"2399543")=0,"Sin PMI",IF(INDEX(tCartera[PMI2027],MATCH("2399543",tCartera[CUI],0))="","No informado",INDEX(tCartera[PMI2027],MATCH("2399543",tCartera[CUI],0))))</f>
        <v>Sin PMI</v>
      </c>
      <c r="N160" s="231" t="str">
        <f>IF(COUNTIF(tCartera[CUI],"2399543")=0,"Sin PMI",IF(INDEX(tCartera[PMI2028],MATCH("2399543",tCartera[CUI],0))="","No informado",INDEX(tCartera[PMI2028],MATCH("2399543",tCartera[CUI],0))))</f>
        <v>Sin PMI</v>
      </c>
      <c r="O160" s="231" t="str">
        <f>IF(COUNTIF(tCartera[CUI],"2399543")=0,"Sin PMI",IF(INDEX(tCartera[PMI2029],MATCH("2399543",tCartera[CUI],0))="","No informado",INDEX(tCartera[PMI2029],MATCH("2399543",tCartera[CUI],0))))</f>
        <v>Sin PMI</v>
      </c>
    </row>
    <row r="161" spans="1:15" ht="63.75" x14ac:dyDescent="0.2">
      <c r="A161" s="52">
        <f>SUBTOTAL(103,$B$10:B161)</f>
        <v>93</v>
      </c>
      <c r="B161" s="59">
        <v>119</v>
      </c>
      <c r="C161" s="81" t="s">
        <v>450</v>
      </c>
      <c r="D161" s="60">
        <f>IF(COUNTIF(tSIAF[Clave],"2591951|119")=0,"",SUMIF(tSIAF[Clave],"2591951|119",tSIAF[PIM]))</f>
        <v>6770858</v>
      </c>
      <c r="E161" s="60">
        <f>IF(COUNTIF(tSIAF[Clave],"2591951|119")=0,"",SUMIF(tSIAF[Clave],"2591951|119",tSIAF[Certificacion]))</f>
        <v>6051014.29</v>
      </c>
      <c r="F161" s="60">
        <f>IF(D161="","",D161-E161)</f>
        <v>719843.71</v>
      </c>
      <c r="G161" s="60">
        <f>IF(COUNTIF(tSIAF[Clave],"2591951|119")=0,"",SUMIF(tSIAF[Clave],"2591951|119",tSIAF[Devengado]))</f>
        <v>3961148.72</v>
      </c>
      <c r="H161" s="60">
        <f>IF(D161="","",D161-G161)</f>
        <v>2809709.28</v>
      </c>
      <c r="I161" s="55">
        <f>IF(D161="","",IF(D161=0,0,G161/D161))</f>
        <v>0.58502906426334744</v>
      </c>
      <c r="J161" s="222" t="s">
        <v>484</v>
      </c>
      <c r="K161" s="222" t="s">
        <v>2299</v>
      </c>
      <c r="L161" s="231" t="str">
        <f>IF(COUNTIF(tCartera[CUI],"2591951")=0,"Sin PMI",IF(INDEX(tCartera[PMI2026],MATCH("2591951",tCartera[CUI],0))="","No informado",INDEX(tCartera[PMI2026],MATCH("2591951",tCartera[CUI],0))))</f>
        <v>Sin PMI</v>
      </c>
      <c r="M161" s="231" t="str">
        <f>IF(COUNTIF(tCartera[CUI],"2591951")=0,"Sin PMI",IF(INDEX(tCartera[PMI2027],MATCH("2591951",tCartera[CUI],0))="","No informado",INDEX(tCartera[PMI2027],MATCH("2591951",tCartera[CUI],0))))</f>
        <v>Sin PMI</v>
      </c>
      <c r="N161" s="231" t="str">
        <f>IF(COUNTIF(tCartera[CUI],"2591951")=0,"Sin PMI",IF(INDEX(tCartera[PMI2028],MATCH("2591951",tCartera[CUI],0))="","No informado",INDEX(tCartera[PMI2028],MATCH("2591951",tCartera[CUI],0))))</f>
        <v>Sin PMI</v>
      </c>
      <c r="O161" s="231" t="str">
        <f>IF(COUNTIF(tCartera[CUI],"2591951")=0,"Sin PMI",IF(INDEX(tCartera[PMI2029],MATCH("2591951",tCartera[CUI],0))="","No informado",INDEX(tCartera[PMI2029],MATCH("2591951",tCartera[CUI],0))))</f>
        <v>Sin PMI</v>
      </c>
    </row>
    <row r="162" spans="1:15" ht="76.5" x14ac:dyDescent="0.2">
      <c r="A162" s="52">
        <f>SUBTOTAL(103,$B$10:B162)</f>
        <v>94</v>
      </c>
      <c r="B162" s="59">
        <v>121</v>
      </c>
      <c r="C162" s="81" t="s">
        <v>287</v>
      </c>
      <c r="D162" s="60">
        <f>IF(COUNTIF(tSIAF[Clave],"2602163|121")=0,"",SUMIF(tSIAF[Clave],"2602163|121",tSIAF[PIM]))</f>
        <v>2308286</v>
      </c>
      <c r="E162" s="60">
        <f>IF(COUNTIF(tSIAF[Clave],"2602163|121")=0,"",SUMIF(tSIAF[Clave],"2602163|121",tSIAF[Certificacion]))</f>
        <v>0</v>
      </c>
      <c r="F162" s="60">
        <f>IF(D162="","",D162-E162)</f>
        <v>2308286</v>
      </c>
      <c r="G162" s="60">
        <f>IF(COUNTIF(tSIAF[Clave],"2602163|121")=0,"",SUMIF(tSIAF[Clave],"2602163|121",tSIAF[Devengado]))</f>
        <v>0</v>
      </c>
      <c r="H162" s="60">
        <f>IF(D162="","",D162-G162)</f>
        <v>2308286</v>
      </c>
      <c r="I162" s="55">
        <f>IF(D162="","",IF(D162=0,0,G162/D162))</f>
        <v>0</v>
      </c>
      <c r="J162" s="222" t="s">
        <v>484</v>
      </c>
      <c r="K162" s="222" t="s">
        <v>2299</v>
      </c>
      <c r="L162" s="231">
        <f>IF(COUNTIF(tCartera[CUI],"2602163")=0,"Sin PMI",IF(INDEX(tCartera[PMI2026],MATCH("2602163",tCartera[CUI],0))="","No informado",INDEX(tCartera[PMI2026],MATCH("2602163",tCartera[CUI],0))))</f>
        <v>800000</v>
      </c>
      <c r="M162" s="231">
        <f>IF(COUNTIF(tCartera[CUI],"2602163")=0,"Sin PMI",IF(INDEX(tCartera[PMI2027],MATCH("2602163",tCartera[CUI],0))="","No informado",INDEX(tCartera[PMI2027],MATCH("2602163",tCartera[CUI],0))))</f>
        <v>10345657</v>
      </c>
      <c r="N162" s="231">
        <f>IF(COUNTIF(tCartera[CUI],"2602163")=0,"Sin PMI",IF(INDEX(tCartera[PMI2028],MATCH("2602163",tCartera[CUI],0))="","No informado",INDEX(tCartera[PMI2028],MATCH("2602163",tCartera[CUI],0))))</f>
        <v>0</v>
      </c>
      <c r="O162" s="231">
        <f>IF(COUNTIF(tCartera[CUI],"2602163")=0,"Sin PMI",IF(INDEX(tCartera[PMI2029],MATCH("2602163",tCartera[CUI],0))="","No informado",INDEX(tCartera[PMI2029],MATCH("2602163",tCartera[CUI],0))))</f>
        <v>10973904</v>
      </c>
    </row>
    <row r="163" spans="1:15" ht="42" customHeight="1" x14ac:dyDescent="0.2">
      <c r="A163" s="52">
        <f>SUBTOTAL(103,$B$10:B163)</f>
        <v>95</v>
      </c>
      <c r="B163" s="53">
        <v>463</v>
      </c>
      <c r="C163" s="81" t="s">
        <v>469</v>
      </c>
      <c r="D163" s="54">
        <f>IF(COUNTIF(tSIAF[Clave],"2511009|463")=0,"",SUMIF(tSIAF[Clave],"2511009|463",tSIAF[PIM]))</f>
        <v>1827737</v>
      </c>
      <c r="E163" s="54">
        <f>IF(COUNTIF(tSIAF[Clave],"2511009|463")=0,"",SUMIF(tSIAF[Clave],"2511009|463",tSIAF[Certificacion]))</f>
        <v>1014425.98</v>
      </c>
      <c r="F163" s="54">
        <f>IF(D163="","",D163-E163)</f>
        <v>813311.02</v>
      </c>
      <c r="G163" s="54">
        <f>IF(COUNTIF(tSIAF[Clave],"2511009|463")=0,"",SUMIF(tSIAF[Clave],"2511009|463",tSIAF[Devengado]))</f>
        <v>13810.34</v>
      </c>
      <c r="H163" s="54">
        <f>IF(D163="","",D163-G163)</f>
        <v>1813926.66</v>
      </c>
      <c r="I163" s="55">
        <f>IF(D163="","",IF(D163=0,0,G163/D163))</f>
        <v>7.5559776926330214E-3</v>
      </c>
      <c r="J163" s="222" t="s">
        <v>484</v>
      </c>
      <c r="K163" s="222" t="s">
        <v>2299</v>
      </c>
      <c r="L163" s="231" t="str">
        <f>IF(COUNTIF(tCartera[CUI],"2511009")=0,"Sin PMI",IF(INDEX(tCartera[PMI2026],MATCH("2511009",tCartera[CUI],0))="","No informado",INDEX(tCartera[PMI2026],MATCH("2511009",tCartera[CUI],0))))</f>
        <v>Sin PMI</v>
      </c>
      <c r="M163" s="231" t="str">
        <f>IF(COUNTIF(tCartera[CUI],"2511009")=0,"Sin PMI",IF(INDEX(tCartera[PMI2027],MATCH("2511009",tCartera[CUI],0))="","No informado",INDEX(tCartera[PMI2027],MATCH("2511009",tCartera[CUI],0))))</f>
        <v>Sin PMI</v>
      </c>
      <c r="N163" s="231" t="str">
        <f>IF(COUNTIF(tCartera[CUI],"2511009")=0,"Sin PMI",IF(INDEX(tCartera[PMI2028],MATCH("2511009",tCartera[CUI],0))="","No informado",INDEX(tCartera[PMI2028],MATCH("2511009",tCartera[CUI],0))))</f>
        <v>Sin PMI</v>
      </c>
      <c r="O163" s="231" t="str">
        <f>IF(COUNTIF(tCartera[CUI],"2511009")=0,"Sin PMI",IF(INDEX(tCartera[PMI2029],MATCH("2511009",tCartera[CUI],0))="","No informado",INDEX(tCartera[PMI2029],MATCH("2511009",tCartera[CUI],0))))</f>
        <v>Sin PMI</v>
      </c>
    </row>
    <row r="164" spans="1:15" ht="63.75" x14ac:dyDescent="0.2">
      <c r="A164" s="52">
        <f>SUBTOTAL(103,$B$10:B164)</f>
        <v>96</v>
      </c>
      <c r="B164" s="56">
        <v>128</v>
      </c>
      <c r="C164" s="81" t="s">
        <v>457</v>
      </c>
      <c r="D164" s="54">
        <f>IF(COUNTIF(tSIAF[Clave],"2634040|128")=0,"",SUMIF(tSIAF[Clave],"2634040|128",tSIAF[PIM]))</f>
        <v>4106961</v>
      </c>
      <c r="E164" s="54">
        <f>IF(COUNTIF(tSIAF[Clave],"2634040|128")=0,"",SUMIF(tSIAF[Clave],"2634040|128",tSIAF[Certificacion]))</f>
        <v>3355560.21</v>
      </c>
      <c r="F164" s="54">
        <f>IF(D164="","",D164-E164)</f>
        <v>751400.79</v>
      </c>
      <c r="G164" s="54">
        <f>IF(COUNTIF(tSIAF[Clave],"2634040|128")=0,"",SUMIF(tSIAF[Clave],"2634040|128",tSIAF[Devengado]))</f>
        <v>1831598.54</v>
      </c>
      <c r="H164" s="54">
        <f>IF(D164="","",D164-G164)</f>
        <v>2275362.46</v>
      </c>
      <c r="I164" s="55">
        <f>IF(D164="","",IF(D164=0,0,G164/D164))</f>
        <v>0.44597417409125628</v>
      </c>
      <c r="J164" s="222" t="s">
        <v>484</v>
      </c>
      <c r="K164" s="222" t="s">
        <v>2299</v>
      </c>
      <c r="L164" s="231" t="str">
        <f>IF(COUNTIF(tCartera[CUI],"2634040")=0,"Sin PMI",IF(INDEX(tCartera[PMI2026],MATCH("2634040",tCartera[CUI],0))="","No informado",INDEX(tCartera[PMI2026],MATCH("2634040",tCartera[CUI],0))))</f>
        <v>Sin PMI</v>
      </c>
      <c r="M164" s="231" t="str">
        <f>IF(COUNTIF(tCartera[CUI],"2634040")=0,"Sin PMI",IF(INDEX(tCartera[PMI2027],MATCH("2634040",tCartera[CUI],0))="","No informado",INDEX(tCartera[PMI2027],MATCH("2634040",tCartera[CUI],0))))</f>
        <v>Sin PMI</v>
      </c>
      <c r="N164" s="231" t="str">
        <f>IF(COUNTIF(tCartera[CUI],"2634040")=0,"Sin PMI",IF(INDEX(tCartera[PMI2028],MATCH("2634040",tCartera[CUI],0))="","No informado",INDEX(tCartera[PMI2028],MATCH("2634040",tCartera[CUI],0))))</f>
        <v>Sin PMI</v>
      </c>
      <c r="O164" s="231" t="str">
        <f>IF(COUNTIF(tCartera[CUI],"2634040")=0,"Sin PMI",IF(INDEX(tCartera[PMI2029],MATCH("2634040",tCartera[CUI],0))="","No informado",INDEX(tCartera[PMI2029],MATCH("2634040",tCartera[CUI],0))))</f>
        <v>Sin PMI</v>
      </c>
    </row>
    <row r="165" spans="1:15" ht="51" x14ac:dyDescent="0.2">
      <c r="A165" s="52">
        <f>SUBTOTAL(103,$B$10:B165)</f>
        <v>97</v>
      </c>
      <c r="B165" s="56">
        <v>105</v>
      </c>
      <c r="C165" s="81" t="s">
        <v>274</v>
      </c>
      <c r="D165" s="54">
        <f>IF(COUNTIF(tSIAF[Clave],"2387422|105")=0,"",SUMIF(tSIAF[Clave],"2387422|105",tSIAF[PIM]))</f>
        <v>7751873</v>
      </c>
      <c r="E165" s="54">
        <f>IF(COUNTIF(tSIAF[Clave],"2387422|105")=0,"",SUMIF(tSIAF[Clave],"2387422|105",tSIAF[Certificacion]))</f>
        <v>7482027.3700000001</v>
      </c>
      <c r="F165" s="54">
        <f>IF(D165="","",D165-E165)</f>
        <v>269845.62999999989</v>
      </c>
      <c r="G165" s="54">
        <f>IF(COUNTIF(tSIAF[Clave],"2387422|105")=0,"",SUMIF(tSIAF[Clave],"2387422|105",tSIAF[Devengado]))</f>
        <v>5292812.7699999996</v>
      </c>
      <c r="H165" s="54">
        <f>IF(D165="","",D165-G165)</f>
        <v>2459060.2300000004</v>
      </c>
      <c r="I165" s="55">
        <f>IF(D165="","",IF(D165=0,0,G165/D165))</f>
        <v>0.68277857106276119</v>
      </c>
      <c r="J165" s="222" t="s">
        <v>484</v>
      </c>
      <c r="K165" s="222" t="s">
        <v>2299</v>
      </c>
      <c r="L165" s="231" t="str">
        <f>IF(COUNTIF(tCartera[CUI],"2387422")=0,"Sin PMI",IF(INDEX(tCartera[PMI2026],MATCH("2387422",tCartera[CUI],0))="","No informado",INDEX(tCartera[PMI2026],MATCH("2387422",tCartera[CUI],0))))</f>
        <v>Sin PMI</v>
      </c>
      <c r="M165" s="231" t="str">
        <f>IF(COUNTIF(tCartera[CUI],"2387422")=0,"Sin PMI",IF(INDEX(tCartera[PMI2027],MATCH("2387422",tCartera[CUI],0))="","No informado",INDEX(tCartera[PMI2027],MATCH("2387422",tCartera[CUI],0))))</f>
        <v>Sin PMI</v>
      </c>
      <c r="N165" s="231" t="str">
        <f>IF(COUNTIF(tCartera[CUI],"2387422")=0,"Sin PMI",IF(INDEX(tCartera[PMI2028],MATCH("2387422",tCartera[CUI],0))="","No informado",INDEX(tCartera[PMI2028],MATCH("2387422",tCartera[CUI],0))))</f>
        <v>Sin PMI</v>
      </c>
      <c r="O165" s="231" t="str">
        <f>IF(COUNTIF(tCartera[CUI],"2387422")=0,"Sin PMI",IF(INDEX(tCartera[PMI2029],MATCH("2387422",tCartera[CUI],0))="","No informado",INDEX(tCartera[PMI2029],MATCH("2387422",tCartera[CUI],0))))</f>
        <v>Sin PMI</v>
      </c>
    </row>
    <row r="166" spans="1:15" ht="51" x14ac:dyDescent="0.2">
      <c r="A166" s="52">
        <f>SUBTOTAL(103,$B$10:B166)</f>
        <v>98</v>
      </c>
      <c r="B166" s="53">
        <v>114</v>
      </c>
      <c r="C166" s="81" t="s">
        <v>267</v>
      </c>
      <c r="D166" s="54">
        <f>IF(COUNTIF(tSIAF[Clave],"2527184|114")=0,"",SUMIF(tSIAF[Clave],"2527184|114",tSIAF[PIM]))</f>
        <v>936343</v>
      </c>
      <c r="E166" s="54">
        <f>IF(COUNTIF(tSIAF[Clave],"2527184|114")=0,"",SUMIF(tSIAF[Clave],"2527184|114",tSIAF[Certificacion]))</f>
        <v>868354.77</v>
      </c>
      <c r="F166" s="54">
        <f>IF(D166="","",D166-E166)</f>
        <v>67988.229999999981</v>
      </c>
      <c r="G166" s="54">
        <f>IF(COUNTIF(tSIAF[Clave],"2527184|114")=0,"",SUMIF(tSIAF[Clave],"2527184|114",tSIAF[Devengado]))</f>
        <v>868354.72</v>
      </c>
      <c r="H166" s="54">
        <f>IF(D166="","",D166-G166)</f>
        <v>67988.280000000028</v>
      </c>
      <c r="I166" s="55">
        <f>IF(D166="","",IF(D166=0,0,G166/D166))</f>
        <v>0.927389557031985</v>
      </c>
      <c r="J166" s="222" t="s">
        <v>484</v>
      </c>
      <c r="K166" s="222" t="s">
        <v>2299</v>
      </c>
      <c r="L166" s="231" t="str">
        <f>IF(COUNTIF(tCartera[CUI],"2527184")=0,"Sin PMI",IF(INDEX(tCartera[PMI2026],MATCH("2527184",tCartera[CUI],0))="","No informado",INDEX(tCartera[PMI2026],MATCH("2527184",tCartera[CUI],0))))</f>
        <v>Sin PMI</v>
      </c>
      <c r="M166" s="231" t="str">
        <f>IF(COUNTIF(tCartera[CUI],"2527184")=0,"Sin PMI",IF(INDEX(tCartera[PMI2027],MATCH("2527184",tCartera[CUI],0))="","No informado",INDEX(tCartera[PMI2027],MATCH("2527184",tCartera[CUI],0))))</f>
        <v>Sin PMI</v>
      </c>
      <c r="N166" s="231" t="str">
        <f>IF(COUNTIF(tCartera[CUI],"2527184")=0,"Sin PMI",IF(INDEX(tCartera[PMI2028],MATCH("2527184",tCartera[CUI],0))="","No informado",INDEX(tCartera[PMI2028],MATCH("2527184",tCartera[CUI],0))))</f>
        <v>Sin PMI</v>
      </c>
      <c r="O166" s="231" t="str">
        <f>IF(COUNTIF(tCartera[CUI],"2527184")=0,"Sin PMI",IF(INDEX(tCartera[PMI2029],MATCH("2527184",tCartera[CUI],0))="","No informado",INDEX(tCartera[PMI2029],MATCH("2527184",tCartera[CUI],0))))</f>
        <v>Sin PMI</v>
      </c>
    </row>
    <row r="167" spans="1:15" ht="51" x14ac:dyDescent="0.2">
      <c r="A167" s="52">
        <f>SUBTOTAL(103,$B$10:B167)</f>
        <v>99</v>
      </c>
      <c r="B167" s="56">
        <v>167</v>
      </c>
      <c r="C167" s="81" t="s">
        <v>284</v>
      </c>
      <c r="D167" s="54">
        <f>IF(COUNTIF(tSIAF[Clave],"2519621|167")=0,"",SUMIF(tSIAF[Clave],"2519621|167",tSIAF[PIM]))</f>
        <v>565870</v>
      </c>
      <c r="E167" s="54">
        <f>IF(COUNTIF(tSIAF[Clave],"2519621|167")=0,"",SUMIF(tSIAF[Clave],"2519621|167",tSIAF[Certificacion]))</f>
        <v>502948.57</v>
      </c>
      <c r="F167" s="54">
        <f>IF(D167="","",D167-E167)</f>
        <v>62921.429999999993</v>
      </c>
      <c r="G167" s="54">
        <f>IF(COUNTIF(tSIAF[Clave],"2519621|167")=0,"",SUMIF(tSIAF[Clave],"2519621|167",tSIAF[Devengado]))</f>
        <v>446229.16</v>
      </c>
      <c r="H167" s="54">
        <f>IF(D167="","",D167-G167)</f>
        <v>119640.84000000003</v>
      </c>
      <c r="I167" s="55">
        <f>IF(D167="","",IF(D167=0,0,G167/D167))</f>
        <v>0.78857186279534164</v>
      </c>
      <c r="J167" s="222" t="s">
        <v>484</v>
      </c>
      <c r="K167" s="222" t="s">
        <v>2299</v>
      </c>
      <c r="L167" s="231" t="str">
        <f>IF(COUNTIF(tCartera[CUI],"2519621")=0,"Sin PMI",IF(INDEX(tCartera[PMI2026],MATCH("2519621",tCartera[CUI],0))="","No informado",INDEX(tCartera[PMI2026],MATCH("2519621",tCartera[CUI],0))))</f>
        <v>Sin PMI</v>
      </c>
      <c r="M167" s="231" t="str">
        <f>IF(COUNTIF(tCartera[CUI],"2519621")=0,"Sin PMI",IF(INDEX(tCartera[PMI2027],MATCH("2519621",tCartera[CUI],0))="","No informado",INDEX(tCartera[PMI2027],MATCH("2519621",tCartera[CUI],0))))</f>
        <v>Sin PMI</v>
      </c>
      <c r="N167" s="231" t="str">
        <f>IF(COUNTIF(tCartera[CUI],"2519621")=0,"Sin PMI",IF(INDEX(tCartera[PMI2028],MATCH("2519621",tCartera[CUI],0))="","No informado",INDEX(tCartera[PMI2028],MATCH("2519621",tCartera[CUI],0))))</f>
        <v>Sin PMI</v>
      </c>
      <c r="O167" s="231" t="str">
        <f>IF(COUNTIF(tCartera[CUI],"2519621")=0,"Sin PMI",IF(INDEX(tCartera[PMI2029],MATCH("2519621",tCartera[CUI],0))="","No informado",INDEX(tCartera[PMI2029],MATCH("2519621",tCartera[CUI],0))))</f>
        <v>Sin PMI</v>
      </c>
    </row>
    <row r="168" spans="1:15" ht="16.5" x14ac:dyDescent="0.2">
      <c r="A168" s="126" t="s">
        <v>618</v>
      </c>
      <c r="B168" s="126"/>
      <c r="C168" s="126"/>
      <c r="D168" s="50">
        <f>D169+D170+D171</f>
        <v>6449080</v>
      </c>
      <c r="E168" s="50">
        <f>E169+E170+E171</f>
        <v>6391544.6399999997</v>
      </c>
      <c r="F168" s="50">
        <f>D168-E168</f>
        <v>57535.360000000335</v>
      </c>
      <c r="G168" s="50">
        <f>G169+G170+G171</f>
        <v>208464.85</v>
      </c>
      <c r="H168" s="50">
        <f>D168-G168</f>
        <v>6240615.1500000004</v>
      </c>
      <c r="I168" s="51">
        <f>IF(D168=0,0,G168/D168)</f>
        <v>3.2324742443883468E-2</v>
      </c>
      <c r="J168" s="221"/>
      <c r="K168" s="221"/>
      <c r="L168" s="230"/>
      <c r="M168" s="230"/>
      <c r="N168" s="230"/>
      <c r="O168" s="230"/>
    </row>
    <row r="169" spans="1:15" ht="51" x14ac:dyDescent="0.2">
      <c r="A169" s="52">
        <f>SUBTOTAL(103,$B$10:B169)</f>
        <v>100</v>
      </c>
      <c r="B169" s="53">
        <v>69</v>
      </c>
      <c r="C169" s="110" t="s">
        <v>292</v>
      </c>
      <c r="D169" s="111">
        <f>IF(COUNTIF(tSIAF[Clave],"2645446|69")=0,"",SUMIF(tSIAF[Clave],"2645446|69",tSIAF[PIM]))</f>
        <v>1075076</v>
      </c>
      <c r="E169" s="111">
        <f>IF(COUNTIF(tSIAF[Clave],"2645446|69")=0,"",SUMIF(tSIAF[Clave],"2645446|69",tSIAF[Certificacion]))</f>
        <v>1062250</v>
      </c>
      <c r="F169" s="111">
        <f>IF(D169="","",D169-E169)</f>
        <v>12826</v>
      </c>
      <c r="G169" s="111">
        <f>IF(COUNTIF(tSIAF[Clave],"2645446|69")=0,"",SUMIF(tSIAF[Clave],"2645446|69",tSIAF[Devengado]))</f>
        <v>20822.47</v>
      </c>
      <c r="H169" s="111">
        <f>IF(D169="","",D169-G169)</f>
        <v>1054253.53</v>
      </c>
      <c r="I169" s="55">
        <f>IF(D169="","",IF(D169=0,0,G169/D169))</f>
        <v>1.9368370236150748E-2</v>
      </c>
      <c r="J169" s="222" t="s">
        <v>484</v>
      </c>
      <c r="K169" s="222" t="s">
        <v>2299</v>
      </c>
      <c r="L169" s="231">
        <f>IF(COUNTIF(tCartera[CUI],"2645446")=0,"Sin PMI",IF(INDEX(tCartera[PMI2026],MATCH("2645446",tCartera[CUI],0))="","No informado",INDEX(tCartera[PMI2026],MATCH("2645446",tCartera[CUI],0))))</f>
        <v>1062638</v>
      </c>
      <c r="M169" s="231">
        <f>IF(COUNTIF(tCartera[CUI],"2645446")=0,"Sin PMI",IF(INDEX(tCartera[PMI2027],MATCH("2645446",tCartera[CUI],0))="","No informado",INDEX(tCartera[PMI2027],MATCH("2645446",tCartera[CUI],0))))</f>
        <v>245874</v>
      </c>
      <c r="N169" s="231">
        <f>IF(COUNTIF(tCartera[CUI],"2645446")=0,"Sin PMI",IF(INDEX(tCartera[PMI2028],MATCH("2645446",tCartera[CUI],0))="","No informado",INDEX(tCartera[PMI2028],MATCH("2645446",tCartera[CUI],0))))</f>
        <v>0</v>
      </c>
      <c r="O169" s="231">
        <f>IF(COUNTIF(tCartera[CUI],"2645446")=0,"Sin PMI",IF(INDEX(tCartera[PMI2029],MATCH("2645446",tCartera[CUI],0))="","No informado",INDEX(tCartera[PMI2029],MATCH("2645446",tCartera[CUI],0))))</f>
        <v>0</v>
      </c>
    </row>
    <row r="170" spans="1:15" ht="51" x14ac:dyDescent="0.2">
      <c r="A170" s="52">
        <f>SUBTOTAL(103,$B$10:B170)</f>
        <v>101</v>
      </c>
      <c r="B170" s="53">
        <v>73</v>
      </c>
      <c r="C170" s="110" t="s">
        <v>288</v>
      </c>
      <c r="D170" s="111">
        <f>IF(COUNTIF(tSIAF[Clave],"2646109|73")=0,"",SUMIF(tSIAF[Clave],"2646109|73",tSIAF[PIM]))</f>
        <v>4474004</v>
      </c>
      <c r="E170" s="111">
        <f>IF(COUNTIF(tSIAF[Clave],"2646109|73")=0,"",SUMIF(tSIAF[Clave],"2646109|73",tSIAF[Certificacion]))</f>
        <v>4473905</v>
      </c>
      <c r="F170" s="111">
        <f>IF(D170="","",D170-E170)</f>
        <v>99</v>
      </c>
      <c r="G170" s="111">
        <f>IF(COUNTIF(tSIAF[Clave],"2646109|73")=0,"",SUMIF(tSIAF[Clave],"2646109|73",tSIAF[Devengado]))</f>
        <v>0</v>
      </c>
      <c r="H170" s="111">
        <f>IF(D170="","",D170-G170)</f>
        <v>4474004</v>
      </c>
      <c r="I170" s="55">
        <f>IF(D170="","",IF(D170=0,0,G170/D170))</f>
        <v>0</v>
      </c>
      <c r="J170" s="222" t="s">
        <v>484</v>
      </c>
      <c r="K170" s="222" t="s">
        <v>2299</v>
      </c>
      <c r="L170" s="231">
        <f>IF(COUNTIF(tCartera[CUI],"2646109")=0,"Sin PMI",IF(INDEX(tCartera[PMI2026],MATCH("2646109",tCartera[CUI],0))="","No informado",INDEX(tCartera[PMI2026],MATCH("2646109",tCartera[CUI],0))))</f>
        <v>1556258</v>
      </c>
      <c r="M170" s="231">
        <f>IF(COUNTIF(tCartera[CUI],"2646109")=0,"Sin PMI",IF(INDEX(tCartera[PMI2027],MATCH("2646109",tCartera[CUI],0))="","No informado",INDEX(tCartera[PMI2027],MATCH("2646109",tCartera[CUI],0))))</f>
        <v>2054256</v>
      </c>
      <c r="N170" s="231">
        <f>IF(COUNTIF(tCartera[CUI],"2646109")=0,"Sin PMI",IF(INDEX(tCartera[PMI2028],MATCH("2646109",tCartera[CUI],0))="","No informado",INDEX(tCartera[PMI2028],MATCH("2646109",tCartera[CUI],0))))</f>
        <v>0</v>
      </c>
      <c r="O170" s="231">
        <f>IF(COUNTIF(tCartera[CUI],"2646109")=0,"Sin PMI",IF(INDEX(tCartera[PMI2029],MATCH("2646109",tCartera[CUI],0))="","No informado",INDEX(tCartera[PMI2029],MATCH("2646109",tCartera[CUI],0))))</f>
        <v>994904</v>
      </c>
    </row>
    <row r="171" spans="1:15" ht="51" x14ac:dyDescent="0.2">
      <c r="A171" s="52">
        <f>SUBTOTAL(103,$B$10:B171)</f>
        <v>102</v>
      </c>
      <c r="B171" s="53">
        <v>504</v>
      </c>
      <c r="C171" s="81" t="s">
        <v>660</v>
      </c>
      <c r="D171" s="54">
        <f>IF(COUNTIF(tSIAF[Clave],"2630072|504")=0,"",SUMIF(tSIAF[Clave],"2630072|504",tSIAF[PIM]))</f>
        <v>900000</v>
      </c>
      <c r="E171" s="54">
        <f>IF(COUNTIF(tSIAF[Clave],"2630072|504")=0,"",SUMIF(tSIAF[Clave],"2630072|504",tSIAF[Certificacion]))</f>
        <v>855389.64</v>
      </c>
      <c r="F171" s="54">
        <f>IF(D171="","",D171-E171)</f>
        <v>44610.359999999986</v>
      </c>
      <c r="G171" s="54">
        <f>IF(COUNTIF(tSIAF[Clave],"2630072|504")=0,"",SUMIF(tSIAF[Clave],"2630072|504",tSIAF[Devengado]))</f>
        <v>187642.38</v>
      </c>
      <c r="H171" s="54">
        <f>IF(D171="","",D171-G171)</f>
        <v>712357.62</v>
      </c>
      <c r="I171" s="55">
        <f>IF(D171="","",IF(D171=0,0,G171/D171))</f>
        <v>0.20849153333333334</v>
      </c>
      <c r="J171" s="222" t="s">
        <v>484</v>
      </c>
      <c r="K171" s="222" t="s">
        <v>2299</v>
      </c>
      <c r="L171" s="231" t="str">
        <f>IF(COUNTIF(tCartera[CUI],"2630072")=0,"Sin PMI",IF(INDEX(tCartera[PMI2026],MATCH("2630072",tCartera[CUI],0))="","No informado",INDEX(tCartera[PMI2026],MATCH("2630072",tCartera[CUI],0))))</f>
        <v>Sin PMI</v>
      </c>
      <c r="M171" s="231" t="str">
        <f>IF(COUNTIF(tCartera[CUI],"2630072")=0,"Sin PMI",IF(INDEX(tCartera[PMI2027],MATCH("2630072",tCartera[CUI],0))="","No informado",INDEX(tCartera[PMI2027],MATCH("2630072",tCartera[CUI],0))))</f>
        <v>Sin PMI</v>
      </c>
      <c r="N171" s="231" t="str">
        <f>IF(COUNTIF(tCartera[CUI],"2630072")=0,"Sin PMI",IF(INDEX(tCartera[PMI2028],MATCH("2630072",tCartera[CUI],0))="","No informado",INDEX(tCartera[PMI2028],MATCH("2630072",tCartera[CUI],0))))</f>
        <v>Sin PMI</v>
      </c>
      <c r="O171" s="231" t="str">
        <f>IF(COUNTIF(tCartera[CUI],"2630072")=0,"Sin PMI",IF(INDEX(tCartera[PMI2029],MATCH("2630072",tCartera[CUI],0))="","No informado",INDEX(tCartera[PMI2029],MATCH("2630072",tCartera[CUI],0))))</f>
        <v>Sin PMI</v>
      </c>
    </row>
    <row r="172" spans="1:15" ht="63" hidden="1" x14ac:dyDescent="0.2">
      <c r="A172" s="36">
        <f>SUBTOTAL(103,$B$8:B172)</f>
        <v>102</v>
      </c>
      <c r="B172" s="28"/>
      <c r="C172" s="23" t="s">
        <v>125</v>
      </c>
      <c r="D172" s="14"/>
      <c r="E172" s="14"/>
      <c r="F172" s="14"/>
      <c r="G172" s="14"/>
      <c r="H172" s="14"/>
      <c r="I172" s="15"/>
      <c r="J172" s="223"/>
      <c r="K172" s="223"/>
      <c r="L172" s="232"/>
      <c r="M172" s="232"/>
      <c r="N172" s="232"/>
      <c r="O172" s="232"/>
    </row>
    <row r="173" spans="1:15" ht="78.75" hidden="1" x14ac:dyDescent="0.2">
      <c r="A173" s="36">
        <f>SUBTOTAL(103,$B$8:B173)</f>
        <v>102</v>
      </c>
      <c r="B173" s="29"/>
      <c r="C173" s="23" t="s">
        <v>210</v>
      </c>
      <c r="D173" s="14"/>
      <c r="E173" s="14"/>
      <c r="F173" s="14"/>
      <c r="G173" s="14"/>
      <c r="H173" s="14"/>
      <c r="I173" s="15"/>
      <c r="J173" s="223"/>
      <c r="K173" s="223"/>
      <c r="L173" s="232"/>
      <c r="M173" s="232"/>
      <c r="N173" s="232"/>
      <c r="O173" s="232"/>
    </row>
    <row r="174" spans="1:15" ht="126" hidden="1" x14ac:dyDescent="0.2">
      <c r="A174" s="36">
        <f>SUBTOTAL(103,$B$8:B174)</f>
        <v>102</v>
      </c>
      <c r="B174" s="29"/>
      <c r="C174" s="23" t="s">
        <v>272</v>
      </c>
      <c r="D174" s="14"/>
      <c r="E174" s="14"/>
      <c r="F174" s="14"/>
      <c r="G174" s="14"/>
      <c r="H174" s="14"/>
      <c r="I174" s="15"/>
      <c r="J174" s="223"/>
      <c r="K174" s="223"/>
      <c r="L174" s="232"/>
      <c r="M174" s="232"/>
      <c r="N174" s="232"/>
      <c r="O174" s="232"/>
    </row>
    <row r="175" spans="1:15" ht="16.5" x14ac:dyDescent="0.2">
      <c r="A175" s="144" t="s">
        <v>39</v>
      </c>
      <c r="B175" s="144"/>
      <c r="C175" s="144"/>
      <c r="D175" s="48">
        <f>D177+D178+D179+D180+D181+D182+D183+D184+D185+D188+D189+D190+D191+D192+D193+D194+D195+D196+D197+D199+D201+D202+D204</f>
        <v>209274718</v>
      </c>
      <c r="E175" s="48">
        <f>E177+E178+E179+E180+E181+E182+E183+E184+E185+E188+E189+E190+E191+E192+E193+E194+E195+E196+E197+E199+E201+E202+E204</f>
        <v>201858405.49000004</v>
      </c>
      <c r="F175" s="48">
        <f>D175-E175</f>
        <v>7416312.5099999607</v>
      </c>
      <c r="G175" s="48">
        <f>G177+G178+G179+G180+G181+G182+G183+G184+G185+G188+G189+G190+G191+G192+G193+G194+G195+G196+G197+G199+G201+G202+G204</f>
        <v>104467919.23</v>
      </c>
      <c r="H175" s="48">
        <f>D175-G175</f>
        <v>104806798.77</v>
      </c>
      <c r="I175" s="49">
        <f>IF(D175=0,0,G175/D175)</f>
        <v>0.49919034763673653</v>
      </c>
      <c r="J175" s="220"/>
      <c r="K175" s="220"/>
      <c r="L175" s="229"/>
      <c r="M175" s="229"/>
      <c r="N175" s="229"/>
      <c r="O175" s="229"/>
    </row>
    <row r="176" spans="1:15" ht="16.5" x14ac:dyDescent="0.2">
      <c r="A176" s="126" t="s">
        <v>610</v>
      </c>
      <c r="B176" s="126"/>
      <c r="C176" s="126"/>
      <c r="D176" s="50">
        <f>D177+D178+D179+D180+D181+D182+D183+D184+D185</f>
        <v>41210021</v>
      </c>
      <c r="E176" s="50">
        <f>E177+E178+E179+E180+E181+E182+E183+E184+E185</f>
        <v>38883859.150000006</v>
      </c>
      <c r="F176" s="50">
        <f>D176-E176</f>
        <v>2326161.849999994</v>
      </c>
      <c r="G176" s="50">
        <f>G177+G178+G179+G180+G181+G182+G183+G184+G185</f>
        <v>14467550.449999999</v>
      </c>
      <c r="H176" s="50">
        <f>D176-G176</f>
        <v>26742470.550000001</v>
      </c>
      <c r="I176" s="51">
        <f>IF(D176=0,0,G176/D176)</f>
        <v>0.35106874733211124</v>
      </c>
      <c r="J176" s="221"/>
      <c r="K176" s="221"/>
      <c r="L176" s="230"/>
      <c r="M176" s="230"/>
      <c r="N176" s="230"/>
      <c r="O176" s="230"/>
    </row>
    <row r="177" spans="1:15" ht="51" x14ac:dyDescent="0.2">
      <c r="A177" s="52">
        <f>SUBTOTAL(103,$B$10:B177)</f>
        <v>103</v>
      </c>
      <c r="B177" s="62">
        <v>34</v>
      </c>
      <c r="C177" s="81" t="s">
        <v>191</v>
      </c>
      <c r="D177" s="54">
        <f>IF(COUNTIF(tSIAF[Clave],"2393398|34")=0,"",SUMIF(tSIAF[Clave],"2393398|34",tSIAF[PIM]))</f>
        <v>18692228</v>
      </c>
      <c r="E177" s="54">
        <f>IF(COUNTIF(tSIAF[Clave],"2393398|34")=0,"",SUMIF(tSIAF[Clave],"2393398|34",tSIAF[Certificacion]))</f>
        <v>18634477.359999999</v>
      </c>
      <c r="F177" s="54">
        <f>IF(D177="","",D177-E177)</f>
        <v>57750.640000000596</v>
      </c>
      <c r="G177" s="54">
        <f>IF(COUNTIF(tSIAF[Clave],"2393398|34")=0,"",SUMIF(tSIAF[Clave],"2393398|34",tSIAF[Devengado]))</f>
        <v>4987667.55</v>
      </c>
      <c r="H177" s="54">
        <f>IF(D177="","",D177-G177)</f>
        <v>13704560.449999999</v>
      </c>
      <c r="I177" s="55">
        <f>IF(D177="","",IF(D177=0,0,G177/D177))</f>
        <v>0.266831088835424</v>
      </c>
      <c r="J177" s="222" t="s">
        <v>2300</v>
      </c>
      <c r="K177" s="222" t="s">
        <v>2299</v>
      </c>
      <c r="L177" s="231">
        <f>IF(COUNTIF(tCartera[CUI],"2393398")=0,"Sin PMI",IF(INDEX(tCartera[PMI2026],MATCH("2393398",tCartera[CUI],0))="","No informado",INDEX(tCartera[PMI2026],MATCH("2393398",tCartera[CUI],0))))</f>
        <v>12431185</v>
      </c>
      <c r="M177" s="231">
        <f>IF(COUNTIF(tCartera[CUI],"2393398")=0,"Sin PMI",IF(INDEX(tCartera[PMI2027],MATCH("2393398",tCartera[CUI],0))="","No informado",INDEX(tCartera[PMI2027],MATCH("2393398",tCartera[CUI],0))))</f>
        <v>4843790</v>
      </c>
      <c r="N177" s="231">
        <f>IF(COUNTIF(tCartera[CUI],"2393398")=0,"Sin PMI",IF(INDEX(tCartera[PMI2028],MATCH("2393398",tCartera[CUI],0))="","No informado",INDEX(tCartera[PMI2028],MATCH("2393398",tCartera[CUI],0))))</f>
        <v>2910115</v>
      </c>
      <c r="O177" s="231">
        <f>IF(COUNTIF(tCartera[CUI],"2393398")=0,"Sin PMI",IF(INDEX(tCartera[PMI2029],MATCH("2393398",tCartera[CUI],0))="","No informado",INDEX(tCartera[PMI2029],MATCH("2393398",tCartera[CUI],0))))</f>
        <v>0</v>
      </c>
    </row>
    <row r="178" spans="1:15" ht="42" customHeight="1" x14ac:dyDescent="0.2">
      <c r="A178" s="52">
        <f>SUBTOTAL(103,$B$10:B178)</f>
        <v>104</v>
      </c>
      <c r="B178" s="57" t="s">
        <v>605</v>
      </c>
      <c r="C178" s="81" t="s">
        <v>607</v>
      </c>
      <c r="D178" s="54">
        <f>IF(COUNTIF(tSIAF[Clave],"2500458|460")=0,"",SUMIF(tSIAF[Clave],"2500458|460",tSIAF[PIM]))</f>
        <v>4437995</v>
      </c>
      <c r="E178" s="54">
        <f>IF(COUNTIF(tSIAF[Clave],"2500458|460")=0,"",SUMIF(tSIAF[Clave],"2500458|460",tSIAF[Certificacion]))</f>
        <v>3573868.86</v>
      </c>
      <c r="F178" s="54">
        <f>IF(D178="","",D178-E178)</f>
        <v>864126.14000000013</v>
      </c>
      <c r="G178" s="54">
        <f>IF(COUNTIF(tSIAF[Clave],"2500458|460")=0,"",SUMIF(tSIAF[Clave],"2500458|460",tSIAF[Devengado]))</f>
        <v>2493396.69</v>
      </c>
      <c r="H178" s="54">
        <f>IF(D178="","",D178-G178)</f>
        <v>1944598.31</v>
      </c>
      <c r="I178" s="55">
        <f>IF(D178="","",IF(D178=0,0,G178/D178))</f>
        <v>0.56182954014143771</v>
      </c>
      <c r="J178" s="222" t="s">
        <v>2300</v>
      </c>
      <c r="K178" s="222" t="s">
        <v>2299</v>
      </c>
      <c r="L178" s="231" t="str">
        <f>IF(COUNTIF(tCartera[CUI],"2500458")=0,"Sin PMI",IF(INDEX(tCartera[PMI2026],MATCH("2500458",tCartera[CUI],0))="","No informado",INDEX(tCartera[PMI2026],MATCH("2500458",tCartera[CUI],0))))</f>
        <v>Sin PMI</v>
      </c>
      <c r="M178" s="231" t="str">
        <f>IF(COUNTIF(tCartera[CUI],"2500458")=0,"Sin PMI",IF(INDEX(tCartera[PMI2027],MATCH("2500458",tCartera[CUI],0))="","No informado",INDEX(tCartera[PMI2027],MATCH("2500458",tCartera[CUI],0))))</f>
        <v>Sin PMI</v>
      </c>
      <c r="N178" s="231" t="str">
        <f>IF(COUNTIF(tCartera[CUI],"2500458")=0,"Sin PMI",IF(INDEX(tCartera[PMI2028],MATCH("2500458",tCartera[CUI],0))="","No informado",INDEX(tCartera[PMI2028],MATCH("2500458",tCartera[CUI],0))))</f>
        <v>Sin PMI</v>
      </c>
      <c r="O178" s="231" t="str">
        <f>IF(COUNTIF(tCartera[CUI],"2500458")=0,"Sin PMI",IF(INDEX(tCartera[PMI2029],MATCH("2500458",tCartera[CUI],0))="","No informado",INDEX(tCartera[PMI2029],MATCH("2500458",tCartera[CUI],0))))</f>
        <v>Sin PMI</v>
      </c>
    </row>
    <row r="179" spans="1:15" ht="51" x14ac:dyDescent="0.2">
      <c r="A179" s="52">
        <f>SUBTOTAL(103,$B$10:B179)</f>
        <v>105</v>
      </c>
      <c r="B179" s="57" t="s">
        <v>604</v>
      </c>
      <c r="C179" s="81" t="s">
        <v>606</v>
      </c>
      <c r="D179" s="54">
        <f>IF(COUNTIF(tSIAF[Clave],"2453224|455")=0,"",SUMIF(tSIAF[Clave],"2453224|455",tSIAF[PIM]))</f>
        <v>4265759</v>
      </c>
      <c r="E179" s="54">
        <f>IF(COUNTIF(tSIAF[Clave],"2453224|455")=0,"",SUMIF(tSIAF[Clave],"2453224|455",tSIAF[Certificacion]))</f>
        <v>3847052.94</v>
      </c>
      <c r="F179" s="54">
        <f>IF(D179="","",D179-E179)</f>
        <v>418706.06000000006</v>
      </c>
      <c r="G179" s="54">
        <f>IF(COUNTIF(tSIAF[Clave],"2453224|455")=0,"",SUMIF(tSIAF[Clave],"2453224|455",tSIAF[Devengado]))</f>
        <v>2741829.61</v>
      </c>
      <c r="H179" s="54">
        <f>IF(D179="","",D179-G179)</f>
        <v>1523929.3900000001</v>
      </c>
      <c r="I179" s="55">
        <f>IF(D179="","",IF(D179=0,0,G179/D179))</f>
        <v>0.64275305051223008</v>
      </c>
      <c r="J179" s="222" t="s">
        <v>2300</v>
      </c>
      <c r="K179" s="222" t="s">
        <v>2299</v>
      </c>
      <c r="L179" s="231" t="str">
        <f>IF(COUNTIF(tCartera[CUI],"2453224")=0,"Sin PMI",IF(INDEX(tCartera[PMI2026],MATCH("2453224",tCartera[CUI],0))="","No informado",INDEX(tCartera[PMI2026],MATCH("2453224",tCartera[CUI],0))))</f>
        <v>Sin PMI</v>
      </c>
      <c r="M179" s="231" t="str">
        <f>IF(COUNTIF(tCartera[CUI],"2453224")=0,"Sin PMI",IF(INDEX(tCartera[PMI2027],MATCH("2453224",tCartera[CUI],0))="","No informado",INDEX(tCartera[PMI2027],MATCH("2453224",tCartera[CUI],0))))</f>
        <v>Sin PMI</v>
      </c>
      <c r="N179" s="231" t="str">
        <f>IF(COUNTIF(tCartera[CUI],"2453224")=0,"Sin PMI",IF(INDEX(tCartera[PMI2028],MATCH("2453224",tCartera[CUI],0))="","No informado",INDEX(tCartera[PMI2028],MATCH("2453224",tCartera[CUI],0))))</f>
        <v>Sin PMI</v>
      </c>
      <c r="O179" s="231" t="str">
        <f>IF(COUNTIF(tCartera[CUI],"2453224")=0,"Sin PMI",IF(INDEX(tCartera[PMI2029],MATCH("2453224",tCartera[CUI],0))="","No informado",INDEX(tCartera[PMI2029],MATCH("2453224",tCartera[CUI],0))))</f>
        <v>Sin PMI</v>
      </c>
    </row>
    <row r="180" spans="1:15" ht="42" customHeight="1" x14ac:dyDescent="0.2">
      <c r="A180" s="52">
        <f>SUBTOTAL(103,$B$10:B180)</f>
        <v>106</v>
      </c>
      <c r="B180" s="84">
        <v>172</v>
      </c>
      <c r="C180" s="81" t="s">
        <v>202</v>
      </c>
      <c r="D180" s="54">
        <f>IF(COUNTIF(tSIAF[Clave],"2250382|172")=0,"",SUMIF(tSIAF[Clave],"2250382|172",tSIAF[PIM]))</f>
        <v>2342684</v>
      </c>
      <c r="E180" s="54">
        <f>IF(COUNTIF(tSIAF[Clave],"2250382|172")=0,"",SUMIF(tSIAF[Clave],"2250382|172",tSIAF[Certificacion]))</f>
        <v>2159343.33</v>
      </c>
      <c r="F180" s="54">
        <f>IF(D180="","",D180-E180)</f>
        <v>183340.66999999993</v>
      </c>
      <c r="G180" s="54">
        <f>IF(COUNTIF(tSIAF[Clave],"2250382|172")=0,"",SUMIF(tSIAF[Clave],"2250382|172",tSIAF[Devengado]))</f>
        <v>1123789.3500000001</v>
      </c>
      <c r="H180" s="54">
        <f>IF(D180="","",D180-G180)</f>
        <v>1218894.6499999999</v>
      </c>
      <c r="I180" s="55">
        <f>IF(D180="","",IF(D180=0,0,G180/D180))</f>
        <v>0.47970163709659525</v>
      </c>
      <c r="J180" s="222" t="s">
        <v>2300</v>
      </c>
      <c r="K180" s="222" t="s">
        <v>2299</v>
      </c>
      <c r="L180" s="231">
        <f>IF(COUNTIF(tCartera[CUI],"2250382")=0,"Sin PMI",IF(INDEX(tCartera[PMI2026],MATCH("2250382",tCartera[CUI],0))="","No informado",INDEX(tCartera[PMI2026],MATCH("2250382",tCartera[CUI],0))))</f>
        <v>800000</v>
      </c>
      <c r="M180" s="231">
        <f>IF(COUNTIF(tCartera[CUI],"2250382")=0,"Sin PMI",IF(INDEX(tCartera[PMI2027],MATCH("2250382",tCartera[CUI],0))="","No informado",INDEX(tCartera[PMI2027],MATCH("2250382",tCartera[CUI],0))))</f>
        <v>26969</v>
      </c>
      <c r="N180" s="231">
        <f>IF(COUNTIF(tCartera[CUI],"2250382")=0,"Sin PMI",IF(INDEX(tCartera[PMI2028],MATCH("2250382",tCartera[CUI],0))="","No informado",INDEX(tCartera[PMI2028],MATCH("2250382",tCartera[CUI],0))))</f>
        <v>0</v>
      </c>
      <c r="O180" s="231">
        <f>IF(COUNTIF(tCartera[CUI],"2250382")=0,"Sin PMI",IF(INDEX(tCartera[PMI2029],MATCH("2250382",tCartera[CUI],0))="","No informado",INDEX(tCartera[PMI2029],MATCH("2250382",tCartera[CUI],0))))</f>
        <v>0</v>
      </c>
    </row>
    <row r="181" spans="1:15" ht="51" x14ac:dyDescent="0.2">
      <c r="A181" s="52">
        <f>SUBTOTAL(103,$B$10:B181)</f>
        <v>107</v>
      </c>
      <c r="B181" s="84">
        <v>28</v>
      </c>
      <c r="C181" s="110" t="s">
        <v>185</v>
      </c>
      <c r="D181" s="111">
        <f>IF(COUNTIF(tSIAF[Clave],"2344253|28")=0,"",SUMIF(tSIAF[Clave],"2344253|28",tSIAF[PIM]))</f>
        <v>4026127</v>
      </c>
      <c r="E181" s="111">
        <f>IF(COUNTIF(tSIAF[Clave],"2344253|28")=0,"",SUMIF(tSIAF[Clave],"2344253|28",tSIAF[Certificacion]))</f>
        <v>3933834.94</v>
      </c>
      <c r="F181" s="111">
        <f>IF(D181="","",D181-E181)</f>
        <v>92292.060000000056</v>
      </c>
      <c r="G181" s="111">
        <f>IF(COUNTIF(tSIAF[Clave],"2344253|28")=0,"",SUMIF(tSIAF[Clave],"2344253|28",tSIAF[Devengado]))</f>
        <v>1387806.25</v>
      </c>
      <c r="H181" s="111">
        <f>IF(D181="","",D181-G181)</f>
        <v>2638320.75</v>
      </c>
      <c r="I181" s="55">
        <f>IF(D181="","",IF(D181=0,0,G181/D181))</f>
        <v>0.34470006783193874</v>
      </c>
      <c r="J181" s="222" t="s">
        <v>2300</v>
      </c>
      <c r="K181" s="222" t="s">
        <v>2299</v>
      </c>
      <c r="L181" s="231">
        <f>IF(COUNTIF(tCartera[CUI],"2344253")=0,"Sin PMI",IF(INDEX(tCartera[PMI2026],MATCH("2344253",tCartera[CUI],0))="","No informado",INDEX(tCartera[PMI2026],MATCH("2344253",tCartera[CUI],0))))</f>
        <v>2120577</v>
      </c>
      <c r="M181" s="231">
        <f>IF(COUNTIF(tCartera[CUI],"2344253")=0,"Sin PMI",IF(INDEX(tCartera[PMI2027],MATCH("2344253",tCartera[CUI],0))="","No informado",INDEX(tCartera[PMI2027],MATCH("2344253",tCartera[CUI],0))))</f>
        <v>5094106</v>
      </c>
      <c r="N181" s="231">
        <f>IF(COUNTIF(tCartera[CUI],"2344253")=0,"Sin PMI",IF(INDEX(tCartera[PMI2028],MATCH("2344253",tCartera[CUI],0))="","No informado",INDEX(tCartera[PMI2028],MATCH("2344253",tCartera[CUI],0))))</f>
        <v>4994536</v>
      </c>
      <c r="O181" s="231">
        <f>IF(COUNTIF(tCartera[CUI],"2344253")=0,"Sin PMI",IF(INDEX(tCartera[PMI2029],MATCH("2344253",tCartera[CUI],0))="","No informado",INDEX(tCartera[PMI2029],MATCH("2344253",tCartera[CUI],0))))</f>
        <v>0</v>
      </c>
    </row>
    <row r="182" spans="1:15" ht="42" customHeight="1" x14ac:dyDescent="0.2">
      <c r="A182" s="52">
        <f>SUBTOTAL(103,$B$10:B182)</f>
        <v>108</v>
      </c>
      <c r="B182" s="62">
        <v>32</v>
      </c>
      <c r="C182" s="81" t="s">
        <v>115</v>
      </c>
      <c r="D182" s="54">
        <f>IF(COUNTIF(tSIAF[Clave],"2385051|32")=0,"",SUMIF(tSIAF[Clave],"2385051|32",tSIAF[PIM]))</f>
        <v>4927527</v>
      </c>
      <c r="E182" s="54">
        <f>IF(COUNTIF(tSIAF[Clave],"2385051|32")=0,"",SUMIF(tSIAF[Clave],"2385051|32",tSIAF[Certificacion]))</f>
        <v>4223260.6899999995</v>
      </c>
      <c r="F182" s="54">
        <f>IF(D182="","",D182-E182)</f>
        <v>704266.31000000052</v>
      </c>
      <c r="G182" s="54">
        <f>IF(COUNTIF(tSIAF[Clave],"2385051|32")=0,"",SUMIF(tSIAF[Clave],"2385051|32",tSIAF[Devengado]))</f>
        <v>1725644.14</v>
      </c>
      <c r="H182" s="54">
        <f>IF(D182="","",D182-G182)</f>
        <v>3201882.8600000003</v>
      </c>
      <c r="I182" s="55">
        <f>IF(D182="","",IF(D182=0,0,G182/D182))</f>
        <v>0.35020490806037186</v>
      </c>
      <c r="J182" s="222" t="s">
        <v>2300</v>
      </c>
      <c r="K182" s="222" t="s">
        <v>2299</v>
      </c>
      <c r="L182" s="231">
        <f>IF(COUNTIF(tCartera[CUI],"2385051")=0,"Sin PMI",IF(INDEX(tCartera[PMI2026],MATCH("2385051",tCartera[CUI],0))="","No informado",INDEX(tCartera[PMI2026],MATCH("2385051",tCartera[CUI],0))))</f>
        <v>2000000</v>
      </c>
      <c r="M182" s="231">
        <f>IF(COUNTIF(tCartera[CUI],"2385051")=0,"Sin PMI",IF(INDEX(tCartera[PMI2027],MATCH("2385051",tCartera[CUI],0))="","No informado",INDEX(tCartera[PMI2027],MATCH("2385051",tCartera[CUI],0))))</f>
        <v>8000000</v>
      </c>
      <c r="N182" s="231">
        <f>IF(COUNTIF(tCartera[CUI],"2385051")=0,"Sin PMI",IF(INDEX(tCartera[PMI2028],MATCH("2385051",tCartera[CUI],0))="","No informado",INDEX(tCartera[PMI2028],MATCH("2385051",tCartera[CUI],0))))</f>
        <v>9133500</v>
      </c>
      <c r="O182" s="231">
        <f>IF(COUNTIF(tCartera[CUI],"2385051")=0,"Sin PMI",IF(INDEX(tCartera[PMI2029],MATCH("2385051",tCartera[CUI],0))="","No informado",INDEX(tCartera[PMI2029],MATCH("2385051",tCartera[CUI],0))))</f>
        <v>8629252</v>
      </c>
    </row>
    <row r="183" spans="1:15" ht="51" x14ac:dyDescent="0.2">
      <c r="A183" s="52">
        <f>SUBTOTAL(103,$B$10:B183)</f>
        <v>109</v>
      </c>
      <c r="B183" s="84">
        <v>156</v>
      </c>
      <c r="C183" s="110" t="s">
        <v>266</v>
      </c>
      <c r="D183" s="111">
        <f>IF(COUNTIF(tSIAF[Clave],"2566572|156")=0,"",SUMIF(tSIAF[Clave],"2566572|156",tSIAF[PIM]))</f>
        <v>1479604</v>
      </c>
      <c r="E183" s="111">
        <f>IF(COUNTIF(tSIAF[Clave],"2566572|156")=0,"",SUMIF(tSIAF[Clave],"2566572|156",tSIAF[Certificacion]))</f>
        <v>1473924.03</v>
      </c>
      <c r="F183" s="111">
        <f>IF(D183="","",D183-E183)</f>
        <v>5679.9699999999721</v>
      </c>
      <c r="G183" s="111">
        <f>IF(COUNTIF(tSIAF[Clave],"2566572|156")=0,"",SUMIF(tSIAF[Clave],"2566572|156",tSIAF[Devengado]))</f>
        <v>7416.86</v>
      </c>
      <c r="H183" s="111">
        <f>IF(D183="","",D183-G183)</f>
        <v>1472187.14</v>
      </c>
      <c r="I183" s="55">
        <f>IF(D183="","",IF(D183=0,0,G183/D183))</f>
        <v>5.0127331367041447E-3</v>
      </c>
      <c r="J183" s="222" t="s">
        <v>2300</v>
      </c>
      <c r="K183" s="222" t="s">
        <v>2299</v>
      </c>
      <c r="L183" s="231">
        <f>IF(COUNTIF(tCartera[CUI],"2566572")=0,"Sin PMI",IF(INDEX(tCartera[PMI2026],MATCH("2566572",tCartera[CUI],0))="","No informado",INDEX(tCartera[PMI2026],MATCH("2566572",tCartera[CUI],0))))</f>
        <v>3000000</v>
      </c>
      <c r="M183" s="231">
        <f>IF(COUNTIF(tCartera[CUI],"2566572")=0,"Sin PMI",IF(INDEX(tCartera[PMI2027],MATCH("2566572",tCartera[CUI],0))="","No informado",INDEX(tCartera[PMI2027],MATCH("2566572",tCartera[CUI],0))))</f>
        <v>6984785</v>
      </c>
      <c r="N183" s="231">
        <f>IF(COUNTIF(tCartera[CUI],"2566572")=0,"Sin PMI",IF(INDEX(tCartera[PMI2028],MATCH("2566572",tCartera[CUI],0))="","No informado",INDEX(tCartera[PMI2028],MATCH("2566572",tCartera[CUI],0))))</f>
        <v>0</v>
      </c>
      <c r="O183" s="231">
        <f>IF(COUNTIF(tCartera[CUI],"2566572")=0,"Sin PMI",IF(INDEX(tCartera[PMI2029],MATCH("2566572",tCartera[CUI],0))="","No informado",INDEX(tCartera[PMI2029],MATCH("2566572",tCartera[CUI],0))))</f>
        <v>6681576</v>
      </c>
    </row>
    <row r="184" spans="1:15" ht="51" x14ac:dyDescent="0.2">
      <c r="A184" s="52">
        <f>SUBTOTAL(103,$B$10:B184)</f>
        <v>110</v>
      </c>
      <c r="B184" s="84">
        <v>506</v>
      </c>
      <c r="C184" s="81" t="s">
        <v>662</v>
      </c>
      <c r="D184" s="54">
        <f>IF(COUNTIF(tSIAF[Clave],"2501244|506")=0,"",SUMIF(tSIAF[Clave],"2501244|506",tSIAF[PIM]))</f>
        <v>1038097</v>
      </c>
      <c r="E184" s="54">
        <f>IF(COUNTIF(tSIAF[Clave],"2501244|506")=0,"",SUMIF(tSIAF[Clave],"2501244|506",tSIAF[Certificacion]))</f>
        <v>1038097</v>
      </c>
      <c r="F184" s="54">
        <f>IF(D184="","",D184-E184)</f>
        <v>0</v>
      </c>
      <c r="G184" s="54">
        <f>IF(COUNTIF(tSIAF[Clave],"2501244|506")=0,"",SUMIF(tSIAF[Clave],"2501244|506",tSIAF[Devengado]))</f>
        <v>0</v>
      </c>
      <c r="H184" s="54">
        <f>IF(D184="","",D184-G184)</f>
        <v>1038097</v>
      </c>
      <c r="I184" s="55">
        <f>IF(D184="","",IF(D184=0,0,G184/D184))</f>
        <v>0</v>
      </c>
      <c r="J184" s="222" t="s">
        <v>2300</v>
      </c>
      <c r="K184" s="222" t="s">
        <v>2299</v>
      </c>
      <c r="L184" s="231" t="str">
        <f>IF(COUNTIF(tCartera[CUI],"2501244")=0,"Sin PMI",IF(INDEX(tCartera[PMI2026],MATCH("2501244",tCartera[CUI],0))="","No informado",INDEX(tCartera[PMI2026],MATCH("2501244",tCartera[CUI],0))))</f>
        <v>Sin PMI</v>
      </c>
      <c r="M184" s="231" t="str">
        <f>IF(COUNTIF(tCartera[CUI],"2501244")=0,"Sin PMI",IF(INDEX(tCartera[PMI2027],MATCH("2501244",tCartera[CUI],0))="","No informado",INDEX(tCartera[PMI2027],MATCH("2501244",tCartera[CUI],0))))</f>
        <v>Sin PMI</v>
      </c>
      <c r="N184" s="231" t="str">
        <f>IF(COUNTIF(tCartera[CUI],"2501244")=0,"Sin PMI",IF(INDEX(tCartera[PMI2028],MATCH("2501244",tCartera[CUI],0))="","No informado",INDEX(tCartera[PMI2028],MATCH("2501244",tCartera[CUI],0))))</f>
        <v>Sin PMI</v>
      </c>
      <c r="O184" s="231" t="str">
        <f>IF(COUNTIF(tCartera[CUI],"2501244")=0,"Sin PMI",IF(INDEX(tCartera[PMI2029],MATCH("2501244",tCartera[CUI],0))="","No informado",INDEX(tCartera[PMI2029],MATCH("2501244",tCartera[CUI],0))))</f>
        <v>Sin PMI</v>
      </c>
    </row>
    <row r="185" spans="1:15" ht="42" customHeight="1" x14ac:dyDescent="0.2">
      <c r="A185" s="52">
        <f>SUBTOTAL(103,$B$10:B185)</f>
        <v>111</v>
      </c>
      <c r="B185" s="53">
        <v>23</v>
      </c>
      <c r="C185" s="81" t="s">
        <v>347</v>
      </c>
      <c r="D185" s="54">
        <f>IF(COUNTIF(tSIAF[Clave],"2194501|23")=0,"",SUMIF(tSIAF[Clave],"2194501|23",tSIAF[PIM]))</f>
        <v>0</v>
      </c>
      <c r="E185" s="54">
        <f>IF(COUNTIF(tSIAF[Clave],"2194501|23")=0,"",SUMIF(tSIAF[Clave],"2194501|23",tSIAF[Certificacion]))</f>
        <v>0</v>
      </c>
      <c r="F185" s="54">
        <f>IF(D185="","",D185-E185)</f>
        <v>0</v>
      </c>
      <c r="G185" s="54">
        <f>IF(COUNTIF(tSIAF[Clave],"2194501|23")=0,"",SUMIF(tSIAF[Clave],"2194501|23",tSIAF[Devengado]))</f>
        <v>0</v>
      </c>
      <c r="H185" s="54">
        <f>IF(D185="","",D185-G185)</f>
        <v>0</v>
      </c>
      <c r="I185" s="55">
        <f>IF(D185="","",IF(D185=0,0,G185/D185))</f>
        <v>0</v>
      </c>
      <c r="J185" s="222" t="s">
        <v>2300</v>
      </c>
      <c r="K185" s="222" t="s">
        <v>2299</v>
      </c>
      <c r="L185" s="231">
        <f>IF(COUNTIF(tCartera[CUI],"2194501")=0,"Sin PMI",IF(INDEX(tCartera[PMI2026],MATCH("2194501",tCartera[CUI],0))="","No informado",INDEX(tCartera[PMI2026],MATCH("2194501",tCartera[CUI],0))))</f>
        <v>144908</v>
      </c>
      <c r="M185" s="231">
        <f>IF(COUNTIF(tCartera[CUI],"2194501")=0,"Sin PMI",IF(INDEX(tCartera[PMI2027],MATCH("2194501",tCartera[CUI],0))="","No informado",INDEX(tCartera[PMI2027],MATCH("2194501",tCartera[CUI],0))))</f>
        <v>229001</v>
      </c>
      <c r="N185" s="231">
        <f>IF(COUNTIF(tCartera[CUI],"2194501")=0,"Sin PMI",IF(INDEX(tCartera[PMI2028],MATCH("2194501",tCartera[CUI],0))="","No informado",INDEX(tCartera[PMI2028],MATCH("2194501",tCartera[CUI],0))))</f>
        <v>0</v>
      </c>
      <c r="O185" s="231">
        <f>IF(COUNTIF(tCartera[CUI],"2194501")=0,"Sin PMI",IF(INDEX(tCartera[PMI2029],MATCH("2194501",tCartera[CUI],0))="","No informado",INDEX(tCartera[PMI2029],MATCH("2194501",tCartera[CUI],0))))</f>
        <v>0</v>
      </c>
    </row>
    <row r="186" spans="1:15" ht="16.5" x14ac:dyDescent="0.2">
      <c r="A186" s="150" t="s">
        <v>609</v>
      </c>
      <c r="B186" s="150"/>
      <c r="C186" s="150"/>
      <c r="D186" s="50">
        <f>D188+D189+D190+D191+D192+D193+D194+D195+D196+D197</f>
        <v>153365775</v>
      </c>
      <c r="E186" s="50">
        <f>E188+E189+E190+E191+E192+E193+E194+E195+E196+E197</f>
        <v>148423261.80000001</v>
      </c>
      <c r="F186" s="50">
        <f>D186-E186</f>
        <v>4942513.1999999881</v>
      </c>
      <c r="G186" s="50">
        <f>G188+G189+G190+G191+G192+G193+G194+G195+G196+G197</f>
        <v>83725797</v>
      </c>
      <c r="H186" s="50">
        <f>D186-G186</f>
        <v>69639978</v>
      </c>
      <c r="I186" s="51">
        <f>IF(D186=0,0,G186/D186)</f>
        <v>0.5459223024172114</v>
      </c>
      <c r="J186" s="221"/>
      <c r="K186" s="221"/>
      <c r="L186" s="230"/>
      <c r="M186" s="230"/>
      <c r="N186" s="230"/>
      <c r="O186" s="230"/>
    </row>
    <row r="187" spans="1:15" ht="63" hidden="1" x14ac:dyDescent="0.2">
      <c r="A187" s="36">
        <v>99</v>
      </c>
      <c r="B187" s="25"/>
      <c r="C187" s="23" t="s">
        <v>40</v>
      </c>
      <c r="D187" s="14"/>
      <c r="E187" s="14"/>
      <c r="F187" s="14"/>
      <c r="G187" s="14"/>
      <c r="H187" s="14"/>
      <c r="I187" s="15"/>
      <c r="J187" s="223"/>
      <c r="K187" s="223"/>
      <c r="L187" s="232"/>
      <c r="M187" s="232"/>
      <c r="N187" s="232"/>
      <c r="O187" s="232"/>
    </row>
    <row r="188" spans="1:15" ht="42" customHeight="1" x14ac:dyDescent="0.2">
      <c r="A188" s="52">
        <f>SUBTOTAL(103,$B$10:B188)</f>
        <v>112</v>
      </c>
      <c r="B188" s="53">
        <v>219</v>
      </c>
      <c r="C188" s="81" t="s">
        <v>120</v>
      </c>
      <c r="D188" s="54">
        <f>IF(COUNTIF(tSIAF[Clave],"2251136|219")=0,"",SUMIF(tSIAF[Clave],"2251136|219",tSIAF[PIM]))</f>
        <v>56150305</v>
      </c>
      <c r="E188" s="54">
        <f>IF(COUNTIF(tSIAF[Clave],"2251136|219")=0,"",SUMIF(tSIAF[Clave],"2251136|219",tSIAF[Certificacion]))</f>
        <v>56150304.020000003</v>
      </c>
      <c r="F188" s="54">
        <f>IF(D188="","",D188-E188)</f>
        <v>0.97999999672174454</v>
      </c>
      <c r="G188" s="54">
        <f>IF(COUNTIF(tSIAF[Clave],"2251136|219")=0,"",SUMIF(tSIAF[Clave],"2251136|219",tSIAF[Devengado]))</f>
        <v>29724123.719999999</v>
      </c>
      <c r="H188" s="54">
        <f>IF(D188="","",D188-G188)</f>
        <v>26426181.280000001</v>
      </c>
      <c r="I188" s="55">
        <f>IF(D188="","",IF(D188=0,0,G188/D188))</f>
        <v>0.52936709284125882</v>
      </c>
      <c r="J188" s="222" t="s">
        <v>2300</v>
      </c>
      <c r="K188" s="222" t="s">
        <v>2299</v>
      </c>
      <c r="L188" s="231" t="str">
        <f>IF(COUNTIF(tCartera[CUI],"2251136")=0,"Sin PMI",IF(INDEX(tCartera[PMI2026],MATCH("2251136",tCartera[CUI],0))="","No informado",INDEX(tCartera[PMI2026],MATCH("2251136",tCartera[CUI],0))))</f>
        <v>Sin PMI</v>
      </c>
      <c r="M188" s="231" t="str">
        <f>IF(COUNTIF(tCartera[CUI],"2251136")=0,"Sin PMI",IF(INDEX(tCartera[PMI2027],MATCH("2251136",tCartera[CUI],0))="","No informado",INDEX(tCartera[PMI2027],MATCH("2251136",tCartera[CUI],0))))</f>
        <v>Sin PMI</v>
      </c>
      <c r="N188" s="231" t="str">
        <f>IF(COUNTIF(tCartera[CUI],"2251136")=0,"Sin PMI",IF(INDEX(tCartera[PMI2028],MATCH("2251136",tCartera[CUI],0))="","No informado",INDEX(tCartera[PMI2028],MATCH("2251136",tCartera[CUI],0))))</f>
        <v>Sin PMI</v>
      </c>
      <c r="O188" s="231" t="str">
        <f>IF(COUNTIF(tCartera[CUI],"2251136")=0,"Sin PMI",IF(INDEX(tCartera[PMI2029],MATCH("2251136",tCartera[CUI],0))="","No informado",INDEX(tCartera[PMI2029],MATCH("2251136",tCartera[CUI],0))))</f>
        <v>Sin PMI</v>
      </c>
    </row>
    <row r="189" spans="1:15" ht="51" x14ac:dyDescent="0.2">
      <c r="A189" s="52">
        <f>SUBTOTAL(103,$B$10:B189)</f>
        <v>113</v>
      </c>
      <c r="B189" s="53">
        <v>240</v>
      </c>
      <c r="C189" s="81" t="s">
        <v>171</v>
      </c>
      <c r="D189" s="54">
        <f>IF(COUNTIF(tSIAF[Clave],"2490087|240")=0,"",SUMIF(tSIAF[Clave],"2490087|240",tSIAF[PIM]))</f>
        <v>8766661</v>
      </c>
      <c r="E189" s="54">
        <f>IF(COUNTIF(tSIAF[Clave],"2490087|240")=0,"",SUMIF(tSIAF[Clave],"2490087|240",tSIAF[Certificacion]))</f>
        <v>8493624.3699999992</v>
      </c>
      <c r="F189" s="54">
        <f>IF(D189="","",D189-E189)</f>
        <v>273036.63000000082</v>
      </c>
      <c r="G189" s="54">
        <f>IF(COUNTIF(tSIAF[Clave],"2490087|240")=0,"",SUMIF(tSIAF[Clave],"2490087|240",tSIAF[Devengado]))</f>
        <v>3843826.37</v>
      </c>
      <c r="H189" s="54">
        <f>IF(D189="","",D189-G189)</f>
        <v>4922834.63</v>
      </c>
      <c r="I189" s="55">
        <f>IF(D189="","",IF(D189=0,0,G189/D189))</f>
        <v>0.43845956516397749</v>
      </c>
      <c r="J189" s="222" t="s">
        <v>2300</v>
      </c>
      <c r="K189" s="222" t="s">
        <v>2299</v>
      </c>
      <c r="L189" s="231">
        <f>IF(COUNTIF(tCartera[CUI],"2490087")=0,"Sin PMI",IF(INDEX(tCartera[PMI2026],MATCH("2490087",tCartera[CUI],0))="","No informado",INDEX(tCartera[PMI2026],MATCH("2490087",tCartera[CUI],0))))</f>
        <v>22181694</v>
      </c>
      <c r="M189" s="231">
        <f>IF(COUNTIF(tCartera[CUI],"2490087")=0,"Sin PMI",IF(INDEX(tCartera[PMI2027],MATCH("2490087",tCartera[CUI],0))="","No informado",INDEX(tCartera[PMI2027],MATCH("2490087",tCartera[CUI],0))))</f>
        <v>12443559</v>
      </c>
      <c r="N189" s="231">
        <f>IF(COUNTIF(tCartera[CUI],"2490087")=0,"Sin PMI",IF(INDEX(tCartera[PMI2028],MATCH("2490087",tCartera[CUI],0))="","No informado",INDEX(tCartera[PMI2028],MATCH("2490087",tCartera[CUI],0))))</f>
        <v>23194677</v>
      </c>
      <c r="O189" s="231">
        <f>IF(COUNTIF(tCartera[CUI],"2490087")=0,"Sin PMI",IF(INDEX(tCartera[PMI2029],MATCH("2490087",tCartera[CUI],0))="","No informado",INDEX(tCartera[PMI2029],MATCH("2490087",tCartera[CUI],0))))</f>
        <v>529157</v>
      </c>
    </row>
    <row r="190" spans="1:15" ht="51" x14ac:dyDescent="0.2">
      <c r="A190" s="52">
        <f>SUBTOTAL(103,$B$10:B190)</f>
        <v>114</v>
      </c>
      <c r="B190" s="56">
        <v>226</v>
      </c>
      <c r="C190" s="81" t="s">
        <v>165</v>
      </c>
      <c r="D190" s="54">
        <f>IF(COUNTIF(tSIAF[Clave],"2357089|226")=0,"",SUMIF(tSIAF[Clave],"2357089|226",tSIAF[PIM]))</f>
        <v>18753537</v>
      </c>
      <c r="E190" s="54">
        <f>IF(COUNTIF(tSIAF[Clave],"2357089|226")=0,"",SUMIF(tSIAF[Clave],"2357089|226",tSIAF[Certificacion]))</f>
        <v>18471517.02</v>
      </c>
      <c r="F190" s="54">
        <f>IF(D190="","",D190-E190)</f>
        <v>282019.98000000045</v>
      </c>
      <c r="G190" s="54">
        <f>IF(COUNTIF(tSIAF[Clave],"2357089|226")=0,"",SUMIF(tSIAF[Clave],"2357089|226",tSIAF[Devengado]))</f>
        <v>17212318.050000001</v>
      </c>
      <c r="H190" s="54">
        <f>IF(D190="","",D190-G190)</f>
        <v>1541218.9499999993</v>
      </c>
      <c r="I190" s="55">
        <f>IF(D190="","",IF(D190=0,0,G190/D190))</f>
        <v>0.9178171589711317</v>
      </c>
      <c r="J190" s="222" t="s">
        <v>2300</v>
      </c>
      <c r="K190" s="222" t="s">
        <v>2299</v>
      </c>
      <c r="L190" s="231">
        <f>IF(COUNTIF(tCartera[CUI],"2357089")=0,"Sin PMI",IF(INDEX(tCartera[PMI2026],MATCH("2357089",tCartera[CUI],0))="","No informado",INDEX(tCartera[PMI2026],MATCH("2357089",tCartera[CUI],0))))</f>
        <v>12200258</v>
      </c>
      <c r="M190" s="231">
        <f>IF(COUNTIF(tCartera[CUI],"2357089")=0,"Sin PMI",IF(INDEX(tCartera[PMI2027],MATCH("2357089",tCartera[CUI],0))="","No informado",INDEX(tCartera[PMI2027],MATCH("2357089",tCartera[CUI],0))))</f>
        <v>14587856</v>
      </c>
      <c r="N190" s="231">
        <f>IF(COUNTIF(tCartera[CUI],"2357089")=0,"Sin PMI",IF(INDEX(tCartera[PMI2028],MATCH("2357089",tCartera[CUI],0))="","No informado",INDEX(tCartera[PMI2028],MATCH("2357089",tCartera[CUI],0))))</f>
        <v>16487882</v>
      </c>
      <c r="O190" s="231">
        <f>IF(COUNTIF(tCartera[CUI],"2357089")=0,"Sin PMI",IF(INDEX(tCartera[PMI2029],MATCH("2357089",tCartera[CUI],0))="","No informado",INDEX(tCartera[PMI2029],MATCH("2357089",tCartera[CUI],0))))</f>
        <v>20726909</v>
      </c>
    </row>
    <row r="191" spans="1:15" ht="46.5" customHeight="1" x14ac:dyDescent="0.2">
      <c r="A191" s="52">
        <f>SUBTOTAL(103,$B$10:B191)</f>
        <v>115</v>
      </c>
      <c r="B191" s="53">
        <v>234</v>
      </c>
      <c r="C191" s="81" t="s">
        <v>167</v>
      </c>
      <c r="D191" s="54">
        <f>IF(COUNTIF(tSIAF[Clave],"2435272|234")=0,"",SUMIF(tSIAF[Clave],"2435272|234",tSIAF[PIM]))</f>
        <v>17484286</v>
      </c>
      <c r="E191" s="54">
        <f>IF(COUNTIF(tSIAF[Clave],"2435272|234")=0,"",SUMIF(tSIAF[Clave],"2435272|234",tSIAF[Certificacion]))</f>
        <v>17380462.93</v>
      </c>
      <c r="F191" s="54">
        <f>IF(D191="","",D191-E191)</f>
        <v>103823.0700000003</v>
      </c>
      <c r="G191" s="54">
        <f>IF(COUNTIF(tSIAF[Clave],"2435272|234")=0,"",SUMIF(tSIAF[Clave],"2435272|234",tSIAF[Devengado]))</f>
        <v>15761867.260000002</v>
      </c>
      <c r="H191" s="54">
        <f>IF(D191="","",D191-G191)</f>
        <v>1722418.7399999984</v>
      </c>
      <c r="I191" s="55">
        <f>IF(D191="","",IF(D191=0,0,G191/D191))</f>
        <v>0.90148761350620787</v>
      </c>
      <c r="J191" s="222" t="s">
        <v>2300</v>
      </c>
      <c r="K191" s="222" t="s">
        <v>2299</v>
      </c>
      <c r="L191" s="231">
        <f>IF(COUNTIF(tCartera[CUI],"2435272")=0,"Sin PMI",IF(INDEX(tCartera[PMI2026],MATCH("2435272",tCartera[CUI],0))="","No informado",INDEX(tCartera[PMI2026],MATCH("2435272",tCartera[CUI],0))))</f>
        <v>12000000</v>
      </c>
      <c r="M191" s="231">
        <f>IF(COUNTIF(tCartera[CUI],"2435272")=0,"Sin PMI",IF(INDEX(tCartera[PMI2027],MATCH("2435272",tCartera[CUI],0))="","No informado",INDEX(tCartera[PMI2027],MATCH("2435272",tCartera[CUI],0))))</f>
        <v>14587598</v>
      </c>
      <c r="N191" s="231">
        <f>IF(COUNTIF(tCartera[CUI],"2435272")=0,"Sin PMI",IF(INDEX(tCartera[PMI2028],MATCH("2435272",tCartera[CUI],0))="","No informado",INDEX(tCartera[PMI2028],MATCH("2435272",tCartera[CUI],0))))</f>
        <v>26545222</v>
      </c>
      <c r="O191" s="231">
        <f>IF(COUNTIF(tCartera[CUI],"2435272")=0,"Sin PMI",IF(INDEX(tCartera[PMI2029],MATCH("2435272",tCartera[CUI],0))="","No informado",INDEX(tCartera[PMI2029],MATCH("2435272",tCartera[CUI],0))))</f>
        <v>3405517</v>
      </c>
    </row>
    <row r="192" spans="1:15" ht="42" customHeight="1" x14ac:dyDescent="0.2">
      <c r="A192" s="52">
        <f>SUBTOTAL(103,$B$10:B192)</f>
        <v>116</v>
      </c>
      <c r="B192" s="57" t="s">
        <v>579</v>
      </c>
      <c r="C192" s="81" t="s">
        <v>113</v>
      </c>
      <c r="D192" s="54">
        <f>IF(COUNTIF(tSIAF[Clave],"2278822|434")=0,"",SUMIF(tSIAF[Clave],"2278822|434",tSIAF[PIM]))</f>
        <v>41519761</v>
      </c>
      <c r="E192" s="54">
        <f>IF(COUNTIF(tSIAF[Clave],"2278822|434")=0,"",SUMIF(tSIAF[Clave],"2278822|434",tSIAF[Certificacion]))</f>
        <v>39201248.730000004</v>
      </c>
      <c r="F192" s="54">
        <f>IF(D192="","",D192-E192)</f>
        <v>2318512.2699999958</v>
      </c>
      <c r="G192" s="54">
        <f>IF(COUNTIF(tSIAF[Clave],"2278822|434")=0,"",SUMIF(tSIAF[Clave],"2278822|434",tSIAF[Devengado]))</f>
        <v>10652959.619999999</v>
      </c>
      <c r="H192" s="54">
        <f>IF(D192="","",D192-G192)</f>
        <v>30866801.380000003</v>
      </c>
      <c r="I192" s="55">
        <f>IF(D192="","",IF(D192=0,0,G192/D192))</f>
        <v>0.25657564888198658</v>
      </c>
      <c r="J192" s="222" t="s">
        <v>2300</v>
      </c>
      <c r="K192" s="222" t="s">
        <v>2299</v>
      </c>
      <c r="L192" s="231" t="str">
        <f>IF(COUNTIF(tCartera[CUI],"2278822")=0,"Sin PMI",IF(INDEX(tCartera[PMI2026],MATCH("2278822",tCartera[CUI],0))="","No informado",INDEX(tCartera[PMI2026],MATCH("2278822",tCartera[CUI],0))))</f>
        <v>Sin PMI</v>
      </c>
      <c r="M192" s="231" t="str">
        <f>IF(COUNTIF(tCartera[CUI],"2278822")=0,"Sin PMI",IF(INDEX(tCartera[PMI2027],MATCH("2278822",tCartera[CUI],0))="","No informado",INDEX(tCartera[PMI2027],MATCH("2278822",tCartera[CUI],0))))</f>
        <v>Sin PMI</v>
      </c>
      <c r="N192" s="231" t="str">
        <f>IF(COUNTIF(tCartera[CUI],"2278822")=0,"Sin PMI",IF(INDEX(tCartera[PMI2028],MATCH("2278822",tCartera[CUI],0))="","No informado",INDEX(tCartera[PMI2028],MATCH("2278822",tCartera[CUI],0))))</f>
        <v>Sin PMI</v>
      </c>
      <c r="O192" s="231" t="str">
        <f>IF(COUNTIF(tCartera[CUI],"2278822")=0,"Sin PMI",IF(INDEX(tCartera[PMI2029],MATCH("2278822",tCartera[CUI],0))="","No informado",INDEX(tCartera[PMI2029],MATCH("2278822",tCartera[CUI],0))))</f>
        <v>Sin PMI</v>
      </c>
    </row>
    <row r="193" spans="1:15" ht="42" customHeight="1" x14ac:dyDescent="0.2">
      <c r="A193" s="52">
        <f>SUBTOTAL(103,$B$10:B193)</f>
        <v>117</v>
      </c>
      <c r="B193" s="57" t="s">
        <v>582</v>
      </c>
      <c r="C193" s="81" t="s">
        <v>263</v>
      </c>
      <c r="D193" s="54">
        <f>IF(COUNTIF(tSIAF[Clave],"2427364|233")=0,"",SUMIF(tSIAF[Clave],"2427364|233",tSIAF[PIM]))</f>
        <v>966193</v>
      </c>
      <c r="E193" s="54">
        <f>IF(COUNTIF(tSIAF[Clave],"2427364|233")=0,"",SUMIF(tSIAF[Clave],"2427364|233",tSIAF[Certificacion]))</f>
        <v>746819.06</v>
      </c>
      <c r="F193" s="54">
        <f>IF(D193="","",D193-E193)</f>
        <v>219373.93999999994</v>
      </c>
      <c r="G193" s="54">
        <f>IF(COUNTIF(tSIAF[Clave],"2427364|233")=0,"",SUMIF(tSIAF[Clave],"2427364|233",tSIAF[Devengado]))</f>
        <v>6257.4</v>
      </c>
      <c r="H193" s="54">
        <f>IF(D193="","",D193-G193)</f>
        <v>959935.6</v>
      </c>
      <c r="I193" s="55">
        <f>IF(D193="","",IF(D193=0,0,G193/D193))</f>
        <v>6.4763458232464941E-3</v>
      </c>
      <c r="J193" s="222" t="s">
        <v>2300</v>
      </c>
      <c r="K193" s="222" t="s">
        <v>2299</v>
      </c>
      <c r="L193" s="231" t="str">
        <f>IF(COUNTIF(tCartera[CUI],"2427364")=0,"Sin PMI",IF(INDEX(tCartera[PMI2026],MATCH("2427364",tCartera[CUI],0))="","No informado",INDEX(tCartera[PMI2026],MATCH("2427364",tCartera[CUI],0))))</f>
        <v>Sin PMI</v>
      </c>
      <c r="M193" s="231" t="str">
        <f>IF(COUNTIF(tCartera[CUI],"2427364")=0,"Sin PMI",IF(INDEX(tCartera[PMI2027],MATCH("2427364",tCartera[CUI],0))="","No informado",INDEX(tCartera[PMI2027],MATCH("2427364",tCartera[CUI],0))))</f>
        <v>Sin PMI</v>
      </c>
      <c r="N193" s="231" t="str">
        <f>IF(COUNTIF(tCartera[CUI],"2427364")=0,"Sin PMI",IF(INDEX(tCartera[PMI2028],MATCH("2427364",tCartera[CUI],0))="","No informado",INDEX(tCartera[PMI2028],MATCH("2427364",tCartera[CUI],0))))</f>
        <v>Sin PMI</v>
      </c>
      <c r="O193" s="231" t="str">
        <f>IF(COUNTIF(tCartera[CUI],"2427364")=0,"Sin PMI",IF(INDEX(tCartera[PMI2029],MATCH("2427364",tCartera[CUI],0))="","No informado",INDEX(tCartera[PMI2029],MATCH("2427364",tCartera[CUI],0))))</f>
        <v>Sin PMI</v>
      </c>
    </row>
    <row r="194" spans="1:15" ht="42" customHeight="1" x14ac:dyDescent="0.2">
      <c r="A194" s="52">
        <f>SUBTOTAL(103,$B$10:B194)</f>
        <v>118</v>
      </c>
      <c r="B194" s="53">
        <v>2</v>
      </c>
      <c r="C194" s="81" t="s">
        <v>324</v>
      </c>
      <c r="D194" s="54">
        <f>IF(COUNTIF(tSIAF[Clave],"2227389|2")=0,"",SUMIF(tSIAF[Clave],"2227389|2",tSIAF[PIM]))</f>
        <v>4068561</v>
      </c>
      <c r="E194" s="54">
        <f>IF(COUNTIF(tSIAF[Clave],"2227389|2")=0,"",SUMIF(tSIAF[Clave],"2227389|2",tSIAF[Certificacion]))</f>
        <v>4043454.41</v>
      </c>
      <c r="F194" s="54">
        <f>IF(D194="","",D194-E194)</f>
        <v>25106.589999999851</v>
      </c>
      <c r="G194" s="54">
        <f>IF(COUNTIF(tSIAF[Clave],"2227389|2")=0,"",SUMIF(tSIAF[Clave],"2227389|2",tSIAF[Devengado]))</f>
        <v>4043454.41</v>
      </c>
      <c r="H194" s="54">
        <f>IF(D194="","",D194-G194)</f>
        <v>25106.589999999851</v>
      </c>
      <c r="I194" s="55">
        <f>IF(D194="","",IF(D194=0,0,G194/D194))</f>
        <v>0.99382912287661418</v>
      </c>
      <c r="J194" s="222" t="s">
        <v>2300</v>
      </c>
      <c r="K194" s="222" t="s">
        <v>2299</v>
      </c>
      <c r="L194" s="231">
        <f>IF(COUNTIF(tCartera[CUI],"2227389")=0,"Sin PMI",IF(INDEX(tCartera[PMI2026],MATCH("2227389",tCartera[CUI],0))="","No informado",INDEX(tCartera[PMI2026],MATCH("2227389",tCartera[CUI],0))))</f>
        <v>100000</v>
      </c>
      <c r="M194" s="231">
        <f>IF(COUNTIF(tCartera[CUI],"2227389")=0,"Sin PMI",IF(INDEX(tCartera[PMI2027],MATCH("2227389",tCartera[CUI],0))="","No informado",INDEX(tCartera[PMI2027],MATCH("2227389",tCartera[CUI],0))))</f>
        <v>0</v>
      </c>
      <c r="N194" s="231">
        <f>IF(COUNTIF(tCartera[CUI],"2227389")=0,"Sin PMI",IF(INDEX(tCartera[PMI2028],MATCH("2227389",tCartera[CUI],0))="","No informado",INDEX(tCartera[PMI2028],MATCH("2227389",tCartera[CUI],0))))</f>
        <v>0</v>
      </c>
      <c r="O194" s="231">
        <f>IF(COUNTIF(tCartera[CUI],"2227389")=0,"Sin PMI",IF(INDEX(tCartera[PMI2029],MATCH("2227389",tCartera[CUI],0))="","No informado",INDEX(tCartera[PMI2029],MATCH("2227389",tCartera[CUI],0))))</f>
        <v>900000</v>
      </c>
    </row>
    <row r="195" spans="1:15" ht="42" customHeight="1" x14ac:dyDescent="0.2">
      <c r="A195" s="52">
        <f>SUBTOTAL(103,$B$10:B195)</f>
        <v>119</v>
      </c>
      <c r="B195" s="57" t="s">
        <v>583</v>
      </c>
      <c r="C195" s="81" t="s">
        <v>430</v>
      </c>
      <c r="D195" s="54">
        <f>IF(COUNTIF(tSIAF[Clave],"2657043|282")=0,"",SUMIF(tSIAF[Clave],"2657043|282",tSIAF[PIM]))</f>
        <v>1382457</v>
      </c>
      <c r="E195" s="54">
        <f>IF(COUNTIF(tSIAF[Clave],"2657043|282")=0,"",SUMIF(tSIAF[Clave],"2657043|282",tSIAF[Certificacion]))</f>
        <v>1382455.8</v>
      </c>
      <c r="F195" s="54">
        <f>IF(D195="","",D195-E195)</f>
        <v>1.1999999999534339</v>
      </c>
      <c r="G195" s="54">
        <f>IF(COUNTIF(tSIAF[Clave],"2657043|282")=0,"",SUMIF(tSIAF[Clave],"2657043|282",tSIAF[Devengado]))</f>
        <v>215371.16</v>
      </c>
      <c r="H195" s="54">
        <f>IF(D195="","",D195-G195)</f>
        <v>1167085.8400000001</v>
      </c>
      <c r="I195" s="55">
        <f>IF(D195="","",IF(D195=0,0,G195/D195))</f>
        <v>0.15578868637505544</v>
      </c>
      <c r="J195" s="222" t="s">
        <v>2300</v>
      </c>
      <c r="K195" s="222" t="s">
        <v>2299</v>
      </c>
      <c r="L195" s="231">
        <f>IF(COUNTIF(tCartera[CUI],"2657043")=0,"Sin PMI",IF(INDEX(tCartera[PMI2026],MATCH("2657043",tCartera[CUI],0))="","No informado",INDEX(tCartera[PMI2026],MATCH("2657043",tCartera[CUI],0))))</f>
        <v>5480901</v>
      </c>
      <c r="M195" s="231">
        <f>IF(COUNTIF(tCartera[CUI],"2657043")=0,"Sin PMI",IF(INDEX(tCartera[PMI2027],MATCH("2657043",tCartera[CUI],0))="","No informado",INDEX(tCartera[PMI2027],MATCH("2657043",tCartera[CUI],0))))</f>
        <v>12000000</v>
      </c>
      <c r="N195" s="231">
        <f>IF(COUNTIF(tCartera[CUI],"2657043")=0,"Sin PMI",IF(INDEX(tCartera[PMI2028],MATCH("2657043",tCartera[CUI],0))="","No informado",INDEX(tCartera[PMI2028],MATCH("2657043",tCartera[CUI],0))))</f>
        <v>0</v>
      </c>
      <c r="O195" s="231">
        <f>IF(COUNTIF(tCartera[CUI],"2657043")=0,"Sin PMI",IF(INDEX(tCartera[PMI2029],MATCH("2657043",tCartera[CUI],0))="","No informado",INDEX(tCartera[PMI2029],MATCH("2657043",tCartera[CUI],0))))</f>
        <v>100000</v>
      </c>
    </row>
    <row r="196" spans="1:15" ht="51" x14ac:dyDescent="0.2">
      <c r="A196" s="52">
        <f>SUBTOTAL(103,$B$10:B196)</f>
        <v>120</v>
      </c>
      <c r="B196" s="53">
        <v>197</v>
      </c>
      <c r="C196" s="81" t="s">
        <v>168</v>
      </c>
      <c r="D196" s="54">
        <f>IF(COUNTIF(tSIAF[Clave],"2450812|197")=0,"",SUMIF(tSIAF[Clave],"2450812|197",tSIAF[PIM]))</f>
        <v>3866926</v>
      </c>
      <c r="E196" s="54">
        <f>IF(COUNTIF(tSIAF[Clave],"2450812|197")=0,"",SUMIF(tSIAF[Clave],"2450812|197",tSIAF[Certificacion]))</f>
        <v>2225809.46</v>
      </c>
      <c r="F196" s="54">
        <f>IF(D196="","",D196-E196)</f>
        <v>1641116.54</v>
      </c>
      <c r="G196" s="54">
        <f>IF(COUNTIF(tSIAF[Clave],"2450812|197")=0,"",SUMIF(tSIAF[Clave],"2450812|197",tSIAF[Devengado]))</f>
        <v>1977904.63</v>
      </c>
      <c r="H196" s="54">
        <f>IF(D196="","",D196-G196)</f>
        <v>1889021.37</v>
      </c>
      <c r="I196" s="55">
        <f>IF(D196="","",IF(D196=0,0,G196/D196))</f>
        <v>0.51149275419286533</v>
      </c>
      <c r="J196" s="222" t="s">
        <v>2300</v>
      </c>
      <c r="K196" s="222" t="s">
        <v>2299</v>
      </c>
      <c r="L196" s="231">
        <f>IF(COUNTIF(tCartera[CUI],"2450812")=0,"Sin PMI",IF(INDEX(tCartera[PMI2026],MATCH("2450812",tCartera[CUI],0))="","No informado",INDEX(tCartera[PMI2026],MATCH("2450812",tCartera[CUI],0))))</f>
        <v>200000</v>
      </c>
      <c r="M196" s="231">
        <f>IF(COUNTIF(tCartera[CUI],"2450812")=0,"Sin PMI",IF(INDEX(tCartera[PMI2027],MATCH("2450812",tCartera[CUI],0))="","No informado",INDEX(tCartera[PMI2027],MATCH("2450812",tCartera[CUI],0))))</f>
        <v>0</v>
      </c>
      <c r="N196" s="231">
        <f>IF(COUNTIF(tCartera[CUI],"2450812")=0,"Sin PMI",IF(INDEX(tCartera[PMI2028],MATCH("2450812",tCartera[CUI],0))="","No informado",INDEX(tCartera[PMI2028],MATCH("2450812",tCartera[CUI],0))))</f>
        <v>522166</v>
      </c>
      <c r="O196" s="231">
        <f>IF(COUNTIF(tCartera[CUI],"2450812")=0,"Sin PMI",IF(INDEX(tCartera[PMI2029],MATCH("2450812",tCartera[CUI],0))="","No informado",INDEX(tCartera[PMI2029],MATCH("2450812",tCartera[CUI],0))))</f>
        <v>0</v>
      </c>
    </row>
    <row r="197" spans="1:15" ht="51" x14ac:dyDescent="0.2">
      <c r="A197" s="52">
        <f>SUBTOTAL(103,$B$10:B197)</f>
        <v>121</v>
      </c>
      <c r="B197" s="57" t="s">
        <v>502</v>
      </c>
      <c r="C197" s="81" t="s">
        <v>164</v>
      </c>
      <c r="D197" s="54">
        <f>IF(COUNTIF(tSIAF[Clave],"2308220|222")=0,"",SUMIF(tSIAF[Clave],"2308220|222",tSIAF[PIM]))</f>
        <v>407088</v>
      </c>
      <c r="E197" s="54">
        <f>IF(COUNTIF(tSIAF[Clave],"2308220|222")=0,"",SUMIF(tSIAF[Clave],"2308220|222",tSIAF[Certificacion]))</f>
        <v>327566</v>
      </c>
      <c r="F197" s="54">
        <f>IF(D197="","",D197-E197)</f>
        <v>79522</v>
      </c>
      <c r="G197" s="54">
        <f>IF(COUNTIF(tSIAF[Clave],"2308220|222")=0,"",SUMIF(tSIAF[Clave],"2308220|222",tSIAF[Devengado]))</f>
        <v>287714.38</v>
      </c>
      <c r="H197" s="54">
        <f>IF(D197="","",D197-G197)</f>
        <v>119373.62</v>
      </c>
      <c r="I197" s="55">
        <f>IF(D197="","",IF(D197=0,0,G197/D197))</f>
        <v>0.70676212514247538</v>
      </c>
      <c r="J197" s="222" t="s">
        <v>2300</v>
      </c>
      <c r="K197" s="222" t="s">
        <v>2299</v>
      </c>
      <c r="L197" s="231">
        <f>IF(COUNTIF(tCartera[CUI],"2308220")=0,"Sin PMI",IF(INDEX(tCartera[PMI2026],MATCH("2308220",tCartera[CUI],0))="","No informado",INDEX(tCartera[PMI2026],MATCH("2308220",tCartera[CUI],0))))</f>
        <v>1199085</v>
      </c>
      <c r="M197" s="231">
        <f>IF(COUNTIF(tCartera[CUI],"2308220")=0,"Sin PMI",IF(INDEX(tCartera[PMI2027],MATCH("2308220",tCartera[CUI],0))="","No informado",INDEX(tCartera[PMI2027],MATCH("2308220",tCartera[CUI],0))))</f>
        <v>5128392</v>
      </c>
      <c r="N197" s="231">
        <f>IF(COUNTIF(tCartera[CUI],"2308220")=0,"Sin PMI",IF(INDEX(tCartera[PMI2028],MATCH("2308220",tCartera[CUI],0))="","No informado",INDEX(tCartera[PMI2028],MATCH("2308220",tCartera[CUI],0))))</f>
        <v>53288</v>
      </c>
      <c r="O197" s="231">
        <f>IF(COUNTIF(tCartera[CUI],"2308220")=0,"Sin PMI",IF(INDEX(tCartera[PMI2029],MATCH("2308220",tCartera[CUI],0))="","No informado",INDEX(tCartera[PMI2029],MATCH("2308220",tCartera[CUI],0))))</f>
        <v>0</v>
      </c>
    </row>
    <row r="198" spans="1:15" ht="16.5" x14ac:dyDescent="0.2">
      <c r="A198" s="126" t="s">
        <v>92</v>
      </c>
      <c r="B198" s="126"/>
      <c r="C198" s="126"/>
      <c r="D198" s="50">
        <f>D199</f>
        <v>3978899</v>
      </c>
      <c r="E198" s="50">
        <f>E199</f>
        <v>3978899</v>
      </c>
      <c r="F198" s="50">
        <f>D198-E198</f>
        <v>0</v>
      </c>
      <c r="G198" s="50">
        <f>G199</f>
        <v>0</v>
      </c>
      <c r="H198" s="50">
        <f>D198-G198</f>
        <v>3978899</v>
      </c>
      <c r="I198" s="51">
        <f>IF(D198=0,0,G198/D198)</f>
        <v>0</v>
      </c>
      <c r="J198" s="221"/>
      <c r="K198" s="221"/>
      <c r="L198" s="230"/>
      <c r="M198" s="230"/>
      <c r="N198" s="230"/>
      <c r="O198" s="230"/>
    </row>
    <row r="199" spans="1:15" ht="63.75" x14ac:dyDescent="0.2">
      <c r="A199" s="52">
        <f>SUBTOTAL(103,$B$10:B199)</f>
        <v>122</v>
      </c>
      <c r="B199" s="57" t="s">
        <v>624</v>
      </c>
      <c r="C199" s="81" t="s">
        <v>621</v>
      </c>
      <c r="D199" s="54">
        <f>IF(COUNTIF(tSIAF[Clave],"2447465|109")=0,"",SUMIF(tSIAF[Clave],"2447465|109",tSIAF[PIM]))</f>
        <v>3978899</v>
      </c>
      <c r="E199" s="54">
        <f>IF(COUNTIF(tSIAF[Clave],"2447465|109")=0,"",SUMIF(tSIAF[Clave],"2447465|109",tSIAF[Certificacion]))</f>
        <v>3978899</v>
      </c>
      <c r="F199" s="54">
        <f>IF(D199="","",D199-E199)</f>
        <v>0</v>
      </c>
      <c r="G199" s="54">
        <f>IF(COUNTIF(tSIAF[Clave],"2447465|109")=0,"",SUMIF(tSIAF[Clave],"2447465|109",tSIAF[Devengado]))</f>
        <v>0</v>
      </c>
      <c r="H199" s="54">
        <f>IF(D199="","",D199-G199)</f>
        <v>3978899</v>
      </c>
      <c r="I199" s="55">
        <f>IF(D199="","",IF(D199=0,0,G199/D199))</f>
        <v>0</v>
      </c>
      <c r="J199" s="222" t="s">
        <v>2300</v>
      </c>
      <c r="K199" s="222" t="s">
        <v>2299</v>
      </c>
      <c r="L199" s="231">
        <f>IF(COUNTIF(tCartera[CUI],"2447465")=0,"Sin PMI",IF(INDEX(tCartera[PMI2026],MATCH("2447465",tCartera[CUI],0))="","No informado",INDEX(tCartera[PMI2026],MATCH("2447465",tCartera[CUI],0))))</f>
        <v>4000000</v>
      </c>
      <c r="M199" s="231">
        <f>IF(COUNTIF(tCartera[CUI],"2447465")=0,"Sin PMI",IF(INDEX(tCartera[PMI2027],MATCH("2447465",tCartera[CUI],0))="","No informado",INDEX(tCartera[PMI2027],MATCH("2447465",tCartera[CUI],0))))</f>
        <v>8256356</v>
      </c>
      <c r="N199" s="231">
        <f>IF(COUNTIF(tCartera[CUI],"2447465")=0,"Sin PMI",IF(INDEX(tCartera[PMI2028],MATCH("2447465",tCartera[CUI],0))="","No informado",INDEX(tCartera[PMI2028],MATCH("2447465",tCartera[CUI],0))))</f>
        <v>4200001</v>
      </c>
      <c r="O199" s="231">
        <f>IF(COUNTIF(tCartera[CUI],"2447465")=0,"Sin PMI",IF(INDEX(tCartera[PMI2029],MATCH("2447465",tCartera[CUI],0))="","No informado",INDEX(tCartera[PMI2029],MATCH("2447465",tCartera[CUI],0))))</f>
        <v>103192</v>
      </c>
    </row>
    <row r="200" spans="1:15" ht="16.5" x14ac:dyDescent="0.2">
      <c r="A200" s="126" t="s">
        <v>618</v>
      </c>
      <c r="B200" s="126"/>
      <c r="C200" s="126"/>
      <c r="D200" s="50">
        <f>D201+D202</f>
        <v>10709023</v>
      </c>
      <c r="E200" s="50">
        <f>E201+E202</f>
        <v>10561385.539999999</v>
      </c>
      <c r="F200" s="50">
        <f>D200-E200</f>
        <v>147637.46000000089</v>
      </c>
      <c r="G200" s="50">
        <f>G201+G202</f>
        <v>6274571.7800000003</v>
      </c>
      <c r="H200" s="50">
        <f>D200-G200</f>
        <v>4434451.22</v>
      </c>
      <c r="I200" s="51">
        <f>IF(D200=0,0,G200/D200)</f>
        <v>0.58591449285336306</v>
      </c>
      <c r="J200" s="221"/>
      <c r="K200" s="221"/>
      <c r="L200" s="230"/>
      <c r="M200" s="230"/>
      <c r="N200" s="230"/>
      <c r="O200" s="230"/>
    </row>
    <row r="201" spans="1:15" ht="42" customHeight="1" x14ac:dyDescent="0.2">
      <c r="A201" s="52">
        <f>SUBTOTAL(103,$B$10:B201)</f>
        <v>123</v>
      </c>
      <c r="B201" s="53">
        <v>64</v>
      </c>
      <c r="C201" s="81" t="s">
        <v>271</v>
      </c>
      <c r="D201" s="61">
        <f>IF(COUNTIF(tSIAF[Clave],"2292669|64")=0,"",SUMIF(tSIAF[Clave],"2292669|64",tSIAF[PIM]))</f>
        <v>6912542</v>
      </c>
      <c r="E201" s="61">
        <f>IF(COUNTIF(tSIAF[Clave],"2292669|64")=0,"",SUMIF(tSIAF[Clave],"2292669|64",tSIAF[Certificacion]))</f>
        <v>6855594.0599999996</v>
      </c>
      <c r="F201" s="61">
        <f>IF(D201="","",D201-E201)</f>
        <v>56947.94000000041</v>
      </c>
      <c r="G201" s="61">
        <f>IF(COUNTIF(tSIAF[Clave],"2292669|64")=0,"",SUMIF(tSIAF[Clave],"2292669|64",tSIAF[Devengado]))</f>
        <v>4377038.8600000003</v>
      </c>
      <c r="H201" s="61">
        <f>IF(D201="","",D201-G201)</f>
        <v>2535503.1399999997</v>
      </c>
      <c r="I201" s="55">
        <f>IF(D201="","",IF(D201=0,0,G201/D201))</f>
        <v>0.63320249772080961</v>
      </c>
      <c r="J201" s="222" t="s">
        <v>2300</v>
      </c>
      <c r="K201" s="222" t="s">
        <v>2299</v>
      </c>
      <c r="L201" s="231">
        <f>IF(COUNTIF(tCartera[CUI],"2292669")=0,"Sin PMI",IF(INDEX(tCartera[PMI2026],MATCH("2292669",tCartera[CUI],0))="","No informado",INDEX(tCartera[PMI2026],MATCH("2292669",tCartera[CUI],0))))</f>
        <v>3160785</v>
      </c>
      <c r="M201" s="231">
        <f>IF(COUNTIF(tCartera[CUI],"2292669")=0,"Sin PMI",IF(INDEX(tCartera[PMI2027],MATCH("2292669",tCartera[CUI],0))="","No informado",INDEX(tCartera[PMI2027],MATCH("2292669",tCartera[CUI],0))))</f>
        <v>5000000</v>
      </c>
      <c r="N201" s="231">
        <f>IF(COUNTIF(tCartera[CUI],"2292669")=0,"Sin PMI",IF(INDEX(tCartera[PMI2028],MATCH("2292669",tCartera[CUI],0))="","No informado",INDEX(tCartera[PMI2028],MATCH("2292669",tCartera[CUI],0))))</f>
        <v>0</v>
      </c>
      <c r="O201" s="231">
        <f>IF(COUNTIF(tCartera[CUI],"2292669")=0,"Sin PMI",IF(INDEX(tCartera[PMI2029],MATCH("2292669",tCartera[CUI],0))="","No informado",INDEX(tCartera[PMI2029],MATCH("2292669",tCartera[CUI],0))))</f>
        <v>1000000</v>
      </c>
    </row>
    <row r="202" spans="1:15" ht="63.75" x14ac:dyDescent="0.2">
      <c r="A202" s="52">
        <f>SUBTOTAL(103,$B$10:B202)</f>
        <v>124</v>
      </c>
      <c r="B202" s="53">
        <v>66</v>
      </c>
      <c r="C202" s="81" t="s">
        <v>295</v>
      </c>
      <c r="D202" s="61">
        <f>IF(COUNTIF(tSIAF[Clave],"2645376|66")=0,"",SUMIF(tSIAF[Clave],"2645376|66",tSIAF[PIM]))</f>
        <v>3796481</v>
      </c>
      <c r="E202" s="61">
        <f>IF(COUNTIF(tSIAF[Clave],"2645376|66")=0,"",SUMIF(tSIAF[Clave],"2645376|66",tSIAF[Certificacion]))</f>
        <v>3705791.48</v>
      </c>
      <c r="F202" s="61">
        <f>IF(D202="","",D202-E202)</f>
        <v>90689.520000000019</v>
      </c>
      <c r="G202" s="61">
        <f>IF(COUNTIF(tSIAF[Clave],"2645376|66")=0,"",SUMIF(tSIAF[Clave],"2645376|66",tSIAF[Devengado]))</f>
        <v>1897532.92</v>
      </c>
      <c r="H202" s="61">
        <f>IF(D202="","",D202-G202)</f>
        <v>1898948.08</v>
      </c>
      <c r="I202" s="55">
        <f>IF(D202="","",IF(D202=0,0,G202/D202))</f>
        <v>0.49981362214113539</v>
      </c>
      <c r="J202" s="222" t="s">
        <v>2300</v>
      </c>
      <c r="K202" s="222" t="s">
        <v>2299</v>
      </c>
      <c r="L202" s="231">
        <f>IF(COUNTIF(tCartera[CUI],"2645376")=0,"Sin PMI",IF(INDEX(tCartera[PMI2026],MATCH("2645376",tCartera[CUI],0))="","No informado",INDEX(tCartera[PMI2026],MATCH("2645376",tCartera[CUI],0))))</f>
        <v>3796481</v>
      </c>
      <c r="M202" s="231">
        <f>IF(COUNTIF(tCartera[CUI],"2645376")=0,"Sin PMI",IF(INDEX(tCartera[PMI2027],MATCH("2645376",tCartera[CUI],0))="","No informado",INDEX(tCartera[PMI2027],MATCH("2645376",tCartera[CUI],0))))</f>
        <v>1394507</v>
      </c>
      <c r="N202" s="231">
        <f>IF(COUNTIF(tCartera[CUI],"2645376")=0,"Sin PMI",IF(INDEX(tCartera[PMI2028],MATCH("2645376",tCartera[CUI],0))="","No informado",INDEX(tCartera[PMI2028],MATCH("2645376",tCartera[CUI],0))))</f>
        <v>0</v>
      </c>
      <c r="O202" s="231">
        <f>IF(COUNTIF(tCartera[CUI],"2645376")=0,"Sin PMI",IF(INDEX(tCartera[PMI2029],MATCH("2645376",tCartera[CUI],0))="","No informado",INDEX(tCartera[PMI2029],MATCH("2645376",tCartera[CUI],0))))</f>
        <v>0</v>
      </c>
    </row>
    <row r="203" spans="1:15" ht="16.5" x14ac:dyDescent="0.2">
      <c r="A203" s="157" t="s">
        <v>631</v>
      </c>
      <c r="B203" s="158"/>
      <c r="C203" s="159"/>
      <c r="D203" s="50">
        <f>D204</f>
        <v>11000</v>
      </c>
      <c r="E203" s="50">
        <f>E204</f>
        <v>11000</v>
      </c>
      <c r="F203" s="50">
        <f>D203-E203</f>
        <v>0</v>
      </c>
      <c r="G203" s="50">
        <f>G204</f>
        <v>0</v>
      </c>
      <c r="H203" s="50">
        <f>D203-G203</f>
        <v>11000</v>
      </c>
      <c r="I203" s="51">
        <f>IF(D203=0,0,G203/D203)</f>
        <v>0</v>
      </c>
      <c r="J203" s="221"/>
      <c r="K203" s="221"/>
      <c r="L203" s="230"/>
      <c r="M203" s="230"/>
      <c r="N203" s="230"/>
      <c r="O203" s="230"/>
    </row>
    <row r="204" spans="1:15" ht="51" x14ac:dyDescent="0.2">
      <c r="A204" s="52">
        <f>SUBTOTAL(103,$B$10:B204)</f>
        <v>125</v>
      </c>
      <c r="B204" s="57" t="s">
        <v>632</v>
      </c>
      <c r="C204" s="81" t="s">
        <v>633</v>
      </c>
      <c r="D204" s="54">
        <f>IF(COUNTIF(tSIAF[Clave],"2492442|470")=0,"",SUMIF(tSIAF[Clave],"2492442|470",tSIAF[PIM]))</f>
        <v>11000</v>
      </c>
      <c r="E204" s="54">
        <f>IF(COUNTIF(tSIAF[Clave],"2492442|470")=0,"",SUMIF(tSIAF[Clave],"2492442|470",tSIAF[Certificacion]))</f>
        <v>11000</v>
      </c>
      <c r="F204" s="54">
        <f>IF(D204="","",D204-E204)</f>
        <v>0</v>
      </c>
      <c r="G204" s="54">
        <f>IF(COUNTIF(tSIAF[Clave],"2492442|470")=0,"",SUMIF(tSIAF[Clave],"2492442|470",tSIAF[Devengado]))</f>
        <v>0</v>
      </c>
      <c r="H204" s="54">
        <f>IF(D204="","",D204-G204)</f>
        <v>11000</v>
      </c>
      <c r="I204" s="55">
        <f>IF(D204="","",IF(D204=0,0,G204/D204))</f>
        <v>0</v>
      </c>
      <c r="J204" s="222" t="s">
        <v>2300</v>
      </c>
      <c r="K204" s="222" t="s">
        <v>2299</v>
      </c>
      <c r="L204" s="231" t="str">
        <f>IF(COUNTIF(tCartera[CUI],"2492442")=0,"Sin PMI",IF(INDEX(tCartera[PMI2026],MATCH("2492442",tCartera[CUI],0))="","No informado",INDEX(tCartera[PMI2026],MATCH("2492442",tCartera[CUI],0))))</f>
        <v>Sin PMI</v>
      </c>
      <c r="M204" s="231" t="str">
        <f>IF(COUNTIF(tCartera[CUI],"2492442")=0,"Sin PMI",IF(INDEX(tCartera[PMI2027],MATCH("2492442",tCartera[CUI],0))="","No informado",INDEX(tCartera[PMI2027],MATCH("2492442",tCartera[CUI],0))))</f>
        <v>Sin PMI</v>
      </c>
      <c r="N204" s="231" t="str">
        <f>IF(COUNTIF(tCartera[CUI],"2492442")=0,"Sin PMI",IF(INDEX(tCartera[PMI2028],MATCH("2492442",tCartera[CUI],0))="","No informado",INDEX(tCartera[PMI2028],MATCH("2492442",tCartera[CUI],0))))</f>
        <v>Sin PMI</v>
      </c>
      <c r="O204" s="231" t="str">
        <f>IF(COUNTIF(tCartera[CUI],"2492442")=0,"Sin PMI",IF(INDEX(tCartera[PMI2029],MATCH("2492442",tCartera[CUI],0))="","No informado",INDEX(tCartera[PMI2029],MATCH("2492442",tCartera[CUI],0))))</f>
        <v>Sin PMI</v>
      </c>
    </row>
    <row r="205" spans="1:15" ht="94.5" hidden="1" x14ac:dyDescent="0.2">
      <c r="A205" s="36">
        <f>SUBTOTAL(103,$B$8:B205)</f>
        <v>125</v>
      </c>
      <c r="B205" s="28"/>
      <c r="C205" s="23" t="s">
        <v>442</v>
      </c>
      <c r="D205" s="14"/>
      <c r="E205" s="14"/>
      <c r="F205" s="14"/>
      <c r="G205" s="14"/>
      <c r="H205" s="14"/>
      <c r="I205" s="15"/>
      <c r="J205" s="223"/>
      <c r="K205" s="223"/>
      <c r="L205" s="232"/>
      <c r="M205" s="232"/>
      <c r="N205" s="232"/>
      <c r="O205" s="232"/>
    </row>
    <row r="206" spans="1:15" ht="78.75" hidden="1" x14ac:dyDescent="0.2">
      <c r="A206" s="36">
        <f>SUBTOTAL(103,$B$8:B206)</f>
        <v>125</v>
      </c>
      <c r="B206" s="28"/>
      <c r="C206" s="23" t="s">
        <v>102</v>
      </c>
      <c r="D206" s="14"/>
      <c r="E206" s="14"/>
      <c r="F206" s="14"/>
      <c r="G206" s="14"/>
      <c r="H206" s="14"/>
      <c r="I206" s="15"/>
      <c r="J206" s="223"/>
      <c r="K206" s="223"/>
      <c r="L206" s="232"/>
      <c r="M206" s="232"/>
      <c r="N206" s="232"/>
      <c r="O206" s="232"/>
    </row>
    <row r="207" spans="1:15" ht="78.75" hidden="1" x14ac:dyDescent="0.2">
      <c r="A207" s="39">
        <f>SUBTOTAL(103,$B$8:B207)</f>
        <v>125</v>
      </c>
      <c r="B207" s="37"/>
      <c r="C207" s="23" t="s">
        <v>490</v>
      </c>
      <c r="D207" s="13"/>
      <c r="E207" s="13"/>
      <c r="F207" s="13"/>
      <c r="G207" s="13"/>
      <c r="H207" s="13"/>
      <c r="I207" s="15"/>
      <c r="J207" s="223"/>
      <c r="K207" s="223"/>
      <c r="L207" s="232"/>
      <c r="M207" s="232"/>
      <c r="N207" s="232"/>
      <c r="O207" s="232"/>
    </row>
    <row r="208" spans="1:15" ht="63" hidden="1" x14ac:dyDescent="0.2">
      <c r="A208" s="40">
        <f>SUBTOTAL(103,$B$8:B208)</f>
        <v>125</v>
      </c>
      <c r="B208" s="37"/>
      <c r="C208" s="23" t="s">
        <v>495</v>
      </c>
      <c r="D208" s="13"/>
      <c r="E208" s="13"/>
      <c r="F208" s="13"/>
      <c r="G208" s="13"/>
      <c r="H208" s="13"/>
      <c r="I208" s="15"/>
      <c r="J208" s="223"/>
      <c r="K208" s="223"/>
      <c r="L208" s="232"/>
      <c r="M208" s="232"/>
      <c r="N208" s="232"/>
      <c r="O208" s="232"/>
    </row>
    <row r="209" spans="1:15" hidden="1" x14ac:dyDescent="0.2">
      <c r="I209" s="11"/>
      <c r="J209" s="224"/>
      <c r="K209" s="224"/>
      <c r="L209" s="233"/>
      <c r="M209" s="233"/>
      <c r="N209" s="233"/>
      <c r="O209" s="233"/>
    </row>
    <row r="210" spans="1:15" ht="16.5" x14ac:dyDescent="0.2">
      <c r="A210" s="144" t="s">
        <v>2</v>
      </c>
      <c r="B210" s="144"/>
      <c r="C210" s="144"/>
      <c r="D210" s="63">
        <f>D212+D216+D219+D222+D224+D227+D229+D231+D233+D235+D237+D241+D243+D245+D249+D251+D253+D255+D257+D259+D263+D265+D272+D275+D277+D279+D281+D283+D285+D287+D289+D291+D293+D295+D297+D300+D302+D305</f>
        <v>10281312</v>
      </c>
      <c r="E210" s="63">
        <f>E212+E216+E219+E222+E224+E227+E229+E231+E233+E235+E237+E241+E243+E245+E249+E251+E253+E255+E257+E259+E263+E265+E272+E275+E277+E279+E281+E283+E285+E287+E289+E291+E293+E295+E297+E300+E302+E305</f>
        <v>8695486.7800000012</v>
      </c>
      <c r="F210" s="63">
        <f>D210-E210</f>
        <v>1585825.2199999988</v>
      </c>
      <c r="G210" s="63">
        <f>G212+G216+G219+G222+G224+G227+G229+G231+G233+G235+G237+G241+G243+G245+G249+G251+G253+G255+G257+G259+G263+G265+G272+G275+G277+G279+G281+G283+G285+G287+G289+G291+G293+G295+G297+G300+G302+G305</f>
        <v>5405465.1599999992</v>
      </c>
      <c r="H210" s="63">
        <f>D210-G210</f>
        <v>4875846.8400000008</v>
      </c>
      <c r="I210" s="64">
        <f>IF(D210=0,0,G210/D210)</f>
        <v>0.5257563587215327</v>
      </c>
      <c r="J210" s="225"/>
      <c r="K210" s="225"/>
      <c r="L210" s="234"/>
      <c r="M210" s="234"/>
      <c r="N210" s="234"/>
      <c r="O210" s="234"/>
    </row>
    <row r="211" spans="1:15" ht="16.5" x14ac:dyDescent="0.2">
      <c r="A211" s="126" t="s">
        <v>609</v>
      </c>
      <c r="B211" s="126"/>
      <c r="C211" s="126"/>
      <c r="D211" s="50">
        <f>D212+D216</f>
        <v>273816</v>
      </c>
      <c r="E211" s="50">
        <f>E212+E216</f>
        <v>273816</v>
      </c>
      <c r="F211" s="50">
        <f>D211-E211</f>
        <v>0</v>
      </c>
      <c r="G211" s="50">
        <f>G212+G216</f>
        <v>113941.65</v>
      </c>
      <c r="H211" s="50">
        <f>D211-G211</f>
        <v>159874.35</v>
      </c>
      <c r="I211" s="51">
        <f>IF(D211=0,0,G211/D211)</f>
        <v>0.41612487948111138</v>
      </c>
      <c r="J211" s="221"/>
      <c r="K211" s="221"/>
      <c r="L211" s="230"/>
      <c r="M211" s="230"/>
      <c r="N211" s="230"/>
      <c r="O211" s="230"/>
    </row>
    <row r="212" spans="1:15" ht="51" x14ac:dyDescent="0.2">
      <c r="A212" s="127">
        <f>+SUBTOTAL(103,$B$10:B213)</f>
        <v>126</v>
      </c>
      <c r="B212" s="130">
        <v>341</v>
      </c>
      <c r="C212" s="110" t="s">
        <v>601</v>
      </c>
      <c r="D212" s="111">
        <f>IF(COUNTIF(tSIAF[Clave],"2699927|341")=0,"",SUMIF(tSIAF[Clave],"2699927|341",tSIAF[PIM]))</f>
        <v>123816</v>
      </c>
      <c r="E212" s="111">
        <f>IF(COUNTIF(tSIAF[Clave],"2699927|341")=0,"",SUMIF(tSIAF[Clave],"2699927|341",tSIAF[Certificacion]))</f>
        <v>123816</v>
      </c>
      <c r="F212" s="111">
        <f>IF(D212="","",D212-E212)</f>
        <v>0</v>
      </c>
      <c r="G212" s="111">
        <f>IF(COUNTIF(tSIAF[Clave],"2699927|341")=0,"",SUMIF(tSIAF[Clave],"2699927|341",tSIAF[Devengado]))</f>
        <v>113941.65</v>
      </c>
      <c r="H212" s="111">
        <f>IF(D212="","",D212-G212)</f>
        <v>9874.3500000000058</v>
      </c>
      <c r="I212" s="55">
        <f>IF(D212="","",IF(D212=0,0,G212/D212))</f>
        <v>0.92024980616398522</v>
      </c>
      <c r="J212" s="222"/>
      <c r="K212" s="222" t="s">
        <v>2299</v>
      </c>
      <c r="L212" s="231">
        <f>IF(COUNTIF(tCartera[CUI],"2699927")=0,"Sin PMI",IF(INDEX(tCartera[PMI2026],MATCH("2699927",tCartera[CUI],0))="","No informado",INDEX(tCartera[PMI2026],MATCH("2699927",tCartera[CUI],0))))</f>
        <v>111816</v>
      </c>
      <c r="M212" s="231">
        <f>IF(COUNTIF(tCartera[CUI],"2699927")=0,"Sin PMI",IF(INDEX(tCartera[PMI2027],MATCH("2699927",tCartera[CUI],0))="","No informado",INDEX(tCartera[PMI2027],MATCH("2699927",tCartera[CUI],0))))</f>
        <v>978654</v>
      </c>
      <c r="N212" s="231">
        <f>IF(COUNTIF(tCartera[CUI],"2699927")=0,"Sin PMI",IF(INDEX(tCartera[PMI2028],MATCH("2699927",tCartera[CUI],0))="","No informado",INDEX(tCartera[PMI2028],MATCH("2699927",tCartera[CUI],0))))</f>
        <v>625659</v>
      </c>
      <c r="O212" s="231">
        <f>IF(COUNTIF(tCartera[CUI],"2699927")=0,"Sin PMI",IF(INDEX(tCartera[PMI2029],MATCH("2699927",tCartera[CUI],0))="","No informado",INDEX(tCartera[PMI2029],MATCH("2699927",tCartera[CUI],0))))</f>
        <v>0</v>
      </c>
    </row>
    <row r="213" spans="1:15" hidden="1" x14ac:dyDescent="0.2">
      <c r="A213" s="129"/>
      <c r="B213" s="132"/>
      <c r="C213" s="110" t="s">
        <v>713</v>
      </c>
      <c r="D213" s="112"/>
      <c r="E213" s="112"/>
      <c r="F213" s="112"/>
      <c r="G213" s="112"/>
      <c r="H213" s="112"/>
      <c r="I213" s="55"/>
      <c r="J213" s="222"/>
      <c r="K213" s="222"/>
      <c r="L213" s="231"/>
      <c r="M213" s="231"/>
      <c r="N213" s="231"/>
      <c r="O213" s="231"/>
    </row>
    <row r="214" spans="1:15" ht="51" hidden="1" x14ac:dyDescent="0.2">
      <c r="A214" s="127">
        <f>+SUBTOTAL(103,$B$10:B215)</f>
        <v>126</v>
      </c>
      <c r="B214" s="130">
        <v>523</v>
      </c>
      <c r="C214" s="110" t="s">
        <v>678</v>
      </c>
      <c r="D214" s="111"/>
      <c r="E214" s="111"/>
      <c r="F214" s="111"/>
      <c r="G214" s="111"/>
      <c r="H214" s="111"/>
      <c r="I214" s="55"/>
      <c r="J214" s="222"/>
      <c r="K214" s="222"/>
      <c r="L214" s="231"/>
      <c r="M214" s="231"/>
      <c r="N214" s="231"/>
      <c r="O214" s="231"/>
    </row>
    <row r="215" spans="1:15" hidden="1" x14ac:dyDescent="0.2">
      <c r="A215" s="129"/>
      <c r="B215" s="132"/>
      <c r="C215" s="110" t="s">
        <v>713</v>
      </c>
      <c r="D215" s="112"/>
      <c r="E215" s="112"/>
      <c r="F215" s="112"/>
      <c r="G215" s="112"/>
      <c r="H215" s="112"/>
      <c r="I215" s="55"/>
      <c r="J215" s="222"/>
      <c r="K215" s="222"/>
      <c r="L215" s="231"/>
      <c r="M215" s="231"/>
      <c r="N215" s="231"/>
      <c r="O215" s="231"/>
    </row>
    <row r="216" spans="1:15" ht="38.25" x14ac:dyDescent="0.2">
      <c r="A216" s="127">
        <f>+SUBTOTAL(103,$B$10:B217)</f>
        <v>127</v>
      </c>
      <c r="B216" s="130">
        <v>528</v>
      </c>
      <c r="C216" s="110" t="s">
        <v>712</v>
      </c>
      <c r="D216" s="111">
        <f>IF(COUNTIF(tSIAF[Clave],"2681074|528")=0,"",SUMIF(tSIAF[Clave],"2681074|528",tSIAF[PIM]))</f>
        <v>150000</v>
      </c>
      <c r="E216" s="111">
        <f>IF(COUNTIF(tSIAF[Clave],"2681074|528")=0,"",SUMIF(tSIAF[Clave],"2681074|528",tSIAF[Certificacion]))</f>
        <v>150000</v>
      </c>
      <c r="F216" s="111">
        <f>IF(D216="","",D216-E216)</f>
        <v>0</v>
      </c>
      <c r="G216" s="111">
        <f>IF(COUNTIF(tSIAF[Clave],"2681074|528")=0,"",SUMIF(tSIAF[Clave],"2681074|528",tSIAF[Devengado]))</f>
        <v>0</v>
      </c>
      <c r="H216" s="111">
        <f>IF(D216="","",D216-G216)</f>
        <v>150000</v>
      </c>
      <c r="I216" s="55">
        <f>IF(D216="","",IF(D216=0,0,G216/D216))</f>
        <v>0</v>
      </c>
      <c r="J216" s="222"/>
      <c r="K216" s="222" t="s">
        <v>2299</v>
      </c>
      <c r="L216" s="231">
        <f>IF(COUNTIF(tCartera[CUI],"2681074")=0,"Sin PMI",IF(INDEX(tCartera[PMI2026],MATCH("2681074",tCartera[CUI],0))="","No informado",INDEX(tCartera[PMI2026],MATCH("2681074",tCartera[CUI],0))))</f>
        <v>150000</v>
      </c>
      <c r="M216" s="231">
        <f>IF(COUNTIF(tCartera[CUI],"2681074")=0,"Sin PMI",IF(INDEX(tCartera[PMI2027],MATCH("2681074",tCartera[CUI],0))="","No informado",INDEX(tCartera[PMI2027],MATCH("2681074",tCartera[CUI],0))))</f>
        <v>0</v>
      </c>
      <c r="N216" s="231">
        <f>IF(COUNTIF(tCartera[CUI],"2681074")=0,"Sin PMI",IF(INDEX(tCartera[PMI2028],MATCH("2681074",tCartera[CUI],0))="","No informado",INDEX(tCartera[PMI2028],MATCH("2681074",tCartera[CUI],0))))</f>
        <v>0</v>
      </c>
      <c r="O216" s="231">
        <f>IF(COUNTIF(tCartera[CUI],"2681074")=0,"Sin PMI",IF(INDEX(tCartera[PMI2029],MATCH("2681074",tCartera[CUI],0))="","No informado",INDEX(tCartera[PMI2029],MATCH("2681074",tCartera[CUI],0))))</f>
        <v>1000000</v>
      </c>
    </row>
    <row r="217" spans="1:15" hidden="1" x14ac:dyDescent="0.2">
      <c r="A217" s="129"/>
      <c r="B217" s="132"/>
      <c r="C217" s="110" t="s">
        <v>713</v>
      </c>
      <c r="D217" s="112"/>
      <c r="E217" s="112"/>
      <c r="F217" s="112"/>
      <c r="G217" s="112"/>
      <c r="H217" s="112"/>
      <c r="I217" s="55"/>
      <c r="J217" s="222"/>
      <c r="K217" s="222"/>
      <c r="L217" s="231"/>
      <c r="M217" s="231"/>
      <c r="N217" s="231"/>
      <c r="O217" s="231"/>
    </row>
    <row r="218" spans="1:15" ht="16.5" x14ac:dyDescent="0.2">
      <c r="A218" s="126" t="s">
        <v>610</v>
      </c>
      <c r="B218" s="126"/>
      <c r="C218" s="126"/>
      <c r="D218" s="50">
        <f>D219+D222+D224+D227+D229+D231+D233+D235+D237+D241+D243+D245+D249+D251+D253+D255+D257+D259+D263+D265</f>
        <v>4799695</v>
      </c>
      <c r="E218" s="50">
        <f>E219+E222+E224+E227+E229+E231+E233+E235+E237+E241+E243+E245+E249+E251+E253+E255+E257+E259+E263+E265</f>
        <v>4121370.87</v>
      </c>
      <c r="F218" s="50">
        <f>D218-E218</f>
        <v>678324.12999999989</v>
      </c>
      <c r="G218" s="50">
        <f>G219+G222+G224+G227+G229+G231+G233+G235+G237+G241+G243+G245+G249+G251+G253+G255+G257+G259+G263+G265</f>
        <v>2783642.55</v>
      </c>
      <c r="H218" s="50">
        <f>D218-G218</f>
        <v>2016052.4500000002</v>
      </c>
      <c r="I218" s="51">
        <f>IF(D218=0,0,G218/D218)</f>
        <v>0.57996238302642145</v>
      </c>
      <c r="J218" s="221"/>
      <c r="K218" s="221"/>
      <c r="L218" s="230"/>
      <c r="M218" s="230"/>
      <c r="N218" s="230"/>
      <c r="O218" s="230"/>
    </row>
    <row r="219" spans="1:15" ht="51" x14ac:dyDescent="0.2">
      <c r="A219" s="127">
        <f>SUBTOTAL(103,$B$10:B221)</f>
        <v>128</v>
      </c>
      <c r="B219" s="130">
        <v>165</v>
      </c>
      <c r="C219" s="110" t="s">
        <v>373</v>
      </c>
      <c r="D219" s="111">
        <f>IF(COUNTIF(tSIAF[Clave],"2662467|165")=0,"",SUMIF(tSIAF[Clave],"2662467|165",tSIAF[PIM]))</f>
        <v>57442</v>
      </c>
      <c r="E219" s="111">
        <f>IF(COUNTIF(tSIAF[Clave],"2662467|165")=0,"",SUMIF(tSIAF[Clave],"2662467|165",tSIAF[Certificacion]))</f>
        <v>57136.9</v>
      </c>
      <c r="F219" s="111">
        <f>IF(D219="","",D219-E219)</f>
        <v>305.09999999999854</v>
      </c>
      <c r="G219" s="111">
        <f>IF(COUNTIF(tSIAF[Clave],"2662467|165")=0,"",SUMIF(tSIAF[Clave],"2662467|165",tSIAF[Devengado]))</f>
        <v>54415.03</v>
      </c>
      <c r="H219" s="111">
        <f>IF(D219="","",D219-G219)</f>
        <v>3026.9700000000012</v>
      </c>
      <c r="I219" s="55">
        <f>IF(D219="","",IF(D219=0,0,G219/D219))</f>
        <v>0.94730388914035024</v>
      </c>
      <c r="J219" s="222"/>
      <c r="K219" s="222" t="s">
        <v>2299</v>
      </c>
      <c r="L219" s="231">
        <f>IF(COUNTIF(tCartera[CUI],"2662467")=0,"Sin PMI",IF(INDEX(tCartera[PMI2026],MATCH("2662467",tCartera[CUI],0))="","No informado",INDEX(tCartera[PMI2026],MATCH("2662467",tCartera[CUI],0))))</f>
        <v>1500000</v>
      </c>
      <c r="M219" s="231">
        <f>IF(COUNTIF(tCartera[CUI],"2662467")=0,"Sin PMI",IF(INDEX(tCartera[PMI2027],MATCH("2662467",tCartera[CUI],0))="","No informado",INDEX(tCartera[PMI2027],MATCH("2662467",tCartera[CUI],0))))</f>
        <v>2568954</v>
      </c>
      <c r="N219" s="231">
        <f>IF(COUNTIF(tCartera[CUI],"2662467")=0,"Sin PMI",IF(INDEX(tCartera[PMI2028],MATCH("2662467",tCartera[CUI],0))="","No informado",INDEX(tCartera[PMI2028],MATCH("2662467",tCartera[CUI],0))))</f>
        <v>0</v>
      </c>
      <c r="O219" s="231">
        <f>IF(COUNTIF(tCartera[CUI],"2662467")=0,"Sin PMI",IF(INDEX(tCartera[PMI2029],MATCH("2662467",tCartera[CUI],0))="","No informado",INDEX(tCartera[PMI2029],MATCH("2662467",tCartera[CUI],0))))</f>
        <v>500000</v>
      </c>
    </row>
    <row r="220" spans="1:15" hidden="1" x14ac:dyDescent="0.2">
      <c r="A220" s="128"/>
      <c r="B220" s="131"/>
      <c r="C220" s="110" t="s">
        <v>714</v>
      </c>
      <c r="D220" s="112"/>
      <c r="E220" s="112"/>
      <c r="F220" s="112"/>
      <c r="G220" s="112"/>
      <c r="H220" s="112"/>
      <c r="I220" s="55"/>
      <c r="J220" s="222"/>
      <c r="K220" s="222"/>
      <c r="L220" s="231"/>
      <c r="M220" s="231"/>
      <c r="N220" s="231"/>
      <c r="O220" s="231"/>
    </row>
    <row r="221" spans="1:15" hidden="1" x14ac:dyDescent="0.2">
      <c r="A221" s="129"/>
      <c r="B221" s="132"/>
      <c r="C221" s="110" t="s">
        <v>713</v>
      </c>
      <c r="D221" s="112"/>
      <c r="E221" s="112"/>
      <c r="F221" s="112"/>
      <c r="G221" s="112"/>
      <c r="H221" s="112"/>
      <c r="I221" s="55"/>
      <c r="J221" s="222"/>
      <c r="K221" s="222"/>
      <c r="L221" s="231"/>
      <c r="M221" s="231"/>
      <c r="N221" s="231"/>
      <c r="O221" s="231"/>
    </row>
    <row r="222" spans="1:15" ht="38.25" x14ac:dyDescent="0.2">
      <c r="A222" s="127">
        <f>SUBTOTAL(103,$B$10:B223)</f>
        <v>129</v>
      </c>
      <c r="B222" s="130">
        <v>188</v>
      </c>
      <c r="C222" s="110" t="s">
        <v>415</v>
      </c>
      <c r="D222" s="111">
        <f>IF(COUNTIF(tSIAF[Clave],"2650268|188")=0,"",SUMIF(tSIAF[Clave],"2650268|188",tSIAF[PIM]))</f>
        <v>53010</v>
      </c>
      <c r="E222" s="111">
        <f>IF(COUNTIF(tSIAF[Clave],"2650268|188")=0,"",SUMIF(tSIAF[Clave],"2650268|188",tSIAF[Certificacion]))</f>
        <v>24506.97</v>
      </c>
      <c r="F222" s="111">
        <f>IF(D222="","",D222-E222)</f>
        <v>28503.03</v>
      </c>
      <c r="G222" s="111">
        <f>IF(COUNTIF(tSIAF[Clave],"2650268|188")=0,"",SUMIF(tSIAF[Clave],"2650268|188",tSIAF[Devengado]))</f>
        <v>24506.97</v>
      </c>
      <c r="H222" s="111">
        <f>IF(D222="","",D222-G222)</f>
        <v>28503.03</v>
      </c>
      <c r="I222" s="55">
        <f>IF(D222="","",IF(D222=0,0,G222/D222))</f>
        <v>0.46230843237125074</v>
      </c>
      <c r="J222" s="222"/>
      <c r="K222" s="222" t="s">
        <v>2299</v>
      </c>
      <c r="L222" s="231">
        <f>IF(COUNTIF(tCartera[CUI],"2650268")=0,"Sin PMI",IF(INDEX(tCartera[PMI2026],MATCH("2650268",tCartera[CUI],0))="","No informado",INDEX(tCartera[PMI2026],MATCH("2650268",tCartera[CUI],0))))</f>
        <v>100000</v>
      </c>
      <c r="M222" s="231">
        <f>IF(COUNTIF(tCartera[CUI],"2650268")=0,"Sin PMI",IF(INDEX(tCartera[PMI2027],MATCH("2650268",tCartera[CUI],0))="","No informado",INDEX(tCartera[PMI2027],MATCH("2650268",tCartera[CUI],0))))</f>
        <v>1254675</v>
      </c>
      <c r="N222" s="231">
        <f>IF(COUNTIF(tCartera[CUI],"2650268")=0,"Sin PMI",IF(INDEX(tCartera[PMI2028],MATCH("2650268",tCartera[CUI],0))="","No informado",INDEX(tCartera[PMI2028],MATCH("2650268",tCartera[CUI],0))))</f>
        <v>0</v>
      </c>
      <c r="O222" s="231">
        <f>IF(COUNTIF(tCartera[CUI],"2650268")=0,"Sin PMI",IF(INDEX(tCartera[PMI2029],MATCH("2650268",tCartera[CUI],0))="","No informado",INDEX(tCartera[PMI2029],MATCH("2650268",tCartera[CUI],0))))</f>
        <v>747276</v>
      </c>
    </row>
    <row r="223" spans="1:15" hidden="1" x14ac:dyDescent="0.2">
      <c r="A223" s="129"/>
      <c r="B223" s="132"/>
      <c r="C223" s="110" t="s">
        <v>713</v>
      </c>
      <c r="D223" s="112"/>
      <c r="E223" s="112"/>
      <c r="F223" s="112"/>
      <c r="G223" s="112"/>
      <c r="H223" s="112"/>
      <c r="I223" s="55"/>
      <c r="J223" s="222"/>
      <c r="K223" s="222"/>
      <c r="L223" s="231"/>
      <c r="M223" s="231"/>
      <c r="N223" s="231"/>
      <c r="O223" s="231"/>
    </row>
    <row r="224" spans="1:15" ht="38.25" x14ac:dyDescent="0.2">
      <c r="A224" s="127">
        <f>SUBTOTAL(103,$B$10:B226)</f>
        <v>130</v>
      </c>
      <c r="B224" s="130">
        <v>191</v>
      </c>
      <c r="C224" s="110" t="s">
        <v>374</v>
      </c>
      <c r="D224" s="111">
        <f>IF(COUNTIF(tSIAF[Clave],"2652473|191")=0,"",SUMIF(tSIAF[Clave],"2652473|191",tSIAF[PIM]))</f>
        <v>40486</v>
      </c>
      <c r="E224" s="111">
        <f>IF(COUNTIF(tSIAF[Clave],"2652473|191")=0,"",SUMIF(tSIAF[Clave],"2652473|191",tSIAF[Certificacion]))</f>
        <v>40486</v>
      </c>
      <c r="F224" s="111">
        <f>IF(D224="","",D224-E224)</f>
        <v>0</v>
      </c>
      <c r="G224" s="111">
        <f>IF(COUNTIF(tSIAF[Clave],"2652473|191")=0,"",SUMIF(tSIAF[Clave],"2652473|191",tSIAF[Devengado]))</f>
        <v>25380.63</v>
      </c>
      <c r="H224" s="111">
        <f>IF(D224="","",D224-G224)</f>
        <v>15105.369999999999</v>
      </c>
      <c r="I224" s="55">
        <f>IF(D224="","",IF(D224=0,0,G224/D224))</f>
        <v>0.62689892802450231</v>
      </c>
      <c r="J224" s="222"/>
      <c r="K224" s="222" t="s">
        <v>2299</v>
      </c>
      <c r="L224" s="231">
        <f>IF(COUNTIF(tCartera[CUI],"2652473")=0,"Sin PMI",IF(INDEX(tCartera[PMI2026],MATCH("2652473",tCartera[CUI],0))="","No informado",INDEX(tCartera[PMI2026],MATCH("2652473",tCartera[CUI],0))))</f>
        <v>100000</v>
      </c>
      <c r="M224" s="231">
        <f>IF(COUNTIF(tCartera[CUI],"2652473")=0,"Sin PMI",IF(INDEX(tCartera[PMI2027],MATCH("2652473",tCartera[CUI],0))="","No informado",INDEX(tCartera[PMI2027],MATCH("2652473",tCartera[CUI],0))))</f>
        <v>0</v>
      </c>
      <c r="N224" s="231">
        <f>IF(COUNTIF(tCartera[CUI],"2652473")=0,"Sin PMI",IF(INDEX(tCartera[PMI2028],MATCH("2652473",tCartera[CUI],0))="","No informado",INDEX(tCartera[PMI2028],MATCH("2652473",tCartera[CUI],0))))</f>
        <v>0</v>
      </c>
      <c r="O224" s="231">
        <f>IF(COUNTIF(tCartera[CUI],"2652473")=0,"Sin PMI",IF(INDEX(tCartera[PMI2029],MATCH("2652473",tCartera[CUI],0))="","No informado",INDEX(tCartera[PMI2029],MATCH("2652473",tCartera[CUI],0))))</f>
        <v>1247609</v>
      </c>
    </row>
    <row r="225" spans="1:15" hidden="1" x14ac:dyDescent="0.2">
      <c r="A225" s="128"/>
      <c r="B225" s="131"/>
      <c r="C225" s="110" t="s">
        <v>714</v>
      </c>
      <c r="D225" s="112"/>
      <c r="E225" s="112"/>
      <c r="F225" s="112"/>
      <c r="G225" s="112"/>
      <c r="H225" s="112"/>
      <c r="I225" s="55"/>
      <c r="J225" s="222"/>
      <c r="K225" s="222"/>
      <c r="L225" s="231"/>
      <c r="M225" s="231"/>
      <c r="N225" s="231"/>
      <c r="O225" s="231"/>
    </row>
    <row r="226" spans="1:15" hidden="1" x14ac:dyDescent="0.2">
      <c r="A226" s="129"/>
      <c r="B226" s="132"/>
      <c r="C226" s="110" t="s">
        <v>713</v>
      </c>
      <c r="D226" s="112"/>
      <c r="E226" s="112"/>
      <c r="F226" s="112"/>
      <c r="G226" s="112"/>
      <c r="H226" s="112"/>
      <c r="I226" s="55"/>
      <c r="J226" s="222"/>
      <c r="K226" s="222"/>
      <c r="L226" s="231"/>
      <c r="M226" s="231"/>
      <c r="N226" s="231"/>
      <c r="O226" s="231"/>
    </row>
    <row r="227" spans="1:15" ht="51" x14ac:dyDescent="0.2">
      <c r="A227" s="127">
        <f>SUBTOTAL(103,$B$10:B228)</f>
        <v>131</v>
      </c>
      <c r="B227" s="130">
        <v>316</v>
      </c>
      <c r="C227" s="110" t="s">
        <v>590</v>
      </c>
      <c r="D227" s="111">
        <f>IF(COUNTIF(tSIAF[Clave],"2681042|316")=0,"",SUMIF(tSIAF[Clave],"2681042|316",tSIAF[PIM]))</f>
        <v>350000</v>
      </c>
      <c r="E227" s="111">
        <f>IF(COUNTIF(tSIAF[Clave],"2681042|316")=0,"",SUMIF(tSIAF[Clave],"2681042|316",tSIAF[Certificacion]))</f>
        <v>350000</v>
      </c>
      <c r="F227" s="111">
        <f>IF(D227="","",D227-E227)</f>
        <v>0</v>
      </c>
      <c r="G227" s="111">
        <f>IF(COUNTIF(tSIAF[Clave],"2681042|316")=0,"",SUMIF(tSIAF[Clave],"2681042|316",tSIAF[Devengado]))</f>
        <v>163264.48000000001</v>
      </c>
      <c r="H227" s="111">
        <f>IF(D227="","",D227-G227)</f>
        <v>186735.52</v>
      </c>
      <c r="I227" s="55">
        <f>IF(D227="","",IF(D227=0,0,G227/D227))</f>
        <v>0.46646994285714288</v>
      </c>
      <c r="J227" s="222"/>
      <c r="K227" s="222" t="s">
        <v>2299</v>
      </c>
      <c r="L227" s="231">
        <f>IF(COUNTIF(tCartera[CUI],"2681042")=0,"Sin PMI",IF(INDEX(tCartera[PMI2026],MATCH("2681042",tCartera[CUI],0))="","No informado",INDEX(tCartera[PMI2026],MATCH("2681042",tCartera[CUI],0))))</f>
        <v>350000</v>
      </c>
      <c r="M227" s="231">
        <f>IF(COUNTIF(tCartera[CUI],"2681042")=0,"Sin PMI",IF(INDEX(tCartera[PMI2027],MATCH("2681042",tCartera[CUI],0))="","No informado",INDEX(tCartera[PMI2027],MATCH("2681042",tCartera[CUI],0))))</f>
        <v>575452</v>
      </c>
      <c r="N227" s="231">
        <f>IF(COUNTIF(tCartera[CUI],"2681042")=0,"Sin PMI",IF(INDEX(tCartera[PMI2028],MATCH("2681042",tCartera[CUI],0))="","No informado",INDEX(tCartera[PMI2028],MATCH("2681042",tCartera[CUI],0))))</f>
        <v>0</v>
      </c>
      <c r="O227" s="231">
        <f>IF(COUNTIF(tCartera[CUI],"2681042")=0,"Sin PMI",IF(INDEX(tCartera[PMI2029],MATCH("2681042",tCartera[CUI],0))="","No informado",INDEX(tCartera[PMI2029],MATCH("2681042",tCartera[CUI],0))))</f>
        <v>1000000</v>
      </c>
    </row>
    <row r="228" spans="1:15" hidden="1" x14ac:dyDescent="0.2">
      <c r="A228" s="129"/>
      <c r="B228" s="132"/>
      <c r="C228" s="110" t="s">
        <v>713</v>
      </c>
      <c r="D228" s="112"/>
      <c r="E228" s="112"/>
      <c r="F228" s="112"/>
      <c r="G228" s="112"/>
      <c r="H228" s="112"/>
      <c r="I228" s="55"/>
      <c r="J228" s="222"/>
      <c r="K228" s="222"/>
      <c r="L228" s="231"/>
      <c r="M228" s="231"/>
      <c r="N228" s="231"/>
      <c r="O228" s="231"/>
    </row>
    <row r="229" spans="1:15" ht="38.25" x14ac:dyDescent="0.2">
      <c r="A229" s="127">
        <f>SUBTOTAL(103,$B$10:B230)</f>
        <v>132</v>
      </c>
      <c r="B229" s="130">
        <v>317</v>
      </c>
      <c r="C229" s="110" t="s">
        <v>589</v>
      </c>
      <c r="D229" s="111">
        <f>IF(COUNTIF(tSIAF[Clave],"2659573|317")=0,"",SUMIF(tSIAF[Clave],"2659573|317",tSIAF[PIM]))</f>
        <v>81646</v>
      </c>
      <c r="E229" s="111">
        <f>IF(COUNTIF(tSIAF[Clave],"2659573|317")=0,"",SUMIF(tSIAF[Clave],"2659573|317",tSIAF[Certificacion]))</f>
        <v>0</v>
      </c>
      <c r="F229" s="111">
        <f>IF(D229="","",D229-E229)</f>
        <v>81646</v>
      </c>
      <c r="G229" s="111">
        <f>IF(COUNTIF(tSIAF[Clave],"2659573|317")=0,"",SUMIF(tSIAF[Clave],"2659573|317",tSIAF[Devengado]))</f>
        <v>0</v>
      </c>
      <c r="H229" s="111">
        <f>IF(D229="","",D229-G229)</f>
        <v>81646</v>
      </c>
      <c r="I229" s="55">
        <f>IF(D229="","",IF(D229=0,0,G229/D229))</f>
        <v>0</v>
      </c>
      <c r="J229" s="222"/>
      <c r="K229" s="222" t="s">
        <v>2299</v>
      </c>
      <c r="L229" s="231" t="str">
        <f>IF(COUNTIF(tCartera[CUI],"2659573")=0,"Sin PMI",IF(INDEX(tCartera[PMI2026],MATCH("2659573",tCartera[CUI],0))="","No informado",INDEX(tCartera[PMI2026],MATCH("2659573",tCartera[CUI],0))))</f>
        <v>Sin PMI</v>
      </c>
      <c r="M229" s="231" t="str">
        <f>IF(COUNTIF(tCartera[CUI],"2659573")=0,"Sin PMI",IF(INDEX(tCartera[PMI2027],MATCH("2659573",tCartera[CUI],0))="","No informado",INDEX(tCartera[PMI2027],MATCH("2659573",tCartera[CUI],0))))</f>
        <v>Sin PMI</v>
      </c>
      <c r="N229" s="231" t="str">
        <f>IF(COUNTIF(tCartera[CUI],"2659573")=0,"Sin PMI",IF(INDEX(tCartera[PMI2028],MATCH("2659573",tCartera[CUI],0))="","No informado",INDEX(tCartera[PMI2028],MATCH("2659573",tCartera[CUI],0))))</f>
        <v>Sin PMI</v>
      </c>
      <c r="O229" s="231" t="str">
        <f>IF(COUNTIF(tCartera[CUI],"2659573")=0,"Sin PMI",IF(INDEX(tCartera[PMI2029],MATCH("2659573",tCartera[CUI],0))="","No informado",INDEX(tCartera[PMI2029],MATCH("2659573",tCartera[CUI],0))))</f>
        <v>Sin PMI</v>
      </c>
    </row>
    <row r="230" spans="1:15" hidden="1" x14ac:dyDescent="0.2">
      <c r="A230" s="129"/>
      <c r="B230" s="132"/>
      <c r="C230" s="110" t="s">
        <v>713</v>
      </c>
      <c r="D230" s="112"/>
      <c r="E230" s="112"/>
      <c r="F230" s="112"/>
      <c r="G230" s="112"/>
      <c r="H230" s="112"/>
      <c r="I230" s="55"/>
      <c r="J230" s="222"/>
      <c r="K230" s="222"/>
      <c r="L230" s="231"/>
      <c r="M230" s="231"/>
      <c r="N230" s="231"/>
      <c r="O230" s="231"/>
    </row>
    <row r="231" spans="1:15" ht="51" x14ac:dyDescent="0.2">
      <c r="A231" s="127">
        <f>SUBTOTAL(103,$B$10:B232)</f>
        <v>133</v>
      </c>
      <c r="B231" s="130">
        <v>318</v>
      </c>
      <c r="C231" s="110" t="s">
        <v>588</v>
      </c>
      <c r="D231" s="111">
        <f>IF(COUNTIF(tSIAF[Clave],"2663002|318")=0,"",SUMIF(tSIAF[Clave],"2663002|318",tSIAF[PIM]))</f>
        <v>292573</v>
      </c>
      <c r="E231" s="111">
        <f>IF(COUNTIF(tSIAF[Clave],"2663002|318")=0,"",SUMIF(tSIAF[Clave],"2663002|318",tSIAF[Certificacion]))</f>
        <v>0</v>
      </c>
      <c r="F231" s="111">
        <f>IF(D231="","",D231-E231)</f>
        <v>292573</v>
      </c>
      <c r="G231" s="111">
        <f>IF(COUNTIF(tSIAF[Clave],"2663002|318")=0,"",SUMIF(tSIAF[Clave],"2663002|318",tSIAF[Devengado]))</f>
        <v>0</v>
      </c>
      <c r="H231" s="111">
        <f>IF(D231="","",D231-G231)</f>
        <v>292573</v>
      </c>
      <c r="I231" s="55">
        <f>IF(D231="","",IF(D231=0,0,G231/D231))</f>
        <v>0</v>
      </c>
      <c r="J231" s="222"/>
      <c r="K231" s="222" t="s">
        <v>2299</v>
      </c>
      <c r="L231" s="231" t="str">
        <f>IF(COUNTIF(tCartera[CUI],"2663002")=0,"Sin PMI",IF(INDEX(tCartera[PMI2026],MATCH("2663002",tCartera[CUI],0))="","No informado",INDEX(tCartera[PMI2026],MATCH("2663002",tCartera[CUI],0))))</f>
        <v>Sin PMI</v>
      </c>
      <c r="M231" s="231" t="str">
        <f>IF(COUNTIF(tCartera[CUI],"2663002")=0,"Sin PMI",IF(INDEX(tCartera[PMI2027],MATCH("2663002",tCartera[CUI],0))="","No informado",INDEX(tCartera[PMI2027],MATCH("2663002",tCartera[CUI],0))))</f>
        <v>Sin PMI</v>
      </c>
      <c r="N231" s="231" t="str">
        <f>IF(COUNTIF(tCartera[CUI],"2663002")=0,"Sin PMI",IF(INDEX(tCartera[PMI2028],MATCH("2663002",tCartera[CUI],0))="","No informado",INDEX(tCartera[PMI2028],MATCH("2663002",tCartera[CUI],0))))</f>
        <v>Sin PMI</v>
      </c>
      <c r="O231" s="231" t="str">
        <f>IF(COUNTIF(tCartera[CUI],"2663002")=0,"Sin PMI",IF(INDEX(tCartera[PMI2029],MATCH("2663002",tCartera[CUI],0))="","No informado",INDEX(tCartera[PMI2029],MATCH("2663002",tCartera[CUI],0))))</f>
        <v>Sin PMI</v>
      </c>
    </row>
    <row r="232" spans="1:15" hidden="1" x14ac:dyDescent="0.2">
      <c r="A232" s="129"/>
      <c r="B232" s="132"/>
      <c r="C232" s="110" t="s">
        <v>713</v>
      </c>
      <c r="D232" s="112"/>
      <c r="E232" s="112"/>
      <c r="F232" s="112"/>
      <c r="G232" s="112"/>
      <c r="H232" s="112"/>
      <c r="I232" s="55"/>
      <c r="J232" s="222"/>
      <c r="K232" s="222"/>
      <c r="L232" s="231"/>
      <c r="M232" s="231"/>
      <c r="N232" s="231"/>
      <c r="O232" s="231"/>
    </row>
    <row r="233" spans="1:15" ht="38.25" x14ac:dyDescent="0.2">
      <c r="A233" s="127">
        <f>SUBTOTAL(103,$B$10:B234)</f>
        <v>134</v>
      </c>
      <c r="B233" s="130">
        <v>319</v>
      </c>
      <c r="C233" s="110" t="s">
        <v>532</v>
      </c>
      <c r="D233" s="111">
        <f>IF(COUNTIF(tSIAF[Clave],"2681028|319")=0,"",SUMIF(tSIAF[Clave],"2681028|319",tSIAF[PIM]))</f>
        <v>645412</v>
      </c>
      <c r="E233" s="111">
        <f>IF(COUNTIF(tSIAF[Clave],"2681028|319")=0,"",SUMIF(tSIAF[Clave],"2681028|319",tSIAF[Certificacion]))</f>
        <v>615249.5</v>
      </c>
      <c r="F233" s="111">
        <f>IF(D233="","",D233-E233)</f>
        <v>30162.5</v>
      </c>
      <c r="G233" s="111">
        <f>IF(COUNTIF(tSIAF[Clave],"2681028|319")=0,"",SUMIF(tSIAF[Clave],"2681028|319",tSIAF[Devengado]))</f>
        <v>558544.31000000006</v>
      </c>
      <c r="H233" s="111">
        <f>IF(D233="","",D233-G233)</f>
        <v>86867.689999999944</v>
      </c>
      <c r="I233" s="55">
        <f>IF(D233="","",IF(D233=0,0,G233/D233))</f>
        <v>0.86540738319089205</v>
      </c>
      <c r="J233" s="222"/>
      <c r="K233" s="222" t="s">
        <v>2299</v>
      </c>
      <c r="L233" s="231">
        <f>IF(COUNTIF(tCartera[CUI],"2681028")=0,"Sin PMI",IF(INDEX(tCartera[PMI2026],MATCH("2681028",tCartera[CUI],0))="","No informado",INDEX(tCartera[PMI2026],MATCH("2681028",tCartera[CUI],0))))</f>
        <v>300000</v>
      </c>
      <c r="M233" s="231">
        <f>IF(COUNTIF(tCartera[CUI],"2681028")=0,"Sin PMI",IF(INDEX(tCartera[PMI2027],MATCH("2681028",tCartera[CUI],0))="","No informado",INDEX(tCartera[PMI2027],MATCH("2681028",tCartera[CUI],0))))</f>
        <v>6325512</v>
      </c>
      <c r="N233" s="231">
        <f>IF(COUNTIF(tCartera[CUI],"2681028")=0,"Sin PMI",IF(INDEX(tCartera[PMI2028],MATCH("2681028",tCartera[CUI],0))="","No informado",INDEX(tCartera[PMI2028],MATCH("2681028",tCartera[CUI],0))))</f>
        <v>500000</v>
      </c>
      <c r="O233" s="231">
        <f>IF(COUNTIF(tCartera[CUI],"2681028")=0,"Sin PMI",IF(INDEX(tCartera[PMI2029],MATCH("2681028",tCartera[CUI],0))="","No informado",INDEX(tCartera[PMI2029],MATCH("2681028",tCartera[CUI],0))))</f>
        <v>3000000</v>
      </c>
    </row>
    <row r="234" spans="1:15" hidden="1" x14ac:dyDescent="0.2">
      <c r="A234" s="129"/>
      <c r="B234" s="132"/>
      <c r="C234" s="110" t="s">
        <v>713</v>
      </c>
      <c r="D234" s="112"/>
      <c r="E234" s="112"/>
      <c r="F234" s="112"/>
      <c r="G234" s="112"/>
      <c r="H234" s="112"/>
      <c r="I234" s="55"/>
      <c r="J234" s="222"/>
      <c r="K234" s="222"/>
      <c r="L234" s="231"/>
      <c r="M234" s="231"/>
      <c r="N234" s="231"/>
      <c r="O234" s="231"/>
    </row>
    <row r="235" spans="1:15" ht="63.75" x14ac:dyDescent="0.2">
      <c r="A235" s="127">
        <f>SUBTOTAL(103,$B$10:B236)</f>
        <v>135</v>
      </c>
      <c r="B235" s="130">
        <v>320</v>
      </c>
      <c r="C235" s="110" t="s">
        <v>587</v>
      </c>
      <c r="D235" s="111">
        <f>IF(COUNTIF(tSIAF[Clave],"2690009|320")=0,"",SUMIF(tSIAF[Clave],"2690009|320",tSIAF[PIM]))</f>
        <v>45161</v>
      </c>
      <c r="E235" s="111">
        <f>IF(COUNTIF(tSIAF[Clave],"2690009|320")=0,"",SUMIF(tSIAF[Clave],"2690009|320",tSIAF[Certificacion]))</f>
        <v>45161</v>
      </c>
      <c r="F235" s="111">
        <f>IF(D235="","",D235-E235)</f>
        <v>0</v>
      </c>
      <c r="G235" s="111">
        <f>IF(COUNTIF(tSIAF[Clave],"2690009|320")=0,"",SUMIF(tSIAF[Clave],"2690009|320",tSIAF[Devengado]))</f>
        <v>30772.66</v>
      </c>
      <c r="H235" s="111">
        <f>IF(D235="","",D235-G235)</f>
        <v>14388.34</v>
      </c>
      <c r="I235" s="55">
        <f>IF(D235="","",IF(D235=0,0,G235/D235))</f>
        <v>0.68139899470782317</v>
      </c>
      <c r="J235" s="222"/>
      <c r="K235" s="222" t="s">
        <v>2299</v>
      </c>
      <c r="L235" s="231">
        <f>IF(COUNTIF(tCartera[CUI],"2690009")=0,"Sin PMI",IF(INDEX(tCartera[PMI2026],MATCH("2690009",tCartera[CUI],0))="","No informado",INDEX(tCartera[PMI2026],MATCH("2690009",tCartera[CUI],0))))</f>
        <v>45161</v>
      </c>
      <c r="M235" s="231">
        <f>IF(COUNTIF(tCartera[CUI],"2690009")=0,"Sin PMI",IF(INDEX(tCartera[PMI2027],MATCH("2690009",tCartera[CUI],0))="","No informado",INDEX(tCartera[PMI2027],MATCH("2690009",tCartera[CUI],0))))</f>
        <v>254874</v>
      </c>
      <c r="N235" s="231">
        <f>IF(COUNTIF(tCartera[CUI],"2690009")=0,"Sin PMI",IF(INDEX(tCartera[PMI2028],MATCH("2690009",tCartera[CUI],0))="","No informado",INDEX(tCartera[PMI2028],MATCH("2690009",tCartera[CUI],0))))</f>
        <v>133958</v>
      </c>
      <c r="O235" s="231">
        <f>IF(COUNTIF(tCartera[CUI],"2690009")=0,"Sin PMI",IF(INDEX(tCartera[PMI2029],MATCH("2690009",tCartera[CUI],0))="","No informado",INDEX(tCartera[PMI2029],MATCH("2690009",tCartera[CUI],0))))</f>
        <v>133958</v>
      </c>
    </row>
    <row r="236" spans="1:15" hidden="1" x14ac:dyDescent="0.2">
      <c r="A236" s="129"/>
      <c r="B236" s="132"/>
      <c r="C236" s="110" t="s">
        <v>713</v>
      </c>
      <c r="D236" s="112"/>
      <c r="E236" s="112"/>
      <c r="F236" s="112"/>
      <c r="G236" s="112"/>
      <c r="H236" s="112"/>
      <c r="I236" s="55"/>
      <c r="J236" s="222"/>
      <c r="K236" s="222"/>
      <c r="L236" s="231"/>
      <c r="M236" s="231"/>
      <c r="N236" s="231"/>
      <c r="O236" s="231"/>
    </row>
    <row r="237" spans="1:15" ht="51" x14ac:dyDescent="0.2">
      <c r="A237" s="127">
        <f>SUBTOTAL(103,$B$10:B238)</f>
        <v>136</v>
      </c>
      <c r="B237" s="130">
        <v>323</v>
      </c>
      <c r="C237" s="110" t="s">
        <v>586</v>
      </c>
      <c r="D237" s="111">
        <f>IF(COUNTIF(tSIAF[Clave],"2624292|323")=0,"",SUMIF(tSIAF[Clave],"2624292|323",tSIAF[PIM]))</f>
        <v>58627</v>
      </c>
      <c r="E237" s="111">
        <f>IF(COUNTIF(tSIAF[Clave],"2624292|323")=0,"",SUMIF(tSIAF[Clave],"2624292|323",tSIAF[Certificacion]))</f>
        <v>0</v>
      </c>
      <c r="F237" s="111">
        <f>IF(D237="","",D237-E237)</f>
        <v>58627</v>
      </c>
      <c r="G237" s="111">
        <f>IF(COUNTIF(tSIAF[Clave],"2624292|323")=0,"",SUMIF(tSIAF[Clave],"2624292|323",tSIAF[Devengado]))</f>
        <v>0</v>
      </c>
      <c r="H237" s="111">
        <f>IF(D237="","",D237-G237)</f>
        <v>58627</v>
      </c>
      <c r="I237" s="55">
        <f>IF(D237="","",IF(D237=0,0,G237/D237))</f>
        <v>0</v>
      </c>
      <c r="J237" s="222"/>
      <c r="K237" s="222" t="s">
        <v>2299</v>
      </c>
      <c r="L237" s="231" t="str">
        <f>IF(COUNTIF(tCartera[CUI],"2624292")=0,"Sin PMI",IF(INDEX(tCartera[PMI2026],MATCH("2624292",tCartera[CUI],0))="","No informado",INDEX(tCartera[PMI2026],MATCH("2624292",tCartera[CUI],0))))</f>
        <v>Sin PMI</v>
      </c>
      <c r="M237" s="231" t="str">
        <f>IF(COUNTIF(tCartera[CUI],"2624292")=0,"Sin PMI",IF(INDEX(tCartera[PMI2027],MATCH("2624292",tCartera[CUI],0))="","No informado",INDEX(tCartera[PMI2027],MATCH("2624292",tCartera[CUI],0))))</f>
        <v>Sin PMI</v>
      </c>
      <c r="N237" s="231" t="str">
        <f>IF(COUNTIF(tCartera[CUI],"2624292")=0,"Sin PMI",IF(INDEX(tCartera[PMI2028],MATCH("2624292",tCartera[CUI],0))="","No informado",INDEX(tCartera[PMI2028],MATCH("2624292",tCartera[CUI],0))))</f>
        <v>Sin PMI</v>
      </c>
      <c r="O237" s="231" t="str">
        <f>IF(COUNTIF(tCartera[CUI],"2624292")=0,"Sin PMI",IF(INDEX(tCartera[PMI2029],MATCH("2624292",tCartera[CUI],0))="","No informado",INDEX(tCartera[PMI2029],MATCH("2624292",tCartera[CUI],0))))</f>
        <v>Sin PMI</v>
      </c>
    </row>
    <row r="238" spans="1:15" hidden="1" x14ac:dyDescent="0.2">
      <c r="A238" s="129"/>
      <c r="B238" s="132"/>
      <c r="C238" s="110" t="s">
        <v>713</v>
      </c>
      <c r="D238" s="112"/>
      <c r="E238" s="112"/>
      <c r="F238" s="112"/>
      <c r="G238" s="112"/>
      <c r="H238" s="112"/>
      <c r="I238" s="55"/>
      <c r="J238" s="222"/>
      <c r="K238" s="222"/>
      <c r="L238" s="231"/>
      <c r="M238" s="231"/>
      <c r="N238" s="231"/>
      <c r="O238" s="231"/>
    </row>
    <row r="239" spans="1:15" ht="38.25" hidden="1" x14ac:dyDescent="0.2">
      <c r="A239" s="127">
        <f>SUBTOTAL(103,$B$10:B240)</f>
        <v>136</v>
      </c>
      <c r="B239" s="130">
        <v>330</v>
      </c>
      <c r="C239" s="110" t="s">
        <v>100</v>
      </c>
      <c r="D239" s="111"/>
      <c r="E239" s="111"/>
      <c r="F239" s="111"/>
      <c r="G239" s="111"/>
      <c r="H239" s="111"/>
      <c r="I239" s="55"/>
      <c r="J239" s="222"/>
      <c r="K239" s="222"/>
      <c r="L239" s="231"/>
      <c r="M239" s="231"/>
      <c r="N239" s="231"/>
      <c r="O239" s="231"/>
    </row>
    <row r="240" spans="1:15" hidden="1" x14ac:dyDescent="0.2">
      <c r="A240" s="129"/>
      <c r="B240" s="132"/>
      <c r="C240" s="110" t="s">
        <v>713</v>
      </c>
      <c r="D240" s="112"/>
      <c r="E240" s="112"/>
      <c r="F240" s="112"/>
      <c r="G240" s="112"/>
      <c r="H240" s="112"/>
      <c r="I240" s="55"/>
      <c r="J240" s="222"/>
      <c r="K240" s="222"/>
      <c r="L240" s="231"/>
      <c r="M240" s="231"/>
      <c r="N240" s="231"/>
      <c r="O240" s="231"/>
    </row>
    <row r="241" spans="1:15" ht="51" x14ac:dyDescent="0.2">
      <c r="A241" s="127">
        <f>SUBTOTAL(103,$B$10:B242)</f>
        <v>137</v>
      </c>
      <c r="B241" s="130">
        <v>331</v>
      </c>
      <c r="C241" s="110" t="s">
        <v>596</v>
      </c>
      <c r="D241" s="111">
        <f>IF(COUNTIF(tSIAF[Clave],"2492963|331")=0,"",SUMIF(tSIAF[Clave],"2492963|331",tSIAF[PIM]))</f>
        <v>220496</v>
      </c>
      <c r="E241" s="111">
        <f>IF(COUNTIF(tSIAF[Clave],"2492963|331")=0,"",SUMIF(tSIAF[Clave],"2492963|331",tSIAF[Certificacion]))</f>
        <v>220392</v>
      </c>
      <c r="F241" s="111">
        <f>IF(D241="","",D241-E241)</f>
        <v>104</v>
      </c>
      <c r="G241" s="111">
        <f>IF(COUNTIF(tSIAF[Clave],"2492963|331")=0,"",SUMIF(tSIAF[Clave],"2492963|331",tSIAF[Devengado]))</f>
        <v>174510.41</v>
      </c>
      <c r="H241" s="111">
        <f>IF(D241="","",D241-G241)</f>
        <v>45985.59</v>
      </c>
      <c r="I241" s="55">
        <f>IF(D241="","",IF(D241=0,0,G241/D241))</f>
        <v>0.79144478811407015</v>
      </c>
      <c r="J241" s="222"/>
      <c r="K241" s="222" t="s">
        <v>2299</v>
      </c>
      <c r="L241" s="231" t="str">
        <f>IF(COUNTIF(tCartera[CUI],"2492963")=0,"Sin PMI",IF(INDEX(tCartera[PMI2026],MATCH("2492963",tCartera[CUI],0))="","No informado",INDEX(tCartera[PMI2026],MATCH("2492963",tCartera[CUI],0))))</f>
        <v>Sin PMI</v>
      </c>
      <c r="M241" s="231" t="str">
        <f>IF(COUNTIF(tCartera[CUI],"2492963")=0,"Sin PMI",IF(INDEX(tCartera[PMI2027],MATCH("2492963",tCartera[CUI],0))="","No informado",INDEX(tCartera[PMI2027],MATCH("2492963",tCartera[CUI],0))))</f>
        <v>Sin PMI</v>
      </c>
      <c r="N241" s="231" t="str">
        <f>IF(COUNTIF(tCartera[CUI],"2492963")=0,"Sin PMI",IF(INDEX(tCartera[PMI2028],MATCH("2492963",tCartera[CUI],0))="","No informado",INDEX(tCartera[PMI2028],MATCH("2492963",tCartera[CUI],0))))</f>
        <v>Sin PMI</v>
      </c>
      <c r="O241" s="231" t="str">
        <f>IF(COUNTIF(tCartera[CUI],"2492963")=0,"Sin PMI",IF(INDEX(tCartera[PMI2029],MATCH("2492963",tCartera[CUI],0))="","No informado",INDEX(tCartera[PMI2029],MATCH("2492963",tCartera[CUI],0))))</f>
        <v>Sin PMI</v>
      </c>
    </row>
    <row r="242" spans="1:15" hidden="1" x14ac:dyDescent="0.2">
      <c r="A242" s="129"/>
      <c r="B242" s="132"/>
      <c r="C242" s="110" t="s">
        <v>713</v>
      </c>
      <c r="D242" s="112"/>
      <c r="E242" s="112"/>
      <c r="F242" s="112"/>
      <c r="G242" s="112"/>
      <c r="H242" s="112"/>
      <c r="I242" s="55"/>
      <c r="J242" s="222"/>
      <c r="K242" s="222"/>
      <c r="L242" s="231"/>
      <c r="M242" s="231"/>
      <c r="N242" s="231"/>
      <c r="O242" s="231"/>
    </row>
    <row r="243" spans="1:15" ht="38.25" x14ac:dyDescent="0.2">
      <c r="A243" s="127">
        <f>SUBTOTAL(103,$B$10:B244)</f>
        <v>138</v>
      </c>
      <c r="B243" s="130">
        <v>332</v>
      </c>
      <c r="C243" s="110" t="s">
        <v>597</v>
      </c>
      <c r="D243" s="111">
        <f>IF(COUNTIF(tSIAF[Clave],"2650271|332")=0,"",SUMIF(tSIAF[Clave],"2650271|332",tSIAF[PIM]))</f>
        <v>129991</v>
      </c>
      <c r="E243" s="111">
        <f>IF(COUNTIF(tSIAF[Clave],"2650271|332")=0,"",SUMIF(tSIAF[Clave],"2650271|332",tSIAF[Certificacion]))</f>
        <v>129991</v>
      </c>
      <c r="F243" s="111">
        <f>IF(D243="","",D243-E243)</f>
        <v>0</v>
      </c>
      <c r="G243" s="111">
        <f>IF(COUNTIF(tSIAF[Clave],"2650271|332")=0,"",SUMIF(tSIAF[Clave],"2650271|332",tSIAF[Devengado]))</f>
        <v>129329.12</v>
      </c>
      <c r="H243" s="111">
        <f>IF(D243="","",D243-G243)</f>
        <v>661.88000000000466</v>
      </c>
      <c r="I243" s="55">
        <f>IF(D243="","",IF(D243=0,0,G243/D243))</f>
        <v>0.99490826287973777</v>
      </c>
      <c r="J243" s="222"/>
      <c r="K243" s="222" t="s">
        <v>2299</v>
      </c>
      <c r="L243" s="231">
        <f>IF(COUNTIF(tCartera[CUI],"2650271")=0,"Sin PMI",IF(INDEX(tCartera[PMI2026],MATCH("2650271",tCartera[CUI],0))="","No informado",INDEX(tCartera[PMI2026],MATCH("2650271",tCartera[CUI],0))))</f>
        <v>129991</v>
      </c>
      <c r="M243" s="231">
        <f>IF(COUNTIF(tCartera[CUI],"2650271")=0,"Sin PMI",IF(INDEX(tCartera[PMI2027],MATCH("2650271",tCartera[CUI],0))="","No informado",INDEX(tCartera[PMI2027],MATCH("2650271",tCartera[CUI],0))))</f>
        <v>245854</v>
      </c>
      <c r="N243" s="231">
        <f>IF(COUNTIF(tCartera[CUI],"2650271")=0,"Sin PMI",IF(INDEX(tCartera[PMI2028],MATCH("2650271",tCartera[CUI],0))="","No informado",INDEX(tCartera[PMI2028],MATCH("2650271",tCartera[CUI],0))))</f>
        <v>0</v>
      </c>
      <c r="O243" s="231">
        <f>IF(COUNTIF(tCartera[CUI],"2650271")=0,"Sin PMI",IF(INDEX(tCartera[PMI2029],MATCH("2650271",tCartera[CUI],0))="","No informado",INDEX(tCartera[PMI2029],MATCH("2650271",tCartera[CUI],0))))</f>
        <v>200000</v>
      </c>
    </row>
    <row r="244" spans="1:15" hidden="1" x14ac:dyDescent="0.2">
      <c r="A244" s="129"/>
      <c r="B244" s="132"/>
      <c r="C244" s="110" t="s">
        <v>713</v>
      </c>
      <c r="D244" s="112"/>
      <c r="E244" s="112"/>
      <c r="F244" s="112"/>
      <c r="G244" s="112"/>
      <c r="H244" s="112"/>
      <c r="I244" s="55"/>
      <c r="J244" s="222"/>
      <c r="K244" s="222"/>
      <c r="L244" s="231"/>
      <c r="M244" s="231"/>
      <c r="N244" s="231"/>
      <c r="O244" s="231"/>
    </row>
    <row r="245" spans="1:15" ht="38.25" x14ac:dyDescent="0.2">
      <c r="A245" s="127">
        <f>SUBTOTAL(103,$B$10:B246)</f>
        <v>139</v>
      </c>
      <c r="B245" s="130">
        <v>334</v>
      </c>
      <c r="C245" s="110" t="s">
        <v>599</v>
      </c>
      <c r="D245" s="111">
        <f>IF(COUNTIF(tSIAF[Clave],"2651636|334")=0,"",SUMIF(tSIAF[Clave],"2651636|334",tSIAF[PIM]))</f>
        <v>24413</v>
      </c>
      <c r="E245" s="111">
        <f>IF(COUNTIF(tSIAF[Clave],"2651636|334")=0,"",SUMIF(tSIAF[Clave],"2651636|334",tSIAF[Certificacion]))</f>
        <v>23994.5</v>
      </c>
      <c r="F245" s="111">
        <f>IF(D245="","",D245-E245)</f>
        <v>418.5</v>
      </c>
      <c r="G245" s="111">
        <f>IF(COUNTIF(tSIAF[Clave],"2651636|334")=0,"",SUMIF(tSIAF[Clave],"2651636|334",tSIAF[Devengado]))</f>
        <v>19205.73</v>
      </c>
      <c r="H245" s="111">
        <f>IF(D245="","",D245-G245)</f>
        <v>5207.2700000000004</v>
      </c>
      <c r="I245" s="55">
        <f>IF(D245="","",IF(D245=0,0,G245/D245))</f>
        <v>0.78670093802482277</v>
      </c>
      <c r="J245" s="222"/>
      <c r="K245" s="222" t="s">
        <v>2299</v>
      </c>
      <c r="L245" s="231">
        <f>IF(COUNTIF(tCartera[CUI],"2651636")=0,"Sin PMI",IF(INDEX(tCartera[PMI2026],MATCH("2651636",tCartera[CUI],0))="","No informado",INDEX(tCartera[PMI2026],MATCH("2651636",tCartera[CUI],0))))</f>
        <v>24413</v>
      </c>
      <c r="M245" s="231">
        <f>IF(COUNTIF(tCartera[CUI],"2651636")=0,"Sin PMI",IF(INDEX(tCartera[PMI2027],MATCH("2651636",tCartera[CUI],0))="","No informado",INDEX(tCartera[PMI2027],MATCH("2651636",tCartera[CUI],0))))</f>
        <v>753784</v>
      </c>
      <c r="N245" s="231">
        <f>IF(COUNTIF(tCartera[CUI],"2651636")=0,"Sin PMI",IF(INDEX(tCartera[PMI2028],MATCH("2651636",tCartera[CUI],0))="","No informado",INDEX(tCartera[PMI2028],MATCH("2651636",tCartera[CUI],0))))</f>
        <v>0</v>
      </c>
      <c r="O245" s="231">
        <f>IF(COUNTIF(tCartera[CUI],"2651636")=0,"Sin PMI",IF(INDEX(tCartera[PMI2029],MATCH("2651636",tCartera[CUI],0))="","No informado",INDEX(tCartera[PMI2029],MATCH("2651636",tCartera[CUI],0))))</f>
        <v>1846698</v>
      </c>
    </row>
    <row r="246" spans="1:15" hidden="1" x14ac:dyDescent="0.2">
      <c r="A246" s="129"/>
      <c r="B246" s="132"/>
      <c r="C246" s="110" t="s">
        <v>713</v>
      </c>
      <c r="D246" s="112"/>
      <c r="E246" s="112"/>
      <c r="F246" s="112"/>
      <c r="G246" s="112"/>
      <c r="H246" s="112"/>
      <c r="I246" s="55"/>
      <c r="J246" s="222"/>
      <c r="K246" s="222"/>
      <c r="L246" s="231"/>
      <c r="M246" s="231"/>
      <c r="N246" s="231"/>
      <c r="O246" s="231"/>
    </row>
    <row r="247" spans="1:15" ht="51" hidden="1" x14ac:dyDescent="0.2">
      <c r="A247" s="127">
        <f>SUBTOTAL(103,$B$10:B248)</f>
        <v>139</v>
      </c>
      <c r="B247" s="130">
        <v>335</v>
      </c>
      <c r="C247" s="110" t="s">
        <v>600</v>
      </c>
      <c r="D247" s="111"/>
      <c r="E247" s="111"/>
      <c r="F247" s="111"/>
      <c r="G247" s="111"/>
      <c r="H247" s="111"/>
      <c r="I247" s="55"/>
      <c r="J247" s="222"/>
      <c r="K247" s="222"/>
      <c r="L247" s="231"/>
      <c r="M247" s="231"/>
      <c r="N247" s="231"/>
      <c r="O247" s="231"/>
    </row>
    <row r="248" spans="1:15" hidden="1" x14ac:dyDescent="0.2">
      <c r="A248" s="129"/>
      <c r="B248" s="132"/>
      <c r="C248" s="110" t="s">
        <v>713</v>
      </c>
      <c r="D248" s="112"/>
      <c r="E248" s="112"/>
      <c r="F248" s="112"/>
      <c r="G248" s="112"/>
      <c r="H248" s="112"/>
      <c r="I248" s="55"/>
      <c r="J248" s="222"/>
      <c r="K248" s="222"/>
      <c r="L248" s="231"/>
      <c r="M248" s="231"/>
      <c r="N248" s="231"/>
      <c r="O248" s="231"/>
    </row>
    <row r="249" spans="1:15" ht="38.25" x14ac:dyDescent="0.2">
      <c r="A249" s="127">
        <f>SUBTOTAL(103,$B$10:B250)</f>
        <v>140</v>
      </c>
      <c r="B249" s="130">
        <v>459</v>
      </c>
      <c r="C249" s="110" t="s">
        <v>603</v>
      </c>
      <c r="D249" s="111">
        <f>IF(COUNTIF(tSIAF[Clave],"2670402|459")=0,"",SUMIF(tSIAF[Clave],"2670402|459",tSIAF[PIM]))</f>
        <v>621845</v>
      </c>
      <c r="E249" s="111">
        <f>IF(COUNTIF(tSIAF[Clave],"2670402|459")=0,"",SUMIF(tSIAF[Clave],"2670402|459",tSIAF[Certificacion]))</f>
        <v>621845</v>
      </c>
      <c r="F249" s="111">
        <f>IF(D249="","",D249-E249)</f>
        <v>0</v>
      </c>
      <c r="G249" s="111">
        <f>IF(COUNTIF(tSIAF[Clave],"2670402|459")=0,"",SUMIF(tSIAF[Clave],"2670402|459",tSIAF[Devengado]))</f>
        <v>396842.78</v>
      </c>
      <c r="H249" s="111">
        <f>IF(D249="","",D249-G249)</f>
        <v>225002.21999999997</v>
      </c>
      <c r="I249" s="55">
        <f>IF(D249="","",IF(D249=0,0,G249/D249))</f>
        <v>0.63816992980565901</v>
      </c>
      <c r="J249" s="222"/>
      <c r="K249" s="222" t="s">
        <v>2299</v>
      </c>
      <c r="L249" s="231">
        <f>IF(COUNTIF(tCartera[CUI],"2670402")=0,"Sin PMI",IF(INDEX(tCartera[PMI2026],MATCH("2670402",tCartera[CUI],0))="","No informado",INDEX(tCartera[PMI2026],MATCH("2670402",tCartera[CUI],0))))</f>
        <v>521845</v>
      </c>
      <c r="M249" s="231">
        <f>IF(COUNTIF(tCartera[CUI],"2670402")=0,"Sin PMI",IF(INDEX(tCartera[PMI2027],MATCH("2670402",tCartera[CUI],0))="","No informado",INDEX(tCartera[PMI2027],MATCH("2670402",tCartera[CUI],0))))</f>
        <v>2345678</v>
      </c>
      <c r="N249" s="231">
        <f>IF(COUNTIF(tCartera[CUI],"2670402")=0,"Sin PMI",IF(INDEX(tCartera[PMI2028],MATCH("2670402",tCartera[CUI],0))="","No informado",INDEX(tCartera[PMI2028],MATCH("2670402",tCartera[CUI],0))))</f>
        <v>0</v>
      </c>
      <c r="O249" s="231">
        <f>IF(COUNTIF(tCartera[CUI],"2670402")=0,"Sin PMI",IF(INDEX(tCartera[PMI2029],MATCH("2670402",tCartera[CUI],0))="","No informado",INDEX(tCartera[PMI2029],MATCH("2670402",tCartera[CUI],0))))</f>
        <v>1000000</v>
      </c>
    </row>
    <row r="250" spans="1:15" hidden="1" x14ac:dyDescent="0.2">
      <c r="A250" s="129"/>
      <c r="B250" s="132"/>
      <c r="C250" s="110" t="s">
        <v>713</v>
      </c>
      <c r="D250" s="112"/>
      <c r="E250" s="112"/>
      <c r="F250" s="112"/>
      <c r="G250" s="112"/>
      <c r="H250" s="112"/>
      <c r="I250" s="55"/>
      <c r="J250" s="222"/>
      <c r="K250" s="222"/>
      <c r="L250" s="231"/>
      <c r="M250" s="231"/>
      <c r="N250" s="231"/>
      <c r="O250" s="231"/>
    </row>
    <row r="251" spans="1:15" ht="38.25" x14ac:dyDescent="0.2">
      <c r="A251" s="127">
        <f>SUBTOTAL(103,$B$10:B252)</f>
        <v>141</v>
      </c>
      <c r="B251" s="130">
        <v>492</v>
      </c>
      <c r="C251" s="110" t="s">
        <v>649</v>
      </c>
      <c r="D251" s="111">
        <f>IF(COUNTIF(tSIAF[Clave],"2681029|492")=0,"",SUMIF(tSIAF[Clave],"2681029|492",tSIAF[PIM]))</f>
        <v>784869</v>
      </c>
      <c r="E251" s="111">
        <f>IF(COUNTIF(tSIAF[Clave],"2681029|492")=0,"",SUMIF(tSIAF[Clave],"2681029|492",tSIAF[Certificacion]))</f>
        <v>784869</v>
      </c>
      <c r="F251" s="111">
        <f>IF(D251="","",D251-E251)</f>
        <v>0</v>
      </c>
      <c r="G251" s="111">
        <f>IF(COUNTIF(tSIAF[Clave],"2681029|492")=0,"",SUMIF(tSIAF[Clave],"2681029|492",tSIAF[Devengado]))</f>
        <v>631813.71</v>
      </c>
      <c r="H251" s="111">
        <f>IF(D251="","",D251-G251)</f>
        <v>153055.29000000004</v>
      </c>
      <c r="I251" s="55">
        <f>IF(D251="","",IF(D251=0,0,G251/D251))</f>
        <v>0.80499256563834209</v>
      </c>
      <c r="J251" s="222"/>
      <c r="K251" s="222" t="s">
        <v>2299</v>
      </c>
      <c r="L251" s="231">
        <f>IF(COUNTIF(tCartera[CUI],"2681029")=0,"Sin PMI",IF(INDEX(tCartera[PMI2026],MATCH("2681029",tCartera[CUI],0))="","No informado",INDEX(tCartera[PMI2026],MATCH("2681029",tCartera[CUI],0))))</f>
        <v>340000</v>
      </c>
      <c r="M251" s="231">
        <f>IF(COUNTIF(tCartera[CUI],"2681029")=0,"Sin PMI",IF(INDEX(tCartera[PMI2027],MATCH("2681029",tCartera[CUI],0))="","No informado",INDEX(tCartera[PMI2027],MATCH("2681029",tCartera[CUI],0))))</f>
        <v>254845</v>
      </c>
      <c r="N251" s="231">
        <f>IF(COUNTIF(tCartera[CUI],"2681029")=0,"Sin PMI",IF(INDEX(tCartera[PMI2028],MATCH("2681029",tCartera[CUI],0))="","No informado",INDEX(tCartera[PMI2028],MATCH("2681029",tCartera[CUI],0))))</f>
        <v>0</v>
      </c>
      <c r="O251" s="231">
        <f>IF(COUNTIF(tCartera[CUI],"2681029")=0,"Sin PMI",IF(INDEX(tCartera[PMI2029],MATCH("2681029",tCartera[CUI],0))="","No informado",INDEX(tCartera[PMI2029],MATCH("2681029",tCartera[CUI],0))))</f>
        <v>300000</v>
      </c>
    </row>
    <row r="252" spans="1:15" hidden="1" x14ac:dyDescent="0.2">
      <c r="A252" s="129"/>
      <c r="B252" s="132"/>
      <c r="C252" s="110" t="s">
        <v>713</v>
      </c>
      <c r="D252" s="112"/>
      <c r="E252" s="112"/>
      <c r="F252" s="112"/>
      <c r="G252" s="112"/>
      <c r="H252" s="112"/>
      <c r="I252" s="55"/>
      <c r="J252" s="222"/>
      <c r="K252" s="222"/>
      <c r="L252" s="231"/>
      <c r="M252" s="231"/>
      <c r="N252" s="231"/>
      <c r="O252" s="231"/>
    </row>
    <row r="253" spans="1:15" ht="38.25" x14ac:dyDescent="0.2">
      <c r="A253" s="127">
        <f>SUBTOTAL(103,$B$10:B254)</f>
        <v>142</v>
      </c>
      <c r="B253" s="130">
        <v>495</v>
      </c>
      <c r="C253" s="110" t="s">
        <v>652</v>
      </c>
      <c r="D253" s="111">
        <f>IF(COUNTIF(tSIAF[Clave],"2681019|495")=0,"",SUMIF(tSIAF[Clave],"2681019|495",tSIAF[PIM]))</f>
        <v>373203</v>
      </c>
      <c r="E253" s="111">
        <f>IF(COUNTIF(tSIAF[Clave],"2681019|495")=0,"",SUMIF(tSIAF[Clave],"2681019|495",tSIAF[Certificacion]))</f>
        <v>199545</v>
      </c>
      <c r="F253" s="111">
        <f>IF(D253="","",D253-E253)</f>
        <v>173658</v>
      </c>
      <c r="G253" s="111">
        <f>IF(COUNTIF(tSIAF[Clave],"2681019|495")=0,"",SUMIF(tSIAF[Clave],"2681019|495",tSIAF[Devengado]))</f>
        <v>127534.07</v>
      </c>
      <c r="H253" s="111">
        <f>IF(D253="","",D253-G253)</f>
        <v>245668.93</v>
      </c>
      <c r="I253" s="55">
        <f>IF(D253="","",IF(D253=0,0,G253/D253))</f>
        <v>0.34172841590233738</v>
      </c>
      <c r="J253" s="222"/>
      <c r="K253" s="222" t="s">
        <v>2299</v>
      </c>
      <c r="L253" s="231">
        <f>IF(COUNTIF(tCartera[CUI],"2681019")=0,"Sin PMI",IF(INDEX(tCartera[PMI2026],MATCH("2681019",tCartera[CUI],0))="","No informado",INDEX(tCartera[PMI2026],MATCH("2681019",tCartera[CUI],0))))</f>
        <v>199545</v>
      </c>
      <c r="M253" s="231">
        <f>IF(COUNTIF(tCartera[CUI],"2681019")=0,"Sin PMI",IF(INDEX(tCartera[PMI2027],MATCH("2681019",tCartera[CUI],0))="","No informado",INDEX(tCartera[PMI2027],MATCH("2681019",tCartera[CUI],0))))</f>
        <v>5256354</v>
      </c>
      <c r="N253" s="231">
        <f>IF(COUNTIF(tCartera[CUI],"2681019")=0,"Sin PMI",IF(INDEX(tCartera[PMI2028],MATCH("2681019",tCartera[CUI],0))="","No informado",INDEX(tCartera[PMI2028],MATCH("2681019",tCartera[CUI],0))))</f>
        <v>0</v>
      </c>
      <c r="O253" s="231">
        <f>IF(COUNTIF(tCartera[CUI],"2681019")=0,"Sin PMI",IF(INDEX(tCartera[PMI2029],MATCH("2681019",tCartera[CUI],0))="","No informado",INDEX(tCartera[PMI2029],MATCH("2681019",tCartera[CUI],0))))</f>
        <v>0</v>
      </c>
    </row>
    <row r="254" spans="1:15" hidden="1" x14ac:dyDescent="0.2">
      <c r="A254" s="129"/>
      <c r="B254" s="132"/>
      <c r="C254" s="110" t="s">
        <v>713</v>
      </c>
      <c r="D254" s="112"/>
      <c r="E254" s="112"/>
      <c r="F254" s="112"/>
      <c r="G254" s="112"/>
      <c r="H254" s="112"/>
      <c r="I254" s="55"/>
      <c r="J254" s="222"/>
      <c r="K254" s="222"/>
      <c r="L254" s="231"/>
      <c r="M254" s="231"/>
      <c r="N254" s="231"/>
      <c r="O254" s="231"/>
    </row>
    <row r="255" spans="1:15" ht="38.25" x14ac:dyDescent="0.2">
      <c r="A255" s="127">
        <f>SUBTOTAL(103,$B$10:B256)</f>
        <v>143</v>
      </c>
      <c r="B255" s="130">
        <v>496</v>
      </c>
      <c r="C255" s="110" t="s">
        <v>653</v>
      </c>
      <c r="D255" s="111">
        <f>IF(COUNTIF(tSIAF[Clave],"2681037|496")=0,"",SUMIF(tSIAF[Clave],"2681037|496",tSIAF[PIM]))</f>
        <v>192812</v>
      </c>
      <c r="E255" s="111">
        <f>IF(COUNTIF(tSIAF[Clave],"2681037|496")=0,"",SUMIF(tSIAF[Clave],"2681037|496",tSIAF[Certificacion]))</f>
        <v>180485</v>
      </c>
      <c r="F255" s="111">
        <f>IF(D255="","",D255-E255)</f>
        <v>12327</v>
      </c>
      <c r="G255" s="111">
        <f>IF(COUNTIF(tSIAF[Clave],"2681037|496")=0,"",SUMIF(tSIAF[Clave],"2681037|496",tSIAF[Devengado]))</f>
        <v>176515.68</v>
      </c>
      <c r="H255" s="111">
        <f>IF(D255="","",D255-G255)</f>
        <v>16296.320000000007</v>
      </c>
      <c r="I255" s="55">
        <f>IF(D255="","",IF(D255=0,0,G255/D255))</f>
        <v>0.91548077920461379</v>
      </c>
      <c r="J255" s="222"/>
      <c r="K255" s="222" t="s">
        <v>2299</v>
      </c>
      <c r="L255" s="231">
        <f>IF(COUNTIF(tCartera[CUI],"2681037")=0,"Sin PMI",IF(INDEX(tCartera[PMI2026],MATCH("2681037",tCartera[CUI],0))="","No informado",INDEX(tCartera[PMI2026],MATCH("2681037",tCartera[CUI],0))))</f>
        <v>192812</v>
      </c>
      <c r="M255" s="231">
        <f>IF(COUNTIF(tCartera[CUI],"2681037")=0,"Sin PMI",IF(INDEX(tCartera[PMI2027],MATCH("2681037",tCartera[CUI],0))="","No informado",INDEX(tCartera[PMI2027],MATCH("2681037",tCartera[CUI],0))))</f>
        <v>0</v>
      </c>
      <c r="N255" s="231">
        <f>IF(COUNTIF(tCartera[CUI],"2681037")=0,"Sin PMI",IF(INDEX(tCartera[PMI2028],MATCH("2681037",tCartera[CUI],0))="","No informado",INDEX(tCartera[PMI2028],MATCH("2681037",tCartera[CUI],0))))</f>
        <v>500000</v>
      </c>
      <c r="O255" s="231">
        <f>IF(COUNTIF(tCartera[CUI],"2681037")=0,"Sin PMI",IF(INDEX(tCartera[PMI2029],MATCH("2681037",tCartera[CUI],0))="","No informado",INDEX(tCartera[PMI2029],MATCH("2681037",tCartera[CUI],0))))</f>
        <v>0</v>
      </c>
    </row>
    <row r="256" spans="1:15" hidden="1" x14ac:dyDescent="0.2">
      <c r="A256" s="129"/>
      <c r="B256" s="132"/>
      <c r="C256" s="110" t="s">
        <v>713</v>
      </c>
      <c r="D256" s="112"/>
      <c r="E256" s="112"/>
      <c r="F256" s="112"/>
      <c r="G256" s="112"/>
      <c r="H256" s="112"/>
      <c r="I256" s="55"/>
      <c r="J256" s="222"/>
      <c r="K256" s="222"/>
      <c r="L256" s="231"/>
      <c r="M256" s="231"/>
      <c r="N256" s="231"/>
      <c r="O256" s="231"/>
    </row>
    <row r="257" spans="1:15" ht="38.25" x14ac:dyDescent="0.2">
      <c r="A257" s="127">
        <f>SUBTOTAL(103,$B$10:B258)</f>
        <v>144</v>
      </c>
      <c r="B257" s="130">
        <v>501</v>
      </c>
      <c r="C257" s="110" t="s">
        <v>658</v>
      </c>
      <c r="D257" s="111">
        <f>IF(COUNTIF(tSIAF[Clave],"2681054|501")=0,"",SUMIF(tSIAF[Clave],"2681054|501",tSIAF[PIM]))</f>
        <v>287709</v>
      </c>
      <c r="E257" s="111">
        <f>IF(COUNTIF(tSIAF[Clave],"2681054|501")=0,"",SUMIF(tSIAF[Clave],"2681054|501",tSIAF[Certificacion]))</f>
        <v>287709</v>
      </c>
      <c r="F257" s="111">
        <f>IF(D257="","",D257-E257)</f>
        <v>0</v>
      </c>
      <c r="G257" s="111">
        <f>IF(COUNTIF(tSIAF[Clave],"2681054|501")=0,"",SUMIF(tSIAF[Clave],"2681054|501",tSIAF[Devengado]))</f>
        <v>108740.53</v>
      </c>
      <c r="H257" s="111">
        <f>IF(D257="","",D257-G257)</f>
        <v>178968.47</v>
      </c>
      <c r="I257" s="55">
        <f>IF(D257="","",IF(D257=0,0,G257/D257))</f>
        <v>0.37795317490937025</v>
      </c>
      <c r="J257" s="222"/>
      <c r="K257" s="222" t="s">
        <v>2299</v>
      </c>
      <c r="L257" s="231">
        <f>IF(COUNTIF(tCartera[CUI],"2681054")=0,"Sin PMI",IF(INDEX(tCartera[PMI2026],MATCH("2681054",tCartera[CUI],0))="","No informado",INDEX(tCartera[PMI2026],MATCH("2681054",tCartera[CUI],0))))</f>
        <v>287709</v>
      </c>
      <c r="M257" s="231">
        <f>IF(COUNTIF(tCartera[CUI],"2681054")=0,"Sin PMI",IF(INDEX(tCartera[PMI2027],MATCH("2681054",tCartera[CUI],0))="","No informado",INDEX(tCartera[PMI2027],MATCH("2681054",tCartera[CUI],0))))</f>
        <v>0</v>
      </c>
      <c r="N257" s="231">
        <f>IF(COUNTIF(tCartera[CUI],"2681054")=0,"Sin PMI",IF(INDEX(tCartera[PMI2028],MATCH("2681054",tCartera[CUI],0))="","No informado",INDEX(tCartera[PMI2028],MATCH("2681054",tCartera[CUI],0))))</f>
        <v>0</v>
      </c>
      <c r="O257" s="231">
        <f>IF(COUNTIF(tCartera[CUI],"2681054")=0,"Sin PMI",IF(INDEX(tCartera[PMI2029],MATCH("2681054",tCartera[CUI],0))="","No informado",INDEX(tCartera[PMI2029],MATCH("2681054",tCartera[CUI],0))))</f>
        <v>3000000</v>
      </c>
    </row>
    <row r="258" spans="1:15" hidden="1" x14ac:dyDescent="0.2">
      <c r="A258" s="129"/>
      <c r="B258" s="132"/>
      <c r="C258" s="110" t="s">
        <v>713</v>
      </c>
      <c r="D258" s="112"/>
      <c r="E258" s="112"/>
      <c r="F258" s="112"/>
      <c r="G258" s="112"/>
      <c r="H258" s="112"/>
      <c r="I258" s="55"/>
      <c r="J258" s="222"/>
      <c r="K258" s="222"/>
      <c r="L258" s="231"/>
      <c r="M258" s="231"/>
      <c r="N258" s="231"/>
      <c r="O258" s="231"/>
    </row>
    <row r="259" spans="1:15" ht="38.25" x14ac:dyDescent="0.2">
      <c r="A259" s="127">
        <f>SUBTOTAL(103,$B$10:B260)</f>
        <v>145</v>
      </c>
      <c r="B259" s="130">
        <v>502</v>
      </c>
      <c r="C259" s="110" t="s">
        <v>659</v>
      </c>
      <c r="D259" s="111">
        <f>IF(COUNTIF(tSIAF[Clave],"2700348|502")=0,"",SUMIF(tSIAF[Clave],"2700348|502",tSIAF[PIM]))</f>
        <v>140000</v>
      </c>
      <c r="E259" s="111">
        <f>IF(COUNTIF(tSIAF[Clave],"2700348|502")=0,"",SUMIF(tSIAF[Clave],"2700348|502",tSIAF[Certificacion]))</f>
        <v>140000</v>
      </c>
      <c r="F259" s="111">
        <f>IF(D259="","",D259-E259)</f>
        <v>0</v>
      </c>
      <c r="G259" s="111">
        <f>IF(COUNTIF(tSIAF[Clave],"2700348|502")=0,"",SUMIF(tSIAF[Clave],"2700348|502",tSIAF[Devengado]))</f>
        <v>131428.18</v>
      </c>
      <c r="H259" s="111">
        <f>IF(D259="","",D259-G259)</f>
        <v>8571.820000000007</v>
      </c>
      <c r="I259" s="55">
        <f>IF(D259="","",IF(D259=0,0,G259/D259))</f>
        <v>0.93877271428571418</v>
      </c>
      <c r="J259" s="222"/>
      <c r="K259" s="222" t="s">
        <v>2299</v>
      </c>
      <c r="L259" s="231">
        <f>IF(COUNTIF(tCartera[CUI],"2700348")=0,"Sin PMI",IF(INDEX(tCartera[PMI2026],MATCH("2700348",tCartera[CUI],0))="","No informado",INDEX(tCartera[PMI2026],MATCH("2700348",tCartera[CUI],0))))</f>
        <v>140000</v>
      </c>
      <c r="M259" s="231">
        <f>IF(COUNTIF(tCartera[CUI],"2700348")=0,"Sin PMI",IF(INDEX(tCartera[PMI2027],MATCH("2700348",tCartera[CUI],0))="","No informado",INDEX(tCartera[PMI2027],MATCH("2700348",tCartera[CUI],0))))</f>
        <v>0</v>
      </c>
      <c r="N259" s="231">
        <f>IF(COUNTIF(tCartera[CUI],"2700348")=0,"Sin PMI",IF(INDEX(tCartera[PMI2028],MATCH("2700348",tCartera[CUI],0))="","No informado",INDEX(tCartera[PMI2028],MATCH("2700348",tCartera[CUI],0))))</f>
        <v>0</v>
      </c>
      <c r="O259" s="231">
        <f>IF(COUNTIF(tCartera[CUI],"2700348")=0,"Sin PMI",IF(INDEX(tCartera[PMI2029],MATCH("2700348",tCartera[CUI],0))="","No informado",INDEX(tCartera[PMI2029],MATCH("2700348",tCartera[CUI],0))))</f>
        <v>500000</v>
      </c>
    </row>
    <row r="260" spans="1:15" hidden="1" x14ac:dyDescent="0.2">
      <c r="A260" s="129"/>
      <c r="B260" s="132"/>
      <c r="C260" s="110" t="s">
        <v>713</v>
      </c>
      <c r="D260" s="112"/>
      <c r="E260" s="112"/>
      <c r="F260" s="112"/>
      <c r="G260" s="112"/>
      <c r="H260" s="112"/>
      <c r="I260" s="55"/>
      <c r="J260" s="222"/>
      <c r="K260" s="222"/>
      <c r="L260" s="231"/>
      <c r="M260" s="231"/>
      <c r="N260" s="231"/>
      <c r="O260" s="231"/>
    </row>
    <row r="261" spans="1:15" ht="51" hidden="1" x14ac:dyDescent="0.2">
      <c r="A261" s="127">
        <f>SUBTOTAL(103,$B$10:B262)</f>
        <v>145</v>
      </c>
      <c r="B261" s="130">
        <v>505</v>
      </c>
      <c r="C261" s="110" t="s">
        <v>661</v>
      </c>
      <c r="D261" s="111"/>
      <c r="E261" s="111"/>
      <c r="F261" s="111"/>
      <c r="G261" s="111"/>
      <c r="H261" s="111"/>
      <c r="I261" s="55"/>
      <c r="J261" s="222"/>
      <c r="K261" s="222"/>
      <c r="L261" s="231"/>
      <c r="M261" s="231"/>
      <c r="N261" s="231"/>
      <c r="O261" s="231"/>
    </row>
    <row r="262" spans="1:15" hidden="1" x14ac:dyDescent="0.2">
      <c r="A262" s="129"/>
      <c r="B262" s="132"/>
      <c r="C262" s="110" t="s">
        <v>713</v>
      </c>
      <c r="D262" s="112"/>
      <c r="E262" s="112"/>
      <c r="F262" s="112"/>
      <c r="G262" s="112"/>
      <c r="H262" s="112"/>
      <c r="I262" s="55"/>
      <c r="J262" s="222"/>
      <c r="K262" s="222"/>
      <c r="L262" s="231"/>
      <c r="M262" s="231"/>
      <c r="N262" s="231"/>
      <c r="O262" s="231"/>
    </row>
    <row r="263" spans="1:15" ht="38.25" x14ac:dyDescent="0.2">
      <c r="A263" s="127">
        <f>SUBTOTAL(103,$B$10:B264)</f>
        <v>146</v>
      </c>
      <c r="B263" s="130">
        <v>517</v>
      </c>
      <c r="C263" s="110" t="s">
        <v>671</v>
      </c>
      <c r="D263" s="111">
        <f>IF(COUNTIF(tSIAF[Clave],"2650804|517")=0,"",SUMIF(tSIAF[Clave],"2650804|517",tSIAF[PIM]))</f>
        <v>200000</v>
      </c>
      <c r="E263" s="111">
        <f>IF(COUNTIF(tSIAF[Clave],"2650804|517")=0,"",SUMIF(tSIAF[Clave],"2650804|517",tSIAF[Certificacion]))</f>
        <v>200000</v>
      </c>
      <c r="F263" s="111">
        <f>IF(D263="","",D263-E263)</f>
        <v>0</v>
      </c>
      <c r="G263" s="111">
        <f>IF(COUNTIF(tSIAF[Clave],"2650804|517")=0,"",SUMIF(tSIAF[Clave],"2650804|517",tSIAF[Devengado]))</f>
        <v>0</v>
      </c>
      <c r="H263" s="111">
        <f>IF(D263="","",D263-G263)</f>
        <v>200000</v>
      </c>
      <c r="I263" s="55">
        <f>IF(D263="","",IF(D263=0,0,G263/D263))</f>
        <v>0</v>
      </c>
      <c r="J263" s="222"/>
      <c r="K263" s="222" t="s">
        <v>2299</v>
      </c>
      <c r="L263" s="231" t="str">
        <f>IF(COUNTIF(tCartera[CUI],"2650804")=0,"Sin PMI",IF(INDEX(tCartera[PMI2026],MATCH("2650804",tCartera[CUI],0))="","No informado",INDEX(tCartera[PMI2026],MATCH("2650804",tCartera[CUI],0))))</f>
        <v>Sin PMI</v>
      </c>
      <c r="M263" s="231" t="str">
        <f>IF(COUNTIF(tCartera[CUI],"2650804")=0,"Sin PMI",IF(INDEX(tCartera[PMI2027],MATCH("2650804",tCartera[CUI],0))="","No informado",INDEX(tCartera[PMI2027],MATCH("2650804",tCartera[CUI],0))))</f>
        <v>Sin PMI</v>
      </c>
      <c r="N263" s="231" t="str">
        <f>IF(COUNTIF(tCartera[CUI],"2650804")=0,"Sin PMI",IF(INDEX(tCartera[PMI2028],MATCH("2650804",tCartera[CUI],0))="","No informado",INDEX(tCartera[PMI2028],MATCH("2650804",tCartera[CUI],0))))</f>
        <v>Sin PMI</v>
      </c>
      <c r="O263" s="231" t="str">
        <f>IF(COUNTIF(tCartera[CUI],"2650804")=0,"Sin PMI",IF(INDEX(tCartera[PMI2029],MATCH("2650804",tCartera[CUI],0))="","No informado",INDEX(tCartera[PMI2029],MATCH("2650804",tCartera[CUI],0))))</f>
        <v>Sin PMI</v>
      </c>
    </row>
    <row r="264" spans="1:15" hidden="1" x14ac:dyDescent="0.2">
      <c r="A264" s="129"/>
      <c r="B264" s="132"/>
      <c r="C264" s="110" t="s">
        <v>713</v>
      </c>
      <c r="D264" s="112"/>
      <c r="E264" s="112"/>
      <c r="F264" s="112"/>
      <c r="G264" s="112"/>
      <c r="H264" s="112"/>
      <c r="I264" s="55"/>
      <c r="J264" s="222"/>
      <c r="K264" s="222"/>
      <c r="L264" s="231"/>
      <c r="M264" s="231"/>
      <c r="N264" s="231"/>
      <c r="O264" s="231"/>
    </row>
    <row r="265" spans="1:15" ht="51" x14ac:dyDescent="0.2">
      <c r="A265" s="127">
        <f>SUBTOTAL(103,$B$10:B266)</f>
        <v>147</v>
      </c>
      <c r="B265" s="130">
        <v>518</v>
      </c>
      <c r="C265" s="110" t="s">
        <v>673</v>
      </c>
      <c r="D265" s="111">
        <f>IF(COUNTIF(tSIAF[Clave],"2681015|518")=0,"",SUMIF(tSIAF[Clave],"2681015|518",tSIAF[PIM]))</f>
        <v>200000</v>
      </c>
      <c r="E265" s="111">
        <f>IF(COUNTIF(tSIAF[Clave],"2681015|518")=0,"",SUMIF(tSIAF[Clave],"2681015|518",tSIAF[Certificacion]))</f>
        <v>200000</v>
      </c>
      <c r="F265" s="111">
        <f>IF(D265="","",D265-E265)</f>
        <v>0</v>
      </c>
      <c r="G265" s="111">
        <f>IF(COUNTIF(tSIAF[Clave],"2681015|518")=0,"",SUMIF(tSIAF[Clave],"2681015|518",tSIAF[Devengado]))</f>
        <v>30838.26</v>
      </c>
      <c r="H265" s="111">
        <f>IF(D265="","",D265-G265)</f>
        <v>169161.74</v>
      </c>
      <c r="I265" s="55">
        <f>IF(D265="","",IF(D265=0,0,G265/D265))</f>
        <v>0.1541913</v>
      </c>
      <c r="J265" s="222"/>
      <c r="K265" s="222" t="s">
        <v>2299</v>
      </c>
      <c r="L265" s="231">
        <f>IF(COUNTIF(tCartera[CUI],"2681015")=0,"Sin PMI",IF(INDEX(tCartera[PMI2026],MATCH("2681015",tCartera[CUI],0))="","No informado",INDEX(tCartera[PMI2026],MATCH("2681015",tCartera[CUI],0))))</f>
        <v>200000</v>
      </c>
      <c r="M265" s="231">
        <f>IF(COUNTIF(tCartera[CUI],"2681015")=0,"Sin PMI",IF(INDEX(tCartera[PMI2027],MATCH("2681015",tCartera[CUI],0))="","No informado",INDEX(tCartera[PMI2027],MATCH("2681015",tCartera[CUI],0))))</f>
        <v>0</v>
      </c>
      <c r="N265" s="231">
        <f>IF(COUNTIF(tCartera[CUI],"2681015")=0,"Sin PMI",IF(INDEX(tCartera[PMI2028],MATCH("2681015",tCartera[CUI],0))="","No informado",INDEX(tCartera[PMI2028],MATCH("2681015",tCartera[CUI],0))))</f>
        <v>3000000</v>
      </c>
      <c r="O265" s="231">
        <f>IF(COUNTIF(tCartera[CUI],"2681015")=0,"Sin PMI",IF(INDEX(tCartera[PMI2029],MATCH("2681015",tCartera[CUI],0))="","No informado",INDEX(tCartera[PMI2029],MATCH("2681015",tCartera[CUI],0))))</f>
        <v>8896729</v>
      </c>
    </row>
    <row r="266" spans="1:15" hidden="1" x14ac:dyDescent="0.2">
      <c r="A266" s="129"/>
      <c r="B266" s="132"/>
      <c r="C266" s="110" t="s">
        <v>713</v>
      </c>
      <c r="D266" s="112"/>
      <c r="E266" s="112"/>
      <c r="F266" s="112"/>
      <c r="G266" s="112"/>
      <c r="H266" s="112"/>
      <c r="I266" s="55"/>
      <c r="J266" s="222"/>
      <c r="K266" s="222"/>
      <c r="L266" s="231"/>
      <c r="M266" s="231"/>
      <c r="N266" s="231"/>
      <c r="O266" s="231"/>
    </row>
    <row r="267" spans="1:15" ht="63.75" hidden="1" x14ac:dyDescent="0.2">
      <c r="A267" s="127">
        <f>SUBTOTAL(103,$B$10:B268)</f>
        <v>147</v>
      </c>
      <c r="B267" s="130">
        <v>519</v>
      </c>
      <c r="C267" s="110" t="s">
        <v>675</v>
      </c>
      <c r="D267" s="111"/>
      <c r="E267" s="111"/>
      <c r="F267" s="111"/>
      <c r="G267" s="111"/>
      <c r="H267" s="111"/>
      <c r="I267" s="55"/>
      <c r="J267" s="222"/>
      <c r="K267" s="222"/>
      <c r="L267" s="231"/>
      <c r="M267" s="231"/>
      <c r="N267" s="231"/>
      <c r="O267" s="231"/>
    </row>
    <row r="268" spans="1:15" hidden="1" x14ac:dyDescent="0.2">
      <c r="A268" s="129"/>
      <c r="B268" s="132"/>
      <c r="C268" s="110" t="s">
        <v>713</v>
      </c>
      <c r="D268" s="112"/>
      <c r="E268" s="112"/>
      <c r="F268" s="112"/>
      <c r="G268" s="112"/>
      <c r="H268" s="112"/>
      <c r="I268" s="55"/>
      <c r="J268" s="222"/>
      <c r="K268" s="222"/>
      <c r="L268" s="231"/>
      <c r="M268" s="231"/>
      <c r="N268" s="231"/>
      <c r="O268" s="231"/>
    </row>
    <row r="269" spans="1:15" ht="63.75" hidden="1" x14ac:dyDescent="0.2">
      <c r="A269" s="127">
        <f>SUBTOTAL(103,$B$10:B270)</f>
        <v>147</v>
      </c>
      <c r="B269" s="130">
        <v>520</v>
      </c>
      <c r="C269" s="110" t="s">
        <v>674</v>
      </c>
      <c r="D269" s="111"/>
      <c r="E269" s="111"/>
      <c r="F269" s="111"/>
      <c r="G269" s="111"/>
      <c r="H269" s="111"/>
      <c r="I269" s="55"/>
      <c r="J269" s="222"/>
      <c r="K269" s="222"/>
      <c r="L269" s="231"/>
      <c r="M269" s="231"/>
      <c r="N269" s="231"/>
      <c r="O269" s="231"/>
    </row>
    <row r="270" spans="1:15" hidden="1" x14ac:dyDescent="0.2">
      <c r="A270" s="129"/>
      <c r="B270" s="132"/>
      <c r="C270" s="110" t="s">
        <v>713</v>
      </c>
      <c r="D270" s="112"/>
      <c r="E270" s="112"/>
      <c r="F270" s="112"/>
      <c r="G270" s="112"/>
      <c r="H270" s="112"/>
      <c r="I270" s="55"/>
      <c r="J270" s="222"/>
      <c r="K270" s="222"/>
      <c r="L270" s="231"/>
      <c r="M270" s="231"/>
      <c r="N270" s="231"/>
      <c r="O270" s="231"/>
    </row>
    <row r="271" spans="1:15" ht="16.5" x14ac:dyDescent="0.2">
      <c r="A271" s="126" t="s">
        <v>92</v>
      </c>
      <c r="B271" s="126"/>
      <c r="C271" s="126"/>
      <c r="D271" s="50">
        <f>D272+D275+D277+D279+D281+D283+D285+D287+D289+D291+D293+D295+D297</f>
        <v>4282059</v>
      </c>
      <c r="E271" s="50">
        <f>E272+E275+E277+E279+E281+E283+E285+E287+E289+E291+E293+E295+E297</f>
        <v>3914926.91</v>
      </c>
      <c r="F271" s="50">
        <f>D271-E271</f>
        <v>367132.08999999985</v>
      </c>
      <c r="G271" s="50">
        <f>G272+G275+G277+G279+G281+G283+G285+G287+G289+G291+G293+G295+G297</f>
        <v>2300486.3899999997</v>
      </c>
      <c r="H271" s="50">
        <f>D271-G271</f>
        <v>1981572.6100000003</v>
      </c>
      <c r="I271" s="51">
        <f>IF(D271=0,0,G271/D271)</f>
        <v>0.53723836827096494</v>
      </c>
      <c r="J271" s="221"/>
      <c r="K271" s="221"/>
      <c r="L271" s="230"/>
      <c r="M271" s="230"/>
      <c r="N271" s="230"/>
      <c r="O271" s="230"/>
    </row>
    <row r="272" spans="1:15" ht="63.75" x14ac:dyDescent="0.2">
      <c r="A272" s="127">
        <f>SUBTOTAL(103,$B$10:B274)</f>
        <v>148</v>
      </c>
      <c r="B272" s="130">
        <v>304</v>
      </c>
      <c r="C272" s="110" t="s">
        <v>531</v>
      </c>
      <c r="D272" s="111">
        <f>IF(COUNTIF(tSIAF[Clave],"2539948|304")=0,"",SUMIF(tSIAF[Clave],"2539948|304",tSIAF[PIM]))</f>
        <v>412686</v>
      </c>
      <c r="E272" s="111">
        <f>IF(COUNTIF(tSIAF[Clave],"2539948|304")=0,"",SUMIF(tSIAF[Clave],"2539948|304",tSIAF[Certificacion]))</f>
        <v>364067</v>
      </c>
      <c r="F272" s="111">
        <f>IF(D272="","",D272-E272)</f>
        <v>48619</v>
      </c>
      <c r="G272" s="111">
        <f>IF(COUNTIF(tSIAF[Clave],"2539948|304")=0,"",SUMIF(tSIAF[Clave],"2539948|304",tSIAF[Devengado]))</f>
        <v>189727.76</v>
      </c>
      <c r="H272" s="111">
        <f>IF(D272="","",D272-G272)</f>
        <v>222958.24</v>
      </c>
      <c r="I272" s="55">
        <f>IF(D272="","",IF(D272=0,0,G272/D272))</f>
        <v>0.45973878445113237</v>
      </c>
      <c r="J272" s="222"/>
      <c r="K272" s="222" t="s">
        <v>2299</v>
      </c>
      <c r="L272" s="231" t="str">
        <f>IF(COUNTIF(tCartera[CUI],"2539948")=0,"Sin PMI",IF(INDEX(tCartera[PMI2026],MATCH("2539948",tCartera[CUI],0))="","No informado",INDEX(tCartera[PMI2026],MATCH("2539948",tCartera[CUI],0))))</f>
        <v>Sin PMI</v>
      </c>
      <c r="M272" s="231" t="str">
        <f>IF(COUNTIF(tCartera[CUI],"2539948")=0,"Sin PMI",IF(INDEX(tCartera[PMI2027],MATCH("2539948",tCartera[CUI],0))="","No informado",INDEX(tCartera[PMI2027],MATCH("2539948",tCartera[CUI],0))))</f>
        <v>Sin PMI</v>
      </c>
      <c r="N272" s="231" t="str">
        <f>IF(COUNTIF(tCartera[CUI],"2539948")=0,"Sin PMI",IF(INDEX(tCartera[PMI2028],MATCH("2539948",tCartera[CUI],0))="","No informado",INDEX(tCartera[PMI2028],MATCH("2539948",tCartera[CUI],0))))</f>
        <v>Sin PMI</v>
      </c>
      <c r="O272" s="231" t="str">
        <f>IF(COUNTIF(tCartera[CUI],"2539948")=0,"Sin PMI",IF(INDEX(tCartera[PMI2029],MATCH("2539948",tCartera[CUI],0))="","No informado",INDEX(tCartera[PMI2029],MATCH("2539948",tCartera[CUI],0))))</f>
        <v>Sin PMI</v>
      </c>
    </row>
    <row r="273" spans="1:15" ht="24.75" hidden="1" customHeight="1" x14ac:dyDescent="0.2">
      <c r="A273" s="128"/>
      <c r="B273" s="131"/>
      <c r="C273" s="110" t="s">
        <v>715</v>
      </c>
      <c r="D273" s="112"/>
      <c r="E273" s="112"/>
      <c r="F273" s="112"/>
      <c r="G273" s="112"/>
      <c r="H273" s="112"/>
      <c r="I273" s="55"/>
      <c r="J273" s="222"/>
      <c r="K273" s="222"/>
      <c r="L273" s="231"/>
      <c r="M273" s="231"/>
      <c r="N273" s="231"/>
      <c r="O273" s="231"/>
    </row>
    <row r="274" spans="1:15" ht="20.25" hidden="1" customHeight="1" x14ac:dyDescent="0.2">
      <c r="A274" s="129"/>
      <c r="B274" s="132"/>
      <c r="C274" s="110" t="s">
        <v>713</v>
      </c>
      <c r="D274" s="112"/>
      <c r="E274" s="112"/>
      <c r="F274" s="112"/>
      <c r="G274" s="112"/>
      <c r="H274" s="112"/>
      <c r="I274" s="55"/>
      <c r="J274" s="222"/>
      <c r="K274" s="222"/>
      <c r="L274" s="231"/>
      <c r="M274" s="231"/>
      <c r="N274" s="231"/>
      <c r="O274" s="231"/>
    </row>
    <row r="275" spans="1:15" ht="63.75" x14ac:dyDescent="0.2">
      <c r="A275" s="127">
        <f>SUBTOTAL(103,$B$10:B276)</f>
        <v>149</v>
      </c>
      <c r="B275" s="130">
        <v>308</v>
      </c>
      <c r="C275" s="110" t="s">
        <v>584</v>
      </c>
      <c r="D275" s="111">
        <f>IF(COUNTIF(tSIAF[Clave],"2710291|308")=0,"",SUMIF(tSIAF[Clave],"2710291|308",tSIAF[PIM]))</f>
        <v>563376</v>
      </c>
      <c r="E275" s="111">
        <f>IF(COUNTIF(tSIAF[Clave],"2710291|308")=0,"",SUMIF(tSIAF[Clave],"2710291|308",tSIAF[Certificacion]))</f>
        <v>563376</v>
      </c>
      <c r="F275" s="111">
        <f>IF(D275="","",D275-E275)</f>
        <v>0</v>
      </c>
      <c r="G275" s="111">
        <f>IF(COUNTIF(tSIAF[Clave],"2710291|308")=0,"",SUMIF(tSIAF[Clave],"2710291|308",tSIAF[Devengado]))</f>
        <v>65074.96</v>
      </c>
      <c r="H275" s="111">
        <f>IF(D275="","",D275-G275)</f>
        <v>498301.04</v>
      </c>
      <c r="I275" s="55">
        <f>IF(D275="","",IF(D275=0,0,G275/D275))</f>
        <v>0.11550893186788219</v>
      </c>
      <c r="J275" s="222"/>
      <c r="K275" s="222" t="s">
        <v>2299</v>
      </c>
      <c r="L275" s="231">
        <f>IF(COUNTIF(tCartera[CUI],"2710291")=0,"Sin PMI",IF(INDEX(tCartera[PMI2026],MATCH("2710291",tCartera[CUI],0))="","No informado",INDEX(tCartera[PMI2026],MATCH("2710291",tCartera[CUI],0))))</f>
        <v>350000</v>
      </c>
      <c r="M275" s="231">
        <f>IF(COUNTIF(tCartera[CUI],"2710291")=0,"Sin PMI",IF(INDEX(tCartera[PMI2027],MATCH("2710291",tCartera[CUI],0))="","No informado",INDEX(tCartera[PMI2027],MATCH("2710291",tCartera[CUI],0))))</f>
        <v>7563584</v>
      </c>
      <c r="N275" s="231">
        <f>IF(COUNTIF(tCartera[CUI],"2710291")=0,"Sin PMI",IF(INDEX(tCartera[PMI2028],MATCH("2710291",tCartera[CUI],0))="","No informado",INDEX(tCartera[PMI2028],MATCH("2710291",tCartera[CUI],0))))</f>
        <v>500000</v>
      </c>
      <c r="O275" s="231">
        <f>IF(COUNTIF(tCartera[CUI],"2710291")=0,"Sin PMI",IF(INDEX(tCartera[PMI2029],MATCH("2710291",tCartera[CUI],0))="","No informado",INDEX(tCartera[PMI2029],MATCH("2710291",tCartera[CUI],0))))</f>
        <v>700000</v>
      </c>
    </row>
    <row r="276" spans="1:15" hidden="1" x14ac:dyDescent="0.2">
      <c r="A276" s="129"/>
      <c r="B276" s="132"/>
      <c r="C276" s="110" t="s">
        <v>713</v>
      </c>
      <c r="D276" s="112"/>
      <c r="E276" s="112"/>
      <c r="F276" s="112"/>
      <c r="G276" s="112"/>
      <c r="H276" s="112"/>
      <c r="I276" s="55"/>
      <c r="J276" s="222"/>
      <c r="K276" s="222"/>
      <c r="L276" s="231"/>
      <c r="M276" s="231"/>
      <c r="N276" s="231"/>
      <c r="O276" s="231"/>
    </row>
    <row r="277" spans="1:15" ht="63.75" x14ac:dyDescent="0.2">
      <c r="A277" s="127">
        <f>SUBTOTAL(103,$B$10:B278)</f>
        <v>150</v>
      </c>
      <c r="B277" s="130">
        <v>309</v>
      </c>
      <c r="C277" s="110" t="s">
        <v>585</v>
      </c>
      <c r="D277" s="111">
        <f>IF(COUNTIF(tSIAF[Clave],"2682870|309")=0,"",SUMIF(tSIAF[Clave],"2682870|309",tSIAF[PIM]))</f>
        <v>400000</v>
      </c>
      <c r="E277" s="111">
        <f>IF(COUNTIF(tSIAF[Clave],"2682870|309")=0,"",SUMIF(tSIAF[Clave],"2682870|309",tSIAF[Certificacion]))</f>
        <v>400000</v>
      </c>
      <c r="F277" s="111">
        <f>IF(D277="","",D277-E277)</f>
        <v>0</v>
      </c>
      <c r="G277" s="111">
        <f>IF(COUNTIF(tSIAF[Clave],"2682870|309")=0,"",SUMIF(tSIAF[Clave],"2682870|309",tSIAF[Devengado]))</f>
        <v>285245.05</v>
      </c>
      <c r="H277" s="111">
        <f>IF(D277="","",D277-G277)</f>
        <v>114754.95000000001</v>
      </c>
      <c r="I277" s="55">
        <f>IF(D277="","",IF(D277=0,0,G277/D277))</f>
        <v>0.71311262499999994</v>
      </c>
      <c r="J277" s="222"/>
      <c r="K277" s="222" t="s">
        <v>2299</v>
      </c>
      <c r="L277" s="231">
        <f>IF(COUNTIF(tCartera[CUI],"2682870")=0,"Sin PMI",IF(INDEX(tCartera[PMI2026],MATCH("2682870",tCartera[CUI],0))="","No informado",INDEX(tCartera[PMI2026],MATCH("2682870",tCartera[CUI],0))))</f>
        <v>400000</v>
      </c>
      <c r="M277" s="231">
        <f>IF(COUNTIF(tCartera[CUI],"2682870")=0,"Sin PMI",IF(INDEX(tCartera[PMI2027],MATCH("2682870",tCartera[CUI],0))="","No informado",INDEX(tCartera[PMI2027],MATCH("2682870",tCartera[CUI],0))))</f>
        <v>358745</v>
      </c>
      <c r="N277" s="231">
        <f>IF(COUNTIF(tCartera[CUI],"2682870")=0,"Sin PMI",IF(INDEX(tCartera[PMI2028],MATCH("2682870",tCartera[CUI],0))="","No informado",INDEX(tCartera[PMI2028],MATCH("2682870",tCartera[CUI],0))))</f>
        <v>0</v>
      </c>
      <c r="O277" s="231">
        <f>IF(COUNTIF(tCartera[CUI],"2682870")=0,"Sin PMI",IF(INDEX(tCartera[PMI2029],MATCH("2682870",tCartera[CUI],0))="","No informado",INDEX(tCartera[PMI2029],MATCH("2682870",tCartera[CUI],0))))</f>
        <v>1000000</v>
      </c>
    </row>
    <row r="278" spans="1:15" hidden="1" x14ac:dyDescent="0.2">
      <c r="A278" s="129"/>
      <c r="B278" s="132"/>
      <c r="C278" s="110" t="s">
        <v>713</v>
      </c>
      <c r="D278" s="112"/>
      <c r="E278" s="112"/>
      <c r="F278" s="112"/>
      <c r="G278" s="112"/>
      <c r="H278" s="112"/>
      <c r="I278" s="55"/>
      <c r="J278" s="222"/>
      <c r="K278" s="222"/>
      <c r="L278" s="231"/>
      <c r="M278" s="231"/>
      <c r="N278" s="231"/>
      <c r="O278" s="231"/>
    </row>
    <row r="279" spans="1:15" ht="63.75" x14ac:dyDescent="0.2">
      <c r="A279" s="127">
        <f>SUBTOTAL(103,$B$10:B280)</f>
        <v>151</v>
      </c>
      <c r="B279" s="130">
        <v>310</v>
      </c>
      <c r="C279" s="110" t="s">
        <v>533</v>
      </c>
      <c r="D279" s="111">
        <f>IF(COUNTIF(tSIAF[Clave],"2681092|310")=0,"",SUMIF(tSIAF[Clave],"2681092|310",tSIAF[PIM]))</f>
        <v>386035</v>
      </c>
      <c r="E279" s="111">
        <f>IF(COUNTIF(tSIAF[Clave],"2681092|310")=0,"",SUMIF(tSIAF[Clave],"2681092|310",tSIAF[Certificacion]))</f>
        <v>365592.91</v>
      </c>
      <c r="F279" s="111">
        <f>IF(D279="","",D279-E279)</f>
        <v>20442.090000000026</v>
      </c>
      <c r="G279" s="111">
        <f>IF(COUNTIF(tSIAF[Clave],"2681092|310")=0,"",SUMIF(tSIAF[Clave],"2681092|310",tSIAF[Devengado]))</f>
        <v>246262.9</v>
      </c>
      <c r="H279" s="111">
        <f>IF(D279="","",D279-G279)</f>
        <v>139772.1</v>
      </c>
      <c r="I279" s="55">
        <f>IF(D279="","",IF(D279=0,0,G279/D279))</f>
        <v>0.63792894426671154</v>
      </c>
      <c r="J279" s="222"/>
      <c r="K279" s="222" t="s">
        <v>2299</v>
      </c>
      <c r="L279" s="231">
        <f>IF(COUNTIF(tCartera[CUI],"2681092")=0,"Sin PMI",IF(INDEX(tCartera[PMI2026],MATCH("2681092",tCartera[CUI],0))="","No informado",INDEX(tCartera[PMI2026],MATCH("2681092",tCartera[CUI],0))))</f>
        <v>386035</v>
      </c>
      <c r="M279" s="231">
        <f>IF(COUNTIF(tCartera[CUI],"2681092")=0,"Sin PMI",IF(INDEX(tCartera[PMI2027],MATCH("2681092",tCartera[CUI],0))="","No informado",INDEX(tCartera[PMI2027],MATCH("2681092",tCartera[CUI],0))))</f>
        <v>310542</v>
      </c>
      <c r="N279" s="231">
        <f>IF(COUNTIF(tCartera[CUI],"2681092")=0,"Sin PMI",IF(INDEX(tCartera[PMI2028],MATCH("2681092",tCartera[CUI],0))="","No informado",INDEX(tCartera[PMI2028],MATCH("2681092",tCartera[CUI],0))))</f>
        <v>0</v>
      </c>
      <c r="O279" s="231">
        <f>IF(COUNTIF(tCartera[CUI],"2681092")=0,"Sin PMI",IF(INDEX(tCartera[PMI2029],MATCH("2681092",tCartera[CUI],0))="","No informado",INDEX(tCartera[PMI2029],MATCH("2681092",tCartera[CUI],0))))</f>
        <v>1000000</v>
      </c>
    </row>
    <row r="280" spans="1:15" hidden="1" x14ac:dyDescent="0.2">
      <c r="A280" s="129"/>
      <c r="B280" s="132"/>
      <c r="C280" s="110" t="s">
        <v>713</v>
      </c>
      <c r="D280" s="112"/>
      <c r="E280" s="112"/>
      <c r="F280" s="112"/>
      <c r="G280" s="112"/>
      <c r="H280" s="112"/>
      <c r="I280" s="55"/>
      <c r="J280" s="222"/>
      <c r="K280" s="222"/>
      <c r="L280" s="231"/>
      <c r="M280" s="231"/>
      <c r="N280" s="231"/>
      <c r="O280" s="231"/>
    </row>
    <row r="281" spans="1:15" ht="51" x14ac:dyDescent="0.2">
      <c r="A281" s="127">
        <f>SUBTOTAL(103,$B$10:B282)</f>
        <v>152</v>
      </c>
      <c r="B281" s="130">
        <v>325</v>
      </c>
      <c r="C281" s="110" t="s">
        <v>591</v>
      </c>
      <c r="D281" s="111">
        <f>IF(COUNTIF(tSIAF[Clave],"2575299|325")=0,"",SUMIF(tSIAF[Clave],"2575299|325",tSIAF[PIM]))</f>
        <v>18371</v>
      </c>
      <c r="E281" s="111">
        <f>IF(COUNTIF(tSIAF[Clave],"2575299|325")=0,"",SUMIF(tSIAF[Clave],"2575299|325",tSIAF[Certificacion]))</f>
        <v>0</v>
      </c>
      <c r="F281" s="111">
        <f>IF(D281="","",D281-E281)</f>
        <v>18371</v>
      </c>
      <c r="G281" s="111">
        <f>IF(COUNTIF(tSIAF[Clave],"2575299|325")=0,"",SUMIF(tSIAF[Clave],"2575299|325",tSIAF[Devengado]))</f>
        <v>0</v>
      </c>
      <c r="H281" s="111">
        <f>IF(D281="","",D281-G281)</f>
        <v>18371</v>
      </c>
      <c r="I281" s="55">
        <f>IF(D281="","",IF(D281=0,0,G281/D281))</f>
        <v>0</v>
      </c>
      <c r="J281" s="222"/>
      <c r="K281" s="222" t="s">
        <v>2299</v>
      </c>
      <c r="L281" s="231" t="str">
        <f>IF(COUNTIF(tCartera[CUI],"2575299")=0,"Sin PMI",IF(INDEX(tCartera[PMI2026],MATCH("2575299",tCartera[CUI],0))="","No informado",INDEX(tCartera[PMI2026],MATCH("2575299",tCartera[CUI],0))))</f>
        <v>Sin PMI</v>
      </c>
      <c r="M281" s="231" t="str">
        <f>IF(COUNTIF(tCartera[CUI],"2575299")=0,"Sin PMI",IF(INDEX(tCartera[PMI2027],MATCH("2575299",tCartera[CUI],0))="","No informado",INDEX(tCartera[PMI2027],MATCH("2575299",tCartera[CUI],0))))</f>
        <v>Sin PMI</v>
      </c>
      <c r="N281" s="231" t="str">
        <f>IF(COUNTIF(tCartera[CUI],"2575299")=0,"Sin PMI",IF(INDEX(tCartera[PMI2028],MATCH("2575299",tCartera[CUI],0))="","No informado",INDEX(tCartera[PMI2028],MATCH("2575299",tCartera[CUI],0))))</f>
        <v>Sin PMI</v>
      </c>
      <c r="O281" s="231" t="str">
        <f>IF(COUNTIF(tCartera[CUI],"2575299")=0,"Sin PMI",IF(INDEX(tCartera[PMI2029],MATCH("2575299",tCartera[CUI],0))="","No informado",INDEX(tCartera[PMI2029],MATCH("2575299",tCartera[CUI],0))))</f>
        <v>Sin PMI</v>
      </c>
    </row>
    <row r="282" spans="1:15" hidden="1" x14ac:dyDescent="0.2">
      <c r="A282" s="129"/>
      <c r="B282" s="132"/>
      <c r="C282" s="110" t="s">
        <v>713</v>
      </c>
      <c r="D282" s="112"/>
      <c r="E282" s="112"/>
      <c r="F282" s="112"/>
      <c r="G282" s="112"/>
      <c r="H282" s="112"/>
      <c r="I282" s="55"/>
      <c r="J282" s="222"/>
      <c r="K282" s="222"/>
      <c r="L282" s="231"/>
      <c r="M282" s="231"/>
      <c r="N282" s="231"/>
      <c r="O282" s="231"/>
    </row>
    <row r="283" spans="1:15" ht="63.75" x14ac:dyDescent="0.2">
      <c r="A283" s="127">
        <f>SUBTOTAL(103,$B$10:B284)</f>
        <v>153</v>
      </c>
      <c r="B283" s="130">
        <v>326</v>
      </c>
      <c r="C283" s="110" t="s">
        <v>592</v>
      </c>
      <c r="D283" s="111">
        <f>IF(COUNTIF(tSIAF[Clave],"2642160|326")=0,"",SUMIF(tSIAF[Clave],"2642160|326",tSIAF[PIM]))</f>
        <v>225183</v>
      </c>
      <c r="E283" s="111">
        <f>IF(COUNTIF(tSIAF[Clave],"2642160|326")=0,"",SUMIF(tSIAF[Clave],"2642160|326",tSIAF[Certificacion]))</f>
        <v>180000</v>
      </c>
      <c r="F283" s="111">
        <f>IF(D283="","",D283-E283)</f>
        <v>45183</v>
      </c>
      <c r="G283" s="111">
        <f>IF(COUNTIF(tSIAF[Clave],"2642160|326")=0,"",SUMIF(tSIAF[Clave],"2642160|326",tSIAF[Devengado]))</f>
        <v>179898.4</v>
      </c>
      <c r="H283" s="111">
        <f>IF(D283="","",D283-G283)</f>
        <v>45284.600000000006</v>
      </c>
      <c r="I283" s="55">
        <f>IF(D283="","",IF(D283=0,0,G283/D283))</f>
        <v>0.79889867352331212</v>
      </c>
      <c r="J283" s="222"/>
      <c r="K283" s="222" t="s">
        <v>2299</v>
      </c>
      <c r="L283" s="231" t="str">
        <f>IF(COUNTIF(tCartera[CUI],"2642160")=0,"Sin PMI",IF(INDEX(tCartera[PMI2026],MATCH("2642160",tCartera[CUI],0))="","No informado",INDEX(tCartera[PMI2026],MATCH("2642160",tCartera[CUI],0))))</f>
        <v>Sin PMI</v>
      </c>
      <c r="M283" s="231" t="str">
        <f>IF(COUNTIF(tCartera[CUI],"2642160")=0,"Sin PMI",IF(INDEX(tCartera[PMI2027],MATCH("2642160",tCartera[CUI],0))="","No informado",INDEX(tCartera[PMI2027],MATCH("2642160",tCartera[CUI],0))))</f>
        <v>Sin PMI</v>
      </c>
      <c r="N283" s="231" t="str">
        <f>IF(COUNTIF(tCartera[CUI],"2642160")=0,"Sin PMI",IF(INDEX(tCartera[PMI2028],MATCH("2642160",tCartera[CUI],0))="","No informado",INDEX(tCartera[PMI2028],MATCH("2642160",tCartera[CUI],0))))</f>
        <v>Sin PMI</v>
      </c>
      <c r="O283" s="231" t="str">
        <f>IF(COUNTIF(tCartera[CUI],"2642160")=0,"Sin PMI",IF(INDEX(tCartera[PMI2029],MATCH("2642160",tCartera[CUI],0))="","No informado",INDEX(tCartera[PMI2029],MATCH("2642160",tCartera[CUI],0))))</f>
        <v>Sin PMI</v>
      </c>
    </row>
    <row r="284" spans="1:15" hidden="1" x14ac:dyDescent="0.2">
      <c r="A284" s="129"/>
      <c r="B284" s="132"/>
      <c r="C284" s="110" t="s">
        <v>713</v>
      </c>
      <c r="D284" s="112"/>
      <c r="E284" s="112"/>
      <c r="F284" s="112"/>
      <c r="G284" s="112"/>
      <c r="H284" s="112"/>
      <c r="I284" s="55"/>
      <c r="J284" s="222"/>
      <c r="K284" s="222"/>
      <c r="L284" s="231"/>
      <c r="M284" s="231"/>
      <c r="N284" s="231"/>
      <c r="O284" s="231"/>
    </row>
    <row r="285" spans="1:15" ht="63.75" x14ac:dyDescent="0.2">
      <c r="A285" s="127">
        <f>SUBTOTAL(103,$B$10:B286)</f>
        <v>154</v>
      </c>
      <c r="B285" s="130">
        <v>327</v>
      </c>
      <c r="C285" s="110" t="s">
        <v>593</v>
      </c>
      <c r="D285" s="111">
        <f>IF(COUNTIF(tSIAF[Clave],"2669470|327")=0,"",SUMIF(tSIAF[Clave],"2669470|327",tSIAF[PIM]))</f>
        <v>680000</v>
      </c>
      <c r="E285" s="111">
        <f>IF(COUNTIF(tSIAF[Clave],"2669470|327")=0,"",SUMIF(tSIAF[Clave],"2669470|327",tSIAF[Certificacion]))</f>
        <v>676480</v>
      </c>
      <c r="F285" s="111">
        <f>IF(D285="","",D285-E285)</f>
        <v>3520</v>
      </c>
      <c r="G285" s="111">
        <f>IF(COUNTIF(tSIAF[Clave],"2669470|327")=0,"",SUMIF(tSIAF[Clave],"2669470|327",tSIAF[Devengado]))</f>
        <v>463894.66</v>
      </c>
      <c r="H285" s="111">
        <f>IF(D285="","",D285-G285)</f>
        <v>216105.34000000003</v>
      </c>
      <c r="I285" s="55">
        <f>IF(D285="","",IF(D285=0,0,G285/D285))</f>
        <v>0.68219802941176466</v>
      </c>
      <c r="J285" s="222"/>
      <c r="K285" s="222" t="s">
        <v>2299</v>
      </c>
      <c r="L285" s="231">
        <f>IF(COUNTIF(tCartera[CUI],"2669470")=0,"Sin PMI",IF(INDEX(tCartera[PMI2026],MATCH("2669470",tCartera[CUI],0))="","No informado",INDEX(tCartera[PMI2026],MATCH("2669470",tCartera[CUI],0))))</f>
        <v>380000</v>
      </c>
      <c r="M285" s="231">
        <f>IF(COUNTIF(tCartera[CUI],"2669470")=0,"Sin PMI",IF(INDEX(tCartera[PMI2027],MATCH("2669470",tCartera[CUI],0))="","No informado",INDEX(tCartera[PMI2027],MATCH("2669470",tCartera[CUI],0))))</f>
        <v>6625412</v>
      </c>
      <c r="N285" s="231">
        <f>IF(COUNTIF(tCartera[CUI],"2669470")=0,"Sin PMI",IF(INDEX(tCartera[PMI2028],MATCH("2669470",tCartera[CUI],0))="","No informado",INDEX(tCartera[PMI2028],MATCH("2669470",tCartera[CUI],0))))</f>
        <v>0</v>
      </c>
      <c r="O285" s="231">
        <f>IF(COUNTIF(tCartera[CUI],"2669470")=0,"Sin PMI",IF(INDEX(tCartera[PMI2029],MATCH("2669470",tCartera[CUI],0))="","No informado",INDEX(tCartera[PMI2029],MATCH("2669470",tCartera[CUI],0))))</f>
        <v>1000000</v>
      </c>
    </row>
    <row r="286" spans="1:15" hidden="1" x14ac:dyDescent="0.2">
      <c r="A286" s="129"/>
      <c r="B286" s="132"/>
      <c r="C286" s="110" t="s">
        <v>713</v>
      </c>
      <c r="D286" s="112"/>
      <c r="E286" s="112"/>
      <c r="F286" s="112"/>
      <c r="G286" s="112"/>
      <c r="H286" s="112"/>
      <c r="I286" s="55"/>
      <c r="J286" s="222"/>
      <c r="K286" s="222"/>
      <c r="L286" s="231"/>
      <c r="M286" s="231"/>
      <c r="N286" s="231"/>
      <c r="O286" s="231"/>
    </row>
    <row r="287" spans="1:15" ht="63.75" x14ac:dyDescent="0.2">
      <c r="A287" s="127">
        <f>SUBTOTAL(103,$B$10:B288)</f>
        <v>155</v>
      </c>
      <c r="B287" s="130">
        <v>328</v>
      </c>
      <c r="C287" s="110" t="s">
        <v>594</v>
      </c>
      <c r="D287" s="111">
        <f>IF(COUNTIF(tSIAF[Clave],"2681096|328")=0,"",SUMIF(tSIAF[Clave],"2681096|328",tSIAF[PIM]))</f>
        <v>519111</v>
      </c>
      <c r="E287" s="111">
        <f>IF(COUNTIF(tSIAF[Clave],"2681096|328")=0,"",SUMIF(tSIAF[Clave],"2681096|328",tSIAF[Certificacion]))</f>
        <v>519111</v>
      </c>
      <c r="F287" s="111">
        <f>IF(D287="","",D287-E287)</f>
        <v>0</v>
      </c>
      <c r="G287" s="111">
        <f>IF(COUNTIF(tSIAF[Clave],"2681096|328")=0,"",SUMIF(tSIAF[Clave],"2681096|328",tSIAF[Devengado]))</f>
        <v>211182.68</v>
      </c>
      <c r="H287" s="111">
        <f>IF(D287="","",D287-G287)</f>
        <v>307928.32000000001</v>
      </c>
      <c r="I287" s="55">
        <f>IF(D287="","",IF(D287=0,0,G287/D287))</f>
        <v>0.40681603741781619</v>
      </c>
      <c r="J287" s="222"/>
      <c r="K287" s="222" t="s">
        <v>2299</v>
      </c>
      <c r="L287" s="231">
        <f>IF(COUNTIF(tCartera[CUI],"2681096")=0,"Sin PMI",IF(INDEX(tCartera[PMI2026],MATCH("2681096",tCartera[CUI],0))="","No informado",INDEX(tCartera[PMI2026],MATCH("2681096",tCartera[CUI],0))))</f>
        <v>300000</v>
      </c>
      <c r="M287" s="231">
        <f>IF(COUNTIF(tCartera[CUI],"2681096")=0,"Sin PMI",IF(INDEX(tCartera[PMI2027],MATCH("2681096",tCartera[CUI],0))="","No informado",INDEX(tCartera[PMI2027],MATCH("2681096",tCartera[CUI],0))))</f>
        <v>5285426</v>
      </c>
      <c r="N287" s="231">
        <f>IF(COUNTIF(tCartera[CUI],"2681096")=0,"Sin PMI",IF(INDEX(tCartera[PMI2028],MATCH("2681096",tCartera[CUI],0))="","No informado",INDEX(tCartera[PMI2028],MATCH("2681096",tCartera[CUI],0))))</f>
        <v>0</v>
      </c>
      <c r="O287" s="231">
        <f>IF(COUNTIF(tCartera[CUI],"2681096")=0,"Sin PMI",IF(INDEX(tCartera[PMI2029],MATCH("2681096",tCartera[CUI],0))="","No informado",INDEX(tCartera[PMI2029],MATCH("2681096",tCartera[CUI],0))))</f>
        <v>1000000</v>
      </c>
    </row>
    <row r="288" spans="1:15" hidden="1" x14ac:dyDescent="0.2">
      <c r="A288" s="129"/>
      <c r="B288" s="132"/>
      <c r="C288" s="110" t="s">
        <v>713</v>
      </c>
      <c r="D288" s="112"/>
      <c r="E288" s="112"/>
      <c r="F288" s="112"/>
      <c r="G288" s="112"/>
      <c r="H288" s="112"/>
      <c r="I288" s="55"/>
      <c r="J288" s="222"/>
      <c r="K288" s="222"/>
      <c r="L288" s="231"/>
      <c r="M288" s="231"/>
      <c r="N288" s="231"/>
      <c r="O288" s="231"/>
    </row>
    <row r="289" spans="1:15" ht="63.75" x14ac:dyDescent="0.2">
      <c r="A289" s="127">
        <f>SUBTOTAL(103,$B$10:B290)</f>
        <v>156</v>
      </c>
      <c r="B289" s="130">
        <v>329</v>
      </c>
      <c r="C289" s="110" t="s">
        <v>595</v>
      </c>
      <c r="D289" s="111">
        <f>IF(COUNTIF(tSIAF[Clave],"2692317|329")=0,"",SUMIF(tSIAF[Clave],"2692317|329",tSIAF[PIM]))</f>
        <v>206971</v>
      </c>
      <c r="E289" s="111">
        <f>IF(COUNTIF(tSIAF[Clave],"2692317|329")=0,"",SUMIF(tSIAF[Clave],"2692317|329",tSIAF[Certificacion]))</f>
        <v>206970.5</v>
      </c>
      <c r="F289" s="111">
        <f>IF(D289="","",D289-E289)</f>
        <v>0.5</v>
      </c>
      <c r="G289" s="111">
        <f>IF(COUNTIF(tSIAF[Clave],"2692317|329")=0,"",SUMIF(tSIAF[Clave],"2692317|329",tSIAF[Devengado]))</f>
        <v>110370.29</v>
      </c>
      <c r="H289" s="111">
        <f>IF(D289="","",D289-G289)</f>
        <v>96600.71</v>
      </c>
      <c r="I289" s="55">
        <f>IF(D289="","",IF(D289=0,0,G289/D289))</f>
        <v>0.53326451531857122</v>
      </c>
      <c r="J289" s="222"/>
      <c r="K289" s="222" t="s">
        <v>2299</v>
      </c>
      <c r="L289" s="231">
        <f>IF(COUNTIF(tCartera[CUI],"2692317")=0,"Sin PMI",IF(INDEX(tCartera[PMI2026],MATCH("2692317",tCartera[CUI],0))="","No informado",INDEX(tCartera[PMI2026],MATCH("2692317",tCartera[CUI],0))))</f>
        <v>206972</v>
      </c>
      <c r="M289" s="231">
        <f>IF(COUNTIF(tCartera[CUI],"2692317")=0,"Sin PMI",IF(INDEX(tCartera[PMI2027],MATCH("2692317",tCartera[CUI],0))="","No informado",INDEX(tCartera[PMI2027],MATCH("2692317",tCartera[CUI],0))))</f>
        <v>254584</v>
      </c>
      <c r="N289" s="231">
        <f>IF(COUNTIF(tCartera[CUI],"2692317")=0,"Sin PMI",IF(INDEX(tCartera[PMI2028],MATCH("2692317",tCartera[CUI],0))="","No informado",INDEX(tCartera[PMI2028],MATCH("2692317",tCartera[CUI],0))))</f>
        <v>0</v>
      </c>
      <c r="O289" s="231">
        <f>IF(COUNTIF(tCartera[CUI],"2692317")=0,"Sin PMI",IF(INDEX(tCartera[PMI2029],MATCH("2692317",tCartera[CUI],0))="","No informado",INDEX(tCartera[PMI2029],MATCH("2692317",tCartera[CUI],0))))</f>
        <v>500000</v>
      </c>
    </row>
    <row r="290" spans="1:15" hidden="1" x14ac:dyDescent="0.2">
      <c r="A290" s="129"/>
      <c r="B290" s="132"/>
      <c r="C290" s="110" t="s">
        <v>713</v>
      </c>
      <c r="D290" s="112"/>
      <c r="E290" s="112"/>
      <c r="F290" s="112"/>
      <c r="G290" s="112"/>
      <c r="H290" s="112"/>
      <c r="I290" s="55"/>
      <c r="J290" s="222"/>
      <c r="K290" s="222"/>
      <c r="L290" s="231"/>
      <c r="M290" s="231"/>
      <c r="N290" s="231"/>
      <c r="O290" s="231"/>
    </row>
    <row r="291" spans="1:15" ht="51" x14ac:dyDescent="0.2">
      <c r="A291" s="127">
        <f>SUBTOTAL(103,$B$10:B292)</f>
        <v>157</v>
      </c>
      <c r="B291" s="130">
        <v>342</v>
      </c>
      <c r="C291" s="110" t="s">
        <v>602</v>
      </c>
      <c r="D291" s="111">
        <f>IF(COUNTIF(tSIAF[Clave],"2654204|342")=0,"",SUMIF(tSIAF[Clave],"2654204|342",tSIAF[PIM]))</f>
        <v>654463</v>
      </c>
      <c r="E291" s="111">
        <f>IF(COUNTIF(tSIAF[Clave],"2654204|342")=0,"",SUMIF(tSIAF[Clave],"2654204|342",tSIAF[Certificacion]))</f>
        <v>639329.5</v>
      </c>
      <c r="F291" s="111">
        <f>IF(D291="","",D291-E291)</f>
        <v>15133.5</v>
      </c>
      <c r="G291" s="111">
        <f>IF(COUNTIF(tSIAF[Clave],"2654204|342")=0,"",SUMIF(tSIAF[Clave],"2654204|342",tSIAF[Devengado]))</f>
        <v>548829.68999999994</v>
      </c>
      <c r="H291" s="111">
        <f>IF(D291="","",D291-G291)</f>
        <v>105633.31000000006</v>
      </c>
      <c r="I291" s="55">
        <f>IF(D291="","",IF(D291=0,0,G291/D291))</f>
        <v>0.83859544389827989</v>
      </c>
      <c r="J291" s="222"/>
      <c r="K291" s="222" t="s">
        <v>2299</v>
      </c>
      <c r="L291" s="231">
        <f>IF(COUNTIF(tCartera[CUI],"2654204")=0,"Sin PMI",IF(INDEX(tCartera[PMI2026],MATCH("2654204",tCartera[CUI],0))="","No informado",INDEX(tCartera[PMI2026],MATCH("2654204",tCartera[CUI],0))))</f>
        <v>380000</v>
      </c>
      <c r="M291" s="231">
        <f>IF(COUNTIF(tCartera[CUI],"2654204")=0,"Sin PMI",IF(INDEX(tCartera[PMI2027],MATCH("2654204",tCartera[CUI],0))="","No informado",INDEX(tCartera[PMI2027],MATCH("2654204",tCartera[CUI],0))))</f>
        <v>1421799</v>
      </c>
      <c r="N291" s="231">
        <f>IF(COUNTIF(tCartera[CUI],"2654204")=0,"Sin PMI",IF(INDEX(tCartera[PMI2028],MATCH("2654204",tCartera[CUI],0))="","No informado",INDEX(tCartera[PMI2028],MATCH("2654204",tCartera[CUI],0))))</f>
        <v>0</v>
      </c>
      <c r="O291" s="231">
        <f>IF(COUNTIF(tCartera[CUI],"2654204")=0,"Sin PMI",IF(INDEX(tCartera[PMI2029],MATCH("2654204",tCartera[CUI],0))="","No informado",INDEX(tCartera[PMI2029],MATCH("2654204",tCartera[CUI],0))))</f>
        <v>1000000</v>
      </c>
    </row>
    <row r="292" spans="1:15" hidden="1" x14ac:dyDescent="0.2">
      <c r="A292" s="129"/>
      <c r="B292" s="132"/>
      <c r="C292" s="110" t="s">
        <v>713</v>
      </c>
      <c r="D292" s="112"/>
      <c r="E292" s="112"/>
      <c r="F292" s="112"/>
      <c r="G292" s="112"/>
      <c r="H292" s="112"/>
      <c r="I292" s="55"/>
      <c r="J292" s="222"/>
      <c r="K292" s="222"/>
      <c r="L292" s="231"/>
      <c r="M292" s="231"/>
      <c r="N292" s="231"/>
      <c r="O292" s="231"/>
    </row>
    <row r="293" spans="1:15" ht="25.5" x14ac:dyDescent="0.2">
      <c r="A293" s="127">
        <f>SUBTOTAL(103,$B$10:B294)</f>
        <v>158</v>
      </c>
      <c r="B293" s="130">
        <v>347</v>
      </c>
      <c r="C293" s="81" t="s">
        <v>94</v>
      </c>
      <c r="D293" s="54">
        <f>IF(COUNTIF(tSIAF[Clave],"2131661|347")=0,"",SUMIF(tSIAF[Clave],"2131661|347",tSIAF[PIM]))</f>
        <v>100000</v>
      </c>
      <c r="E293" s="54">
        <f>IF(COUNTIF(tSIAF[Clave],"2131661|347")=0,"",SUMIF(tSIAF[Clave],"2131661|347",tSIAF[Certificacion]))</f>
        <v>0</v>
      </c>
      <c r="F293" s="54">
        <f>IF(D293="","",D293-E293)</f>
        <v>100000</v>
      </c>
      <c r="G293" s="54">
        <f>IF(COUNTIF(tSIAF[Clave],"2131661|347")=0,"",SUMIF(tSIAF[Clave],"2131661|347",tSIAF[Devengado]))</f>
        <v>0</v>
      </c>
      <c r="H293" s="54">
        <f>IF(D293="","",D293-G293)</f>
        <v>100000</v>
      </c>
      <c r="I293" s="55">
        <f>IF(D293="","",IF(D293=0,0,G293/D293))</f>
        <v>0</v>
      </c>
      <c r="J293" s="222"/>
      <c r="K293" s="222" t="s">
        <v>2299</v>
      </c>
      <c r="L293" s="231">
        <f>IF(COUNTIF(tCartera[CUI],"2131661")=0,"Sin PMI",IF(INDEX(tCartera[PMI2026],MATCH("2131661",tCartera[CUI],0))="","No informado",INDEX(tCartera[PMI2026],MATCH("2131661",tCartera[CUI],0))))</f>
        <v>4800690</v>
      </c>
      <c r="M293" s="231">
        <f>IF(COUNTIF(tCartera[CUI],"2131661")=0,"Sin PMI",IF(INDEX(tCartera[PMI2027],MATCH("2131661",tCartera[CUI],0))="","No informado",INDEX(tCartera[PMI2027],MATCH("2131661",tCartera[CUI],0))))</f>
        <v>4000000</v>
      </c>
      <c r="N293" s="231">
        <f>IF(COUNTIF(tCartera[CUI],"2131661")=0,"Sin PMI",IF(INDEX(tCartera[PMI2028],MATCH("2131661",tCartera[CUI],0))="","No informado",INDEX(tCartera[PMI2028],MATCH("2131661",tCartera[CUI],0))))</f>
        <v>14883202</v>
      </c>
      <c r="O293" s="231">
        <f>IF(COUNTIF(tCartera[CUI],"2131661")=0,"Sin PMI",IF(INDEX(tCartera[PMI2029],MATCH("2131661",tCartera[CUI],0))="","No informado",INDEX(tCartera[PMI2029],MATCH("2131661",tCartera[CUI],0))))</f>
        <v>19038629</v>
      </c>
    </row>
    <row r="294" spans="1:15" hidden="1" x14ac:dyDescent="0.2">
      <c r="A294" s="129"/>
      <c r="B294" s="132"/>
      <c r="C294" s="110" t="s">
        <v>713</v>
      </c>
      <c r="D294" s="112"/>
      <c r="E294" s="112"/>
      <c r="F294" s="112"/>
      <c r="G294" s="112"/>
      <c r="H294" s="112"/>
      <c r="I294" s="55"/>
      <c r="J294" s="222"/>
      <c r="K294" s="222"/>
      <c r="L294" s="231"/>
      <c r="M294" s="231"/>
      <c r="N294" s="231"/>
      <c r="O294" s="231"/>
    </row>
    <row r="295" spans="1:15" ht="51" x14ac:dyDescent="0.2">
      <c r="A295" s="127">
        <f>SUBTOTAL(103,$B$10:B296)</f>
        <v>159</v>
      </c>
      <c r="B295" s="130">
        <v>521</v>
      </c>
      <c r="C295" s="110" t="s">
        <v>676</v>
      </c>
      <c r="D295" s="111">
        <f>IF(COUNTIF(tSIAF[Clave],"2727133|521")=0,"",SUMIF(tSIAF[Clave],"2727133|521",tSIAF[PIM]))</f>
        <v>40572</v>
      </c>
      <c r="E295" s="111">
        <f>IF(COUNTIF(tSIAF[Clave],"2727133|521")=0,"",SUMIF(tSIAF[Clave],"2727133|521",tSIAF[Certificacion]))</f>
        <v>0</v>
      </c>
      <c r="F295" s="111">
        <f>IF(D295="","",D295-E295)</f>
        <v>40572</v>
      </c>
      <c r="G295" s="111">
        <f>IF(COUNTIF(tSIAF[Clave],"2727133|521")=0,"",SUMIF(tSIAF[Clave],"2727133|521",tSIAF[Devengado]))</f>
        <v>0</v>
      </c>
      <c r="H295" s="111">
        <f>IF(D295="","",D295-G295)</f>
        <v>40572</v>
      </c>
      <c r="I295" s="55">
        <f>IF(D295="","",IF(D295=0,0,G295/D295))</f>
        <v>0</v>
      </c>
      <c r="J295" s="222"/>
      <c r="K295" s="222" t="s">
        <v>2299</v>
      </c>
      <c r="L295" s="231" t="str">
        <f>IF(COUNTIF(tCartera[CUI],"2727133")=0,"Sin PMI",IF(INDEX(tCartera[PMI2026],MATCH("2727133",tCartera[CUI],0))="","No informado",INDEX(tCartera[PMI2026],MATCH("2727133",tCartera[CUI],0))))</f>
        <v>Sin PMI</v>
      </c>
      <c r="M295" s="231" t="str">
        <f>IF(COUNTIF(tCartera[CUI],"2727133")=0,"Sin PMI",IF(INDEX(tCartera[PMI2027],MATCH("2727133",tCartera[CUI],0))="","No informado",INDEX(tCartera[PMI2027],MATCH("2727133",tCartera[CUI],0))))</f>
        <v>Sin PMI</v>
      </c>
      <c r="N295" s="231" t="str">
        <f>IF(COUNTIF(tCartera[CUI],"2727133")=0,"Sin PMI",IF(INDEX(tCartera[PMI2028],MATCH("2727133",tCartera[CUI],0))="","No informado",INDEX(tCartera[PMI2028],MATCH("2727133",tCartera[CUI],0))))</f>
        <v>Sin PMI</v>
      </c>
      <c r="O295" s="231" t="str">
        <f>IF(COUNTIF(tCartera[CUI],"2727133")=0,"Sin PMI",IF(INDEX(tCartera[PMI2029],MATCH("2727133",tCartera[CUI],0))="","No informado",INDEX(tCartera[PMI2029],MATCH("2727133",tCartera[CUI],0))))</f>
        <v>Sin PMI</v>
      </c>
    </row>
    <row r="296" spans="1:15" hidden="1" x14ac:dyDescent="0.2">
      <c r="A296" s="129"/>
      <c r="B296" s="132"/>
      <c r="C296" s="110" t="s">
        <v>713</v>
      </c>
      <c r="D296" s="112"/>
      <c r="E296" s="112"/>
      <c r="F296" s="112"/>
      <c r="G296" s="112"/>
      <c r="H296" s="112"/>
      <c r="I296" s="55"/>
      <c r="J296" s="222"/>
      <c r="K296" s="222"/>
      <c r="L296" s="231"/>
      <c r="M296" s="231"/>
      <c r="N296" s="231"/>
      <c r="O296" s="231"/>
    </row>
    <row r="297" spans="1:15" ht="38.25" x14ac:dyDescent="0.2">
      <c r="A297" s="127">
        <f>SUBTOTAL(103,$B$10:B298)</f>
        <v>160</v>
      </c>
      <c r="B297" s="130">
        <v>522</v>
      </c>
      <c r="C297" s="110" t="s">
        <v>677</v>
      </c>
      <c r="D297" s="111">
        <f>IF(COUNTIF(tSIAF[Clave],"2727299|522")=0,"",SUMIF(tSIAF[Clave],"2727299|522",tSIAF[PIM]))</f>
        <v>75291</v>
      </c>
      <c r="E297" s="111">
        <f>IF(COUNTIF(tSIAF[Clave],"2727299|522")=0,"",SUMIF(tSIAF[Clave],"2727299|522",tSIAF[Certificacion]))</f>
        <v>0</v>
      </c>
      <c r="F297" s="111">
        <f>IF(D297="","",D297-E297)</f>
        <v>75291</v>
      </c>
      <c r="G297" s="111">
        <f>IF(COUNTIF(tSIAF[Clave],"2727299|522")=0,"",SUMIF(tSIAF[Clave],"2727299|522",tSIAF[Devengado]))</f>
        <v>0</v>
      </c>
      <c r="H297" s="111">
        <f>IF(D297="","",D297-G297)</f>
        <v>75291</v>
      </c>
      <c r="I297" s="55">
        <f>IF(D297="","",IF(D297=0,0,G297/D297))</f>
        <v>0</v>
      </c>
      <c r="J297" s="222"/>
      <c r="K297" s="222" t="s">
        <v>2299</v>
      </c>
      <c r="L297" s="231" t="str">
        <f>IF(COUNTIF(tCartera[CUI],"2727299")=0,"Sin PMI",IF(INDEX(tCartera[PMI2026],MATCH("2727299",tCartera[CUI],0))="","No informado",INDEX(tCartera[PMI2026],MATCH("2727299",tCartera[CUI],0))))</f>
        <v>Sin PMI</v>
      </c>
      <c r="M297" s="231" t="str">
        <f>IF(COUNTIF(tCartera[CUI],"2727299")=0,"Sin PMI",IF(INDEX(tCartera[PMI2027],MATCH("2727299",tCartera[CUI],0))="","No informado",INDEX(tCartera[PMI2027],MATCH("2727299",tCartera[CUI],0))))</f>
        <v>Sin PMI</v>
      </c>
      <c r="N297" s="231" t="str">
        <f>IF(COUNTIF(tCartera[CUI],"2727299")=0,"Sin PMI",IF(INDEX(tCartera[PMI2028],MATCH("2727299",tCartera[CUI],0))="","No informado",INDEX(tCartera[PMI2028],MATCH("2727299",tCartera[CUI],0))))</f>
        <v>Sin PMI</v>
      </c>
      <c r="O297" s="231" t="str">
        <f>IF(COUNTIF(tCartera[CUI],"2727299")=0,"Sin PMI",IF(INDEX(tCartera[PMI2029],MATCH("2727299",tCartera[CUI],0))="","No informado",INDEX(tCartera[PMI2029],MATCH("2727299",tCartera[CUI],0))))</f>
        <v>Sin PMI</v>
      </c>
    </row>
    <row r="298" spans="1:15" hidden="1" x14ac:dyDescent="0.2">
      <c r="A298" s="129"/>
      <c r="B298" s="132"/>
      <c r="C298" s="110" t="s">
        <v>713</v>
      </c>
      <c r="D298" s="112"/>
      <c r="E298" s="112"/>
      <c r="F298" s="112"/>
      <c r="G298" s="112"/>
      <c r="H298" s="112"/>
      <c r="I298" s="55"/>
      <c r="J298" s="222"/>
      <c r="K298" s="222"/>
      <c r="L298" s="231"/>
      <c r="M298" s="231"/>
      <c r="N298" s="231"/>
      <c r="O298" s="231"/>
    </row>
    <row r="299" spans="1:15" ht="16.5" x14ac:dyDescent="0.2">
      <c r="A299" s="126" t="s">
        <v>618</v>
      </c>
      <c r="B299" s="126"/>
      <c r="C299" s="126"/>
      <c r="D299" s="50">
        <f>D300+D302</f>
        <v>425742</v>
      </c>
      <c r="E299" s="50">
        <f>E300+E302</f>
        <v>385373</v>
      </c>
      <c r="F299" s="50">
        <f>D299-E299</f>
        <v>40369</v>
      </c>
      <c r="G299" s="50">
        <f>G300+G302</f>
        <v>207394.57</v>
      </c>
      <c r="H299" s="50">
        <f>D299-G299</f>
        <v>218347.43</v>
      </c>
      <c r="I299" s="51">
        <f>IF(D299=0,0,G299/D299)</f>
        <v>0.48713674009141689</v>
      </c>
      <c r="J299" s="221"/>
      <c r="K299" s="221"/>
      <c r="L299" s="230"/>
      <c r="M299" s="230"/>
      <c r="N299" s="230"/>
      <c r="O299" s="230"/>
    </row>
    <row r="300" spans="1:15" ht="25.5" x14ac:dyDescent="0.2">
      <c r="A300" s="127">
        <f>SUBTOTAL(103,$B$10:B301)</f>
        <v>161</v>
      </c>
      <c r="B300" s="130">
        <v>321</v>
      </c>
      <c r="C300" s="110" t="s">
        <v>534</v>
      </c>
      <c r="D300" s="111">
        <f>IF(COUNTIF(tSIAF[Clave],"2186641|321")=0,"",SUMIF(tSIAF[Clave],"2186641|321",tSIAF[PIM]))</f>
        <v>325721</v>
      </c>
      <c r="E300" s="111">
        <f>IF(COUNTIF(tSIAF[Clave],"2186641|321")=0,"",SUMIF(tSIAF[Clave],"2186641|321",tSIAF[Certificacion]))</f>
        <v>325721</v>
      </c>
      <c r="F300" s="111">
        <f>IF(D300="","",D300-E300)</f>
        <v>0</v>
      </c>
      <c r="G300" s="111">
        <f>IF(COUNTIF(tSIAF[Clave],"2186641|321")=0,"",SUMIF(tSIAF[Clave],"2186641|321",tSIAF[Devengado]))</f>
        <v>159147.06</v>
      </c>
      <c r="H300" s="111">
        <f>IF(D300="","",D300-G300)</f>
        <v>166573.94</v>
      </c>
      <c r="I300" s="55">
        <f>IF(D300="","",IF(D300=0,0,G300/D300))</f>
        <v>0.48859932273325946</v>
      </c>
      <c r="J300" s="222"/>
      <c r="K300" s="222" t="s">
        <v>2299</v>
      </c>
      <c r="L300" s="231">
        <f>IF(COUNTIF(tCartera[CUI],"2186641")=0,"Sin PMI",IF(INDEX(tCartera[PMI2026],MATCH("2186641",tCartera[CUI],0))="","No informado",INDEX(tCartera[PMI2026],MATCH("2186641",tCartera[CUI],0))))</f>
        <v>11675669</v>
      </c>
      <c r="M300" s="231">
        <f>IF(COUNTIF(tCartera[CUI],"2186641")=0,"Sin PMI",IF(INDEX(tCartera[PMI2027],MATCH("2186641",tCartera[CUI],0))="","No informado",INDEX(tCartera[PMI2027],MATCH("2186641",tCartera[CUI],0))))</f>
        <v>6000000</v>
      </c>
      <c r="N300" s="231">
        <f>IF(COUNTIF(tCartera[CUI],"2186641")=0,"Sin PMI",IF(INDEX(tCartera[PMI2028],MATCH("2186641",tCartera[CUI],0))="","No informado",INDEX(tCartera[PMI2028],MATCH("2186641",tCartera[CUI],0))))</f>
        <v>6503691</v>
      </c>
      <c r="O300" s="231">
        <f>IF(COUNTIF(tCartera[CUI],"2186641")=0,"Sin PMI",IF(INDEX(tCartera[PMI2029],MATCH("2186641",tCartera[CUI],0))="","No informado",INDEX(tCartera[PMI2029],MATCH("2186641",tCartera[CUI],0))))</f>
        <v>7526858</v>
      </c>
    </row>
    <row r="301" spans="1:15" hidden="1" x14ac:dyDescent="0.2">
      <c r="A301" s="129"/>
      <c r="B301" s="132"/>
      <c r="C301" s="110" t="s">
        <v>713</v>
      </c>
      <c r="D301" s="112"/>
      <c r="E301" s="112"/>
      <c r="F301" s="112"/>
      <c r="G301" s="112"/>
      <c r="H301" s="112"/>
      <c r="I301" s="55"/>
      <c r="J301" s="222"/>
      <c r="K301" s="222"/>
      <c r="L301" s="231"/>
      <c r="M301" s="231"/>
      <c r="N301" s="231"/>
      <c r="O301" s="231"/>
    </row>
    <row r="302" spans="1:15" ht="38.25" x14ac:dyDescent="0.2">
      <c r="A302" s="127">
        <f>SUBTOTAL(103,$B$10:B303)</f>
        <v>162</v>
      </c>
      <c r="B302" s="130">
        <v>491</v>
      </c>
      <c r="C302" s="110" t="s">
        <v>648</v>
      </c>
      <c r="D302" s="111">
        <f>IF(COUNTIF(tSIAF[Clave],"2714049|491")=0,"",SUMIF(tSIAF[Clave],"2714049|491",tSIAF[PIM]))</f>
        <v>100021</v>
      </c>
      <c r="E302" s="111">
        <f>IF(COUNTIF(tSIAF[Clave],"2714049|491")=0,"",SUMIF(tSIAF[Clave],"2714049|491",tSIAF[Certificacion]))</f>
        <v>59652</v>
      </c>
      <c r="F302" s="111">
        <f>IF(D302="","",D302-E302)</f>
        <v>40369</v>
      </c>
      <c r="G302" s="111">
        <f>IF(COUNTIF(tSIAF[Clave],"2714049|491")=0,"",SUMIF(tSIAF[Clave],"2714049|491",tSIAF[Devengado]))</f>
        <v>48247.51</v>
      </c>
      <c r="H302" s="111">
        <f>IF(D302="","",D302-G302)</f>
        <v>51773.49</v>
      </c>
      <c r="I302" s="55">
        <f>IF(D302="","",IF(D302=0,0,G302/D302))</f>
        <v>0.48237380150168468</v>
      </c>
      <c r="J302" s="222"/>
      <c r="K302" s="222" t="s">
        <v>2299</v>
      </c>
      <c r="L302" s="231">
        <f>IF(COUNTIF(tCartera[CUI],"2714049")=0,"Sin PMI",IF(INDEX(tCartera[PMI2026],MATCH("2714049",tCartera[CUI],0))="","No informado",INDEX(tCartera[PMI2026],MATCH("2714049",tCartera[CUI],0))))</f>
        <v>50000</v>
      </c>
      <c r="M302" s="231">
        <f>IF(COUNTIF(tCartera[CUI],"2714049")=0,"Sin PMI",IF(INDEX(tCartera[PMI2027],MATCH("2714049",tCartera[CUI],0))="","No informado",INDEX(tCartera[PMI2027],MATCH("2714049",tCartera[CUI],0))))</f>
        <v>0</v>
      </c>
      <c r="N302" s="231">
        <f>IF(COUNTIF(tCartera[CUI],"2714049")=0,"Sin PMI",IF(INDEX(tCartera[PMI2028],MATCH("2714049",tCartera[CUI],0))="","No informado",INDEX(tCartera[PMI2028],MATCH("2714049",tCartera[CUI],0))))</f>
        <v>0</v>
      </c>
      <c r="O302" s="231">
        <f>IF(COUNTIF(tCartera[CUI],"2714049")=0,"Sin PMI",IF(INDEX(tCartera[PMI2029],MATCH("2714049",tCartera[CUI],0))="","No informado",INDEX(tCartera[PMI2029],MATCH("2714049",tCartera[CUI],0))))</f>
        <v>1500000</v>
      </c>
    </row>
    <row r="303" spans="1:15" hidden="1" x14ac:dyDescent="0.2">
      <c r="A303" s="129"/>
      <c r="B303" s="132"/>
      <c r="C303" s="110" t="s">
        <v>713</v>
      </c>
      <c r="D303" s="112"/>
      <c r="E303" s="112"/>
      <c r="F303" s="112"/>
      <c r="G303" s="112"/>
      <c r="H303" s="112"/>
      <c r="I303" s="55"/>
      <c r="J303" s="222"/>
      <c r="K303" s="222"/>
      <c r="L303" s="231"/>
      <c r="M303" s="231"/>
      <c r="N303" s="231"/>
      <c r="O303" s="231"/>
    </row>
    <row r="304" spans="1:15" ht="16.5" x14ac:dyDescent="0.2">
      <c r="A304" s="126" t="s">
        <v>297</v>
      </c>
      <c r="B304" s="126"/>
      <c r="C304" s="126"/>
      <c r="D304" s="50">
        <f>D305</f>
        <v>500000</v>
      </c>
      <c r="E304" s="50">
        <f>E305</f>
        <v>0</v>
      </c>
      <c r="F304" s="50">
        <f>D304-E304</f>
        <v>500000</v>
      </c>
      <c r="G304" s="50">
        <f>G305</f>
        <v>0</v>
      </c>
      <c r="H304" s="50">
        <f>D304-G304</f>
        <v>500000</v>
      </c>
      <c r="I304" s="51">
        <f>IF(D304=0,0,G304/D304)</f>
        <v>0</v>
      </c>
      <c r="J304" s="221"/>
      <c r="K304" s="221"/>
      <c r="L304" s="230"/>
      <c r="M304" s="230"/>
      <c r="N304" s="230"/>
      <c r="O304" s="230"/>
    </row>
    <row r="305" spans="1:15" ht="64.5" customHeight="1" x14ac:dyDescent="0.2">
      <c r="A305" s="127">
        <f>SUBTOTAL(103,$B$10:B306)</f>
        <v>163</v>
      </c>
      <c r="B305" s="130">
        <v>337</v>
      </c>
      <c r="C305" s="110" t="s">
        <v>650</v>
      </c>
      <c r="D305" s="111">
        <f>IF(COUNTIF(tSIAF[Clave],"2518131|337")=0,"",SUMIF(tSIAF[Clave],"2518131|337",tSIAF[PIM]))</f>
        <v>500000</v>
      </c>
      <c r="E305" s="111">
        <f>IF(COUNTIF(tSIAF[Clave],"2518131|337")=0,"",SUMIF(tSIAF[Clave],"2518131|337",tSIAF[Certificacion]))</f>
        <v>0</v>
      </c>
      <c r="F305" s="111">
        <f>IF(D305="","",D305-E305)</f>
        <v>500000</v>
      </c>
      <c r="G305" s="111">
        <f>IF(COUNTIF(tSIAF[Clave],"2518131|337")=0,"",SUMIF(tSIAF[Clave],"2518131|337",tSIAF[Devengado]))</f>
        <v>0</v>
      </c>
      <c r="H305" s="111">
        <f>IF(D305="","",D305-G305)</f>
        <v>500000</v>
      </c>
      <c r="I305" s="55">
        <f>IF(D305="","",IF(D305=0,0,G305/D305))</f>
        <v>0</v>
      </c>
      <c r="J305" s="222"/>
      <c r="K305" s="222" t="s">
        <v>2299</v>
      </c>
      <c r="L305" s="231" t="str">
        <f>IF(COUNTIF(tCartera[CUI],"2518131")=0,"Sin PMI",IF(INDEX(tCartera[PMI2026],MATCH("2518131",tCartera[CUI],0))="","No informado",INDEX(tCartera[PMI2026],MATCH("2518131",tCartera[CUI],0))))</f>
        <v>Sin PMI</v>
      </c>
      <c r="M305" s="231" t="str">
        <f>IF(COUNTIF(tCartera[CUI],"2518131")=0,"Sin PMI",IF(INDEX(tCartera[PMI2027],MATCH("2518131",tCartera[CUI],0))="","No informado",INDEX(tCartera[PMI2027],MATCH("2518131",tCartera[CUI],0))))</f>
        <v>Sin PMI</v>
      </c>
      <c r="N305" s="231" t="str">
        <f>IF(COUNTIF(tCartera[CUI],"2518131")=0,"Sin PMI",IF(INDEX(tCartera[PMI2028],MATCH("2518131",tCartera[CUI],0))="","No informado",INDEX(tCartera[PMI2028],MATCH("2518131",tCartera[CUI],0))))</f>
        <v>Sin PMI</v>
      </c>
      <c r="O305" s="231" t="str">
        <f>IF(COUNTIF(tCartera[CUI],"2518131")=0,"Sin PMI",IF(INDEX(tCartera[PMI2029],MATCH("2518131",tCartera[CUI],0))="","No informado",INDEX(tCartera[PMI2029],MATCH("2518131",tCartera[CUI],0))))</f>
        <v>Sin PMI</v>
      </c>
    </row>
    <row r="306" spans="1:15" hidden="1" x14ac:dyDescent="0.2">
      <c r="A306" s="129"/>
      <c r="B306" s="132"/>
      <c r="C306" s="110" t="s">
        <v>713</v>
      </c>
      <c r="D306" s="112"/>
      <c r="E306" s="112"/>
      <c r="F306" s="112"/>
      <c r="G306" s="112"/>
      <c r="H306" s="112"/>
      <c r="I306" s="55"/>
      <c r="J306" s="222"/>
      <c r="K306" s="222"/>
      <c r="L306" s="231"/>
      <c r="M306" s="231"/>
      <c r="N306" s="231"/>
      <c r="O306" s="231"/>
    </row>
    <row r="307" spans="1:15" ht="31.5" customHeight="1" x14ac:dyDescent="0.2">
      <c r="A307" s="144" t="s">
        <v>84</v>
      </c>
      <c r="B307" s="144"/>
      <c r="C307" s="144"/>
      <c r="D307" s="63">
        <f>D309+D312+D314+D316+D319+D322+D325+D558+D561+D566+D569+D574+D577+D580+D582+D585+D588+D591+D594+D597+D600+D603+D606+D609+D611+D620+D622+D625+D627+D630+D633+D636+D638+D641+D644+D647+D650+D653+D656+D661+D664+D667+D670+D673+D676+D680+D683+D686+D689+D692+D695+D698+D700+D702+D705+D708+D711+D714+D716+D719+D721+D724+D726+D728+D731+D734+D737+D740+D742+D745+D752+D754+D767+D770+D773+D776+D779+D781+D787+D790+D793+D796+D800+D803+D806+D809+D812+D815+D818+D821+D824+D827+D830+D833+D836+D839+D843+D846+D849+D852+D855+D858+D861+D864+D867+D870+D874+D877+D880+D883+D887+D889+D891+D894+D897+D900+D903</f>
        <v>48792207</v>
      </c>
      <c r="E307" s="63">
        <f>E309+E312+E314+E316+E319+E322+E325+E558+E561+E566+E569+E574+E577+E580+E582+E585+E588+E591+E594+E597+E600+E603+E606+E609+E611+E620+E622+E625+E627+E630+E633+E636+E638+E641+E644+E647+E650+E653+E656+E661+E664+E667+E670+E673+E676+E680+E683+E686+E689+E692+E695+E698+E700+E702+E705+E708+E711+E714+E716+E719+E721+E724+E726+E728+E731+E734+E737+E740+E742+E745+E752+E754+E767+E770+E773+E776+E779+E781+E787+E790+E793+E796+E800+E803+E806+E809+E812+E815+E818+E821+E824+E827+E830+E833+E836+E839+E843+E846+E849+E852+E855+E858+E861+E864+E867+E870+E874+E877+E880+E883+E887+E889+E891+E894+E897+E900+E903</f>
        <v>39512702.720000006</v>
      </c>
      <c r="F307" s="63">
        <f>D307-E307</f>
        <v>9279504.2799999937</v>
      </c>
      <c r="G307" s="63">
        <f>G309+G312+G314+G316+G319+G322+G325+G558+G561+G566+G569+G574+G577+G580+G582+G585+G588+G591+G594+G597+G600+G603+G606+G609+G611+G620+G622+G625+G627+G630+G633+G636+G638+G641+G644+G647+G650+G653+G656+G661+G664+G667+G670+G673+G676+G680+G683+G686+G689+G692+G695+G698+G700+G702+G705+G708+G711+G714+G716+G719+G721+G724+G726+G728+G731+G734+G737+G740+G742+G745+G752+G754+G767+G770+G773+G776+G779+G781+G787+G790+G793+G796+G800+G803+G806+G809+G812+G815+G818+G821+G824+G827+G830+G833+G836+G839+G843+G846+G849+G852+G855+G858+G861+G864+G867+G870+G874+G877+G880+G883+G887+G889+G891+G894+G897+G900+G903</f>
        <v>12779600.42</v>
      </c>
      <c r="H307" s="63">
        <f>D307-G307</f>
        <v>36012606.579999998</v>
      </c>
      <c r="I307" s="49">
        <f>IF(D307=0,0,G307/D307)</f>
        <v>0.26191888430051957</v>
      </c>
      <c r="J307" s="220"/>
      <c r="K307" s="220"/>
      <c r="L307" s="229"/>
      <c r="M307" s="229"/>
      <c r="N307" s="229"/>
      <c r="O307" s="229"/>
    </row>
    <row r="308" spans="1:15" ht="16.5" x14ac:dyDescent="0.2">
      <c r="A308" s="126" t="s">
        <v>609</v>
      </c>
      <c r="B308" s="126"/>
      <c r="C308" s="126"/>
      <c r="D308" s="50">
        <f>D309+D312+D314+D316+D319+D322+D325+D558+D561+D566+D569+D574+D577+D580+D582+D585+D588+D591+D594+D597+D600+D603+D606+D609+D611</f>
        <v>15757818</v>
      </c>
      <c r="E308" s="50">
        <f>E309+E312+E314+E316+E319+E322+E325+E558+E561+E566+E569+E574+E577+E580+E582+E585+E588+E591+E594+E597+E600+E603+E606+E609+E611</f>
        <v>14762847.889999999</v>
      </c>
      <c r="F308" s="50">
        <f>D308-E308</f>
        <v>994970.11000000127</v>
      </c>
      <c r="G308" s="50">
        <f>G309+G312+G314+G316+G319+G322+G325+G558+G561+G566+G569+G574+G577+G580+G582+G585+G588+G591+G594+G597+G600+G603+G606+G609+G611</f>
        <v>1021607.4199999999</v>
      </c>
      <c r="H308" s="50">
        <f>D308-G308</f>
        <v>14736210.58</v>
      </c>
      <c r="I308" s="51">
        <f>IF(D308=0,0,G308/D308)</f>
        <v>6.4831781912952663E-2</v>
      </c>
      <c r="J308" s="221"/>
      <c r="K308" s="221"/>
      <c r="L308" s="230"/>
      <c r="M308" s="230"/>
      <c r="N308" s="230"/>
      <c r="O308" s="230"/>
    </row>
    <row r="309" spans="1:15" ht="51" x14ac:dyDescent="0.2">
      <c r="A309" s="127">
        <f>SUBTOTAL(103,$B$10:B311)</f>
        <v>164</v>
      </c>
      <c r="B309" s="154">
        <v>227</v>
      </c>
      <c r="C309" s="110" t="s">
        <v>98</v>
      </c>
      <c r="D309" s="111">
        <f>IF(COUNTIF(tSIAF[Clave],"2357091|227")=0,"",SUMIF(tSIAF[Clave],"2357091|227",tSIAF[PIM]))</f>
        <v>10399190</v>
      </c>
      <c r="E309" s="111">
        <f>IF(COUNTIF(tSIAF[Clave],"2357091|227")=0,"",SUMIF(tSIAF[Clave],"2357091|227",tSIAF[Certificacion]))</f>
        <v>9609876</v>
      </c>
      <c r="F309" s="111">
        <f>IF(D309="","",D309-E309)</f>
        <v>789314</v>
      </c>
      <c r="G309" s="111">
        <f>IF(COUNTIF(tSIAF[Clave],"2357091|227")=0,"",SUMIF(tSIAF[Clave],"2357091|227",tSIAF[Devengado]))</f>
        <v>0</v>
      </c>
      <c r="H309" s="111">
        <f>IF(D309="","",D309-G309)</f>
        <v>10399190</v>
      </c>
      <c r="I309" s="55">
        <f>IF(D309="","",IF(D309=0,0,G309/D309))</f>
        <v>0</v>
      </c>
      <c r="J309" s="222"/>
      <c r="K309" s="222" t="s">
        <v>2299</v>
      </c>
      <c r="L309" s="231">
        <f>IF(COUNTIF(tCartera[CUI],"2357091")=0,"Sin PMI",IF(INDEX(tCartera[PMI2026],MATCH("2357091",tCartera[CUI],0))="","No informado",INDEX(tCartera[PMI2026],MATCH("2357091",tCartera[CUI],0))))</f>
        <v>8282615</v>
      </c>
      <c r="M309" s="231">
        <f>IF(COUNTIF(tCartera[CUI],"2357091")=0,"Sin PMI",IF(INDEX(tCartera[PMI2027],MATCH("2357091",tCartera[CUI],0))="","No informado",INDEX(tCartera[PMI2027],MATCH("2357091",tCartera[CUI],0))))</f>
        <v>10255200</v>
      </c>
      <c r="N309" s="231">
        <f>IF(COUNTIF(tCartera[CUI],"2357091")=0,"Sin PMI",IF(INDEX(tCartera[PMI2028],MATCH("2357091",tCartera[CUI],0))="","No informado",INDEX(tCartera[PMI2028],MATCH("2357091",tCartera[CUI],0))))</f>
        <v>10389972</v>
      </c>
      <c r="O309" s="231">
        <f>IF(COUNTIF(tCartera[CUI],"2357091")=0,"Sin PMI",IF(INDEX(tCartera[PMI2029],MATCH("2357091",tCartera[CUI],0))="","No informado",INDEX(tCartera[PMI2029],MATCH("2357091",tCartera[CUI],0))))</f>
        <v>10574977</v>
      </c>
    </row>
    <row r="310" spans="1:15" hidden="1" x14ac:dyDescent="0.2">
      <c r="A310" s="128"/>
      <c r="B310" s="156"/>
      <c r="C310" s="110" t="s">
        <v>716</v>
      </c>
      <c r="D310" s="112"/>
      <c r="E310" s="112"/>
      <c r="F310" s="112"/>
      <c r="G310" s="112"/>
      <c r="H310" s="112"/>
      <c r="I310" s="55"/>
      <c r="J310" s="222"/>
      <c r="K310" s="222"/>
      <c r="L310" s="231"/>
      <c r="M310" s="231"/>
      <c r="N310" s="231"/>
      <c r="O310" s="231"/>
    </row>
    <row r="311" spans="1:15" hidden="1" x14ac:dyDescent="0.2">
      <c r="A311" s="129"/>
      <c r="B311" s="155"/>
      <c r="C311" s="110" t="s">
        <v>717</v>
      </c>
      <c r="D311" s="112"/>
      <c r="E311" s="112"/>
      <c r="F311" s="112"/>
      <c r="G311" s="112"/>
      <c r="H311" s="112"/>
      <c r="I311" s="55"/>
      <c r="J311" s="222"/>
      <c r="K311" s="222"/>
      <c r="L311" s="231"/>
      <c r="M311" s="231"/>
      <c r="N311" s="231"/>
      <c r="O311" s="231"/>
    </row>
    <row r="312" spans="1:15" ht="51" x14ac:dyDescent="0.2">
      <c r="A312" s="127">
        <f>SUBTOTAL(103,$B$10:B313)</f>
        <v>165</v>
      </c>
      <c r="B312" s="130">
        <v>230</v>
      </c>
      <c r="C312" s="110" t="s">
        <v>249</v>
      </c>
      <c r="D312" s="111">
        <f>IF(COUNTIF(tSIAF[Clave],"2380088|230")=0,"",SUMIF(tSIAF[Clave],"2380088|230",tSIAF[PIM]))</f>
        <v>0</v>
      </c>
      <c r="E312" s="111">
        <f>IF(COUNTIF(tSIAF[Clave],"2380088|230")=0,"",SUMIF(tSIAF[Clave],"2380088|230",tSIAF[Certificacion]))</f>
        <v>0</v>
      </c>
      <c r="F312" s="111">
        <f>IF(D312="","",D312-E312)</f>
        <v>0</v>
      </c>
      <c r="G312" s="111">
        <f>IF(COUNTIF(tSIAF[Clave],"2380088|230")=0,"",SUMIF(tSIAF[Clave],"2380088|230",tSIAF[Devengado]))</f>
        <v>0</v>
      </c>
      <c r="H312" s="111">
        <f>IF(D312="","",D312-G312)</f>
        <v>0</v>
      </c>
      <c r="I312" s="55">
        <f>IF(D312="","",IF(D312=0,0,G312/D312))</f>
        <v>0</v>
      </c>
      <c r="J312" s="222"/>
      <c r="K312" s="222" t="s">
        <v>2299</v>
      </c>
      <c r="L312" s="231">
        <f>IF(COUNTIF(tCartera[CUI],"2380088")=0,"Sin PMI",IF(INDEX(tCartera[PMI2026],MATCH("2380088",tCartera[CUI],0))="","No informado",INDEX(tCartera[PMI2026],MATCH("2380088",tCartera[CUI],0))))</f>
        <v>1950000</v>
      </c>
      <c r="M312" s="231">
        <f>IF(COUNTIF(tCartera[CUI],"2380088")=0,"Sin PMI",IF(INDEX(tCartera[PMI2027],MATCH("2380088",tCartera[CUI],0))="","No informado",INDEX(tCartera[PMI2027],MATCH("2380088",tCartera[CUI],0))))</f>
        <v>0</v>
      </c>
      <c r="N312" s="231">
        <f>IF(COUNTIF(tCartera[CUI],"2380088")=0,"Sin PMI",IF(INDEX(tCartera[PMI2028],MATCH("2380088",tCartera[CUI],0))="","No informado",INDEX(tCartera[PMI2028],MATCH("2380088",tCartera[CUI],0))))</f>
        <v>1500000</v>
      </c>
      <c r="O312" s="231">
        <f>IF(COUNTIF(tCartera[CUI],"2380088")=0,"Sin PMI",IF(INDEX(tCartera[PMI2029],MATCH("2380088",tCartera[CUI],0))="","No informado",INDEX(tCartera[PMI2029],MATCH("2380088",tCartera[CUI],0))))</f>
        <v>2450000</v>
      </c>
    </row>
    <row r="313" spans="1:15" hidden="1" x14ac:dyDescent="0.2">
      <c r="A313" s="129"/>
      <c r="B313" s="132"/>
      <c r="C313" s="110" t="s">
        <v>716</v>
      </c>
      <c r="D313" s="112"/>
      <c r="E313" s="112"/>
      <c r="F313" s="112"/>
      <c r="G313" s="112"/>
      <c r="H313" s="112"/>
      <c r="I313" s="55"/>
      <c r="J313" s="222"/>
      <c r="K313" s="222"/>
      <c r="L313" s="231"/>
      <c r="M313" s="231"/>
      <c r="N313" s="231"/>
      <c r="O313" s="231"/>
    </row>
    <row r="314" spans="1:15" ht="38.25" x14ac:dyDescent="0.2">
      <c r="A314" s="127">
        <f>SUBTOTAL(103,$B$10:B315)</f>
        <v>166</v>
      </c>
      <c r="B314" s="130">
        <v>238</v>
      </c>
      <c r="C314" s="110" t="s">
        <v>281</v>
      </c>
      <c r="D314" s="111">
        <f>IF(COUNTIF(tSIAF[Clave],"2476464|238")=0,"",SUMIF(tSIAF[Clave],"2476464|238",tSIAF[PIM]))</f>
        <v>184669</v>
      </c>
      <c r="E314" s="111">
        <f>IF(COUNTIF(tSIAF[Clave],"2476464|238")=0,"",SUMIF(tSIAF[Clave],"2476464|238",tSIAF[Certificacion]))</f>
        <v>184669</v>
      </c>
      <c r="F314" s="111">
        <f>IF(D314="","",D314-E314)</f>
        <v>0</v>
      </c>
      <c r="G314" s="111">
        <f>IF(COUNTIF(tSIAF[Clave],"2476464|238")=0,"",SUMIF(tSIAF[Clave],"2476464|238",tSIAF[Devengado]))</f>
        <v>0</v>
      </c>
      <c r="H314" s="111">
        <f>IF(D314="","",D314-G314)</f>
        <v>184669</v>
      </c>
      <c r="I314" s="55">
        <f>IF(D314="","",IF(D314=0,0,G314/D314))</f>
        <v>0</v>
      </c>
      <c r="J314" s="222"/>
      <c r="K314" s="222" t="s">
        <v>2299</v>
      </c>
      <c r="L314" s="231">
        <f>IF(COUNTIF(tCartera[CUI],"2476464")=0,"Sin PMI",IF(INDEX(tCartera[PMI2026],MATCH("2476464",tCartera[CUI],0))="","No informado",INDEX(tCartera[PMI2026],MATCH("2476464",tCartera[CUI],0))))</f>
        <v>5319000</v>
      </c>
      <c r="M314" s="231">
        <f>IF(COUNTIF(tCartera[CUI],"2476464")=0,"Sin PMI",IF(INDEX(tCartera[PMI2027],MATCH("2476464",tCartera[CUI],0))="","No informado",INDEX(tCartera[PMI2027],MATCH("2476464",tCartera[CUI],0))))</f>
        <v>8587485</v>
      </c>
      <c r="N314" s="231">
        <f>IF(COUNTIF(tCartera[CUI],"2476464")=0,"Sin PMI",IF(INDEX(tCartera[PMI2028],MATCH("2476464",tCartera[CUI],0))="","No informado",INDEX(tCartera[PMI2028],MATCH("2476464",tCartera[CUI],0))))</f>
        <v>0</v>
      </c>
      <c r="O314" s="231">
        <f>IF(COUNTIF(tCartera[CUI],"2476464")=0,"Sin PMI",IF(INDEX(tCartera[PMI2029],MATCH("2476464",tCartera[CUI],0))="","No informado",INDEX(tCartera[PMI2029],MATCH("2476464",tCartera[CUI],0))))</f>
        <v>1000000</v>
      </c>
    </row>
    <row r="315" spans="1:15" hidden="1" x14ac:dyDescent="0.2">
      <c r="A315" s="129"/>
      <c r="B315" s="132"/>
      <c r="C315" s="110" t="s">
        <v>716</v>
      </c>
      <c r="D315" s="112"/>
      <c r="E315" s="112"/>
      <c r="F315" s="112"/>
      <c r="G315" s="112"/>
      <c r="H315" s="112"/>
      <c r="I315" s="55"/>
      <c r="J315" s="222"/>
      <c r="K315" s="222"/>
      <c r="L315" s="231"/>
      <c r="M315" s="231"/>
      <c r="N315" s="231"/>
      <c r="O315" s="231"/>
    </row>
    <row r="316" spans="1:15" ht="38.25" x14ac:dyDescent="0.2">
      <c r="A316" s="127">
        <f>SUBTOTAL(103,$B$10:B318)</f>
        <v>167</v>
      </c>
      <c r="B316" s="130">
        <v>244</v>
      </c>
      <c r="C316" s="110" t="s">
        <v>173</v>
      </c>
      <c r="D316" s="111">
        <f>IF(COUNTIF(tSIAF[Clave],"2517448|244")=0,"",SUMIF(tSIAF[Clave],"2517448|244",tSIAF[PIM]))</f>
        <v>200000</v>
      </c>
      <c r="E316" s="111">
        <f>IF(COUNTIF(tSIAF[Clave],"2517448|244")=0,"",SUMIF(tSIAF[Clave],"2517448|244",tSIAF[Certificacion]))</f>
        <v>50000</v>
      </c>
      <c r="F316" s="111">
        <f>IF(D316="","",D316-E316)</f>
        <v>150000</v>
      </c>
      <c r="G316" s="111">
        <f>IF(COUNTIF(tSIAF[Clave],"2517448|244")=0,"",SUMIF(tSIAF[Clave],"2517448|244",tSIAF[Devengado]))</f>
        <v>0</v>
      </c>
      <c r="H316" s="111">
        <f>IF(D316="","",D316-G316)</f>
        <v>200000</v>
      </c>
      <c r="I316" s="55">
        <f>IF(D316="","",IF(D316=0,0,G316/D316))</f>
        <v>0</v>
      </c>
      <c r="J316" s="222"/>
      <c r="K316" s="222" t="s">
        <v>2299</v>
      </c>
      <c r="L316" s="231">
        <f>IF(COUNTIF(tCartera[CUI],"2517448")=0,"Sin PMI",IF(INDEX(tCartera[PMI2026],MATCH("2517448",tCartera[CUI],0))="","No informado",INDEX(tCartera[PMI2026],MATCH("2517448",tCartera[CUI],0))))</f>
        <v>200000</v>
      </c>
      <c r="M316" s="231">
        <f>IF(COUNTIF(tCartera[CUI],"2517448")=0,"Sin PMI",IF(INDEX(tCartera[PMI2027],MATCH("2517448",tCartera[CUI],0))="","No informado",INDEX(tCartera[PMI2027],MATCH("2517448",tCartera[CUI],0))))</f>
        <v>1474000</v>
      </c>
      <c r="N316" s="231">
        <f>IF(COUNTIF(tCartera[CUI],"2517448")=0,"Sin PMI",IF(INDEX(tCartera[PMI2028],MATCH("2517448",tCartera[CUI],0))="","No informado",INDEX(tCartera[PMI2028],MATCH("2517448",tCartera[CUI],0))))</f>
        <v>0</v>
      </c>
      <c r="O316" s="231">
        <f>IF(COUNTIF(tCartera[CUI],"2517448")=0,"Sin PMI",IF(INDEX(tCartera[PMI2029],MATCH("2517448",tCartera[CUI],0))="","No informado",INDEX(tCartera[PMI2029],MATCH("2517448",tCartera[CUI],0))))</f>
        <v>0</v>
      </c>
    </row>
    <row r="317" spans="1:15" hidden="1" x14ac:dyDescent="0.2">
      <c r="A317" s="128"/>
      <c r="B317" s="131"/>
      <c r="C317" s="110" t="s">
        <v>716</v>
      </c>
      <c r="D317" s="112"/>
      <c r="E317" s="112"/>
      <c r="F317" s="112"/>
      <c r="G317" s="112"/>
      <c r="H317" s="112"/>
      <c r="I317" s="55"/>
      <c r="J317" s="222"/>
      <c r="K317" s="222"/>
      <c r="L317" s="231"/>
      <c r="M317" s="231"/>
      <c r="N317" s="231"/>
      <c r="O317" s="231"/>
    </row>
    <row r="318" spans="1:15" hidden="1" x14ac:dyDescent="0.2">
      <c r="A318" s="129"/>
      <c r="B318" s="132"/>
      <c r="C318" s="110" t="s">
        <v>713</v>
      </c>
      <c r="D318" s="112"/>
      <c r="E318" s="112"/>
      <c r="F318" s="112"/>
      <c r="G318" s="112"/>
      <c r="H318" s="112"/>
      <c r="I318" s="55"/>
      <c r="J318" s="222"/>
      <c r="K318" s="222"/>
      <c r="L318" s="231"/>
      <c r="M318" s="231"/>
      <c r="N318" s="231"/>
      <c r="O318" s="231"/>
    </row>
    <row r="319" spans="1:15" ht="38.25" x14ac:dyDescent="0.2">
      <c r="A319" s="127">
        <f>SUBTOTAL(103,$B$10:B321)</f>
        <v>168</v>
      </c>
      <c r="B319" s="130">
        <v>251</v>
      </c>
      <c r="C319" s="110" t="s">
        <v>432</v>
      </c>
      <c r="D319" s="111">
        <f>IF(COUNTIF(tSIAF[Clave],"2551456|251")=0,"",SUMIF(tSIAF[Clave],"2551456|251",tSIAF[PIM]))</f>
        <v>654662</v>
      </c>
      <c r="E319" s="111">
        <f>IF(COUNTIF(tSIAF[Clave],"2551456|251")=0,"",SUMIF(tSIAF[Clave],"2551456|251",tSIAF[Certificacion]))</f>
        <v>654662</v>
      </c>
      <c r="F319" s="111">
        <f>IF(D319="","",D319-E319)</f>
        <v>0</v>
      </c>
      <c r="G319" s="111">
        <f>IF(COUNTIF(tSIAF[Clave],"2551456|251")=0,"",SUMIF(tSIAF[Clave],"2551456|251",tSIAF[Devengado]))</f>
        <v>0</v>
      </c>
      <c r="H319" s="111">
        <f>IF(D319="","",D319-G319)</f>
        <v>654662</v>
      </c>
      <c r="I319" s="55">
        <f>IF(D319="","",IF(D319=0,0,G319/D319))</f>
        <v>0</v>
      </c>
      <c r="J319" s="222"/>
      <c r="K319" s="222" t="s">
        <v>2299</v>
      </c>
      <c r="L319" s="231" t="str">
        <f>IF(COUNTIF(tCartera[CUI],"2551456")=0,"Sin PMI",IF(INDEX(tCartera[PMI2026],MATCH("2551456",tCartera[CUI],0))="","No informado",INDEX(tCartera[PMI2026],MATCH("2551456",tCartera[CUI],0))))</f>
        <v>Sin PMI</v>
      </c>
      <c r="M319" s="231" t="str">
        <f>IF(COUNTIF(tCartera[CUI],"2551456")=0,"Sin PMI",IF(INDEX(tCartera[PMI2027],MATCH("2551456",tCartera[CUI],0))="","No informado",INDEX(tCartera[PMI2027],MATCH("2551456",tCartera[CUI],0))))</f>
        <v>Sin PMI</v>
      </c>
      <c r="N319" s="231" t="str">
        <f>IF(COUNTIF(tCartera[CUI],"2551456")=0,"Sin PMI",IF(INDEX(tCartera[PMI2028],MATCH("2551456",tCartera[CUI],0))="","No informado",INDEX(tCartera[PMI2028],MATCH("2551456",tCartera[CUI],0))))</f>
        <v>Sin PMI</v>
      </c>
      <c r="O319" s="231" t="str">
        <f>IF(COUNTIF(tCartera[CUI],"2551456")=0,"Sin PMI",IF(INDEX(tCartera[PMI2029],MATCH("2551456",tCartera[CUI],0))="","No informado",INDEX(tCartera[PMI2029],MATCH("2551456",tCartera[CUI],0))))</f>
        <v>Sin PMI</v>
      </c>
    </row>
    <row r="320" spans="1:15" hidden="1" x14ac:dyDescent="0.2">
      <c r="A320" s="128"/>
      <c r="B320" s="131"/>
      <c r="C320" s="110" t="s">
        <v>716</v>
      </c>
      <c r="D320" s="112"/>
      <c r="E320" s="112"/>
      <c r="F320" s="112"/>
      <c r="G320" s="112"/>
      <c r="H320" s="112"/>
      <c r="I320" s="55"/>
      <c r="J320" s="222"/>
      <c r="K320" s="222"/>
      <c r="L320" s="231"/>
      <c r="M320" s="231"/>
      <c r="N320" s="231"/>
      <c r="O320" s="231"/>
    </row>
    <row r="321" spans="1:15" hidden="1" x14ac:dyDescent="0.2">
      <c r="A321" s="129"/>
      <c r="B321" s="132"/>
      <c r="C321" s="110" t="s">
        <v>713</v>
      </c>
      <c r="D321" s="112"/>
      <c r="E321" s="112"/>
      <c r="F321" s="112"/>
      <c r="G321" s="112"/>
      <c r="H321" s="112"/>
      <c r="I321" s="55"/>
      <c r="J321" s="222"/>
      <c r="K321" s="222"/>
      <c r="L321" s="231"/>
      <c r="M321" s="231"/>
      <c r="N321" s="231"/>
      <c r="O321" s="231"/>
    </row>
    <row r="322" spans="1:15" ht="38.25" x14ac:dyDescent="0.2">
      <c r="A322" s="127">
        <f>SUBTOTAL(103,$B$10:B324)</f>
        <v>169</v>
      </c>
      <c r="B322" s="130">
        <v>256</v>
      </c>
      <c r="C322" s="110" t="s">
        <v>250</v>
      </c>
      <c r="D322" s="111">
        <f>IF(COUNTIF(tSIAF[Clave],"2570943|256")=0,"",SUMIF(tSIAF[Clave],"2570943|256",tSIAF[PIM]))</f>
        <v>82568</v>
      </c>
      <c r="E322" s="111">
        <f>IF(COUNTIF(tSIAF[Clave],"2570943|256")=0,"",SUMIF(tSIAF[Clave],"2570943|256",tSIAF[Certificacion]))</f>
        <v>82568</v>
      </c>
      <c r="F322" s="111">
        <f>IF(D322="","",D322-E322)</f>
        <v>0</v>
      </c>
      <c r="G322" s="111">
        <f>IF(COUNTIF(tSIAF[Clave],"2570943|256")=0,"",SUMIF(tSIAF[Clave],"2570943|256",tSIAF[Devengado]))</f>
        <v>57743.81</v>
      </c>
      <c r="H322" s="111">
        <f>IF(D322="","",D322-G322)</f>
        <v>24824.190000000002</v>
      </c>
      <c r="I322" s="55">
        <f>IF(D322="","",IF(D322=0,0,G322/D322))</f>
        <v>0.69934853696347254</v>
      </c>
      <c r="J322" s="222"/>
      <c r="K322" s="222" t="s">
        <v>2299</v>
      </c>
      <c r="L322" s="231">
        <f>IF(COUNTIF(tCartera[CUI],"2570943")=0,"Sin PMI",IF(INDEX(tCartera[PMI2026],MATCH("2570943",tCartera[CUI],0))="","No informado",INDEX(tCartera[PMI2026],MATCH("2570943",tCartera[CUI],0))))</f>
        <v>4190000</v>
      </c>
      <c r="M322" s="231">
        <f>IF(COUNTIF(tCartera[CUI],"2570943")=0,"Sin PMI",IF(INDEX(tCartera[PMI2027],MATCH("2570943",tCartera[CUI],0))="","No informado",INDEX(tCartera[PMI2027],MATCH("2570943",tCartera[CUI],0))))</f>
        <v>7462800</v>
      </c>
      <c r="N322" s="231">
        <f>IF(COUNTIF(tCartera[CUI],"2570943")=0,"Sin PMI",IF(INDEX(tCartera[PMI2028],MATCH("2570943",tCartera[CUI],0))="","No informado",INDEX(tCartera[PMI2028],MATCH("2570943",tCartera[CUI],0))))</f>
        <v>7500000</v>
      </c>
      <c r="O322" s="231">
        <f>IF(COUNTIF(tCartera[CUI],"2570943")=0,"Sin PMI",IF(INDEX(tCartera[PMI2029],MATCH("2570943",tCartera[CUI],0))="","No informado",INDEX(tCartera[PMI2029],MATCH("2570943",tCartera[CUI],0))))</f>
        <v>12829438</v>
      </c>
    </row>
    <row r="323" spans="1:15" hidden="1" x14ac:dyDescent="0.2">
      <c r="A323" s="128"/>
      <c r="B323" s="131"/>
      <c r="C323" s="110" t="s">
        <v>716</v>
      </c>
      <c r="D323" s="112"/>
      <c r="E323" s="112"/>
      <c r="F323" s="112"/>
      <c r="G323" s="112"/>
      <c r="H323" s="112"/>
      <c r="I323" s="55"/>
      <c r="J323" s="222"/>
      <c r="K323" s="222"/>
      <c r="L323" s="231"/>
      <c r="M323" s="231"/>
      <c r="N323" s="231"/>
      <c r="O323" s="231"/>
    </row>
    <row r="324" spans="1:15" hidden="1" x14ac:dyDescent="0.2">
      <c r="A324" s="129"/>
      <c r="B324" s="132"/>
      <c r="C324" s="110" t="s">
        <v>713</v>
      </c>
      <c r="D324" s="112"/>
      <c r="E324" s="112"/>
      <c r="F324" s="112"/>
      <c r="G324" s="112"/>
      <c r="H324" s="112"/>
      <c r="I324" s="55"/>
      <c r="J324" s="222"/>
      <c r="K324" s="222"/>
      <c r="L324" s="231"/>
      <c r="M324" s="231"/>
      <c r="N324" s="231"/>
      <c r="O324" s="231"/>
    </row>
    <row r="325" spans="1:15" ht="38.25" x14ac:dyDescent="0.2">
      <c r="A325" s="127">
        <f>SUBTOTAL(103,$B$10:B327)</f>
        <v>170</v>
      </c>
      <c r="B325" s="130">
        <v>257</v>
      </c>
      <c r="C325" s="110" t="s">
        <v>338</v>
      </c>
      <c r="D325" s="111">
        <f>IF(COUNTIF(tSIAF[Clave],"2578405|257")=0,"",SUMIF(tSIAF[Clave],"2578405|257",tSIAF[PIM]))</f>
        <v>100000</v>
      </c>
      <c r="E325" s="111">
        <f>IF(COUNTIF(tSIAF[Clave],"2578405|257")=0,"",SUMIF(tSIAF[Clave],"2578405|257",tSIAF[Certificacion]))</f>
        <v>100000</v>
      </c>
      <c r="F325" s="111">
        <f>IF(D325="","",D325-E325)</f>
        <v>0</v>
      </c>
      <c r="G325" s="111">
        <f>IF(COUNTIF(tSIAF[Clave],"2578405|257")=0,"",SUMIF(tSIAF[Clave],"2578405|257",tSIAF[Devengado]))</f>
        <v>85262.53</v>
      </c>
      <c r="H325" s="111">
        <f>IF(D325="","",D325-G325)</f>
        <v>14737.470000000001</v>
      </c>
      <c r="I325" s="55">
        <f>IF(D325="","",IF(D325=0,0,G325/D325))</f>
        <v>0.85262530000000003</v>
      </c>
      <c r="J325" s="222"/>
      <c r="K325" s="222" t="s">
        <v>2299</v>
      </c>
      <c r="L325" s="231">
        <f>IF(COUNTIF(tCartera[CUI],"2578405")=0,"Sin PMI",IF(INDEX(tCartera[PMI2026],MATCH("2578405",tCartera[CUI],0))="","No informado",INDEX(tCartera[PMI2026],MATCH("2578405",tCartera[CUI],0))))</f>
        <v>100000</v>
      </c>
      <c r="M325" s="231">
        <f>IF(COUNTIF(tCartera[CUI],"2578405")=0,"Sin PMI",IF(INDEX(tCartera[PMI2027],MATCH("2578405",tCartera[CUI],0))="","No informado",INDEX(tCartera[PMI2027],MATCH("2578405",tCartera[CUI],0))))</f>
        <v>7898542</v>
      </c>
      <c r="N325" s="231">
        <f>IF(COUNTIF(tCartera[CUI],"2578405")=0,"Sin PMI",IF(INDEX(tCartera[PMI2028],MATCH("2578405",tCartera[CUI],0))="","No informado",INDEX(tCartera[PMI2028],MATCH("2578405",tCartera[CUI],0))))</f>
        <v>0</v>
      </c>
      <c r="O325" s="231">
        <f>IF(COUNTIF(tCartera[CUI],"2578405")=0,"Sin PMI",IF(INDEX(tCartera[PMI2029],MATCH("2578405",tCartera[CUI],0))="","No informado",INDEX(tCartera[PMI2029],MATCH("2578405",tCartera[CUI],0))))</f>
        <v>1000000</v>
      </c>
    </row>
    <row r="326" spans="1:15" hidden="1" x14ac:dyDescent="0.2">
      <c r="A326" s="128"/>
      <c r="B326" s="131"/>
      <c r="C326" s="110" t="s">
        <v>718</v>
      </c>
      <c r="D326" s="112"/>
      <c r="E326" s="112"/>
      <c r="F326" s="112"/>
      <c r="G326" s="112"/>
      <c r="H326" s="112"/>
      <c r="I326" s="55"/>
      <c r="J326" s="222"/>
      <c r="K326" s="222"/>
      <c r="L326" s="231"/>
      <c r="M326" s="231"/>
      <c r="N326" s="231"/>
      <c r="O326" s="231"/>
    </row>
    <row r="327" spans="1:15" hidden="1" x14ac:dyDescent="0.2">
      <c r="A327" s="129"/>
      <c r="B327" s="132"/>
      <c r="C327" s="110" t="s">
        <v>713</v>
      </c>
      <c r="D327" s="112"/>
      <c r="E327" s="112"/>
      <c r="F327" s="112"/>
      <c r="G327" s="112"/>
      <c r="H327" s="112"/>
      <c r="I327" s="55"/>
      <c r="J327" s="222"/>
      <c r="K327" s="222"/>
      <c r="L327" s="231"/>
      <c r="M327" s="231"/>
      <c r="N327" s="231"/>
      <c r="O327" s="231"/>
    </row>
    <row r="328" spans="1:15" hidden="1" x14ac:dyDescent="0.2">
      <c r="A328" s="113">
        <f>SUBTOTAL(103,$B$8:B328)</f>
        <v>170</v>
      </c>
      <c r="B328" s="114"/>
      <c r="C328" s="115">
        <v>0</v>
      </c>
      <c r="D328" s="115"/>
      <c r="E328" s="115"/>
      <c r="F328" s="115"/>
      <c r="G328" s="115"/>
      <c r="H328" s="115"/>
      <c r="I328" s="55"/>
      <c r="J328" s="222"/>
      <c r="K328" s="222"/>
      <c r="L328" s="231"/>
      <c r="M328" s="231"/>
      <c r="N328" s="231"/>
      <c r="O328" s="231"/>
    </row>
    <row r="329" spans="1:15" hidden="1" x14ac:dyDescent="0.2">
      <c r="A329" s="116"/>
      <c r="B329" s="117"/>
      <c r="C329" s="115">
        <v>0</v>
      </c>
      <c r="D329" s="115"/>
      <c r="E329" s="115"/>
      <c r="F329" s="115"/>
      <c r="G329" s="115"/>
      <c r="H329" s="115"/>
      <c r="I329" s="55"/>
      <c r="J329" s="222"/>
      <c r="K329" s="222"/>
      <c r="L329" s="231"/>
      <c r="M329" s="231"/>
      <c r="N329" s="231"/>
      <c r="O329" s="231"/>
    </row>
    <row r="330" spans="1:15" hidden="1" x14ac:dyDescent="0.2">
      <c r="A330" s="127">
        <f>SUBTOTAL(103,$B$8:B330)</f>
        <v>170</v>
      </c>
      <c r="B330" s="130"/>
      <c r="C330" s="115" t="s">
        <v>716</v>
      </c>
      <c r="D330" s="115"/>
      <c r="E330" s="115"/>
      <c r="F330" s="115"/>
      <c r="G330" s="115"/>
      <c r="H330" s="115"/>
      <c r="I330" s="55"/>
      <c r="J330" s="222"/>
      <c r="K330" s="222"/>
      <c r="L330" s="231"/>
      <c r="M330" s="231"/>
      <c r="N330" s="231"/>
      <c r="O330" s="231"/>
    </row>
    <row r="331" spans="1:15" ht="32.25" hidden="1" customHeight="1" x14ac:dyDescent="0.2">
      <c r="A331" s="128"/>
      <c r="B331" s="131"/>
      <c r="C331" s="115" t="s">
        <v>713</v>
      </c>
      <c r="D331" s="115"/>
      <c r="E331" s="115"/>
      <c r="F331" s="115"/>
      <c r="G331" s="115"/>
      <c r="H331" s="115"/>
      <c r="I331" s="65"/>
      <c r="J331" s="226"/>
      <c r="K331" s="226"/>
      <c r="L331" s="235"/>
      <c r="M331" s="235"/>
      <c r="N331" s="235"/>
      <c r="O331" s="235"/>
    </row>
    <row r="332" spans="1:15" ht="32.25" hidden="1" customHeight="1" x14ac:dyDescent="0.2">
      <c r="A332" s="128"/>
      <c r="B332" s="131"/>
      <c r="C332" s="115">
        <v>0</v>
      </c>
      <c r="D332" s="115"/>
      <c r="E332" s="115"/>
      <c r="F332" s="115"/>
      <c r="G332" s="115"/>
      <c r="H332" s="115"/>
      <c r="I332" s="65"/>
      <c r="J332" s="226"/>
      <c r="K332" s="226"/>
      <c r="L332" s="235"/>
      <c r="M332" s="235"/>
      <c r="N332" s="235"/>
      <c r="O332" s="235"/>
    </row>
    <row r="333" spans="1:15" ht="103.5" hidden="1" customHeight="1" x14ac:dyDescent="0.2">
      <c r="A333" s="128"/>
      <c r="B333" s="131"/>
      <c r="C333" s="115">
        <v>0</v>
      </c>
      <c r="D333" s="115"/>
      <c r="E333" s="115"/>
      <c r="F333" s="115"/>
      <c r="G333" s="115"/>
      <c r="H333" s="115"/>
      <c r="I333" s="66"/>
      <c r="J333" s="227"/>
      <c r="K333" s="227"/>
      <c r="L333" s="236"/>
      <c r="M333" s="236"/>
      <c r="N333" s="236"/>
      <c r="O333" s="236"/>
    </row>
    <row r="334" spans="1:15" ht="31.5" hidden="1" customHeight="1" x14ac:dyDescent="0.2">
      <c r="A334" s="128"/>
      <c r="B334" s="131"/>
      <c r="C334" s="115" t="s">
        <v>716</v>
      </c>
      <c r="D334" s="115"/>
      <c r="E334" s="115"/>
      <c r="F334" s="115"/>
      <c r="G334" s="115"/>
      <c r="H334" s="115"/>
      <c r="I334" s="66"/>
      <c r="J334" s="227"/>
      <c r="K334" s="227"/>
      <c r="L334" s="236"/>
      <c r="M334" s="236"/>
      <c r="N334" s="236"/>
      <c r="O334" s="236"/>
    </row>
    <row r="335" spans="1:15" ht="86.25" hidden="1" customHeight="1" x14ac:dyDescent="0.2">
      <c r="A335" s="128"/>
      <c r="B335" s="131"/>
      <c r="C335" s="115" t="s">
        <v>713</v>
      </c>
      <c r="D335" s="115"/>
      <c r="E335" s="115"/>
      <c r="F335" s="115"/>
      <c r="G335" s="115"/>
      <c r="H335" s="115"/>
      <c r="I335" s="66"/>
      <c r="J335" s="227"/>
      <c r="K335" s="227"/>
      <c r="L335" s="236"/>
      <c r="M335" s="236"/>
      <c r="N335" s="236"/>
      <c r="O335" s="236"/>
    </row>
    <row r="336" spans="1:15" ht="31.5" hidden="1" customHeight="1" x14ac:dyDescent="0.2">
      <c r="A336" s="128"/>
      <c r="B336" s="131"/>
      <c r="C336" s="115">
        <v>0</v>
      </c>
      <c r="D336" s="115"/>
      <c r="E336" s="115"/>
      <c r="F336" s="115"/>
      <c r="G336" s="115"/>
      <c r="H336" s="115"/>
      <c r="I336" s="66"/>
      <c r="J336" s="227"/>
      <c r="K336" s="227"/>
      <c r="L336" s="236"/>
      <c r="M336" s="236"/>
      <c r="N336" s="236"/>
      <c r="O336" s="236"/>
    </row>
    <row r="337" spans="1:15" ht="63" hidden="1" customHeight="1" x14ac:dyDescent="0.2">
      <c r="A337" s="128"/>
      <c r="B337" s="131"/>
      <c r="C337" s="115">
        <v>0</v>
      </c>
      <c r="D337" s="115"/>
      <c r="E337" s="115"/>
      <c r="F337" s="115"/>
      <c r="G337" s="115"/>
      <c r="H337" s="115"/>
      <c r="I337" s="55"/>
      <c r="J337" s="222"/>
      <c r="K337" s="222"/>
      <c r="L337" s="231"/>
      <c r="M337" s="231"/>
      <c r="N337" s="231"/>
      <c r="O337" s="231"/>
    </row>
    <row r="338" spans="1:15" ht="31.5" hidden="1" customHeight="1" x14ac:dyDescent="0.2">
      <c r="A338" s="128"/>
      <c r="B338" s="131"/>
      <c r="C338" s="115" t="s">
        <v>716</v>
      </c>
      <c r="D338" s="115"/>
      <c r="E338" s="115"/>
      <c r="F338" s="115"/>
      <c r="G338" s="115"/>
      <c r="H338" s="115"/>
      <c r="I338" s="55"/>
      <c r="J338" s="222"/>
      <c r="K338" s="222"/>
      <c r="L338" s="231"/>
      <c r="M338" s="231"/>
      <c r="N338" s="231"/>
      <c r="O338" s="231"/>
    </row>
    <row r="339" spans="1:15" ht="47.25" hidden="1" customHeight="1" x14ac:dyDescent="0.2">
      <c r="A339" s="128"/>
      <c r="B339" s="131"/>
      <c r="C339" s="115" t="s">
        <v>717</v>
      </c>
      <c r="D339" s="115"/>
      <c r="E339" s="115"/>
      <c r="F339" s="115"/>
      <c r="G339" s="115"/>
      <c r="H339" s="115"/>
      <c r="I339" s="55"/>
      <c r="J339" s="222"/>
      <c r="K339" s="222"/>
      <c r="L339" s="231"/>
      <c r="M339" s="231"/>
      <c r="N339" s="231"/>
      <c r="O339" s="231"/>
    </row>
    <row r="340" spans="1:15" ht="31.5" hidden="1" customHeight="1" x14ac:dyDescent="0.2">
      <c r="A340" s="128"/>
      <c r="B340" s="131"/>
      <c r="C340" s="115">
        <v>0</v>
      </c>
      <c r="D340" s="115"/>
      <c r="E340" s="115"/>
      <c r="F340" s="115"/>
      <c r="G340" s="115"/>
      <c r="H340" s="115"/>
      <c r="I340" s="55"/>
      <c r="J340" s="222"/>
      <c r="K340" s="222"/>
      <c r="L340" s="231"/>
      <c r="M340" s="231"/>
      <c r="N340" s="231"/>
      <c r="O340" s="231"/>
    </row>
    <row r="341" spans="1:15" ht="31.5" hidden="1" customHeight="1" x14ac:dyDescent="0.2">
      <c r="A341" s="128"/>
      <c r="B341" s="131"/>
      <c r="C341" s="115">
        <v>0</v>
      </c>
      <c r="D341" s="115"/>
      <c r="E341" s="115"/>
      <c r="F341" s="115"/>
      <c r="G341" s="115"/>
      <c r="H341" s="115"/>
      <c r="I341" s="55"/>
      <c r="J341" s="222"/>
      <c r="K341" s="222"/>
      <c r="L341" s="231"/>
      <c r="M341" s="231"/>
      <c r="N341" s="231"/>
      <c r="O341" s="231"/>
    </row>
    <row r="342" spans="1:15" ht="63" hidden="1" customHeight="1" x14ac:dyDescent="0.2">
      <c r="A342" s="128"/>
      <c r="B342" s="131"/>
      <c r="C342" s="115" t="s">
        <v>716</v>
      </c>
      <c r="D342" s="115"/>
      <c r="E342" s="115"/>
      <c r="F342" s="115"/>
      <c r="G342" s="115"/>
      <c r="H342" s="115"/>
      <c r="I342" s="55"/>
      <c r="J342" s="222"/>
      <c r="K342" s="222"/>
      <c r="L342" s="231"/>
      <c r="M342" s="231"/>
      <c r="N342" s="231"/>
      <c r="O342" s="231"/>
    </row>
    <row r="343" spans="1:15" ht="31.5" hidden="1" customHeight="1" x14ac:dyDescent="0.2">
      <c r="A343" s="128"/>
      <c r="B343" s="131"/>
      <c r="C343" s="115" t="s">
        <v>713</v>
      </c>
      <c r="D343" s="115"/>
      <c r="E343" s="115"/>
      <c r="F343" s="115"/>
      <c r="G343" s="115"/>
      <c r="H343" s="115"/>
      <c r="I343" s="55"/>
      <c r="J343" s="222"/>
      <c r="K343" s="222"/>
      <c r="L343" s="231"/>
      <c r="M343" s="231"/>
      <c r="N343" s="231"/>
      <c r="O343" s="231"/>
    </row>
    <row r="344" spans="1:15" ht="31.5" hidden="1" customHeight="1" x14ac:dyDescent="0.2">
      <c r="A344" s="128"/>
      <c r="B344" s="131"/>
      <c r="C344" s="115">
        <v>0</v>
      </c>
      <c r="D344" s="115"/>
      <c r="E344" s="115"/>
      <c r="F344" s="115"/>
      <c r="G344" s="115"/>
      <c r="H344" s="115"/>
      <c r="I344" s="55"/>
      <c r="J344" s="222"/>
      <c r="K344" s="222"/>
      <c r="L344" s="231"/>
      <c r="M344" s="231"/>
      <c r="N344" s="231"/>
      <c r="O344" s="231"/>
    </row>
    <row r="345" spans="1:15" ht="78.75" hidden="1" customHeight="1" x14ac:dyDescent="0.2">
      <c r="A345" s="128"/>
      <c r="B345" s="131"/>
      <c r="C345" s="115">
        <v>0</v>
      </c>
      <c r="D345" s="115"/>
      <c r="E345" s="115"/>
      <c r="F345" s="115"/>
      <c r="G345" s="115"/>
      <c r="H345" s="115"/>
      <c r="I345" s="55"/>
      <c r="J345" s="222"/>
      <c r="K345" s="222"/>
      <c r="L345" s="231"/>
      <c r="M345" s="231"/>
      <c r="N345" s="231"/>
      <c r="O345" s="231"/>
    </row>
    <row r="346" spans="1:15" ht="31.5" hidden="1" customHeight="1" x14ac:dyDescent="0.2">
      <c r="A346" s="128"/>
      <c r="B346" s="131"/>
      <c r="C346" s="115" t="s">
        <v>716</v>
      </c>
      <c r="D346" s="115"/>
      <c r="E346" s="115"/>
      <c r="F346" s="115"/>
      <c r="G346" s="115"/>
      <c r="H346" s="115"/>
      <c r="I346" s="55"/>
      <c r="J346" s="222"/>
      <c r="K346" s="222"/>
      <c r="L346" s="231"/>
      <c r="M346" s="231"/>
      <c r="N346" s="231"/>
      <c r="O346" s="231"/>
    </row>
    <row r="347" spans="1:15" ht="157.5" hidden="1" customHeight="1" x14ac:dyDescent="0.2">
      <c r="A347" s="128"/>
      <c r="B347" s="131"/>
      <c r="C347" s="115" t="s">
        <v>713</v>
      </c>
      <c r="D347" s="115"/>
      <c r="E347" s="115"/>
      <c r="F347" s="115"/>
      <c r="G347" s="115"/>
      <c r="H347" s="115"/>
      <c r="I347" s="55"/>
      <c r="J347" s="222"/>
      <c r="K347" s="222"/>
      <c r="L347" s="231"/>
      <c r="M347" s="231"/>
      <c r="N347" s="231"/>
      <c r="O347" s="231"/>
    </row>
    <row r="348" spans="1:15" ht="31.5" hidden="1" customHeight="1" x14ac:dyDescent="0.2">
      <c r="A348" s="128"/>
      <c r="B348" s="131"/>
      <c r="C348" s="115">
        <v>0</v>
      </c>
      <c r="D348" s="115"/>
      <c r="E348" s="115"/>
      <c r="F348" s="115"/>
      <c r="G348" s="115"/>
      <c r="H348" s="115"/>
      <c r="I348" s="55"/>
      <c r="J348" s="222"/>
      <c r="K348" s="222"/>
      <c r="L348" s="231"/>
      <c r="M348" s="231"/>
      <c r="N348" s="231"/>
      <c r="O348" s="231"/>
    </row>
    <row r="349" spans="1:15" ht="141.75" hidden="1" customHeight="1" x14ac:dyDescent="0.2">
      <c r="A349" s="128"/>
      <c r="B349" s="131"/>
      <c r="C349" s="115">
        <v>0</v>
      </c>
      <c r="D349" s="115"/>
      <c r="E349" s="115"/>
      <c r="F349" s="115"/>
      <c r="G349" s="115"/>
      <c r="H349" s="115"/>
      <c r="I349" s="55"/>
      <c r="J349" s="222"/>
      <c r="K349" s="222"/>
      <c r="L349" s="231"/>
      <c r="M349" s="231"/>
      <c r="N349" s="231"/>
      <c r="O349" s="231"/>
    </row>
    <row r="350" spans="1:15" ht="31.5" hidden="1" customHeight="1" x14ac:dyDescent="0.2">
      <c r="A350" s="128"/>
      <c r="B350" s="131"/>
      <c r="C350" s="115" t="s">
        <v>716</v>
      </c>
      <c r="D350" s="115"/>
      <c r="E350" s="115"/>
      <c r="F350" s="115"/>
      <c r="G350" s="115"/>
      <c r="H350" s="115"/>
      <c r="I350" s="55"/>
      <c r="J350" s="222"/>
      <c r="K350" s="222"/>
      <c r="L350" s="231"/>
      <c r="M350" s="231"/>
      <c r="N350" s="231"/>
      <c r="O350" s="231"/>
    </row>
    <row r="351" spans="1:15" ht="63" hidden="1" customHeight="1" x14ac:dyDescent="0.2">
      <c r="A351" s="128"/>
      <c r="B351" s="131"/>
      <c r="C351" s="115" t="s">
        <v>713</v>
      </c>
      <c r="D351" s="115"/>
      <c r="E351" s="115"/>
      <c r="F351" s="115"/>
      <c r="G351" s="115"/>
      <c r="H351" s="115"/>
      <c r="I351" s="55"/>
      <c r="J351" s="222"/>
      <c r="K351" s="222"/>
      <c r="L351" s="231"/>
      <c r="M351" s="231"/>
      <c r="N351" s="231"/>
      <c r="O351" s="231"/>
    </row>
    <row r="352" spans="1:15" ht="31.5" hidden="1" customHeight="1" x14ac:dyDescent="0.2">
      <c r="A352" s="128"/>
      <c r="B352" s="131"/>
      <c r="C352" s="115">
        <v>0</v>
      </c>
      <c r="D352" s="115"/>
      <c r="E352" s="115"/>
      <c r="F352" s="115"/>
      <c r="G352" s="115"/>
      <c r="H352" s="115"/>
      <c r="I352" s="55"/>
      <c r="J352" s="222"/>
      <c r="K352" s="222"/>
      <c r="L352" s="231"/>
      <c r="M352" s="231"/>
      <c r="N352" s="231"/>
      <c r="O352" s="231"/>
    </row>
    <row r="353" spans="1:15" ht="63" hidden="1" customHeight="1" x14ac:dyDescent="0.2">
      <c r="A353" s="128"/>
      <c r="B353" s="131"/>
      <c r="C353" s="115">
        <v>0</v>
      </c>
      <c r="D353" s="115"/>
      <c r="E353" s="115"/>
      <c r="F353" s="115"/>
      <c r="G353" s="115"/>
      <c r="H353" s="115"/>
      <c r="I353" s="55"/>
      <c r="J353" s="222"/>
      <c r="K353" s="222"/>
      <c r="L353" s="231"/>
      <c r="M353" s="231"/>
      <c r="N353" s="231"/>
      <c r="O353" s="231"/>
    </row>
    <row r="354" spans="1:15" ht="31.5" hidden="1" customHeight="1" x14ac:dyDescent="0.2">
      <c r="A354" s="128"/>
      <c r="B354" s="131"/>
      <c r="C354" s="115" t="s">
        <v>716</v>
      </c>
      <c r="D354" s="115"/>
      <c r="E354" s="115"/>
      <c r="F354" s="115"/>
      <c r="G354" s="115"/>
      <c r="H354" s="115"/>
      <c r="I354" s="55"/>
      <c r="J354" s="222"/>
      <c r="K354" s="222"/>
      <c r="L354" s="231"/>
      <c r="M354" s="231"/>
      <c r="N354" s="231"/>
      <c r="O354" s="231"/>
    </row>
    <row r="355" spans="1:15" ht="63" hidden="1" customHeight="1" x14ac:dyDescent="0.2">
      <c r="A355" s="128"/>
      <c r="B355" s="131"/>
      <c r="C355" s="115">
        <v>0</v>
      </c>
      <c r="D355" s="115"/>
      <c r="E355" s="115"/>
      <c r="F355" s="115"/>
      <c r="G355" s="115"/>
      <c r="H355" s="115"/>
      <c r="I355" s="55"/>
      <c r="J355" s="222"/>
      <c r="K355" s="222"/>
      <c r="L355" s="231"/>
      <c r="M355" s="231"/>
      <c r="N355" s="231"/>
      <c r="O355" s="231"/>
    </row>
    <row r="356" spans="1:15" ht="31.5" hidden="1" customHeight="1" x14ac:dyDescent="0.2">
      <c r="A356" s="128"/>
      <c r="B356" s="131"/>
      <c r="C356" s="115">
        <v>0</v>
      </c>
      <c r="D356" s="115"/>
      <c r="E356" s="115"/>
      <c r="F356" s="115"/>
      <c r="G356" s="115"/>
      <c r="H356" s="115"/>
      <c r="I356" s="55"/>
      <c r="J356" s="222"/>
      <c r="K356" s="222"/>
      <c r="L356" s="231"/>
      <c r="M356" s="231"/>
      <c r="N356" s="231"/>
      <c r="O356" s="231"/>
    </row>
    <row r="357" spans="1:15" ht="47.25" hidden="1" customHeight="1" x14ac:dyDescent="0.2">
      <c r="A357" s="128"/>
      <c r="B357" s="131"/>
      <c r="C357" s="115">
        <v>0</v>
      </c>
      <c r="D357" s="115"/>
      <c r="E357" s="115"/>
      <c r="F357" s="115"/>
      <c r="G357" s="115"/>
      <c r="H357" s="115"/>
      <c r="I357" s="55"/>
      <c r="J357" s="222"/>
      <c r="K357" s="222"/>
      <c r="L357" s="231"/>
      <c r="M357" s="231"/>
      <c r="N357" s="231"/>
      <c r="O357" s="231"/>
    </row>
    <row r="358" spans="1:15" ht="31.5" hidden="1" customHeight="1" x14ac:dyDescent="0.2">
      <c r="A358" s="128"/>
      <c r="B358" s="131"/>
      <c r="C358" s="115" t="s">
        <v>719</v>
      </c>
      <c r="D358" s="115"/>
      <c r="E358" s="115"/>
      <c r="F358" s="115"/>
      <c r="G358" s="115"/>
      <c r="H358" s="115"/>
      <c r="I358" s="55"/>
      <c r="J358" s="222"/>
      <c r="K358" s="222"/>
      <c r="L358" s="231"/>
      <c r="M358" s="231"/>
      <c r="N358" s="231"/>
      <c r="O358" s="231"/>
    </row>
    <row r="359" spans="1:15" ht="141.75" hidden="1" customHeight="1" x14ac:dyDescent="0.2">
      <c r="A359" s="128"/>
      <c r="B359" s="131"/>
      <c r="C359" s="115">
        <v>0</v>
      </c>
      <c r="D359" s="115"/>
      <c r="E359" s="115"/>
      <c r="F359" s="115"/>
      <c r="G359" s="115"/>
      <c r="H359" s="115"/>
      <c r="I359" s="55"/>
      <c r="J359" s="222"/>
      <c r="K359" s="222"/>
      <c r="L359" s="231"/>
      <c r="M359" s="231"/>
      <c r="N359" s="231"/>
      <c r="O359" s="231"/>
    </row>
    <row r="360" spans="1:15" ht="189" hidden="1" customHeight="1" x14ac:dyDescent="0.2">
      <c r="A360" s="128"/>
      <c r="B360" s="131"/>
      <c r="C360" s="115">
        <v>0</v>
      </c>
      <c r="D360" s="115"/>
      <c r="E360" s="115"/>
      <c r="F360" s="115"/>
      <c r="G360" s="115"/>
      <c r="H360" s="115"/>
      <c r="I360" s="55"/>
      <c r="J360" s="222"/>
      <c r="K360" s="222"/>
      <c r="L360" s="231"/>
      <c r="M360" s="231"/>
      <c r="N360" s="231"/>
      <c r="O360" s="231"/>
    </row>
    <row r="361" spans="1:15" ht="31.5" hidden="1" customHeight="1" x14ac:dyDescent="0.2">
      <c r="A361" s="128"/>
      <c r="B361" s="131"/>
      <c r="C361" s="115">
        <v>0</v>
      </c>
      <c r="D361" s="115"/>
      <c r="E361" s="115"/>
      <c r="F361" s="115"/>
      <c r="G361" s="115"/>
      <c r="H361" s="115"/>
      <c r="I361" s="55"/>
      <c r="J361" s="222"/>
      <c r="K361" s="222"/>
      <c r="L361" s="231"/>
      <c r="M361" s="231"/>
      <c r="N361" s="231"/>
      <c r="O361" s="231"/>
    </row>
    <row r="362" spans="1:15" ht="63" hidden="1" customHeight="1" x14ac:dyDescent="0.2">
      <c r="A362" s="128"/>
      <c r="B362" s="131"/>
      <c r="C362" s="115" t="s">
        <v>716</v>
      </c>
      <c r="D362" s="115"/>
      <c r="E362" s="115"/>
      <c r="F362" s="115"/>
      <c r="G362" s="115"/>
      <c r="H362" s="115"/>
      <c r="I362" s="55"/>
      <c r="J362" s="222"/>
      <c r="K362" s="222"/>
      <c r="L362" s="231"/>
      <c r="M362" s="231"/>
      <c r="N362" s="231"/>
      <c r="O362" s="231"/>
    </row>
    <row r="363" spans="1:15" ht="31.5" hidden="1" customHeight="1" x14ac:dyDescent="0.2">
      <c r="A363" s="128"/>
      <c r="B363" s="131"/>
      <c r="C363" s="115" t="s">
        <v>713</v>
      </c>
      <c r="D363" s="115"/>
      <c r="E363" s="115"/>
      <c r="F363" s="115"/>
      <c r="G363" s="115"/>
      <c r="H363" s="115"/>
      <c r="I363" s="55"/>
      <c r="J363" s="222"/>
      <c r="K363" s="222"/>
      <c r="L363" s="231"/>
      <c r="M363" s="231"/>
      <c r="N363" s="231"/>
      <c r="O363" s="231"/>
    </row>
    <row r="364" spans="1:15" ht="47.25" hidden="1" customHeight="1" x14ac:dyDescent="0.2">
      <c r="A364" s="128"/>
      <c r="B364" s="131"/>
      <c r="C364" s="115">
        <v>0</v>
      </c>
      <c r="D364" s="115"/>
      <c r="E364" s="115"/>
      <c r="F364" s="115"/>
      <c r="G364" s="115"/>
      <c r="H364" s="115"/>
      <c r="I364" s="55"/>
      <c r="J364" s="222"/>
      <c r="K364" s="222"/>
      <c r="L364" s="231"/>
      <c r="M364" s="231"/>
      <c r="N364" s="231"/>
      <c r="O364" s="231"/>
    </row>
    <row r="365" spans="1:15" ht="31.5" hidden="1" customHeight="1" x14ac:dyDescent="0.2">
      <c r="A365" s="128"/>
      <c r="B365" s="131"/>
      <c r="C365" s="115">
        <v>0</v>
      </c>
      <c r="D365" s="115"/>
      <c r="E365" s="115"/>
      <c r="F365" s="115"/>
      <c r="G365" s="115"/>
      <c r="H365" s="115"/>
      <c r="I365" s="55"/>
      <c r="J365" s="222"/>
      <c r="K365" s="222"/>
      <c r="L365" s="231"/>
      <c r="M365" s="231"/>
      <c r="N365" s="231"/>
      <c r="O365" s="231"/>
    </row>
    <row r="366" spans="1:15" ht="78.75" hidden="1" customHeight="1" x14ac:dyDescent="0.2">
      <c r="A366" s="128"/>
      <c r="B366" s="131"/>
      <c r="C366" s="115" t="s">
        <v>716</v>
      </c>
      <c r="D366" s="115"/>
      <c r="E366" s="115"/>
      <c r="F366" s="115"/>
      <c r="G366" s="115"/>
      <c r="H366" s="115"/>
      <c r="I366" s="55"/>
      <c r="J366" s="222"/>
      <c r="K366" s="222"/>
      <c r="L366" s="231"/>
      <c r="M366" s="231"/>
      <c r="N366" s="231"/>
      <c r="O366" s="231"/>
    </row>
    <row r="367" spans="1:15" ht="31.5" hidden="1" customHeight="1" x14ac:dyDescent="0.2">
      <c r="A367" s="128"/>
      <c r="B367" s="131"/>
      <c r="C367" s="115" t="s">
        <v>713</v>
      </c>
      <c r="D367" s="115"/>
      <c r="E367" s="115"/>
      <c r="F367" s="115"/>
      <c r="G367" s="115"/>
      <c r="H367" s="115"/>
      <c r="I367" s="55"/>
      <c r="J367" s="222"/>
      <c r="K367" s="222"/>
      <c r="L367" s="231"/>
      <c r="M367" s="231"/>
      <c r="N367" s="231"/>
      <c r="O367" s="231"/>
    </row>
    <row r="368" spans="1:15" ht="78.75" hidden="1" customHeight="1" x14ac:dyDescent="0.2">
      <c r="A368" s="128"/>
      <c r="B368" s="131"/>
      <c r="C368" s="115">
        <v>0</v>
      </c>
      <c r="D368" s="115"/>
      <c r="E368" s="115"/>
      <c r="F368" s="115"/>
      <c r="G368" s="115"/>
      <c r="H368" s="115"/>
      <c r="I368" s="55"/>
      <c r="J368" s="222"/>
      <c r="K368" s="222"/>
      <c r="L368" s="231"/>
      <c r="M368" s="231"/>
      <c r="N368" s="231"/>
      <c r="O368" s="231"/>
    </row>
    <row r="369" spans="1:15" ht="31.5" hidden="1" customHeight="1" x14ac:dyDescent="0.2">
      <c r="A369" s="128"/>
      <c r="B369" s="131"/>
      <c r="C369" s="115">
        <v>0</v>
      </c>
      <c r="D369" s="115"/>
      <c r="E369" s="115"/>
      <c r="F369" s="115"/>
      <c r="G369" s="115"/>
      <c r="H369" s="115"/>
      <c r="I369" s="55"/>
      <c r="J369" s="222"/>
      <c r="K369" s="222"/>
      <c r="L369" s="231"/>
      <c r="M369" s="231"/>
      <c r="N369" s="231"/>
      <c r="O369" s="231"/>
    </row>
    <row r="370" spans="1:15" ht="110.25" hidden="1" customHeight="1" x14ac:dyDescent="0.2">
      <c r="A370" s="128"/>
      <c r="B370" s="131"/>
      <c r="C370" s="115" t="s">
        <v>716</v>
      </c>
      <c r="D370" s="115"/>
      <c r="E370" s="115"/>
      <c r="F370" s="115"/>
      <c r="G370" s="115"/>
      <c r="H370" s="115"/>
      <c r="I370" s="55"/>
      <c r="J370" s="222"/>
      <c r="K370" s="222"/>
      <c r="L370" s="231"/>
      <c r="M370" s="231"/>
      <c r="N370" s="231"/>
      <c r="O370" s="231"/>
    </row>
    <row r="371" spans="1:15" ht="31.5" hidden="1" customHeight="1" x14ac:dyDescent="0.2">
      <c r="A371" s="128"/>
      <c r="B371" s="131"/>
      <c r="C371" s="115" t="s">
        <v>713</v>
      </c>
      <c r="D371" s="115"/>
      <c r="E371" s="115"/>
      <c r="F371" s="115"/>
      <c r="G371" s="115"/>
      <c r="H371" s="115"/>
      <c r="I371" s="55"/>
      <c r="J371" s="222"/>
      <c r="K371" s="222"/>
      <c r="L371" s="231"/>
      <c r="M371" s="231"/>
      <c r="N371" s="231"/>
      <c r="O371" s="231"/>
    </row>
    <row r="372" spans="1:15" ht="94.5" hidden="1" customHeight="1" x14ac:dyDescent="0.2">
      <c r="A372" s="128"/>
      <c r="B372" s="131"/>
      <c r="C372" s="115">
        <v>0</v>
      </c>
      <c r="D372" s="115"/>
      <c r="E372" s="115"/>
      <c r="F372" s="115"/>
      <c r="G372" s="115"/>
      <c r="H372" s="115"/>
      <c r="I372" s="55"/>
      <c r="J372" s="222"/>
      <c r="K372" s="222"/>
      <c r="L372" s="231"/>
      <c r="M372" s="231"/>
      <c r="N372" s="231"/>
      <c r="O372" s="231"/>
    </row>
    <row r="373" spans="1:15" ht="31.5" hidden="1" customHeight="1" x14ac:dyDescent="0.2">
      <c r="A373" s="128"/>
      <c r="B373" s="131"/>
      <c r="C373" s="115">
        <v>0</v>
      </c>
      <c r="D373" s="115"/>
      <c r="E373" s="115"/>
      <c r="F373" s="115"/>
      <c r="G373" s="115"/>
      <c r="H373" s="115"/>
      <c r="I373" s="55"/>
      <c r="J373" s="222"/>
      <c r="K373" s="222"/>
      <c r="L373" s="231"/>
      <c r="M373" s="231"/>
      <c r="N373" s="231"/>
      <c r="O373" s="231"/>
    </row>
    <row r="374" spans="1:15" ht="78.75" hidden="1" customHeight="1" x14ac:dyDescent="0.2">
      <c r="A374" s="128"/>
      <c r="B374" s="131"/>
      <c r="C374" s="115" t="s">
        <v>716</v>
      </c>
      <c r="D374" s="115"/>
      <c r="E374" s="115"/>
      <c r="F374" s="115"/>
      <c r="G374" s="115"/>
      <c r="H374" s="115"/>
      <c r="I374" s="55"/>
      <c r="J374" s="222"/>
      <c r="K374" s="222"/>
      <c r="L374" s="231"/>
      <c r="M374" s="231"/>
      <c r="N374" s="231"/>
      <c r="O374" s="231"/>
    </row>
    <row r="375" spans="1:15" ht="31.5" hidden="1" customHeight="1" x14ac:dyDescent="0.2">
      <c r="A375" s="128"/>
      <c r="B375" s="131"/>
      <c r="C375" s="115" t="s">
        <v>713</v>
      </c>
      <c r="D375" s="115"/>
      <c r="E375" s="115"/>
      <c r="F375" s="115"/>
      <c r="G375" s="115"/>
      <c r="H375" s="115"/>
      <c r="I375" s="55"/>
      <c r="J375" s="222"/>
      <c r="K375" s="222"/>
      <c r="L375" s="231"/>
      <c r="M375" s="231"/>
      <c r="N375" s="231"/>
      <c r="O375" s="231"/>
    </row>
    <row r="376" spans="1:15" ht="126" hidden="1" customHeight="1" x14ac:dyDescent="0.2">
      <c r="A376" s="128"/>
      <c r="B376" s="131"/>
      <c r="C376" s="115">
        <v>0</v>
      </c>
      <c r="D376" s="115"/>
      <c r="E376" s="115"/>
      <c r="F376" s="115"/>
      <c r="G376" s="115"/>
      <c r="H376" s="115"/>
      <c r="I376" s="55"/>
      <c r="J376" s="222"/>
      <c r="K376" s="222"/>
      <c r="L376" s="231"/>
      <c r="M376" s="231"/>
      <c r="N376" s="231"/>
      <c r="O376" s="231"/>
    </row>
    <row r="377" spans="1:15" ht="31.5" hidden="1" customHeight="1" x14ac:dyDescent="0.2">
      <c r="A377" s="128"/>
      <c r="B377" s="131"/>
      <c r="C377" s="115">
        <v>0</v>
      </c>
      <c r="D377" s="115"/>
      <c r="E377" s="115"/>
      <c r="F377" s="115"/>
      <c r="G377" s="115"/>
      <c r="H377" s="115"/>
      <c r="I377" s="55"/>
      <c r="J377" s="222"/>
      <c r="K377" s="222"/>
      <c r="L377" s="231"/>
      <c r="M377" s="231"/>
      <c r="N377" s="231"/>
      <c r="O377" s="231"/>
    </row>
    <row r="378" spans="1:15" ht="47.25" hidden="1" customHeight="1" x14ac:dyDescent="0.2">
      <c r="A378" s="128"/>
      <c r="B378" s="131"/>
      <c r="C378" s="115" t="s">
        <v>716</v>
      </c>
      <c r="D378" s="115"/>
      <c r="E378" s="115"/>
      <c r="F378" s="115"/>
      <c r="G378" s="115"/>
      <c r="H378" s="115"/>
      <c r="I378" s="55"/>
      <c r="J378" s="222"/>
      <c r="K378" s="222"/>
      <c r="L378" s="231"/>
      <c r="M378" s="231"/>
      <c r="N378" s="231"/>
      <c r="O378" s="231"/>
    </row>
    <row r="379" spans="1:15" ht="31.5" hidden="1" customHeight="1" x14ac:dyDescent="0.2">
      <c r="A379" s="128"/>
      <c r="B379" s="131"/>
      <c r="C379" s="115" t="s">
        <v>713</v>
      </c>
      <c r="D379" s="115"/>
      <c r="E379" s="115"/>
      <c r="F379" s="115"/>
      <c r="G379" s="115"/>
      <c r="H379" s="115"/>
      <c r="I379" s="55"/>
      <c r="J379" s="222"/>
      <c r="K379" s="222"/>
      <c r="L379" s="231"/>
      <c r="M379" s="231"/>
      <c r="N379" s="231"/>
      <c r="O379" s="231"/>
    </row>
    <row r="380" spans="1:15" ht="110.25" hidden="1" customHeight="1" x14ac:dyDescent="0.2">
      <c r="A380" s="128"/>
      <c r="B380" s="131"/>
      <c r="C380" s="115">
        <v>0</v>
      </c>
      <c r="D380" s="115"/>
      <c r="E380" s="115"/>
      <c r="F380" s="115"/>
      <c r="G380" s="115"/>
      <c r="H380" s="115"/>
      <c r="I380" s="55"/>
      <c r="J380" s="222"/>
      <c r="K380" s="222"/>
      <c r="L380" s="231"/>
      <c r="M380" s="231"/>
      <c r="N380" s="231"/>
      <c r="O380" s="231"/>
    </row>
    <row r="381" spans="1:15" ht="31.5" hidden="1" customHeight="1" x14ac:dyDescent="0.2">
      <c r="A381" s="128"/>
      <c r="B381" s="131"/>
      <c r="C381" s="115">
        <v>0</v>
      </c>
      <c r="D381" s="115"/>
      <c r="E381" s="115"/>
      <c r="F381" s="115"/>
      <c r="G381" s="115"/>
      <c r="H381" s="115"/>
      <c r="I381" s="55"/>
      <c r="J381" s="222"/>
      <c r="K381" s="222"/>
      <c r="L381" s="231"/>
      <c r="M381" s="231"/>
      <c r="N381" s="231"/>
      <c r="O381" s="231"/>
    </row>
    <row r="382" spans="1:15" ht="78.75" hidden="1" customHeight="1" x14ac:dyDescent="0.2">
      <c r="A382" s="128"/>
      <c r="B382" s="131"/>
      <c r="C382" s="115" t="s">
        <v>716</v>
      </c>
      <c r="D382" s="115"/>
      <c r="E382" s="115"/>
      <c r="F382" s="115"/>
      <c r="G382" s="115"/>
      <c r="H382" s="115"/>
      <c r="I382" s="55"/>
      <c r="J382" s="222"/>
      <c r="K382" s="222"/>
      <c r="L382" s="231"/>
      <c r="M382" s="231"/>
      <c r="N382" s="231"/>
      <c r="O382" s="231"/>
    </row>
    <row r="383" spans="1:15" ht="31.5" hidden="1" customHeight="1" x14ac:dyDescent="0.2">
      <c r="A383" s="128"/>
      <c r="B383" s="131"/>
      <c r="C383" s="115" t="s">
        <v>713</v>
      </c>
      <c r="D383" s="115"/>
      <c r="E383" s="115"/>
      <c r="F383" s="115"/>
      <c r="G383" s="115"/>
      <c r="H383" s="115"/>
      <c r="I383" s="55"/>
      <c r="J383" s="222"/>
      <c r="K383" s="222"/>
      <c r="L383" s="231"/>
      <c r="M383" s="231"/>
      <c r="N383" s="231"/>
      <c r="O383" s="231"/>
    </row>
    <row r="384" spans="1:15" ht="94.5" hidden="1" customHeight="1" x14ac:dyDescent="0.2">
      <c r="A384" s="128"/>
      <c r="B384" s="131"/>
      <c r="C384" s="115">
        <v>0</v>
      </c>
      <c r="D384" s="115"/>
      <c r="E384" s="115"/>
      <c r="F384" s="115"/>
      <c r="G384" s="115"/>
      <c r="H384" s="115"/>
      <c r="I384" s="55"/>
      <c r="J384" s="222"/>
      <c r="K384" s="222"/>
      <c r="L384" s="231"/>
      <c r="M384" s="231"/>
      <c r="N384" s="231"/>
      <c r="O384" s="231"/>
    </row>
    <row r="385" spans="1:15" ht="31.5" hidden="1" customHeight="1" x14ac:dyDescent="0.2">
      <c r="A385" s="128"/>
      <c r="B385" s="131"/>
      <c r="C385" s="115">
        <v>0</v>
      </c>
      <c r="D385" s="115"/>
      <c r="E385" s="115"/>
      <c r="F385" s="115"/>
      <c r="G385" s="115"/>
      <c r="H385" s="115"/>
      <c r="I385" s="55"/>
      <c r="J385" s="222"/>
      <c r="K385" s="222"/>
      <c r="L385" s="231"/>
      <c r="M385" s="231"/>
      <c r="N385" s="231"/>
      <c r="O385" s="231"/>
    </row>
    <row r="386" spans="1:15" ht="94.5" hidden="1" customHeight="1" x14ac:dyDescent="0.2">
      <c r="A386" s="128"/>
      <c r="B386" s="131"/>
      <c r="C386" s="115" t="s">
        <v>716</v>
      </c>
      <c r="D386" s="115"/>
      <c r="E386" s="115"/>
      <c r="F386" s="115"/>
      <c r="G386" s="115"/>
      <c r="H386" s="115"/>
      <c r="I386" s="55"/>
      <c r="J386" s="222"/>
      <c r="K386" s="222"/>
      <c r="L386" s="231"/>
      <c r="M386" s="231"/>
      <c r="N386" s="231"/>
      <c r="O386" s="231"/>
    </row>
    <row r="387" spans="1:15" ht="31.5" hidden="1" customHeight="1" x14ac:dyDescent="0.2">
      <c r="A387" s="128"/>
      <c r="B387" s="131"/>
      <c r="C387" s="115" t="s">
        <v>713</v>
      </c>
      <c r="D387" s="115"/>
      <c r="E387" s="115"/>
      <c r="F387" s="115"/>
      <c r="G387" s="115"/>
      <c r="H387" s="115"/>
      <c r="I387" s="55"/>
      <c r="J387" s="222"/>
      <c r="K387" s="222"/>
      <c r="L387" s="231"/>
      <c r="M387" s="231"/>
      <c r="N387" s="231"/>
      <c r="O387" s="231"/>
    </row>
    <row r="388" spans="1:15" ht="126" hidden="1" customHeight="1" x14ac:dyDescent="0.2">
      <c r="A388" s="128"/>
      <c r="B388" s="131"/>
      <c r="C388" s="115">
        <v>0</v>
      </c>
      <c r="D388" s="115"/>
      <c r="E388" s="115"/>
      <c r="F388" s="115"/>
      <c r="G388" s="115"/>
      <c r="H388" s="115"/>
      <c r="I388" s="55"/>
      <c r="J388" s="222"/>
      <c r="K388" s="222"/>
      <c r="L388" s="231"/>
      <c r="M388" s="231"/>
      <c r="N388" s="231"/>
      <c r="O388" s="231"/>
    </row>
    <row r="389" spans="1:15" ht="31.5" hidden="1" customHeight="1" x14ac:dyDescent="0.2">
      <c r="A389" s="128"/>
      <c r="B389" s="131"/>
      <c r="C389" s="115">
        <v>0</v>
      </c>
      <c r="D389" s="115"/>
      <c r="E389" s="115"/>
      <c r="F389" s="115"/>
      <c r="G389" s="115"/>
      <c r="H389" s="115"/>
      <c r="I389" s="55"/>
      <c r="J389" s="222"/>
      <c r="K389" s="222"/>
      <c r="L389" s="231"/>
      <c r="M389" s="231"/>
      <c r="N389" s="231"/>
      <c r="O389" s="231"/>
    </row>
    <row r="390" spans="1:15" ht="78.75" hidden="1" customHeight="1" x14ac:dyDescent="0.2">
      <c r="A390" s="128"/>
      <c r="B390" s="131"/>
      <c r="C390" s="115" t="s">
        <v>716</v>
      </c>
      <c r="D390" s="115"/>
      <c r="E390" s="115"/>
      <c r="F390" s="115"/>
      <c r="G390" s="115"/>
      <c r="H390" s="115"/>
      <c r="I390" s="55"/>
      <c r="J390" s="222"/>
      <c r="K390" s="222"/>
      <c r="L390" s="231"/>
      <c r="M390" s="231"/>
      <c r="N390" s="231"/>
      <c r="O390" s="231"/>
    </row>
    <row r="391" spans="1:15" ht="31.5" hidden="1" customHeight="1" x14ac:dyDescent="0.2">
      <c r="A391" s="128"/>
      <c r="B391" s="131"/>
      <c r="C391" s="115" t="s">
        <v>713</v>
      </c>
      <c r="D391" s="115"/>
      <c r="E391" s="115"/>
      <c r="F391" s="115"/>
      <c r="G391" s="115"/>
      <c r="H391" s="115"/>
      <c r="I391" s="55"/>
      <c r="J391" s="222"/>
      <c r="K391" s="222"/>
      <c r="L391" s="231"/>
      <c r="M391" s="231"/>
      <c r="N391" s="231"/>
      <c r="O391" s="231"/>
    </row>
    <row r="392" spans="1:15" ht="110.25" hidden="1" customHeight="1" x14ac:dyDescent="0.2">
      <c r="A392" s="128"/>
      <c r="B392" s="131"/>
      <c r="C392" s="115">
        <v>0</v>
      </c>
      <c r="D392" s="115"/>
      <c r="E392" s="115"/>
      <c r="F392" s="115"/>
      <c r="G392" s="115"/>
      <c r="H392" s="115"/>
      <c r="I392" s="55"/>
      <c r="J392" s="222"/>
      <c r="K392" s="222"/>
      <c r="L392" s="231"/>
      <c r="M392" s="231"/>
      <c r="N392" s="231"/>
      <c r="O392" s="231"/>
    </row>
    <row r="393" spans="1:15" ht="31.5" hidden="1" customHeight="1" x14ac:dyDescent="0.2">
      <c r="A393" s="128"/>
      <c r="B393" s="131"/>
      <c r="C393" s="115">
        <v>0</v>
      </c>
      <c r="D393" s="115"/>
      <c r="E393" s="115"/>
      <c r="F393" s="115"/>
      <c r="G393" s="115"/>
      <c r="H393" s="115"/>
      <c r="I393" s="55"/>
      <c r="J393" s="222"/>
      <c r="K393" s="222"/>
      <c r="L393" s="231"/>
      <c r="M393" s="231"/>
      <c r="N393" s="231"/>
      <c r="O393" s="231"/>
    </row>
    <row r="394" spans="1:15" ht="78.75" hidden="1" customHeight="1" x14ac:dyDescent="0.2">
      <c r="A394" s="128"/>
      <c r="B394" s="131"/>
      <c r="C394" s="115" t="s">
        <v>716</v>
      </c>
      <c r="D394" s="115"/>
      <c r="E394" s="115"/>
      <c r="F394" s="115"/>
      <c r="G394" s="115"/>
      <c r="H394" s="115"/>
      <c r="I394" s="55"/>
      <c r="J394" s="222"/>
      <c r="K394" s="222"/>
      <c r="L394" s="231"/>
      <c r="M394" s="231"/>
      <c r="N394" s="231"/>
      <c r="O394" s="231"/>
    </row>
    <row r="395" spans="1:15" ht="31.5" hidden="1" customHeight="1" x14ac:dyDescent="0.2">
      <c r="A395" s="128"/>
      <c r="B395" s="131"/>
      <c r="C395" s="115" t="s">
        <v>713</v>
      </c>
      <c r="D395" s="115"/>
      <c r="E395" s="115"/>
      <c r="F395" s="115"/>
      <c r="G395" s="115"/>
      <c r="H395" s="115"/>
      <c r="I395" s="55"/>
      <c r="J395" s="222"/>
      <c r="K395" s="222"/>
      <c r="L395" s="231"/>
      <c r="M395" s="231"/>
      <c r="N395" s="231"/>
      <c r="O395" s="231"/>
    </row>
    <row r="396" spans="1:15" ht="78.75" hidden="1" customHeight="1" x14ac:dyDescent="0.2">
      <c r="A396" s="128"/>
      <c r="B396" s="131"/>
      <c r="C396" s="115">
        <v>0</v>
      </c>
      <c r="D396" s="115"/>
      <c r="E396" s="115"/>
      <c r="F396" s="115"/>
      <c r="G396" s="115"/>
      <c r="H396" s="115"/>
      <c r="I396" s="55"/>
      <c r="J396" s="222"/>
      <c r="K396" s="222"/>
      <c r="L396" s="231"/>
      <c r="M396" s="231"/>
      <c r="N396" s="231"/>
      <c r="O396" s="231"/>
    </row>
    <row r="397" spans="1:15" ht="31.5" hidden="1" customHeight="1" x14ac:dyDescent="0.2">
      <c r="A397" s="128"/>
      <c r="B397" s="131"/>
      <c r="C397" s="115">
        <v>0</v>
      </c>
      <c r="D397" s="115"/>
      <c r="E397" s="115"/>
      <c r="F397" s="115"/>
      <c r="G397" s="115"/>
      <c r="H397" s="115"/>
      <c r="I397" s="55"/>
      <c r="J397" s="222"/>
      <c r="K397" s="222"/>
      <c r="L397" s="231"/>
      <c r="M397" s="231"/>
      <c r="N397" s="231"/>
      <c r="O397" s="231"/>
    </row>
    <row r="398" spans="1:15" ht="78.75" hidden="1" customHeight="1" x14ac:dyDescent="0.2">
      <c r="A398" s="128"/>
      <c r="B398" s="131"/>
      <c r="C398" s="115" t="s">
        <v>714</v>
      </c>
      <c r="D398" s="115"/>
      <c r="E398" s="115"/>
      <c r="F398" s="115"/>
      <c r="G398" s="115"/>
      <c r="H398" s="115"/>
      <c r="I398" s="55"/>
      <c r="J398" s="222"/>
      <c r="K398" s="222"/>
      <c r="L398" s="231"/>
      <c r="M398" s="231"/>
      <c r="N398" s="231"/>
      <c r="O398" s="231"/>
    </row>
    <row r="399" spans="1:15" ht="31.5" hidden="1" customHeight="1" x14ac:dyDescent="0.2">
      <c r="A399" s="128"/>
      <c r="B399" s="131"/>
      <c r="C399" s="115">
        <v>0</v>
      </c>
      <c r="D399" s="115"/>
      <c r="E399" s="115"/>
      <c r="F399" s="115"/>
      <c r="G399" s="115"/>
      <c r="H399" s="115"/>
      <c r="I399" s="55"/>
      <c r="J399" s="222"/>
      <c r="K399" s="222"/>
      <c r="L399" s="231"/>
      <c r="M399" s="231"/>
      <c r="N399" s="231"/>
      <c r="O399" s="231"/>
    </row>
    <row r="400" spans="1:15" ht="78.75" hidden="1" customHeight="1" x14ac:dyDescent="0.2">
      <c r="A400" s="128"/>
      <c r="B400" s="131"/>
      <c r="C400" s="115">
        <v>0</v>
      </c>
      <c r="D400" s="115"/>
      <c r="E400" s="115"/>
      <c r="F400" s="115"/>
      <c r="G400" s="115"/>
      <c r="H400" s="115"/>
      <c r="I400" s="55"/>
      <c r="J400" s="222"/>
      <c r="K400" s="222"/>
      <c r="L400" s="231"/>
      <c r="M400" s="231"/>
      <c r="N400" s="231"/>
      <c r="O400" s="231"/>
    </row>
    <row r="401" spans="1:15" ht="31.5" hidden="1" customHeight="1" x14ac:dyDescent="0.2">
      <c r="A401" s="128"/>
      <c r="B401" s="131"/>
      <c r="C401" s="115">
        <v>0</v>
      </c>
      <c r="D401" s="115"/>
      <c r="E401" s="115"/>
      <c r="F401" s="115"/>
      <c r="G401" s="115"/>
      <c r="H401" s="115"/>
      <c r="I401" s="55"/>
      <c r="J401" s="222"/>
      <c r="K401" s="222"/>
      <c r="L401" s="231"/>
      <c r="M401" s="231"/>
      <c r="N401" s="231"/>
      <c r="O401" s="231"/>
    </row>
    <row r="402" spans="1:15" ht="110.25" hidden="1" customHeight="1" x14ac:dyDescent="0.2">
      <c r="A402" s="128"/>
      <c r="B402" s="131"/>
      <c r="C402" s="115" t="s">
        <v>716</v>
      </c>
      <c r="D402" s="115"/>
      <c r="E402" s="115"/>
      <c r="F402" s="115"/>
      <c r="G402" s="115"/>
      <c r="H402" s="115"/>
      <c r="I402" s="55"/>
      <c r="J402" s="222"/>
      <c r="K402" s="222"/>
      <c r="L402" s="231"/>
      <c r="M402" s="231"/>
      <c r="N402" s="231"/>
      <c r="O402" s="231"/>
    </row>
    <row r="403" spans="1:15" ht="31.5" hidden="1" customHeight="1" x14ac:dyDescent="0.2">
      <c r="A403" s="128"/>
      <c r="B403" s="131"/>
      <c r="C403" s="115" t="s">
        <v>713</v>
      </c>
      <c r="D403" s="115"/>
      <c r="E403" s="115"/>
      <c r="F403" s="115"/>
      <c r="G403" s="115"/>
      <c r="H403" s="115"/>
      <c r="I403" s="55"/>
      <c r="J403" s="222"/>
      <c r="K403" s="222"/>
      <c r="L403" s="231"/>
      <c r="M403" s="231"/>
      <c r="N403" s="231"/>
      <c r="O403" s="231"/>
    </row>
    <row r="404" spans="1:15" ht="94.5" hidden="1" customHeight="1" x14ac:dyDescent="0.2">
      <c r="A404" s="128"/>
      <c r="B404" s="131"/>
      <c r="C404" s="115">
        <v>0</v>
      </c>
      <c r="D404" s="115"/>
      <c r="E404" s="115"/>
      <c r="F404" s="115"/>
      <c r="G404" s="115"/>
      <c r="H404" s="115"/>
      <c r="I404" s="55"/>
      <c r="J404" s="222"/>
      <c r="K404" s="222"/>
      <c r="L404" s="231"/>
      <c r="M404" s="231"/>
      <c r="N404" s="231"/>
      <c r="O404" s="231"/>
    </row>
    <row r="405" spans="1:15" ht="31.5" hidden="1" customHeight="1" x14ac:dyDescent="0.2">
      <c r="A405" s="128"/>
      <c r="B405" s="131"/>
      <c r="C405" s="115">
        <v>0</v>
      </c>
      <c r="D405" s="115"/>
      <c r="E405" s="115"/>
      <c r="F405" s="115"/>
      <c r="G405" s="115"/>
      <c r="H405" s="115"/>
      <c r="I405" s="55"/>
      <c r="J405" s="222"/>
      <c r="K405" s="222"/>
      <c r="L405" s="231"/>
      <c r="M405" s="231"/>
      <c r="N405" s="231"/>
      <c r="O405" s="231"/>
    </row>
    <row r="406" spans="1:15" ht="78.75" hidden="1" customHeight="1" x14ac:dyDescent="0.2">
      <c r="A406" s="128"/>
      <c r="B406" s="131"/>
      <c r="C406" s="115" t="s">
        <v>716</v>
      </c>
      <c r="D406" s="115"/>
      <c r="E406" s="115"/>
      <c r="F406" s="115"/>
      <c r="G406" s="115"/>
      <c r="H406" s="115"/>
      <c r="I406" s="55"/>
      <c r="J406" s="222"/>
      <c r="K406" s="222"/>
      <c r="L406" s="231"/>
      <c r="M406" s="231"/>
      <c r="N406" s="231"/>
      <c r="O406" s="231"/>
    </row>
    <row r="407" spans="1:15" ht="31.5" hidden="1" customHeight="1" x14ac:dyDescent="0.2">
      <c r="A407" s="128"/>
      <c r="B407" s="131"/>
      <c r="C407" s="115" t="s">
        <v>713</v>
      </c>
      <c r="D407" s="115"/>
      <c r="E407" s="115"/>
      <c r="F407" s="115"/>
      <c r="G407" s="115"/>
      <c r="H407" s="115"/>
      <c r="I407" s="55"/>
      <c r="J407" s="222"/>
      <c r="K407" s="222"/>
      <c r="L407" s="231"/>
      <c r="M407" s="231"/>
      <c r="N407" s="231"/>
      <c r="O407" s="231"/>
    </row>
    <row r="408" spans="1:15" ht="141.75" hidden="1" customHeight="1" x14ac:dyDescent="0.2">
      <c r="A408" s="128"/>
      <c r="B408" s="131"/>
      <c r="C408" s="115">
        <v>0</v>
      </c>
      <c r="D408" s="115"/>
      <c r="E408" s="115"/>
      <c r="F408" s="115"/>
      <c r="G408" s="115"/>
      <c r="H408" s="115"/>
      <c r="I408" s="55"/>
      <c r="J408" s="222"/>
      <c r="K408" s="222"/>
      <c r="L408" s="231"/>
      <c r="M408" s="231"/>
      <c r="N408" s="231"/>
      <c r="O408" s="231"/>
    </row>
    <row r="409" spans="1:15" ht="31.5" hidden="1" customHeight="1" x14ac:dyDescent="0.2">
      <c r="A409" s="128"/>
      <c r="B409" s="131"/>
      <c r="C409" s="115">
        <v>0</v>
      </c>
      <c r="D409" s="115"/>
      <c r="E409" s="115"/>
      <c r="F409" s="115"/>
      <c r="G409" s="115"/>
      <c r="H409" s="115"/>
      <c r="I409" s="55"/>
      <c r="J409" s="222"/>
      <c r="K409" s="222"/>
      <c r="L409" s="231"/>
      <c r="M409" s="231"/>
      <c r="N409" s="231"/>
      <c r="O409" s="231"/>
    </row>
    <row r="410" spans="1:15" ht="78.75" hidden="1" customHeight="1" x14ac:dyDescent="0.2">
      <c r="A410" s="128"/>
      <c r="B410" s="131"/>
      <c r="C410" s="115" t="s">
        <v>713</v>
      </c>
      <c r="D410" s="115"/>
      <c r="E410" s="115"/>
      <c r="F410" s="115"/>
      <c r="G410" s="115"/>
      <c r="H410" s="115"/>
      <c r="I410" s="55"/>
      <c r="J410" s="222"/>
      <c r="K410" s="222"/>
      <c r="L410" s="231"/>
      <c r="M410" s="231"/>
      <c r="N410" s="231"/>
      <c r="O410" s="231"/>
    </row>
    <row r="411" spans="1:15" ht="31.5" hidden="1" customHeight="1" x14ac:dyDescent="0.2">
      <c r="A411" s="128"/>
      <c r="B411" s="131"/>
      <c r="C411" s="115">
        <v>0</v>
      </c>
      <c r="D411" s="115"/>
      <c r="E411" s="115"/>
      <c r="F411" s="115"/>
      <c r="G411" s="115"/>
      <c r="H411" s="115"/>
      <c r="I411" s="55"/>
      <c r="J411" s="222"/>
      <c r="K411" s="222"/>
      <c r="L411" s="231"/>
      <c r="M411" s="231"/>
      <c r="N411" s="231"/>
      <c r="O411" s="231"/>
    </row>
    <row r="412" spans="1:15" ht="110.25" hidden="1" customHeight="1" x14ac:dyDescent="0.2">
      <c r="A412" s="128"/>
      <c r="B412" s="131"/>
      <c r="C412" s="115">
        <v>0</v>
      </c>
      <c r="D412" s="115"/>
      <c r="E412" s="115"/>
      <c r="F412" s="115"/>
      <c r="G412" s="115"/>
      <c r="H412" s="115"/>
      <c r="I412" s="55"/>
      <c r="J412" s="222"/>
      <c r="K412" s="222"/>
      <c r="L412" s="231"/>
      <c r="M412" s="231"/>
      <c r="N412" s="231"/>
      <c r="O412" s="231"/>
    </row>
    <row r="413" spans="1:15" ht="31.5" hidden="1" customHeight="1" x14ac:dyDescent="0.2">
      <c r="A413" s="128"/>
      <c r="B413" s="131"/>
      <c r="C413" s="115">
        <v>0</v>
      </c>
      <c r="D413" s="115"/>
      <c r="E413" s="115"/>
      <c r="F413" s="115"/>
      <c r="G413" s="115"/>
      <c r="H413" s="115"/>
      <c r="I413" s="55"/>
      <c r="J413" s="222"/>
      <c r="K413" s="222"/>
      <c r="L413" s="231"/>
      <c r="M413" s="231"/>
      <c r="N413" s="231"/>
      <c r="O413" s="231"/>
    </row>
    <row r="414" spans="1:15" ht="78.75" hidden="1" customHeight="1" x14ac:dyDescent="0.2">
      <c r="A414" s="128"/>
      <c r="B414" s="131"/>
      <c r="C414" s="115" t="s">
        <v>713</v>
      </c>
      <c r="D414" s="115"/>
      <c r="E414" s="115"/>
      <c r="F414" s="115"/>
      <c r="G414" s="115"/>
      <c r="H414" s="115"/>
      <c r="I414" s="55"/>
      <c r="J414" s="222"/>
      <c r="K414" s="222"/>
      <c r="L414" s="231"/>
      <c r="M414" s="231"/>
      <c r="N414" s="231"/>
      <c r="O414" s="231"/>
    </row>
    <row r="415" spans="1:15" ht="31.5" hidden="1" customHeight="1" x14ac:dyDescent="0.2">
      <c r="A415" s="128"/>
      <c r="B415" s="131"/>
      <c r="C415" s="115">
        <v>0</v>
      </c>
      <c r="D415" s="115"/>
      <c r="E415" s="115"/>
      <c r="F415" s="115"/>
      <c r="G415" s="115"/>
      <c r="H415" s="115"/>
      <c r="I415" s="55"/>
      <c r="J415" s="222"/>
      <c r="K415" s="222"/>
      <c r="L415" s="231"/>
      <c r="M415" s="231"/>
      <c r="N415" s="231"/>
      <c r="O415" s="231"/>
    </row>
    <row r="416" spans="1:15" ht="110.25" hidden="1" customHeight="1" x14ac:dyDescent="0.2">
      <c r="A416" s="128"/>
      <c r="B416" s="131"/>
      <c r="C416" s="115">
        <v>0</v>
      </c>
      <c r="D416" s="115"/>
      <c r="E416" s="115"/>
      <c r="F416" s="115"/>
      <c r="G416" s="115"/>
      <c r="H416" s="115"/>
      <c r="I416" s="55"/>
      <c r="J416" s="222"/>
      <c r="K416" s="222"/>
      <c r="L416" s="231"/>
      <c r="M416" s="231"/>
      <c r="N416" s="231"/>
      <c r="O416" s="231"/>
    </row>
    <row r="417" spans="1:15" ht="31.5" hidden="1" customHeight="1" x14ac:dyDescent="0.2">
      <c r="A417" s="128"/>
      <c r="B417" s="131"/>
      <c r="C417" s="115">
        <v>0</v>
      </c>
      <c r="D417" s="115"/>
      <c r="E417" s="115"/>
      <c r="F417" s="115"/>
      <c r="G417" s="115"/>
      <c r="H417" s="115"/>
      <c r="I417" s="55"/>
      <c r="J417" s="222"/>
      <c r="K417" s="222"/>
      <c r="L417" s="231"/>
      <c r="M417" s="231"/>
      <c r="N417" s="231"/>
      <c r="O417" s="231"/>
    </row>
    <row r="418" spans="1:15" ht="94.5" hidden="1" customHeight="1" x14ac:dyDescent="0.2">
      <c r="A418" s="128"/>
      <c r="B418" s="131"/>
      <c r="C418" s="115" t="s">
        <v>713</v>
      </c>
      <c r="D418" s="115"/>
      <c r="E418" s="115"/>
      <c r="F418" s="115"/>
      <c r="G418" s="115"/>
      <c r="H418" s="115"/>
      <c r="I418" s="55"/>
      <c r="J418" s="222"/>
      <c r="K418" s="222"/>
      <c r="L418" s="231"/>
      <c r="M418" s="231"/>
      <c r="N418" s="231"/>
      <c r="O418" s="231"/>
    </row>
    <row r="419" spans="1:15" ht="31.5" hidden="1" customHeight="1" x14ac:dyDescent="0.2">
      <c r="A419" s="128"/>
      <c r="B419" s="131"/>
      <c r="C419" s="115">
        <v>0</v>
      </c>
      <c r="D419" s="115"/>
      <c r="E419" s="115"/>
      <c r="F419" s="115"/>
      <c r="G419" s="115"/>
      <c r="H419" s="115"/>
      <c r="I419" s="55"/>
      <c r="J419" s="222"/>
      <c r="K419" s="222"/>
      <c r="L419" s="231"/>
      <c r="M419" s="231"/>
      <c r="N419" s="231"/>
      <c r="O419" s="231"/>
    </row>
    <row r="420" spans="1:15" ht="78.75" hidden="1" customHeight="1" x14ac:dyDescent="0.2">
      <c r="A420" s="128"/>
      <c r="B420" s="131"/>
      <c r="C420" s="115">
        <v>0</v>
      </c>
      <c r="D420" s="115"/>
      <c r="E420" s="115"/>
      <c r="F420" s="115"/>
      <c r="G420" s="115"/>
      <c r="H420" s="115"/>
      <c r="I420" s="55"/>
      <c r="J420" s="222"/>
      <c r="K420" s="222"/>
      <c r="L420" s="231"/>
      <c r="M420" s="231"/>
      <c r="N420" s="231"/>
      <c r="O420" s="231"/>
    </row>
    <row r="421" spans="1:15" ht="31.5" hidden="1" customHeight="1" x14ac:dyDescent="0.2">
      <c r="A421" s="128"/>
      <c r="B421" s="131"/>
      <c r="C421" s="115">
        <v>0</v>
      </c>
      <c r="D421" s="115"/>
      <c r="E421" s="115"/>
      <c r="F421" s="115"/>
      <c r="G421" s="115"/>
      <c r="H421" s="115"/>
      <c r="I421" s="55"/>
      <c r="J421" s="222"/>
      <c r="K421" s="222"/>
      <c r="L421" s="231"/>
      <c r="M421" s="231"/>
      <c r="N421" s="231"/>
      <c r="O421" s="231"/>
    </row>
    <row r="422" spans="1:15" ht="126" hidden="1" customHeight="1" x14ac:dyDescent="0.2">
      <c r="A422" s="128"/>
      <c r="B422" s="131"/>
      <c r="C422" s="115" t="s">
        <v>713</v>
      </c>
      <c r="D422" s="115"/>
      <c r="E422" s="115"/>
      <c r="F422" s="115"/>
      <c r="G422" s="115"/>
      <c r="H422" s="115"/>
      <c r="I422" s="55"/>
      <c r="J422" s="222"/>
      <c r="K422" s="222"/>
      <c r="L422" s="231"/>
      <c r="M422" s="231"/>
      <c r="N422" s="231"/>
      <c r="O422" s="231"/>
    </row>
    <row r="423" spans="1:15" ht="31.5" hidden="1" customHeight="1" x14ac:dyDescent="0.2">
      <c r="A423" s="128"/>
      <c r="B423" s="131"/>
      <c r="C423" s="115">
        <v>0</v>
      </c>
      <c r="D423" s="115"/>
      <c r="E423" s="115"/>
      <c r="F423" s="115"/>
      <c r="G423" s="115"/>
      <c r="H423" s="115"/>
      <c r="I423" s="55"/>
      <c r="J423" s="222"/>
      <c r="K423" s="222"/>
      <c r="L423" s="231"/>
      <c r="M423" s="231"/>
      <c r="N423" s="231"/>
      <c r="O423" s="231"/>
    </row>
    <row r="424" spans="1:15" ht="110.25" hidden="1" customHeight="1" x14ac:dyDescent="0.2">
      <c r="A424" s="128"/>
      <c r="B424" s="131"/>
      <c r="C424" s="115">
        <v>0</v>
      </c>
      <c r="D424" s="115"/>
      <c r="E424" s="115"/>
      <c r="F424" s="115"/>
      <c r="G424" s="115"/>
      <c r="H424" s="115"/>
      <c r="I424" s="55"/>
      <c r="J424" s="222"/>
      <c r="K424" s="222"/>
      <c r="L424" s="231"/>
      <c r="M424" s="231"/>
      <c r="N424" s="231"/>
      <c r="O424" s="231"/>
    </row>
    <row r="425" spans="1:15" ht="31.5" hidden="1" customHeight="1" x14ac:dyDescent="0.2">
      <c r="A425" s="128"/>
      <c r="B425" s="131"/>
      <c r="C425" s="115">
        <v>0</v>
      </c>
      <c r="D425" s="115"/>
      <c r="E425" s="115"/>
      <c r="F425" s="115"/>
      <c r="G425" s="115"/>
      <c r="H425" s="115"/>
      <c r="I425" s="55"/>
      <c r="J425" s="222"/>
      <c r="K425" s="222"/>
      <c r="L425" s="231"/>
      <c r="M425" s="231"/>
      <c r="N425" s="231"/>
      <c r="O425" s="231"/>
    </row>
    <row r="426" spans="1:15" ht="94.5" hidden="1" customHeight="1" x14ac:dyDescent="0.2">
      <c r="A426" s="128"/>
      <c r="B426" s="131"/>
      <c r="C426" s="115" t="s">
        <v>713</v>
      </c>
      <c r="D426" s="115"/>
      <c r="E426" s="115"/>
      <c r="F426" s="115"/>
      <c r="G426" s="115"/>
      <c r="H426" s="115"/>
      <c r="I426" s="55"/>
      <c r="J426" s="222"/>
      <c r="K426" s="222"/>
      <c r="L426" s="231"/>
      <c r="M426" s="231"/>
      <c r="N426" s="231"/>
      <c r="O426" s="231"/>
    </row>
    <row r="427" spans="1:15" ht="31.5" hidden="1" customHeight="1" x14ac:dyDescent="0.2">
      <c r="A427" s="128"/>
      <c r="B427" s="131"/>
      <c r="C427" s="115">
        <v>0</v>
      </c>
      <c r="D427" s="115"/>
      <c r="E427" s="115"/>
      <c r="F427" s="115"/>
      <c r="G427" s="115"/>
      <c r="H427" s="115"/>
      <c r="I427" s="55"/>
      <c r="J427" s="222"/>
      <c r="K427" s="222"/>
      <c r="L427" s="231"/>
      <c r="M427" s="231"/>
      <c r="N427" s="231"/>
      <c r="O427" s="231"/>
    </row>
    <row r="428" spans="1:15" ht="78.75" hidden="1" customHeight="1" x14ac:dyDescent="0.2">
      <c r="A428" s="128"/>
      <c r="B428" s="131"/>
      <c r="C428" s="115">
        <v>0</v>
      </c>
      <c r="D428" s="115"/>
      <c r="E428" s="115"/>
      <c r="F428" s="115"/>
      <c r="G428" s="115"/>
      <c r="H428" s="115"/>
      <c r="I428" s="55"/>
      <c r="J428" s="222"/>
      <c r="K428" s="222"/>
      <c r="L428" s="231"/>
      <c r="M428" s="231"/>
      <c r="N428" s="231"/>
      <c r="O428" s="231"/>
    </row>
    <row r="429" spans="1:15" ht="31.5" hidden="1" customHeight="1" x14ac:dyDescent="0.2">
      <c r="A429" s="128"/>
      <c r="B429" s="131"/>
      <c r="C429" s="115">
        <v>0</v>
      </c>
      <c r="D429" s="115"/>
      <c r="E429" s="115"/>
      <c r="F429" s="115"/>
      <c r="G429" s="115"/>
      <c r="H429" s="115"/>
      <c r="I429" s="55"/>
      <c r="J429" s="222"/>
      <c r="K429" s="222"/>
      <c r="L429" s="231"/>
      <c r="M429" s="231"/>
      <c r="N429" s="231"/>
      <c r="O429" s="231"/>
    </row>
    <row r="430" spans="1:15" ht="31.5" hidden="1" customHeight="1" x14ac:dyDescent="0.2">
      <c r="A430" s="128"/>
      <c r="B430" s="131"/>
      <c r="C430" s="115" t="s">
        <v>713</v>
      </c>
      <c r="D430" s="115"/>
      <c r="E430" s="115"/>
      <c r="F430" s="115"/>
      <c r="G430" s="115"/>
      <c r="H430" s="115"/>
      <c r="I430" s="55"/>
      <c r="J430" s="222"/>
      <c r="K430" s="222"/>
      <c r="L430" s="231"/>
      <c r="M430" s="231"/>
      <c r="N430" s="231"/>
      <c r="O430" s="231"/>
    </row>
    <row r="431" spans="1:15" ht="31.5" hidden="1" customHeight="1" x14ac:dyDescent="0.2">
      <c r="A431" s="128"/>
      <c r="B431" s="131"/>
      <c r="C431" s="115">
        <v>0</v>
      </c>
      <c r="D431" s="115"/>
      <c r="E431" s="115"/>
      <c r="F431" s="115"/>
      <c r="G431" s="115"/>
      <c r="H431" s="115"/>
      <c r="I431" s="55"/>
      <c r="J431" s="222"/>
      <c r="K431" s="222"/>
      <c r="L431" s="231"/>
      <c r="M431" s="231"/>
      <c r="N431" s="231"/>
      <c r="O431" s="231"/>
    </row>
    <row r="432" spans="1:15" ht="94.5" hidden="1" customHeight="1" x14ac:dyDescent="0.2">
      <c r="A432" s="128"/>
      <c r="B432" s="131"/>
      <c r="C432" s="115">
        <v>0</v>
      </c>
      <c r="D432" s="115"/>
      <c r="E432" s="115"/>
      <c r="F432" s="115"/>
      <c r="G432" s="115"/>
      <c r="H432" s="115"/>
      <c r="I432" s="55"/>
      <c r="J432" s="222"/>
      <c r="K432" s="222"/>
      <c r="L432" s="231"/>
      <c r="M432" s="231"/>
      <c r="N432" s="231"/>
      <c r="O432" s="231"/>
    </row>
    <row r="433" spans="1:15" ht="31.5" hidden="1" customHeight="1" x14ac:dyDescent="0.2">
      <c r="A433" s="128"/>
      <c r="B433" s="131"/>
      <c r="C433" s="115">
        <v>0</v>
      </c>
      <c r="D433" s="115"/>
      <c r="E433" s="115"/>
      <c r="F433" s="115"/>
      <c r="G433" s="115"/>
      <c r="H433" s="115"/>
      <c r="I433" s="55"/>
      <c r="J433" s="222"/>
      <c r="K433" s="222"/>
      <c r="L433" s="231"/>
      <c r="M433" s="231"/>
      <c r="N433" s="231"/>
      <c r="O433" s="231"/>
    </row>
    <row r="434" spans="1:15" ht="110.25" hidden="1" customHeight="1" x14ac:dyDescent="0.2">
      <c r="A434" s="128"/>
      <c r="B434" s="131"/>
      <c r="C434" s="115" t="s">
        <v>713</v>
      </c>
      <c r="D434" s="115"/>
      <c r="E434" s="115"/>
      <c r="F434" s="115"/>
      <c r="G434" s="115"/>
      <c r="H434" s="115"/>
      <c r="I434" s="55"/>
      <c r="J434" s="222"/>
      <c r="K434" s="222"/>
      <c r="L434" s="231"/>
      <c r="M434" s="231"/>
      <c r="N434" s="231"/>
      <c r="O434" s="231"/>
    </row>
    <row r="435" spans="1:15" ht="31.5" hidden="1" customHeight="1" x14ac:dyDescent="0.2">
      <c r="A435" s="128"/>
      <c r="B435" s="131"/>
      <c r="C435" s="115">
        <v>0</v>
      </c>
      <c r="D435" s="115"/>
      <c r="E435" s="115"/>
      <c r="F435" s="115"/>
      <c r="G435" s="115"/>
      <c r="H435" s="115"/>
      <c r="I435" s="55"/>
      <c r="J435" s="222"/>
      <c r="K435" s="222"/>
      <c r="L435" s="231"/>
      <c r="M435" s="231"/>
      <c r="N435" s="231"/>
      <c r="O435" s="231"/>
    </row>
    <row r="436" spans="1:15" ht="78.75" hidden="1" customHeight="1" x14ac:dyDescent="0.2">
      <c r="A436" s="128"/>
      <c r="B436" s="131"/>
      <c r="C436" s="115">
        <v>0</v>
      </c>
      <c r="D436" s="115"/>
      <c r="E436" s="115"/>
      <c r="F436" s="115"/>
      <c r="G436" s="115"/>
      <c r="H436" s="115"/>
      <c r="I436" s="55"/>
      <c r="J436" s="222"/>
      <c r="K436" s="222"/>
      <c r="L436" s="231"/>
      <c r="M436" s="231"/>
      <c r="N436" s="231"/>
      <c r="O436" s="231"/>
    </row>
    <row r="437" spans="1:15" ht="31.5" hidden="1" customHeight="1" x14ac:dyDescent="0.2">
      <c r="A437" s="128"/>
      <c r="B437" s="131"/>
      <c r="C437" s="115">
        <v>0</v>
      </c>
      <c r="D437" s="115"/>
      <c r="E437" s="115"/>
      <c r="F437" s="115"/>
      <c r="G437" s="115"/>
      <c r="H437" s="115"/>
      <c r="I437" s="55"/>
      <c r="J437" s="222"/>
      <c r="K437" s="222"/>
      <c r="L437" s="231"/>
      <c r="M437" s="231"/>
      <c r="N437" s="231"/>
      <c r="O437" s="231"/>
    </row>
    <row r="438" spans="1:15" ht="63" hidden="1" customHeight="1" x14ac:dyDescent="0.2">
      <c r="A438" s="128"/>
      <c r="B438" s="131"/>
      <c r="C438" s="115"/>
      <c r="D438" s="115"/>
      <c r="E438" s="115"/>
      <c r="F438" s="115"/>
      <c r="G438" s="115"/>
      <c r="H438" s="115"/>
      <c r="I438" s="55"/>
      <c r="J438" s="222"/>
      <c r="K438" s="222"/>
      <c r="L438" s="231"/>
      <c r="M438" s="231"/>
      <c r="N438" s="231"/>
      <c r="O438" s="231"/>
    </row>
    <row r="439" spans="1:15" ht="31.5" hidden="1" customHeight="1" x14ac:dyDescent="0.2">
      <c r="A439" s="128"/>
      <c r="B439" s="131"/>
      <c r="C439" s="115"/>
      <c r="D439" s="115"/>
      <c r="E439" s="115"/>
      <c r="F439" s="115"/>
      <c r="G439" s="115"/>
      <c r="H439" s="115"/>
      <c r="I439" s="55"/>
      <c r="J439" s="222"/>
      <c r="K439" s="222"/>
      <c r="L439" s="231"/>
      <c r="M439" s="231"/>
      <c r="N439" s="231"/>
      <c r="O439" s="231"/>
    </row>
    <row r="440" spans="1:15" ht="78.75" hidden="1" customHeight="1" x14ac:dyDescent="0.2">
      <c r="A440" s="128"/>
      <c r="B440" s="131"/>
      <c r="C440" s="115"/>
      <c r="D440" s="115"/>
      <c r="E440" s="115"/>
      <c r="F440" s="115"/>
      <c r="G440" s="115"/>
      <c r="H440" s="115"/>
      <c r="I440" s="55"/>
      <c r="J440" s="222"/>
      <c r="K440" s="222"/>
      <c r="L440" s="231"/>
      <c r="M440" s="231"/>
      <c r="N440" s="231"/>
      <c r="O440" s="231"/>
    </row>
    <row r="441" spans="1:15" ht="31.5" hidden="1" customHeight="1" x14ac:dyDescent="0.2">
      <c r="A441" s="128"/>
      <c r="B441" s="131"/>
      <c r="C441" s="115"/>
      <c r="D441" s="115"/>
      <c r="E441" s="115"/>
      <c r="F441" s="115"/>
      <c r="G441" s="115"/>
      <c r="H441" s="115"/>
      <c r="I441" s="55"/>
      <c r="J441" s="222"/>
      <c r="K441" s="222"/>
      <c r="L441" s="231"/>
      <c r="M441" s="231"/>
      <c r="N441" s="231"/>
      <c r="O441" s="231"/>
    </row>
    <row r="442" spans="1:15" ht="63" hidden="1" customHeight="1" x14ac:dyDescent="0.2">
      <c r="A442" s="128"/>
      <c r="B442" s="131"/>
      <c r="C442" s="115" t="s">
        <v>713</v>
      </c>
      <c r="D442" s="115"/>
      <c r="E442" s="115"/>
      <c r="F442" s="115"/>
      <c r="G442" s="115"/>
      <c r="H442" s="115"/>
      <c r="I442" s="55"/>
      <c r="J442" s="222"/>
      <c r="K442" s="222"/>
      <c r="L442" s="231"/>
      <c r="M442" s="231"/>
      <c r="N442" s="231"/>
      <c r="O442" s="231"/>
    </row>
    <row r="443" spans="1:15" ht="31.5" hidden="1" customHeight="1" x14ac:dyDescent="0.2">
      <c r="A443" s="128"/>
      <c r="B443" s="131"/>
      <c r="C443" s="115">
        <v>0</v>
      </c>
      <c r="D443" s="115"/>
      <c r="E443" s="115"/>
      <c r="F443" s="115"/>
      <c r="G443" s="115"/>
      <c r="H443" s="115"/>
      <c r="I443" s="55"/>
      <c r="J443" s="222"/>
      <c r="K443" s="222"/>
      <c r="L443" s="231"/>
      <c r="M443" s="231"/>
      <c r="N443" s="231"/>
      <c r="O443" s="231"/>
    </row>
    <row r="444" spans="1:15" ht="126" hidden="1" customHeight="1" x14ac:dyDescent="0.2">
      <c r="A444" s="128"/>
      <c r="B444" s="131"/>
      <c r="C444" s="115">
        <v>0</v>
      </c>
      <c r="D444" s="115"/>
      <c r="E444" s="115"/>
      <c r="F444" s="115"/>
      <c r="G444" s="115"/>
      <c r="H444" s="115"/>
      <c r="I444" s="55"/>
      <c r="J444" s="222"/>
      <c r="K444" s="222"/>
      <c r="L444" s="231"/>
      <c r="M444" s="231"/>
      <c r="N444" s="231"/>
      <c r="O444" s="231"/>
    </row>
    <row r="445" spans="1:15" ht="31.5" hidden="1" customHeight="1" x14ac:dyDescent="0.2">
      <c r="A445" s="128"/>
      <c r="B445" s="131"/>
      <c r="C445" s="115">
        <v>0</v>
      </c>
      <c r="D445" s="115"/>
      <c r="E445" s="115"/>
      <c r="F445" s="115"/>
      <c r="G445" s="115"/>
      <c r="H445" s="115"/>
      <c r="I445" s="55"/>
      <c r="J445" s="222"/>
      <c r="K445" s="222"/>
      <c r="L445" s="231"/>
      <c r="M445" s="231"/>
      <c r="N445" s="231"/>
      <c r="O445" s="231"/>
    </row>
    <row r="446" spans="1:15" ht="110.25" hidden="1" customHeight="1" x14ac:dyDescent="0.2">
      <c r="A446" s="128"/>
      <c r="B446" s="131"/>
      <c r="C446" s="115" t="s">
        <v>714</v>
      </c>
      <c r="D446" s="115"/>
      <c r="E446" s="115"/>
      <c r="F446" s="115"/>
      <c r="G446" s="115"/>
      <c r="H446" s="115"/>
      <c r="I446" s="55"/>
      <c r="J446" s="222"/>
      <c r="K446" s="222"/>
      <c r="L446" s="231"/>
      <c r="M446" s="231"/>
      <c r="N446" s="231"/>
      <c r="O446" s="231"/>
    </row>
    <row r="447" spans="1:15" ht="31.5" hidden="1" customHeight="1" x14ac:dyDescent="0.2">
      <c r="A447" s="128"/>
      <c r="B447" s="131"/>
      <c r="C447" s="115" t="s">
        <v>717</v>
      </c>
      <c r="D447" s="115"/>
      <c r="E447" s="115"/>
      <c r="F447" s="115"/>
      <c r="G447" s="115"/>
      <c r="H447" s="115"/>
      <c r="I447" s="55"/>
      <c r="J447" s="222"/>
      <c r="K447" s="222"/>
      <c r="L447" s="231"/>
      <c r="M447" s="231"/>
      <c r="N447" s="231"/>
      <c r="O447" s="231"/>
    </row>
    <row r="448" spans="1:15" ht="63" hidden="1" customHeight="1" x14ac:dyDescent="0.2">
      <c r="A448" s="128"/>
      <c r="B448" s="131"/>
      <c r="C448" s="115">
        <v>0</v>
      </c>
      <c r="D448" s="115"/>
      <c r="E448" s="115"/>
      <c r="F448" s="115"/>
      <c r="G448" s="115"/>
      <c r="H448" s="115"/>
      <c r="I448" s="55"/>
      <c r="J448" s="222"/>
      <c r="K448" s="222"/>
      <c r="L448" s="231"/>
      <c r="M448" s="231"/>
      <c r="N448" s="231"/>
      <c r="O448" s="231"/>
    </row>
    <row r="449" spans="1:15" ht="31.5" hidden="1" customHeight="1" x14ac:dyDescent="0.2">
      <c r="A449" s="128"/>
      <c r="B449" s="131"/>
      <c r="C449" s="115">
        <v>0</v>
      </c>
      <c r="D449" s="115"/>
      <c r="E449" s="115"/>
      <c r="F449" s="115"/>
      <c r="G449" s="115"/>
      <c r="H449" s="115"/>
      <c r="I449" s="55"/>
      <c r="J449" s="222"/>
      <c r="K449" s="222"/>
      <c r="L449" s="231"/>
      <c r="M449" s="231"/>
      <c r="N449" s="231"/>
      <c r="O449" s="231"/>
    </row>
    <row r="450" spans="1:15" ht="78.75" hidden="1" customHeight="1" x14ac:dyDescent="0.2">
      <c r="A450" s="128"/>
      <c r="B450" s="131"/>
      <c r="C450" s="115" t="s">
        <v>719</v>
      </c>
      <c r="D450" s="115"/>
      <c r="E450" s="115"/>
      <c r="F450" s="115"/>
      <c r="G450" s="115"/>
      <c r="H450" s="115"/>
      <c r="I450" s="55"/>
      <c r="J450" s="222"/>
      <c r="K450" s="222"/>
      <c r="L450" s="231"/>
      <c r="M450" s="231"/>
      <c r="N450" s="231"/>
      <c r="O450" s="231"/>
    </row>
    <row r="451" spans="1:15" ht="31.5" hidden="1" customHeight="1" x14ac:dyDescent="0.2">
      <c r="A451" s="128"/>
      <c r="B451" s="131"/>
      <c r="C451" s="115">
        <v>0</v>
      </c>
      <c r="D451" s="115"/>
      <c r="E451" s="115"/>
      <c r="F451" s="115"/>
      <c r="G451" s="115"/>
      <c r="H451" s="115"/>
      <c r="I451" s="55"/>
      <c r="J451" s="222"/>
      <c r="K451" s="222"/>
      <c r="L451" s="231"/>
      <c r="M451" s="231"/>
      <c r="N451" s="231"/>
      <c r="O451" s="231"/>
    </row>
    <row r="452" spans="1:15" ht="78.75" hidden="1" customHeight="1" x14ac:dyDescent="0.2">
      <c r="A452" s="128"/>
      <c r="B452" s="131"/>
      <c r="C452" s="115">
        <v>0</v>
      </c>
      <c r="D452" s="115"/>
      <c r="E452" s="115"/>
      <c r="F452" s="115"/>
      <c r="G452" s="115"/>
      <c r="H452" s="115"/>
      <c r="I452" s="55"/>
      <c r="J452" s="222"/>
      <c r="K452" s="222"/>
      <c r="L452" s="231"/>
      <c r="M452" s="231"/>
      <c r="N452" s="231"/>
      <c r="O452" s="231"/>
    </row>
    <row r="453" spans="1:15" ht="31.5" hidden="1" customHeight="1" x14ac:dyDescent="0.2">
      <c r="A453" s="128"/>
      <c r="B453" s="131"/>
      <c r="C453" s="115">
        <v>0</v>
      </c>
      <c r="D453" s="115"/>
      <c r="E453" s="115"/>
      <c r="F453" s="115"/>
      <c r="G453" s="115"/>
      <c r="H453" s="115"/>
      <c r="I453" s="55"/>
      <c r="J453" s="222"/>
      <c r="K453" s="222"/>
      <c r="L453" s="231"/>
      <c r="M453" s="231"/>
      <c r="N453" s="231"/>
      <c r="O453" s="231"/>
    </row>
    <row r="454" spans="1:15" ht="94.5" hidden="1" customHeight="1" x14ac:dyDescent="0.2">
      <c r="A454" s="128"/>
      <c r="B454" s="131"/>
      <c r="C454" s="115" t="s">
        <v>713</v>
      </c>
      <c r="D454" s="115"/>
      <c r="E454" s="115"/>
      <c r="F454" s="115"/>
      <c r="G454" s="115"/>
      <c r="H454" s="115"/>
      <c r="I454" s="55"/>
      <c r="J454" s="222"/>
      <c r="K454" s="222"/>
      <c r="L454" s="231"/>
      <c r="M454" s="231"/>
      <c r="N454" s="231"/>
      <c r="O454" s="231"/>
    </row>
    <row r="455" spans="1:15" ht="31.5" hidden="1" customHeight="1" x14ac:dyDescent="0.2">
      <c r="A455" s="128"/>
      <c r="B455" s="131"/>
      <c r="C455" s="115">
        <v>0</v>
      </c>
      <c r="D455" s="115"/>
      <c r="E455" s="115"/>
      <c r="F455" s="115"/>
      <c r="G455" s="115"/>
      <c r="H455" s="115"/>
      <c r="I455" s="55"/>
      <c r="J455" s="222"/>
      <c r="K455" s="222"/>
      <c r="L455" s="231"/>
      <c r="M455" s="231"/>
      <c r="N455" s="231"/>
      <c r="O455" s="231"/>
    </row>
    <row r="456" spans="1:15" ht="78.75" hidden="1" customHeight="1" x14ac:dyDescent="0.2">
      <c r="A456" s="128"/>
      <c r="B456" s="131"/>
      <c r="C456" s="115">
        <v>0</v>
      </c>
      <c r="D456" s="115"/>
      <c r="E456" s="115"/>
      <c r="F456" s="115"/>
      <c r="G456" s="115"/>
      <c r="H456" s="115"/>
      <c r="I456" s="55"/>
      <c r="J456" s="222"/>
      <c r="K456" s="222"/>
      <c r="L456" s="231"/>
      <c r="M456" s="231"/>
      <c r="N456" s="231"/>
      <c r="O456" s="231"/>
    </row>
    <row r="457" spans="1:15" ht="31.5" hidden="1" customHeight="1" x14ac:dyDescent="0.2">
      <c r="A457" s="128"/>
      <c r="B457" s="131"/>
      <c r="C457" s="115">
        <v>0</v>
      </c>
      <c r="D457" s="115"/>
      <c r="E457" s="115"/>
      <c r="F457" s="115"/>
      <c r="G457" s="115"/>
      <c r="H457" s="115"/>
      <c r="I457" s="55"/>
      <c r="J457" s="222"/>
      <c r="K457" s="222"/>
      <c r="L457" s="231"/>
      <c r="M457" s="231"/>
      <c r="N457" s="231"/>
      <c r="O457" s="231"/>
    </row>
    <row r="458" spans="1:15" ht="78.75" hidden="1" customHeight="1" x14ac:dyDescent="0.2">
      <c r="A458" s="128"/>
      <c r="B458" s="131"/>
      <c r="C458" s="115"/>
      <c r="D458" s="115"/>
      <c r="E458" s="115"/>
      <c r="F458" s="115"/>
      <c r="G458" s="115"/>
      <c r="H458" s="115"/>
      <c r="I458" s="55"/>
      <c r="J458" s="222"/>
      <c r="K458" s="222"/>
      <c r="L458" s="231"/>
      <c r="M458" s="231"/>
      <c r="N458" s="231"/>
      <c r="O458" s="231"/>
    </row>
    <row r="459" spans="1:15" ht="31.5" hidden="1" customHeight="1" x14ac:dyDescent="0.2">
      <c r="A459" s="128"/>
      <c r="B459" s="131"/>
      <c r="C459" s="115"/>
      <c r="D459" s="115"/>
      <c r="E459" s="115"/>
      <c r="F459" s="115"/>
      <c r="G459" s="115"/>
      <c r="H459" s="115"/>
      <c r="I459" s="55"/>
      <c r="J459" s="222"/>
      <c r="K459" s="222"/>
      <c r="L459" s="231"/>
      <c r="M459" s="231"/>
      <c r="N459" s="231"/>
      <c r="O459" s="231"/>
    </row>
    <row r="460" spans="1:15" ht="126" hidden="1" customHeight="1" x14ac:dyDescent="0.2">
      <c r="A460" s="128"/>
      <c r="B460" s="131"/>
      <c r="C460" s="115"/>
      <c r="D460" s="115"/>
      <c r="E460" s="115"/>
      <c r="F460" s="115"/>
      <c r="G460" s="115"/>
      <c r="H460" s="115"/>
      <c r="I460" s="55"/>
      <c r="J460" s="222"/>
      <c r="K460" s="222"/>
      <c r="L460" s="231"/>
      <c r="M460" s="231"/>
      <c r="N460" s="231"/>
      <c r="O460" s="231"/>
    </row>
    <row r="461" spans="1:15" ht="31.5" hidden="1" customHeight="1" x14ac:dyDescent="0.2">
      <c r="A461" s="128"/>
      <c r="B461" s="131"/>
      <c r="C461" s="115"/>
      <c r="D461" s="115"/>
      <c r="E461" s="115"/>
      <c r="F461" s="115"/>
      <c r="G461" s="115"/>
      <c r="H461" s="115"/>
      <c r="I461" s="55"/>
      <c r="J461" s="222"/>
      <c r="K461" s="222"/>
      <c r="L461" s="231"/>
      <c r="M461" s="231"/>
      <c r="N461" s="231"/>
      <c r="O461" s="231"/>
    </row>
    <row r="462" spans="1:15" ht="94.5" hidden="1" customHeight="1" x14ac:dyDescent="0.2">
      <c r="A462" s="128"/>
      <c r="B462" s="131"/>
      <c r="C462" s="115"/>
      <c r="D462" s="115"/>
      <c r="E462" s="115"/>
      <c r="F462" s="115"/>
      <c r="G462" s="115"/>
      <c r="H462" s="115"/>
      <c r="I462" s="55"/>
      <c r="J462" s="222"/>
      <c r="K462" s="222"/>
      <c r="L462" s="231"/>
      <c r="M462" s="231"/>
      <c r="N462" s="231"/>
      <c r="O462" s="231"/>
    </row>
    <row r="463" spans="1:15" ht="31.5" hidden="1" customHeight="1" x14ac:dyDescent="0.2">
      <c r="A463" s="128"/>
      <c r="B463" s="131"/>
      <c r="C463" s="115"/>
      <c r="D463" s="115"/>
      <c r="E463" s="115"/>
      <c r="F463" s="115"/>
      <c r="G463" s="115"/>
      <c r="H463" s="115"/>
      <c r="I463" s="55"/>
      <c r="J463" s="222"/>
      <c r="K463" s="222"/>
      <c r="L463" s="231"/>
      <c r="M463" s="231"/>
      <c r="N463" s="231"/>
      <c r="O463" s="231"/>
    </row>
    <row r="464" spans="1:15" ht="94.5" hidden="1" customHeight="1" x14ac:dyDescent="0.2">
      <c r="A464" s="128"/>
      <c r="B464" s="131"/>
      <c r="C464" s="115"/>
      <c r="D464" s="115"/>
      <c r="E464" s="115"/>
      <c r="F464" s="115"/>
      <c r="G464" s="115"/>
      <c r="H464" s="115"/>
      <c r="I464" s="55"/>
      <c r="J464" s="222"/>
      <c r="K464" s="222"/>
      <c r="L464" s="231"/>
      <c r="M464" s="231"/>
      <c r="N464" s="231"/>
      <c r="O464" s="231"/>
    </row>
    <row r="465" spans="1:15" ht="31.5" hidden="1" customHeight="1" x14ac:dyDescent="0.2">
      <c r="A465" s="128"/>
      <c r="B465" s="131"/>
      <c r="C465" s="115"/>
      <c r="D465" s="115"/>
      <c r="E465" s="115"/>
      <c r="F465" s="115"/>
      <c r="G465" s="115"/>
      <c r="H465" s="115"/>
      <c r="I465" s="55"/>
      <c r="J465" s="222"/>
      <c r="K465" s="222"/>
      <c r="L465" s="231"/>
      <c r="M465" s="231"/>
      <c r="N465" s="231"/>
      <c r="O465" s="231"/>
    </row>
    <row r="466" spans="1:15" ht="110.25" hidden="1" customHeight="1" x14ac:dyDescent="0.2">
      <c r="A466" s="128"/>
      <c r="B466" s="131"/>
      <c r="C466" s="115"/>
      <c r="D466" s="115"/>
      <c r="E466" s="115"/>
      <c r="F466" s="115"/>
      <c r="G466" s="115"/>
      <c r="H466" s="115"/>
      <c r="I466" s="55"/>
      <c r="J466" s="222"/>
      <c r="K466" s="222"/>
      <c r="L466" s="231"/>
      <c r="M466" s="231"/>
      <c r="N466" s="231"/>
      <c r="O466" s="231"/>
    </row>
    <row r="467" spans="1:15" ht="31.5" hidden="1" customHeight="1" x14ac:dyDescent="0.2">
      <c r="A467" s="128"/>
      <c r="B467" s="131"/>
      <c r="C467" s="115"/>
      <c r="D467" s="115"/>
      <c r="E467" s="115"/>
      <c r="F467" s="115"/>
      <c r="G467" s="115"/>
      <c r="H467" s="115"/>
      <c r="I467" s="55"/>
      <c r="J467" s="222"/>
      <c r="K467" s="222"/>
      <c r="L467" s="231"/>
      <c r="M467" s="231"/>
      <c r="N467" s="231"/>
      <c r="O467" s="231"/>
    </row>
    <row r="468" spans="1:15" ht="47.25" hidden="1" customHeight="1" x14ac:dyDescent="0.2">
      <c r="A468" s="128"/>
      <c r="B468" s="131"/>
      <c r="C468" s="115"/>
      <c r="D468" s="115"/>
      <c r="E468" s="115"/>
      <c r="F468" s="115"/>
      <c r="G468" s="115"/>
      <c r="H468" s="115"/>
      <c r="I468" s="55"/>
      <c r="J468" s="222"/>
      <c r="K468" s="222"/>
      <c r="L468" s="231"/>
      <c r="M468" s="231"/>
      <c r="N468" s="231"/>
      <c r="O468" s="231"/>
    </row>
    <row r="469" spans="1:15" ht="31.5" hidden="1" customHeight="1" x14ac:dyDescent="0.2">
      <c r="A469" s="128"/>
      <c r="B469" s="131"/>
      <c r="C469" s="115"/>
      <c r="D469" s="115"/>
      <c r="E469" s="115"/>
      <c r="F469" s="115"/>
      <c r="G469" s="115"/>
      <c r="H469" s="115"/>
      <c r="I469" s="55"/>
      <c r="J469" s="222"/>
      <c r="K469" s="222"/>
      <c r="L469" s="231"/>
      <c r="M469" s="231"/>
      <c r="N469" s="231"/>
      <c r="O469" s="231"/>
    </row>
    <row r="470" spans="1:15" ht="78.75" hidden="1" customHeight="1" x14ac:dyDescent="0.2">
      <c r="A470" s="128"/>
      <c r="B470" s="131"/>
      <c r="C470" s="115"/>
      <c r="D470" s="115"/>
      <c r="E470" s="115"/>
      <c r="F470" s="115"/>
      <c r="G470" s="115"/>
      <c r="H470" s="115"/>
      <c r="I470" s="55"/>
      <c r="J470" s="222"/>
      <c r="K470" s="222"/>
      <c r="L470" s="231"/>
      <c r="M470" s="231"/>
      <c r="N470" s="231"/>
      <c r="O470" s="231"/>
    </row>
    <row r="471" spans="1:15" ht="31.5" hidden="1" customHeight="1" x14ac:dyDescent="0.2">
      <c r="A471" s="128"/>
      <c r="B471" s="131"/>
      <c r="C471" s="115"/>
      <c r="D471" s="115"/>
      <c r="E471" s="115"/>
      <c r="F471" s="115"/>
      <c r="G471" s="115"/>
      <c r="H471" s="115"/>
      <c r="I471" s="55"/>
      <c r="J471" s="222"/>
      <c r="K471" s="222"/>
      <c r="L471" s="231"/>
      <c r="M471" s="231"/>
      <c r="N471" s="231"/>
      <c r="O471" s="231"/>
    </row>
    <row r="472" spans="1:15" ht="63" hidden="1" customHeight="1" x14ac:dyDescent="0.2">
      <c r="A472" s="128"/>
      <c r="B472" s="131"/>
      <c r="C472" s="115"/>
      <c r="D472" s="115"/>
      <c r="E472" s="115"/>
      <c r="F472" s="115"/>
      <c r="G472" s="115"/>
      <c r="H472" s="115"/>
      <c r="I472" s="55"/>
      <c r="J472" s="222"/>
      <c r="K472" s="222"/>
      <c r="L472" s="231"/>
      <c r="M472" s="231"/>
      <c r="N472" s="231"/>
      <c r="O472" s="231"/>
    </row>
    <row r="473" spans="1:15" ht="31.5" hidden="1" customHeight="1" x14ac:dyDescent="0.2">
      <c r="A473" s="128"/>
      <c r="B473" s="131"/>
      <c r="C473" s="115"/>
      <c r="D473" s="115"/>
      <c r="E473" s="115"/>
      <c r="F473" s="115"/>
      <c r="G473" s="115"/>
      <c r="H473" s="115"/>
      <c r="I473" s="55"/>
      <c r="J473" s="222"/>
      <c r="K473" s="222"/>
      <c r="L473" s="231"/>
      <c r="M473" s="231"/>
      <c r="N473" s="231"/>
      <c r="O473" s="231"/>
    </row>
    <row r="474" spans="1:15" ht="78.75" hidden="1" customHeight="1" x14ac:dyDescent="0.2">
      <c r="A474" s="128"/>
      <c r="B474" s="131"/>
      <c r="C474" s="115"/>
      <c r="D474" s="115"/>
      <c r="E474" s="115"/>
      <c r="F474" s="115"/>
      <c r="G474" s="115"/>
      <c r="H474" s="115"/>
      <c r="I474" s="55"/>
      <c r="J474" s="222"/>
      <c r="K474" s="222"/>
      <c r="L474" s="231"/>
      <c r="M474" s="231"/>
      <c r="N474" s="231"/>
      <c r="O474" s="231"/>
    </row>
    <row r="475" spans="1:15" ht="31.5" hidden="1" customHeight="1" x14ac:dyDescent="0.2">
      <c r="A475" s="128"/>
      <c r="B475" s="131"/>
      <c r="C475" s="115"/>
      <c r="D475" s="115"/>
      <c r="E475" s="115"/>
      <c r="F475" s="115"/>
      <c r="G475" s="115"/>
      <c r="H475" s="115"/>
      <c r="I475" s="55"/>
      <c r="J475" s="222"/>
      <c r="K475" s="222"/>
      <c r="L475" s="231"/>
      <c r="M475" s="231"/>
      <c r="N475" s="231"/>
      <c r="O475" s="231"/>
    </row>
    <row r="476" spans="1:15" ht="63" hidden="1" customHeight="1" x14ac:dyDescent="0.2">
      <c r="A476" s="128"/>
      <c r="B476" s="131"/>
      <c r="C476" s="115"/>
      <c r="D476" s="115"/>
      <c r="E476" s="115"/>
      <c r="F476" s="115"/>
      <c r="G476" s="115"/>
      <c r="H476" s="115"/>
      <c r="I476" s="55"/>
      <c r="J476" s="222"/>
      <c r="K476" s="222"/>
      <c r="L476" s="231"/>
      <c r="M476" s="231"/>
      <c r="N476" s="231"/>
      <c r="O476" s="231"/>
    </row>
    <row r="477" spans="1:15" ht="31.5" hidden="1" customHeight="1" x14ac:dyDescent="0.2">
      <c r="A477" s="128"/>
      <c r="B477" s="131"/>
      <c r="C477" s="115"/>
      <c r="D477" s="115"/>
      <c r="E477" s="115"/>
      <c r="F477" s="115"/>
      <c r="G477" s="115"/>
      <c r="H477" s="115"/>
      <c r="I477" s="55"/>
      <c r="J477" s="222"/>
      <c r="K477" s="222"/>
      <c r="L477" s="231"/>
      <c r="M477" s="231"/>
      <c r="N477" s="231"/>
      <c r="O477" s="231"/>
    </row>
    <row r="478" spans="1:15" ht="63" hidden="1" customHeight="1" x14ac:dyDescent="0.2">
      <c r="A478" s="128"/>
      <c r="B478" s="131"/>
      <c r="C478" s="115"/>
      <c r="D478" s="115"/>
      <c r="E478" s="115"/>
      <c r="F478" s="115"/>
      <c r="G478" s="115"/>
      <c r="H478" s="115"/>
      <c r="I478" s="55"/>
      <c r="J478" s="222"/>
      <c r="K478" s="222"/>
      <c r="L478" s="231"/>
      <c r="M478" s="231"/>
      <c r="N478" s="231"/>
      <c r="O478" s="231"/>
    </row>
    <row r="479" spans="1:15" ht="31.5" hidden="1" customHeight="1" x14ac:dyDescent="0.2">
      <c r="A479" s="128"/>
      <c r="B479" s="131"/>
      <c r="C479" s="115"/>
      <c r="D479" s="115"/>
      <c r="E479" s="115"/>
      <c r="F479" s="115"/>
      <c r="G479" s="115"/>
      <c r="H479" s="115"/>
      <c r="I479" s="55"/>
      <c r="J479" s="222"/>
      <c r="K479" s="222"/>
      <c r="L479" s="231"/>
      <c r="M479" s="231"/>
      <c r="N479" s="231"/>
      <c r="O479" s="231"/>
    </row>
    <row r="480" spans="1:15" ht="78.75" hidden="1" customHeight="1" x14ac:dyDescent="0.2">
      <c r="A480" s="128"/>
      <c r="B480" s="131"/>
      <c r="C480" s="115"/>
      <c r="D480" s="115"/>
      <c r="E480" s="115"/>
      <c r="F480" s="115"/>
      <c r="G480" s="115"/>
      <c r="H480" s="115"/>
      <c r="I480" s="55"/>
      <c r="J480" s="222"/>
      <c r="K480" s="222"/>
      <c r="L480" s="231"/>
      <c r="M480" s="231"/>
      <c r="N480" s="231"/>
      <c r="O480" s="231"/>
    </row>
    <row r="481" spans="1:15" ht="31.5" hidden="1" customHeight="1" x14ac:dyDescent="0.2">
      <c r="A481" s="128"/>
      <c r="B481" s="131"/>
      <c r="C481" s="115"/>
      <c r="D481" s="115"/>
      <c r="E481" s="115"/>
      <c r="F481" s="115"/>
      <c r="G481" s="115"/>
      <c r="H481" s="115"/>
      <c r="I481" s="55"/>
      <c r="J481" s="222"/>
      <c r="K481" s="222"/>
      <c r="L481" s="231"/>
      <c r="M481" s="231"/>
      <c r="N481" s="231"/>
      <c r="O481" s="231"/>
    </row>
    <row r="482" spans="1:15" ht="110.25" hidden="1" customHeight="1" x14ac:dyDescent="0.2">
      <c r="A482" s="128"/>
      <c r="B482" s="131"/>
      <c r="C482" s="115"/>
      <c r="D482" s="115"/>
      <c r="E482" s="115"/>
      <c r="F482" s="115"/>
      <c r="G482" s="115"/>
      <c r="H482" s="115"/>
      <c r="I482" s="55"/>
      <c r="J482" s="222"/>
      <c r="K482" s="222"/>
      <c r="L482" s="231"/>
      <c r="M482" s="231"/>
      <c r="N482" s="231"/>
      <c r="O482" s="231"/>
    </row>
    <row r="483" spans="1:15" ht="31.5" hidden="1" customHeight="1" x14ac:dyDescent="0.2">
      <c r="A483" s="128"/>
      <c r="B483" s="131"/>
      <c r="C483" s="115"/>
      <c r="D483" s="115"/>
      <c r="E483" s="115"/>
      <c r="F483" s="115"/>
      <c r="G483" s="115"/>
      <c r="H483" s="115"/>
      <c r="I483" s="55"/>
      <c r="J483" s="222"/>
      <c r="K483" s="222"/>
      <c r="L483" s="231"/>
      <c r="M483" s="231"/>
      <c r="N483" s="231"/>
      <c r="O483" s="231"/>
    </row>
    <row r="484" spans="1:15" ht="110.25" hidden="1" customHeight="1" x14ac:dyDescent="0.2">
      <c r="A484" s="128"/>
      <c r="B484" s="131"/>
      <c r="C484" s="115"/>
      <c r="D484" s="115"/>
      <c r="E484" s="115"/>
      <c r="F484" s="115"/>
      <c r="G484" s="115"/>
      <c r="H484" s="115"/>
      <c r="I484" s="55"/>
      <c r="J484" s="222"/>
      <c r="K484" s="222"/>
      <c r="L484" s="231"/>
      <c r="M484" s="231"/>
      <c r="N484" s="231"/>
      <c r="O484" s="231"/>
    </row>
    <row r="485" spans="1:15" ht="31.5" hidden="1" customHeight="1" x14ac:dyDescent="0.2">
      <c r="A485" s="128"/>
      <c r="B485" s="131"/>
      <c r="C485" s="115"/>
      <c r="D485" s="115"/>
      <c r="E485" s="115"/>
      <c r="F485" s="115"/>
      <c r="G485" s="115"/>
      <c r="H485" s="115"/>
      <c r="I485" s="55"/>
      <c r="J485" s="222"/>
      <c r="K485" s="222"/>
      <c r="L485" s="231"/>
      <c r="M485" s="231"/>
      <c r="N485" s="231"/>
      <c r="O485" s="231"/>
    </row>
    <row r="486" spans="1:15" ht="94.5" hidden="1" customHeight="1" x14ac:dyDescent="0.2">
      <c r="A486" s="128"/>
      <c r="B486" s="131"/>
      <c r="C486" s="115" t="s">
        <v>714</v>
      </c>
      <c r="D486" s="115"/>
      <c r="E486" s="115"/>
      <c r="F486" s="115"/>
      <c r="G486" s="115"/>
      <c r="H486" s="115"/>
      <c r="I486" s="55"/>
      <c r="J486" s="222"/>
      <c r="K486" s="222"/>
      <c r="L486" s="231"/>
      <c r="M486" s="231"/>
      <c r="N486" s="231"/>
      <c r="O486" s="231"/>
    </row>
    <row r="487" spans="1:15" ht="31.5" hidden="1" customHeight="1" x14ac:dyDescent="0.2">
      <c r="A487" s="128"/>
      <c r="B487" s="131"/>
      <c r="C487" s="115" t="s">
        <v>713</v>
      </c>
      <c r="D487" s="115"/>
      <c r="E487" s="115"/>
      <c r="F487" s="115"/>
      <c r="G487" s="115"/>
      <c r="H487" s="115"/>
      <c r="I487" s="55"/>
      <c r="J487" s="222"/>
      <c r="K487" s="222"/>
      <c r="L487" s="231"/>
      <c r="M487" s="231"/>
      <c r="N487" s="231"/>
      <c r="O487" s="231"/>
    </row>
    <row r="488" spans="1:15" ht="110.25" hidden="1" customHeight="1" x14ac:dyDescent="0.2">
      <c r="A488" s="128"/>
      <c r="B488" s="131"/>
      <c r="C488" s="115" t="s">
        <v>720</v>
      </c>
      <c r="D488" s="115"/>
      <c r="E488" s="115"/>
      <c r="F488" s="115"/>
      <c r="G488" s="115"/>
      <c r="H488" s="115"/>
      <c r="I488" s="55"/>
      <c r="J488" s="222"/>
      <c r="K488" s="222"/>
      <c r="L488" s="231"/>
      <c r="M488" s="231"/>
      <c r="N488" s="231"/>
      <c r="O488" s="231"/>
    </row>
    <row r="489" spans="1:15" ht="31.5" hidden="1" customHeight="1" x14ac:dyDescent="0.2">
      <c r="A489" s="128"/>
      <c r="B489" s="131"/>
      <c r="C489" s="115" t="s">
        <v>721</v>
      </c>
      <c r="D489" s="115"/>
      <c r="E489" s="115"/>
      <c r="F489" s="115"/>
      <c r="G489" s="115"/>
      <c r="H489" s="115"/>
      <c r="I489" s="55"/>
      <c r="J489" s="222"/>
      <c r="K489" s="222"/>
      <c r="L489" s="231"/>
      <c r="M489" s="231"/>
      <c r="N489" s="231"/>
      <c r="O489" s="231"/>
    </row>
    <row r="490" spans="1:15" ht="94.5" hidden="1" customHeight="1" x14ac:dyDescent="0.2">
      <c r="A490" s="128"/>
      <c r="B490" s="131"/>
      <c r="C490" s="115" t="s">
        <v>713</v>
      </c>
      <c r="D490" s="115"/>
      <c r="E490" s="115"/>
      <c r="F490" s="115"/>
      <c r="G490" s="115"/>
      <c r="H490" s="115"/>
      <c r="I490" s="55"/>
      <c r="J490" s="222"/>
      <c r="K490" s="222"/>
      <c r="L490" s="231"/>
      <c r="M490" s="231"/>
      <c r="N490" s="231"/>
      <c r="O490" s="231"/>
    </row>
    <row r="491" spans="1:15" ht="31.5" hidden="1" customHeight="1" x14ac:dyDescent="0.2">
      <c r="A491" s="128"/>
      <c r="B491" s="131"/>
      <c r="C491" s="115">
        <v>0</v>
      </c>
      <c r="D491" s="115"/>
      <c r="E491" s="115"/>
      <c r="F491" s="115"/>
      <c r="G491" s="115"/>
      <c r="H491" s="115"/>
      <c r="I491" s="55"/>
      <c r="J491" s="222"/>
      <c r="K491" s="222"/>
      <c r="L491" s="231"/>
      <c r="M491" s="231"/>
      <c r="N491" s="231"/>
      <c r="O491" s="231"/>
    </row>
    <row r="492" spans="1:15" ht="173.25" hidden="1" customHeight="1" x14ac:dyDescent="0.2">
      <c r="A492" s="128"/>
      <c r="B492" s="131"/>
      <c r="C492" s="115">
        <v>0</v>
      </c>
      <c r="D492" s="115"/>
      <c r="E492" s="115"/>
      <c r="F492" s="115"/>
      <c r="G492" s="115"/>
      <c r="H492" s="115"/>
      <c r="I492" s="55"/>
      <c r="J492" s="222"/>
      <c r="K492" s="222"/>
      <c r="L492" s="231"/>
      <c r="M492" s="231"/>
      <c r="N492" s="231"/>
      <c r="O492" s="231"/>
    </row>
    <row r="493" spans="1:15" ht="31.5" hidden="1" customHeight="1" x14ac:dyDescent="0.2">
      <c r="A493" s="128"/>
      <c r="B493" s="131"/>
      <c r="C493" s="115">
        <v>0</v>
      </c>
      <c r="D493" s="115"/>
      <c r="E493" s="115"/>
      <c r="F493" s="115"/>
      <c r="G493" s="115"/>
      <c r="H493" s="115"/>
      <c r="I493" s="55"/>
      <c r="J493" s="222"/>
      <c r="K493" s="222"/>
      <c r="L493" s="231"/>
      <c r="M493" s="231"/>
      <c r="N493" s="231"/>
      <c r="O493" s="231"/>
    </row>
    <row r="494" spans="1:15" hidden="1" x14ac:dyDescent="0.2">
      <c r="A494" s="129"/>
      <c r="B494" s="132"/>
      <c r="C494" s="115" t="s">
        <v>713</v>
      </c>
      <c r="D494" s="115"/>
      <c r="E494" s="115"/>
      <c r="F494" s="115"/>
      <c r="G494" s="115"/>
      <c r="H494" s="115"/>
      <c r="I494" s="55"/>
      <c r="J494" s="222"/>
      <c r="K494" s="222"/>
      <c r="L494" s="231"/>
      <c r="M494" s="231"/>
      <c r="N494" s="231"/>
      <c r="O494" s="231"/>
    </row>
    <row r="495" spans="1:15" hidden="1" x14ac:dyDescent="0.2">
      <c r="A495" s="127">
        <f>SUBTOTAL(103,$B$8:B495)</f>
        <v>170</v>
      </c>
      <c r="B495" s="130"/>
      <c r="C495" s="115">
        <v>0</v>
      </c>
      <c r="D495" s="115"/>
      <c r="E495" s="115"/>
      <c r="F495" s="115"/>
      <c r="G495" s="115"/>
      <c r="H495" s="115"/>
      <c r="I495" s="55"/>
      <c r="J495" s="222"/>
      <c r="K495" s="222"/>
      <c r="L495" s="231"/>
      <c r="M495" s="231"/>
      <c r="N495" s="231"/>
      <c r="O495" s="231"/>
    </row>
    <row r="496" spans="1:15" hidden="1" x14ac:dyDescent="0.2">
      <c r="A496" s="129"/>
      <c r="B496" s="132"/>
      <c r="C496" s="115">
        <v>0</v>
      </c>
      <c r="D496" s="115"/>
      <c r="E496" s="115"/>
      <c r="F496" s="115"/>
      <c r="G496" s="115"/>
      <c r="H496" s="115"/>
      <c r="I496" s="55"/>
      <c r="J496" s="222"/>
      <c r="K496" s="222"/>
      <c r="L496" s="231"/>
      <c r="M496" s="231"/>
      <c r="N496" s="231"/>
      <c r="O496" s="231"/>
    </row>
    <row r="497" spans="1:15" hidden="1" x14ac:dyDescent="0.2">
      <c r="A497" s="127">
        <f>SUBTOTAL(103,$B$8:B497)</f>
        <v>170</v>
      </c>
      <c r="B497" s="130"/>
      <c r="C497" s="115">
        <v>0</v>
      </c>
      <c r="D497" s="115"/>
      <c r="E497" s="115"/>
      <c r="F497" s="115"/>
      <c r="G497" s="115"/>
      <c r="H497" s="115"/>
      <c r="I497" s="55"/>
      <c r="J497" s="222"/>
      <c r="K497" s="222"/>
      <c r="L497" s="231"/>
      <c r="M497" s="231"/>
      <c r="N497" s="231"/>
      <c r="O497" s="231"/>
    </row>
    <row r="498" spans="1:15" hidden="1" x14ac:dyDescent="0.2">
      <c r="A498" s="129"/>
      <c r="B498" s="132"/>
      <c r="C498" s="115" t="s">
        <v>713</v>
      </c>
      <c r="D498" s="115"/>
      <c r="E498" s="115"/>
      <c r="F498" s="115"/>
      <c r="G498" s="115"/>
      <c r="H498" s="115"/>
      <c r="I498" s="55"/>
      <c r="J498" s="222"/>
      <c r="K498" s="222"/>
      <c r="L498" s="231"/>
      <c r="M498" s="231"/>
      <c r="N498" s="231"/>
      <c r="O498" s="231"/>
    </row>
    <row r="499" spans="1:15" hidden="1" x14ac:dyDescent="0.2">
      <c r="A499" s="127">
        <f>SUBTOTAL(103,$B$8:B499)</f>
        <v>170</v>
      </c>
      <c r="B499" s="130"/>
      <c r="C499" s="115">
        <v>0</v>
      </c>
      <c r="D499" s="115"/>
      <c r="E499" s="115"/>
      <c r="F499" s="115"/>
      <c r="G499" s="115"/>
      <c r="H499" s="115"/>
      <c r="I499" s="55"/>
      <c r="J499" s="222"/>
      <c r="K499" s="222"/>
      <c r="L499" s="231"/>
      <c r="M499" s="231"/>
      <c r="N499" s="231"/>
      <c r="O499" s="231"/>
    </row>
    <row r="500" spans="1:15" hidden="1" x14ac:dyDescent="0.2">
      <c r="A500" s="129"/>
      <c r="B500" s="132"/>
      <c r="C500" s="115">
        <v>0</v>
      </c>
      <c r="D500" s="115"/>
      <c r="E500" s="115"/>
      <c r="F500" s="115"/>
      <c r="G500" s="115"/>
      <c r="H500" s="115"/>
      <c r="I500" s="55"/>
      <c r="J500" s="222"/>
      <c r="K500" s="222"/>
      <c r="L500" s="231"/>
      <c r="M500" s="231"/>
      <c r="N500" s="231"/>
      <c r="O500" s="231"/>
    </row>
    <row r="501" spans="1:15" hidden="1" x14ac:dyDescent="0.2">
      <c r="A501" s="127">
        <f>SUBTOTAL(103,$B$8:B501)</f>
        <v>170</v>
      </c>
      <c r="B501" s="130"/>
      <c r="C501" s="115">
        <v>0</v>
      </c>
      <c r="D501" s="115"/>
      <c r="E501" s="115"/>
      <c r="F501" s="115"/>
      <c r="G501" s="115"/>
      <c r="H501" s="115"/>
      <c r="I501" s="55"/>
      <c r="J501" s="222"/>
      <c r="K501" s="222"/>
      <c r="L501" s="231"/>
      <c r="M501" s="231"/>
      <c r="N501" s="231"/>
      <c r="O501" s="231"/>
    </row>
    <row r="502" spans="1:15" hidden="1" x14ac:dyDescent="0.2">
      <c r="A502" s="129"/>
      <c r="B502" s="132"/>
      <c r="C502" s="115" t="s">
        <v>713</v>
      </c>
      <c r="D502" s="115"/>
      <c r="E502" s="115"/>
      <c r="F502" s="115"/>
      <c r="G502" s="115"/>
      <c r="H502" s="115"/>
      <c r="I502" s="55"/>
      <c r="J502" s="222"/>
      <c r="K502" s="222"/>
      <c r="L502" s="231"/>
      <c r="M502" s="231"/>
      <c r="N502" s="231"/>
      <c r="O502" s="231"/>
    </row>
    <row r="503" spans="1:15" hidden="1" x14ac:dyDescent="0.2">
      <c r="A503" s="127">
        <f>SUBTOTAL(103,$B$8:B503)</f>
        <v>170</v>
      </c>
      <c r="B503" s="130"/>
      <c r="C503" s="115">
        <v>0</v>
      </c>
      <c r="D503" s="115"/>
      <c r="E503" s="115"/>
      <c r="F503" s="115"/>
      <c r="G503" s="115"/>
      <c r="H503" s="115"/>
      <c r="I503" s="55"/>
      <c r="J503" s="222"/>
      <c r="K503" s="222"/>
      <c r="L503" s="231"/>
      <c r="M503" s="231"/>
      <c r="N503" s="231"/>
      <c r="O503" s="231"/>
    </row>
    <row r="504" spans="1:15" hidden="1" x14ac:dyDescent="0.2">
      <c r="A504" s="129"/>
      <c r="B504" s="132"/>
      <c r="C504" s="115">
        <v>0</v>
      </c>
      <c r="D504" s="115"/>
      <c r="E504" s="115"/>
      <c r="F504" s="115"/>
      <c r="G504" s="115"/>
      <c r="H504" s="115"/>
      <c r="I504" s="55"/>
      <c r="J504" s="222"/>
      <c r="K504" s="222"/>
      <c r="L504" s="231"/>
      <c r="M504" s="231"/>
      <c r="N504" s="231"/>
      <c r="O504" s="231"/>
    </row>
    <row r="505" spans="1:15" hidden="1" x14ac:dyDescent="0.2">
      <c r="A505" s="127">
        <f>SUBTOTAL(103,$B$8:B505)</f>
        <v>170</v>
      </c>
      <c r="B505" s="130"/>
      <c r="C505" s="115">
        <v>0</v>
      </c>
      <c r="D505" s="115"/>
      <c r="E505" s="115"/>
      <c r="F505" s="115"/>
      <c r="G505" s="115"/>
      <c r="H505" s="115"/>
      <c r="I505" s="55"/>
      <c r="J505" s="222"/>
      <c r="K505" s="222"/>
      <c r="L505" s="231"/>
      <c r="M505" s="231"/>
      <c r="N505" s="231"/>
      <c r="O505" s="231"/>
    </row>
    <row r="506" spans="1:15" hidden="1" x14ac:dyDescent="0.2">
      <c r="A506" s="129"/>
      <c r="B506" s="132"/>
      <c r="C506" s="115" t="s">
        <v>713</v>
      </c>
      <c r="D506" s="115"/>
      <c r="E506" s="115"/>
      <c r="F506" s="115"/>
      <c r="G506" s="115"/>
      <c r="H506" s="115"/>
      <c r="I506" s="55"/>
      <c r="J506" s="222"/>
      <c r="K506" s="222"/>
      <c r="L506" s="231"/>
      <c r="M506" s="231"/>
      <c r="N506" s="231"/>
      <c r="O506" s="231"/>
    </row>
    <row r="507" spans="1:15" hidden="1" x14ac:dyDescent="0.2">
      <c r="A507" s="127">
        <f>SUBTOTAL(103,$B$8:B507)</f>
        <v>170</v>
      </c>
      <c r="B507" s="130"/>
      <c r="C507" s="115">
        <v>0</v>
      </c>
      <c r="D507" s="115"/>
      <c r="E507" s="115"/>
      <c r="F507" s="115"/>
      <c r="G507" s="115"/>
      <c r="H507" s="115"/>
      <c r="I507" s="55"/>
      <c r="J507" s="222"/>
      <c r="K507" s="222"/>
      <c r="L507" s="231"/>
      <c r="M507" s="231"/>
      <c r="N507" s="231"/>
      <c r="O507" s="231"/>
    </row>
    <row r="508" spans="1:15" hidden="1" x14ac:dyDescent="0.2">
      <c r="A508" s="129"/>
      <c r="B508" s="132"/>
      <c r="C508" s="115">
        <v>0</v>
      </c>
      <c r="D508" s="115"/>
      <c r="E508" s="115"/>
      <c r="F508" s="115"/>
      <c r="G508" s="115"/>
      <c r="H508" s="115"/>
      <c r="I508" s="55"/>
      <c r="J508" s="222"/>
      <c r="K508" s="222"/>
      <c r="L508" s="231"/>
      <c r="M508" s="231"/>
      <c r="N508" s="231"/>
      <c r="O508" s="231"/>
    </row>
    <row r="509" spans="1:15" hidden="1" x14ac:dyDescent="0.2">
      <c r="A509" s="127">
        <f>SUBTOTAL(103,$B$8:B509)</f>
        <v>170</v>
      </c>
      <c r="B509" s="130"/>
      <c r="C509" s="115">
        <v>0</v>
      </c>
      <c r="D509" s="115"/>
      <c r="E509" s="115"/>
      <c r="F509" s="115"/>
      <c r="G509" s="115"/>
      <c r="H509" s="115"/>
      <c r="I509" s="55"/>
      <c r="J509" s="222"/>
      <c r="K509" s="222"/>
      <c r="L509" s="231"/>
      <c r="M509" s="231"/>
      <c r="N509" s="231"/>
      <c r="O509" s="231"/>
    </row>
    <row r="510" spans="1:15" hidden="1" x14ac:dyDescent="0.2">
      <c r="A510" s="129"/>
      <c r="B510" s="132"/>
      <c r="C510" s="115" t="s">
        <v>713</v>
      </c>
      <c r="D510" s="115"/>
      <c r="E510" s="115"/>
      <c r="F510" s="115"/>
      <c r="G510" s="115"/>
      <c r="H510" s="115"/>
      <c r="I510" s="55"/>
      <c r="J510" s="222"/>
      <c r="K510" s="222"/>
      <c r="L510" s="231"/>
      <c r="M510" s="231"/>
      <c r="N510" s="231"/>
      <c r="O510" s="231"/>
    </row>
    <row r="511" spans="1:15" hidden="1" x14ac:dyDescent="0.2">
      <c r="A511" s="127">
        <f>SUBTOTAL(103,$B$8:B511)</f>
        <v>170</v>
      </c>
      <c r="B511" s="130"/>
      <c r="C511" s="115">
        <v>0</v>
      </c>
      <c r="D511" s="115"/>
      <c r="E511" s="115"/>
      <c r="F511" s="115"/>
      <c r="G511" s="115"/>
      <c r="H511" s="115"/>
      <c r="I511" s="55"/>
      <c r="J511" s="222"/>
      <c r="K511" s="222"/>
      <c r="L511" s="231"/>
      <c r="M511" s="231"/>
      <c r="N511" s="231"/>
      <c r="O511" s="231"/>
    </row>
    <row r="512" spans="1:15" hidden="1" x14ac:dyDescent="0.2">
      <c r="A512" s="129"/>
      <c r="B512" s="132"/>
      <c r="C512" s="115">
        <v>0</v>
      </c>
      <c r="D512" s="115"/>
      <c r="E512" s="115"/>
      <c r="F512" s="115"/>
      <c r="G512" s="115"/>
      <c r="H512" s="115"/>
      <c r="I512" s="55"/>
      <c r="J512" s="222"/>
      <c r="K512" s="222"/>
      <c r="L512" s="231"/>
      <c r="M512" s="231"/>
      <c r="N512" s="231"/>
      <c r="O512" s="231"/>
    </row>
    <row r="513" spans="1:15" hidden="1" x14ac:dyDescent="0.2">
      <c r="A513" s="127">
        <f>SUBTOTAL(103,$B$8:B513)</f>
        <v>170</v>
      </c>
      <c r="B513" s="130"/>
      <c r="C513" s="115">
        <v>0</v>
      </c>
      <c r="D513" s="115"/>
      <c r="E513" s="115"/>
      <c r="F513" s="115"/>
      <c r="G513" s="115"/>
      <c r="H513" s="115"/>
      <c r="I513" s="55"/>
      <c r="J513" s="222"/>
      <c r="K513" s="222"/>
      <c r="L513" s="231"/>
      <c r="M513" s="231"/>
      <c r="N513" s="231"/>
      <c r="O513" s="231"/>
    </row>
    <row r="514" spans="1:15" hidden="1" x14ac:dyDescent="0.2">
      <c r="A514" s="129"/>
      <c r="B514" s="132"/>
      <c r="C514" s="115" t="s">
        <v>713</v>
      </c>
      <c r="D514" s="115"/>
      <c r="E514" s="115"/>
      <c r="F514" s="115"/>
      <c r="G514" s="115"/>
      <c r="H514" s="115"/>
      <c r="I514" s="55"/>
      <c r="J514" s="222"/>
      <c r="K514" s="222"/>
      <c r="L514" s="231"/>
      <c r="M514" s="231"/>
      <c r="N514" s="231"/>
      <c r="O514" s="231"/>
    </row>
    <row r="515" spans="1:15" hidden="1" x14ac:dyDescent="0.2">
      <c r="A515" s="127">
        <f>SUBTOTAL(103,$B$8:B515)</f>
        <v>170</v>
      </c>
      <c r="B515" s="130"/>
      <c r="C515" s="115">
        <v>0</v>
      </c>
      <c r="D515" s="115"/>
      <c r="E515" s="115"/>
      <c r="F515" s="115"/>
      <c r="G515" s="115"/>
      <c r="H515" s="115"/>
      <c r="I515" s="55"/>
      <c r="J515" s="222"/>
      <c r="K515" s="222"/>
      <c r="L515" s="231"/>
      <c r="M515" s="231"/>
      <c r="N515" s="231"/>
      <c r="O515" s="231"/>
    </row>
    <row r="516" spans="1:15" hidden="1" x14ac:dyDescent="0.2">
      <c r="A516" s="129"/>
      <c r="B516" s="132"/>
      <c r="C516" s="115">
        <v>0</v>
      </c>
      <c r="D516" s="115"/>
      <c r="E516" s="115"/>
      <c r="F516" s="115"/>
      <c r="G516" s="115"/>
      <c r="H516" s="115"/>
      <c r="I516" s="55"/>
      <c r="J516" s="222"/>
      <c r="K516" s="222"/>
      <c r="L516" s="231"/>
      <c r="M516" s="231"/>
      <c r="N516" s="231"/>
      <c r="O516" s="231"/>
    </row>
    <row r="517" spans="1:15" hidden="1" x14ac:dyDescent="0.2">
      <c r="A517" s="127">
        <f>SUBTOTAL(103,$B$8:B517)</f>
        <v>170</v>
      </c>
      <c r="B517" s="130"/>
      <c r="C517" s="115">
        <v>0</v>
      </c>
      <c r="D517" s="115"/>
      <c r="E517" s="115"/>
      <c r="F517" s="115"/>
      <c r="G517" s="115"/>
      <c r="H517" s="115"/>
      <c r="I517" s="55"/>
      <c r="J517" s="222"/>
      <c r="K517" s="222"/>
      <c r="L517" s="231"/>
      <c r="M517" s="231"/>
      <c r="N517" s="231"/>
      <c r="O517" s="231"/>
    </row>
    <row r="518" spans="1:15" hidden="1" x14ac:dyDescent="0.2">
      <c r="A518" s="129"/>
      <c r="B518" s="132"/>
      <c r="C518" s="115" t="s">
        <v>714</v>
      </c>
      <c r="D518" s="115"/>
      <c r="E518" s="115"/>
      <c r="F518" s="115"/>
      <c r="G518" s="115"/>
      <c r="H518" s="115"/>
      <c r="I518" s="55"/>
      <c r="J518" s="222"/>
      <c r="K518" s="222"/>
      <c r="L518" s="231"/>
      <c r="M518" s="231"/>
      <c r="N518" s="231"/>
      <c r="O518" s="231"/>
    </row>
    <row r="519" spans="1:15" hidden="1" x14ac:dyDescent="0.2">
      <c r="A519" s="127">
        <f>SUBTOTAL(103,$B$8:B519)</f>
        <v>170</v>
      </c>
      <c r="B519" s="130"/>
      <c r="C519" s="115">
        <v>0</v>
      </c>
      <c r="D519" s="115"/>
      <c r="E519" s="115"/>
      <c r="F519" s="115"/>
      <c r="G519" s="115"/>
      <c r="H519" s="115"/>
      <c r="I519" s="55"/>
      <c r="J519" s="222"/>
      <c r="K519" s="222"/>
      <c r="L519" s="231"/>
      <c r="M519" s="231"/>
      <c r="N519" s="231"/>
      <c r="O519" s="231"/>
    </row>
    <row r="520" spans="1:15" hidden="1" x14ac:dyDescent="0.2">
      <c r="A520" s="129"/>
      <c r="B520" s="132"/>
      <c r="C520" s="115">
        <v>0</v>
      </c>
      <c r="D520" s="115"/>
      <c r="E520" s="115"/>
      <c r="F520" s="115"/>
      <c r="G520" s="115"/>
      <c r="H520" s="115"/>
      <c r="I520" s="55"/>
      <c r="J520" s="222"/>
      <c r="K520" s="222"/>
      <c r="L520" s="231"/>
      <c r="M520" s="231"/>
      <c r="N520" s="231"/>
      <c r="O520" s="231"/>
    </row>
    <row r="521" spans="1:15" hidden="1" x14ac:dyDescent="0.2">
      <c r="A521" s="127">
        <f>SUBTOTAL(103,$B$8:B521)</f>
        <v>170</v>
      </c>
      <c r="B521" s="130"/>
      <c r="C521" s="115">
        <v>0</v>
      </c>
      <c r="D521" s="115"/>
      <c r="E521" s="115"/>
      <c r="F521" s="115"/>
      <c r="G521" s="115"/>
      <c r="H521" s="115"/>
      <c r="I521" s="55"/>
      <c r="J521" s="222"/>
      <c r="K521" s="222"/>
      <c r="L521" s="231"/>
      <c r="M521" s="231"/>
      <c r="N521" s="231"/>
      <c r="O521" s="231"/>
    </row>
    <row r="522" spans="1:15" hidden="1" x14ac:dyDescent="0.2">
      <c r="A522" s="129"/>
      <c r="B522" s="132"/>
      <c r="C522" s="115" t="s">
        <v>713</v>
      </c>
      <c r="D522" s="115"/>
      <c r="E522" s="115"/>
      <c r="F522" s="115"/>
      <c r="G522" s="115"/>
      <c r="H522" s="115"/>
      <c r="I522" s="55"/>
      <c r="J522" s="222"/>
      <c r="K522" s="222"/>
      <c r="L522" s="231"/>
      <c r="M522" s="231"/>
      <c r="N522" s="231"/>
      <c r="O522" s="231"/>
    </row>
    <row r="523" spans="1:15" hidden="1" x14ac:dyDescent="0.2">
      <c r="A523" s="127">
        <f>SUBTOTAL(103,$B$8:B523)</f>
        <v>170</v>
      </c>
      <c r="B523" s="130"/>
      <c r="C523" s="115">
        <v>0</v>
      </c>
      <c r="D523" s="115"/>
      <c r="E523" s="115"/>
      <c r="F523" s="115"/>
      <c r="G523" s="115"/>
      <c r="H523" s="115"/>
      <c r="I523" s="55"/>
      <c r="J523" s="222"/>
      <c r="K523" s="222"/>
      <c r="L523" s="231"/>
      <c r="M523" s="231"/>
      <c r="N523" s="231"/>
      <c r="O523" s="231"/>
    </row>
    <row r="524" spans="1:15" hidden="1" x14ac:dyDescent="0.2">
      <c r="A524" s="128"/>
      <c r="B524" s="132"/>
      <c r="C524" s="115">
        <v>0</v>
      </c>
      <c r="D524" s="115"/>
      <c r="E524" s="115"/>
      <c r="F524" s="115"/>
      <c r="G524" s="115"/>
      <c r="H524" s="115"/>
      <c r="I524" s="55"/>
      <c r="J524" s="222"/>
      <c r="K524" s="222"/>
      <c r="L524" s="231"/>
      <c r="M524" s="231"/>
      <c r="N524" s="231"/>
      <c r="O524" s="231"/>
    </row>
    <row r="525" spans="1:15" ht="49.5" hidden="1" customHeight="1" x14ac:dyDescent="0.2">
      <c r="A525" s="127">
        <f>SUBTOTAL(103,$B$8:B525)</f>
        <v>170</v>
      </c>
      <c r="B525" s="130"/>
      <c r="C525" s="115">
        <v>0</v>
      </c>
      <c r="D525" s="115"/>
      <c r="E525" s="115"/>
      <c r="F525" s="115"/>
      <c r="G525" s="115"/>
      <c r="H525" s="115"/>
      <c r="I525" s="55"/>
      <c r="J525" s="222"/>
      <c r="K525" s="222"/>
      <c r="L525" s="231"/>
      <c r="M525" s="231"/>
      <c r="N525" s="231"/>
      <c r="O525" s="231"/>
    </row>
    <row r="526" spans="1:15" hidden="1" x14ac:dyDescent="0.2">
      <c r="A526" s="128"/>
      <c r="B526" s="131"/>
      <c r="C526" s="115" t="s">
        <v>713</v>
      </c>
      <c r="D526" s="115"/>
      <c r="E526" s="115"/>
      <c r="F526" s="115"/>
      <c r="G526" s="115"/>
      <c r="H526" s="115"/>
      <c r="I526" s="55"/>
      <c r="J526" s="222"/>
      <c r="K526" s="222"/>
      <c r="L526" s="231"/>
      <c r="M526" s="231"/>
      <c r="N526" s="231"/>
      <c r="O526" s="231"/>
    </row>
    <row r="527" spans="1:15" hidden="1" x14ac:dyDescent="0.2">
      <c r="A527" s="129"/>
      <c r="B527" s="132"/>
      <c r="C527" s="115">
        <v>0</v>
      </c>
      <c r="D527" s="115"/>
      <c r="E527" s="115"/>
      <c r="F527" s="115"/>
      <c r="G527" s="115"/>
      <c r="H527" s="115"/>
      <c r="I527" s="55"/>
      <c r="J527" s="222"/>
      <c r="K527" s="222"/>
      <c r="L527" s="231"/>
      <c r="M527" s="231"/>
      <c r="N527" s="231"/>
      <c r="O527" s="231"/>
    </row>
    <row r="528" spans="1:15" ht="31.5" hidden="1" customHeight="1" x14ac:dyDescent="0.2">
      <c r="A528" s="128"/>
      <c r="B528" s="131"/>
      <c r="C528" s="115">
        <v>0</v>
      </c>
      <c r="D528" s="115"/>
      <c r="E528" s="115"/>
      <c r="F528" s="115"/>
      <c r="G528" s="115"/>
      <c r="H528" s="115"/>
      <c r="I528" s="55"/>
      <c r="J528" s="222"/>
      <c r="K528" s="222"/>
      <c r="L528" s="231"/>
      <c r="M528" s="231"/>
      <c r="N528" s="231"/>
      <c r="O528" s="231"/>
    </row>
    <row r="529" spans="1:15" ht="31.5" hidden="1" customHeight="1" x14ac:dyDescent="0.2">
      <c r="A529" s="128"/>
      <c r="B529" s="131"/>
      <c r="C529" s="115">
        <v>0</v>
      </c>
      <c r="D529" s="115"/>
      <c r="E529" s="115"/>
      <c r="F529" s="115"/>
      <c r="G529" s="115"/>
      <c r="H529" s="115"/>
      <c r="I529" s="55"/>
      <c r="J529" s="222"/>
      <c r="K529" s="222"/>
      <c r="L529" s="231"/>
      <c r="M529" s="231"/>
      <c r="N529" s="231"/>
      <c r="O529" s="231"/>
    </row>
    <row r="530" spans="1:15" ht="31.5" hidden="1" customHeight="1" x14ac:dyDescent="0.2">
      <c r="A530" s="128"/>
      <c r="B530" s="131"/>
      <c r="C530" s="115">
        <v>0</v>
      </c>
      <c r="D530" s="115"/>
      <c r="E530" s="115"/>
      <c r="F530" s="115"/>
      <c r="G530" s="115"/>
      <c r="H530" s="115"/>
      <c r="I530" s="55"/>
      <c r="J530" s="222"/>
      <c r="K530" s="222"/>
      <c r="L530" s="231"/>
      <c r="M530" s="231"/>
      <c r="N530" s="231"/>
      <c r="O530" s="231"/>
    </row>
    <row r="531" spans="1:15" ht="31.5" hidden="1" customHeight="1" x14ac:dyDescent="0.2">
      <c r="A531" s="128"/>
      <c r="B531" s="131"/>
      <c r="C531" s="115">
        <v>0</v>
      </c>
      <c r="D531" s="115"/>
      <c r="E531" s="115"/>
      <c r="F531" s="115"/>
      <c r="G531" s="115"/>
      <c r="H531" s="115"/>
      <c r="I531" s="55"/>
      <c r="J531" s="222"/>
      <c r="K531" s="222"/>
      <c r="L531" s="231"/>
      <c r="M531" s="231"/>
      <c r="N531" s="231"/>
      <c r="O531" s="231"/>
    </row>
    <row r="532" spans="1:15" ht="31.5" hidden="1" customHeight="1" x14ac:dyDescent="0.2">
      <c r="A532" s="128"/>
      <c r="B532" s="131"/>
      <c r="C532" s="115">
        <v>0</v>
      </c>
      <c r="D532" s="115"/>
      <c r="E532" s="115"/>
      <c r="F532" s="115"/>
      <c r="G532" s="115"/>
      <c r="H532" s="115"/>
      <c r="I532" s="55"/>
      <c r="J532" s="222"/>
      <c r="K532" s="222"/>
      <c r="L532" s="231"/>
      <c r="M532" s="231"/>
      <c r="N532" s="231"/>
      <c r="O532" s="231"/>
    </row>
    <row r="533" spans="1:15" ht="18" hidden="1" customHeight="1" x14ac:dyDescent="0.2">
      <c r="A533" s="128"/>
      <c r="B533" s="131"/>
      <c r="C533" s="115">
        <v>0</v>
      </c>
      <c r="D533" s="115"/>
      <c r="E533" s="115"/>
      <c r="F533" s="115"/>
      <c r="G533" s="115"/>
      <c r="H533" s="115"/>
      <c r="I533" s="55"/>
      <c r="J533" s="222"/>
      <c r="K533" s="222"/>
      <c r="L533" s="231"/>
      <c r="M533" s="231"/>
      <c r="N533" s="231"/>
      <c r="O533" s="231"/>
    </row>
    <row r="534" spans="1:15" ht="31.5" hidden="1" customHeight="1" x14ac:dyDescent="0.2">
      <c r="A534" s="128"/>
      <c r="B534" s="131"/>
      <c r="C534" s="115">
        <v>0</v>
      </c>
      <c r="D534" s="115"/>
      <c r="E534" s="115"/>
      <c r="F534" s="115"/>
      <c r="G534" s="115"/>
      <c r="H534" s="115"/>
      <c r="I534" s="55"/>
      <c r="J534" s="222"/>
      <c r="K534" s="222"/>
      <c r="L534" s="231"/>
      <c r="M534" s="231"/>
      <c r="N534" s="231"/>
      <c r="O534" s="231"/>
    </row>
    <row r="535" spans="1:15" ht="63" hidden="1" customHeight="1" x14ac:dyDescent="0.2">
      <c r="A535" s="128"/>
      <c r="B535" s="131"/>
      <c r="C535" s="115">
        <v>0</v>
      </c>
      <c r="D535" s="115"/>
      <c r="E535" s="115"/>
      <c r="F535" s="115"/>
      <c r="G535" s="115"/>
      <c r="H535" s="115"/>
      <c r="I535" s="55"/>
      <c r="J535" s="222"/>
      <c r="K535" s="222"/>
      <c r="L535" s="231"/>
      <c r="M535" s="231"/>
      <c r="N535" s="231"/>
      <c r="O535" s="231"/>
    </row>
    <row r="536" spans="1:15" ht="31.5" hidden="1" customHeight="1" x14ac:dyDescent="0.2">
      <c r="A536" s="128"/>
      <c r="B536" s="131"/>
      <c r="C536" s="115">
        <v>0</v>
      </c>
      <c r="D536" s="115"/>
      <c r="E536" s="115"/>
      <c r="F536" s="115"/>
      <c r="G536" s="115"/>
      <c r="H536" s="115"/>
      <c r="I536" s="55"/>
      <c r="J536" s="222"/>
      <c r="K536" s="222"/>
      <c r="L536" s="231"/>
      <c r="M536" s="231"/>
      <c r="N536" s="231"/>
      <c r="O536" s="231"/>
    </row>
    <row r="537" spans="1:15" ht="63" hidden="1" customHeight="1" x14ac:dyDescent="0.2">
      <c r="A537" s="128"/>
      <c r="B537" s="131"/>
      <c r="C537" s="115">
        <v>0</v>
      </c>
      <c r="D537" s="115"/>
      <c r="E537" s="115"/>
      <c r="F537" s="115"/>
      <c r="G537" s="115"/>
      <c r="H537" s="115"/>
      <c r="I537" s="55"/>
      <c r="J537" s="222"/>
      <c r="K537" s="222"/>
      <c r="L537" s="231"/>
      <c r="M537" s="231"/>
      <c r="N537" s="231"/>
      <c r="O537" s="231"/>
    </row>
    <row r="538" spans="1:15" ht="31.5" hidden="1" customHeight="1" x14ac:dyDescent="0.2">
      <c r="A538" s="128"/>
      <c r="B538" s="131"/>
      <c r="C538" s="115">
        <v>0</v>
      </c>
      <c r="D538" s="115"/>
      <c r="E538" s="115"/>
      <c r="F538" s="115"/>
      <c r="G538" s="115"/>
      <c r="H538" s="115"/>
      <c r="I538" s="55"/>
      <c r="J538" s="222"/>
      <c r="K538" s="222"/>
      <c r="L538" s="231"/>
      <c r="M538" s="231"/>
      <c r="N538" s="231"/>
      <c r="O538" s="231"/>
    </row>
    <row r="539" spans="1:15" ht="63" hidden="1" customHeight="1" x14ac:dyDescent="0.2">
      <c r="A539" s="128"/>
      <c r="B539" s="131"/>
      <c r="C539" s="115">
        <v>0</v>
      </c>
      <c r="D539" s="115"/>
      <c r="E539" s="115"/>
      <c r="F539" s="115"/>
      <c r="G539" s="115"/>
      <c r="H539" s="115"/>
      <c r="I539" s="55"/>
      <c r="J539" s="222"/>
      <c r="K539" s="222"/>
      <c r="L539" s="231"/>
      <c r="M539" s="231"/>
      <c r="N539" s="231"/>
      <c r="O539" s="231"/>
    </row>
    <row r="540" spans="1:15" ht="31.5" hidden="1" customHeight="1" x14ac:dyDescent="0.2">
      <c r="A540" s="128"/>
      <c r="B540" s="131"/>
      <c r="C540" s="115">
        <v>0</v>
      </c>
      <c r="D540" s="115"/>
      <c r="E540" s="115"/>
      <c r="F540" s="115"/>
      <c r="G540" s="115"/>
      <c r="H540" s="115"/>
      <c r="I540" s="55"/>
      <c r="J540" s="222"/>
      <c r="K540" s="222"/>
      <c r="L540" s="231"/>
      <c r="M540" s="231"/>
      <c r="N540" s="231"/>
      <c r="O540" s="231"/>
    </row>
    <row r="541" spans="1:15" ht="31.5" hidden="1" customHeight="1" x14ac:dyDescent="0.2">
      <c r="A541" s="128"/>
      <c r="B541" s="131"/>
      <c r="C541" s="115">
        <v>0</v>
      </c>
      <c r="D541" s="115"/>
      <c r="E541" s="115"/>
      <c r="F541" s="115"/>
      <c r="G541" s="115"/>
      <c r="H541" s="115"/>
      <c r="I541" s="55"/>
      <c r="J541" s="222"/>
      <c r="K541" s="222"/>
      <c r="L541" s="231"/>
      <c r="M541" s="231"/>
      <c r="N541" s="231"/>
      <c r="O541" s="231"/>
    </row>
    <row r="542" spans="1:15" ht="31.5" hidden="1" customHeight="1" x14ac:dyDescent="0.2">
      <c r="A542" s="128"/>
      <c r="B542" s="131"/>
      <c r="C542" s="115">
        <v>0</v>
      </c>
      <c r="D542" s="115"/>
      <c r="E542" s="115"/>
      <c r="F542" s="115"/>
      <c r="G542" s="115"/>
      <c r="H542" s="115"/>
      <c r="I542" s="55"/>
      <c r="J542" s="222"/>
      <c r="K542" s="222"/>
      <c r="L542" s="231"/>
      <c r="M542" s="231"/>
      <c r="N542" s="231"/>
      <c r="O542" s="231"/>
    </row>
    <row r="543" spans="1:15" ht="31.5" hidden="1" customHeight="1" x14ac:dyDescent="0.2">
      <c r="A543" s="128"/>
      <c r="B543" s="131"/>
      <c r="C543" s="115">
        <v>0</v>
      </c>
      <c r="D543" s="115"/>
      <c r="E543" s="115"/>
      <c r="F543" s="115"/>
      <c r="G543" s="115"/>
      <c r="H543" s="115"/>
      <c r="I543" s="55"/>
      <c r="J543" s="222"/>
      <c r="K543" s="222"/>
      <c r="L543" s="231"/>
      <c r="M543" s="231"/>
      <c r="N543" s="231"/>
      <c r="O543" s="231"/>
    </row>
    <row r="544" spans="1:15" ht="31.5" hidden="1" customHeight="1" x14ac:dyDescent="0.2">
      <c r="A544" s="128"/>
      <c r="B544" s="131"/>
      <c r="C544" s="115">
        <v>0</v>
      </c>
      <c r="D544" s="115"/>
      <c r="E544" s="115"/>
      <c r="F544" s="115"/>
      <c r="G544" s="115"/>
      <c r="H544" s="115"/>
      <c r="I544" s="55"/>
      <c r="J544" s="222"/>
      <c r="K544" s="222"/>
      <c r="L544" s="231"/>
      <c r="M544" s="231"/>
      <c r="N544" s="231"/>
      <c r="O544" s="231"/>
    </row>
    <row r="545" spans="1:15" ht="31.5" hidden="1" customHeight="1" x14ac:dyDescent="0.2">
      <c r="A545" s="128"/>
      <c r="B545" s="131"/>
      <c r="C545" s="115">
        <v>0</v>
      </c>
      <c r="D545" s="115"/>
      <c r="E545" s="115"/>
      <c r="F545" s="115"/>
      <c r="G545" s="115"/>
      <c r="H545" s="115"/>
      <c r="I545" s="55"/>
      <c r="J545" s="222"/>
      <c r="K545" s="222"/>
      <c r="L545" s="231"/>
      <c r="M545" s="231"/>
      <c r="N545" s="231"/>
      <c r="O545" s="231"/>
    </row>
    <row r="546" spans="1:15" ht="31.5" hidden="1" customHeight="1" x14ac:dyDescent="0.2">
      <c r="A546" s="128"/>
      <c r="B546" s="131"/>
      <c r="C546" s="115">
        <v>0</v>
      </c>
      <c r="D546" s="115"/>
      <c r="E546" s="115"/>
      <c r="F546" s="115"/>
      <c r="G546" s="115"/>
      <c r="H546" s="115"/>
      <c r="I546" s="55"/>
      <c r="J546" s="222"/>
      <c r="K546" s="222"/>
      <c r="L546" s="231"/>
      <c r="M546" s="231"/>
      <c r="N546" s="231"/>
      <c r="O546" s="231"/>
    </row>
    <row r="547" spans="1:15" ht="18" hidden="1" customHeight="1" x14ac:dyDescent="0.2">
      <c r="A547" s="128"/>
      <c r="B547" s="131"/>
      <c r="C547" s="115">
        <v>0</v>
      </c>
      <c r="D547" s="115"/>
      <c r="E547" s="115"/>
      <c r="F547" s="115"/>
      <c r="G547" s="115"/>
      <c r="H547" s="115"/>
      <c r="I547" s="55"/>
      <c r="J547" s="222"/>
      <c r="K547" s="222"/>
      <c r="L547" s="231"/>
      <c r="M547" s="231"/>
      <c r="N547" s="231"/>
      <c r="O547" s="231"/>
    </row>
    <row r="548" spans="1:15" ht="31.5" hidden="1" customHeight="1" x14ac:dyDescent="0.2">
      <c r="A548" s="128"/>
      <c r="B548" s="131"/>
      <c r="C548" s="115">
        <v>0</v>
      </c>
      <c r="D548" s="115"/>
      <c r="E548" s="115"/>
      <c r="F548" s="115"/>
      <c r="G548" s="115"/>
      <c r="H548" s="115"/>
      <c r="I548" s="55"/>
      <c r="J548" s="222"/>
      <c r="K548" s="222"/>
      <c r="L548" s="231"/>
      <c r="M548" s="231"/>
      <c r="N548" s="231"/>
      <c r="O548" s="231"/>
    </row>
    <row r="549" spans="1:15" ht="31.5" hidden="1" customHeight="1" x14ac:dyDescent="0.2">
      <c r="A549" s="128"/>
      <c r="B549" s="131"/>
      <c r="C549" s="115">
        <v>0</v>
      </c>
      <c r="D549" s="115"/>
      <c r="E549" s="115"/>
      <c r="F549" s="115"/>
      <c r="G549" s="115"/>
      <c r="H549" s="115"/>
      <c r="I549" s="55"/>
      <c r="J549" s="222"/>
      <c r="K549" s="222"/>
      <c r="L549" s="231"/>
      <c r="M549" s="231"/>
      <c r="N549" s="231"/>
      <c r="O549" s="231"/>
    </row>
    <row r="550" spans="1:15" ht="31.5" hidden="1" customHeight="1" x14ac:dyDescent="0.2">
      <c r="A550" s="128"/>
      <c r="B550" s="131"/>
      <c r="C550" s="115">
        <v>0</v>
      </c>
      <c r="D550" s="115"/>
      <c r="E550" s="115"/>
      <c r="F550" s="115"/>
      <c r="G550" s="115"/>
      <c r="H550" s="115"/>
      <c r="I550" s="55"/>
      <c r="J550" s="222"/>
      <c r="K550" s="222"/>
      <c r="L550" s="231"/>
      <c r="M550" s="231"/>
      <c r="N550" s="231"/>
      <c r="O550" s="231"/>
    </row>
    <row r="551" spans="1:15" ht="31.5" hidden="1" customHeight="1" x14ac:dyDescent="0.2">
      <c r="A551" s="128"/>
      <c r="B551" s="131"/>
      <c r="C551" s="115">
        <v>0</v>
      </c>
      <c r="D551" s="115"/>
      <c r="E551" s="115"/>
      <c r="F551" s="115"/>
      <c r="G551" s="115"/>
      <c r="H551" s="115"/>
      <c r="I551" s="55"/>
      <c r="J551" s="222"/>
      <c r="K551" s="222"/>
      <c r="L551" s="231"/>
      <c r="M551" s="231"/>
      <c r="N551" s="231"/>
      <c r="O551" s="231"/>
    </row>
    <row r="552" spans="1:15" ht="31.5" hidden="1" customHeight="1" x14ac:dyDescent="0.2">
      <c r="A552" s="118"/>
      <c r="B552" s="119"/>
      <c r="C552" s="115">
        <v>0</v>
      </c>
      <c r="D552" s="115"/>
      <c r="E552" s="115"/>
      <c r="F552" s="115"/>
      <c r="G552" s="115"/>
      <c r="H552" s="115"/>
      <c r="I552" s="55"/>
      <c r="J552" s="222"/>
      <c r="K552" s="222"/>
      <c r="L552" s="231"/>
      <c r="M552" s="231"/>
      <c r="N552" s="231"/>
      <c r="O552" s="231"/>
    </row>
    <row r="553" spans="1:15" hidden="1" x14ac:dyDescent="0.2">
      <c r="A553" s="113">
        <f>SUBTOTAL(103,$B$8:B553)</f>
        <v>170</v>
      </c>
      <c r="B553" s="120"/>
      <c r="C553" s="115">
        <v>0</v>
      </c>
      <c r="D553" s="115"/>
      <c r="E553" s="115"/>
      <c r="F553" s="115"/>
      <c r="G553" s="115"/>
      <c r="H553" s="115"/>
      <c r="I553" s="55"/>
      <c r="J553" s="222"/>
      <c r="K553" s="222"/>
      <c r="L553" s="231"/>
      <c r="M553" s="231"/>
      <c r="N553" s="231"/>
      <c r="O553" s="231"/>
    </row>
    <row r="554" spans="1:15" hidden="1" x14ac:dyDescent="0.2">
      <c r="A554" s="127">
        <f>SUBTOTAL(103,$B$8:B554)</f>
        <v>170</v>
      </c>
      <c r="B554" s="130"/>
      <c r="C554" s="115">
        <v>0</v>
      </c>
      <c r="D554" s="115"/>
      <c r="E554" s="115"/>
      <c r="F554" s="115"/>
      <c r="G554" s="115"/>
      <c r="H554" s="115"/>
      <c r="I554" s="55"/>
      <c r="J554" s="222"/>
      <c r="K554" s="222"/>
      <c r="L554" s="231"/>
      <c r="M554" s="231"/>
      <c r="N554" s="231"/>
      <c r="O554" s="231"/>
    </row>
    <row r="555" spans="1:15" hidden="1" x14ac:dyDescent="0.2">
      <c r="A555" s="129"/>
      <c r="B555" s="132"/>
      <c r="C555" s="115">
        <v>0</v>
      </c>
      <c r="D555" s="115"/>
      <c r="E555" s="115"/>
      <c r="F555" s="115"/>
      <c r="G555" s="115"/>
      <c r="H555" s="115"/>
      <c r="I555" s="55"/>
      <c r="J555" s="222"/>
      <c r="K555" s="222"/>
      <c r="L555" s="231"/>
      <c r="M555" s="231"/>
      <c r="N555" s="231"/>
      <c r="O555" s="231"/>
    </row>
    <row r="556" spans="1:15" hidden="1" x14ac:dyDescent="0.2">
      <c r="A556" s="127">
        <f>SUBTOTAL(103,$B$8:B556)</f>
        <v>170</v>
      </c>
      <c r="B556" s="130"/>
      <c r="C556" s="115">
        <v>0</v>
      </c>
      <c r="D556" s="115"/>
      <c r="E556" s="115"/>
      <c r="F556" s="115"/>
      <c r="G556" s="115"/>
      <c r="H556" s="115"/>
      <c r="I556" s="55"/>
      <c r="J556" s="222"/>
      <c r="K556" s="222"/>
      <c r="L556" s="231"/>
      <c r="M556" s="231"/>
      <c r="N556" s="231"/>
      <c r="O556" s="231"/>
    </row>
    <row r="557" spans="1:15" hidden="1" x14ac:dyDescent="0.2">
      <c r="A557" s="129"/>
      <c r="B557" s="132"/>
      <c r="C557" s="115">
        <v>0</v>
      </c>
      <c r="D557" s="115"/>
      <c r="E557" s="115"/>
      <c r="F557" s="115"/>
      <c r="G557" s="115"/>
      <c r="H557" s="115"/>
      <c r="I557" s="55"/>
      <c r="J557" s="222"/>
      <c r="K557" s="222"/>
      <c r="L557" s="231"/>
      <c r="M557" s="231"/>
      <c r="N557" s="231"/>
      <c r="O557" s="231"/>
    </row>
    <row r="558" spans="1:15" ht="38.25" hidden="1" x14ac:dyDescent="0.2">
      <c r="A558" s="127">
        <f>SUBTOTAL(103,$B$10:B560)</f>
        <v>170</v>
      </c>
      <c r="B558" s="130">
        <v>258</v>
      </c>
      <c r="C558" s="110" t="s">
        <v>339</v>
      </c>
      <c r="D558" s="111">
        <f>IF(COUNTIF(tSIAF[Clave],"2585395|258")=0,"",SUMIF(tSIAF[Clave],"2585395|258",tSIAF[PIM]))</f>
        <v>0</v>
      </c>
      <c r="E558" s="111">
        <f>IF(COUNTIF(tSIAF[Clave],"2585395|258")=0,"",SUMIF(tSIAF[Clave],"2585395|258",tSIAF[Certificacion]))</f>
        <v>0</v>
      </c>
      <c r="F558" s="111">
        <f>IF(D558="","",D558-E558)</f>
        <v>0</v>
      </c>
      <c r="G558" s="111">
        <f>IF(COUNTIF(tSIAF[Clave],"2585395|258")=0,"",SUMIF(tSIAF[Clave],"2585395|258",tSIAF[Devengado]))</f>
        <v>0</v>
      </c>
      <c r="H558" s="111">
        <f>IF(D558="","",D558-G558)</f>
        <v>0</v>
      </c>
      <c r="I558" s="55">
        <f>IF(D558="","",IF(D558=0,0,G558/D558))</f>
        <v>0</v>
      </c>
      <c r="J558" s="222"/>
      <c r="K558" s="222" t="s">
        <v>2299</v>
      </c>
      <c r="L558" s="231">
        <f>IF(COUNTIF(tCartera[CUI],"2585395")=0,"Sin PMI",IF(INDEX(tCartera[PMI2026],MATCH("2585395",tCartera[CUI],0))="","No informado",INDEX(tCartera[PMI2026],MATCH("2585395",tCartera[CUI],0))))</f>
        <v>100000</v>
      </c>
      <c r="M558" s="231">
        <f>IF(COUNTIF(tCartera[CUI],"2585395")=0,"Sin PMI",IF(INDEX(tCartera[PMI2027],MATCH("2585395",tCartera[CUI],0))="","No informado",INDEX(tCartera[PMI2027],MATCH("2585395",tCartera[CUI],0))))</f>
        <v>0</v>
      </c>
      <c r="N558" s="231">
        <f>IF(COUNTIF(tCartera[CUI],"2585395")=0,"Sin PMI",IF(INDEX(tCartera[PMI2028],MATCH("2585395",tCartera[CUI],0))="","No informado",INDEX(tCartera[PMI2028],MATCH("2585395",tCartera[CUI],0))))</f>
        <v>0</v>
      </c>
      <c r="O558" s="231">
        <f>IF(COUNTIF(tCartera[CUI],"2585395")=0,"Sin PMI",IF(INDEX(tCartera[PMI2029],MATCH("2585395",tCartera[CUI],0))="","No informado",INDEX(tCartera[PMI2029],MATCH("2585395",tCartera[CUI],0))))</f>
        <v>0</v>
      </c>
    </row>
    <row r="559" spans="1:15" hidden="1" x14ac:dyDescent="0.2">
      <c r="A559" s="128"/>
      <c r="B559" s="131"/>
      <c r="C559" s="110" t="s">
        <v>716</v>
      </c>
      <c r="D559" s="112"/>
      <c r="E559" s="112"/>
      <c r="F559" s="112"/>
      <c r="G559" s="112"/>
      <c r="H559" s="112"/>
      <c r="I559" s="55"/>
      <c r="J559" s="222"/>
      <c r="K559" s="222"/>
      <c r="L559" s="231"/>
      <c r="M559" s="231"/>
      <c r="N559" s="231"/>
      <c r="O559" s="231"/>
    </row>
    <row r="560" spans="1:15" hidden="1" x14ac:dyDescent="0.2">
      <c r="A560" s="129"/>
      <c r="B560" s="132"/>
      <c r="C560" s="110" t="s">
        <v>713</v>
      </c>
      <c r="D560" s="112"/>
      <c r="E560" s="112"/>
      <c r="F560" s="112"/>
      <c r="G560" s="112"/>
      <c r="H560" s="112"/>
      <c r="I560" s="55"/>
      <c r="J560" s="222"/>
      <c r="K560" s="222"/>
      <c r="L560" s="231"/>
      <c r="M560" s="231"/>
      <c r="N560" s="231"/>
      <c r="O560" s="231"/>
    </row>
    <row r="561" spans="1:15" ht="38.25" x14ac:dyDescent="0.2">
      <c r="A561" s="127">
        <f>SUBTOTAL(103,$B$10:B563)</f>
        <v>171</v>
      </c>
      <c r="B561" s="130">
        <v>261</v>
      </c>
      <c r="C561" s="110" t="s">
        <v>340</v>
      </c>
      <c r="D561" s="111">
        <f>IF(COUNTIF(tSIAF[Clave],"2594994|261")=0,"",SUMIF(tSIAF[Clave],"2594994|261",tSIAF[PIM]))</f>
        <v>154665</v>
      </c>
      <c r="E561" s="111">
        <f>IF(COUNTIF(tSIAF[Clave],"2594994|261")=0,"",SUMIF(tSIAF[Clave],"2594994|261",tSIAF[Certificacion]))</f>
        <v>154665</v>
      </c>
      <c r="F561" s="111">
        <f>IF(D561="","",D561-E561)</f>
        <v>0</v>
      </c>
      <c r="G561" s="111">
        <f>IF(COUNTIF(tSIAF[Clave],"2594994|261")=0,"",SUMIF(tSIAF[Clave],"2594994|261",tSIAF[Devengado]))</f>
        <v>154066.76999999999</v>
      </c>
      <c r="H561" s="111">
        <f>IF(D561="","",D561-G561)</f>
        <v>598.23000000001048</v>
      </c>
      <c r="I561" s="55">
        <f>IF(D561="","",IF(D561=0,0,G561/D561))</f>
        <v>0.99613209194064589</v>
      </c>
      <c r="J561" s="222"/>
      <c r="K561" s="222" t="s">
        <v>2299</v>
      </c>
      <c r="L561" s="231">
        <f>IF(COUNTIF(tCartera[CUI],"2594994")=0,"Sin PMI",IF(INDEX(tCartera[PMI2026],MATCH("2594994",tCartera[CUI],0))="","No informado",INDEX(tCartera[PMI2026],MATCH("2594994",tCartera[CUI],0))))</f>
        <v>200000</v>
      </c>
      <c r="M561" s="231">
        <f>IF(COUNTIF(tCartera[CUI],"2594994")=0,"Sin PMI",IF(INDEX(tCartera[PMI2027],MATCH("2594994",tCartera[CUI],0))="","No informado",INDEX(tCartera[PMI2027],MATCH("2594994",tCartera[CUI],0))))</f>
        <v>8562546</v>
      </c>
      <c r="N561" s="231">
        <f>IF(COUNTIF(tCartera[CUI],"2594994")=0,"Sin PMI",IF(INDEX(tCartera[PMI2028],MATCH("2594994",tCartera[CUI],0))="","No informado",INDEX(tCartera[PMI2028],MATCH("2594994",tCartera[CUI],0))))</f>
        <v>5000000</v>
      </c>
      <c r="O561" s="231">
        <f>IF(COUNTIF(tCartera[CUI],"2594994")=0,"Sin PMI",IF(INDEX(tCartera[PMI2029],MATCH("2594994",tCartera[CUI],0))="","No informado",INDEX(tCartera[PMI2029],MATCH("2594994",tCartera[CUI],0))))</f>
        <v>5168291</v>
      </c>
    </row>
    <row r="562" spans="1:15" hidden="1" x14ac:dyDescent="0.2">
      <c r="A562" s="128"/>
      <c r="B562" s="131"/>
      <c r="C562" s="110" t="s">
        <v>716</v>
      </c>
      <c r="D562" s="112"/>
      <c r="E562" s="112"/>
      <c r="F562" s="112"/>
      <c r="G562" s="112"/>
      <c r="H562" s="112"/>
      <c r="I562" s="55"/>
      <c r="J562" s="222"/>
      <c r="K562" s="222"/>
      <c r="L562" s="231"/>
      <c r="M562" s="231"/>
      <c r="N562" s="231"/>
      <c r="O562" s="231"/>
    </row>
    <row r="563" spans="1:15" hidden="1" x14ac:dyDescent="0.2">
      <c r="A563" s="129"/>
      <c r="B563" s="132"/>
      <c r="C563" s="110" t="s">
        <v>713</v>
      </c>
      <c r="D563" s="112"/>
      <c r="E563" s="112"/>
      <c r="F563" s="112"/>
      <c r="G563" s="112"/>
      <c r="H563" s="112"/>
      <c r="I563" s="55"/>
      <c r="J563" s="222"/>
      <c r="K563" s="222"/>
      <c r="L563" s="231"/>
      <c r="M563" s="231"/>
      <c r="N563" s="231"/>
      <c r="O563" s="231"/>
    </row>
    <row r="564" spans="1:15" ht="38.25" hidden="1" x14ac:dyDescent="0.2">
      <c r="A564" s="127">
        <f>SUBTOTAL(103,$B$8:B564)</f>
        <v>171</v>
      </c>
      <c r="B564" s="130"/>
      <c r="C564" s="110" t="s">
        <v>341</v>
      </c>
      <c r="D564" s="111"/>
      <c r="E564" s="111"/>
      <c r="F564" s="111"/>
      <c r="G564" s="111"/>
      <c r="H564" s="111"/>
      <c r="I564" s="55"/>
      <c r="J564" s="222"/>
      <c r="K564" s="222"/>
      <c r="L564" s="231"/>
      <c r="M564" s="231"/>
      <c r="N564" s="231"/>
      <c r="O564" s="231"/>
    </row>
    <row r="565" spans="1:15" hidden="1" x14ac:dyDescent="0.2">
      <c r="A565" s="129"/>
      <c r="B565" s="132"/>
      <c r="C565" s="115" t="s">
        <v>463</v>
      </c>
      <c r="D565" s="111"/>
      <c r="E565" s="111"/>
      <c r="F565" s="111"/>
      <c r="G565" s="111"/>
      <c r="H565" s="111"/>
      <c r="I565" s="55"/>
      <c r="J565" s="222"/>
      <c r="K565" s="222"/>
      <c r="L565" s="231"/>
      <c r="M565" s="231"/>
      <c r="N565" s="231"/>
      <c r="O565" s="231"/>
    </row>
    <row r="566" spans="1:15" ht="51" x14ac:dyDescent="0.2">
      <c r="A566" s="127">
        <f>SUBTOTAL(103,$B$10:B568)</f>
        <v>172</v>
      </c>
      <c r="B566" s="130">
        <v>262</v>
      </c>
      <c r="C566" s="110" t="s">
        <v>312</v>
      </c>
      <c r="D566" s="111">
        <f>IF(COUNTIF(tSIAF[Clave],"2599489|262")=0,"",SUMIF(tSIAF[Clave],"2599489|262",tSIAF[PIM]))</f>
        <v>1750696</v>
      </c>
      <c r="E566" s="111">
        <f>IF(COUNTIF(tSIAF[Clave],"2599489|262")=0,"",SUMIF(tSIAF[Clave],"2599489|262",tSIAF[Certificacion]))</f>
        <v>1750696</v>
      </c>
      <c r="F566" s="111">
        <f>IF(D566="","",D566-E566)</f>
        <v>0</v>
      </c>
      <c r="G566" s="111">
        <f>IF(COUNTIF(tSIAF[Clave],"2599489|262")=0,"",SUMIF(tSIAF[Clave],"2599489|262",tSIAF[Devengado]))</f>
        <v>0</v>
      </c>
      <c r="H566" s="111">
        <f>IF(D566="","",D566-G566)</f>
        <v>1750696</v>
      </c>
      <c r="I566" s="55">
        <f>IF(D566="","",IF(D566=0,0,G566/D566))</f>
        <v>0</v>
      </c>
      <c r="J566" s="222"/>
      <c r="K566" s="222" t="s">
        <v>2299</v>
      </c>
      <c r="L566" s="231">
        <f>IF(COUNTIF(tCartera[CUI],"2599489")=0,"Sin PMI",IF(INDEX(tCartera[PMI2026],MATCH("2599489",tCartera[CUI],0))="","No informado",INDEX(tCartera[PMI2026],MATCH("2599489",tCartera[CUI],0))))</f>
        <v>4083424</v>
      </c>
      <c r="M566" s="231">
        <f>IF(COUNTIF(tCartera[CUI],"2599489")=0,"Sin PMI",IF(INDEX(tCartera[PMI2027],MATCH("2599489",tCartera[CUI],0))="","No informado",INDEX(tCartera[PMI2027],MATCH("2599489",tCartera[CUI],0))))</f>
        <v>8803099</v>
      </c>
      <c r="N566" s="231">
        <f>IF(COUNTIF(tCartera[CUI],"2599489")=0,"Sin PMI",IF(INDEX(tCartera[PMI2028],MATCH("2599489",tCartera[CUI],0))="","No informado",INDEX(tCartera[PMI2028],MATCH("2599489",tCartera[CUI],0))))</f>
        <v>5321398</v>
      </c>
      <c r="O566" s="231">
        <f>IF(COUNTIF(tCartera[CUI],"2599489")=0,"Sin PMI",IF(INDEX(tCartera[PMI2029],MATCH("2599489",tCartera[CUI],0))="","No informado",INDEX(tCartera[PMI2029],MATCH("2599489",tCartera[CUI],0))))</f>
        <v>0</v>
      </c>
    </row>
    <row r="567" spans="1:15" hidden="1" x14ac:dyDescent="0.2">
      <c r="A567" s="128"/>
      <c r="B567" s="131"/>
      <c r="C567" s="110" t="s">
        <v>716</v>
      </c>
      <c r="D567" s="112"/>
      <c r="E567" s="112"/>
      <c r="F567" s="112"/>
      <c r="G567" s="112"/>
      <c r="H567" s="112"/>
      <c r="I567" s="55"/>
      <c r="J567" s="222"/>
      <c r="K567" s="222"/>
      <c r="L567" s="231"/>
      <c r="M567" s="231"/>
      <c r="N567" s="231"/>
      <c r="O567" s="231"/>
    </row>
    <row r="568" spans="1:15" hidden="1" x14ac:dyDescent="0.2">
      <c r="A568" s="129"/>
      <c r="B568" s="132"/>
      <c r="C568" s="110" t="s">
        <v>717</v>
      </c>
      <c r="D568" s="112"/>
      <c r="E568" s="112"/>
      <c r="F568" s="112"/>
      <c r="G568" s="112"/>
      <c r="H568" s="112"/>
      <c r="I568" s="55"/>
      <c r="J568" s="222"/>
      <c r="K568" s="222"/>
      <c r="L568" s="231"/>
      <c r="M568" s="231"/>
      <c r="N568" s="231"/>
      <c r="O568" s="231"/>
    </row>
    <row r="569" spans="1:15" ht="38.25" hidden="1" x14ac:dyDescent="0.2">
      <c r="A569" s="127">
        <f>SUBTOTAL(103,$B$10:B571)</f>
        <v>172</v>
      </c>
      <c r="B569" s="130">
        <v>265</v>
      </c>
      <c r="C569" s="110" t="s">
        <v>342</v>
      </c>
      <c r="D569" s="111">
        <f>IF(COUNTIF(tSIAF[Clave],"2603161|265")=0,"",SUMIF(tSIAF[Clave],"2603161|265",tSIAF[PIM]))</f>
        <v>0</v>
      </c>
      <c r="E569" s="111">
        <f>IF(COUNTIF(tSIAF[Clave],"2603161|265")=0,"",SUMIF(tSIAF[Clave],"2603161|265",tSIAF[Certificacion]))</f>
        <v>0</v>
      </c>
      <c r="F569" s="111">
        <f>IF(D569="","",D569-E569)</f>
        <v>0</v>
      </c>
      <c r="G569" s="111">
        <f>IF(COUNTIF(tSIAF[Clave],"2603161|265")=0,"",SUMIF(tSIAF[Clave],"2603161|265",tSIAF[Devengado]))</f>
        <v>0</v>
      </c>
      <c r="H569" s="111">
        <f>IF(D569="","",D569-G569)</f>
        <v>0</v>
      </c>
      <c r="I569" s="55">
        <f>IF(D569="","",IF(D569=0,0,G569/D569))</f>
        <v>0</v>
      </c>
      <c r="J569" s="222"/>
      <c r="K569" s="222" t="s">
        <v>2299</v>
      </c>
      <c r="L569" s="231">
        <f>IF(COUNTIF(tCartera[CUI],"2603161")=0,"Sin PMI",IF(INDEX(tCartera[PMI2026],MATCH("2603161",tCartera[CUI],0))="","No informado",INDEX(tCartera[PMI2026],MATCH("2603161",tCartera[CUI],0))))</f>
        <v>100000</v>
      </c>
      <c r="M569" s="231">
        <f>IF(COUNTIF(tCartera[CUI],"2603161")=0,"Sin PMI",IF(INDEX(tCartera[PMI2027],MATCH("2603161",tCartera[CUI],0))="","No informado",INDEX(tCartera[PMI2027],MATCH("2603161",tCartera[CUI],0))))</f>
        <v>0</v>
      </c>
      <c r="N569" s="231">
        <f>IF(COUNTIF(tCartera[CUI],"2603161")=0,"Sin PMI",IF(INDEX(tCartera[PMI2028],MATCH("2603161",tCartera[CUI],0))="","No informado",INDEX(tCartera[PMI2028],MATCH("2603161",tCartera[CUI],0))))</f>
        <v>0</v>
      </c>
      <c r="O569" s="231">
        <f>IF(COUNTIF(tCartera[CUI],"2603161")=0,"Sin PMI",IF(INDEX(tCartera[PMI2029],MATCH("2603161",tCartera[CUI],0))="","No informado",INDEX(tCartera[PMI2029],MATCH("2603161",tCartera[CUI],0))))</f>
        <v>500000</v>
      </c>
    </row>
    <row r="570" spans="1:15" hidden="1" x14ac:dyDescent="0.2">
      <c r="A570" s="128"/>
      <c r="B570" s="131"/>
      <c r="C570" s="110" t="s">
        <v>716</v>
      </c>
      <c r="D570" s="112"/>
      <c r="E570" s="112"/>
      <c r="F570" s="112"/>
      <c r="G570" s="112"/>
      <c r="H570" s="112"/>
      <c r="I570" s="55"/>
      <c r="J570" s="222"/>
      <c r="K570" s="222"/>
      <c r="L570" s="231"/>
      <c r="M570" s="231"/>
      <c r="N570" s="231"/>
      <c r="O570" s="231"/>
    </row>
    <row r="571" spans="1:15" hidden="1" x14ac:dyDescent="0.2">
      <c r="A571" s="129"/>
      <c r="B571" s="132"/>
      <c r="C571" s="110" t="s">
        <v>713</v>
      </c>
      <c r="D571" s="112"/>
      <c r="E571" s="112"/>
      <c r="F571" s="112"/>
      <c r="G571" s="112"/>
      <c r="H571" s="112"/>
      <c r="I571" s="55"/>
      <c r="J571" s="222"/>
      <c r="K571" s="222"/>
      <c r="L571" s="231"/>
      <c r="M571" s="231"/>
      <c r="N571" s="231"/>
      <c r="O571" s="231"/>
    </row>
    <row r="572" spans="1:15" hidden="1" x14ac:dyDescent="0.2">
      <c r="A572" s="127">
        <f>SUBTOTAL(103,$B$8:B572)</f>
        <v>172</v>
      </c>
      <c r="B572" s="130"/>
      <c r="C572" s="115">
        <v>0</v>
      </c>
      <c r="D572" s="111"/>
      <c r="E572" s="111"/>
      <c r="F572" s="111"/>
      <c r="G572" s="111"/>
      <c r="H572" s="111"/>
      <c r="I572" s="55"/>
      <c r="J572" s="222"/>
      <c r="K572" s="222"/>
      <c r="L572" s="231"/>
      <c r="M572" s="231"/>
      <c r="N572" s="231"/>
      <c r="O572" s="231"/>
    </row>
    <row r="573" spans="1:15" hidden="1" x14ac:dyDescent="0.2">
      <c r="A573" s="129"/>
      <c r="B573" s="132"/>
      <c r="C573" s="115">
        <v>0</v>
      </c>
      <c r="D573" s="111"/>
      <c r="E573" s="111"/>
      <c r="F573" s="111"/>
      <c r="G573" s="111"/>
      <c r="H573" s="111"/>
      <c r="I573" s="55"/>
      <c r="J573" s="222"/>
      <c r="K573" s="222"/>
      <c r="L573" s="231"/>
      <c r="M573" s="231"/>
      <c r="N573" s="231"/>
      <c r="O573" s="231"/>
    </row>
    <row r="574" spans="1:15" ht="38.25" x14ac:dyDescent="0.2">
      <c r="A574" s="127">
        <f>SUBTOTAL(103,$B$10:B576)</f>
        <v>173</v>
      </c>
      <c r="B574" s="130">
        <v>267</v>
      </c>
      <c r="C574" s="110" t="s">
        <v>343</v>
      </c>
      <c r="D574" s="111">
        <f>IF(COUNTIF(tSIAF[Clave],"2623878|267")=0,"",SUMIF(tSIAF[Clave],"2623878|267",tSIAF[PIM]))</f>
        <v>656461</v>
      </c>
      <c r="E574" s="111">
        <f>IF(COUNTIF(tSIAF[Clave],"2623878|267")=0,"",SUMIF(tSIAF[Clave],"2623878|267",tSIAF[Certificacion]))</f>
        <v>656461</v>
      </c>
      <c r="F574" s="111">
        <f>IF(D574="","",D574-E574)</f>
        <v>0</v>
      </c>
      <c r="G574" s="111">
        <f>IF(COUNTIF(tSIAF[Clave],"2623878|267")=0,"",SUMIF(tSIAF[Clave],"2623878|267",tSIAF[Devengado]))</f>
        <v>0</v>
      </c>
      <c r="H574" s="111">
        <f>IF(D574="","",D574-G574)</f>
        <v>656461</v>
      </c>
      <c r="I574" s="55">
        <f>IF(D574="","",IF(D574=0,0,G574/D574))</f>
        <v>0</v>
      </c>
      <c r="J574" s="222"/>
      <c r="K574" s="222" t="s">
        <v>2299</v>
      </c>
      <c r="L574" s="231">
        <f>IF(COUNTIF(tCartera[CUI],"2623878")=0,"Sin PMI",IF(INDEX(tCartera[PMI2026],MATCH("2623878",tCartera[CUI],0))="","No informado",INDEX(tCartera[PMI2026],MATCH("2623878",tCartera[CUI],0))))</f>
        <v>50000</v>
      </c>
      <c r="M574" s="231">
        <f>IF(COUNTIF(tCartera[CUI],"2623878")=0,"Sin PMI",IF(INDEX(tCartera[PMI2027],MATCH("2623878",tCartera[CUI],0))="","No informado",INDEX(tCartera[PMI2027],MATCH("2623878",tCartera[CUI],0))))</f>
        <v>7005844</v>
      </c>
      <c r="N574" s="231">
        <f>IF(COUNTIF(tCartera[CUI],"2623878")=0,"Sin PMI",IF(INDEX(tCartera[PMI2028],MATCH("2623878",tCartera[CUI],0))="","No informado",INDEX(tCartera[PMI2028],MATCH("2623878",tCartera[CUI],0))))</f>
        <v>0</v>
      </c>
      <c r="O574" s="231">
        <f>IF(COUNTIF(tCartera[CUI],"2623878")=0,"Sin PMI",IF(INDEX(tCartera[PMI2029],MATCH("2623878",tCartera[CUI],0))="","No informado",INDEX(tCartera[PMI2029],MATCH("2623878",tCartera[CUI],0))))</f>
        <v>3544143</v>
      </c>
    </row>
    <row r="575" spans="1:15" hidden="1" x14ac:dyDescent="0.2">
      <c r="A575" s="128"/>
      <c r="B575" s="131"/>
      <c r="C575" s="110" t="s">
        <v>716</v>
      </c>
      <c r="D575" s="112"/>
      <c r="E575" s="112"/>
      <c r="F575" s="112"/>
      <c r="G575" s="112"/>
      <c r="H575" s="112"/>
      <c r="I575" s="55"/>
      <c r="J575" s="222"/>
      <c r="K575" s="222"/>
      <c r="L575" s="231"/>
      <c r="M575" s="231"/>
      <c r="N575" s="231"/>
      <c r="O575" s="231"/>
    </row>
    <row r="576" spans="1:15" hidden="1" x14ac:dyDescent="0.2">
      <c r="A576" s="129"/>
      <c r="B576" s="132"/>
      <c r="C576" s="110" t="s">
        <v>713</v>
      </c>
      <c r="D576" s="112"/>
      <c r="E576" s="112"/>
      <c r="F576" s="112"/>
      <c r="G576" s="112"/>
      <c r="H576" s="112"/>
      <c r="I576" s="55"/>
      <c r="J576" s="222"/>
      <c r="K576" s="222"/>
      <c r="L576" s="231"/>
      <c r="M576" s="231"/>
      <c r="N576" s="231"/>
      <c r="O576" s="231"/>
    </row>
    <row r="577" spans="1:15" ht="38.25" x14ac:dyDescent="0.2">
      <c r="A577" s="127">
        <f>SUBTOTAL(103,$B$10:B579)</f>
        <v>174</v>
      </c>
      <c r="B577" s="130">
        <v>268</v>
      </c>
      <c r="C577" s="110" t="s">
        <v>344</v>
      </c>
      <c r="D577" s="111">
        <f>IF(COUNTIF(tSIAF[Clave],"2623879|268")=0,"",SUMIF(tSIAF[Clave],"2623879|268",tSIAF[PIM]))</f>
        <v>606461</v>
      </c>
      <c r="E577" s="111">
        <f>IF(COUNTIF(tSIAF[Clave],"2623879|268")=0,"",SUMIF(tSIAF[Clave],"2623879|268",tSIAF[Certificacion]))</f>
        <v>606460.53</v>
      </c>
      <c r="F577" s="111">
        <f>IF(D577="","",D577-E577)</f>
        <v>0.46999999997206032</v>
      </c>
      <c r="G577" s="111">
        <f>IF(COUNTIF(tSIAF[Clave],"2623879|268")=0,"",SUMIF(tSIAF[Clave],"2623879|268",tSIAF[Devengado]))</f>
        <v>0</v>
      </c>
      <c r="H577" s="111">
        <f>IF(D577="","",D577-G577)</f>
        <v>606461</v>
      </c>
      <c r="I577" s="55">
        <f>IF(D577="","",IF(D577=0,0,G577/D577))</f>
        <v>0</v>
      </c>
      <c r="J577" s="222"/>
      <c r="K577" s="222" t="s">
        <v>2299</v>
      </c>
      <c r="L577" s="231">
        <f>IF(COUNTIF(tCartera[CUI],"2623879")=0,"Sin PMI",IF(INDEX(tCartera[PMI2026],MATCH("2623879",tCartera[CUI],0))="","No informado",INDEX(tCartera[PMI2026],MATCH("2623879",tCartera[CUI],0))))</f>
        <v>706461</v>
      </c>
      <c r="M577" s="231">
        <f>IF(COUNTIF(tCartera[CUI],"2623879")=0,"Sin PMI",IF(INDEX(tCartera[PMI2027],MATCH("2623879",tCartera[CUI],0))="","No informado",INDEX(tCartera[PMI2027],MATCH("2623879",tCartera[CUI],0))))</f>
        <v>7021584</v>
      </c>
      <c r="N577" s="231">
        <f>IF(COUNTIF(tCartera[CUI],"2623879")=0,"Sin PMI",IF(INDEX(tCartera[PMI2028],MATCH("2623879",tCartera[CUI],0))="","No informado",INDEX(tCartera[PMI2028],MATCH("2623879",tCartera[CUI],0))))</f>
        <v>0</v>
      </c>
      <c r="O577" s="231">
        <f>IF(COUNTIF(tCartera[CUI],"2623879")=0,"Sin PMI",IF(INDEX(tCartera[PMI2029],MATCH("2623879",tCartera[CUI],0))="","No informado",INDEX(tCartera[PMI2029],MATCH("2623879",tCartera[CUI],0))))</f>
        <v>1000000</v>
      </c>
    </row>
    <row r="578" spans="1:15" hidden="1" x14ac:dyDescent="0.2">
      <c r="A578" s="128"/>
      <c r="B578" s="131"/>
      <c r="C578" s="110" t="s">
        <v>716</v>
      </c>
      <c r="D578" s="112"/>
      <c r="E578" s="112"/>
      <c r="F578" s="112"/>
      <c r="G578" s="112"/>
      <c r="H578" s="112"/>
      <c r="I578" s="55"/>
      <c r="J578" s="222"/>
      <c r="K578" s="222"/>
      <c r="L578" s="231"/>
      <c r="M578" s="231"/>
      <c r="N578" s="231"/>
      <c r="O578" s="231"/>
    </row>
    <row r="579" spans="1:15" hidden="1" x14ac:dyDescent="0.2">
      <c r="A579" s="129"/>
      <c r="B579" s="132"/>
      <c r="C579" s="110" t="s">
        <v>713</v>
      </c>
      <c r="D579" s="112"/>
      <c r="E579" s="112"/>
      <c r="F579" s="112"/>
      <c r="G579" s="112"/>
      <c r="H579" s="112"/>
      <c r="I579" s="55"/>
      <c r="J579" s="222"/>
      <c r="K579" s="222"/>
      <c r="L579" s="231"/>
      <c r="M579" s="231"/>
      <c r="N579" s="231"/>
      <c r="O579" s="231"/>
    </row>
    <row r="580" spans="1:15" ht="38.25" hidden="1" x14ac:dyDescent="0.2">
      <c r="A580" s="127">
        <f>SUBTOTAL(103,$B$10:B581)</f>
        <v>174</v>
      </c>
      <c r="B580" s="130">
        <v>269</v>
      </c>
      <c r="C580" s="110" t="s">
        <v>345</v>
      </c>
      <c r="D580" s="111">
        <f>IF(COUNTIF(tSIAF[Clave],"2632832|269")=0,"",SUMIF(tSIAF[Clave],"2632832|269",tSIAF[PIM]))</f>
        <v>0</v>
      </c>
      <c r="E580" s="111">
        <f>IF(COUNTIF(tSIAF[Clave],"2632832|269")=0,"",SUMIF(tSIAF[Clave],"2632832|269",tSIAF[Certificacion]))</f>
        <v>0</v>
      </c>
      <c r="F580" s="111">
        <f>IF(D580="","",D580-E580)</f>
        <v>0</v>
      </c>
      <c r="G580" s="111">
        <f>IF(COUNTIF(tSIAF[Clave],"2632832|269")=0,"",SUMIF(tSIAF[Clave],"2632832|269",tSIAF[Devengado]))</f>
        <v>0</v>
      </c>
      <c r="H580" s="111">
        <f>IF(D580="","",D580-G580)</f>
        <v>0</v>
      </c>
      <c r="I580" s="55">
        <f>IF(D580="","",IF(D580=0,0,G580/D580))</f>
        <v>0</v>
      </c>
      <c r="J580" s="222"/>
      <c r="K580" s="222" t="s">
        <v>2299</v>
      </c>
      <c r="L580" s="231">
        <f>IF(COUNTIF(tCartera[CUI],"2632832")=0,"Sin PMI",IF(INDEX(tCartera[PMI2026],MATCH("2632832",tCartera[CUI],0))="","No informado",INDEX(tCartera[PMI2026],MATCH("2632832",tCartera[CUI],0))))</f>
        <v>100000</v>
      </c>
      <c r="M580" s="231">
        <f>IF(COUNTIF(tCartera[CUI],"2632832")=0,"Sin PMI",IF(INDEX(tCartera[PMI2027],MATCH("2632832",tCartera[CUI],0))="","No informado",INDEX(tCartera[PMI2027],MATCH("2632832",tCartera[CUI],0))))</f>
        <v>0</v>
      </c>
      <c r="N580" s="231">
        <f>IF(COUNTIF(tCartera[CUI],"2632832")=0,"Sin PMI",IF(INDEX(tCartera[PMI2028],MATCH("2632832",tCartera[CUI],0))="","No informado",INDEX(tCartera[PMI2028],MATCH("2632832",tCartera[CUI],0))))</f>
        <v>0</v>
      </c>
      <c r="O580" s="231">
        <f>IF(COUNTIF(tCartera[CUI],"2632832")=0,"Sin PMI",IF(INDEX(tCartera[PMI2029],MATCH("2632832",tCartera[CUI],0))="","No informado",INDEX(tCartera[PMI2029],MATCH("2632832",tCartera[CUI],0))))</f>
        <v>1000000</v>
      </c>
    </row>
    <row r="581" spans="1:15" hidden="1" x14ac:dyDescent="0.2">
      <c r="A581" s="129"/>
      <c r="B581" s="132"/>
      <c r="C581" s="110" t="s">
        <v>716</v>
      </c>
      <c r="D581" s="112"/>
      <c r="E581" s="112"/>
      <c r="F581" s="112"/>
      <c r="G581" s="112"/>
      <c r="H581" s="112"/>
      <c r="I581" s="55"/>
      <c r="J581" s="222"/>
      <c r="K581" s="222"/>
      <c r="L581" s="231"/>
      <c r="M581" s="231"/>
      <c r="N581" s="231"/>
      <c r="O581" s="231"/>
    </row>
    <row r="582" spans="1:15" ht="38.25" x14ac:dyDescent="0.2">
      <c r="A582" s="127">
        <f>SUBTOTAL(103,$B$10:B584)</f>
        <v>175</v>
      </c>
      <c r="B582" s="130">
        <v>271</v>
      </c>
      <c r="C582" s="110" t="s">
        <v>455</v>
      </c>
      <c r="D582" s="111">
        <f>IF(COUNTIF(tSIAF[Clave],"2649778|271")=0,"",SUMIF(tSIAF[Clave],"2649778|271",tSIAF[PIM]))</f>
        <v>50000</v>
      </c>
      <c r="E582" s="111">
        <f>IF(COUNTIF(tSIAF[Clave],"2649778|271")=0,"",SUMIF(tSIAF[Clave],"2649778|271",tSIAF[Certificacion]))</f>
        <v>50000</v>
      </c>
      <c r="F582" s="111">
        <f>IF(D582="","",D582-E582)</f>
        <v>0</v>
      </c>
      <c r="G582" s="111">
        <f>IF(COUNTIF(tSIAF[Clave],"2649778|271")=0,"",SUMIF(tSIAF[Clave],"2649778|271",tSIAF[Devengado]))</f>
        <v>47929.33</v>
      </c>
      <c r="H582" s="111">
        <f>IF(D582="","",D582-G582)</f>
        <v>2070.6699999999983</v>
      </c>
      <c r="I582" s="55">
        <f>IF(D582="","",IF(D582=0,0,G582/D582))</f>
        <v>0.95858660000000007</v>
      </c>
      <c r="J582" s="222"/>
      <c r="K582" s="222" t="s">
        <v>2299</v>
      </c>
      <c r="L582" s="231">
        <f>IF(COUNTIF(tCartera[CUI],"2649778")=0,"Sin PMI",IF(INDEX(tCartera[PMI2026],MATCH("2649778",tCartera[CUI],0))="","No informado",INDEX(tCartera[PMI2026],MATCH("2649778",tCartera[CUI],0))))</f>
        <v>50000</v>
      </c>
      <c r="M582" s="231">
        <f>IF(COUNTIF(tCartera[CUI],"2649778")=0,"Sin PMI",IF(INDEX(tCartera[PMI2027],MATCH("2649778",tCartera[CUI],0))="","No informado",INDEX(tCartera[PMI2027],MATCH("2649778",tCartera[CUI],0))))</f>
        <v>1543234</v>
      </c>
      <c r="N582" s="231">
        <f>IF(COUNTIF(tCartera[CUI],"2649778")=0,"Sin PMI",IF(INDEX(tCartera[PMI2028],MATCH("2649778",tCartera[CUI],0))="","No informado",INDEX(tCartera[PMI2028],MATCH("2649778",tCartera[CUI],0))))</f>
        <v>0</v>
      </c>
      <c r="O582" s="231">
        <f>IF(COUNTIF(tCartera[CUI],"2649778")=0,"Sin PMI",IF(INDEX(tCartera[PMI2029],MATCH("2649778",tCartera[CUI],0))="","No informado",INDEX(tCartera[PMI2029],MATCH("2649778",tCartera[CUI],0))))</f>
        <v>1008002</v>
      </c>
    </row>
    <row r="583" spans="1:15" hidden="1" x14ac:dyDescent="0.2">
      <c r="A583" s="128"/>
      <c r="B583" s="131"/>
      <c r="C583" s="110" t="s">
        <v>716</v>
      </c>
      <c r="D583" s="112"/>
      <c r="E583" s="112"/>
      <c r="F583" s="112"/>
      <c r="G583" s="112"/>
      <c r="H583" s="112"/>
      <c r="I583" s="55"/>
      <c r="J583" s="222"/>
      <c r="K583" s="222"/>
      <c r="L583" s="231"/>
      <c r="M583" s="231"/>
      <c r="N583" s="231"/>
      <c r="O583" s="231"/>
    </row>
    <row r="584" spans="1:15" hidden="1" x14ac:dyDescent="0.2">
      <c r="A584" s="129"/>
      <c r="B584" s="132"/>
      <c r="C584" s="110" t="s">
        <v>713</v>
      </c>
      <c r="D584" s="112"/>
      <c r="E584" s="112"/>
      <c r="F584" s="112"/>
      <c r="G584" s="112"/>
      <c r="H584" s="112"/>
      <c r="I584" s="55"/>
      <c r="J584" s="222"/>
      <c r="K584" s="222"/>
      <c r="L584" s="231"/>
      <c r="M584" s="231"/>
      <c r="N584" s="231"/>
      <c r="O584" s="231"/>
    </row>
    <row r="585" spans="1:15" ht="38.25" hidden="1" x14ac:dyDescent="0.2">
      <c r="A585" s="127">
        <f>SUBTOTAL(103,$B$10:B587)</f>
        <v>175</v>
      </c>
      <c r="B585" s="130">
        <v>272</v>
      </c>
      <c r="C585" s="110" t="s">
        <v>523</v>
      </c>
      <c r="D585" s="111">
        <f>IF(COUNTIF(tSIAF[Clave],"2649779|272")=0,"",SUMIF(tSIAF[Clave],"2649779|272",tSIAF[PIM]))</f>
        <v>0</v>
      </c>
      <c r="E585" s="111">
        <f>IF(COUNTIF(tSIAF[Clave],"2649779|272")=0,"",SUMIF(tSIAF[Clave],"2649779|272",tSIAF[Certificacion]))</f>
        <v>0</v>
      </c>
      <c r="F585" s="111">
        <f>IF(D585="","",D585-E585)</f>
        <v>0</v>
      </c>
      <c r="G585" s="111">
        <f>IF(COUNTIF(tSIAF[Clave],"2649779|272")=0,"",SUMIF(tSIAF[Clave],"2649779|272",tSIAF[Devengado]))</f>
        <v>0</v>
      </c>
      <c r="H585" s="111">
        <f>IF(D585="","",D585-G585)</f>
        <v>0</v>
      </c>
      <c r="I585" s="55">
        <f>IF(D585="","",IF(D585=0,0,G585/D585))</f>
        <v>0</v>
      </c>
      <c r="J585" s="222"/>
      <c r="K585" s="222" t="s">
        <v>2299</v>
      </c>
      <c r="L585" s="231">
        <f>IF(COUNTIF(tCartera[CUI],"2649779")=0,"Sin PMI",IF(INDEX(tCartera[PMI2026],MATCH("2649779",tCartera[CUI],0))="","No informado",INDEX(tCartera[PMI2026],MATCH("2649779",tCartera[CUI],0))))</f>
        <v>50000</v>
      </c>
      <c r="M585" s="231">
        <f>IF(COUNTIF(tCartera[CUI],"2649779")=0,"Sin PMI",IF(INDEX(tCartera[PMI2027],MATCH("2649779",tCartera[CUI],0))="","No informado",INDEX(tCartera[PMI2027],MATCH("2649779",tCartera[CUI],0))))</f>
        <v>0</v>
      </c>
      <c r="N585" s="231">
        <f>IF(COUNTIF(tCartera[CUI],"2649779")=0,"Sin PMI",IF(INDEX(tCartera[PMI2028],MATCH("2649779",tCartera[CUI],0))="","No informado",INDEX(tCartera[PMI2028],MATCH("2649779",tCartera[CUI],0))))</f>
        <v>300000</v>
      </c>
      <c r="O585" s="231">
        <f>IF(COUNTIF(tCartera[CUI],"2649779")=0,"Sin PMI",IF(INDEX(tCartera[PMI2029],MATCH("2649779",tCartera[CUI],0))="","No informado",INDEX(tCartera[PMI2029],MATCH("2649779",tCartera[CUI],0))))</f>
        <v>2629159</v>
      </c>
    </row>
    <row r="586" spans="1:15" hidden="1" x14ac:dyDescent="0.2">
      <c r="A586" s="128"/>
      <c r="B586" s="131"/>
      <c r="C586" s="110" t="s">
        <v>716</v>
      </c>
      <c r="D586" s="112"/>
      <c r="E586" s="112"/>
      <c r="F586" s="112"/>
      <c r="G586" s="112"/>
      <c r="H586" s="112"/>
      <c r="I586" s="55"/>
      <c r="J586" s="222"/>
      <c r="K586" s="222"/>
      <c r="L586" s="231"/>
      <c r="M586" s="231"/>
      <c r="N586" s="231"/>
      <c r="O586" s="231"/>
    </row>
    <row r="587" spans="1:15" hidden="1" x14ac:dyDescent="0.2">
      <c r="A587" s="129"/>
      <c r="B587" s="132"/>
      <c r="C587" s="110" t="s">
        <v>713</v>
      </c>
      <c r="D587" s="112"/>
      <c r="E587" s="112"/>
      <c r="F587" s="112"/>
      <c r="G587" s="112"/>
      <c r="H587" s="112"/>
      <c r="I587" s="55"/>
      <c r="J587" s="222"/>
      <c r="K587" s="222"/>
      <c r="L587" s="231"/>
      <c r="M587" s="231"/>
      <c r="N587" s="231"/>
      <c r="O587" s="231"/>
    </row>
    <row r="588" spans="1:15" ht="38.25" x14ac:dyDescent="0.2">
      <c r="A588" s="127">
        <f>SUBTOTAL(103,$B$10:B590)</f>
        <v>176</v>
      </c>
      <c r="B588" s="130">
        <v>273</v>
      </c>
      <c r="C588" s="110" t="s">
        <v>452</v>
      </c>
      <c r="D588" s="111">
        <f>IF(COUNTIF(tSIAF[Clave],"2649780|273")=0,"",SUMIF(tSIAF[Clave],"2649780|273",tSIAF[PIM]))</f>
        <v>82042</v>
      </c>
      <c r="E588" s="111">
        <f>IF(COUNTIF(tSIAF[Clave],"2649780|273")=0,"",SUMIF(tSIAF[Clave],"2649780|273",tSIAF[Certificacion]))</f>
        <v>73137.02</v>
      </c>
      <c r="F588" s="111">
        <f>IF(D588="","",D588-E588)</f>
        <v>8904.9799999999959</v>
      </c>
      <c r="G588" s="111">
        <f>IF(COUNTIF(tSIAF[Clave],"2649780|273")=0,"",SUMIF(tSIAF[Clave],"2649780|273",tSIAF[Devengado]))</f>
        <v>48346.77</v>
      </c>
      <c r="H588" s="111">
        <f>IF(D588="","",D588-G588)</f>
        <v>33695.230000000003</v>
      </c>
      <c r="I588" s="55">
        <f>IF(D588="","",IF(D588=0,0,G588/D588))</f>
        <v>0.58929292313692982</v>
      </c>
      <c r="J588" s="222"/>
      <c r="K588" s="222" t="s">
        <v>2299</v>
      </c>
      <c r="L588" s="231">
        <f>IF(COUNTIF(tCartera[CUI],"2649780")=0,"Sin PMI",IF(INDEX(tCartera[PMI2026],MATCH("2649780",tCartera[CUI],0))="","No informado",INDEX(tCartera[PMI2026],MATCH("2649780",tCartera[CUI],0))))</f>
        <v>50000</v>
      </c>
      <c r="M588" s="231">
        <f>IF(COUNTIF(tCartera[CUI],"2649780")=0,"Sin PMI",IF(INDEX(tCartera[PMI2027],MATCH("2649780",tCartera[CUI],0))="","No informado",INDEX(tCartera[PMI2027],MATCH("2649780",tCartera[CUI],0))))</f>
        <v>254525</v>
      </c>
      <c r="N588" s="231">
        <f>IF(COUNTIF(tCartera[CUI],"2649780")=0,"Sin PMI",IF(INDEX(tCartera[PMI2028],MATCH("2649780",tCartera[CUI],0))="","No informado",INDEX(tCartera[PMI2028],MATCH("2649780",tCartera[CUI],0))))</f>
        <v>0</v>
      </c>
      <c r="O588" s="231">
        <f>IF(COUNTIF(tCartera[CUI],"2649780")=0,"Sin PMI",IF(INDEX(tCartera[PMI2029],MATCH("2649780",tCartera[CUI],0))="","No informado",INDEX(tCartera[PMI2029],MATCH("2649780",tCartera[CUI],0))))</f>
        <v>1345475</v>
      </c>
    </row>
    <row r="589" spans="1:15" hidden="1" x14ac:dyDescent="0.2">
      <c r="A589" s="128"/>
      <c r="B589" s="131"/>
      <c r="C589" s="110" t="s">
        <v>716</v>
      </c>
      <c r="D589" s="112"/>
      <c r="E589" s="112"/>
      <c r="F589" s="112"/>
      <c r="G589" s="112"/>
      <c r="H589" s="112"/>
      <c r="I589" s="55"/>
      <c r="J589" s="222"/>
      <c r="K589" s="222"/>
      <c r="L589" s="231"/>
      <c r="M589" s="231"/>
      <c r="N589" s="231"/>
      <c r="O589" s="231"/>
    </row>
    <row r="590" spans="1:15" hidden="1" x14ac:dyDescent="0.2">
      <c r="A590" s="129"/>
      <c r="B590" s="132"/>
      <c r="C590" s="110" t="s">
        <v>713</v>
      </c>
      <c r="D590" s="112"/>
      <c r="E590" s="112"/>
      <c r="F590" s="112"/>
      <c r="G590" s="112"/>
      <c r="H590" s="112"/>
      <c r="I590" s="55"/>
      <c r="J590" s="222"/>
      <c r="K590" s="222"/>
      <c r="L590" s="231"/>
      <c r="M590" s="231"/>
      <c r="N590" s="231"/>
      <c r="O590" s="231"/>
    </row>
    <row r="591" spans="1:15" ht="38.25" hidden="1" x14ac:dyDescent="0.2">
      <c r="A591" s="127">
        <f>SUBTOTAL(103,$B$10:B593)</f>
        <v>176</v>
      </c>
      <c r="B591" s="130">
        <v>274</v>
      </c>
      <c r="C591" s="110" t="s">
        <v>524</v>
      </c>
      <c r="D591" s="111">
        <f>IF(COUNTIF(tSIAF[Clave],"2649782|274")=0,"",SUMIF(tSIAF[Clave],"2649782|274",tSIAF[PIM]))</f>
        <v>0</v>
      </c>
      <c r="E591" s="111">
        <f>IF(COUNTIF(tSIAF[Clave],"2649782|274")=0,"",SUMIF(tSIAF[Clave],"2649782|274",tSIAF[Certificacion]))</f>
        <v>0</v>
      </c>
      <c r="F591" s="111">
        <f>IF(D591="","",D591-E591)</f>
        <v>0</v>
      </c>
      <c r="G591" s="111">
        <f>IF(COUNTIF(tSIAF[Clave],"2649782|274")=0,"",SUMIF(tSIAF[Clave],"2649782|274",tSIAF[Devengado]))</f>
        <v>0</v>
      </c>
      <c r="H591" s="111">
        <f>IF(D591="","",D591-G591)</f>
        <v>0</v>
      </c>
      <c r="I591" s="55">
        <f>IF(D591="","",IF(D591=0,0,G591/D591))</f>
        <v>0</v>
      </c>
      <c r="J591" s="222"/>
      <c r="K591" s="222" t="s">
        <v>2299</v>
      </c>
      <c r="L591" s="231">
        <f>IF(COUNTIF(tCartera[CUI],"2649782")=0,"Sin PMI",IF(INDEX(tCartera[PMI2026],MATCH("2649782",tCartera[CUI],0))="","No informado",INDEX(tCartera[PMI2026],MATCH("2649782",tCartera[CUI],0))))</f>
        <v>50000</v>
      </c>
      <c r="M591" s="231">
        <f>IF(COUNTIF(tCartera[CUI],"2649782")=0,"Sin PMI",IF(INDEX(tCartera[PMI2027],MATCH("2649782",tCartera[CUI],0))="","No informado",INDEX(tCartera[PMI2027],MATCH("2649782",tCartera[CUI],0))))</f>
        <v>0</v>
      </c>
      <c r="N591" s="231">
        <f>IF(COUNTIF(tCartera[CUI],"2649782")=0,"Sin PMI",IF(INDEX(tCartera[PMI2028],MATCH("2649782",tCartera[CUI],0))="","No informado",INDEX(tCartera[PMI2028],MATCH("2649782",tCartera[CUI],0))))</f>
        <v>0</v>
      </c>
      <c r="O591" s="231">
        <f>IF(COUNTIF(tCartera[CUI],"2649782")=0,"Sin PMI",IF(INDEX(tCartera[PMI2029],MATCH("2649782",tCartera[CUI],0))="","No informado",INDEX(tCartera[PMI2029],MATCH("2649782",tCartera[CUI],0))))</f>
        <v>150000</v>
      </c>
    </row>
    <row r="592" spans="1:15" hidden="1" x14ac:dyDescent="0.2">
      <c r="A592" s="128"/>
      <c r="B592" s="131"/>
      <c r="C592" s="110" t="s">
        <v>716</v>
      </c>
      <c r="D592" s="112"/>
      <c r="E592" s="112"/>
      <c r="F592" s="112"/>
      <c r="G592" s="112"/>
      <c r="H592" s="112"/>
      <c r="I592" s="55"/>
      <c r="J592" s="222"/>
      <c r="K592" s="222"/>
      <c r="L592" s="231"/>
      <c r="M592" s="231"/>
      <c r="N592" s="231"/>
      <c r="O592" s="231"/>
    </row>
    <row r="593" spans="1:15" hidden="1" x14ac:dyDescent="0.2">
      <c r="A593" s="129"/>
      <c r="B593" s="132"/>
      <c r="C593" s="110" t="s">
        <v>713</v>
      </c>
      <c r="D593" s="112"/>
      <c r="E593" s="112"/>
      <c r="F593" s="112"/>
      <c r="G593" s="112"/>
      <c r="H593" s="112"/>
      <c r="I593" s="55"/>
      <c r="J593" s="222"/>
      <c r="K593" s="222"/>
      <c r="L593" s="231"/>
      <c r="M593" s="231"/>
      <c r="N593" s="231"/>
      <c r="O593" s="231"/>
    </row>
    <row r="594" spans="1:15" ht="38.25" x14ac:dyDescent="0.2">
      <c r="A594" s="127">
        <f>SUBTOTAL(103,$B$10:B596)</f>
        <v>177</v>
      </c>
      <c r="B594" s="130">
        <v>275</v>
      </c>
      <c r="C594" s="110" t="s">
        <v>454</v>
      </c>
      <c r="D594" s="111">
        <f>IF(COUNTIF(tSIAF[Clave],"2649786|275")=0,"",SUMIF(tSIAF[Clave],"2649786|275",tSIAF[PIM]))</f>
        <v>72190</v>
      </c>
      <c r="E594" s="111">
        <f>IF(COUNTIF(tSIAF[Clave],"2649786|275")=0,"",SUMIF(tSIAF[Clave],"2649786|275",tSIAF[Certificacion]))</f>
        <v>62384.34</v>
      </c>
      <c r="F594" s="111">
        <f>IF(D594="","",D594-E594)</f>
        <v>9805.6600000000035</v>
      </c>
      <c r="G594" s="111">
        <f>IF(COUNTIF(tSIAF[Clave],"2649786|275")=0,"",SUMIF(tSIAF[Clave],"2649786|275",tSIAF[Devengado]))</f>
        <v>59404.06</v>
      </c>
      <c r="H594" s="111">
        <f>IF(D594="","",D594-G594)</f>
        <v>12785.940000000002</v>
      </c>
      <c r="I594" s="55">
        <f>IF(D594="","",IF(D594=0,0,G594/D594))</f>
        <v>0.82288488710347696</v>
      </c>
      <c r="J594" s="222"/>
      <c r="K594" s="222" t="s">
        <v>2299</v>
      </c>
      <c r="L594" s="231">
        <f>IF(COUNTIF(tCartera[CUI],"2649786")=0,"Sin PMI",IF(INDEX(tCartera[PMI2026],MATCH("2649786",tCartera[CUI],0))="","No informado",INDEX(tCartera[PMI2026],MATCH("2649786",tCartera[CUI],0))))</f>
        <v>50000</v>
      </c>
      <c r="M594" s="231">
        <f>IF(COUNTIF(tCartera[CUI],"2649786")=0,"Sin PMI",IF(INDEX(tCartera[PMI2027],MATCH("2649786",tCartera[CUI],0))="","No informado",INDEX(tCartera[PMI2027],MATCH("2649786",tCartera[CUI],0))))</f>
        <v>0</v>
      </c>
      <c r="N594" s="231">
        <f>IF(COUNTIF(tCartera[CUI],"2649786")=0,"Sin PMI",IF(INDEX(tCartera[PMI2028],MATCH("2649786",tCartera[CUI],0))="","No informado",INDEX(tCartera[PMI2028],MATCH("2649786",tCartera[CUI],0))))</f>
        <v>0</v>
      </c>
      <c r="O594" s="231">
        <f>IF(COUNTIF(tCartera[CUI],"2649786")=0,"Sin PMI",IF(INDEX(tCartera[PMI2029],MATCH("2649786",tCartera[CUI],0))="","No informado",INDEX(tCartera[PMI2029],MATCH("2649786",tCartera[CUI],0))))</f>
        <v>2707132</v>
      </c>
    </row>
    <row r="595" spans="1:15" hidden="1" x14ac:dyDescent="0.2">
      <c r="A595" s="128"/>
      <c r="B595" s="131"/>
      <c r="C595" s="110" t="s">
        <v>716</v>
      </c>
      <c r="D595" s="112"/>
      <c r="E595" s="112"/>
      <c r="F595" s="112"/>
      <c r="G595" s="112"/>
      <c r="H595" s="112"/>
      <c r="I595" s="55"/>
      <c r="J595" s="222"/>
      <c r="K595" s="222"/>
      <c r="L595" s="231"/>
      <c r="M595" s="231"/>
      <c r="N595" s="231"/>
      <c r="O595" s="231"/>
    </row>
    <row r="596" spans="1:15" hidden="1" x14ac:dyDescent="0.2">
      <c r="A596" s="129"/>
      <c r="B596" s="132"/>
      <c r="C596" s="110" t="s">
        <v>713</v>
      </c>
      <c r="D596" s="112"/>
      <c r="E596" s="112"/>
      <c r="F596" s="112"/>
      <c r="G596" s="112"/>
      <c r="H596" s="112"/>
      <c r="I596" s="55"/>
      <c r="J596" s="222"/>
      <c r="K596" s="222"/>
      <c r="L596" s="231"/>
      <c r="M596" s="231"/>
      <c r="N596" s="231"/>
      <c r="O596" s="231"/>
    </row>
    <row r="597" spans="1:15" ht="38.25" x14ac:dyDescent="0.2">
      <c r="A597" s="127">
        <f>SUBTOTAL(103,$B$10:B599)</f>
        <v>178</v>
      </c>
      <c r="B597" s="130">
        <v>276</v>
      </c>
      <c r="C597" s="110" t="s">
        <v>453</v>
      </c>
      <c r="D597" s="111">
        <f>IF(COUNTIF(tSIAF[Clave],"2649788|276")=0,"",SUMIF(tSIAF[Clave],"2649788|276",tSIAF[PIM]))</f>
        <v>69837</v>
      </c>
      <c r="E597" s="111">
        <f>IF(COUNTIF(tSIAF[Clave],"2649788|276")=0,"",SUMIF(tSIAF[Clave],"2649788|276",tSIAF[Certificacion]))</f>
        <v>50000</v>
      </c>
      <c r="F597" s="111">
        <f>IF(D597="","",D597-E597)</f>
        <v>19837</v>
      </c>
      <c r="G597" s="111">
        <f>IF(COUNTIF(tSIAF[Clave],"2649788|276")=0,"",SUMIF(tSIAF[Clave],"2649788|276",tSIAF[Devengado]))</f>
        <v>24166.33</v>
      </c>
      <c r="H597" s="111">
        <f>IF(D597="","",D597-G597)</f>
        <v>45670.67</v>
      </c>
      <c r="I597" s="55">
        <f>IF(D597="","",IF(D597=0,0,G597/D597))</f>
        <v>0.34603906238813237</v>
      </c>
      <c r="J597" s="222"/>
      <c r="K597" s="222" t="s">
        <v>2299</v>
      </c>
      <c r="L597" s="231">
        <f>IF(COUNTIF(tCartera[CUI],"2649788")=0,"Sin PMI",IF(INDEX(tCartera[PMI2026],MATCH("2649788",tCartera[CUI],0))="","No informado",INDEX(tCartera[PMI2026],MATCH("2649788",tCartera[CUI],0))))</f>
        <v>50000</v>
      </c>
      <c r="M597" s="231">
        <f>IF(COUNTIF(tCartera[CUI],"2649788")=0,"Sin PMI",IF(INDEX(tCartera[PMI2027],MATCH("2649788",tCartera[CUI],0))="","No informado",INDEX(tCartera[PMI2027],MATCH("2649788",tCartera[CUI],0))))</f>
        <v>1543466</v>
      </c>
      <c r="N597" s="231">
        <f>IF(COUNTIF(tCartera[CUI],"2649788")=0,"Sin PMI",IF(INDEX(tCartera[PMI2028],MATCH("2649788",tCartera[CUI],0))="","No informado",INDEX(tCartera[PMI2028],MATCH("2649788",tCartera[CUI],0))))</f>
        <v>0</v>
      </c>
      <c r="O597" s="231">
        <f>IF(COUNTIF(tCartera[CUI],"2649788")=0,"Sin PMI",IF(INDEX(tCartera[PMI2029],MATCH("2649788",tCartera[CUI],0))="","No informado",INDEX(tCartera[PMI2029],MATCH("2649788",tCartera[CUI],0))))</f>
        <v>500000</v>
      </c>
    </row>
    <row r="598" spans="1:15" hidden="1" x14ac:dyDescent="0.2">
      <c r="A598" s="128"/>
      <c r="B598" s="131"/>
      <c r="C598" s="110" t="s">
        <v>716</v>
      </c>
      <c r="D598" s="112"/>
      <c r="E598" s="112"/>
      <c r="F598" s="112"/>
      <c r="G598" s="112"/>
      <c r="H598" s="112"/>
      <c r="I598" s="55"/>
      <c r="J598" s="222"/>
      <c r="K598" s="222"/>
      <c r="L598" s="231"/>
      <c r="M598" s="231"/>
      <c r="N598" s="231"/>
      <c r="O598" s="231"/>
    </row>
    <row r="599" spans="1:15" hidden="1" x14ac:dyDescent="0.2">
      <c r="A599" s="129"/>
      <c r="B599" s="132"/>
      <c r="C599" s="110" t="s">
        <v>713</v>
      </c>
      <c r="D599" s="112"/>
      <c r="E599" s="112"/>
      <c r="F599" s="112"/>
      <c r="G599" s="112"/>
      <c r="H599" s="112"/>
      <c r="I599" s="55"/>
      <c r="J599" s="222"/>
      <c r="K599" s="222"/>
      <c r="L599" s="231"/>
      <c r="M599" s="231"/>
      <c r="N599" s="231"/>
      <c r="O599" s="231"/>
    </row>
    <row r="600" spans="1:15" ht="38.25" x14ac:dyDescent="0.2">
      <c r="A600" s="127">
        <f>SUBTOTAL(103,$B$10:B602)</f>
        <v>179</v>
      </c>
      <c r="B600" s="130">
        <v>277</v>
      </c>
      <c r="C600" s="110" t="s">
        <v>451</v>
      </c>
      <c r="D600" s="111">
        <f>IF(COUNTIF(tSIAF[Clave],"2649789|277")=0,"",SUMIF(tSIAF[Clave],"2649789|277",tSIAF[PIM]))</f>
        <v>50000</v>
      </c>
      <c r="E600" s="111">
        <f>IF(COUNTIF(tSIAF[Clave],"2649789|277")=0,"",SUMIF(tSIAF[Clave],"2649789|277",tSIAF[Certificacion]))</f>
        <v>50000</v>
      </c>
      <c r="F600" s="111">
        <f>IF(D600="","",D600-E600)</f>
        <v>0</v>
      </c>
      <c r="G600" s="111">
        <f>IF(COUNTIF(tSIAF[Clave],"2649789|277")=0,"",SUMIF(tSIAF[Clave],"2649789|277",tSIAF[Devengado]))</f>
        <v>48541.71</v>
      </c>
      <c r="H600" s="111">
        <f>IF(D600="","",D600-G600)</f>
        <v>1458.2900000000009</v>
      </c>
      <c r="I600" s="55">
        <f>IF(D600="","",IF(D600=0,0,G600/D600))</f>
        <v>0.97083419999999998</v>
      </c>
      <c r="J600" s="222"/>
      <c r="K600" s="222" t="s">
        <v>2299</v>
      </c>
      <c r="L600" s="231">
        <f>IF(COUNTIF(tCartera[CUI],"2649789")=0,"Sin PMI",IF(INDEX(tCartera[PMI2026],MATCH("2649789",tCartera[CUI],0))="","No informado",INDEX(tCartera[PMI2026],MATCH("2649789",tCartera[CUI],0))))</f>
        <v>50000</v>
      </c>
      <c r="M600" s="231">
        <f>IF(COUNTIF(tCartera[CUI],"2649789")=0,"Sin PMI",IF(INDEX(tCartera[PMI2027],MATCH("2649789",tCartera[CUI],0))="","No informado",INDEX(tCartera[PMI2027],MATCH("2649789",tCartera[CUI],0))))</f>
        <v>1525657</v>
      </c>
      <c r="N600" s="231">
        <f>IF(COUNTIF(tCartera[CUI],"2649789")=0,"Sin PMI",IF(INDEX(tCartera[PMI2028],MATCH("2649789",tCartera[CUI],0))="","No informado",INDEX(tCartera[PMI2028],MATCH("2649789",tCartera[CUI],0))))</f>
        <v>0</v>
      </c>
      <c r="O600" s="231">
        <f>IF(COUNTIF(tCartera[CUI],"2649789")=0,"Sin PMI",IF(INDEX(tCartera[PMI2029],MATCH("2649789",tCartera[CUI],0))="","No informado",INDEX(tCartera[PMI2029],MATCH("2649789",tCartera[CUI],0))))</f>
        <v>1145070</v>
      </c>
    </row>
    <row r="601" spans="1:15" hidden="1" x14ac:dyDescent="0.2">
      <c r="A601" s="128"/>
      <c r="B601" s="131"/>
      <c r="C601" s="110" t="s">
        <v>716</v>
      </c>
      <c r="D601" s="112"/>
      <c r="E601" s="112"/>
      <c r="F601" s="112"/>
      <c r="G601" s="112"/>
      <c r="H601" s="112"/>
      <c r="I601" s="55"/>
      <c r="J601" s="222"/>
      <c r="K601" s="222"/>
      <c r="L601" s="231"/>
      <c r="M601" s="231"/>
      <c r="N601" s="231"/>
      <c r="O601" s="231"/>
    </row>
    <row r="602" spans="1:15" hidden="1" x14ac:dyDescent="0.2">
      <c r="A602" s="129"/>
      <c r="B602" s="132"/>
      <c r="C602" s="110" t="s">
        <v>713</v>
      </c>
      <c r="D602" s="112"/>
      <c r="E602" s="112"/>
      <c r="F602" s="112"/>
      <c r="G602" s="112"/>
      <c r="H602" s="112"/>
      <c r="I602" s="55"/>
      <c r="J602" s="222"/>
      <c r="K602" s="222"/>
      <c r="L602" s="231"/>
      <c r="M602" s="231"/>
      <c r="N602" s="231"/>
      <c r="O602" s="231"/>
    </row>
    <row r="603" spans="1:15" ht="38.25" x14ac:dyDescent="0.2">
      <c r="A603" s="127">
        <f>SUBTOTAL(103,$B$10:B605)</f>
        <v>180</v>
      </c>
      <c r="B603" s="130">
        <v>278</v>
      </c>
      <c r="C603" s="110" t="s">
        <v>499</v>
      </c>
      <c r="D603" s="111">
        <f>IF(COUNTIF(tSIAF[Clave],"2649790|278")=0,"",SUMIF(tSIAF[Clave],"2649790|278",tSIAF[PIM]))</f>
        <v>304060</v>
      </c>
      <c r="E603" s="111">
        <f>IF(COUNTIF(tSIAF[Clave],"2649790|278")=0,"",SUMIF(tSIAF[Clave],"2649790|278",tSIAF[Certificacion]))</f>
        <v>291997.5</v>
      </c>
      <c r="F603" s="111">
        <f>IF(D603="","",D603-E603)</f>
        <v>12062.5</v>
      </c>
      <c r="G603" s="111">
        <f>IF(COUNTIF(tSIAF[Clave],"2649790|278")=0,"",SUMIF(tSIAF[Clave],"2649790|278",tSIAF[Devengado]))</f>
        <v>267446.90999999997</v>
      </c>
      <c r="H603" s="111">
        <f>IF(D603="","",D603-G603)</f>
        <v>36613.090000000026</v>
      </c>
      <c r="I603" s="55">
        <f>IF(D603="","",IF(D603=0,0,G603/D603))</f>
        <v>0.87958596987436677</v>
      </c>
      <c r="J603" s="222"/>
      <c r="K603" s="222" t="s">
        <v>2299</v>
      </c>
      <c r="L603" s="231">
        <f>IF(COUNTIF(tCartera[CUI],"2649790")=0,"Sin PMI",IF(INDEX(tCartera[PMI2026],MATCH("2649790",tCartera[CUI],0))="","No informado",INDEX(tCartera[PMI2026],MATCH("2649790",tCartera[CUI],0))))</f>
        <v>50000</v>
      </c>
      <c r="M603" s="231">
        <f>IF(COUNTIF(tCartera[CUI],"2649790")=0,"Sin PMI",IF(INDEX(tCartera[PMI2027],MATCH("2649790",tCartera[CUI],0))="","No informado",INDEX(tCartera[PMI2027],MATCH("2649790",tCartera[CUI],0))))</f>
        <v>0</v>
      </c>
      <c r="N603" s="231">
        <f>IF(COUNTIF(tCartera[CUI],"2649790")=0,"Sin PMI",IF(INDEX(tCartera[PMI2028],MATCH("2649790",tCartera[CUI],0))="","No informado",INDEX(tCartera[PMI2028],MATCH("2649790",tCartera[CUI],0))))</f>
        <v>0</v>
      </c>
      <c r="O603" s="231">
        <f>IF(COUNTIF(tCartera[CUI],"2649790")=0,"Sin PMI",IF(INDEX(tCartera[PMI2029],MATCH("2649790",tCartera[CUI],0))="","No informado",INDEX(tCartera[PMI2029],MATCH("2649790",tCartera[CUI],0))))</f>
        <v>1809535</v>
      </c>
    </row>
    <row r="604" spans="1:15" hidden="1" x14ac:dyDescent="0.2">
      <c r="A604" s="128"/>
      <c r="B604" s="131"/>
      <c r="C604" s="110" t="s">
        <v>716</v>
      </c>
      <c r="D604" s="112"/>
      <c r="E604" s="112"/>
      <c r="F604" s="112"/>
      <c r="G604" s="112"/>
      <c r="H604" s="112"/>
      <c r="I604" s="55"/>
      <c r="J604" s="222"/>
      <c r="K604" s="222"/>
      <c r="L604" s="231"/>
      <c r="M604" s="231"/>
      <c r="N604" s="231"/>
      <c r="O604" s="231"/>
    </row>
    <row r="605" spans="1:15" hidden="1" x14ac:dyDescent="0.2">
      <c r="A605" s="129"/>
      <c r="B605" s="132"/>
      <c r="C605" s="110" t="s">
        <v>713</v>
      </c>
      <c r="D605" s="112"/>
      <c r="E605" s="112"/>
      <c r="F605" s="112"/>
      <c r="G605" s="112"/>
      <c r="H605" s="112"/>
      <c r="I605" s="55"/>
      <c r="J605" s="222"/>
      <c r="K605" s="222"/>
      <c r="L605" s="231"/>
      <c r="M605" s="231"/>
      <c r="N605" s="231"/>
      <c r="O605" s="231"/>
    </row>
    <row r="606" spans="1:15" ht="38.25" hidden="1" x14ac:dyDescent="0.2">
      <c r="A606" s="127">
        <f>SUBTOTAL(103,$B$10:B608)</f>
        <v>180</v>
      </c>
      <c r="B606" s="130">
        <v>279</v>
      </c>
      <c r="C606" s="110" t="s">
        <v>525</v>
      </c>
      <c r="D606" s="111">
        <f>IF(COUNTIF(tSIAF[Clave],"2649793|279")=0,"",SUMIF(tSIAF[Clave],"2649793|279",tSIAF[PIM]))</f>
        <v>0</v>
      </c>
      <c r="E606" s="111">
        <f>IF(COUNTIF(tSIAF[Clave],"2649793|279")=0,"",SUMIF(tSIAF[Clave],"2649793|279",tSIAF[Certificacion]))</f>
        <v>0</v>
      </c>
      <c r="F606" s="111">
        <f>IF(D606="","",D606-E606)</f>
        <v>0</v>
      </c>
      <c r="G606" s="111">
        <f>IF(COUNTIF(tSIAF[Clave],"2649793|279")=0,"",SUMIF(tSIAF[Clave],"2649793|279",tSIAF[Devengado]))</f>
        <v>0</v>
      </c>
      <c r="H606" s="111">
        <f>IF(D606="","",D606-G606)</f>
        <v>0</v>
      </c>
      <c r="I606" s="55">
        <f>IF(D606="","",IF(D606=0,0,G606/D606))</f>
        <v>0</v>
      </c>
      <c r="J606" s="222"/>
      <c r="K606" s="222" t="s">
        <v>2299</v>
      </c>
      <c r="L606" s="231">
        <f>IF(COUNTIF(tCartera[CUI],"2649793")=0,"Sin PMI",IF(INDEX(tCartera[PMI2026],MATCH("2649793",tCartera[CUI],0))="","No informado",INDEX(tCartera[PMI2026],MATCH("2649793",tCartera[CUI],0))))</f>
        <v>50000</v>
      </c>
      <c r="M606" s="231">
        <f>IF(COUNTIF(tCartera[CUI],"2649793")=0,"Sin PMI",IF(INDEX(tCartera[PMI2027],MATCH("2649793",tCartera[CUI],0))="","No informado",INDEX(tCartera[PMI2027],MATCH("2649793",tCartera[CUI],0))))</f>
        <v>0</v>
      </c>
      <c r="N606" s="231">
        <f>IF(COUNTIF(tCartera[CUI],"2649793")=0,"Sin PMI",IF(INDEX(tCartera[PMI2028],MATCH("2649793",tCartera[CUI],0))="","No informado",INDEX(tCartera[PMI2028],MATCH("2649793",tCartera[CUI],0))))</f>
        <v>0</v>
      </c>
      <c r="O606" s="231">
        <f>IF(COUNTIF(tCartera[CUI],"2649793")=0,"Sin PMI",IF(INDEX(tCartera[PMI2029],MATCH("2649793",tCartera[CUI],0))="","No informado",INDEX(tCartera[PMI2029],MATCH("2649793",tCartera[CUI],0))))</f>
        <v>600000</v>
      </c>
    </row>
    <row r="607" spans="1:15" hidden="1" x14ac:dyDescent="0.2">
      <c r="A607" s="128"/>
      <c r="B607" s="131"/>
      <c r="C607" s="110" t="s">
        <v>716</v>
      </c>
      <c r="D607" s="112"/>
      <c r="E607" s="112"/>
      <c r="F607" s="112"/>
      <c r="G607" s="112"/>
      <c r="H607" s="112"/>
      <c r="I607" s="55"/>
      <c r="J607" s="222"/>
      <c r="K607" s="222"/>
      <c r="L607" s="231"/>
      <c r="M607" s="231"/>
      <c r="N607" s="231"/>
      <c r="O607" s="231"/>
    </row>
    <row r="608" spans="1:15" hidden="1" x14ac:dyDescent="0.2">
      <c r="A608" s="129"/>
      <c r="B608" s="132"/>
      <c r="C608" s="110" t="s">
        <v>713</v>
      </c>
      <c r="D608" s="112"/>
      <c r="E608" s="112"/>
      <c r="F608" s="112"/>
      <c r="G608" s="112"/>
      <c r="H608" s="112"/>
      <c r="I608" s="55"/>
      <c r="J608" s="222"/>
      <c r="K608" s="222"/>
      <c r="L608" s="231"/>
      <c r="M608" s="231"/>
      <c r="N608" s="231"/>
      <c r="O608" s="231"/>
    </row>
    <row r="609" spans="1:15" ht="38.25" hidden="1" x14ac:dyDescent="0.2">
      <c r="A609" s="127">
        <f>SUBTOTAL(103,$B$10:B610)</f>
        <v>180</v>
      </c>
      <c r="B609" s="130">
        <v>280</v>
      </c>
      <c r="C609" s="110" t="s">
        <v>526</v>
      </c>
      <c r="D609" s="111">
        <f>IF(COUNTIF(tSIAF[Clave],"2649794|280")=0,"",SUMIF(tSIAF[Clave],"2649794|280",tSIAF[PIM]))</f>
        <v>0</v>
      </c>
      <c r="E609" s="111">
        <f>IF(COUNTIF(tSIAF[Clave],"2649794|280")=0,"",SUMIF(tSIAF[Clave],"2649794|280",tSIAF[Certificacion]))</f>
        <v>0</v>
      </c>
      <c r="F609" s="111">
        <f>IF(D609="","",D609-E609)</f>
        <v>0</v>
      </c>
      <c r="G609" s="111">
        <f>IF(COUNTIF(tSIAF[Clave],"2649794|280")=0,"",SUMIF(tSIAF[Clave],"2649794|280",tSIAF[Devengado]))</f>
        <v>0</v>
      </c>
      <c r="H609" s="111">
        <f>IF(D609="","",D609-G609)</f>
        <v>0</v>
      </c>
      <c r="I609" s="55">
        <f>IF(D609="","",IF(D609=0,0,G609/D609))</f>
        <v>0</v>
      </c>
      <c r="J609" s="222"/>
      <c r="K609" s="222" t="s">
        <v>2299</v>
      </c>
      <c r="L609" s="231">
        <f>IF(COUNTIF(tCartera[CUI],"2649794")=0,"Sin PMI",IF(INDEX(tCartera[PMI2026],MATCH("2649794",tCartera[CUI],0))="","No informado",INDEX(tCartera[PMI2026],MATCH("2649794",tCartera[CUI],0))))</f>
        <v>50000</v>
      </c>
      <c r="M609" s="231">
        <f>IF(COUNTIF(tCartera[CUI],"2649794")=0,"Sin PMI",IF(INDEX(tCartera[PMI2027],MATCH("2649794",tCartera[CUI],0))="","No informado",INDEX(tCartera[PMI2027],MATCH("2649794",tCartera[CUI],0))))</f>
        <v>0</v>
      </c>
      <c r="N609" s="231">
        <f>IF(COUNTIF(tCartera[CUI],"2649794")=0,"Sin PMI",IF(INDEX(tCartera[PMI2028],MATCH("2649794",tCartera[CUI],0))="","No informado",INDEX(tCartera[PMI2028],MATCH("2649794",tCartera[CUI],0))))</f>
        <v>0</v>
      </c>
      <c r="O609" s="231">
        <f>IF(COUNTIF(tCartera[CUI],"2649794")=0,"Sin PMI",IF(INDEX(tCartera[PMI2029],MATCH("2649794",tCartera[CUI],0))="","No informado",INDEX(tCartera[PMI2029],MATCH("2649794",tCartera[CUI],0))))</f>
        <v>120000</v>
      </c>
    </row>
    <row r="610" spans="1:15" hidden="1" x14ac:dyDescent="0.2">
      <c r="A610" s="128"/>
      <c r="B610" s="131"/>
      <c r="C610" s="110" t="s">
        <v>714</v>
      </c>
      <c r="D610" s="112"/>
      <c r="E610" s="112"/>
      <c r="F610" s="112"/>
      <c r="G610" s="112"/>
      <c r="H610" s="112"/>
      <c r="I610" s="55"/>
      <c r="J610" s="222"/>
      <c r="K610" s="222"/>
      <c r="L610" s="231"/>
      <c r="M610" s="231"/>
      <c r="N610" s="231"/>
      <c r="O610" s="231"/>
    </row>
    <row r="611" spans="1:15" ht="38.25" x14ac:dyDescent="0.2">
      <c r="A611" s="127">
        <f>SUBTOTAL(103,$B$10:B613)</f>
        <v>181</v>
      </c>
      <c r="B611" s="130">
        <v>283</v>
      </c>
      <c r="C611" s="110" t="s">
        <v>498</v>
      </c>
      <c r="D611" s="111">
        <f>IF(COUNTIF(tSIAF[Clave],"2658003|283")=0,"",SUMIF(tSIAF[Clave],"2658003|283",tSIAF[PIM]))</f>
        <v>340317</v>
      </c>
      <c r="E611" s="111">
        <f>IF(COUNTIF(tSIAF[Clave],"2658003|283")=0,"",SUMIF(tSIAF[Clave],"2658003|283",tSIAF[Certificacion]))</f>
        <v>335271.5</v>
      </c>
      <c r="F611" s="111">
        <f>IF(D611="","",D611-E611)</f>
        <v>5045.5</v>
      </c>
      <c r="G611" s="111">
        <f>IF(COUNTIF(tSIAF[Clave],"2658003|283")=0,"",SUMIF(tSIAF[Clave],"2658003|283",tSIAF[Devengado]))</f>
        <v>228699.2</v>
      </c>
      <c r="H611" s="111">
        <f>IF(D611="","",D611-G611)</f>
        <v>111617.79999999999</v>
      </c>
      <c r="I611" s="55">
        <f>IF(D611="","",IF(D611=0,0,G611/D611))</f>
        <v>0.67201814778574098</v>
      </c>
      <c r="J611" s="222"/>
      <c r="K611" s="222" t="s">
        <v>2299</v>
      </c>
      <c r="L611" s="231">
        <f>IF(COUNTIF(tCartera[CUI],"2658003")=0,"Sin PMI",IF(INDEX(tCartera[PMI2026],MATCH("2658003",tCartera[CUI],0))="","No informado",INDEX(tCartera[PMI2026],MATCH("2658003",tCartera[CUI],0))))</f>
        <v>50000</v>
      </c>
      <c r="M611" s="231">
        <f>IF(COUNTIF(tCartera[CUI],"2658003")=0,"Sin PMI",IF(INDEX(tCartera[PMI2027],MATCH("2658003",tCartera[CUI],0))="","No informado",INDEX(tCartera[PMI2027],MATCH("2658003",tCartera[CUI],0))))</f>
        <v>0</v>
      </c>
      <c r="N611" s="231">
        <f>IF(COUNTIF(tCartera[CUI],"2658003")=0,"Sin PMI",IF(INDEX(tCartera[PMI2028],MATCH("2658003",tCartera[CUI],0))="","No informado",INDEX(tCartera[PMI2028],MATCH("2658003",tCartera[CUI],0))))</f>
        <v>0</v>
      </c>
      <c r="O611" s="231">
        <f>IF(COUNTIF(tCartera[CUI],"2658003")=0,"Sin PMI",IF(INDEX(tCartera[PMI2029],MATCH("2658003",tCartera[CUI],0))="","No informado",INDEX(tCartera[PMI2029],MATCH("2658003",tCartera[CUI],0))))</f>
        <v>1523839</v>
      </c>
    </row>
    <row r="612" spans="1:15" hidden="1" x14ac:dyDescent="0.2">
      <c r="A612" s="128"/>
      <c r="B612" s="131"/>
      <c r="C612" s="110" t="s">
        <v>716</v>
      </c>
      <c r="D612" s="112"/>
      <c r="E612" s="112"/>
      <c r="F612" s="112"/>
      <c r="G612" s="112"/>
      <c r="H612" s="112"/>
      <c r="I612" s="55"/>
      <c r="J612" s="222"/>
      <c r="K612" s="222"/>
      <c r="L612" s="231"/>
      <c r="M612" s="231"/>
      <c r="N612" s="231"/>
      <c r="O612" s="231"/>
    </row>
    <row r="613" spans="1:15" hidden="1" x14ac:dyDescent="0.2">
      <c r="A613" s="129"/>
      <c r="B613" s="132"/>
      <c r="C613" s="110" t="s">
        <v>713</v>
      </c>
      <c r="D613" s="112"/>
      <c r="E613" s="112"/>
      <c r="F613" s="112"/>
      <c r="G613" s="112"/>
      <c r="H613" s="112"/>
      <c r="I613" s="55"/>
      <c r="J613" s="222"/>
      <c r="K613" s="222"/>
      <c r="L613" s="231"/>
      <c r="M613" s="231"/>
      <c r="N613" s="231"/>
      <c r="O613" s="231"/>
    </row>
    <row r="614" spans="1:15" ht="38.25" hidden="1" x14ac:dyDescent="0.2">
      <c r="A614" s="127">
        <f>SUBTOTAL(103,$B$10:B616)</f>
        <v>181</v>
      </c>
      <c r="B614" s="130">
        <v>284</v>
      </c>
      <c r="C614" s="110" t="s">
        <v>498</v>
      </c>
      <c r="D614" s="111"/>
      <c r="E614" s="111"/>
      <c r="F614" s="111"/>
      <c r="G614" s="111"/>
      <c r="H614" s="111"/>
      <c r="I614" s="55"/>
      <c r="J614" s="222"/>
      <c r="K614" s="222"/>
      <c r="L614" s="231"/>
      <c r="M614" s="231"/>
      <c r="N614" s="231"/>
      <c r="O614" s="231"/>
    </row>
    <row r="615" spans="1:15" hidden="1" x14ac:dyDescent="0.2">
      <c r="A615" s="128"/>
      <c r="B615" s="131"/>
      <c r="C615" s="110" t="s">
        <v>716</v>
      </c>
      <c r="D615" s="112"/>
      <c r="E615" s="112"/>
      <c r="F615" s="112"/>
      <c r="G615" s="112"/>
      <c r="H615" s="112"/>
      <c r="I615" s="55"/>
      <c r="J615" s="222"/>
      <c r="K615" s="222"/>
      <c r="L615" s="231"/>
      <c r="M615" s="231"/>
      <c r="N615" s="231"/>
      <c r="O615" s="231"/>
    </row>
    <row r="616" spans="1:15" hidden="1" x14ac:dyDescent="0.2">
      <c r="A616" s="129"/>
      <c r="B616" s="132"/>
      <c r="C616" s="110" t="s">
        <v>713</v>
      </c>
      <c r="D616" s="112"/>
      <c r="E616" s="112"/>
      <c r="F616" s="112"/>
      <c r="G616" s="112"/>
      <c r="H616" s="112"/>
      <c r="I616" s="55"/>
      <c r="J616" s="222"/>
      <c r="K616" s="222"/>
      <c r="L616" s="231"/>
      <c r="M616" s="231"/>
      <c r="N616" s="231"/>
      <c r="O616" s="231"/>
    </row>
    <row r="617" spans="1:15" ht="16.5" x14ac:dyDescent="0.2">
      <c r="A617" s="126" t="s">
        <v>610</v>
      </c>
      <c r="B617" s="126"/>
      <c r="C617" s="126"/>
      <c r="D617" s="50">
        <f>D620+D622+D625+D627+D630+D633+D636+D638+D641+D644+D647+D650+D653+D656+D661+D664+D667+D670+D673+D676+D680+D683+D686+D689+D692+D695+D698+D700+D702+D705+D708+D711+D714+D716+D719+D721+D724+D726+D728+D731+D734+D737+D740+D742</f>
        <v>18648303</v>
      </c>
      <c r="E617" s="50">
        <f>E620+E622+E625+E627+E630+E633+E636+E638+E641+E644+E647+E650+E653+E656+E661+E664+E667+E670+E673+E676+E680+E683+E686+E689+E692+E695+E698+E700+E702+E705+E708+E711+E714+E716+E719+E721+E724+E726+E728+E731+E734+E737+E740+E742</f>
        <v>14876628.92</v>
      </c>
      <c r="F617" s="50">
        <f>D617-E617</f>
        <v>3771674.08</v>
      </c>
      <c r="G617" s="50">
        <f>G620+G622+G625+G627+G630+G633+G636+G638+G641+G644+G647+G650+G653+G656+G661+G664+G667+G670+G673+G676+G680+G683+G686+G689+G692+G695+G698+G700+G702+G705+G708+G711+G714+G716+G719+G721+G724+G726+G728+G731+G734+G737+G740+G742</f>
        <v>6088424.7300000004</v>
      </c>
      <c r="H617" s="50">
        <f>D617-G617</f>
        <v>12559878.27</v>
      </c>
      <c r="I617" s="51">
        <f>IF(D617=0,0,G617/D617)</f>
        <v>0.32648679775312534</v>
      </c>
      <c r="J617" s="221"/>
      <c r="K617" s="221"/>
      <c r="L617" s="230"/>
      <c r="M617" s="230"/>
      <c r="N617" s="230"/>
      <c r="O617" s="230"/>
    </row>
    <row r="618" spans="1:15" ht="78.75" hidden="1" x14ac:dyDescent="0.2">
      <c r="A618" s="135">
        <f>SUBTOTAL(103,$B$8:B618)</f>
        <v>181</v>
      </c>
      <c r="B618" s="137"/>
      <c r="C618" s="26" t="s">
        <v>362</v>
      </c>
      <c r="D618" s="27"/>
      <c r="E618" s="27"/>
      <c r="F618" s="27"/>
      <c r="G618" s="27"/>
      <c r="H618" s="27"/>
      <c r="I618" s="15"/>
      <c r="J618" s="223"/>
      <c r="K618" s="223"/>
      <c r="L618" s="232"/>
      <c r="M618" s="232"/>
      <c r="N618" s="232"/>
      <c r="O618" s="232"/>
    </row>
    <row r="619" spans="1:15" ht="31.5" hidden="1" x14ac:dyDescent="0.2">
      <c r="A619" s="136"/>
      <c r="B619" s="138"/>
      <c r="C619" s="24" t="s">
        <v>88</v>
      </c>
      <c r="D619" s="27"/>
      <c r="E619" s="27"/>
      <c r="F619" s="27"/>
      <c r="G619" s="27"/>
      <c r="H619" s="27"/>
      <c r="I619" s="15"/>
      <c r="J619" s="223"/>
      <c r="K619" s="223"/>
      <c r="L619" s="232"/>
      <c r="M619" s="232"/>
      <c r="N619" s="232"/>
      <c r="O619" s="232"/>
    </row>
    <row r="620" spans="1:15" ht="38.25" hidden="1" x14ac:dyDescent="0.2">
      <c r="A620" s="127">
        <f>SUBTOTAL(103,$B$10:B621)</f>
        <v>181</v>
      </c>
      <c r="B620" s="130">
        <v>21</v>
      </c>
      <c r="C620" s="110" t="s">
        <v>175</v>
      </c>
      <c r="D620" s="111">
        <f>IF(COUNTIF(tSIAF[Clave],"2188379|21")=0,"",SUMIF(tSIAF[Clave],"2188379|21",tSIAF[PIM]))</f>
        <v>0</v>
      </c>
      <c r="E620" s="111">
        <f>IF(COUNTIF(tSIAF[Clave],"2188379|21")=0,"",SUMIF(tSIAF[Clave],"2188379|21",tSIAF[Certificacion]))</f>
        <v>0</v>
      </c>
      <c r="F620" s="111">
        <f>IF(D620="","",D620-E620)</f>
        <v>0</v>
      </c>
      <c r="G620" s="111">
        <f>IF(COUNTIF(tSIAF[Clave],"2188379|21")=0,"",SUMIF(tSIAF[Clave],"2188379|21",tSIAF[Devengado]))</f>
        <v>0</v>
      </c>
      <c r="H620" s="111">
        <f>IF(D620="","",D620-G620)</f>
        <v>0</v>
      </c>
      <c r="I620" s="55">
        <f>IF(D620="","",IF(D620=0,0,G620/D620))</f>
        <v>0</v>
      </c>
      <c r="J620" s="222"/>
      <c r="K620" s="222" t="s">
        <v>2299</v>
      </c>
      <c r="L620" s="231">
        <f>IF(COUNTIF(tCartera[CUI],"2188379")=0,"Sin PMI",IF(INDEX(tCartera[PMI2026],MATCH("2188379",tCartera[CUI],0))="","No informado",INDEX(tCartera[PMI2026],MATCH("2188379",tCartera[CUI],0))))</f>
        <v>1792000</v>
      </c>
      <c r="M620" s="231">
        <f>IF(COUNTIF(tCartera[CUI],"2188379")=0,"Sin PMI",IF(INDEX(tCartera[PMI2027],MATCH("2188379",tCartera[CUI],0))="","No informado",INDEX(tCartera[PMI2027],MATCH("2188379",tCartera[CUI],0))))</f>
        <v>0</v>
      </c>
      <c r="N620" s="231">
        <f>IF(COUNTIF(tCartera[CUI],"2188379")=0,"Sin PMI",IF(INDEX(tCartera[PMI2028],MATCH("2188379",tCartera[CUI],0))="","No informado",INDEX(tCartera[PMI2028],MATCH("2188379",tCartera[CUI],0))))</f>
        <v>0</v>
      </c>
      <c r="O620" s="231">
        <f>IF(COUNTIF(tCartera[CUI],"2188379")=0,"Sin PMI",IF(INDEX(tCartera[PMI2029],MATCH("2188379",tCartera[CUI],0))="","No informado",INDEX(tCartera[PMI2029],MATCH("2188379",tCartera[CUI],0))))</f>
        <v>0</v>
      </c>
    </row>
    <row r="621" spans="1:15" hidden="1" x14ac:dyDescent="0.2">
      <c r="A621" s="129"/>
      <c r="B621" s="132"/>
      <c r="C621" s="110" t="s">
        <v>714</v>
      </c>
      <c r="D621" s="112"/>
      <c r="E621" s="112"/>
      <c r="F621" s="112"/>
      <c r="G621" s="112"/>
      <c r="H621" s="112"/>
      <c r="I621" s="55"/>
      <c r="J621" s="222"/>
      <c r="K621" s="222"/>
      <c r="L621" s="231"/>
      <c r="M621" s="231"/>
      <c r="N621" s="231"/>
      <c r="O621" s="231"/>
    </row>
    <row r="622" spans="1:15" ht="51" x14ac:dyDescent="0.2">
      <c r="A622" s="127">
        <f>SUBTOTAL(103,$B$10:B624)</f>
        <v>182</v>
      </c>
      <c r="B622" s="130">
        <v>31</v>
      </c>
      <c r="C622" s="110" t="s">
        <v>189</v>
      </c>
      <c r="D622" s="111">
        <f>IF(COUNTIF(tSIAF[Clave],"2384978|31")=0,"",SUMIF(tSIAF[Clave],"2384978|31",tSIAF[PIM]))</f>
        <v>100000</v>
      </c>
      <c r="E622" s="111">
        <f>IF(COUNTIF(tSIAF[Clave],"2384978|31")=0,"",SUMIF(tSIAF[Clave],"2384978|31",tSIAF[Certificacion]))</f>
        <v>85000</v>
      </c>
      <c r="F622" s="111">
        <f>IF(D622="","",D622-E622)</f>
        <v>15000</v>
      </c>
      <c r="G622" s="111">
        <f>IF(COUNTIF(tSIAF[Clave],"2384978|31")=0,"",SUMIF(tSIAF[Clave],"2384978|31",tSIAF[Devengado]))</f>
        <v>58662.71</v>
      </c>
      <c r="H622" s="111">
        <f>IF(D622="","",D622-G622)</f>
        <v>41337.29</v>
      </c>
      <c r="I622" s="55">
        <f>IF(D622="","",IF(D622=0,0,G622/D622))</f>
        <v>0.58662709999999996</v>
      </c>
      <c r="J622" s="222"/>
      <c r="K622" s="222" t="s">
        <v>2299</v>
      </c>
      <c r="L622" s="231">
        <f>IF(COUNTIF(tCartera[CUI],"2384978")=0,"Sin PMI",IF(INDEX(tCartera[PMI2026],MATCH("2384978",tCartera[CUI],0))="","No informado",INDEX(tCartera[PMI2026],MATCH("2384978",tCartera[CUI],0))))</f>
        <v>100000</v>
      </c>
      <c r="M622" s="231">
        <f>IF(COUNTIF(tCartera[CUI],"2384978")=0,"Sin PMI",IF(INDEX(tCartera[PMI2027],MATCH("2384978",tCartera[CUI],0))="","No informado",INDEX(tCartera[PMI2027],MATCH("2384978",tCartera[CUI],0))))</f>
        <v>1000000</v>
      </c>
      <c r="N622" s="231">
        <f>IF(COUNTIF(tCartera[CUI],"2384978")=0,"Sin PMI",IF(INDEX(tCartera[PMI2028],MATCH("2384978",tCartera[CUI],0))="","No informado",INDEX(tCartera[PMI2028],MATCH("2384978",tCartera[CUI],0))))</f>
        <v>0</v>
      </c>
      <c r="O622" s="231">
        <f>IF(COUNTIF(tCartera[CUI],"2384978")=0,"Sin PMI",IF(INDEX(tCartera[PMI2029],MATCH("2384978",tCartera[CUI],0))="","No informado",INDEX(tCartera[PMI2029],MATCH("2384978",tCartera[CUI],0))))</f>
        <v>0</v>
      </c>
    </row>
    <row r="623" spans="1:15" hidden="1" x14ac:dyDescent="0.2">
      <c r="A623" s="128"/>
      <c r="B623" s="131"/>
      <c r="C623" s="110" t="s">
        <v>714</v>
      </c>
      <c r="D623" s="112"/>
      <c r="E623" s="112"/>
      <c r="F623" s="112"/>
      <c r="G623" s="112"/>
      <c r="H623" s="112"/>
      <c r="I623" s="55"/>
      <c r="J623" s="222"/>
      <c r="K623" s="222"/>
      <c r="L623" s="231"/>
      <c r="M623" s="231"/>
      <c r="N623" s="231"/>
      <c r="O623" s="231"/>
    </row>
    <row r="624" spans="1:15" hidden="1" x14ac:dyDescent="0.2">
      <c r="A624" s="129"/>
      <c r="B624" s="132"/>
      <c r="C624" s="110" t="s">
        <v>713</v>
      </c>
      <c r="D624" s="112"/>
      <c r="E624" s="112"/>
      <c r="F624" s="112"/>
      <c r="G624" s="112"/>
      <c r="H624" s="112"/>
      <c r="I624" s="55"/>
      <c r="J624" s="222"/>
      <c r="K624" s="222"/>
      <c r="L624" s="231"/>
      <c r="M624" s="231"/>
      <c r="N624" s="231"/>
      <c r="O624" s="231"/>
    </row>
    <row r="625" spans="1:15" ht="51" hidden="1" x14ac:dyDescent="0.2">
      <c r="A625" s="127">
        <f>SUBTOTAL(103,$B$10:B626)</f>
        <v>182</v>
      </c>
      <c r="B625" s="133">
        <v>38</v>
      </c>
      <c r="C625" s="110" t="s">
        <v>196</v>
      </c>
      <c r="D625" s="111">
        <f>IF(COUNTIF(tSIAF[Clave],"2525250|38")=0,"",SUMIF(tSIAF[Clave],"2525250|38",tSIAF[PIM]))</f>
        <v>0</v>
      </c>
      <c r="E625" s="111">
        <f>IF(COUNTIF(tSIAF[Clave],"2525250|38")=0,"",SUMIF(tSIAF[Clave],"2525250|38",tSIAF[Certificacion]))</f>
        <v>0</v>
      </c>
      <c r="F625" s="111">
        <f>IF(D625="","",D625-E625)</f>
        <v>0</v>
      </c>
      <c r="G625" s="111">
        <f>IF(COUNTIF(tSIAF[Clave],"2525250|38")=0,"",SUMIF(tSIAF[Clave],"2525250|38",tSIAF[Devengado]))</f>
        <v>0</v>
      </c>
      <c r="H625" s="111">
        <f>IF(D625="","",D625-G625)</f>
        <v>0</v>
      </c>
      <c r="I625" s="55">
        <f>IF(D625="","",IF(D625=0,0,G625/D625))</f>
        <v>0</v>
      </c>
      <c r="J625" s="222"/>
      <c r="K625" s="222" t="s">
        <v>2299</v>
      </c>
      <c r="L625" s="231">
        <f>IF(COUNTIF(tCartera[CUI],"2525250")=0,"Sin PMI",IF(INDEX(tCartera[PMI2026],MATCH("2525250",tCartera[CUI],0))="","No informado",INDEX(tCartera[PMI2026],MATCH("2525250",tCartera[CUI],0))))</f>
        <v>500000</v>
      </c>
      <c r="M625" s="231">
        <f>IF(COUNTIF(tCartera[CUI],"2525250")=0,"Sin PMI",IF(INDEX(tCartera[PMI2027],MATCH("2525250",tCartera[CUI],0))="","No informado",INDEX(tCartera[PMI2027],MATCH("2525250",tCartera[CUI],0))))</f>
        <v>0</v>
      </c>
      <c r="N625" s="231">
        <f>IF(COUNTIF(tCartera[CUI],"2525250")=0,"Sin PMI",IF(INDEX(tCartera[PMI2028],MATCH("2525250",tCartera[CUI],0))="","No informado",INDEX(tCartera[PMI2028],MATCH("2525250",tCartera[CUI],0))))</f>
        <v>0</v>
      </c>
      <c r="O625" s="231">
        <f>IF(COUNTIF(tCartera[CUI],"2525250")=0,"Sin PMI",IF(INDEX(tCartera[PMI2029],MATCH("2525250",tCartera[CUI],0))="","No informado",INDEX(tCartera[PMI2029],MATCH("2525250",tCartera[CUI],0))))</f>
        <v>0</v>
      </c>
    </row>
    <row r="626" spans="1:15" hidden="1" x14ac:dyDescent="0.2">
      <c r="A626" s="129"/>
      <c r="B626" s="134"/>
      <c r="C626" s="110" t="s">
        <v>714</v>
      </c>
      <c r="D626" s="112"/>
      <c r="E626" s="112"/>
      <c r="F626" s="112"/>
      <c r="G626" s="112"/>
      <c r="H626" s="112"/>
      <c r="I626" s="55"/>
      <c r="J626" s="222"/>
      <c r="K626" s="222"/>
      <c r="L626" s="231"/>
      <c r="M626" s="231"/>
      <c r="N626" s="231"/>
      <c r="O626" s="231"/>
    </row>
    <row r="627" spans="1:15" ht="38.25" x14ac:dyDescent="0.2">
      <c r="A627" s="127">
        <f>SUBTOTAL(103,$B$10:B629)</f>
        <v>183</v>
      </c>
      <c r="B627" s="130">
        <v>40</v>
      </c>
      <c r="C627" s="110" t="s">
        <v>315</v>
      </c>
      <c r="D627" s="111">
        <f>IF(COUNTIF(tSIAF[Clave],"2585923|40")=0,"",SUMIF(tSIAF[Clave],"2585923|40",tSIAF[PIM]))</f>
        <v>58259</v>
      </c>
      <c r="E627" s="111">
        <f>IF(COUNTIF(tSIAF[Clave],"2585923|40")=0,"",SUMIF(tSIAF[Clave],"2585923|40",tSIAF[Certificacion]))</f>
        <v>58259</v>
      </c>
      <c r="F627" s="111">
        <f>IF(D627="","",D627-E627)</f>
        <v>0</v>
      </c>
      <c r="G627" s="111">
        <f>IF(COUNTIF(tSIAF[Clave],"2585923|40")=0,"",SUMIF(tSIAF[Clave],"2585923|40",tSIAF[Devengado]))</f>
        <v>50730.47</v>
      </c>
      <c r="H627" s="111">
        <f>IF(D627="","",D627-G627)</f>
        <v>7528.5299999999988</v>
      </c>
      <c r="I627" s="55">
        <f>IF(D627="","",IF(D627=0,0,G627/D627))</f>
        <v>0.87077481590827166</v>
      </c>
      <c r="J627" s="222"/>
      <c r="K627" s="222" t="s">
        <v>2299</v>
      </c>
      <c r="L627" s="231">
        <f>IF(COUNTIF(tCartera[CUI],"2585923")=0,"Sin PMI",IF(INDEX(tCartera[PMI2026],MATCH("2585923",tCartera[CUI],0))="","No informado",INDEX(tCartera[PMI2026],MATCH("2585923",tCartera[CUI],0))))</f>
        <v>3860273</v>
      </c>
      <c r="M627" s="231">
        <f>IF(COUNTIF(tCartera[CUI],"2585923")=0,"Sin PMI",IF(INDEX(tCartera[PMI2027],MATCH("2585923",tCartera[CUI],0))="","No informado",INDEX(tCartera[PMI2027],MATCH("2585923",tCartera[CUI],0))))</f>
        <v>7764202</v>
      </c>
      <c r="N627" s="231">
        <f>IF(COUNTIF(tCartera[CUI],"2585923")=0,"Sin PMI",IF(INDEX(tCartera[PMI2028],MATCH("2585923",tCartera[CUI],0))="","No informado",INDEX(tCartera[PMI2028],MATCH("2585923",tCartera[CUI],0))))</f>
        <v>0</v>
      </c>
      <c r="O627" s="231">
        <f>IF(COUNTIF(tCartera[CUI],"2585923")=0,"Sin PMI",IF(INDEX(tCartera[PMI2029],MATCH("2585923",tCartera[CUI],0))="","No informado",INDEX(tCartera[PMI2029],MATCH("2585923",tCartera[CUI],0))))</f>
        <v>500000</v>
      </c>
    </row>
    <row r="628" spans="1:15" hidden="1" x14ac:dyDescent="0.2">
      <c r="A628" s="128"/>
      <c r="B628" s="131"/>
      <c r="C628" s="110" t="s">
        <v>714</v>
      </c>
      <c r="D628" s="112"/>
      <c r="E628" s="112"/>
      <c r="F628" s="112"/>
      <c r="G628" s="112"/>
      <c r="H628" s="112"/>
      <c r="I628" s="55"/>
      <c r="J628" s="222"/>
      <c r="K628" s="222"/>
      <c r="L628" s="231"/>
      <c r="M628" s="231"/>
      <c r="N628" s="231"/>
      <c r="O628" s="231"/>
    </row>
    <row r="629" spans="1:15" hidden="1" x14ac:dyDescent="0.2">
      <c r="A629" s="129"/>
      <c r="B629" s="132"/>
      <c r="C629" s="110" t="s">
        <v>713</v>
      </c>
      <c r="D629" s="112"/>
      <c r="E629" s="112"/>
      <c r="F629" s="112"/>
      <c r="G629" s="112"/>
      <c r="H629" s="112"/>
      <c r="I629" s="55"/>
      <c r="J629" s="222"/>
      <c r="K629" s="222"/>
      <c r="L629" s="231"/>
      <c r="M629" s="231"/>
      <c r="N629" s="231"/>
      <c r="O629" s="231"/>
    </row>
    <row r="630" spans="1:15" ht="38.25" x14ac:dyDescent="0.2">
      <c r="A630" s="127">
        <f>SUBTOTAL(103,$B$10:B632)</f>
        <v>184</v>
      </c>
      <c r="B630" s="130">
        <v>42</v>
      </c>
      <c r="C630" s="110" t="s">
        <v>313</v>
      </c>
      <c r="D630" s="111">
        <f>IF(COUNTIF(tSIAF[Clave],"2616445|42")=0,"",SUMIF(tSIAF[Clave],"2616445|42",tSIAF[PIM]))</f>
        <v>100000</v>
      </c>
      <c r="E630" s="111">
        <f>IF(COUNTIF(tSIAF[Clave],"2616445|42")=0,"",SUMIF(tSIAF[Clave],"2616445|42",tSIAF[Certificacion]))</f>
        <v>100000</v>
      </c>
      <c r="F630" s="111">
        <f>IF(D630="","",D630-E630)</f>
        <v>0</v>
      </c>
      <c r="G630" s="111">
        <f>IF(COUNTIF(tSIAF[Clave],"2616445|42")=0,"",SUMIF(tSIAF[Clave],"2616445|42",tSIAF[Devengado]))</f>
        <v>45460.23</v>
      </c>
      <c r="H630" s="111">
        <f>IF(D630="","",D630-G630)</f>
        <v>54539.77</v>
      </c>
      <c r="I630" s="55">
        <f>IF(D630="","",IF(D630=0,0,G630/D630))</f>
        <v>0.45460230000000001</v>
      </c>
      <c r="J630" s="222"/>
      <c r="K630" s="222" t="s">
        <v>2299</v>
      </c>
      <c r="L630" s="231">
        <f>IF(COUNTIF(tCartera[CUI],"2616445")=0,"Sin PMI",IF(INDEX(tCartera[PMI2026],MATCH("2616445",tCartera[CUI],0))="","No informado",INDEX(tCartera[PMI2026],MATCH("2616445",tCartera[CUI],0))))</f>
        <v>1800000</v>
      </c>
      <c r="M630" s="231">
        <f>IF(COUNTIF(tCartera[CUI],"2616445")=0,"Sin PMI",IF(INDEX(tCartera[PMI2027],MATCH("2616445",tCartera[CUI],0))="","No informado",INDEX(tCartera[PMI2027],MATCH("2616445",tCartera[CUI],0))))</f>
        <v>1234564</v>
      </c>
      <c r="N630" s="231">
        <f>IF(COUNTIF(tCartera[CUI],"2616445")=0,"Sin PMI",IF(INDEX(tCartera[PMI2028],MATCH("2616445",tCartera[CUI],0))="","No informado",INDEX(tCartera[PMI2028],MATCH("2616445",tCartera[CUI],0))))</f>
        <v>0</v>
      </c>
      <c r="O630" s="231">
        <f>IF(COUNTIF(tCartera[CUI],"2616445")=0,"Sin PMI",IF(INDEX(tCartera[PMI2029],MATCH("2616445",tCartera[CUI],0))="","No informado",INDEX(tCartera[PMI2029],MATCH("2616445",tCartera[CUI],0))))</f>
        <v>680854</v>
      </c>
    </row>
    <row r="631" spans="1:15" hidden="1" x14ac:dyDescent="0.2">
      <c r="A631" s="128"/>
      <c r="B631" s="131"/>
      <c r="C631" s="110" t="s">
        <v>714</v>
      </c>
      <c r="D631" s="112"/>
      <c r="E631" s="112"/>
      <c r="F631" s="112"/>
      <c r="G631" s="112"/>
      <c r="H631" s="112"/>
      <c r="I631" s="55"/>
      <c r="J631" s="222"/>
      <c r="K631" s="222"/>
      <c r="L631" s="231"/>
      <c r="M631" s="231"/>
      <c r="N631" s="231"/>
      <c r="O631" s="231"/>
    </row>
    <row r="632" spans="1:15" hidden="1" x14ac:dyDescent="0.2">
      <c r="A632" s="129"/>
      <c r="B632" s="132"/>
      <c r="C632" s="110" t="s">
        <v>713</v>
      </c>
      <c r="D632" s="112"/>
      <c r="E632" s="112"/>
      <c r="F632" s="112"/>
      <c r="G632" s="112"/>
      <c r="H632" s="112"/>
      <c r="I632" s="55"/>
      <c r="J632" s="222"/>
      <c r="K632" s="222"/>
      <c r="L632" s="231"/>
      <c r="M632" s="231"/>
      <c r="N632" s="231"/>
      <c r="O632" s="231"/>
    </row>
    <row r="633" spans="1:15" ht="38.25" x14ac:dyDescent="0.2">
      <c r="A633" s="127">
        <f>SUBTOTAL(103,$B$10:B635)</f>
        <v>185</v>
      </c>
      <c r="B633" s="130">
        <v>43</v>
      </c>
      <c r="C633" s="110" t="s">
        <v>443</v>
      </c>
      <c r="D633" s="111">
        <f>IF(COUNTIF(tSIAF[Clave],"2618450|43")=0,"",SUMIF(tSIAF[Clave],"2618450|43",tSIAF[PIM]))</f>
        <v>100000</v>
      </c>
      <c r="E633" s="111">
        <f>IF(COUNTIF(tSIAF[Clave],"2618450|43")=0,"",SUMIF(tSIAF[Clave],"2618450|43",tSIAF[Certificacion]))</f>
        <v>98580</v>
      </c>
      <c r="F633" s="111">
        <f>IF(D633="","",D633-E633)</f>
        <v>1420</v>
      </c>
      <c r="G633" s="111">
        <f>IF(COUNTIF(tSIAF[Clave],"2618450|43")=0,"",SUMIF(tSIAF[Clave],"2618450|43",tSIAF[Devengado]))</f>
        <v>83195.399999999994</v>
      </c>
      <c r="H633" s="111">
        <f>IF(D633="","",D633-G633)</f>
        <v>16804.600000000006</v>
      </c>
      <c r="I633" s="55">
        <f>IF(D633="","",IF(D633=0,0,G633/D633))</f>
        <v>0.83195399999999997</v>
      </c>
      <c r="J633" s="222"/>
      <c r="K633" s="222" t="s">
        <v>2299</v>
      </c>
      <c r="L633" s="231">
        <f>IF(COUNTIF(tCartera[CUI],"2618450")=0,"Sin PMI",IF(INDEX(tCartera[PMI2026],MATCH("2618450",tCartera[CUI],0))="","No informado",INDEX(tCartera[PMI2026],MATCH("2618450",tCartera[CUI],0))))</f>
        <v>100000</v>
      </c>
      <c r="M633" s="231">
        <f>IF(COUNTIF(tCartera[CUI],"2618450")=0,"Sin PMI",IF(INDEX(tCartera[PMI2027],MATCH("2618450",tCartera[CUI],0))="","No informado",INDEX(tCartera[PMI2027],MATCH("2618450",tCartera[CUI],0))))</f>
        <v>2565482</v>
      </c>
      <c r="N633" s="231">
        <f>IF(COUNTIF(tCartera[CUI],"2618450")=0,"Sin PMI",IF(INDEX(tCartera[PMI2028],MATCH("2618450",tCartera[CUI],0))="","No informado",INDEX(tCartera[PMI2028],MATCH("2618450",tCartera[CUI],0))))</f>
        <v>0</v>
      </c>
      <c r="O633" s="231">
        <f>IF(COUNTIF(tCartera[CUI],"2618450")=0,"Sin PMI",IF(INDEX(tCartera[PMI2029],MATCH("2618450",tCartera[CUI],0))="","No informado",INDEX(tCartera[PMI2029],MATCH("2618450",tCartera[CUI],0))))</f>
        <v>534518</v>
      </c>
    </row>
    <row r="634" spans="1:15" hidden="1" x14ac:dyDescent="0.2">
      <c r="A634" s="128"/>
      <c r="B634" s="131"/>
      <c r="C634" s="110" t="s">
        <v>714</v>
      </c>
      <c r="D634" s="112"/>
      <c r="E634" s="112"/>
      <c r="F634" s="112"/>
      <c r="G634" s="112"/>
      <c r="H634" s="112"/>
      <c r="I634" s="55"/>
      <c r="J634" s="222"/>
      <c r="K634" s="222"/>
      <c r="L634" s="231"/>
      <c r="M634" s="231"/>
      <c r="N634" s="231"/>
      <c r="O634" s="231"/>
    </row>
    <row r="635" spans="1:15" hidden="1" x14ac:dyDescent="0.2">
      <c r="A635" s="129"/>
      <c r="B635" s="132"/>
      <c r="C635" s="110" t="s">
        <v>713</v>
      </c>
      <c r="D635" s="112"/>
      <c r="E635" s="112"/>
      <c r="F635" s="112"/>
      <c r="G635" s="112"/>
      <c r="H635" s="112"/>
      <c r="I635" s="55"/>
      <c r="J635" s="222"/>
      <c r="K635" s="222"/>
      <c r="L635" s="231"/>
      <c r="M635" s="231"/>
      <c r="N635" s="231"/>
      <c r="O635" s="231"/>
    </row>
    <row r="636" spans="1:15" ht="51" hidden="1" x14ac:dyDescent="0.2">
      <c r="A636" s="127">
        <f>SUBTOTAL(103,$B$10:B637)</f>
        <v>185</v>
      </c>
      <c r="B636" s="130">
        <v>47</v>
      </c>
      <c r="C636" s="110" t="s">
        <v>320</v>
      </c>
      <c r="D636" s="111">
        <f>IF(COUNTIF(tSIAF[Clave],"2638009|47")=0,"",SUMIF(tSIAF[Clave],"2638009|47",tSIAF[PIM]))</f>
        <v>500172</v>
      </c>
      <c r="E636" s="111">
        <f>IF(COUNTIF(tSIAF[Clave],"2638009|47")=0,"",SUMIF(tSIAF[Clave],"2638009|47",tSIAF[Certificacion]))</f>
        <v>0</v>
      </c>
      <c r="F636" s="111">
        <f>IF(D636="","",D636-E636)</f>
        <v>500172</v>
      </c>
      <c r="G636" s="111">
        <f>IF(COUNTIF(tSIAF[Clave],"2638009|47")=0,"",SUMIF(tSIAF[Clave],"2638009|47",tSIAF[Devengado]))</f>
        <v>0</v>
      </c>
      <c r="H636" s="111">
        <f>IF(D636="","",D636-G636)</f>
        <v>500172</v>
      </c>
      <c r="I636" s="55">
        <f>IF(D636="","",IF(D636=0,0,G636/D636))</f>
        <v>0</v>
      </c>
      <c r="J636" s="222"/>
      <c r="K636" s="222" t="s">
        <v>2299</v>
      </c>
      <c r="L636" s="231">
        <f>IF(COUNTIF(tCartera[CUI],"2638009")=0,"Sin PMI",IF(INDEX(tCartera[PMI2026],MATCH("2638009",tCartera[CUI],0))="","No informado",INDEX(tCartera[PMI2026],MATCH("2638009",tCartera[CUI],0))))</f>
        <v>700000</v>
      </c>
      <c r="M636" s="231">
        <f>IF(COUNTIF(tCartera[CUI],"2638009")=0,"Sin PMI",IF(INDEX(tCartera[PMI2027],MATCH("2638009",tCartera[CUI],0))="","No informado",INDEX(tCartera[PMI2027],MATCH("2638009",tCartera[CUI],0))))</f>
        <v>1243456</v>
      </c>
      <c r="N636" s="231">
        <f>IF(COUNTIF(tCartera[CUI],"2638009")=0,"Sin PMI",IF(INDEX(tCartera[PMI2028],MATCH("2638009",tCartera[CUI],0))="","No informado",INDEX(tCartera[PMI2028],MATCH("2638009",tCartera[CUI],0))))</f>
        <v>0</v>
      </c>
      <c r="O636" s="231">
        <f>IF(COUNTIF(tCartera[CUI],"2638009")=0,"Sin PMI",IF(INDEX(tCartera[PMI2029],MATCH("2638009",tCartera[CUI],0))="","No informado",INDEX(tCartera[PMI2029],MATCH("2638009",tCartera[CUI],0))))</f>
        <v>2984900</v>
      </c>
    </row>
    <row r="637" spans="1:15" hidden="1" x14ac:dyDescent="0.2">
      <c r="A637" s="129"/>
      <c r="B637" s="132"/>
      <c r="C637" s="110" t="s">
        <v>714</v>
      </c>
      <c r="D637" s="112"/>
      <c r="E637" s="112"/>
      <c r="F637" s="112"/>
      <c r="G637" s="112"/>
      <c r="H637" s="112"/>
      <c r="I637" s="55"/>
      <c r="J637" s="222"/>
      <c r="K637" s="222"/>
      <c r="L637" s="231"/>
      <c r="M637" s="231"/>
      <c r="N637" s="231"/>
      <c r="O637" s="231"/>
    </row>
    <row r="638" spans="1:15" ht="38.25" x14ac:dyDescent="0.2">
      <c r="A638" s="127">
        <f>SUBTOTAL(103,$B$10:B640)</f>
        <v>186</v>
      </c>
      <c r="B638" s="130">
        <v>48</v>
      </c>
      <c r="C638" s="110" t="s">
        <v>508</v>
      </c>
      <c r="D638" s="111">
        <f>IF(COUNTIF(tSIAF[Clave],"2652118|48")=0,"",SUMIF(tSIAF[Clave],"2652118|48",tSIAF[PIM]))</f>
        <v>310000</v>
      </c>
      <c r="E638" s="111">
        <f>IF(COUNTIF(tSIAF[Clave],"2652118|48")=0,"",SUMIF(tSIAF[Clave],"2652118|48",tSIAF[Certificacion]))</f>
        <v>310000</v>
      </c>
      <c r="F638" s="111">
        <f>IF(D638="","",D638-E638)</f>
        <v>0</v>
      </c>
      <c r="G638" s="111">
        <f>IF(COUNTIF(tSIAF[Clave],"2652118|48")=0,"",SUMIF(tSIAF[Clave],"2652118|48",tSIAF[Devengado]))</f>
        <v>240998.16</v>
      </c>
      <c r="H638" s="111">
        <f>IF(D638="","",D638-G638)</f>
        <v>69001.84</v>
      </c>
      <c r="I638" s="55">
        <f>IF(D638="","",IF(D638=0,0,G638/D638))</f>
        <v>0.77741341935483876</v>
      </c>
      <c r="J638" s="222"/>
      <c r="K638" s="222" t="s">
        <v>2299</v>
      </c>
      <c r="L638" s="231">
        <f>IF(COUNTIF(tCartera[CUI],"2652118")=0,"Sin PMI",IF(INDEX(tCartera[PMI2026],MATCH("2652118",tCartera[CUI],0))="","No informado",INDEX(tCartera[PMI2026],MATCH("2652118",tCartera[CUI],0))))</f>
        <v>50000</v>
      </c>
      <c r="M638" s="231">
        <f>IF(COUNTIF(tCartera[CUI],"2652118")=0,"Sin PMI",IF(INDEX(tCartera[PMI2027],MATCH("2652118",tCartera[CUI],0))="","No informado",INDEX(tCartera[PMI2027],MATCH("2652118",tCartera[CUI],0))))</f>
        <v>0</v>
      </c>
      <c r="N638" s="231">
        <f>IF(COUNTIF(tCartera[CUI],"2652118")=0,"Sin PMI",IF(INDEX(tCartera[PMI2028],MATCH("2652118",tCartera[CUI],0))="","No informado",INDEX(tCartera[PMI2028],MATCH("2652118",tCartera[CUI],0))))</f>
        <v>0</v>
      </c>
      <c r="O638" s="231">
        <f>IF(COUNTIF(tCartera[CUI],"2652118")=0,"Sin PMI",IF(INDEX(tCartera[PMI2029],MATCH("2652118",tCartera[CUI],0))="","No informado",INDEX(tCartera[PMI2029],MATCH("2652118",tCartera[CUI],0))))</f>
        <v>1000000</v>
      </c>
    </row>
    <row r="639" spans="1:15" hidden="1" x14ac:dyDescent="0.2">
      <c r="A639" s="128"/>
      <c r="B639" s="131"/>
      <c r="C639" s="110" t="s">
        <v>714</v>
      </c>
      <c r="D639" s="112"/>
      <c r="E639" s="112"/>
      <c r="F639" s="112"/>
      <c r="G639" s="112"/>
      <c r="H639" s="112"/>
      <c r="I639" s="55"/>
      <c r="J639" s="222"/>
      <c r="K639" s="222"/>
      <c r="L639" s="231"/>
      <c r="M639" s="231"/>
      <c r="N639" s="231"/>
      <c r="O639" s="231"/>
    </row>
    <row r="640" spans="1:15" hidden="1" x14ac:dyDescent="0.2">
      <c r="A640" s="129"/>
      <c r="B640" s="132"/>
      <c r="C640" s="110" t="s">
        <v>713</v>
      </c>
      <c r="D640" s="112"/>
      <c r="E640" s="112"/>
      <c r="F640" s="112"/>
      <c r="G640" s="112"/>
      <c r="H640" s="112"/>
      <c r="I640" s="55"/>
      <c r="J640" s="222"/>
      <c r="K640" s="222"/>
      <c r="L640" s="231"/>
      <c r="M640" s="231"/>
      <c r="N640" s="231"/>
      <c r="O640" s="231"/>
    </row>
    <row r="641" spans="1:15" ht="38.25" x14ac:dyDescent="0.2">
      <c r="A641" s="127">
        <f>SUBTOTAL(103,$B$10:B643)</f>
        <v>187</v>
      </c>
      <c r="B641" s="130">
        <v>49</v>
      </c>
      <c r="C641" s="110" t="s">
        <v>445</v>
      </c>
      <c r="D641" s="111">
        <f>IF(COUNTIF(tSIAF[Clave],"2652119|49")=0,"",SUMIF(tSIAF[Clave],"2652119|49",tSIAF[PIM]))</f>
        <v>100000</v>
      </c>
      <c r="E641" s="111">
        <f>IF(COUNTIF(tSIAF[Clave],"2652119|49")=0,"",SUMIF(tSIAF[Clave],"2652119|49",tSIAF[Certificacion]))</f>
        <v>98287</v>
      </c>
      <c r="F641" s="111">
        <f>IF(D641="","",D641-E641)</f>
        <v>1713</v>
      </c>
      <c r="G641" s="111">
        <f>IF(COUNTIF(tSIAF[Clave],"2652119|49")=0,"",SUMIF(tSIAF[Clave],"2652119|49",tSIAF[Devengado]))</f>
        <v>19750.310000000001</v>
      </c>
      <c r="H641" s="111">
        <f>IF(D641="","",D641-G641)</f>
        <v>80249.69</v>
      </c>
      <c r="I641" s="55">
        <f>IF(D641="","",IF(D641=0,0,G641/D641))</f>
        <v>0.19750310000000001</v>
      </c>
      <c r="J641" s="222"/>
      <c r="K641" s="222" t="s">
        <v>2299</v>
      </c>
      <c r="L641" s="231">
        <f>IF(COUNTIF(tCartera[CUI],"2652119")=0,"Sin PMI",IF(INDEX(tCartera[PMI2026],MATCH("2652119",tCartera[CUI],0))="","No informado",INDEX(tCartera[PMI2026],MATCH("2652119",tCartera[CUI],0))))</f>
        <v>100000</v>
      </c>
      <c r="M641" s="231">
        <f>IF(COUNTIF(tCartera[CUI],"2652119")=0,"Sin PMI",IF(INDEX(tCartera[PMI2027],MATCH("2652119",tCartera[CUI],0))="","No informado",INDEX(tCartera[PMI2027],MATCH("2652119",tCartera[CUI],0))))</f>
        <v>254875</v>
      </c>
      <c r="N641" s="231">
        <f>IF(COUNTIF(tCartera[CUI],"2652119")=0,"Sin PMI",IF(INDEX(tCartera[PMI2028],MATCH("2652119",tCartera[CUI],0))="","No informado",INDEX(tCartera[PMI2028],MATCH("2652119",tCartera[CUI],0))))</f>
        <v>0</v>
      </c>
      <c r="O641" s="231">
        <f>IF(COUNTIF(tCartera[CUI],"2652119")=0,"Sin PMI",IF(INDEX(tCartera[PMI2029],MATCH("2652119",tCartera[CUI],0))="","No informado",INDEX(tCartera[PMI2029],MATCH("2652119",tCartera[CUI],0))))</f>
        <v>500000</v>
      </c>
    </row>
    <row r="642" spans="1:15" hidden="1" x14ac:dyDescent="0.2">
      <c r="A642" s="128"/>
      <c r="B642" s="131"/>
      <c r="C642" s="110" t="s">
        <v>714</v>
      </c>
      <c r="D642" s="112"/>
      <c r="E642" s="112"/>
      <c r="F642" s="112"/>
      <c r="G642" s="112"/>
      <c r="H642" s="112"/>
      <c r="I642" s="55"/>
      <c r="J642" s="222"/>
      <c r="K642" s="222"/>
      <c r="L642" s="231"/>
      <c r="M642" s="231"/>
      <c r="N642" s="231"/>
      <c r="O642" s="231"/>
    </row>
    <row r="643" spans="1:15" hidden="1" x14ac:dyDescent="0.2">
      <c r="A643" s="129"/>
      <c r="B643" s="132"/>
      <c r="C643" s="110" t="s">
        <v>713</v>
      </c>
      <c r="D643" s="112"/>
      <c r="E643" s="112"/>
      <c r="F643" s="112"/>
      <c r="G643" s="112"/>
      <c r="H643" s="112"/>
      <c r="I643" s="55"/>
      <c r="J643" s="222"/>
      <c r="K643" s="222"/>
      <c r="L643" s="231"/>
      <c r="M643" s="231"/>
      <c r="N643" s="231"/>
      <c r="O643" s="231"/>
    </row>
    <row r="644" spans="1:15" ht="38.25" x14ac:dyDescent="0.2">
      <c r="A644" s="127">
        <f>SUBTOTAL(103,$B$10:B646)</f>
        <v>188</v>
      </c>
      <c r="B644" s="130">
        <v>50</v>
      </c>
      <c r="C644" s="110" t="s">
        <v>509</v>
      </c>
      <c r="D644" s="111">
        <f>IF(COUNTIF(tSIAF[Clave],"2652120|50")=0,"",SUMIF(tSIAF[Clave],"2652120|50",tSIAF[PIM]))</f>
        <v>400214</v>
      </c>
      <c r="E644" s="111">
        <f>IF(COUNTIF(tSIAF[Clave],"2652120|50")=0,"",SUMIF(tSIAF[Clave],"2652120|50",tSIAF[Certificacion]))</f>
        <v>400214</v>
      </c>
      <c r="F644" s="111">
        <f>IF(D644="","",D644-E644)</f>
        <v>0</v>
      </c>
      <c r="G644" s="111">
        <f>IF(COUNTIF(tSIAF[Clave],"2652120|50")=0,"",SUMIF(tSIAF[Clave],"2652120|50",tSIAF[Devengado]))</f>
        <v>330372.18</v>
      </c>
      <c r="H644" s="111">
        <f>IF(D644="","",D644-G644)</f>
        <v>69841.820000000007</v>
      </c>
      <c r="I644" s="55">
        <f>IF(D644="","",IF(D644=0,0,G644/D644))</f>
        <v>0.82548881348478564</v>
      </c>
      <c r="J644" s="222"/>
      <c r="K644" s="222" t="s">
        <v>2299</v>
      </c>
      <c r="L644" s="231">
        <f>IF(COUNTIF(tCartera[CUI],"2652120")=0,"Sin PMI",IF(INDEX(tCartera[PMI2026],MATCH("2652120",tCartera[CUI],0))="","No informado",INDEX(tCartera[PMI2026],MATCH("2652120",tCartera[CUI],0))))</f>
        <v>50000</v>
      </c>
      <c r="M644" s="231">
        <f>IF(COUNTIF(tCartera[CUI],"2652120")=0,"Sin PMI",IF(INDEX(tCartera[PMI2027],MATCH("2652120",tCartera[CUI],0))="","No informado",INDEX(tCartera[PMI2027],MATCH("2652120",tCartera[CUI],0))))</f>
        <v>0</v>
      </c>
      <c r="N644" s="231">
        <f>IF(COUNTIF(tCartera[CUI],"2652120")=0,"Sin PMI",IF(INDEX(tCartera[PMI2028],MATCH("2652120",tCartera[CUI],0))="","No informado",INDEX(tCartera[PMI2028],MATCH("2652120",tCartera[CUI],0))))</f>
        <v>0</v>
      </c>
      <c r="O644" s="231">
        <f>IF(COUNTIF(tCartera[CUI],"2652120")=0,"Sin PMI",IF(INDEX(tCartera[PMI2029],MATCH("2652120",tCartera[CUI],0))="","No informado",INDEX(tCartera[PMI2029],MATCH("2652120",tCartera[CUI],0))))</f>
        <v>1299636</v>
      </c>
    </row>
    <row r="645" spans="1:15" hidden="1" x14ac:dyDescent="0.2">
      <c r="A645" s="128"/>
      <c r="B645" s="131"/>
      <c r="C645" s="110" t="s">
        <v>714</v>
      </c>
      <c r="D645" s="112"/>
      <c r="E645" s="112"/>
      <c r="F645" s="112"/>
      <c r="G645" s="112"/>
      <c r="H645" s="112"/>
      <c r="I645" s="55"/>
      <c r="J645" s="222"/>
      <c r="K645" s="222"/>
      <c r="L645" s="231"/>
      <c r="M645" s="231"/>
      <c r="N645" s="231"/>
      <c r="O645" s="231"/>
    </row>
    <row r="646" spans="1:15" hidden="1" x14ac:dyDescent="0.2">
      <c r="A646" s="129"/>
      <c r="B646" s="132"/>
      <c r="C646" s="110" t="s">
        <v>713</v>
      </c>
      <c r="D646" s="112"/>
      <c r="E646" s="112"/>
      <c r="F646" s="112"/>
      <c r="G646" s="112"/>
      <c r="H646" s="112"/>
      <c r="I646" s="55"/>
      <c r="J646" s="222"/>
      <c r="K646" s="222"/>
      <c r="L646" s="231"/>
      <c r="M646" s="231"/>
      <c r="N646" s="231"/>
      <c r="O646" s="231"/>
    </row>
    <row r="647" spans="1:15" ht="51" hidden="1" x14ac:dyDescent="0.2">
      <c r="A647" s="127">
        <f>SUBTOTAL(103,$B$10:B649)</f>
        <v>188</v>
      </c>
      <c r="B647" s="130">
        <v>51</v>
      </c>
      <c r="C647" s="110" t="s">
        <v>510</v>
      </c>
      <c r="D647" s="111">
        <f>IF(COUNTIF(tSIAF[Clave],"2655774|51")=0,"",SUMIF(tSIAF[Clave],"2655774|51",tSIAF[PIM]))</f>
        <v>0</v>
      </c>
      <c r="E647" s="111">
        <f>IF(COUNTIF(tSIAF[Clave],"2655774|51")=0,"",SUMIF(tSIAF[Clave],"2655774|51",tSIAF[Certificacion]))</f>
        <v>0</v>
      </c>
      <c r="F647" s="111">
        <f>IF(D647="","",D647-E647)</f>
        <v>0</v>
      </c>
      <c r="G647" s="111">
        <f>IF(COUNTIF(tSIAF[Clave],"2655774|51")=0,"",SUMIF(tSIAF[Clave],"2655774|51",tSIAF[Devengado]))</f>
        <v>0</v>
      </c>
      <c r="H647" s="111">
        <f>IF(D647="","",D647-G647)</f>
        <v>0</v>
      </c>
      <c r="I647" s="55">
        <f>IF(D647="","",IF(D647=0,0,G647/D647))</f>
        <v>0</v>
      </c>
      <c r="J647" s="222"/>
      <c r="K647" s="222" t="s">
        <v>2299</v>
      </c>
      <c r="L647" s="231">
        <f>IF(COUNTIF(tCartera[CUI],"2655774")=0,"Sin PMI",IF(INDEX(tCartera[PMI2026],MATCH("2655774",tCartera[CUI],0))="","No informado",INDEX(tCartera[PMI2026],MATCH("2655774",tCartera[CUI],0))))</f>
        <v>50000</v>
      </c>
      <c r="M647" s="231">
        <f>IF(COUNTIF(tCartera[CUI],"2655774")=0,"Sin PMI",IF(INDEX(tCartera[PMI2027],MATCH("2655774",tCartera[CUI],0))="","No informado",INDEX(tCartera[PMI2027],MATCH("2655774",tCartera[CUI],0))))</f>
        <v>0</v>
      </c>
      <c r="N647" s="231">
        <f>IF(COUNTIF(tCartera[CUI],"2655774")=0,"Sin PMI",IF(INDEX(tCartera[PMI2028],MATCH("2655774",tCartera[CUI],0))="","No informado",INDEX(tCartera[PMI2028],MATCH("2655774",tCartera[CUI],0))))</f>
        <v>0</v>
      </c>
      <c r="O647" s="231">
        <f>IF(COUNTIF(tCartera[CUI],"2655774")=0,"Sin PMI",IF(INDEX(tCartera[PMI2029],MATCH("2655774",tCartera[CUI],0))="","No informado",INDEX(tCartera[PMI2029],MATCH("2655774",tCartera[CUI],0))))</f>
        <v>300000</v>
      </c>
    </row>
    <row r="648" spans="1:15" hidden="1" x14ac:dyDescent="0.2">
      <c r="A648" s="128"/>
      <c r="B648" s="131"/>
      <c r="C648" s="110" t="s">
        <v>714</v>
      </c>
      <c r="D648" s="112"/>
      <c r="E648" s="112"/>
      <c r="F648" s="112"/>
      <c r="G648" s="112"/>
      <c r="H648" s="112"/>
      <c r="I648" s="55"/>
      <c r="J648" s="222"/>
      <c r="K648" s="222"/>
      <c r="L648" s="231"/>
      <c r="M648" s="231"/>
      <c r="N648" s="231"/>
      <c r="O648" s="231"/>
    </row>
    <row r="649" spans="1:15" hidden="1" x14ac:dyDescent="0.2">
      <c r="A649" s="129"/>
      <c r="B649" s="132"/>
      <c r="C649" s="110" t="s">
        <v>713</v>
      </c>
      <c r="D649" s="112"/>
      <c r="E649" s="112"/>
      <c r="F649" s="112"/>
      <c r="G649" s="112"/>
      <c r="H649" s="112"/>
      <c r="I649" s="55"/>
      <c r="J649" s="222"/>
      <c r="K649" s="222"/>
      <c r="L649" s="231"/>
      <c r="M649" s="231"/>
      <c r="N649" s="231"/>
      <c r="O649" s="231"/>
    </row>
    <row r="650" spans="1:15" ht="63.75" x14ac:dyDescent="0.2">
      <c r="A650" s="127">
        <f>SUBTOTAL(103,$B$10:B652)</f>
        <v>189</v>
      </c>
      <c r="B650" s="130">
        <v>52</v>
      </c>
      <c r="C650" s="110" t="s">
        <v>475</v>
      </c>
      <c r="D650" s="111">
        <f>IF(COUNTIF(tSIAF[Clave],"2656882|52")=0,"",SUMIF(tSIAF[Clave],"2656882|52",tSIAF[PIM]))</f>
        <v>126982</v>
      </c>
      <c r="E650" s="111">
        <f>IF(COUNTIF(tSIAF[Clave],"2656882|52")=0,"",SUMIF(tSIAF[Clave],"2656882|52",tSIAF[Certificacion]))</f>
        <v>126982</v>
      </c>
      <c r="F650" s="111">
        <f>IF(D650="","",D650-E650)</f>
        <v>0</v>
      </c>
      <c r="G650" s="111">
        <f>IF(COUNTIF(tSIAF[Clave],"2656882|52")=0,"",SUMIF(tSIAF[Clave],"2656882|52",tSIAF[Devengado]))</f>
        <v>120317.21</v>
      </c>
      <c r="H650" s="111">
        <f>IF(D650="","",D650-G650)</f>
        <v>6664.7899999999936</v>
      </c>
      <c r="I650" s="55">
        <f>IF(D650="","",IF(D650=0,0,G650/D650))</f>
        <v>0.94751389960781851</v>
      </c>
      <c r="J650" s="222"/>
      <c r="K650" s="222" t="s">
        <v>2299</v>
      </c>
      <c r="L650" s="231">
        <f>IF(COUNTIF(tCartera[CUI],"2656882")=0,"Sin PMI",IF(INDEX(tCartera[PMI2026],MATCH("2656882",tCartera[CUI],0))="","No informado",INDEX(tCartera[PMI2026],MATCH("2656882",tCartera[CUI],0))))</f>
        <v>50000</v>
      </c>
      <c r="M650" s="231">
        <f>IF(COUNTIF(tCartera[CUI],"2656882")=0,"Sin PMI",IF(INDEX(tCartera[PMI2027],MATCH("2656882",tCartera[CUI],0))="","No informado",INDEX(tCartera[PMI2027],MATCH("2656882",tCartera[CUI],0))))</f>
        <v>251478</v>
      </c>
      <c r="N650" s="231">
        <f>IF(COUNTIF(tCartera[CUI],"2656882")=0,"Sin PMI",IF(INDEX(tCartera[PMI2028],MATCH("2656882",tCartera[CUI],0))="","No informado",INDEX(tCartera[PMI2028],MATCH("2656882",tCartera[CUI],0))))</f>
        <v>0</v>
      </c>
      <c r="O650" s="231">
        <f>IF(COUNTIF(tCartera[CUI],"2656882")=0,"Sin PMI",IF(INDEX(tCartera[PMI2029],MATCH("2656882",tCartera[CUI],0))="","No informado",INDEX(tCartera[PMI2029],MATCH("2656882",tCartera[CUI],0))))</f>
        <v>300000</v>
      </c>
    </row>
    <row r="651" spans="1:15" hidden="1" x14ac:dyDescent="0.2">
      <c r="A651" s="128"/>
      <c r="B651" s="131"/>
      <c r="C651" s="110" t="s">
        <v>714</v>
      </c>
      <c r="D651" s="112"/>
      <c r="E651" s="112"/>
      <c r="F651" s="112"/>
      <c r="G651" s="112"/>
      <c r="H651" s="112"/>
      <c r="I651" s="55"/>
      <c r="J651" s="222"/>
      <c r="K651" s="222"/>
      <c r="L651" s="231"/>
      <c r="M651" s="231"/>
      <c r="N651" s="231"/>
      <c r="O651" s="231"/>
    </row>
    <row r="652" spans="1:15" hidden="1" x14ac:dyDescent="0.2">
      <c r="A652" s="129"/>
      <c r="B652" s="132"/>
      <c r="C652" s="110" t="s">
        <v>713</v>
      </c>
      <c r="D652" s="112"/>
      <c r="E652" s="112"/>
      <c r="F652" s="112"/>
      <c r="G652" s="112"/>
      <c r="H652" s="112"/>
      <c r="I652" s="55"/>
      <c r="J652" s="222"/>
      <c r="K652" s="222"/>
      <c r="L652" s="231"/>
      <c r="M652" s="231"/>
      <c r="N652" s="231"/>
      <c r="O652" s="231"/>
    </row>
    <row r="653" spans="1:15" ht="51" hidden="1" x14ac:dyDescent="0.2">
      <c r="A653" s="127">
        <f>SUBTOTAL(103,$B$10:B655)</f>
        <v>189</v>
      </c>
      <c r="B653" s="130">
        <v>53</v>
      </c>
      <c r="C653" s="110" t="s">
        <v>530</v>
      </c>
      <c r="D653" s="111">
        <f>IF(COUNTIF(tSIAF[Clave],"2659574|53")=0,"",SUMIF(tSIAF[Clave],"2659574|53",tSIAF[PIM]))</f>
        <v>0</v>
      </c>
      <c r="E653" s="111">
        <f>IF(COUNTIF(tSIAF[Clave],"2659574|53")=0,"",SUMIF(tSIAF[Clave],"2659574|53",tSIAF[Certificacion]))</f>
        <v>0</v>
      </c>
      <c r="F653" s="111">
        <f>IF(D653="","",D653-E653)</f>
        <v>0</v>
      </c>
      <c r="G653" s="111">
        <f>IF(COUNTIF(tSIAF[Clave],"2659574|53")=0,"",SUMIF(tSIAF[Clave],"2659574|53",tSIAF[Devengado]))</f>
        <v>0</v>
      </c>
      <c r="H653" s="111">
        <f>IF(D653="","",D653-G653)</f>
        <v>0</v>
      </c>
      <c r="I653" s="55">
        <f>IF(D653="","",IF(D653=0,0,G653/D653))</f>
        <v>0</v>
      </c>
      <c r="J653" s="222"/>
      <c r="K653" s="222" t="s">
        <v>2299</v>
      </c>
      <c r="L653" s="231">
        <f>IF(COUNTIF(tCartera[CUI],"2659574")=0,"Sin PMI",IF(INDEX(tCartera[PMI2026],MATCH("2659574",tCartera[CUI],0))="","No informado",INDEX(tCartera[PMI2026],MATCH("2659574",tCartera[CUI],0))))</f>
        <v>50000</v>
      </c>
      <c r="M653" s="231">
        <f>IF(COUNTIF(tCartera[CUI],"2659574")=0,"Sin PMI",IF(INDEX(tCartera[PMI2027],MATCH("2659574",tCartera[CUI],0))="","No informado",INDEX(tCartera[PMI2027],MATCH("2659574",tCartera[CUI],0))))</f>
        <v>0</v>
      </c>
      <c r="N653" s="231">
        <f>IF(COUNTIF(tCartera[CUI],"2659574")=0,"Sin PMI",IF(INDEX(tCartera[PMI2028],MATCH("2659574",tCartera[CUI],0))="","No informado",INDEX(tCartera[PMI2028],MATCH("2659574",tCartera[CUI],0))))</f>
        <v>0</v>
      </c>
      <c r="O653" s="231">
        <f>IF(COUNTIF(tCartera[CUI],"2659574")=0,"Sin PMI",IF(INDEX(tCartera[PMI2029],MATCH("2659574",tCartera[CUI],0))="","No informado",INDEX(tCartera[PMI2029],MATCH("2659574",tCartera[CUI],0))))</f>
        <v>150000</v>
      </c>
    </row>
    <row r="654" spans="1:15" hidden="1" x14ac:dyDescent="0.2">
      <c r="A654" s="128"/>
      <c r="B654" s="131"/>
      <c r="C654" s="110" t="s">
        <v>714</v>
      </c>
      <c r="D654" s="112"/>
      <c r="E654" s="112"/>
      <c r="F654" s="112"/>
      <c r="G654" s="112"/>
      <c r="H654" s="112"/>
      <c r="I654" s="55"/>
      <c r="J654" s="222"/>
      <c r="K654" s="222"/>
      <c r="L654" s="231"/>
      <c r="M654" s="231"/>
      <c r="N654" s="231"/>
      <c r="O654" s="231"/>
    </row>
    <row r="655" spans="1:15" hidden="1" x14ac:dyDescent="0.2">
      <c r="A655" s="129"/>
      <c r="B655" s="132"/>
      <c r="C655" s="110" t="s">
        <v>713</v>
      </c>
      <c r="D655" s="112"/>
      <c r="E655" s="112"/>
      <c r="F655" s="112"/>
      <c r="G655" s="112"/>
      <c r="H655" s="112"/>
      <c r="I655" s="55"/>
      <c r="J655" s="222"/>
      <c r="K655" s="222"/>
      <c r="L655" s="231"/>
      <c r="M655" s="231"/>
      <c r="N655" s="231"/>
      <c r="O655" s="231"/>
    </row>
    <row r="656" spans="1:15" ht="38.25" x14ac:dyDescent="0.2">
      <c r="A656" s="127">
        <f>SUBTOTAL(103,$B$10:B658)</f>
        <v>190</v>
      </c>
      <c r="B656" s="130">
        <v>54</v>
      </c>
      <c r="C656" s="110" t="s">
        <v>483</v>
      </c>
      <c r="D656" s="111">
        <f>IF(COUNTIF(tSIAF[Clave],"2660479|54")=0,"",SUMIF(tSIAF[Clave],"2660479|54",tSIAF[PIM]))</f>
        <v>112244</v>
      </c>
      <c r="E656" s="111">
        <f>IF(COUNTIF(tSIAF[Clave],"2660479|54")=0,"",SUMIF(tSIAF[Clave],"2660479|54",tSIAF[Certificacion]))</f>
        <v>112243.56</v>
      </c>
      <c r="F656" s="111">
        <f>IF(D656="","",D656-E656)</f>
        <v>0.44000000000232831</v>
      </c>
      <c r="G656" s="111">
        <f>IF(COUNTIF(tSIAF[Clave],"2660479|54")=0,"",SUMIF(tSIAF[Clave],"2660479|54",tSIAF[Devengado]))</f>
        <v>78030.97</v>
      </c>
      <c r="H656" s="111">
        <f>IF(D656="","",D656-G656)</f>
        <v>34213.03</v>
      </c>
      <c r="I656" s="55">
        <f>IF(D656="","",IF(D656=0,0,G656/D656))</f>
        <v>0.69519056697908133</v>
      </c>
      <c r="J656" s="222"/>
      <c r="K656" s="222" t="s">
        <v>2299</v>
      </c>
      <c r="L656" s="231">
        <f>IF(COUNTIF(tCartera[CUI],"2660479")=0,"Sin PMI",IF(INDEX(tCartera[PMI2026],MATCH("2660479",tCartera[CUI],0))="","No informado",INDEX(tCartera[PMI2026],MATCH("2660479",tCartera[CUI],0))))</f>
        <v>50000</v>
      </c>
      <c r="M656" s="231">
        <f>IF(COUNTIF(tCartera[CUI],"2660479")=0,"Sin PMI",IF(INDEX(tCartera[PMI2027],MATCH("2660479",tCartera[CUI],0))="","No informado",INDEX(tCartera[PMI2027],MATCH("2660479",tCartera[CUI],0))))</f>
        <v>3985654</v>
      </c>
      <c r="N656" s="231">
        <f>IF(COUNTIF(tCartera[CUI],"2660479")=0,"Sin PMI",IF(INDEX(tCartera[PMI2028],MATCH("2660479",tCartera[CUI],0))="","No informado",INDEX(tCartera[PMI2028],MATCH("2660479",tCartera[CUI],0))))</f>
        <v>0</v>
      </c>
      <c r="O656" s="231">
        <f>IF(COUNTIF(tCartera[CUI],"2660479")=0,"Sin PMI",IF(INDEX(tCartera[PMI2029],MATCH("2660479",tCartera[CUI],0))="","No informado",INDEX(tCartera[PMI2029],MATCH("2660479",tCartera[CUI],0))))</f>
        <v>500000</v>
      </c>
    </row>
    <row r="657" spans="1:15" hidden="1" x14ac:dyDescent="0.2">
      <c r="A657" s="128"/>
      <c r="B657" s="131"/>
      <c r="C657" s="110" t="s">
        <v>714</v>
      </c>
      <c r="D657" s="112"/>
      <c r="E657" s="112"/>
      <c r="F657" s="112"/>
      <c r="G657" s="112"/>
      <c r="H657" s="112"/>
      <c r="I657" s="55"/>
      <c r="J657" s="222"/>
      <c r="K657" s="222"/>
      <c r="L657" s="231"/>
      <c r="M657" s="231"/>
      <c r="N657" s="231"/>
      <c r="O657" s="231"/>
    </row>
    <row r="658" spans="1:15" hidden="1" x14ac:dyDescent="0.2">
      <c r="A658" s="129"/>
      <c r="B658" s="132"/>
      <c r="C658" s="110" t="s">
        <v>713</v>
      </c>
      <c r="D658" s="112"/>
      <c r="E658" s="112"/>
      <c r="F658" s="112"/>
      <c r="G658" s="112"/>
      <c r="H658" s="112"/>
      <c r="I658" s="55"/>
      <c r="J658" s="222"/>
      <c r="K658" s="222"/>
      <c r="L658" s="231"/>
      <c r="M658" s="231"/>
      <c r="N658" s="231"/>
      <c r="O658" s="231"/>
    </row>
    <row r="659" spans="1:15" ht="63.75" hidden="1" x14ac:dyDescent="0.2">
      <c r="A659" s="127">
        <f>SUBTOTAL(103,$B$8:B659)</f>
        <v>190</v>
      </c>
      <c r="B659" s="130"/>
      <c r="C659" s="115" t="s">
        <v>485</v>
      </c>
      <c r="D659" s="111"/>
      <c r="E659" s="111"/>
      <c r="F659" s="111"/>
      <c r="G659" s="111"/>
      <c r="H659" s="111"/>
      <c r="I659" s="55"/>
      <c r="J659" s="222"/>
      <c r="K659" s="222"/>
      <c r="L659" s="231"/>
      <c r="M659" s="231"/>
      <c r="N659" s="231"/>
      <c r="O659" s="231"/>
    </row>
    <row r="660" spans="1:15" hidden="1" x14ac:dyDescent="0.2">
      <c r="A660" s="129"/>
      <c r="B660" s="132"/>
      <c r="C660" s="115" t="s">
        <v>87</v>
      </c>
      <c r="D660" s="111"/>
      <c r="E660" s="111"/>
      <c r="F660" s="111"/>
      <c r="G660" s="111"/>
      <c r="H660" s="111"/>
      <c r="I660" s="55"/>
      <c r="J660" s="222"/>
      <c r="K660" s="222"/>
      <c r="L660" s="231"/>
      <c r="M660" s="231"/>
      <c r="N660" s="231"/>
      <c r="O660" s="231"/>
    </row>
    <row r="661" spans="1:15" ht="51" x14ac:dyDescent="0.2">
      <c r="A661" s="127">
        <f>SUBTOTAL(103,$B$10:B663)</f>
        <v>191</v>
      </c>
      <c r="B661" s="130">
        <v>55</v>
      </c>
      <c r="C661" s="110" t="s">
        <v>488</v>
      </c>
      <c r="D661" s="111">
        <f>IF(COUNTIF(tSIAF[Clave],"2662668|55")=0,"",SUMIF(tSIAF[Clave],"2662668|55",tSIAF[PIM]))</f>
        <v>164979</v>
      </c>
      <c r="E661" s="111">
        <f>IF(COUNTIF(tSIAF[Clave],"2662668|55")=0,"",SUMIF(tSIAF[Clave],"2662668|55",tSIAF[Certificacion]))</f>
        <v>164976.5</v>
      </c>
      <c r="F661" s="111">
        <f>IF(D661="","",D661-E661)</f>
        <v>2.5</v>
      </c>
      <c r="G661" s="111">
        <f>IF(COUNTIF(tSIAF[Clave],"2662668|55")=0,"",SUMIF(tSIAF[Clave],"2662668|55",tSIAF[Devengado]))</f>
        <v>152477.04</v>
      </c>
      <c r="H661" s="111">
        <f>IF(D661="","",D661-G661)</f>
        <v>12501.959999999992</v>
      </c>
      <c r="I661" s="55">
        <f>IF(D661="","",IF(D661=0,0,G661/D661))</f>
        <v>0.92422090084192543</v>
      </c>
      <c r="J661" s="222"/>
      <c r="K661" s="222" t="s">
        <v>2299</v>
      </c>
      <c r="L661" s="231">
        <f>IF(COUNTIF(tCartera[CUI],"2662668")=0,"Sin PMI",IF(INDEX(tCartera[PMI2026],MATCH("2662668",tCartera[CUI],0))="","No informado",INDEX(tCartera[PMI2026],MATCH("2662668",tCartera[CUI],0))))</f>
        <v>50000</v>
      </c>
      <c r="M661" s="231">
        <f>IF(COUNTIF(tCartera[CUI],"2662668")=0,"Sin PMI",IF(INDEX(tCartera[PMI2027],MATCH("2662668",tCartera[CUI],0))="","No informado",INDEX(tCartera[PMI2027],MATCH("2662668",tCartera[CUI],0))))</f>
        <v>2375675</v>
      </c>
      <c r="N661" s="231">
        <f>IF(COUNTIF(tCartera[CUI],"2662668")=0,"Sin PMI",IF(INDEX(tCartera[PMI2028],MATCH("2662668",tCartera[CUI],0))="","No informado",INDEX(tCartera[PMI2028],MATCH("2662668",tCartera[CUI],0))))</f>
        <v>0</v>
      </c>
      <c r="O661" s="231">
        <f>IF(COUNTIF(tCartera[CUI],"2662668")=0,"Sin PMI",IF(INDEX(tCartera[PMI2029],MATCH("2662668",tCartera[CUI],0))="","No informado",INDEX(tCartera[PMI2029],MATCH("2662668",tCartera[CUI],0))))</f>
        <v>0</v>
      </c>
    </row>
    <row r="662" spans="1:15" hidden="1" x14ac:dyDescent="0.2">
      <c r="A662" s="128"/>
      <c r="B662" s="131"/>
      <c r="C662" s="110" t="s">
        <v>714</v>
      </c>
      <c r="D662" s="112"/>
      <c r="E662" s="112"/>
      <c r="F662" s="112"/>
      <c r="G662" s="112"/>
      <c r="H662" s="112"/>
      <c r="I662" s="55"/>
      <c r="J662" s="222"/>
      <c r="K662" s="222"/>
      <c r="L662" s="231"/>
      <c r="M662" s="231"/>
      <c r="N662" s="231"/>
      <c r="O662" s="231"/>
    </row>
    <row r="663" spans="1:15" hidden="1" x14ac:dyDescent="0.2">
      <c r="A663" s="129"/>
      <c r="B663" s="132"/>
      <c r="C663" s="110" t="s">
        <v>713</v>
      </c>
      <c r="D663" s="112"/>
      <c r="E663" s="112"/>
      <c r="F663" s="112"/>
      <c r="G663" s="112"/>
      <c r="H663" s="112"/>
      <c r="I663" s="55"/>
      <c r="J663" s="222"/>
      <c r="K663" s="222"/>
      <c r="L663" s="231"/>
      <c r="M663" s="231"/>
      <c r="N663" s="231"/>
      <c r="O663" s="231"/>
    </row>
    <row r="664" spans="1:15" ht="51" x14ac:dyDescent="0.2">
      <c r="A664" s="127">
        <f>SUBTOTAL(103,$B$10:B666)</f>
        <v>192</v>
      </c>
      <c r="B664" s="130">
        <v>56</v>
      </c>
      <c r="C664" s="110" t="s">
        <v>471</v>
      </c>
      <c r="D664" s="111">
        <f>IF(COUNTIF(tSIAF[Clave],"2662786|56")=0,"",SUMIF(tSIAF[Clave],"2662786|56",tSIAF[PIM]))</f>
        <v>99897</v>
      </c>
      <c r="E664" s="111">
        <f>IF(COUNTIF(tSIAF[Clave],"2662786|56")=0,"",SUMIF(tSIAF[Clave],"2662786|56",tSIAF[Certificacion]))</f>
        <v>99879.63</v>
      </c>
      <c r="F664" s="111">
        <f>IF(D664="","",D664-E664)</f>
        <v>17.369999999995343</v>
      </c>
      <c r="G664" s="111">
        <f>IF(COUNTIF(tSIAF[Clave],"2662786|56")=0,"",SUMIF(tSIAF[Clave],"2662786|56",tSIAF[Devengado]))</f>
        <v>91645.05</v>
      </c>
      <c r="H664" s="111">
        <f>IF(D664="","",D664-G664)</f>
        <v>8251.9499999999971</v>
      </c>
      <c r="I664" s="55">
        <f>IF(D664="","",IF(D664=0,0,G664/D664))</f>
        <v>0.91739541727979823</v>
      </c>
      <c r="J664" s="222"/>
      <c r="K664" s="222" t="s">
        <v>2299</v>
      </c>
      <c r="L664" s="231">
        <f>IF(COUNTIF(tCartera[CUI],"2662786")=0,"Sin PMI",IF(INDEX(tCartera[PMI2026],MATCH("2662786",tCartera[CUI],0))="","No informado",INDEX(tCartera[PMI2026],MATCH("2662786",tCartera[CUI],0))))</f>
        <v>50000</v>
      </c>
      <c r="M664" s="231">
        <f>IF(COUNTIF(tCartera[CUI],"2662786")=0,"Sin PMI",IF(INDEX(tCartera[PMI2027],MATCH("2662786",tCartera[CUI],0))="","No informado",INDEX(tCartera[PMI2027],MATCH("2662786",tCartera[CUI],0))))</f>
        <v>1278678</v>
      </c>
      <c r="N664" s="231">
        <f>IF(COUNTIF(tCartera[CUI],"2662786")=0,"Sin PMI",IF(INDEX(tCartera[PMI2028],MATCH("2662786",tCartera[CUI],0))="","No informado",INDEX(tCartera[PMI2028],MATCH("2662786",tCartera[CUI],0))))</f>
        <v>0</v>
      </c>
      <c r="O664" s="231">
        <f>IF(COUNTIF(tCartera[CUI],"2662786")=0,"Sin PMI",IF(INDEX(tCartera[PMI2029],MATCH("2662786",tCartera[CUI],0))="","No informado",INDEX(tCartera[PMI2029],MATCH("2662786",tCartera[CUI],0))))</f>
        <v>1000000</v>
      </c>
    </row>
    <row r="665" spans="1:15" hidden="1" x14ac:dyDescent="0.2">
      <c r="A665" s="128"/>
      <c r="B665" s="131"/>
      <c r="C665" s="110" t="s">
        <v>714</v>
      </c>
      <c r="D665" s="112"/>
      <c r="E665" s="112"/>
      <c r="F665" s="112"/>
      <c r="G665" s="112"/>
      <c r="H665" s="112"/>
      <c r="I665" s="55"/>
      <c r="J665" s="222"/>
      <c r="K665" s="222"/>
      <c r="L665" s="231"/>
      <c r="M665" s="231"/>
      <c r="N665" s="231"/>
      <c r="O665" s="231"/>
    </row>
    <row r="666" spans="1:15" hidden="1" x14ac:dyDescent="0.2">
      <c r="A666" s="129"/>
      <c r="B666" s="132"/>
      <c r="C666" s="110" t="s">
        <v>713</v>
      </c>
      <c r="D666" s="112"/>
      <c r="E666" s="112"/>
      <c r="F666" s="112"/>
      <c r="G666" s="112"/>
      <c r="H666" s="112"/>
      <c r="I666" s="55"/>
      <c r="J666" s="222"/>
      <c r="K666" s="222"/>
      <c r="L666" s="231"/>
      <c r="M666" s="231"/>
      <c r="N666" s="231"/>
      <c r="O666" s="231"/>
    </row>
    <row r="667" spans="1:15" ht="51" x14ac:dyDescent="0.2">
      <c r="A667" s="127">
        <f>SUBTOTAL(103,$B$10:B669)</f>
        <v>193</v>
      </c>
      <c r="B667" s="130">
        <v>57</v>
      </c>
      <c r="C667" s="110" t="s">
        <v>511</v>
      </c>
      <c r="D667" s="111">
        <f>IF(COUNTIF(tSIAF[Clave],"2664647|57")=0,"",SUMIF(tSIAF[Clave],"2664647|57",tSIAF[PIM]))</f>
        <v>332000</v>
      </c>
      <c r="E667" s="111">
        <f>IF(COUNTIF(tSIAF[Clave],"2664647|57")=0,"",SUMIF(tSIAF[Clave],"2664647|57",tSIAF[Certificacion]))</f>
        <v>332000</v>
      </c>
      <c r="F667" s="111">
        <f>IF(D667="","",D667-E667)</f>
        <v>0</v>
      </c>
      <c r="G667" s="111">
        <f>IF(COUNTIF(tSIAF[Clave],"2664647|57")=0,"",SUMIF(tSIAF[Clave],"2664647|57",tSIAF[Devengado]))</f>
        <v>165235.17000000001</v>
      </c>
      <c r="H667" s="111">
        <f>IF(D667="","",D667-G667)</f>
        <v>166764.82999999999</v>
      </c>
      <c r="I667" s="55">
        <f>IF(D667="","",IF(D667=0,0,G667/D667))</f>
        <v>0.49769629518072295</v>
      </c>
      <c r="J667" s="222"/>
      <c r="K667" s="222" t="s">
        <v>2299</v>
      </c>
      <c r="L667" s="231">
        <f>IF(COUNTIF(tCartera[CUI],"2664647")=0,"Sin PMI",IF(INDEX(tCartera[PMI2026],MATCH("2664647",tCartera[CUI],0))="","No informado",INDEX(tCartera[PMI2026],MATCH("2664647",tCartera[CUI],0))))</f>
        <v>50000</v>
      </c>
      <c r="M667" s="231">
        <f>IF(COUNTIF(tCartera[CUI],"2664647")=0,"Sin PMI",IF(INDEX(tCartera[PMI2027],MATCH("2664647",tCartera[CUI],0))="","No informado",INDEX(tCartera[PMI2027],MATCH("2664647",tCartera[CUI],0))))</f>
        <v>0</v>
      </c>
      <c r="N667" s="231">
        <f>IF(COUNTIF(tCartera[CUI],"2664647")=0,"Sin PMI",IF(INDEX(tCartera[PMI2028],MATCH("2664647",tCartera[CUI],0))="","No informado",INDEX(tCartera[PMI2028],MATCH("2664647",tCartera[CUI],0))))</f>
        <v>0</v>
      </c>
      <c r="O667" s="231">
        <f>IF(COUNTIF(tCartera[CUI],"2664647")=0,"Sin PMI",IF(INDEX(tCartera[PMI2029],MATCH("2664647",tCartera[CUI],0))="","No informado",INDEX(tCartera[PMI2029],MATCH("2664647",tCartera[CUI],0))))</f>
        <v>50000</v>
      </c>
    </row>
    <row r="668" spans="1:15" hidden="1" x14ac:dyDescent="0.2">
      <c r="A668" s="128"/>
      <c r="B668" s="131"/>
      <c r="C668" s="110" t="s">
        <v>714</v>
      </c>
      <c r="D668" s="112"/>
      <c r="E668" s="112"/>
      <c r="F668" s="112"/>
      <c r="G668" s="112"/>
      <c r="H668" s="112"/>
      <c r="I668" s="55"/>
      <c r="J668" s="222"/>
      <c r="K668" s="222"/>
      <c r="L668" s="231"/>
      <c r="M668" s="231"/>
      <c r="N668" s="231"/>
      <c r="O668" s="231"/>
    </row>
    <row r="669" spans="1:15" hidden="1" x14ac:dyDescent="0.2">
      <c r="A669" s="129"/>
      <c r="B669" s="132"/>
      <c r="C669" s="110" t="s">
        <v>713</v>
      </c>
      <c r="D669" s="112"/>
      <c r="E669" s="112"/>
      <c r="F669" s="112"/>
      <c r="G669" s="112"/>
      <c r="H669" s="112"/>
      <c r="I669" s="55"/>
      <c r="J669" s="222"/>
      <c r="K669" s="222"/>
      <c r="L669" s="231"/>
      <c r="M669" s="231"/>
      <c r="N669" s="231"/>
      <c r="O669" s="231"/>
    </row>
    <row r="670" spans="1:15" ht="51" hidden="1" x14ac:dyDescent="0.2">
      <c r="A670" s="127">
        <f>SUBTOTAL(103,$B$10:B672)</f>
        <v>193</v>
      </c>
      <c r="B670" s="130">
        <v>58</v>
      </c>
      <c r="C670" s="110" t="s">
        <v>512</v>
      </c>
      <c r="D670" s="111">
        <f>IF(COUNTIF(tSIAF[Clave],"2673628|58")=0,"",SUMIF(tSIAF[Clave],"2673628|58",tSIAF[PIM]))</f>
        <v>0</v>
      </c>
      <c r="E670" s="111">
        <f>IF(COUNTIF(tSIAF[Clave],"2673628|58")=0,"",SUMIF(tSIAF[Clave],"2673628|58",tSIAF[Certificacion]))</f>
        <v>0</v>
      </c>
      <c r="F670" s="111">
        <f>IF(D670="","",D670-E670)</f>
        <v>0</v>
      </c>
      <c r="G670" s="111">
        <f>IF(COUNTIF(tSIAF[Clave],"2673628|58")=0,"",SUMIF(tSIAF[Clave],"2673628|58",tSIAF[Devengado]))</f>
        <v>0</v>
      </c>
      <c r="H670" s="111">
        <f>IF(D670="","",D670-G670)</f>
        <v>0</v>
      </c>
      <c r="I670" s="55">
        <f>IF(D670="","",IF(D670=0,0,G670/D670))</f>
        <v>0</v>
      </c>
      <c r="J670" s="222"/>
      <c r="K670" s="222" t="s">
        <v>2299</v>
      </c>
      <c r="L670" s="231">
        <f>IF(COUNTIF(tCartera[CUI],"2673628")=0,"Sin PMI",IF(INDEX(tCartera[PMI2026],MATCH("2673628",tCartera[CUI],0))="","No informado",INDEX(tCartera[PMI2026],MATCH("2673628",tCartera[CUI],0))))</f>
        <v>50000</v>
      </c>
      <c r="M670" s="231">
        <f>IF(COUNTIF(tCartera[CUI],"2673628")=0,"Sin PMI",IF(INDEX(tCartera[PMI2027],MATCH("2673628",tCartera[CUI],0))="","No informado",INDEX(tCartera[PMI2027],MATCH("2673628",tCartera[CUI],0))))</f>
        <v>0</v>
      </c>
      <c r="N670" s="231">
        <f>IF(COUNTIF(tCartera[CUI],"2673628")=0,"Sin PMI",IF(INDEX(tCartera[PMI2028],MATCH("2673628",tCartera[CUI],0))="","No informado",INDEX(tCartera[PMI2028],MATCH("2673628",tCartera[CUI],0))))</f>
        <v>0</v>
      </c>
      <c r="O670" s="231">
        <f>IF(COUNTIF(tCartera[CUI],"2673628")=0,"Sin PMI",IF(INDEX(tCartera[PMI2029],MATCH("2673628",tCartera[CUI],0))="","No informado",INDEX(tCartera[PMI2029],MATCH("2673628",tCartera[CUI],0))))</f>
        <v>2500000</v>
      </c>
    </row>
    <row r="671" spans="1:15" hidden="1" x14ac:dyDescent="0.2">
      <c r="A671" s="128"/>
      <c r="B671" s="131"/>
      <c r="C671" s="110" t="s">
        <v>714</v>
      </c>
      <c r="D671" s="112"/>
      <c r="E671" s="112"/>
      <c r="F671" s="112"/>
      <c r="G671" s="112"/>
      <c r="H671" s="112"/>
      <c r="I671" s="55"/>
      <c r="J671" s="222"/>
      <c r="K671" s="222"/>
      <c r="L671" s="231"/>
      <c r="M671" s="231"/>
      <c r="N671" s="231"/>
      <c r="O671" s="231"/>
    </row>
    <row r="672" spans="1:15" hidden="1" x14ac:dyDescent="0.2">
      <c r="A672" s="129"/>
      <c r="B672" s="132"/>
      <c r="C672" s="110" t="s">
        <v>713</v>
      </c>
      <c r="D672" s="112"/>
      <c r="E672" s="112"/>
      <c r="F672" s="112"/>
      <c r="G672" s="112"/>
      <c r="H672" s="112"/>
      <c r="I672" s="55"/>
      <c r="J672" s="222"/>
      <c r="K672" s="222"/>
      <c r="L672" s="231"/>
      <c r="M672" s="231"/>
      <c r="N672" s="231"/>
      <c r="O672" s="231"/>
    </row>
    <row r="673" spans="1:15" ht="51" x14ac:dyDescent="0.2">
      <c r="A673" s="127">
        <f>SUBTOTAL(103,$B$10:B675)</f>
        <v>194</v>
      </c>
      <c r="B673" s="130">
        <v>81</v>
      </c>
      <c r="C673" s="110" t="s">
        <v>188</v>
      </c>
      <c r="D673" s="111">
        <f>IF(COUNTIF(tSIAF[Clave],"2357337|81")=0,"",SUMIF(tSIAF[Clave],"2357337|81",tSIAF[PIM]))</f>
        <v>100000</v>
      </c>
      <c r="E673" s="111">
        <f>IF(COUNTIF(tSIAF[Clave],"2357337|81")=0,"",SUMIF(tSIAF[Clave],"2357337|81",tSIAF[Certificacion]))</f>
        <v>50000</v>
      </c>
      <c r="F673" s="111">
        <f>IF(D673="","",D673-E673)</f>
        <v>50000</v>
      </c>
      <c r="G673" s="111">
        <f>IF(COUNTIF(tSIAF[Clave],"2357337|81")=0,"",SUMIF(tSIAF[Clave],"2357337|81",tSIAF[Devengado]))</f>
        <v>0</v>
      </c>
      <c r="H673" s="111">
        <f>IF(D673="","",D673-G673)</f>
        <v>100000</v>
      </c>
      <c r="I673" s="55">
        <f>IF(D673="","",IF(D673=0,0,G673/D673))</f>
        <v>0</v>
      </c>
      <c r="J673" s="222"/>
      <c r="K673" s="222" t="s">
        <v>2299</v>
      </c>
      <c r="L673" s="231">
        <f>IF(COUNTIF(tCartera[CUI],"2357337")=0,"Sin PMI",IF(INDEX(tCartera[PMI2026],MATCH("2357337",tCartera[CUI],0))="","No informado",INDEX(tCartera[PMI2026],MATCH("2357337",tCartera[CUI],0))))</f>
        <v>100000</v>
      </c>
      <c r="M673" s="231">
        <f>IF(COUNTIF(tCartera[CUI],"2357337")=0,"Sin PMI",IF(INDEX(tCartera[PMI2027],MATCH("2357337",tCartera[CUI],0))="","No informado",INDEX(tCartera[PMI2027],MATCH("2357337",tCartera[CUI],0))))</f>
        <v>567456</v>
      </c>
      <c r="N673" s="231">
        <f>IF(COUNTIF(tCartera[CUI],"2357337")=0,"Sin PMI",IF(INDEX(tCartera[PMI2028],MATCH("2357337",tCartera[CUI],0))="","No informado",INDEX(tCartera[PMI2028],MATCH("2357337",tCartera[CUI],0))))</f>
        <v>15577911</v>
      </c>
      <c r="O673" s="231">
        <f>IF(COUNTIF(tCartera[CUI],"2357337")=0,"Sin PMI",IF(INDEX(tCartera[PMI2029],MATCH("2357337",tCartera[CUI],0))="","No informado",INDEX(tCartera[PMI2029],MATCH("2357337",tCartera[CUI],0))))</f>
        <v>23141649</v>
      </c>
    </row>
    <row r="674" spans="1:15" hidden="1" x14ac:dyDescent="0.2">
      <c r="A674" s="128"/>
      <c r="B674" s="131"/>
      <c r="C674" s="110" t="s">
        <v>714</v>
      </c>
      <c r="D674" s="112"/>
      <c r="E674" s="112"/>
      <c r="F674" s="112"/>
      <c r="G674" s="112"/>
      <c r="H674" s="112"/>
      <c r="I674" s="55"/>
      <c r="J674" s="222"/>
      <c r="K674" s="222"/>
      <c r="L674" s="231"/>
      <c r="M674" s="231"/>
      <c r="N674" s="231"/>
      <c r="O674" s="231"/>
    </row>
    <row r="675" spans="1:15" hidden="1" x14ac:dyDescent="0.2">
      <c r="A675" s="129"/>
      <c r="B675" s="132"/>
      <c r="C675" s="110" t="s">
        <v>713</v>
      </c>
      <c r="D675" s="112"/>
      <c r="E675" s="112"/>
      <c r="F675" s="112"/>
      <c r="G675" s="112"/>
      <c r="H675" s="112"/>
      <c r="I675" s="55"/>
      <c r="J675" s="222"/>
      <c r="K675" s="222"/>
      <c r="L675" s="231"/>
      <c r="M675" s="231"/>
      <c r="N675" s="231"/>
      <c r="O675" s="231"/>
    </row>
    <row r="676" spans="1:15" ht="51" x14ac:dyDescent="0.2">
      <c r="A676" s="127">
        <f>SUBTOTAL(103,$B$10:B679)</f>
        <v>195</v>
      </c>
      <c r="B676" s="130">
        <v>82</v>
      </c>
      <c r="C676" s="110" t="s">
        <v>327</v>
      </c>
      <c r="D676" s="111">
        <f>IF(COUNTIF(tSIAF[Clave],"2623873|82")=0,"",SUMIF(tSIAF[Clave],"2623873|82",tSIAF[PIM]))</f>
        <v>408761</v>
      </c>
      <c r="E676" s="111">
        <f>IF(COUNTIF(tSIAF[Clave],"2623873|82")=0,"",SUMIF(tSIAF[Clave],"2623873|82",tSIAF[Certificacion]))</f>
        <v>356083</v>
      </c>
      <c r="F676" s="111">
        <f>IF(D676="","",D676-E676)</f>
        <v>52678</v>
      </c>
      <c r="G676" s="111">
        <f>IF(COUNTIF(tSIAF[Clave],"2623873|82")=0,"",SUMIF(tSIAF[Clave],"2623873|82",tSIAF[Devengado]))</f>
        <v>242446.26</v>
      </c>
      <c r="H676" s="111">
        <f>IF(D676="","",D676-G676)</f>
        <v>166314.74</v>
      </c>
      <c r="I676" s="55">
        <f>IF(D676="","",IF(D676=0,0,G676/D676))</f>
        <v>0.59312473548112465</v>
      </c>
      <c r="J676" s="222"/>
      <c r="K676" s="222" t="s">
        <v>2299</v>
      </c>
      <c r="L676" s="231">
        <f>IF(COUNTIF(tCartera[CUI],"2623873")=0,"Sin PMI",IF(INDEX(tCartera[PMI2026],MATCH("2623873",tCartera[CUI],0))="","No informado",INDEX(tCartera[PMI2026],MATCH("2623873",tCartera[CUI],0))))</f>
        <v>2981000</v>
      </c>
      <c r="M676" s="231">
        <f>IF(COUNTIF(tCartera[CUI],"2623873")=0,"Sin PMI",IF(INDEX(tCartera[PMI2027],MATCH("2623873",tCartera[CUI],0))="","No informado",INDEX(tCartera[PMI2027],MATCH("2623873",tCartera[CUI],0))))</f>
        <v>2654845</v>
      </c>
      <c r="N676" s="231">
        <f>IF(COUNTIF(tCartera[CUI],"2623873")=0,"Sin PMI",IF(INDEX(tCartera[PMI2028],MATCH("2623873",tCartera[CUI],0))="","No informado",INDEX(tCartera[PMI2028],MATCH("2623873",tCartera[CUI],0))))</f>
        <v>0</v>
      </c>
      <c r="O676" s="231">
        <f>IF(COUNTIF(tCartera[CUI],"2623873")=0,"Sin PMI",IF(INDEX(tCartera[PMI2029],MATCH("2623873",tCartera[CUI],0))="","No informado",INDEX(tCartera[PMI2029],MATCH("2623873",tCartera[CUI],0))))</f>
        <v>1000000</v>
      </c>
    </row>
    <row r="677" spans="1:15" ht="31.5" hidden="1" customHeight="1" x14ac:dyDescent="0.2">
      <c r="A677" s="128"/>
      <c r="B677" s="131"/>
      <c r="C677" s="115" t="s">
        <v>87</v>
      </c>
      <c r="D677" s="111"/>
      <c r="E677" s="111"/>
      <c r="F677" s="111"/>
      <c r="G677" s="111"/>
      <c r="H677" s="111"/>
      <c r="I677" s="55"/>
      <c r="J677" s="222"/>
      <c r="K677" s="222"/>
      <c r="L677" s="231"/>
      <c r="M677" s="231"/>
      <c r="N677" s="231"/>
      <c r="O677" s="231"/>
    </row>
    <row r="678" spans="1:15" hidden="1" x14ac:dyDescent="0.2">
      <c r="A678" s="128"/>
      <c r="B678" s="131"/>
      <c r="C678" s="110" t="s">
        <v>714</v>
      </c>
      <c r="D678" s="112"/>
      <c r="E678" s="112"/>
      <c r="F678" s="112"/>
      <c r="G678" s="112"/>
      <c r="H678" s="112"/>
      <c r="I678" s="55"/>
      <c r="J678" s="222"/>
      <c r="K678" s="222"/>
      <c r="L678" s="231"/>
      <c r="M678" s="231"/>
      <c r="N678" s="231"/>
      <c r="O678" s="231"/>
    </row>
    <row r="679" spans="1:15" hidden="1" x14ac:dyDescent="0.2">
      <c r="A679" s="129"/>
      <c r="B679" s="132"/>
      <c r="C679" s="110" t="s">
        <v>713</v>
      </c>
      <c r="D679" s="112"/>
      <c r="E679" s="112"/>
      <c r="F679" s="112"/>
      <c r="G679" s="112"/>
      <c r="H679" s="112"/>
      <c r="I679" s="55"/>
      <c r="J679" s="222"/>
      <c r="K679" s="222"/>
      <c r="L679" s="231"/>
      <c r="M679" s="231"/>
      <c r="N679" s="231"/>
      <c r="O679" s="231"/>
    </row>
    <row r="680" spans="1:15" ht="51" x14ac:dyDescent="0.2">
      <c r="A680" s="127">
        <f>SUBTOTAL(103,$B$10:B682)</f>
        <v>196</v>
      </c>
      <c r="B680" s="130">
        <v>155</v>
      </c>
      <c r="C680" s="110" t="s">
        <v>277</v>
      </c>
      <c r="D680" s="111">
        <f>IF(COUNTIF(tSIAF[Clave],"2403888|155")=0,"",SUMIF(tSIAF[Clave],"2403888|155",tSIAF[PIM]))</f>
        <v>261704</v>
      </c>
      <c r="E680" s="111">
        <f>IF(COUNTIF(tSIAF[Clave],"2403888|155")=0,"",SUMIF(tSIAF[Clave],"2403888|155",tSIAF[Certificacion]))</f>
        <v>261704</v>
      </c>
      <c r="F680" s="111">
        <f>IF(D680="","",D680-E680)</f>
        <v>0</v>
      </c>
      <c r="G680" s="111">
        <f>IF(COUNTIF(tSIAF[Clave],"2403888|155")=0,"",SUMIF(tSIAF[Clave],"2403888|155",tSIAF[Devengado]))</f>
        <v>134683.19</v>
      </c>
      <c r="H680" s="111">
        <f>IF(D680="","",D680-G680)</f>
        <v>127020.81</v>
      </c>
      <c r="I680" s="55">
        <f>IF(D680="","",IF(D680=0,0,G680/D680))</f>
        <v>0.51463940176688172</v>
      </c>
      <c r="J680" s="222"/>
      <c r="K680" s="222" t="s">
        <v>2299</v>
      </c>
      <c r="L680" s="231">
        <f>IF(COUNTIF(tCartera[CUI],"2403888")=0,"Sin PMI",IF(INDEX(tCartera[PMI2026],MATCH("2403888",tCartera[CUI],0))="","No informado",INDEX(tCartera[PMI2026],MATCH("2403888",tCartera[CUI],0))))</f>
        <v>3500504</v>
      </c>
      <c r="M680" s="231">
        <f>IF(COUNTIF(tCartera[CUI],"2403888")=0,"Sin PMI",IF(INDEX(tCartera[PMI2027],MATCH("2403888",tCartera[CUI],0))="","No informado",INDEX(tCartera[PMI2027],MATCH("2403888",tCartera[CUI],0))))</f>
        <v>587541</v>
      </c>
      <c r="N680" s="231">
        <f>IF(COUNTIF(tCartera[CUI],"2403888")=0,"Sin PMI",IF(INDEX(tCartera[PMI2028],MATCH("2403888",tCartera[CUI],0))="","No informado",INDEX(tCartera[PMI2028],MATCH("2403888",tCartera[CUI],0))))</f>
        <v>0</v>
      </c>
      <c r="O680" s="231">
        <f>IF(COUNTIF(tCartera[CUI],"2403888")=0,"Sin PMI",IF(INDEX(tCartera[PMI2029],MATCH("2403888",tCartera[CUI],0))="","No informado",INDEX(tCartera[PMI2029],MATCH("2403888",tCartera[CUI],0))))</f>
        <v>1000000</v>
      </c>
    </row>
    <row r="681" spans="1:15" hidden="1" x14ac:dyDescent="0.2">
      <c r="A681" s="128"/>
      <c r="B681" s="131"/>
      <c r="C681" s="110" t="s">
        <v>716</v>
      </c>
      <c r="D681" s="112"/>
      <c r="E681" s="112"/>
      <c r="F681" s="112"/>
      <c r="G681" s="112"/>
      <c r="H681" s="112"/>
      <c r="I681" s="55"/>
      <c r="J681" s="222"/>
      <c r="K681" s="222"/>
      <c r="L681" s="231"/>
      <c r="M681" s="231"/>
      <c r="N681" s="231"/>
      <c r="O681" s="231"/>
    </row>
    <row r="682" spans="1:15" hidden="1" x14ac:dyDescent="0.2">
      <c r="A682" s="129"/>
      <c r="B682" s="132"/>
      <c r="C682" s="110" t="s">
        <v>713</v>
      </c>
      <c r="D682" s="112"/>
      <c r="E682" s="112"/>
      <c r="F682" s="112"/>
      <c r="G682" s="112"/>
      <c r="H682" s="112"/>
      <c r="I682" s="55"/>
      <c r="J682" s="222"/>
      <c r="K682" s="222"/>
      <c r="L682" s="231"/>
      <c r="M682" s="231"/>
      <c r="N682" s="231"/>
      <c r="O682" s="231"/>
    </row>
    <row r="683" spans="1:15" ht="51" x14ac:dyDescent="0.2">
      <c r="A683" s="127">
        <f>SUBTOTAL(103,$B$10:B685)</f>
        <v>197</v>
      </c>
      <c r="B683" s="130">
        <v>157</v>
      </c>
      <c r="C683" s="110" t="s">
        <v>273</v>
      </c>
      <c r="D683" s="111">
        <f>IF(COUNTIF(tSIAF[Clave],"2570033|157")=0,"",SUMIF(tSIAF[Clave],"2570033|157",tSIAF[PIM]))</f>
        <v>5089845</v>
      </c>
      <c r="E683" s="111">
        <f>IF(COUNTIF(tSIAF[Clave],"2570033|157")=0,"",SUMIF(tSIAF[Clave],"2570033|157",tSIAF[Certificacion]))</f>
        <v>5089845</v>
      </c>
      <c r="F683" s="111">
        <f>IF(D683="","",D683-E683)</f>
        <v>0</v>
      </c>
      <c r="G683" s="111">
        <f>IF(COUNTIF(tSIAF[Clave],"2570033|157")=0,"",SUMIF(tSIAF[Clave],"2570033|157",tSIAF[Devengado]))</f>
        <v>1952934.61</v>
      </c>
      <c r="H683" s="111">
        <f>IF(D683="","",D683-G683)</f>
        <v>3136910.3899999997</v>
      </c>
      <c r="I683" s="55">
        <f>IF(D683="","",IF(D683=0,0,G683/D683))</f>
        <v>0.38369235408936814</v>
      </c>
      <c r="J683" s="222"/>
      <c r="K683" s="222" t="s">
        <v>2299</v>
      </c>
      <c r="L683" s="231">
        <f>IF(COUNTIF(tCartera[CUI],"2570033")=0,"Sin PMI",IF(INDEX(tCartera[PMI2026],MATCH("2570033",tCartera[CUI],0))="","No informado",INDEX(tCartera[PMI2026],MATCH("2570033",tCartera[CUI],0))))</f>
        <v>6239845</v>
      </c>
      <c r="M683" s="231">
        <f>IF(COUNTIF(tCartera[CUI],"2570033")=0,"Sin PMI",IF(INDEX(tCartera[PMI2027],MATCH("2570033",tCartera[CUI],0))="","No informado",INDEX(tCartera[PMI2027],MATCH("2570033",tCartera[CUI],0))))</f>
        <v>8796121</v>
      </c>
      <c r="N683" s="231">
        <f>IF(COUNTIF(tCartera[CUI],"2570033")=0,"Sin PMI",IF(INDEX(tCartera[PMI2028],MATCH("2570033",tCartera[CUI],0))="","No informado",INDEX(tCartera[PMI2028],MATCH("2570033",tCartera[CUI],0))))</f>
        <v>0</v>
      </c>
      <c r="O683" s="231">
        <f>IF(COUNTIF(tCartera[CUI],"2570033")=0,"Sin PMI",IF(INDEX(tCartera[PMI2029],MATCH("2570033",tCartera[CUI],0))="","No informado",INDEX(tCartera[PMI2029],MATCH("2570033",tCartera[CUI],0))))</f>
        <v>7055000</v>
      </c>
    </row>
    <row r="684" spans="1:15" hidden="1" x14ac:dyDescent="0.2">
      <c r="A684" s="128"/>
      <c r="B684" s="131"/>
      <c r="C684" s="110" t="s">
        <v>714</v>
      </c>
      <c r="D684" s="112"/>
      <c r="E684" s="112"/>
      <c r="F684" s="112"/>
      <c r="G684" s="112"/>
      <c r="H684" s="112"/>
      <c r="I684" s="55"/>
      <c r="J684" s="222"/>
      <c r="K684" s="222"/>
      <c r="L684" s="231"/>
      <c r="M684" s="231"/>
      <c r="N684" s="231"/>
      <c r="O684" s="231"/>
    </row>
    <row r="685" spans="1:15" hidden="1" x14ac:dyDescent="0.2">
      <c r="A685" s="129"/>
      <c r="B685" s="132"/>
      <c r="C685" s="110" t="s">
        <v>717</v>
      </c>
      <c r="D685" s="112"/>
      <c r="E685" s="112"/>
      <c r="F685" s="112"/>
      <c r="G685" s="112"/>
      <c r="H685" s="112"/>
      <c r="I685" s="55"/>
      <c r="J685" s="222"/>
      <c r="K685" s="222"/>
      <c r="L685" s="231"/>
      <c r="M685" s="231"/>
      <c r="N685" s="231"/>
      <c r="O685" s="231"/>
    </row>
    <row r="686" spans="1:15" ht="38.25" x14ac:dyDescent="0.2">
      <c r="A686" s="127">
        <f>SUBTOTAL(103,$B$10:B688)</f>
        <v>198</v>
      </c>
      <c r="B686" s="130">
        <v>158</v>
      </c>
      <c r="C686" s="110" t="s">
        <v>286</v>
      </c>
      <c r="D686" s="111">
        <f>IF(COUNTIF(tSIAF[Clave],"2570365|158")=0,"",SUMIF(tSIAF[Clave],"2570365|158",tSIAF[PIM]))</f>
        <v>4863</v>
      </c>
      <c r="E686" s="111">
        <f>IF(COUNTIF(tSIAF[Clave],"2570365|158")=0,"",SUMIF(tSIAF[Clave],"2570365|158",tSIAF[Certificacion]))</f>
        <v>4863</v>
      </c>
      <c r="F686" s="111">
        <f>IF(D686="","",D686-E686)</f>
        <v>0</v>
      </c>
      <c r="G686" s="111">
        <f>IF(COUNTIF(tSIAF[Clave],"2570365|158")=0,"",SUMIF(tSIAF[Clave],"2570365|158",tSIAF[Devengado]))</f>
        <v>0</v>
      </c>
      <c r="H686" s="111">
        <f>IF(D686="","",D686-G686)</f>
        <v>4863</v>
      </c>
      <c r="I686" s="55">
        <f>IF(D686="","",IF(D686=0,0,G686/D686))</f>
        <v>0</v>
      </c>
      <c r="J686" s="222"/>
      <c r="K686" s="222" t="s">
        <v>2299</v>
      </c>
      <c r="L686" s="231">
        <f>IF(COUNTIF(tCartera[CUI],"2570365")=0,"Sin PMI",IF(INDEX(tCartera[PMI2026],MATCH("2570365",tCartera[CUI],0))="","No informado",INDEX(tCartera[PMI2026],MATCH("2570365",tCartera[CUI],0))))</f>
        <v>3832600</v>
      </c>
      <c r="M686" s="231">
        <f>IF(COUNTIF(tCartera[CUI],"2570365")=0,"Sin PMI",IF(INDEX(tCartera[PMI2027],MATCH("2570365",tCartera[CUI],0))="","No informado",INDEX(tCartera[PMI2027],MATCH("2570365",tCartera[CUI],0))))</f>
        <v>5698456</v>
      </c>
      <c r="N686" s="231">
        <f>IF(COUNTIF(tCartera[CUI],"2570365")=0,"Sin PMI",IF(INDEX(tCartera[PMI2028],MATCH("2570365",tCartera[CUI],0))="","No informado",INDEX(tCartera[PMI2028],MATCH("2570365",tCartera[CUI],0))))</f>
        <v>6500000</v>
      </c>
      <c r="O686" s="231">
        <f>IF(COUNTIF(tCartera[CUI],"2570365")=0,"Sin PMI",IF(INDEX(tCartera[PMI2029],MATCH("2570365",tCartera[CUI],0))="","No informado",INDEX(tCartera[PMI2029],MATCH("2570365",tCartera[CUI],0))))</f>
        <v>7136543</v>
      </c>
    </row>
    <row r="687" spans="1:15" hidden="1" x14ac:dyDescent="0.2">
      <c r="A687" s="128"/>
      <c r="B687" s="131"/>
      <c r="C687" s="110" t="s">
        <v>714</v>
      </c>
      <c r="D687" s="112"/>
      <c r="E687" s="112"/>
      <c r="F687" s="112"/>
      <c r="G687" s="112"/>
      <c r="H687" s="112"/>
      <c r="I687" s="55"/>
      <c r="J687" s="222"/>
      <c r="K687" s="222"/>
      <c r="L687" s="231"/>
      <c r="M687" s="231"/>
      <c r="N687" s="231"/>
      <c r="O687" s="231"/>
    </row>
    <row r="688" spans="1:15" hidden="1" x14ac:dyDescent="0.2">
      <c r="A688" s="129"/>
      <c r="B688" s="132"/>
      <c r="C688" s="110" t="s">
        <v>713</v>
      </c>
      <c r="D688" s="112"/>
      <c r="E688" s="112"/>
      <c r="F688" s="112"/>
      <c r="G688" s="112"/>
      <c r="H688" s="112"/>
      <c r="I688" s="55"/>
      <c r="J688" s="222"/>
      <c r="K688" s="222"/>
      <c r="L688" s="231"/>
      <c r="M688" s="231"/>
      <c r="N688" s="231"/>
      <c r="O688" s="231"/>
    </row>
    <row r="689" spans="1:15" ht="51" x14ac:dyDescent="0.2">
      <c r="A689" s="127">
        <f>SUBTOTAL(103,$B$10:B691)</f>
        <v>199</v>
      </c>
      <c r="B689" s="130">
        <v>159</v>
      </c>
      <c r="C689" s="110" t="s">
        <v>363</v>
      </c>
      <c r="D689" s="111">
        <f>IF(COUNTIF(tSIAF[Clave],"2570369|159")=0,"",SUMIF(tSIAF[Clave],"2570369|159",tSIAF[PIM]))</f>
        <v>5931027</v>
      </c>
      <c r="E689" s="111">
        <f>IF(COUNTIF(tSIAF[Clave],"2570369|159")=0,"",SUMIF(tSIAF[Clave],"2570369|159",tSIAF[Certificacion]))</f>
        <v>5660459</v>
      </c>
      <c r="F689" s="111">
        <f>IF(D689="","",D689-E689)</f>
        <v>270568</v>
      </c>
      <c r="G689" s="111">
        <f>IF(COUNTIF(tSIAF[Clave],"2570369|159")=0,"",SUMIF(tSIAF[Clave],"2570369|159",tSIAF[Devengado]))</f>
        <v>1327663.78</v>
      </c>
      <c r="H689" s="111">
        <f>IF(D689="","",D689-G689)</f>
        <v>4603363.22</v>
      </c>
      <c r="I689" s="55">
        <f>IF(D689="","",IF(D689=0,0,G689/D689))</f>
        <v>0.22385057090449934</v>
      </c>
      <c r="J689" s="222"/>
      <c r="K689" s="222" t="s">
        <v>2299</v>
      </c>
      <c r="L689" s="231">
        <f>IF(COUNTIF(tCartera[CUI],"2570369")=0,"Sin PMI",IF(INDEX(tCartera[PMI2026],MATCH("2570369",tCartera[CUI],0))="","No informado",INDEX(tCartera[PMI2026],MATCH("2570369",tCartera[CUI],0))))</f>
        <v>2769903</v>
      </c>
      <c r="M689" s="231">
        <f>IF(COUNTIF(tCartera[CUI],"2570369")=0,"Sin PMI",IF(INDEX(tCartera[PMI2027],MATCH("2570369",tCartera[CUI],0))="","No informado",INDEX(tCartera[PMI2027],MATCH("2570369",tCartera[CUI],0))))</f>
        <v>8258956</v>
      </c>
      <c r="N689" s="231">
        <f>IF(COUNTIF(tCartera[CUI],"2570369")=0,"Sin PMI",IF(INDEX(tCartera[PMI2028],MATCH("2570369",tCartera[CUI],0))="","No informado",INDEX(tCartera[PMI2028],MATCH("2570369",tCartera[CUI],0))))</f>
        <v>6230701</v>
      </c>
      <c r="O689" s="231">
        <f>IF(COUNTIF(tCartera[CUI],"2570369")=0,"Sin PMI",IF(INDEX(tCartera[PMI2029],MATCH("2570369",tCartera[CUI],0))="","No informado",INDEX(tCartera[PMI2029],MATCH("2570369",tCartera[CUI],0))))</f>
        <v>366030</v>
      </c>
    </row>
    <row r="690" spans="1:15" hidden="1" x14ac:dyDescent="0.2">
      <c r="A690" s="128"/>
      <c r="B690" s="131"/>
      <c r="C690" s="110" t="s">
        <v>714</v>
      </c>
      <c r="D690" s="112"/>
      <c r="E690" s="112"/>
      <c r="F690" s="112"/>
      <c r="G690" s="112"/>
      <c r="H690" s="112"/>
      <c r="I690" s="55"/>
      <c r="J690" s="222"/>
      <c r="K690" s="222"/>
      <c r="L690" s="231"/>
      <c r="M690" s="231"/>
      <c r="N690" s="231"/>
      <c r="O690" s="231"/>
    </row>
    <row r="691" spans="1:15" hidden="1" x14ac:dyDescent="0.2">
      <c r="A691" s="129"/>
      <c r="B691" s="132"/>
      <c r="C691" s="110" t="s">
        <v>717</v>
      </c>
      <c r="D691" s="112"/>
      <c r="E691" s="112"/>
      <c r="F691" s="112"/>
      <c r="G691" s="112"/>
      <c r="H691" s="112"/>
      <c r="I691" s="55"/>
      <c r="J691" s="222"/>
      <c r="K691" s="222"/>
      <c r="L691" s="231"/>
      <c r="M691" s="231"/>
      <c r="N691" s="231"/>
      <c r="O691" s="231"/>
    </row>
    <row r="692" spans="1:15" ht="63.75" x14ac:dyDescent="0.2">
      <c r="A692" s="127">
        <f>SUBTOTAL(103,$B$10:B694)</f>
        <v>200</v>
      </c>
      <c r="B692" s="130">
        <v>163</v>
      </c>
      <c r="C692" s="110" t="s">
        <v>328</v>
      </c>
      <c r="D692" s="111">
        <f>IF(COUNTIF(tSIAF[Clave],"2623875|163")=0,"",SUMIF(tSIAF[Clave],"2623875|163",tSIAF[PIM]))</f>
        <v>178134</v>
      </c>
      <c r="E692" s="111">
        <f>IF(COUNTIF(tSIAF[Clave],"2623875|163")=0,"",SUMIF(tSIAF[Clave],"2623875|163",tSIAF[Certificacion]))</f>
        <v>178134</v>
      </c>
      <c r="F692" s="111">
        <f>IF(D692="","",D692-E692)</f>
        <v>0</v>
      </c>
      <c r="G692" s="111">
        <f>IF(COUNTIF(tSIAF[Clave],"2623875|163")=0,"",SUMIF(tSIAF[Clave],"2623875|163",tSIAF[Devengado]))</f>
        <v>122423.54</v>
      </c>
      <c r="H692" s="111">
        <f>IF(D692="","",D692-G692)</f>
        <v>55710.460000000006</v>
      </c>
      <c r="I692" s="55">
        <f>IF(D692="","",IF(D692=0,0,G692/D692))</f>
        <v>0.68725532464324601</v>
      </c>
      <c r="J692" s="222"/>
      <c r="K692" s="222" t="s">
        <v>2299</v>
      </c>
      <c r="L692" s="231">
        <f>IF(COUNTIF(tCartera[CUI],"2623875")=0,"Sin PMI",IF(INDEX(tCartera[PMI2026],MATCH("2623875",tCartera[CUI],0))="","No informado",INDEX(tCartera[PMI2026],MATCH("2623875",tCartera[CUI],0))))</f>
        <v>2805112</v>
      </c>
      <c r="M692" s="231">
        <f>IF(COUNTIF(tCartera[CUI],"2623875")=0,"Sin PMI",IF(INDEX(tCartera[PMI2027],MATCH("2623875",tCartera[CUI],0))="","No informado",INDEX(tCartera[PMI2027],MATCH("2623875",tCartera[CUI],0))))</f>
        <v>4556857</v>
      </c>
      <c r="N692" s="231">
        <f>IF(COUNTIF(tCartera[CUI],"2623875")=0,"Sin PMI",IF(INDEX(tCartera[PMI2028],MATCH("2623875",tCartera[CUI],0))="","No informado",INDEX(tCartera[PMI2028],MATCH("2623875",tCartera[CUI],0))))</f>
        <v>0</v>
      </c>
      <c r="O692" s="231">
        <f>IF(COUNTIF(tCartera[CUI],"2623875")=0,"Sin PMI",IF(INDEX(tCartera[PMI2029],MATCH("2623875",tCartera[CUI],0))="","No informado",INDEX(tCartera[PMI2029],MATCH("2623875",tCartera[CUI],0))))</f>
        <v>0</v>
      </c>
    </row>
    <row r="693" spans="1:15" hidden="1" x14ac:dyDescent="0.2">
      <c r="A693" s="128"/>
      <c r="B693" s="131"/>
      <c r="C693" s="110" t="s">
        <v>714</v>
      </c>
      <c r="D693" s="112"/>
      <c r="E693" s="112"/>
      <c r="F693" s="112"/>
      <c r="G693" s="112"/>
      <c r="H693" s="112"/>
      <c r="I693" s="55"/>
      <c r="J693" s="222"/>
      <c r="K693" s="222"/>
      <c r="L693" s="231"/>
      <c r="M693" s="231"/>
      <c r="N693" s="231"/>
      <c r="O693" s="231"/>
    </row>
    <row r="694" spans="1:15" hidden="1" x14ac:dyDescent="0.2">
      <c r="A694" s="129"/>
      <c r="B694" s="132"/>
      <c r="C694" s="110" t="s">
        <v>713</v>
      </c>
      <c r="D694" s="112"/>
      <c r="E694" s="112"/>
      <c r="F694" s="112"/>
      <c r="G694" s="112"/>
      <c r="H694" s="112"/>
      <c r="I694" s="55"/>
      <c r="J694" s="222"/>
      <c r="K694" s="222"/>
      <c r="L694" s="231"/>
      <c r="M694" s="231"/>
      <c r="N694" s="231"/>
      <c r="O694" s="231"/>
    </row>
    <row r="695" spans="1:15" ht="51" x14ac:dyDescent="0.2">
      <c r="A695" s="127">
        <f>SUBTOTAL(103,$B$10:B697)</f>
        <v>201</v>
      </c>
      <c r="B695" s="130">
        <v>164</v>
      </c>
      <c r="C695" s="110" t="s">
        <v>318</v>
      </c>
      <c r="D695" s="111">
        <f>IF(COUNTIF(tSIAF[Clave],"2623876|164")=0,"",SUMIF(tSIAF[Clave],"2623876|164",tSIAF[PIM]))</f>
        <v>220481</v>
      </c>
      <c r="E695" s="111">
        <f>IF(COUNTIF(tSIAF[Clave],"2623876|164")=0,"",SUMIF(tSIAF[Clave],"2623876|164",tSIAF[Certificacion]))</f>
        <v>194522</v>
      </c>
      <c r="F695" s="111">
        <f>IF(D695="","",D695-E695)</f>
        <v>25959</v>
      </c>
      <c r="G695" s="111">
        <f>IF(COUNTIF(tSIAF[Clave],"2623876|164")=0,"",SUMIF(tSIAF[Clave],"2623876|164",tSIAF[Devengado]))</f>
        <v>80473.119999999995</v>
      </c>
      <c r="H695" s="111">
        <f>IF(D695="","",D695-G695)</f>
        <v>140007.88</v>
      </c>
      <c r="I695" s="55">
        <f>IF(D695="","",IF(D695=0,0,G695/D695))</f>
        <v>0.3649889106090774</v>
      </c>
      <c r="J695" s="222"/>
      <c r="K695" s="222" t="s">
        <v>2299</v>
      </c>
      <c r="L695" s="231">
        <f>IF(COUNTIF(tCartera[CUI],"2623876")=0,"Sin PMI",IF(INDEX(tCartera[PMI2026],MATCH("2623876",tCartera[CUI],0))="","No informado",INDEX(tCartera[PMI2026],MATCH("2623876",tCartera[CUI],0))))</f>
        <v>2000000</v>
      </c>
      <c r="M695" s="231">
        <f>IF(COUNTIF(tCartera[CUI],"2623876")=0,"Sin PMI",IF(INDEX(tCartera[PMI2027],MATCH("2623876",tCartera[CUI],0))="","No informado",INDEX(tCartera[PMI2027],MATCH("2623876",tCartera[CUI],0))))</f>
        <v>5654259</v>
      </c>
      <c r="N695" s="231">
        <f>IF(COUNTIF(tCartera[CUI],"2623876")=0,"Sin PMI",IF(INDEX(tCartera[PMI2028],MATCH("2623876",tCartera[CUI],0))="","No informado",INDEX(tCartera[PMI2028],MATCH("2623876",tCartera[CUI],0))))</f>
        <v>0</v>
      </c>
      <c r="O695" s="231">
        <f>IF(COUNTIF(tCartera[CUI],"2623876")=0,"Sin PMI",IF(INDEX(tCartera[PMI2029],MATCH("2623876",tCartera[CUI],0))="","No informado",INDEX(tCartera[PMI2029],MATCH("2623876",tCartera[CUI],0))))</f>
        <v>500000</v>
      </c>
    </row>
    <row r="696" spans="1:15" hidden="1" x14ac:dyDescent="0.2">
      <c r="A696" s="128"/>
      <c r="B696" s="131"/>
      <c r="C696" s="110" t="s">
        <v>714</v>
      </c>
      <c r="D696" s="112"/>
      <c r="E696" s="112"/>
      <c r="F696" s="112"/>
      <c r="G696" s="112"/>
      <c r="H696" s="112"/>
      <c r="I696" s="55"/>
      <c r="J696" s="222"/>
      <c r="K696" s="222"/>
      <c r="L696" s="231"/>
      <c r="M696" s="231"/>
      <c r="N696" s="231"/>
      <c r="O696" s="231"/>
    </row>
    <row r="697" spans="1:15" hidden="1" x14ac:dyDescent="0.2">
      <c r="A697" s="129"/>
      <c r="B697" s="132"/>
      <c r="C697" s="110" t="s">
        <v>713</v>
      </c>
      <c r="D697" s="112"/>
      <c r="E697" s="112"/>
      <c r="F697" s="112"/>
      <c r="G697" s="112"/>
      <c r="H697" s="112"/>
      <c r="I697" s="55"/>
      <c r="J697" s="222"/>
      <c r="K697" s="222"/>
      <c r="L697" s="231"/>
      <c r="M697" s="231"/>
      <c r="N697" s="231"/>
      <c r="O697" s="231"/>
    </row>
    <row r="698" spans="1:15" ht="38.25" hidden="1" x14ac:dyDescent="0.2">
      <c r="A698" s="127">
        <f>SUBTOTAL(103,$B$10:B699)</f>
        <v>201</v>
      </c>
      <c r="B698" s="154">
        <v>171</v>
      </c>
      <c r="C698" s="110" t="s">
        <v>178</v>
      </c>
      <c r="D698" s="111">
        <f>IF(COUNTIF(tSIAF[Clave],"2250307|171")=0,"",SUMIF(tSIAF[Clave],"2250307|171",tSIAF[PIM]))</f>
        <v>0</v>
      </c>
      <c r="E698" s="111">
        <f>IF(COUNTIF(tSIAF[Clave],"2250307|171")=0,"",SUMIF(tSIAF[Clave],"2250307|171",tSIAF[Certificacion]))</f>
        <v>0</v>
      </c>
      <c r="F698" s="111">
        <f>IF(D698="","",D698-E698)</f>
        <v>0</v>
      </c>
      <c r="G698" s="111">
        <f>IF(COUNTIF(tSIAF[Clave],"2250307|171")=0,"",SUMIF(tSIAF[Clave],"2250307|171",tSIAF[Devengado]))</f>
        <v>0</v>
      </c>
      <c r="H698" s="111">
        <f>IF(D698="","",D698-G698)</f>
        <v>0</v>
      </c>
      <c r="I698" s="55">
        <f>IF(D698="","",IF(D698=0,0,G698/D698))</f>
        <v>0</v>
      </c>
      <c r="J698" s="222"/>
      <c r="K698" s="222" t="s">
        <v>2299</v>
      </c>
      <c r="L698" s="231">
        <f>IF(COUNTIF(tCartera[CUI],"2250307")=0,"Sin PMI",IF(INDEX(tCartera[PMI2026],MATCH("2250307",tCartera[CUI],0))="","No informado",INDEX(tCartera[PMI2026],MATCH("2250307",tCartera[CUI],0))))</f>
        <v>100000</v>
      </c>
      <c r="M698" s="231">
        <f>IF(COUNTIF(tCartera[CUI],"2250307")=0,"Sin PMI",IF(INDEX(tCartera[PMI2027],MATCH("2250307",tCartera[CUI],0))="","No informado",INDEX(tCartera[PMI2027],MATCH("2250307",tCartera[CUI],0))))</f>
        <v>0</v>
      </c>
      <c r="N698" s="231">
        <f>IF(COUNTIF(tCartera[CUI],"2250307")=0,"Sin PMI",IF(INDEX(tCartera[PMI2028],MATCH("2250307",tCartera[CUI],0))="","No informado",INDEX(tCartera[PMI2028],MATCH("2250307",tCartera[CUI],0))))</f>
        <v>0</v>
      </c>
      <c r="O698" s="231">
        <f>IF(COUNTIF(tCartera[CUI],"2250307")=0,"Sin PMI",IF(INDEX(tCartera[PMI2029],MATCH("2250307",tCartera[CUI],0))="","No informado",INDEX(tCartera[PMI2029],MATCH("2250307",tCartera[CUI],0))))</f>
        <v>0</v>
      </c>
    </row>
    <row r="699" spans="1:15" hidden="1" x14ac:dyDescent="0.2">
      <c r="A699" s="129"/>
      <c r="B699" s="155"/>
      <c r="C699" s="110" t="s">
        <v>714</v>
      </c>
      <c r="D699" s="112"/>
      <c r="E699" s="112"/>
      <c r="F699" s="112"/>
      <c r="G699" s="112"/>
      <c r="H699" s="112"/>
      <c r="I699" s="55"/>
      <c r="J699" s="222"/>
      <c r="K699" s="222"/>
      <c r="L699" s="231"/>
      <c r="M699" s="231"/>
      <c r="N699" s="231"/>
      <c r="O699" s="231"/>
    </row>
    <row r="700" spans="1:15" ht="38.25" hidden="1" x14ac:dyDescent="0.2">
      <c r="A700" s="127">
        <f>SUBTOTAL(103,$B$10:B701)</f>
        <v>201</v>
      </c>
      <c r="B700" s="130">
        <v>174</v>
      </c>
      <c r="C700" s="110" t="s">
        <v>180</v>
      </c>
      <c r="D700" s="111">
        <f>IF(COUNTIF(tSIAF[Clave],"2250460|174")=0,"",SUMIF(tSIAF[Clave],"2250460|174",tSIAF[PIM]))</f>
        <v>0</v>
      </c>
      <c r="E700" s="111">
        <f>IF(COUNTIF(tSIAF[Clave],"2250460|174")=0,"",SUMIF(tSIAF[Clave],"2250460|174",tSIAF[Certificacion]))</f>
        <v>0</v>
      </c>
      <c r="F700" s="111">
        <f>IF(D700="","",D700-E700)</f>
        <v>0</v>
      </c>
      <c r="G700" s="111">
        <f>IF(COUNTIF(tSIAF[Clave],"2250460|174")=0,"",SUMIF(tSIAF[Clave],"2250460|174",tSIAF[Devengado]))</f>
        <v>0</v>
      </c>
      <c r="H700" s="111">
        <f>IF(D700="","",D700-G700)</f>
        <v>0</v>
      </c>
      <c r="I700" s="55">
        <f>IF(D700="","",IF(D700=0,0,G700/D700))</f>
        <v>0</v>
      </c>
      <c r="J700" s="222"/>
      <c r="K700" s="222" t="s">
        <v>2299</v>
      </c>
      <c r="L700" s="231">
        <f>IF(COUNTIF(tCartera[CUI],"2250460")=0,"Sin PMI",IF(INDEX(tCartera[PMI2026],MATCH("2250460",tCartera[CUI],0))="","No informado",INDEX(tCartera[PMI2026],MATCH("2250460",tCartera[CUI],0))))</f>
        <v>60000</v>
      </c>
      <c r="M700" s="231">
        <f>IF(COUNTIF(tCartera[CUI],"2250460")=0,"Sin PMI",IF(INDEX(tCartera[PMI2027],MATCH("2250460",tCartera[CUI],0))="","No informado",INDEX(tCartera[PMI2027],MATCH("2250460",tCartera[CUI],0))))</f>
        <v>0</v>
      </c>
      <c r="N700" s="231">
        <f>IF(COUNTIF(tCartera[CUI],"2250460")=0,"Sin PMI",IF(INDEX(tCartera[PMI2028],MATCH("2250460",tCartera[CUI],0))="","No informado",INDEX(tCartera[PMI2028],MATCH("2250460",tCartera[CUI],0))))</f>
        <v>0</v>
      </c>
      <c r="O700" s="231">
        <f>IF(COUNTIF(tCartera[CUI],"2250460")=0,"Sin PMI",IF(INDEX(tCartera[PMI2029],MATCH("2250460",tCartera[CUI],0))="","No informado",INDEX(tCartera[PMI2029],MATCH("2250460",tCartera[CUI],0))))</f>
        <v>0</v>
      </c>
    </row>
    <row r="701" spans="1:15" hidden="1" x14ac:dyDescent="0.2">
      <c r="A701" s="129"/>
      <c r="B701" s="132"/>
      <c r="C701" s="110" t="s">
        <v>714</v>
      </c>
      <c r="D701" s="112"/>
      <c r="E701" s="112"/>
      <c r="F701" s="112"/>
      <c r="G701" s="112"/>
      <c r="H701" s="112"/>
      <c r="I701" s="55"/>
      <c r="J701" s="222"/>
      <c r="K701" s="222"/>
      <c r="L701" s="231"/>
      <c r="M701" s="231"/>
      <c r="N701" s="231"/>
      <c r="O701" s="231"/>
    </row>
    <row r="702" spans="1:15" ht="38.25" x14ac:dyDescent="0.2">
      <c r="A702" s="127">
        <f>SUBTOTAL(103,$B$10:B704)</f>
        <v>202</v>
      </c>
      <c r="B702" s="130">
        <v>175</v>
      </c>
      <c r="C702" s="110" t="s">
        <v>439</v>
      </c>
      <c r="D702" s="111">
        <f>IF(COUNTIF(tSIAF[Clave],"2649797|175")=0,"",SUMIF(tSIAF[Clave],"2649797|175",tSIAF[PIM]))</f>
        <v>29298</v>
      </c>
      <c r="E702" s="111">
        <f>IF(COUNTIF(tSIAF[Clave],"2649797|175")=0,"",SUMIF(tSIAF[Clave],"2649797|175",tSIAF[Certificacion]))</f>
        <v>29298</v>
      </c>
      <c r="F702" s="111">
        <f>IF(D702="","",D702-E702)</f>
        <v>0</v>
      </c>
      <c r="G702" s="111">
        <f>IF(COUNTIF(tSIAF[Clave],"2649797|175")=0,"",SUMIF(tSIAF[Clave],"2649797|175",tSIAF[Devengado]))</f>
        <v>0</v>
      </c>
      <c r="H702" s="111">
        <f>IF(D702="","",D702-G702)</f>
        <v>29298</v>
      </c>
      <c r="I702" s="55">
        <f>IF(D702="","",IF(D702=0,0,G702/D702))</f>
        <v>0</v>
      </c>
      <c r="J702" s="222"/>
      <c r="K702" s="222" t="s">
        <v>2299</v>
      </c>
      <c r="L702" s="231">
        <f>IF(COUNTIF(tCartera[CUI],"2649797")=0,"Sin PMI",IF(INDEX(tCartera[PMI2026],MATCH("2649797",tCartera[CUI],0))="","No informado",INDEX(tCartera[PMI2026],MATCH("2649797",tCartera[CUI],0))))</f>
        <v>100000</v>
      </c>
      <c r="M702" s="231">
        <f>IF(COUNTIF(tCartera[CUI],"2649797")=0,"Sin PMI",IF(INDEX(tCartera[PMI2027],MATCH("2649797",tCartera[CUI],0))="","No informado",INDEX(tCartera[PMI2027],MATCH("2649797",tCartera[CUI],0))))</f>
        <v>0</v>
      </c>
      <c r="N702" s="231">
        <f>IF(COUNTIF(tCartera[CUI],"2649797")=0,"Sin PMI",IF(INDEX(tCartera[PMI2028],MATCH("2649797",tCartera[CUI],0))="","No informado",INDEX(tCartera[PMI2028],MATCH("2649797",tCartera[CUI],0))))</f>
        <v>0</v>
      </c>
      <c r="O702" s="231">
        <f>IF(COUNTIF(tCartera[CUI],"2649797")=0,"Sin PMI",IF(INDEX(tCartera[PMI2029],MATCH("2649797",tCartera[CUI],0))="","No informado",INDEX(tCartera[PMI2029],MATCH("2649797",tCartera[CUI],0))))</f>
        <v>2483946</v>
      </c>
    </row>
    <row r="703" spans="1:15" hidden="1" x14ac:dyDescent="0.2">
      <c r="A703" s="128"/>
      <c r="B703" s="131"/>
      <c r="C703" s="110" t="s">
        <v>714</v>
      </c>
      <c r="D703" s="112"/>
      <c r="E703" s="112"/>
      <c r="F703" s="112"/>
      <c r="G703" s="112"/>
      <c r="H703" s="112"/>
      <c r="I703" s="55"/>
      <c r="J703" s="222"/>
      <c r="K703" s="222"/>
      <c r="L703" s="231"/>
      <c r="M703" s="231"/>
      <c r="N703" s="231"/>
      <c r="O703" s="231"/>
    </row>
    <row r="704" spans="1:15" hidden="1" x14ac:dyDescent="0.2">
      <c r="A704" s="129"/>
      <c r="B704" s="132"/>
      <c r="C704" s="110" t="s">
        <v>713</v>
      </c>
      <c r="D704" s="112"/>
      <c r="E704" s="112"/>
      <c r="F704" s="112"/>
      <c r="G704" s="112"/>
      <c r="H704" s="112"/>
      <c r="I704" s="55"/>
      <c r="J704" s="222"/>
      <c r="K704" s="222"/>
      <c r="L704" s="231"/>
      <c r="M704" s="231"/>
      <c r="N704" s="231"/>
      <c r="O704" s="231"/>
    </row>
    <row r="705" spans="1:15" ht="38.25" x14ac:dyDescent="0.2">
      <c r="A705" s="127">
        <f>SUBTOTAL(103,$B$10:B707)</f>
        <v>203</v>
      </c>
      <c r="B705" s="130">
        <v>176</v>
      </c>
      <c r="C705" s="110" t="s">
        <v>434</v>
      </c>
      <c r="D705" s="111">
        <f>IF(COUNTIF(tSIAF[Clave],"2649798|176")=0,"",SUMIF(tSIAF[Clave],"2649798|176",tSIAF[PIM]))</f>
        <v>80000</v>
      </c>
      <c r="E705" s="111">
        <f>IF(COUNTIF(tSIAF[Clave],"2649798|176")=0,"",SUMIF(tSIAF[Clave],"2649798|176",tSIAF[Certificacion]))</f>
        <v>55480</v>
      </c>
      <c r="F705" s="111">
        <f>IF(D705="","",D705-E705)</f>
        <v>24520</v>
      </c>
      <c r="G705" s="111">
        <f>IF(COUNTIF(tSIAF[Clave],"2649798|176")=0,"",SUMIF(tSIAF[Clave],"2649798|176",tSIAF[Devengado]))</f>
        <v>33156.76</v>
      </c>
      <c r="H705" s="111">
        <f>IF(D705="","",D705-G705)</f>
        <v>46843.24</v>
      </c>
      <c r="I705" s="55">
        <f>IF(D705="","",IF(D705=0,0,G705/D705))</f>
        <v>0.41445950000000004</v>
      </c>
      <c r="J705" s="222"/>
      <c r="K705" s="222" t="s">
        <v>2299</v>
      </c>
      <c r="L705" s="231">
        <f>IF(COUNTIF(tCartera[CUI],"2649798")=0,"Sin PMI",IF(INDEX(tCartera[PMI2026],MATCH("2649798",tCartera[CUI],0))="","No informado",INDEX(tCartera[PMI2026],MATCH("2649798",tCartera[CUI],0))))</f>
        <v>80000</v>
      </c>
      <c r="M705" s="231">
        <f>IF(COUNTIF(tCartera[CUI],"2649798")=0,"Sin PMI",IF(INDEX(tCartera[PMI2027],MATCH("2649798",tCartera[CUI],0))="","No informado",INDEX(tCartera[PMI2027],MATCH("2649798",tCartera[CUI],0))))</f>
        <v>0</v>
      </c>
      <c r="N705" s="231">
        <f>IF(COUNTIF(tCartera[CUI],"2649798")=0,"Sin PMI",IF(INDEX(tCartera[PMI2028],MATCH("2649798",tCartera[CUI],0))="","No informado",INDEX(tCartera[PMI2028],MATCH("2649798",tCartera[CUI],0))))</f>
        <v>0</v>
      </c>
      <c r="O705" s="231">
        <f>IF(COUNTIF(tCartera[CUI],"2649798")=0,"Sin PMI",IF(INDEX(tCartera[PMI2029],MATCH("2649798",tCartera[CUI],0))="","No informado",INDEX(tCartera[PMI2029],MATCH("2649798",tCartera[CUI],0))))</f>
        <v>500000</v>
      </c>
    </row>
    <row r="706" spans="1:15" hidden="1" x14ac:dyDescent="0.2">
      <c r="A706" s="128"/>
      <c r="B706" s="131"/>
      <c r="C706" s="110" t="s">
        <v>714</v>
      </c>
      <c r="D706" s="112"/>
      <c r="E706" s="112"/>
      <c r="F706" s="112"/>
      <c r="G706" s="112"/>
      <c r="H706" s="112"/>
      <c r="I706" s="55"/>
      <c r="J706" s="222"/>
      <c r="K706" s="222"/>
      <c r="L706" s="231"/>
      <c r="M706" s="231"/>
      <c r="N706" s="231"/>
      <c r="O706" s="231"/>
    </row>
    <row r="707" spans="1:15" hidden="1" x14ac:dyDescent="0.2">
      <c r="A707" s="129"/>
      <c r="B707" s="132"/>
      <c r="C707" s="110" t="s">
        <v>713</v>
      </c>
      <c r="D707" s="112"/>
      <c r="E707" s="112"/>
      <c r="F707" s="112"/>
      <c r="G707" s="112"/>
      <c r="H707" s="112"/>
      <c r="I707" s="55"/>
      <c r="J707" s="222"/>
      <c r="K707" s="222"/>
      <c r="L707" s="231"/>
      <c r="M707" s="231"/>
      <c r="N707" s="231"/>
      <c r="O707" s="231"/>
    </row>
    <row r="708" spans="1:15" ht="38.25" hidden="1" x14ac:dyDescent="0.2">
      <c r="A708" s="127">
        <f>SUBTOTAL(103,$B$10:B710)</f>
        <v>203</v>
      </c>
      <c r="B708" s="130">
        <v>177</v>
      </c>
      <c r="C708" s="110" t="s">
        <v>518</v>
      </c>
      <c r="D708" s="111">
        <f>IF(COUNTIF(tSIAF[Clave],"2649800|177")=0,"",SUMIF(tSIAF[Clave],"2649800|177",tSIAF[PIM]))</f>
        <v>0</v>
      </c>
      <c r="E708" s="111">
        <f>IF(COUNTIF(tSIAF[Clave],"2649800|177")=0,"",SUMIF(tSIAF[Clave],"2649800|177",tSIAF[Certificacion]))</f>
        <v>0</v>
      </c>
      <c r="F708" s="111">
        <f>IF(D708="","",D708-E708)</f>
        <v>0</v>
      </c>
      <c r="G708" s="111">
        <f>IF(COUNTIF(tSIAF[Clave],"2649800|177")=0,"",SUMIF(tSIAF[Clave],"2649800|177",tSIAF[Devengado]))</f>
        <v>0</v>
      </c>
      <c r="H708" s="111">
        <f>IF(D708="","",D708-G708)</f>
        <v>0</v>
      </c>
      <c r="I708" s="55">
        <f>IF(D708="","",IF(D708=0,0,G708/D708))</f>
        <v>0</v>
      </c>
      <c r="J708" s="222"/>
      <c r="K708" s="222" t="s">
        <v>2299</v>
      </c>
      <c r="L708" s="231">
        <f>IF(COUNTIF(tCartera[CUI],"2649800")=0,"Sin PMI",IF(INDEX(tCartera[PMI2026],MATCH("2649800",tCartera[CUI],0))="","No informado",INDEX(tCartera[PMI2026],MATCH("2649800",tCartera[CUI],0))))</f>
        <v>50000</v>
      </c>
      <c r="M708" s="231">
        <f>IF(COUNTIF(tCartera[CUI],"2649800")=0,"Sin PMI",IF(INDEX(tCartera[PMI2027],MATCH("2649800",tCartera[CUI],0))="","No informado",INDEX(tCartera[PMI2027],MATCH("2649800",tCartera[CUI],0))))</f>
        <v>0</v>
      </c>
      <c r="N708" s="231">
        <f>IF(COUNTIF(tCartera[CUI],"2649800")=0,"Sin PMI",IF(INDEX(tCartera[PMI2028],MATCH("2649800",tCartera[CUI],0))="","No informado",INDEX(tCartera[PMI2028],MATCH("2649800",tCartera[CUI],0))))</f>
        <v>0</v>
      </c>
      <c r="O708" s="231">
        <f>IF(COUNTIF(tCartera[CUI],"2649800")=0,"Sin PMI",IF(INDEX(tCartera[PMI2029],MATCH("2649800",tCartera[CUI],0))="","No informado",INDEX(tCartera[PMI2029],MATCH("2649800",tCartera[CUI],0))))</f>
        <v>150000</v>
      </c>
    </row>
    <row r="709" spans="1:15" hidden="1" x14ac:dyDescent="0.2">
      <c r="A709" s="128"/>
      <c r="B709" s="131"/>
      <c r="C709" s="110" t="s">
        <v>714</v>
      </c>
      <c r="D709" s="112"/>
      <c r="E709" s="112"/>
      <c r="F709" s="112"/>
      <c r="G709" s="112"/>
      <c r="H709" s="112"/>
      <c r="I709" s="55"/>
      <c r="J709" s="222"/>
      <c r="K709" s="222"/>
      <c r="L709" s="231"/>
      <c r="M709" s="231"/>
      <c r="N709" s="231"/>
      <c r="O709" s="231"/>
    </row>
    <row r="710" spans="1:15" hidden="1" x14ac:dyDescent="0.2">
      <c r="A710" s="129"/>
      <c r="B710" s="132"/>
      <c r="C710" s="110" t="s">
        <v>713</v>
      </c>
      <c r="D710" s="112"/>
      <c r="E710" s="112"/>
      <c r="F710" s="112"/>
      <c r="G710" s="112"/>
      <c r="H710" s="112"/>
      <c r="I710" s="55"/>
      <c r="J710" s="222"/>
      <c r="K710" s="222"/>
      <c r="L710" s="231"/>
      <c r="M710" s="231"/>
      <c r="N710" s="231"/>
      <c r="O710" s="231"/>
    </row>
    <row r="711" spans="1:15" ht="38.25" x14ac:dyDescent="0.2">
      <c r="A711" s="127">
        <f>SUBTOTAL(103,$B$10:B713)</f>
        <v>204</v>
      </c>
      <c r="B711" s="130">
        <v>178</v>
      </c>
      <c r="C711" s="110" t="s">
        <v>519</v>
      </c>
      <c r="D711" s="111">
        <f>IF(COUNTIF(tSIAF[Clave],"2649803|178")=0,"",SUMIF(tSIAF[Clave],"2649803|178",tSIAF[PIM]))</f>
        <v>209495</v>
      </c>
      <c r="E711" s="111">
        <f>IF(COUNTIF(tSIAF[Clave],"2649803|178")=0,"",SUMIF(tSIAF[Clave],"2649803|178",tSIAF[Certificacion]))</f>
        <v>209495</v>
      </c>
      <c r="F711" s="111">
        <f>IF(D711="","",D711-E711)</f>
        <v>0</v>
      </c>
      <c r="G711" s="111">
        <f>IF(COUNTIF(tSIAF[Clave],"2649803|178")=0,"",SUMIF(tSIAF[Clave],"2649803|178",tSIAF[Devengado]))</f>
        <v>98043.32</v>
      </c>
      <c r="H711" s="111">
        <f>IF(D711="","",D711-G711)</f>
        <v>111451.68</v>
      </c>
      <c r="I711" s="55">
        <f>IF(D711="","",IF(D711=0,0,G711/D711))</f>
        <v>0.46799837704957165</v>
      </c>
      <c r="J711" s="222"/>
      <c r="K711" s="222" t="s">
        <v>2299</v>
      </c>
      <c r="L711" s="231">
        <f>IF(COUNTIF(tCartera[CUI],"2649803")=0,"Sin PMI",IF(INDEX(tCartera[PMI2026],MATCH("2649803",tCartera[CUI],0))="","No informado",INDEX(tCartera[PMI2026],MATCH("2649803",tCartera[CUI],0))))</f>
        <v>50000</v>
      </c>
      <c r="M711" s="231">
        <f>IF(COUNTIF(tCartera[CUI],"2649803")=0,"Sin PMI",IF(INDEX(tCartera[PMI2027],MATCH("2649803",tCartera[CUI],0))="","No informado",INDEX(tCartera[PMI2027],MATCH("2649803",tCartera[CUI],0))))</f>
        <v>0</v>
      </c>
      <c r="N711" s="231">
        <f>IF(COUNTIF(tCartera[CUI],"2649803")=0,"Sin PMI",IF(INDEX(tCartera[PMI2028],MATCH("2649803",tCartera[CUI],0))="","No informado",INDEX(tCartera[PMI2028],MATCH("2649803",tCartera[CUI],0))))</f>
        <v>0</v>
      </c>
      <c r="O711" s="231">
        <f>IF(COUNTIF(tCartera[CUI],"2649803")=0,"Sin PMI",IF(INDEX(tCartera[PMI2029],MATCH("2649803",tCartera[CUI],0))="","No informado",INDEX(tCartera[PMI2029],MATCH("2649803",tCartera[CUI],0))))</f>
        <v>500000</v>
      </c>
    </row>
    <row r="712" spans="1:15" hidden="1" x14ac:dyDescent="0.2">
      <c r="A712" s="128"/>
      <c r="B712" s="131"/>
      <c r="C712" s="110" t="s">
        <v>714</v>
      </c>
      <c r="D712" s="112"/>
      <c r="E712" s="112"/>
      <c r="F712" s="112"/>
      <c r="G712" s="112"/>
      <c r="H712" s="112"/>
      <c r="I712" s="55"/>
      <c r="J712" s="222"/>
      <c r="K712" s="222"/>
      <c r="L712" s="231"/>
      <c r="M712" s="231"/>
      <c r="N712" s="231"/>
      <c r="O712" s="231"/>
    </row>
    <row r="713" spans="1:15" hidden="1" x14ac:dyDescent="0.2">
      <c r="A713" s="129"/>
      <c r="B713" s="132"/>
      <c r="C713" s="110" t="s">
        <v>713</v>
      </c>
      <c r="D713" s="112"/>
      <c r="E713" s="112"/>
      <c r="F713" s="112"/>
      <c r="G713" s="112"/>
      <c r="H713" s="112"/>
      <c r="I713" s="55"/>
      <c r="J713" s="222"/>
      <c r="K713" s="222"/>
      <c r="L713" s="231"/>
      <c r="M713" s="231"/>
      <c r="N713" s="231"/>
      <c r="O713" s="231"/>
    </row>
    <row r="714" spans="1:15" ht="38.25" hidden="1" x14ac:dyDescent="0.2">
      <c r="A714" s="127">
        <f>SUBTOTAL(103,$B$10:B715)</f>
        <v>204</v>
      </c>
      <c r="B714" s="130">
        <v>179</v>
      </c>
      <c r="C714" s="110" t="s">
        <v>435</v>
      </c>
      <c r="D714" s="111">
        <f>IF(COUNTIF(tSIAF[Clave],"2649804|179")=0,"",SUMIF(tSIAF[Clave],"2649804|179",tSIAF[PIM]))</f>
        <v>400000</v>
      </c>
      <c r="E714" s="111">
        <f>IF(COUNTIF(tSIAF[Clave],"2649804|179")=0,"",SUMIF(tSIAF[Clave],"2649804|179",tSIAF[Certificacion]))</f>
        <v>0</v>
      </c>
      <c r="F714" s="111">
        <f>IF(D714="","",D714-E714)</f>
        <v>400000</v>
      </c>
      <c r="G714" s="111">
        <f>IF(COUNTIF(tSIAF[Clave],"2649804|179")=0,"",SUMIF(tSIAF[Clave],"2649804|179",tSIAF[Devengado]))</f>
        <v>0</v>
      </c>
      <c r="H714" s="111">
        <f>IF(D714="","",D714-G714)</f>
        <v>400000</v>
      </c>
      <c r="I714" s="55">
        <f>IF(D714="","",IF(D714=0,0,G714/D714))</f>
        <v>0</v>
      </c>
      <c r="J714" s="222"/>
      <c r="K714" s="222" t="s">
        <v>2299</v>
      </c>
      <c r="L714" s="231">
        <f>IF(COUNTIF(tCartera[CUI],"2649804")=0,"Sin PMI",IF(INDEX(tCartera[PMI2026],MATCH("2649804",tCartera[CUI],0))="","No informado",INDEX(tCartera[PMI2026],MATCH("2649804",tCartera[CUI],0))))</f>
        <v>100000</v>
      </c>
      <c r="M714" s="231">
        <f>IF(COUNTIF(tCartera[CUI],"2649804")=0,"Sin PMI",IF(INDEX(tCartera[PMI2027],MATCH("2649804",tCartera[CUI],0))="","No informado",INDEX(tCartera[PMI2027],MATCH("2649804",tCartera[CUI],0))))</f>
        <v>1246345</v>
      </c>
      <c r="N714" s="231">
        <f>IF(COUNTIF(tCartera[CUI],"2649804")=0,"Sin PMI",IF(INDEX(tCartera[PMI2028],MATCH("2649804",tCartera[CUI],0))="","No informado",INDEX(tCartera[PMI2028],MATCH("2649804",tCartera[CUI],0))))</f>
        <v>0</v>
      </c>
      <c r="O714" s="231">
        <f>IF(COUNTIF(tCartera[CUI],"2649804")=0,"Sin PMI",IF(INDEX(tCartera[PMI2029],MATCH("2649804",tCartera[CUI],0))="","No informado",INDEX(tCartera[PMI2029],MATCH("2649804",tCartera[CUI],0))))</f>
        <v>464365</v>
      </c>
    </row>
    <row r="715" spans="1:15" hidden="1" x14ac:dyDescent="0.2">
      <c r="A715" s="129"/>
      <c r="B715" s="132"/>
      <c r="C715" s="110" t="s">
        <v>714</v>
      </c>
      <c r="D715" s="112"/>
      <c r="E715" s="112"/>
      <c r="F715" s="112"/>
      <c r="G715" s="112"/>
      <c r="H715" s="112"/>
      <c r="I715" s="55"/>
      <c r="J715" s="222"/>
      <c r="K715" s="222"/>
      <c r="L715" s="231"/>
      <c r="M715" s="231"/>
      <c r="N715" s="231"/>
      <c r="O715" s="231"/>
    </row>
    <row r="716" spans="1:15" ht="38.25" x14ac:dyDescent="0.2">
      <c r="A716" s="127">
        <f>SUBTOTAL(103,$B$10:B718)</f>
        <v>205</v>
      </c>
      <c r="B716" s="130">
        <v>182</v>
      </c>
      <c r="C716" s="110" t="s">
        <v>520</v>
      </c>
      <c r="D716" s="111">
        <f>IF(COUNTIF(tSIAF[Clave],"2649853|182")=0,"",SUMIF(tSIAF[Clave],"2649853|182",tSIAF[PIM]))</f>
        <v>179528</v>
      </c>
      <c r="E716" s="111">
        <f>IF(COUNTIF(tSIAF[Clave],"2649853|182")=0,"",SUMIF(tSIAF[Clave],"2649853|182",tSIAF[Certificacion]))</f>
        <v>178381</v>
      </c>
      <c r="F716" s="111">
        <f>IF(D716="","",D716-E716)</f>
        <v>1147</v>
      </c>
      <c r="G716" s="111">
        <f>IF(COUNTIF(tSIAF[Clave],"2649853|182")=0,"",SUMIF(tSIAF[Clave],"2649853|182",tSIAF[Devengado]))</f>
        <v>136766.03</v>
      </c>
      <c r="H716" s="111">
        <f>IF(D716="","",D716-G716)</f>
        <v>42761.97</v>
      </c>
      <c r="I716" s="55">
        <f>IF(D716="","",IF(D716=0,0,G716/D716))</f>
        <v>0.76180891003074724</v>
      </c>
      <c r="J716" s="222"/>
      <c r="K716" s="222" t="s">
        <v>2299</v>
      </c>
      <c r="L716" s="231">
        <f>IF(COUNTIF(tCartera[CUI],"2649853")=0,"Sin PMI",IF(INDEX(tCartera[PMI2026],MATCH("2649853",tCartera[CUI],0))="","No informado",INDEX(tCartera[PMI2026],MATCH("2649853",tCartera[CUI],0))))</f>
        <v>50000</v>
      </c>
      <c r="M716" s="231">
        <f>IF(COUNTIF(tCartera[CUI],"2649853")=0,"Sin PMI",IF(INDEX(tCartera[PMI2027],MATCH("2649853",tCartera[CUI],0))="","No informado",INDEX(tCartera[PMI2027],MATCH("2649853",tCartera[CUI],0))))</f>
        <v>0</v>
      </c>
      <c r="N716" s="231">
        <f>IF(COUNTIF(tCartera[CUI],"2649853")=0,"Sin PMI",IF(INDEX(tCartera[PMI2028],MATCH("2649853",tCartera[CUI],0))="","No informado",INDEX(tCartera[PMI2028],MATCH("2649853",tCartera[CUI],0))))</f>
        <v>201078</v>
      </c>
      <c r="O716" s="231">
        <f>IF(COUNTIF(tCartera[CUI],"2649853")=0,"Sin PMI",IF(INDEX(tCartera[PMI2029],MATCH("2649853",tCartera[CUI],0))="","No informado",INDEX(tCartera[PMI2029],MATCH("2649853",tCartera[CUI],0))))</f>
        <v>201078</v>
      </c>
    </row>
    <row r="717" spans="1:15" hidden="1" x14ac:dyDescent="0.2">
      <c r="A717" s="128"/>
      <c r="B717" s="131"/>
      <c r="C717" s="110" t="s">
        <v>714</v>
      </c>
      <c r="D717" s="112"/>
      <c r="E717" s="112"/>
      <c r="F717" s="112"/>
      <c r="G717" s="112"/>
      <c r="H717" s="112"/>
      <c r="I717" s="55"/>
      <c r="J717" s="222"/>
      <c r="K717" s="222"/>
      <c r="L717" s="231"/>
      <c r="M717" s="231"/>
      <c r="N717" s="231"/>
      <c r="O717" s="231"/>
    </row>
    <row r="718" spans="1:15" hidden="1" x14ac:dyDescent="0.2">
      <c r="A718" s="129"/>
      <c r="B718" s="132"/>
      <c r="C718" s="110" t="s">
        <v>713</v>
      </c>
      <c r="D718" s="112"/>
      <c r="E718" s="112"/>
      <c r="F718" s="112"/>
      <c r="G718" s="112"/>
      <c r="H718" s="112"/>
      <c r="I718" s="55"/>
      <c r="J718" s="222"/>
      <c r="K718" s="222"/>
      <c r="L718" s="231"/>
      <c r="M718" s="231"/>
      <c r="N718" s="231"/>
      <c r="O718" s="231"/>
    </row>
    <row r="719" spans="1:15" ht="38.25" hidden="1" x14ac:dyDescent="0.2">
      <c r="A719" s="127">
        <f>SUBTOTAL(103,$B$10:B720)</f>
        <v>205</v>
      </c>
      <c r="B719" s="130">
        <v>183</v>
      </c>
      <c r="C719" s="110" t="s">
        <v>436</v>
      </c>
      <c r="D719" s="111">
        <f>IF(COUNTIF(tSIAF[Clave],"2649854|183")=0,"",SUMIF(tSIAF[Clave],"2649854|183",tSIAF[PIM]))</f>
        <v>0</v>
      </c>
      <c r="E719" s="111">
        <f>IF(COUNTIF(tSIAF[Clave],"2649854|183")=0,"",SUMIF(tSIAF[Clave],"2649854|183",tSIAF[Certificacion]))</f>
        <v>0</v>
      </c>
      <c r="F719" s="111">
        <f>IF(D719="","",D719-E719)</f>
        <v>0</v>
      </c>
      <c r="G719" s="111">
        <f>IF(COUNTIF(tSIAF[Clave],"2649854|183")=0,"",SUMIF(tSIAF[Clave],"2649854|183",tSIAF[Devengado]))</f>
        <v>0</v>
      </c>
      <c r="H719" s="111">
        <f>IF(D719="","",D719-G719)</f>
        <v>0</v>
      </c>
      <c r="I719" s="55">
        <f>IF(D719="","",IF(D719=0,0,G719/D719))</f>
        <v>0</v>
      </c>
      <c r="J719" s="222"/>
      <c r="K719" s="222" t="s">
        <v>2299</v>
      </c>
      <c r="L719" s="231">
        <f>IF(COUNTIF(tCartera[CUI],"2649854")=0,"Sin PMI",IF(INDEX(tCartera[PMI2026],MATCH("2649854",tCartera[CUI],0))="","No informado",INDEX(tCartera[PMI2026],MATCH("2649854",tCartera[CUI],0))))</f>
        <v>100000</v>
      </c>
      <c r="M719" s="231">
        <f>IF(COUNTIF(tCartera[CUI],"2649854")=0,"Sin PMI",IF(INDEX(tCartera[PMI2027],MATCH("2649854",tCartera[CUI],0))="","No informado",INDEX(tCartera[PMI2027],MATCH("2649854",tCartera[CUI],0))))</f>
        <v>1243456</v>
      </c>
      <c r="N719" s="231">
        <f>IF(COUNTIF(tCartera[CUI],"2649854")=0,"Sin PMI",IF(INDEX(tCartera[PMI2028],MATCH("2649854",tCartera[CUI],0))="","No informado",INDEX(tCartera[PMI2028],MATCH("2649854",tCartera[CUI],0))))</f>
        <v>0</v>
      </c>
      <c r="O719" s="231">
        <f>IF(COUNTIF(tCartera[CUI],"2649854")=0,"Sin PMI",IF(INDEX(tCartera[PMI2029],MATCH("2649854",tCartera[CUI],0))="","No informado",INDEX(tCartera[PMI2029],MATCH("2649854",tCartera[CUI],0))))</f>
        <v>575449</v>
      </c>
    </row>
    <row r="720" spans="1:15" hidden="1" x14ac:dyDescent="0.2">
      <c r="A720" s="129"/>
      <c r="B720" s="132"/>
      <c r="C720" s="110" t="s">
        <v>714</v>
      </c>
      <c r="D720" s="112"/>
      <c r="E720" s="112"/>
      <c r="F720" s="112"/>
      <c r="G720" s="112"/>
      <c r="H720" s="112"/>
      <c r="I720" s="55"/>
      <c r="J720" s="222"/>
      <c r="K720" s="222"/>
      <c r="L720" s="231"/>
      <c r="M720" s="231"/>
      <c r="N720" s="231"/>
      <c r="O720" s="231"/>
    </row>
    <row r="721" spans="1:15" ht="38.25" x14ac:dyDescent="0.2">
      <c r="A721" s="127">
        <f>SUBTOTAL(103,$B$10:B723)</f>
        <v>206</v>
      </c>
      <c r="B721" s="130">
        <v>184</v>
      </c>
      <c r="C721" s="110" t="s">
        <v>438</v>
      </c>
      <c r="D721" s="111">
        <f>IF(COUNTIF(tSIAF[Clave],"2649855|184")=0,"",SUMIF(tSIAF[Clave],"2649855|184",tSIAF[PIM]))</f>
        <v>33556</v>
      </c>
      <c r="E721" s="111">
        <f>IF(COUNTIF(tSIAF[Clave],"2649855|184")=0,"",SUMIF(tSIAF[Clave],"2649855|184",tSIAF[Certificacion]))</f>
        <v>33489.5</v>
      </c>
      <c r="F721" s="111">
        <f>IF(D721="","",D721-E721)</f>
        <v>66.5</v>
      </c>
      <c r="G721" s="111">
        <f>IF(COUNTIF(tSIAF[Clave],"2649855|184")=0,"",SUMIF(tSIAF[Clave],"2649855|184",tSIAF[Devengado]))</f>
        <v>28428.44</v>
      </c>
      <c r="H721" s="111">
        <f>IF(D721="","",D721-G721)</f>
        <v>5127.5600000000013</v>
      </c>
      <c r="I721" s="55">
        <f>IF(D721="","",IF(D721=0,0,G721/D721))</f>
        <v>0.84719394445106688</v>
      </c>
      <c r="J721" s="222"/>
      <c r="K721" s="222" t="s">
        <v>2299</v>
      </c>
      <c r="L721" s="231">
        <f>IF(COUNTIF(tCartera[CUI],"2649855")=0,"Sin PMI",IF(INDEX(tCartera[PMI2026],MATCH("2649855",tCartera[CUI],0))="","No informado",INDEX(tCartera[PMI2026],MATCH("2649855",tCartera[CUI],0))))</f>
        <v>100000</v>
      </c>
      <c r="M721" s="231">
        <f>IF(COUNTIF(tCartera[CUI],"2649855")=0,"Sin PMI",IF(INDEX(tCartera[PMI2027],MATCH("2649855",tCartera[CUI],0))="","No informado",INDEX(tCartera[PMI2027],MATCH("2649855",tCartera[CUI],0))))</f>
        <v>0</v>
      </c>
      <c r="N721" s="231">
        <f>IF(COUNTIF(tCartera[CUI],"2649855")=0,"Sin PMI",IF(INDEX(tCartera[PMI2028],MATCH("2649855",tCartera[CUI],0))="","No informado",INDEX(tCartera[PMI2028],MATCH("2649855",tCartera[CUI],0))))</f>
        <v>0</v>
      </c>
      <c r="O721" s="231">
        <f>IF(COUNTIF(tCartera[CUI],"2649855")=0,"Sin PMI",IF(INDEX(tCartera[PMI2029],MATCH("2649855",tCartera[CUI],0))="","No informado",INDEX(tCartera[PMI2029],MATCH("2649855",tCartera[CUI],0))))</f>
        <v>849356</v>
      </c>
    </row>
    <row r="722" spans="1:15" hidden="1" x14ac:dyDescent="0.2">
      <c r="A722" s="128"/>
      <c r="B722" s="131"/>
      <c r="C722" s="110" t="s">
        <v>714</v>
      </c>
      <c r="D722" s="112"/>
      <c r="E722" s="112"/>
      <c r="F722" s="112"/>
      <c r="G722" s="112"/>
      <c r="H722" s="112"/>
      <c r="I722" s="55"/>
      <c r="J722" s="222"/>
      <c r="K722" s="222"/>
      <c r="L722" s="231"/>
      <c r="M722" s="231"/>
      <c r="N722" s="231"/>
      <c r="O722" s="231"/>
    </row>
    <row r="723" spans="1:15" hidden="1" x14ac:dyDescent="0.2">
      <c r="A723" s="129"/>
      <c r="B723" s="132"/>
      <c r="C723" s="110" t="s">
        <v>713</v>
      </c>
      <c r="D723" s="112"/>
      <c r="E723" s="112"/>
      <c r="F723" s="112"/>
      <c r="G723" s="112"/>
      <c r="H723" s="112"/>
      <c r="I723" s="55"/>
      <c r="J723" s="222"/>
      <c r="K723" s="222"/>
      <c r="L723" s="231"/>
      <c r="M723" s="231"/>
      <c r="N723" s="231"/>
      <c r="O723" s="231"/>
    </row>
    <row r="724" spans="1:15" ht="38.25" hidden="1" x14ac:dyDescent="0.2">
      <c r="A724" s="127">
        <f>SUBTOTAL(103,$B$10:B725)</f>
        <v>206</v>
      </c>
      <c r="B724" s="130">
        <v>185</v>
      </c>
      <c r="C724" s="110" t="s">
        <v>433</v>
      </c>
      <c r="D724" s="111">
        <f>IF(COUNTIF(tSIAF[Clave],"2649856|185")=0,"",SUMIF(tSIAF[Clave],"2649856|185",tSIAF[PIM]))</f>
        <v>0</v>
      </c>
      <c r="E724" s="111">
        <f>IF(COUNTIF(tSIAF[Clave],"2649856|185")=0,"",SUMIF(tSIAF[Clave],"2649856|185",tSIAF[Certificacion]))</f>
        <v>0</v>
      </c>
      <c r="F724" s="111">
        <f>IF(D724="","",D724-E724)</f>
        <v>0</v>
      </c>
      <c r="G724" s="111">
        <f>IF(COUNTIF(tSIAF[Clave],"2649856|185")=0,"",SUMIF(tSIAF[Clave],"2649856|185",tSIAF[Devengado]))</f>
        <v>0</v>
      </c>
      <c r="H724" s="111">
        <f>IF(D724="","",D724-G724)</f>
        <v>0</v>
      </c>
      <c r="I724" s="55">
        <f>IF(D724="","",IF(D724=0,0,G724/D724))</f>
        <v>0</v>
      </c>
      <c r="J724" s="222"/>
      <c r="K724" s="222" t="s">
        <v>2299</v>
      </c>
      <c r="L724" s="231">
        <f>IF(COUNTIF(tCartera[CUI],"2649856")=0,"Sin PMI",IF(INDEX(tCartera[PMI2026],MATCH("2649856",tCartera[CUI],0))="","No informado",INDEX(tCartera[PMI2026],MATCH("2649856",tCartera[CUI],0))))</f>
        <v>100000</v>
      </c>
      <c r="M724" s="231">
        <f>IF(COUNTIF(tCartera[CUI],"2649856")=0,"Sin PMI",IF(INDEX(tCartera[PMI2027],MATCH("2649856",tCartera[CUI],0))="","No informado",INDEX(tCartera[PMI2027],MATCH("2649856",tCartera[CUI],0))))</f>
        <v>1254345</v>
      </c>
      <c r="N724" s="231">
        <f>IF(COUNTIF(tCartera[CUI],"2649856")=0,"Sin PMI",IF(INDEX(tCartera[PMI2028],MATCH("2649856",tCartera[CUI],0))="","No informado",INDEX(tCartera[PMI2028],MATCH("2649856",tCartera[CUI],0))))</f>
        <v>0</v>
      </c>
      <c r="O724" s="231">
        <f>IF(COUNTIF(tCartera[CUI],"2649856")=0,"Sin PMI",IF(INDEX(tCartera[PMI2029],MATCH("2649856",tCartera[CUI],0))="","No informado",INDEX(tCartera[PMI2029],MATCH("2649856",tCartera[CUI],0))))</f>
        <v>1672886</v>
      </c>
    </row>
    <row r="725" spans="1:15" hidden="1" x14ac:dyDescent="0.2">
      <c r="A725" s="129"/>
      <c r="B725" s="132"/>
      <c r="C725" s="110" t="s">
        <v>714</v>
      </c>
      <c r="D725" s="112"/>
      <c r="E725" s="112"/>
      <c r="F725" s="112"/>
      <c r="G725" s="112"/>
      <c r="H725" s="112"/>
      <c r="I725" s="55"/>
      <c r="J725" s="222"/>
      <c r="K725" s="222"/>
      <c r="L725" s="231"/>
      <c r="M725" s="231"/>
      <c r="N725" s="231"/>
      <c r="O725" s="231"/>
    </row>
    <row r="726" spans="1:15" ht="38.25" hidden="1" x14ac:dyDescent="0.2">
      <c r="A726" s="127">
        <f>SUBTOTAL(103,$B$10:B727)</f>
        <v>206</v>
      </c>
      <c r="B726" s="130">
        <v>186</v>
      </c>
      <c r="C726" s="110" t="s">
        <v>521</v>
      </c>
      <c r="D726" s="111">
        <f>IF(COUNTIF(tSIAF[Clave],"2649857|186")=0,"",SUMIF(tSIAF[Clave],"2649857|186",tSIAF[PIM]))</f>
        <v>0</v>
      </c>
      <c r="E726" s="111">
        <f>IF(COUNTIF(tSIAF[Clave],"2649857|186")=0,"",SUMIF(tSIAF[Clave],"2649857|186",tSIAF[Certificacion]))</f>
        <v>0</v>
      </c>
      <c r="F726" s="111">
        <f>IF(D726="","",D726-E726)</f>
        <v>0</v>
      </c>
      <c r="G726" s="111">
        <f>IF(COUNTIF(tSIAF[Clave],"2649857|186")=0,"",SUMIF(tSIAF[Clave],"2649857|186",tSIAF[Devengado]))</f>
        <v>0</v>
      </c>
      <c r="H726" s="111">
        <f>IF(D726="","",D726-G726)</f>
        <v>0</v>
      </c>
      <c r="I726" s="55">
        <f>IF(D726="","",IF(D726=0,0,G726/D726))</f>
        <v>0</v>
      </c>
      <c r="J726" s="222"/>
      <c r="K726" s="222" t="s">
        <v>2299</v>
      </c>
      <c r="L726" s="231">
        <f>IF(COUNTIF(tCartera[CUI],"2649857")=0,"Sin PMI",IF(INDEX(tCartera[PMI2026],MATCH("2649857",tCartera[CUI],0))="","No informado",INDEX(tCartera[PMI2026],MATCH("2649857",tCartera[CUI],0))))</f>
        <v>50000</v>
      </c>
      <c r="M726" s="231">
        <f>IF(COUNTIF(tCartera[CUI],"2649857")=0,"Sin PMI",IF(INDEX(tCartera[PMI2027],MATCH("2649857",tCartera[CUI],0))="","No informado",INDEX(tCartera[PMI2027],MATCH("2649857",tCartera[CUI],0))))</f>
        <v>0</v>
      </c>
      <c r="N726" s="231">
        <f>IF(COUNTIF(tCartera[CUI],"2649857")=0,"Sin PMI",IF(INDEX(tCartera[PMI2028],MATCH("2649857",tCartera[CUI],0))="","No informado",INDEX(tCartera[PMI2028],MATCH("2649857",tCartera[CUI],0))))</f>
        <v>0</v>
      </c>
      <c r="O726" s="231">
        <f>IF(COUNTIF(tCartera[CUI],"2649857")=0,"Sin PMI",IF(INDEX(tCartera[PMI2029],MATCH("2649857",tCartera[CUI],0))="","No informado",INDEX(tCartera[PMI2029],MATCH("2649857",tCartera[CUI],0))))</f>
        <v>1077897</v>
      </c>
    </row>
    <row r="727" spans="1:15" hidden="1" x14ac:dyDescent="0.2">
      <c r="A727" s="129"/>
      <c r="B727" s="132"/>
      <c r="C727" s="110" t="s">
        <v>714</v>
      </c>
      <c r="D727" s="112"/>
      <c r="E727" s="112"/>
      <c r="F727" s="112"/>
      <c r="G727" s="112"/>
      <c r="H727" s="112"/>
      <c r="I727" s="55"/>
      <c r="J727" s="222"/>
      <c r="K727" s="222"/>
      <c r="L727" s="231"/>
      <c r="M727" s="231"/>
      <c r="N727" s="231"/>
      <c r="O727" s="231"/>
    </row>
    <row r="728" spans="1:15" ht="38.25" x14ac:dyDescent="0.2">
      <c r="A728" s="127">
        <f>SUBTOTAL(103,$B$10:B730)</f>
        <v>207</v>
      </c>
      <c r="B728" s="130">
        <v>189</v>
      </c>
      <c r="C728" s="110" t="s">
        <v>470</v>
      </c>
      <c r="D728" s="111">
        <f>IF(COUNTIF(tSIAF[Clave],"2651086|189")=0,"",SUMIF(tSIAF[Clave],"2651086|189",tSIAF[PIM]))</f>
        <v>106670</v>
      </c>
      <c r="E728" s="111">
        <f>IF(COUNTIF(tSIAF[Clave],"2651086|189")=0,"",SUMIF(tSIAF[Clave],"2651086|189",tSIAF[Certificacion]))</f>
        <v>106670</v>
      </c>
      <c r="F728" s="111">
        <f>IF(D728="","",D728-E728)</f>
        <v>0</v>
      </c>
      <c r="G728" s="111">
        <f>IF(COUNTIF(tSIAF[Clave],"2651086|189")=0,"",SUMIF(tSIAF[Clave],"2651086|189",tSIAF[Devengado]))</f>
        <v>96622.29</v>
      </c>
      <c r="H728" s="111">
        <f>IF(D728="","",D728-G728)</f>
        <v>10047.710000000006</v>
      </c>
      <c r="I728" s="55">
        <f>IF(D728="","",IF(D728=0,0,G728/D728))</f>
        <v>0.90580566232305237</v>
      </c>
      <c r="J728" s="222"/>
      <c r="K728" s="222" t="s">
        <v>2299</v>
      </c>
      <c r="L728" s="231">
        <f>IF(COUNTIF(tCartera[CUI],"2651086")=0,"Sin PMI",IF(INDEX(tCartera[PMI2026],MATCH("2651086",tCartera[CUI],0))="","No informado",INDEX(tCartera[PMI2026],MATCH("2651086",tCartera[CUI],0))))</f>
        <v>50000</v>
      </c>
      <c r="M728" s="231">
        <f>IF(COUNTIF(tCartera[CUI],"2651086")=0,"Sin PMI",IF(INDEX(tCartera[PMI2027],MATCH("2651086",tCartera[CUI],0))="","No informado",INDEX(tCartera[PMI2027],MATCH("2651086",tCartera[CUI],0))))</f>
        <v>248751</v>
      </c>
      <c r="N728" s="231">
        <f>IF(COUNTIF(tCartera[CUI],"2651086")=0,"Sin PMI",IF(INDEX(tCartera[PMI2028],MATCH("2651086",tCartera[CUI],0))="","No informado",INDEX(tCartera[PMI2028],MATCH("2651086",tCartera[CUI],0))))</f>
        <v>290379</v>
      </c>
      <c r="O728" s="231">
        <f>IF(COUNTIF(tCartera[CUI],"2651086")=0,"Sin PMI",IF(INDEX(tCartera[PMI2029],MATCH("2651086",tCartera[CUI],0))="","No informado",INDEX(tCartera[PMI2029],MATCH("2651086",tCartera[CUI],0))))</f>
        <v>0</v>
      </c>
    </row>
    <row r="729" spans="1:15" hidden="1" x14ac:dyDescent="0.2">
      <c r="A729" s="128"/>
      <c r="B729" s="131"/>
      <c r="C729" s="110" t="s">
        <v>714</v>
      </c>
      <c r="D729" s="112"/>
      <c r="E729" s="112"/>
      <c r="F729" s="112"/>
      <c r="G729" s="112"/>
      <c r="H729" s="112"/>
      <c r="I729" s="55"/>
      <c r="J729" s="222"/>
      <c r="K729" s="222"/>
      <c r="L729" s="231"/>
      <c r="M729" s="231"/>
      <c r="N729" s="231"/>
      <c r="O729" s="231"/>
    </row>
    <row r="730" spans="1:15" hidden="1" x14ac:dyDescent="0.2">
      <c r="A730" s="129"/>
      <c r="B730" s="132"/>
      <c r="C730" s="110" t="s">
        <v>713</v>
      </c>
      <c r="D730" s="112"/>
      <c r="E730" s="112"/>
      <c r="F730" s="112"/>
      <c r="G730" s="112"/>
      <c r="H730" s="112"/>
      <c r="I730" s="55"/>
      <c r="J730" s="222"/>
      <c r="K730" s="222"/>
      <c r="L730" s="231"/>
      <c r="M730" s="231"/>
      <c r="N730" s="231"/>
      <c r="O730" s="231"/>
    </row>
    <row r="731" spans="1:15" ht="38.25" x14ac:dyDescent="0.2">
      <c r="A731" s="127">
        <f>SUBTOTAL(103,$B$10:B733)</f>
        <v>208</v>
      </c>
      <c r="B731" s="130">
        <v>190</v>
      </c>
      <c r="C731" s="110" t="s">
        <v>522</v>
      </c>
      <c r="D731" s="111">
        <f>IF(COUNTIF(tSIAF[Clave],"2652121|190")=0,"",SUMIF(tSIAF[Clave],"2652121|190",tSIAF[PIM]))</f>
        <v>306148</v>
      </c>
      <c r="E731" s="111">
        <f>IF(COUNTIF(tSIAF[Clave],"2652121|190")=0,"",SUMIF(tSIAF[Clave],"2652121|190",tSIAF[Certificacion]))</f>
        <v>306148</v>
      </c>
      <c r="F731" s="111">
        <f>IF(D731="","",D731-E731)</f>
        <v>0</v>
      </c>
      <c r="G731" s="111">
        <f>IF(COUNTIF(tSIAF[Clave],"2652121|190")=0,"",SUMIF(tSIAF[Clave],"2652121|190",tSIAF[Devengado]))</f>
        <v>268544.09999999998</v>
      </c>
      <c r="H731" s="111">
        <f>IF(D731="","",D731-G731)</f>
        <v>37603.900000000023</v>
      </c>
      <c r="I731" s="55">
        <f>IF(D731="","",IF(D731=0,0,G731/D731))</f>
        <v>0.87717084547343105</v>
      </c>
      <c r="J731" s="222"/>
      <c r="K731" s="222" t="s">
        <v>2299</v>
      </c>
      <c r="L731" s="231">
        <f>IF(COUNTIF(tCartera[CUI],"2652121")=0,"Sin PMI",IF(INDEX(tCartera[PMI2026],MATCH("2652121",tCartera[CUI],0))="","No informado",INDEX(tCartera[PMI2026],MATCH("2652121",tCartera[CUI],0))))</f>
        <v>50000</v>
      </c>
      <c r="M731" s="231">
        <f>IF(COUNTIF(tCartera[CUI],"2652121")=0,"Sin PMI",IF(INDEX(tCartera[PMI2027],MATCH("2652121",tCartera[CUI],0))="","No informado",INDEX(tCartera[PMI2027],MATCH("2652121",tCartera[CUI],0))))</f>
        <v>0</v>
      </c>
      <c r="N731" s="231">
        <f>IF(COUNTIF(tCartera[CUI],"2652121")=0,"Sin PMI",IF(INDEX(tCartera[PMI2028],MATCH("2652121",tCartera[CUI],0))="","No informado",INDEX(tCartera[PMI2028],MATCH("2652121",tCartera[CUI],0))))</f>
        <v>0</v>
      </c>
      <c r="O731" s="231">
        <f>IF(COUNTIF(tCartera[CUI],"2652121")=0,"Sin PMI",IF(INDEX(tCartera[PMI2029],MATCH("2652121",tCartera[CUI],0))="","No informado",INDEX(tCartera[PMI2029],MATCH("2652121",tCartera[CUI],0))))</f>
        <v>1982942</v>
      </c>
    </row>
    <row r="732" spans="1:15" hidden="1" x14ac:dyDescent="0.2">
      <c r="A732" s="128"/>
      <c r="B732" s="131"/>
      <c r="C732" s="110" t="s">
        <v>714</v>
      </c>
      <c r="D732" s="112"/>
      <c r="E732" s="112"/>
      <c r="F732" s="112"/>
      <c r="G732" s="112"/>
      <c r="H732" s="112"/>
      <c r="I732" s="55"/>
      <c r="J732" s="222"/>
      <c r="K732" s="222"/>
      <c r="L732" s="231"/>
      <c r="M732" s="231"/>
      <c r="N732" s="231"/>
      <c r="O732" s="231"/>
    </row>
    <row r="733" spans="1:15" hidden="1" x14ac:dyDescent="0.2">
      <c r="A733" s="129"/>
      <c r="B733" s="132"/>
      <c r="C733" s="110" t="s">
        <v>713</v>
      </c>
      <c r="D733" s="112"/>
      <c r="E733" s="112"/>
      <c r="F733" s="112"/>
      <c r="G733" s="112"/>
      <c r="H733" s="112"/>
      <c r="I733" s="55"/>
      <c r="J733" s="222"/>
      <c r="K733" s="222"/>
      <c r="L733" s="231"/>
      <c r="M733" s="231"/>
      <c r="N733" s="231"/>
      <c r="O733" s="231"/>
    </row>
    <row r="734" spans="1:15" ht="38.25" x14ac:dyDescent="0.2">
      <c r="A734" s="127">
        <f>SUBTOTAL(103,$B$10:B736)</f>
        <v>209</v>
      </c>
      <c r="B734" s="130">
        <v>192</v>
      </c>
      <c r="C734" s="110" t="s">
        <v>480</v>
      </c>
      <c r="D734" s="111">
        <f>IF(COUNTIF(tSIAF[Clave],"2659575|192")=0,"",SUMIF(tSIAF[Clave],"2659575|192",tSIAF[PIM]))</f>
        <v>159574</v>
      </c>
      <c r="E734" s="111">
        <f>IF(COUNTIF(tSIAF[Clave],"2659575|192")=0,"",SUMIF(tSIAF[Clave],"2659575|192",tSIAF[Certificacion]))</f>
        <v>125168.92</v>
      </c>
      <c r="F734" s="111">
        <f>IF(D734="","",D734-E734)</f>
        <v>34405.08</v>
      </c>
      <c r="G734" s="111">
        <f>IF(COUNTIF(tSIAF[Clave],"2659575|192")=0,"",SUMIF(tSIAF[Clave],"2659575|192",tSIAF[Devengado]))</f>
        <v>80461.59</v>
      </c>
      <c r="H734" s="111">
        <f>IF(D734="","",D734-G734)</f>
        <v>79112.41</v>
      </c>
      <c r="I734" s="55">
        <f>IF(D734="","",IF(D734=0,0,G734/D734))</f>
        <v>0.50422744306716627</v>
      </c>
      <c r="J734" s="222"/>
      <c r="K734" s="222" t="s">
        <v>2299</v>
      </c>
      <c r="L734" s="231">
        <f>IF(COUNTIF(tCartera[CUI],"2659575")=0,"Sin PMI",IF(INDEX(tCartera[PMI2026],MATCH("2659575",tCartera[CUI],0))="","No informado",INDEX(tCartera[PMI2026],MATCH("2659575",tCartera[CUI],0))))</f>
        <v>50000</v>
      </c>
      <c r="M734" s="231">
        <f>IF(COUNTIF(tCartera[CUI],"2659575")=0,"Sin PMI",IF(INDEX(tCartera[PMI2027],MATCH("2659575",tCartera[CUI],0))="","No informado",INDEX(tCartera[PMI2027],MATCH("2659575",tCartera[CUI],0))))</f>
        <v>245742</v>
      </c>
      <c r="N734" s="231">
        <f>IF(COUNTIF(tCartera[CUI],"2659575")=0,"Sin PMI",IF(INDEX(tCartera[PMI2028],MATCH("2659575",tCartera[CUI],0))="","No informado",INDEX(tCartera[PMI2028],MATCH("2659575",tCartera[CUI],0))))</f>
        <v>1095319</v>
      </c>
      <c r="O734" s="231">
        <f>IF(COUNTIF(tCartera[CUI],"2659575")=0,"Sin PMI",IF(INDEX(tCartera[PMI2029],MATCH("2659575",tCartera[CUI],0))="","No informado",INDEX(tCartera[PMI2029],MATCH("2659575",tCartera[CUI],0))))</f>
        <v>0</v>
      </c>
    </row>
    <row r="735" spans="1:15" hidden="1" x14ac:dyDescent="0.2">
      <c r="A735" s="128"/>
      <c r="B735" s="131"/>
      <c r="C735" s="110" t="s">
        <v>714</v>
      </c>
      <c r="D735" s="112"/>
      <c r="E735" s="112"/>
      <c r="F735" s="112"/>
      <c r="G735" s="112"/>
      <c r="H735" s="112"/>
      <c r="I735" s="55"/>
      <c r="J735" s="222"/>
      <c r="K735" s="222"/>
      <c r="L735" s="231"/>
      <c r="M735" s="231"/>
      <c r="N735" s="231"/>
      <c r="O735" s="231"/>
    </row>
    <row r="736" spans="1:15" hidden="1" x14ac:dyDescent="0.2">
      <c r="A736" s="129"/>
      <c r="B736" s="132"/>
      <c r="C736" s="110" t="s">
        <v>713</v>
      </c>
      <c r="D736" s="112"/>
      <c r="E736" s="112"/>
      <c r="F736" s="112"/>
      <c r="G736" s="112"/>
      <c r="H736" s="112"/>
      <c r="I736" s="55"/>
      <c r="J736" s="222"/>
      <c r="K736" s="222"/>
      <c r="L736" s="231"/>
      <c r="M736" s="231"/>
      <c r="N736" s="231"/>
      <c r="O736" s="231"/>
    </row>
    <row r="737" spans="1:15" ht="51" x14ac:dyDescent="0.2">
      <c r="A737" s="127">
        <f>SUBTOTAL(103,$B$10:B739)</f>
        <v>210</v>
      </c>
      <c r="B737" s="130">
        <v>194</v>
      </c>
      <c r="C737" s="110" t="s">
        <v>448</v>
      </c>
      <c r="D737" s="111">
        <f>IF(COUNTIF(tSIAF[Clave],"2673614|194")=0,"",SUMIF(tSIAF[Clave],"2673614|194",tSIAF[PIM]))</f>
        <v>50467</v>
      </c>
      <c r="E737" s="111">
        <f>IF(COUNTIF(tSIAF[Clave],"2673614|194")=0,"",SUMIF(tSIAF[Clave],"2673614|194",tSIAF[Certificacion]))</f>
        <v>50466.81</v>
      </c>
      <c r="F737" s="111">
        <f>IF(D737="","",D737-E737)</f>
        <v>0.19000000000232831</v>
      </c>
      <c r="G737" s="111">
        <f>IF(COUNTIF(tSIAF[Clave],"2673614|194")=0,"",SUMIF(tSIAF[Clave],"2673614|194",tSIAF[Devengado]))</f>
        <v>48902.8</v>
      </c>
      <c r="H737" s="111">
        <f>IF(D737="","",D737-G737)</f>
        <v>1564.1999999999971</v>
      </c>
      <c r="I737" s="55">
        <f>IF(D737="","",IF(D737=0,0,G737/D737))</f>
        <v>0.96900548873521319</v>
      </c>
      <c r="J737" s="222"/>
      <c r="K737" s="222" t="s">
        <v>2299</v>
      </c>
      <c r="L737" s="231">
        <f>IF(COUNTIF(tCartera[CUI],"2673614")=0,"Sin PMI",IF(INDEX(tCartera[PMI2026],MATCH("2673614",tCartera[CUI],0))="","No informado",INDEX(tCartera[PMI2026],MATCH("2673614",tCartera[CUI],0))))</f>
        <v>100000</v>
      </c>
      <c r="M737" s="231">
        <f>IF(COUNTIF(tCartera[CUI],"2673614")=0,"Sin PMI",IF(INDEX(tCartera[PMI2027],MATCH("2673614",tCartera[CUI],0))="","No informado",INDEX(tCartera[PMI2027],MATCH("2673614",tCartera[CUI],0))))</f>
        <v>0</v>
      </c>
      <c r="N737" s="231">
        <f>IF(COUNTIF(tCartera[CUI],"2673614")=0,"Sin PMI",IF(INDEX(tCartera[PMI2028],MATCH("2673614",tCartera[CUI],0))="","No informado",INDEX(tCartera[PMI2028],MATCH("2673614",tCartera[CUI],0))))</f>
        <v>0</v>
      </c>
      <c r="O737" s="231">
        <f>IF(COUNTIF(tCartera[CUI],"2673614")=0,"Sin PMI",IF(INDEX(tCartera[PMI2029],MATCH("2673614",tCartera[CUI],0))="","No informado",INDEX(tCartera[PMI2029],MATCH("2673614",tCartera[CUI],0))))</f>
        <v>1272222</v>
      </c>
    </row>
    <row r="738" spans="1:15" hidden="1" x14ac:dyDescent="0.2">
      <c r="A738" s="128"/>
      <c r="B738" s="131"/>
      <c r="C738" s="110" t="s">
        <v>714</v>
      </c>
      <c r="D738" s="112"/>
      <c r="E738" s="112"/>
      <c r="F738" s="112"/>
      <c r="G738" s="112"/>
      <c r="H738" s="112"/>
      <c r="I738" s="55"/>
      <c r="J738" s="222"/>
      <c r="K738" s="222"/>
      <c r="L738" s="231"/>
      <c r="M738" s="231"/>
      <c r="N738" s="231"/>
      <c r="O738" s="231"/>
    </row>
    <row r="739" spans="1:15" hidden="1" x14ac:dyDescent="0.2">
      <c r="A739" s="129"/>
      <c r="B739" s="132"/>
      <c r="C739" s="110" t="s">
        <v>713</v>
      </c>
      <c r="D739" s="112"/>
      <c r="E739" s="112"/>
      <c r="F739" s="112"/>
      <c r="G739" s="112"/>
      <c r="H739" s="112"/>
      <c r="I739" s="55"/>
      <c r="J739" s="222"/>
      <c r="K739" s="222"/>
      <c r="L739" s="231"/>
      <c r="M739" s="231"/>
      <c r="N739" s="231"/>
      <c r="O739" s="231"/>
    </row>
    <row r="740" spans="1:15" ht="51" hidden="1" x14ac:dyDescent="0.2">
      <c r="A740" s="127">
        <f>SUBTOTAL(103,$B$10:B741)</f>
        <v>210</v>
      </c>
      <c r="B740" s="130">
        <v>243</v>
      </c>
      <c r="C740" s="110" t="s">
        <v>245</v>
      </c>
      <c r="D740" s="111">
        <f>IF(COUNTIF(tSIAF[Clave],"2506927|243")=0,"",SUMIF(tSIAF[Clave],"2506927|243",tSIAF[PIM]))</f>
        <v>0</v>
      </c>
      <c r="E740" s="111">
        <f>IF(COUNTIF(tSIAF[Clave],"2506927|243")=0,"",SUMIF(tSIAF[Clave],"2506927|243",tSIAF[Certificacion]))</f>
        <v>0</v>
      </c>
      <c r="F740" s="111">
        <f>IF(D740="","",D740-E740)</f>
        <v>0</v>
      </c>
      <c r="G740" s="111">
        <f>IF(COUNTIF(tSIAF[Clave],"2506927|243")=0,"",SUMIF(tSIAF[Clave],"2506927|243",tSIAF[Devengado]))</f>
        <v>0</v>
      </c>
      <c r="H740" s="111">
        <f>IF(D740="","",D740-G740)</f>
        <v>0</v>
      </c>
      <c r="I740" s="55">
        <f>IF(D740="","",IF(D740=0,0,G740/D740))</f>
        <v>0</v>
      </c>
      <c r="J740" s="222"/>
      <c r="K740" s="222" t="s">
        <v>2299</v>
      </c>
      <c r="L740" s="231">
        <f>IF(COUNTIF(tCartera[CUI],"2506927")=0,"Sin PMI",IF(INDEX(tCartera[PMI2026],MATCH("2506927",tCartera[CUI],0))="","No informado",INDEX(tCartera[PMI2026],MATCH("2506927",tCartera[CUI],0))))</f>
        <v>1000000</v>
      </c>
      <c r="M740" s="231">
        <f>IF(COUNTIF(tCartera[CUI],"2506927")=0,"Sin PMI",IF(INDEX(tCartera[PMI2027],MATCH("2506927",tCartera[CUI],0))="","No informado",INDEX(tCartera[PMI2027],MATCH("2506927",tCartera[CUI],0))))</f>
        <v>0</v>
      </c>
      <c r="N740" s="231">
        <f>IF(COUNTIF(tCartera[CUI],"2506927")=0,"Sin PMI",IF(INDEX(tCartera[PMI2028],MATCH("2506927",tCartera[CUI],0))="","No informado",INDEX(tCartera[PMI2028],MATCH("2506927",tCartera[CUI],0))))</f>
        <v>0</v>
      </c>
      <c r="O740" s="231">
        <f>IF(COUNTIF(tCartera[CUI],"2506927")=0,"Sin PMI",IF(INDEX(tCartera[PMI2029],MATCH("2506927",tCartera[CUI],0))="","No informado",INDEX(tCartera[PMI2029],MATCH("2506927",tCartera[CUI],0))))</f>
        <v>0</v>
      </c>
    </row>
    <row r="741" spans="1:15" hidden="1" x14ac:dyDescent="0.2">
      <c r="A741" s="129"/>
      <c r="B741" s="132"/>
      <c r="C741" s="110" t="s">
        <v>714</v>
      </c>
      <c r="D741" s="112"/>
      <c r="E741" s="112"/>
      <c r="F741" s="112"/>
      <c r="G741" s="112"/>
      <c r="H741" s="112"/>
      <c r="I741" s="55"/>
      <c r="J741" s="222"/>
      <c r="K741" s="222"/>
      <c r="L741" s="231"/>
      <c r="M741" s="231"/>
      <c r="N741" s="231"/>
      <c r="O741" s="231"/>
    </row>
    <row r="742" spans="1:15" ht="63.75" x14ac:dyDescent="0.2">
      <c r="A742" s="127">
        <f>SUBTOTAL(103,$B$10:B743)</f>
        <v>211</v>
      </c>
      <c r="B742" s="130">
        <v>525</v>
      </c>
      <c r="C742" s="110" t="s">
        <v>710</v>
      </c>
      <c r="D742" s="111">
        <f>IF(COUNTIF(tSIAF[Clave],"2650473|525")=0,"",SUMIF(tSIAF[Clave],"2650473|525",tSIAF[PIM]))</f>
        <v>2394005</v>
      </c>
      <c r="E742" s="111">
        <f>IF(COUNTIF(tSIAF[Clave],"2650473|525")=0,"",SUMIF(tSIAF[Clave],"2650473|525",tSIAF[Certificacion]))</f>
        <v>0</v>
      </c>
      <c r="F742" s="111">
        <f>IF(D742="","",D742-E742)</f>
        <v>2394005</v>
      </c>
      <c r="G742" s="111">
        <f>IF(COUNTIF(tSIAF[Clave],"2650473|525")=0,"",SUMIF(tSIAF[Clave],"2650473|525",tSIAF[Devengado]))</f>
        <v>0</v>
      </c>
      <c r="H742" s="111">
        <f>IF(D742="","",D742-G742)</f>
        <v>2394005</v>
      </c>
      <c r="I742" s="55">
        <f>IF(D742="","",IF(D742=0,0,G742/D742))</f>
        <v>0</v>
      </c>
      <c r="J742" s="222"/>
      <c r="K742" s="222" t="s">
        <v>2299</v>
      </c>
      <c r="L742" s="231" t="str">
        <f>IF(COUNTIF(tCartera[CUI],"2650473")=0,"Sin PMI",IF(INDEX(tCartera[PMI2026],MATCH("2650473",tCartera[CUI],0))="","No informado",INDEX(tCartera[PMI2026],MATCH("2650473",tCartera[CUI],0))))</f>
        <v>Sin PMI</v>
      </c>
      <c r="M742" s="231" t="str">
        <f>IF(COUNTIF(tCartera[CUI],"2650473")=0,"Sin PMI",IF(INDEX(tCartera[PMI2027],MATCH("2650473",tCartera[CUI],0))="","No informado",INDEX(tCartera[PMI2027],MATCH("2650473",tCartera[CUI],0))))</f>
        <v>Sin PMI</v>
      </c>
      <c r="N742" s="231" t="str">
        <f>IF(COUNTIF(tCartera[CUI],"2650473")=0,"Sin PMI",IF(INDEX(tCartera[PMI2028],MATCH("2650473",tCartera[CUI],0))="","No informado",INDEX(tCartera[PMI2028],MATCH("2650473",tCartera[CUI],0))))</f>
        <v>Sin PMI</v>
      </c>
      <c r="O742" s="231" t="str">
        <f>IF(COUNTIF(tCartera[CUI],"2650473")=0,"Sin PMI",IF(INDEX(tCartera[PMI2029],MATCH("2650473",tCartera[CUI],0))="","No informado",INDEX(tCartera[PMI2029],MATCH("2650473",tCartera[CUI],0))))</f>
        <v>Sin PMI</v>
      </c>
    </row>
    <row r="743" spans="1:15" hidden="1" x14ac:dyDescent="0.2">
      <c r="A743" s="129"/>
      <c r="B743" s="132"/>
      <c r="C743" s="110" t="s">
        <v>714</v>
      </c>
      <c r="D743" s="112"/>
      <c r="E743" s="112"/>
      <c r="F743" s="112"/>
      <c r="G743" s="112"/>
      <c r="H743" s="112"/>
      <c r="I743" s="55"/>
      <c r="J743" s="222"/>
      <c r="K743" s="222"/>
      <c r="L743" s="231"/>
      <c r="M743" s="231"/>
      <c r="N743" s="231"/>
      <c r="O743" s="231"/>
    </row>
    <row r="744" spans="1:15" ht="16.5" x14ac:dyDescent="0.2">
      <c r="A744" s="126" t="s">
        <v>92</v>
      </c>
      <c r="B744" s="126"/>
      <c r="C744" s="126"/>
      <c r="D744" s="50">
        <f>D745+D752+D754+D767+D770+D773+D776+D779+D781+D787+D790+D793+D796+D800+D803+D806+D809+D812+D815+D818+D821+D824+D827+D830+D833+D836+D839+D843+D846+D849+D852+D855+D858+D861+D864+D867+D870</f>
        <v>11019969</v>
      </c>
      <c r="E744" s="50">
        <f>E745+E752+E754+E767+E770+E773+E776+E779+E781+E787+E790+E793+E796+E800+E803+E806+E809+E812+E815+E818+E821+E824+E827+E830+E833+E836+E839+E843+E846+E849+E852+E855+E858+E861+E864+E867+E870</f>
        <v>9653225.9100000001</v>
      </c>
      <c r="F744" s="50">
        <f>D744-E744</f>
        <v>1366743.0899999999</v>
      </c>
      <c r="G744" s="50">
        <f>G745+G752+G754+G767+G770+G773+G776+G779+G781+G787+G790+G793+G796+G800+G803+G806+G809+G812+G815+G818+G821+G824+G827+G830+G833+G836+G839+G843+G846+G849+G852+G855+G858+G861+G864+G867+G870</f>
        <v>5481601.1099999994</v>
      </c>
      <c r="H744" s="50">
        <f>D744-G744</f>
        <v>5538367.8900000006</v>
      </c>
      <c r="I744" s="51">
        <f>IF(D744=0,0,G744/D744)</f>
        <v>0.49742436752771257</v>
      </c>
      <c r="J744" s="221"/>
      <c r="K744" s="221"/>
      <c r="L744" s="230"/>
      <c r="M744" s="230"/>
      <c r="N744" s="230"/>
      <c r="O744" s="230"/>
    </row>
    <row r="745" spans="1:15" ht="25.5" x14ac:dyDescent="0.2">
      <c r="A745" s="127">
        <f>+SUBTOTAL(103,$B$10:B751)</f>
        <v>212</v>
      </c>
      <c r="B745" s="130">
        <v>91</v>
      </c>
      <c r="C745" s="110" t="s">
        <v>145</v>
      </c>
      <c r="D745" s="111">
        <f>IF(COUNTIF(tSIAF[Clave],"2159836|91")=0,"",SUMIF(tSIAF[Clave],"2159836|91",tSIAF[PIM]))</f>
        <v>350198</v>
      </c>
      <c r="E745" s="111">
        <f>IF(COUNTIF(tSIAF[Clave],"2159836|91")=0,"",SUMIF(tSIAF[Clave],"2159836|91",tSIAF[Certificacion]))</f>
        <v>287570</v>
      </c>
      <c r="F745" s="111">
        <f>IF(D745="","",D745-E745)</f>
        <v>62628</v>
      </c>
      <c r="G745" s="111">
        <f>IF(COUNTIF(tSIAF[Clave],"2159836|91")=0,"",SUMIF(tSIAF[Clave],"2159836|91",tSIAF[Devengado]))</f>
        <v>252136.73</v>
      </c>
      <c r="H745" s="111">
        <f>IF(D745="","",D745-G745)</f>
        <v>98061.26999999999</v>
      </c>
      <c r="I745" s="55">
        <f>IF(D745="","",IF(D745=0,0,G745/D745))</f>
        <v>0.71998335227499877</v>
      </c>
      <c r="J745" s="222"/>
      <c r="K745" s="222" t="s">
        <v>2299</v>
      </c>
      <c r="L745" s="231">
        <f>IF(COUNTIF(tCartera[CUI],"2159836")=0,"Sin PMI",IF(INDEX(tCartera[PMI2026],MATCH("2159836",tCartera[CUI],0))="","No informado",INDEX(tCartera[PMI2026],MATCH("2159836",tCartera[CUI],0))))</f>
        <v>100000</v>
      </c>
      <c r="M745" s="231">
        <f>IF(COUNTIF(tCartera[CUI],"2159836")=0,"Sin PMI",IF(INDEX(tCartera[PMI2027],MATCH("2159836",tCartera[CUI],0))="","No informado",INDEX(tCartera[PMI2027],MATCH("2159836",tCartera[CUI],0))))</f>
        <v>0</v>
      </c>
      <c r="N745" s="231">
        <f>IF(COUNTIF(tCartera[CUI],"2159836")=0,"Sin PMI",IF(INDEX(tCartera[PMI2028],MATCH("2159836",tCartera[CUI],0))="","No informado",INDEX(tCartera[PMI2028],MATCH("2159836",tCartera[CUI],0))))</f>
        <v>0</v>
      </c>
      <c r="O745" s="231">
        <f>IF(COUNTIF(tCartera[CUI],"2159836")=0,"Sin PMI",IF(INDEX(tCartera[PMI2029],MATCH("2159836",tCartera[CUI],0))="","No informado",INDEX(tCartera[PMI2029],MATCH("2159836",tCartera[CUI],0))))</f>
        <v>0</v>
      </c>
    </row>
    <row r="746" spans="1:15" ht="31.5" hidden="1" customHeight="1" x14ac:dyDescent="0.2">
      <c r="A746" s="128"/>
      <c r="B746" s="131"/>
      <c r="C746" s="115" t="s">
        <v>86</v>
      </c>
      <c r="D746" s="111"/>
      <c r="E746" s="111"/>
      <c r="F746" s="111"/>
      <c r="G746" s="111"/>
      <c r="H746" s="111"/>
      <c r="I746" s="55"/>
      <c r="J746" s="222"/>
      <c r="K746" s="222"/>
      <c r="L746" s="231"/>
      <c r="M746" s="231"/>
      <c r="N746" s="231"/>
      <c r="O746" s="231"/>
    </row>
    <row r="747" spans="1:15" ht="31.5" hidden="1" customHeight="1" x14ac:dyDescent="0.2">
      <c r="A747" s="128"/>
      <c r="B747" s="131"/>
      <c r="C747" s="115" t="s">
        <v>87</v>
      </c>
      <c r="D747" s="111"/>
      <c r="E747" s="111"/>
      <c r="F747" s="111"/>
      <c r="G747" s="111"/>
      <c r="H747" s="111"/>
      <c r="I747" s="55"/>
      <c r="J747" s="222"/>
      <c r="K747" s="222"/>
      <c r="L747" s="231"/>
      <c r="M747" s="231"/>
      <c r="N747" s="231"/>
      <c r="O747" s="231"/>
    </row>
    <row r="748" spans="1:15" ht="78.75" hidden="1" customHeight="1" x14ac:dyDescent="0.2">
      <c r="A748" s="128"/>
      <c r="B748" s="131"/>
      <c r="C748" s="110" t="s">
        <v>41</v>
      </c>
      <c r="D748" s="111"/>
      <c r="E748" s="111"/>
      <c r="F748" s="111"/>
      <c r="G748" s="111"/>
      <c r="H748" s="111"/>
      <c r="I748" s="55"/>
      <c r="J748" s="222"/>
      <c r="K748" s="222"/>
      <c r="L748" s="231"/>
      <c r="M748" s="231"/>
      <c r="N748" s="231"/>
      <c r="O748" s="231"/>
    </row>
    <row r="749" spans="1:15" ht="31.5" hidden="1" customHeight="1" x14ac:dyDescent="0.2">
      <c r="A749" s="128"/>
      <c r="B749" s="131"/>
      <c r="C749" s="115" t="s">
        <v>87</v>
      </c>
      <c r="D749" s="111"/>
      <c r="E749" s="111"/>
      <c r="F749" s="111"/>
      <c r="G749" s="111"/>
      <c r="H749" s="111"/>
      <c r="I749" s="55"/>
      <c r="J749" s="222"/>
      <c r="K749" s="222"/>
      <c r="L749" s="231"/>
      <c r="M749" s="231"/>
      <c r="N749" s="231"/>
      <c r="O749" s="231"/>
    </row>
    <row r="750" spans="1:15" hidden="1" x14ac:dyDescent="0.2">
      <c r="A750" s="128"/>
      <c r="B750" s="131"/>
      <c r="C750" s="110" t="s">
        <v>718</v>
      </c>
      <c r="D750" s="112"/>
      <c r="E750" s="112"/>
      <c r="F750" s="112"/>
      <c r="G750" s="112"/>
      <c r="H750" s="112"/>
      <c r="I750" s="55"/>
      <c r="J750" s="222"/>
      <c r="K750" s="222"/>
      <c r="L750" s="231"/>
      <c r="M750" s="231"/>
      <c r="N750" s="231"/>
      <c r="O750" s="231"/>
    </row>
    <row r="751" spans="1:15" hidden="1" x14ac:dyDescent="0.2">
      <c r="A751" s="129"/>
      <c r="B751" s="132"/>
      <c r="C751" s="110" t="s">
        <v>713</v>
      </c>
      <c r="D751" s="112"/>
      <c r="E751" s="112"/>
      <c r="F751" s="112"/>
      <c r="G751" s="112"/>
      <c r="H751" s="112"/>
      <c r="I751" s="55"/>
      <c r="J751" s="222"/>
      <c r="K751" s="222"/>
      <c r="L751" s="231"/>
      <c r="M751" s="231"/>
      <c r="N751" s="231"/>
      <c r="O751" s="231"/>
    </row>
    <row r="752" spans="1:15" ht="38.25" hidden="1" x14ac:dyDescent="0.2">
      <c r="A752" s="127">
        <f>SUBTOTAL(103,$B$8:B753)</f>
        <v>212</v>
      </c>
      <c r="B752" s="130">
        <v>93</v>
      </c>
      <c r="C752" s="110" t="s">
        <v>370</v>
      </c>
      <c r="D752" s="111">
        <f>IF(COUNTIF(tSIAF[Clave],"2185111|93")=0,"",SUMIF(tSIAF[Clave],"2185111|93",tSIAF[PIM]))</f>
        <v>0</v>
      </c>
      <c r="E752" s="111">
        <f>IF(COUNTIF(tSIAF[Clave],"2185111|93")=0,"",SUMIF(tSIAF[Clave],"2185111|93",tSIAF[Certificacion]))</f>
        <v>0</v>
      </c>
      <c r="F752" s="111">
        <f>IF(D752="","",D752-E752)</f>
        <v>0</v>
      </c>
      <c r="G752" s="111">
        <f>IF(COUNTIF(tSIAF[Clave],"2185111|93")=0,"",SUMIF(tSIAF[Clave],"2185111|93",tSIAF[Devengado]))</f>
        <v>0</v>
      </c>
      <c r="H752" s="111">
        <f>IF(D752="","",D752-G752)</f>
        <v>0</v>
      </c>
      <c r="I752" s="55">
        <f>IF(D752="","",IF(D752=0,0,G752/D752))</f>
        <v>0</v>
      </c>
      <c r="J752" s="222"/>
      <c r="K752" s="222" t="s">
        <v>2299</v>
      </c>
      <c r="L752" s="231">
        <f>IF(COUNTIF(tCartera[CUI],"2185111")=0,"Sin PMI",IF(INDEX(tCartera[PMI2026],MATCH("2185111",tCartera[CUI],0))="","No informado",INDEX(tCartera[PMI2026],MATCH("2185111",tCartera[CUI],0))))</f>
        <v>100000</v>
      </c>
      <c r="M752" s="231">
        <f>IF(COUNTIF(tCartera[CUI],"2185111")=0,"Sin PMI",IF(INDEX(tCartera[PMI2027],MATCH("2185111",tCartera[CUI],0))="","No informado",INDEX(tCartera[PMI2027],MATCH("2185111",tCartera[CUI],0))))</f>
        <v>0</v>
      </c>
      <c r="N752" s="231">
        <f>IF(COUNTIF(tCartera[CUI],"2185111")=0,"Sin PMI",IF(INDEX(tCartera[PMI2028],MATCH("2185111",tCartera[CUI],0))="","No informado",INDEX(tCartera[PMI2028],MATCH("2185111",tCartera[CUI],0))))</f>
        <v>0</v>
      </c>
      <c r="O752" s="231">
        <f>IF(COUNTIF(tCartera[CUI],"2185111")=0,"Sin PMI",IF(INDEX(tCartera[PMI2029],MATCH("2185111",tCartera[CUI],0))="","No informado",INDEX(tCartera[PMI2029],MATCH("2185111",tCartera[CUI],0))))</f>
        <v>0</v>
      </c>
    </row>
    <row r="753" spans="1:15" hidden="1" x14ac:dyDescent="0.2">
      <c r="A753" s="129"/>
      <c r="B753" s="132"/>
      <c r="C753" s="110" t="s">
        <v>718</v>
      </c>
      <c r="D753" s="112"/>
      <c r="E753" s="112"/>
      <c r="F753" s="112"/>
      <c r="G753" s="112"/>
      <c r="H753" s="112"/>
      <c r="I753" s="55"/>
      <c r="J753" s="222"/>
      <c r="K753" s="222"/>
      <c r="L753" s="231"/>
      <c r="M753" s="231"/>
      <c r="N753" s="231"/>
      <c r="O753" s="231"/>
    </row>
    <row r="754" spans="1:15" ht="76.5" hidden="1" x14ac:dyDescent="0.2">
      <c r="A754" s="127">
        <f>+SUBTOTAL(103,$B$10:B766)</f>
        <v>212</v>
      </c>
      <c r="B754" s="130">
        <v>102</v>
      </c>
      <c r="C754" s="110" t="s">
        <v>154</v>
      </c>
      <c r="D754" s="111">
        <f>IF(COUNTIF(tSIAF[Clave],"2338085|102")=0,"",SUMIF(tSIAF[Clave],"2338085|102",tSIAF[PIM]))</f>
        <v>0</v>
      </c>
      <c r="E754" s="111">
        <f>IF(COUNTIF(tSIAF[Clave],"2338085|102")=0,"",SUMIF(tSIAF[Clave],"2338085|102",tSIAF[Certificacion]))</f>
        <v>0</v>
      </c>
      <c r="F754" s="111">
        <f>IF(D754="","",D754-E754)</f>
        <v>0</v>
      </c>
      <c r="G754" s="111">
        <f>IF(COUNTIF(tSIAF[Clave],"2338085|102")=0,"",SUMIF(tSIAF[Clave],"2338085|102",tSIAF[Devengado]))</f>
        <v>0</v>
      </c>
      <c r="H754" s="111">
        <f>IF(D754="","",D754-G754)</f>
        <v>0</v>
      </c>
      <c r="I754" s="55">
        <f>IF(D754="","",IF(D754=0,0,G754/D754))</f>
        <v>0</v>
      </c>
      <c r="J754" s="222"/>
      <c r="K754" s="222" t="s">
        <v>2299</v>
      </c>
      <c r="L754" s="231" t="str">
        <f>IF(COUNTIF(tCartera[CUI],"2338085")=0,"Sin PMI",IF(INDEX(tCartera[PMI2026],MATCH("2338085",tCartera[CUI],0))="","No informado",INDEX(tCartera[PMI2026],MATCH("2338085",tCartera[CUI],0))))</f>
        <v>Sin PMI</v>
      </c>
      <c r="M754" s="231" t="str">
        <f>IF(COUNTIF(tCartera[CUI],"2338085")=0,"Sin PMI",IF(INDEX(tCartera[PMI2027],MATCH("2338085",tCartera[CUI],0))="","No informado",INDEX(tCartera[PMI2027],MATCH("2338085",tCartera[CUI],0))))</f>
        <v>Sin PMI</v>
      </c>
      <c r="N754" s="231" t="str">
        <f>IF(COUNTIF(tCartera[CUI],"2338085")=0,"Sin PMI",IF(INDEX(tCartera[PMI2028],MATCH("2338085",tCartera[CUI],0))="","No informado",INDEX(tCartera[PMI2028],MATCH("2338085",tCartera[CUI],0))))</f>
        <v>Sin PMI</v>
      </c>
      <c r="O754" s="231" t="str">
        <f>IF(COUNTIF(tCartera[CUI],"2338085")=0,"Sin PMI",IF(INDEX(tCartera[PMI2029],MATCH("2338085",tCartera[CUI],0))="","No informado",INDEX(tCartera[PMI2029],MATCH("2338085",tCartera[CUI],0))))</f>
        <v>Sin PMI</v>
      </c>
    </row>
    <row r="755" spans="1:15" ht="31.5" hidden="1" customHeight="1" x14ac:dyDescent="0.2">
      <c r="A755" s="128"/>
      <c r="B755" s="131"/>
      <c r="C755" s="110" t="s">
        <v>254</v>
      </c>
      <c r="D755" s="111"/>
      <c r="E755" s="111"/>
      <c r="F755" s="111"/>
      <c r="G755" s="111"/>
      <c r="H755" s="111"/>
      <c r="I755" s="55"/>
      <c r="J755" s="222"/>
      <c r="K755" s="222"/>
      <c r="L755" s="231"/>
      <c r="M755" s="231"/>
      <c r="N755" s="231"/>
      <c r="O755" s="231"/>
    </row>
    <row r="756" spans="1:15" ht="31.5" hidden="1" customHeight="1" x14ac:dyDescent="0.2">
      <c r="A756" s="128"/>
      <c r="B756" s="131"/>
      <c r="C756" s="110" t="s">
        <v>279</v>
      </c>
      <c r="D756" s="111"/>
      <c r="E756" s="111"/>
      <c r="F756" s="111"/>
      <c r="G756" s="111"/>
      <c r="H756" s="111"/>
      <c r="I756" s="55"/>
      <c r="J756" s="222"/>
      <c r="K756" s="222"/>
      <c r="L756" s="231"/>
      <c r="M756" s="231"/>
      <c r="N756" s="231"/>
      <c r="O756" s="231"/>
    </row>
    <row r="757" spans="1:15" ht="31.5" hidden="1" customHeight="1" x14ac:dyDescent="0.2">
      <c r="A757" s="128"/>
      <c r="B757" s="131"/>
      <c r="C757" s="110" t="s">
        <v>255</v>
      </c>
      <c r="D757" s="111"/>
      <c r="E757" s="111"/>
      <c r="F757" s="111"/>
      <c r="G757" s="111"/>
      <c r="H757" s="111"/>
      <c r="I757" s="55"/>
      <c r="J757" s="222"/>
      <c r="K757" s="222"/>
      <c r="L757" s="231"/>
      <c r="M757" s="231"/>
      <c r="N757" s="231"/>
      <c r="O757" s="231"/>
    </row>
    <row r="758" spans="1:15" ht="18" hidden="1" customHeight="1" x14ac:dyDescent="0.2">
      <c r="A758" s="128"/>
      <c r="B758" s="131"/>
      <c r="C758" s="115" t="s">
        <v>258</v>
      </c>
      <c r="D758" s="111"/>
      <c r="E758" s="111"/>
      <c r="F758" s="111"/>
      <c r="G758" s="111"/>
      <c r="H758" s="111"/>
      <c r="I758" s="55"/>
      <c r="J758" s="222"/>
      <c r="K758" s="222"/>
      <c r="L758" s="231"/>
      <c r="M758" s="231"/>
      <c r="N758" s="231"/>
      <c r="O758" s="231"/>
    </row>
    <row r="759" spans="1:15" ht="31.5" hidden="1" customHeight="1" x14ac:dyDescent="0.2">
      <c r="A759" s="128"/>
      <c r="B759" s="131"/>
      <c r="C759" s="115" t="s">
        <v>259</v>
      </c>
      <c r="D759" s="111"/>
      <c r="E759" s="111"/>
      <c r="F759" s="111"/>
      <c r="G759" s="111"/>
      <c r="H759" s="111"/>
      <c r="I759" s="55"/>
      <c r="J759" s="222"/>
      <c r="K759" s="222"/>
      <c r="L759" s="231"/>
      <c r="M759" s="231"/>
      <c r="N759" s="231"/>
      <c r="O759" s="231"/>
    </row>
    <row r="760" spans="1:15" ht="31.5" hidden="1" customHeight="1" x14ac:dyDescent="0.2">
      <c r="A760" s="128"/>
      <c r="B760" s="131"/>
      <c r="C760" s="115" t="s">
        <v>257</v>
      </c>
      <c r="D760" s="111"/>
      <c r="E760" s="111"/>
      <c r="F760" s="111"/>
      <c r="G760" s="111"/>
      <c r="H760" s="111"/>
      <c r="I760" s="55"/>
      <c r="J760" s="222"/>
      <c r="K760" s="222"/>
      <c r="L760" s="231"/>
      <c r="M760" s="231"/>
      <c r="N760" s="231"/>
      <c r="O760" s="231"/>
    </row>
    <row r="761" spans="1:15" ht="31.5" hidden="1" customHeight="1" x14ac:dyDescent="0.2">
      <c r="A761" s="128"/>
      <c r="B761" s="131"/>
      <c r="C761" s="115" t="s">
        <v>252</v>
      </c>
      <c r="D761" s="111"/>
      <c r="E761" s="111"/>
      <c r="F761" s="111"/>
      <c r="G761" s="111"/>
      <c r="H761" s="111"/>
      <c r="I761" s="55"/>
      <c r="J761" s="222"/>
      <c r="K761" s="222"/>
      <c r="L761" s="231"/>
      <c r="M761" s="231"/>
      <c r="N761" s="231"/>
      <c r="O761" s="231"/>
    </row>
    <row r="762" spans="1:15" ht="18" hidden="1" customHeight="1" x14ac:dyDescent="0.2">
      <c r="A762" s="128"/>
      <c r="B762" s="131"/>
      <c r="C762" s="115" t="s">
        <v>253</v>
      </c>
      <c r="D762" s="111"/>
      <c r="E762" s="111"/>
      <c r="F762" s="111"/>
      <c r="G762" s="111"/>
      <c r="H762" s="111"/>
      <c r="I762" s="55"/>
      <c r="J762" s="222"/>
      <c r="K762" s="222"/>
      <c r="L762" s="231"/>
      <c r="M762" s="231"/>
      <c r="N762" s="231"/>
      <c r="O762" s="231"/>
    </row>
    <row r="763" spans="1:15" ht="31.5" hidden="1" customHeight="1" x14ac:dyDescent="0.2">
      <c r="A763" s="128"/>
      <c r="B763" s="131"/>
      <c r="C763" s="115" t="s">
        <v>256</v>
      </c>
      <c r="D763" s="111"/>
      <c r="E763" s="111"/>
      <c r="F763" s="111"/>
      <c r="G763" s="111"/>
      <c r="H763" s="111"/>
      <c r="I763" s="55"/>
      <c r="J763" s="222"/>
      <c r="K763" s="222"/>
      <c r="L763" s="231"/>
      <c r="M763" s="231"/>
      <c r="N763" s="231"/>
      <c r="O763" s="231"/>
    </row>
    <row r="764" spans="1:15" ht="63" hidden="1" customHeight="1" x14ac:dyDescent="0.2">
      <c r="A764" s="128"/>
      <c r="B764" s="131"/>
      <c r="C764" s="110" t="s">
        <v>111</v>
      </c>
      <c r="D764" s="111"/>
      <c r="E764" s="111"/>
      <c r="F764" s="111"/>
      <c r="G764" s="111"/>
      <c r="H764" s="111"/>
      <c r="I764" s="55"/>
      <c r="J764" s="222"/>
      <c r="K764" s="222"/>
      <c r="L764" s="231"/>
      <c r="M764" s="231"/>
      <c r="N764" s="231"/>
      <c r="O764" s="231"/>
    </row>
    <row r="765" spans="1:15" ht="31.5" hidden="1" customHeight="1" x14ac:dyDescent="0.2">
      <c r="A765" s="128"/>
      <c r="B765" s="131"/>
      <c r="C765" s="115" t="s">
        <v>87</v>
      </c>
      <c r="D765" s="111"/>
      <c r="E765" s="111"/>
      <c r="F765" s="111"/>
      <c r="G765" s="111"/>
      <c r="H765" s="111"/>
      <c r="I765" s="55"/>
      <c r="J765" s="222"/>
      <c r="K765" s="222"/>
      <c r="L765" s="231"/>
      <c r="M765" s="231"/>
      <c r="N765" s="231"/>
      <c r="O765" s="231"/>
    </row>
    <row r="766" spans="1:15" hidden="1" x14ac:dyDescent="0.2">
      <c r="A766" s="129"/>
      <c r="B766" s="132"/>
      <c r="C766" s="110" t="s">
        <v>718</v>
      </c>
      <c r="D766" s="112"/>
      <c r="E766" s="112"/>
      <c r="F766" s="112"/>
      <c r="G766" s="112"/>
      <c r="H766" s="112"/>
      <c r="I766" s="55"/>
      <c r="J766" s="222"/>
      <c r="K766" s="222"/>
      <c r="L766" s="231"/>
      <c r="M766" s="231"/>
      <c r="N766" s="231"/>
      <c r="O766" s="231"/>
    </row>
    <row r="767" spans="1:15" ht="38.25" x14ac:dyDescent="0.2">
      <c r="A767" s="127"/>
      <c r="B767" s="130">
        <v>100</v>
      </c>
      <c r="C767" s="110" t="s">
        <v>152</v>
      </c>
      <c r="D767" s="111">
        <f>IF(COUNTIF(tSIAF[Clave],"2316291|100")=0,"",SUMIF(tSIAF[Clave],"2316291|100",tSIAF[PIM]))</f>
        <v>0</v>
      </c>
      <c r="E767" s="111">
        <f>IF(COUNTIF(tSIAF[Clave],"2316291|100")=0,"",SUMIF(tSIAF[Clave],"2316291|100",tSIAF[Certificacion]))</f>
        <v>0</v>
      </c>
      <c r="F767" s="111">
        <f>IF(D767="","",D767-E767)</f>
        <v>0</v>
      </c>
      <c r="G767" s="111">
        <f>IF(COUNTIF(tSIAF[Clave],"2316291|100")=0,"",SUMIF(tSIAF[Clave],"2316291|100",tSIAF[Devengado]))</f>
        <v>0</v>
      </c>
      <c r="H767" s="111">
        <f>IF(D767="","",D767-G767)</f>
        <v>0</v>
      </c>
      <c r="I767" s="55">
        <f>IF(D767="","",IF(D767=0,0,G767/D767))</f>
        <v>0</v>
      </c>
      <c r="J767" s="222"/>
      <c r="K767" s="222" t="s">
        <v>2299</v>
      </c>
      <c r="L767" s="231">
        <f>IF(COUNTIF(tCartera[CUI],"2316291")=0,"Sin PMI",IF(INDEX(tCartera[PMI2026],MATCH("2316291",tCartera[CUI],0))="","No informado",INDEX(tCartera[PMI2026],MATCH("2316291",tCartera[CUI],0))))</f>
        <v>7946662</v>
      </c>
      <c r="M767" s="231">
        <f>IF(COUNTIF(tCartera[CUI],"2316291")=0,"Sin PMI",IF(INDEX(tCartera[PMI2027],MATCH("2316291",tCartera[CUI],0))="","No informado",INDEX(tCartera[PMI2027],MATCH("2316291",tCartera[CUI],0))))</f>
        <v>0</v>
      </c>
      <c r="N767" s="231">
        <f>IF(COUNTIF(tCartera[CUI],"2316291")=0,"Sin PMI",IF(INDEX(tCartera[PMI2028],MATCH("2316291",tCartera[CUI],0))="","No informado",INDEX(tCartera[PMI2028],MATCH("2316291",tCartera[CUI],0))))</f>
        <v>0</v>
      </c>
      <c r="O767" s="231">
        <f>IF(COUNTIF(tCartera[CUI],"2316291")=0,"Sin PMI",IF(INDEX(tCartera[PMI2029],MATCH("2316291",tCartera[CUI],0))="","No informado",INDEX(tCartera[PMI2029],MATCH("2316291",tCartera[CUI],0))))</f>
        <v>0</v>
      </c>
    </row>
    <row r="768" spans="1:15" hidden="1" x14ac:dyDescent="0.2">
      <c r="A768" s="128"/>
      <c r="B768" s="131"/>
      <c r="C768" s="110"/>
      <c r="D768" s="112"/>
      <c r="E768" s="112"/>
      <c r="F768" s="112"/>
      <c r="G768" s="112"/>
      <c r="H768" s="112"/>
      <c r="I768" s="55"/>
      <c r="J768" s="222"/>
      <c r="K768" s="222"/>
      <c r="L768" s="231"/>
      <c r="M768" s="231"/>
      <c r="N768" s="231"/>
      <c r="O768" s="231"/>
    </row>
    <row r="769" spans="1:15" ht="25.5" hidden="1" x14ac:dyDescent="0.2">
      <c r="A769" s="129"/>
      <c r="B769" s="132"/>
      <c r="C769" s="110" t="s">
        <v>715</v>
      </c>
      <c r="D769" s="112"/>
      <c r="E769" s="112"/>
      <c r="F769" s="112"/>
      <c r="G769" s="112"/>
      <c r="H769" s="112"/>
      <c r="I769" s="55"/>
      <c r="J769" s="222"/>
      <c r="K769" s="222"/>
      <c r="L769" s="231"/>
      <c r="M769" s="231"/>
      <c r="N769" s="231"/>
      <c r="O769" s="231"/>
    </row>
    <row r="770" spans="1:15" ht="38.25" x14ac:dyDescent="0.2">
      <c r="A770" s="127">
        <f>SUBTOTAL(103,$B$8:B772)</f>
        <v>214</v>
      </c>
      <c r="B770" s="130">
        <v>111</v>
      </c>
      <c r="C770" s="110" t="s">
        <v>158</v>
      </c>
      <c r="D770" s="111">
        <f>IF(COUNTIF(tSIAF[Clave],"2470024|111")=0,"",SUMIF(tSIAF[Clave],"2470024|111",tSIAF[PIM]))</f>
        <v>0</v>
      </c>
      <c r="E770" s="111">
        <f>IF(COUNTIF(tSIAF[Clave],"2470024|111")=0,"",SUMIF(tSIAF[Clave],"2470024|111",tSIAF[Certificacion]))</f>
        <v>0</v>
      </c>
      <c r="F770" s="111">
        <f>IF(D770="","",D770-E770)</f>
        <v>0</v>
      </c>
      <c r="G770" s="111">
        <f>IF(COUNTIF(tSIAF[Clave],"2470024|111")=0,"",SUMIF(tSIAF[Clave],"2470024|111",tSIAF[Devengado]))</f>
        <v>0</v>
      </c>
      <c r="H770" s="111">
        <f>IF(D770="","",D770-G770)</f>
        <v>0</v>
      </c>
      <c r="I770" s="55">
        <f>IF(D770="","",IF(D770=0,0,G770/D770))</f>
        <v>0</v>
      </c>
      <c r="J770" s="222"/>
      <c r="K770" s="222" t="s">
        <v>2299</v>
      </c>
      <c r="L770" s="231">
        <f>IF(COUNTIF(tCartera[CUI],"2470024")=0,"Sin PMI",IF(INDEX(tCartera[PMI2026],MATCH("2470024",tCartera[CUI],0))="","No informado",INDEX(tCartera[PMI2026],MATCH("2470024",tCartera[CUI],0))))</f>
        <v>2800000</v>
      </c>
      <c r="M770" s="231">
        <f>IF(COUNTIF(tCartera[CUI],"2470024")=0,"Sin PMI",IF(INDEX(tCartera[PMI2027],MATCH("2470024",tCartera[CUI],0))="","No informado",INDEX(tCartera[PMI2027],MATCH("2470024",tCartera[CUI],0))))</f>
        <v>0</v>
      </c>
      <c r="N770" s="231">
        <f>IF(COUNTIF(tCartera[CUI],"2470024")=0,"Sin PMI",IF(INDEX(tCartera[PMI2028],MATCH("2470024",tCartera[CUI],0))="","No informado",INDEX(tCartera[PMI2028],MATCH("2470024",tCartera[CUI],0))))</f>
        <v>0</v>
      </c>
      <c r="O770" s="231">
        <f>IF(COUNTIF(tCartera[CUI],"2470024")=0,"Sin PMI",IF(INDEX(tCartera[PMI2029],MATCH("2470024",tCartera[CUI],0))="","No informado",INDEX(tCartera[PMI2029],MATCH("2470024",tCartera[CUI],0))))</f>
        <v>0</v>
      </c>
    </row>
    <row r="771" spans="1:15" hidden="1" x14ac:dyDescent="0.2">
      <c r="A771" s="128"/>
      <c r="B771" s="131"/>
      <c r="C771" s="110" t="s">
        <v>718</v>
      </c>
      <c r="D771" s="112"/>
      <c r="E771" s="112"/>
      <c r="F771" s="112"/>
      <c r="G771" s="112"/>
      <c r="H771" s="112"/>
      <c r="I771" s="55"/>
      <c r="J771" s="222"/>
      <c r="K771" s="222"/>
      <c r="L771" s="231"/>
      <c r="M771" s="231"/>
      <c r="N771" s="231"/>
      <c r="O771" s="231"/>
    </row>
    <row r="772" spans="1:15" hidden="1" x14ac:dyDescent="0.2">
      <c r="A772" s="129"/>
      <c r="B772" s="132"/>
      <c r="C772" s="110" t="s">
        <v>713</v>
      </c>
      <c r="D772" s="112"/>
      <c r="E772" s="112"/>
      <c r="F772" s="112"/>
      <c r="G772" s="112"/>
      <c r="H772" s="112"/>
      <c r="I772" s="55"/>
      <c r="J772" s="222"/>
      <c r="K772" s="222"/>
      <c r="L772" s="231"/>
      <c r="M772" s="231"/>
      <c r="N772" s="231"/>
      <c r="O772" s="231"/>
    </row>
    <row r="773" spans="1:15" ht="63.75" x14ac:dyDescent="0.2">
      <c r="A773" s="127">
        <f>SUBTOTAL(103,$B$8:B775)</f>
        <v>215</v>
      </c>
      <c r="B773" s="130">
        <v>115</v>
      </c>
      <c r="C773" s="110" t="s">
        <v>334</v>
      </c>
      <c r="D773" s="111">
        <f>IF(COUNTIF(tSIAF[Clave],"2585398|115")=0,"",SUMIF(tSIAF[Clave],"2585398|115",tSIAF[PIM]))</f>
        <v>100000</v>
      </c>
      <c r="E773" s="111">
        <f>IF(COUNTIF(tSIAF[Clave],"2585398|115")=0,"",SUMIF(tSIAF[Clave],"2585398|115",tSIAF[Certificacion]))</f>
        <v>20000</v>
      </c>
      <c r="F773" s="111">
        <f>IF(D773="","",D773-E773)</f>
        <v>80000</v>
      </c>
      <c r="G773" s="111">
        <f>IF(COUNTIF(tSIAF[Clave],"2585398|115")=0,"",SUMIF(tSIAF[Clave],"2585398|115",tSIAF[Devengado]))</f>
        <v>13772.3</v>
      </c>
      <c r="H773" s="111">
        <f>IF(D773="","",D773-G773)</f>
        <v>86227.7</v>
      </c>
      <c r="I773" s="55">
        <f>IF(D773="","",IF(D773=0,0,G773/D773))</f>
        <v>0.13772299999999998</v>
      </c>
      <c r="J773" s="222"/>
      <c r="K773" s="222" t="s">
        <v>2299</v>
      </c>
      <c r="L773" s="231">
        <f>IF(COUNTIF(tCartera[CUI],"2585398")=0,"Sin PMI",IF(INDEX(tCartera[PMI2026],MATCH("2585398",tCartera[CUI],0))="","No informado",INDEX(tCartera[PMI2026],MATCH("2585398",tCartera[CUI],0))))</f>
        <v>100000</v>
      </c>
      <c r="M773" s="231">
        <f>IF(COUNTIF(tCartera[CUI],"2585398")=0,"Sin PMI",IF(INDEX(tCartera[PMI2027],MATCH("2585398",tCartera[CUI],0))="","No informado",INDEX(tCartera[PMI2027],MATCH("2585398",tCartera[CUI],0))))</f>
        <v>452541</v>
      </c>
      <c r="N773" s="231">
        <f>IF(COUNTIF(tCartera[CUI],"2585398")=0,"Sin PMI",IF(INDEX(tCartera[PMI2028],MATCH("2585398",tCartera[CUI],0))="","No informado",INDEX(tCartera[PMI2028],MATCH("2585398",tCartera[CUI],0))))</f>
        <v>0</v>
      </c>
      <c r="O773" s="231">
        <f>IF(COUNTIF(tCartera[CUI],"2585398")=0,"Sin PMI",IF(INDEX(tCartera[PMI2029],MATCH("2585398",tCartera[CUI],0))="","No informado",INDEX(tCartera[PMI2029],MATCH("2585398",tCartera[CUI],0))))</f>
        <v>1000000</v>
      </c>
    </row>
    <row r="774" spans="1:15" hidden="1" x14ac:dyDescent="0.2">
      <c r="A774" s="128"/>
      <c r="B774" s="131"/>
      <c r="C774" s="110" t="s">
        <v>718</v>
      </c>
      <c r="D774" s="112"/>
      <c r="E774" s="112"/>
      <c r="F774" s="112"/>
      <c r="G774" s="112"/>
      <c r="H774" s="112"/>
      <c r="I774" s="55"/>
      <c r="J774" s="222"/>
      <c r="K774" s="222"/>
      <c r="L774" s="231"/>
      <c r="M774" s="231"/>
      <c r="N774" s="231"/>
      <c r="O774" s="231"/>
    </row>
    <row r="775" spans="1:15" hidden="1" x14ac:dyDescent="0.2">
      <c r="A775" s="129"/>
      <c r="B775" s="132"/>
      <c r="C775" s="110" t="s">
        <v>713</v>
      </c>
      <c r="D775" s="112"/>
      <c r="E775" s="112"/>
      <c r="F775" s="112"/>
      <c r="G775" s="112"/>
      <c r="H775" s="112"/>
      <c r="I775" s="55"/>
      <c r="J775" s="222"/>
      <c r="K775" s="222"/>
      <c r="L775" s="231"/>
      <c r="M775" s="231"/>
      <c r="N775" s="231"/>
      <c r="O775" s="231"/>
    </row>
    <row r="776" spans="1:15" ht="63.75" x14ac:dyDescent="0.2">
      <c r="A776" s="127">
        <f>SUBTOTAL(103,$B$8:B778)</f>
        <v>216</v>
      </c>
      <c r="B776" s="130">
        <v>117</v>
      </c>
      <c r="C776" s="110" t="s">
        <v>335</v>
      </c>
      <c r="D776" s="111">
        <f>IF(COUNTIF(tSIAF[Clave],"2585541|117")=0,"",SUMIF(tSIAF[Clave],"2585541|117",tSIAF[PIM]))</f>
        <v>391951</v>
      </c>
      <c r="E776" s="111">
        <f>IF(COUNTIF(tSIAF[Clave],"2585541|117")=0,"",SUMIF(tSIAF[Clave],"2585541|117",tSIAF[Certificacion]))</f>
        <v>130000</v>
      </c>
      <c r="F776" s="111">
        <f>IF(D776="","",D776-E776)</f>
        <v>261951</v>
      </c>
      <c r="G776" s="111">
        <f>IF(COUNTIF(tSIAF[Clave],"2585541|117")=0,"",SUMIF(tSIAF[Clave],"2585541|117",tSIAF[Devengado]))</f>
        <v>0</v>
      </c>
      <c r="H776" s="111">
        <f>IF(D776="","",D776-G776)</f>
        <v>391951</v>
      </c>
      <c r="I776" s="55">
        <f>IF(D776="","",IF(D776=0,0,G776/D776))</f>
        <v>0</v>
      </c>
      <c r="J776" s="222"/>
      <c r="K776" s="222" t="s">
        <v>2299</v>
      </c>
      <c r="L776" s="231">
        <f>IF(COUNTIF(tCartera[CUI],"2585541")=0,"Sin PMI",IF(INDEX(tCartera[PMI2026],MATCH("2585541",tCartera[CUI],0))="","No informado",INDEX(tCartera[PMI2026],MATCH("2585541",tCartera[CUI],0))))</f>
        <v>850000</v>
      </c>
      <c r="M776" s="231">
        <f>IF(COUNTIF(tCartera[CUI],"2585541")=0,"Sin PMI",IF(INDEX(tCartera[PMI2027],MATCH("2585541",tCartera[CUI],0))="","No informado",INDEX(tCartera[PMI2027],MATCH("2585541",tCartera[CUI],0))))</f>
        <v>454257</v>
      </c>
      <c r="N776" s="231">
        <f>IF(COUNTIF(tCartera[CUI],"2585541")=0,"Sin PMI",IF(INDEX(tCartera[PMI2028],MATCH("2585541",tCartera[CUI],0))="","No informado",INDEX(tCartera[PMI2028],MATCH("2585541",tCartera[CUI],0))))</f>
        <v>0</v>
      </c>
      <c r="O776" s="231">
        <f>IF(COUNTIF(tCartera[CUI],"2585541")=0,"Sin PMI",IF(INDEX(tCartera[PMI2029],MATCH("2585541",tCartera[CUI],0))="","No informado",INDEX(tCartera[PMI2029],MATCH("2585541",tCartera[CUI],0))))</f>
        <v>1000000</v>
      </c>
    </row>
    <row r="777" spans="1:15" hidden="1" x14ac:dyDescent="0.2">
      <c r="A777" s="128"/>
      <c r="B777" s="131"/>
      <c r="C777" s="110" t="s">
        <v>718</v>
      </c>
      <c r="D777" s="112"/>
      <c r="E777" s="112"/>
      <c r="F777" s="112"/>
      <c r="G777" s="112"/>
      <c r="H777" s="112"/>
      <c r="I777" s="55"/>
      <c r="J777" s="222"/>
      <c r="K777" s="222"/>
      <c r="L777" s="231"/>
      <c r="M777" s="231"/>
      <c r="N777" s="231"/>
      <c r="O777" s="231"/>
    </row>
    <row r="778" spans="1:15" hidden="1" x14ac:dyDescent="0.2">
      <c r="A778" s="129"/>
      <c r="B778" s="132"/>
      <c r="C778" s="110" t="s">
        <v>713</v>
      </c>
      <c r="D778" s="112"/>
      <c r="E778" s="112"/>
      <c r="F778" s="112"/>
      <c r="G778" s="112"/>
      <c r="H778" s="112"/>
      <c r="I778" s="55"/>
      <c r="J778" s="222"/>
      <c r="K778" s="222"/>
      <c r="L778" s="231"/>
      <c r="M778" s="231"/>
      <c r="N778" s="231"/>
      <c r="O778" s="231"/>
    </row>
    <row r="779" spans="1:15" ht="63.75" hidden="1" x14ac:dyDescent="0.2">
      <c r="A779" s="127">
        <f>SUBTOTAL(103,$B$8:B780)</f>
        <v>216</v>
      </c>
      <c r="B779" s="130">
        <v>118</v>
      </c>
      <c r="C779" s="110" t="s">
        <v>317</v>
      </c>
      <c r="D779" s="111">
        <f>IF(COUNTIF(tSIAF[Clave],"2591732|118")=0,"",SUMIF(tSIAF[Clave],"2591732|118",tSIAF[PIM]))</f>
        <v>0</v>
      </c>
      <c r="E779" s="111">
        <f>IF(COUNTIF(tSIAF[Clave],"2591732|118")=0,"",SUMIF(tSIAF[Clave],"2591732|118",tSIAF[Certificacion]))</f>
        <v>0</v>
      </c>
      <c r="F779" s="111">
        <f>IF(D779="","",D779-E779)</f>
        <v>0</v>
      </c>
      <c r="G779" s="111">
        <f>IF(COUNTIF(tSIAF[Clave],"2591732|118")=0,"",SUMIF(tSIAF[Clave],"2591732|118",tSIAF[Devengado]))</f>
        <v>0</v>
      </c>
      <c r="H779" s="111">
        <f>IF(D779="","",D779-G779)</f>
        <v>0</v>
      </c>
      <c r="I779" s="55">
        <f>IF(D779="","",IF(D779=0,0,G779/D779))</f>
        <v>0</v>
      </c>
      <c r="J779" s="222"/>
      <c r="K779" s="222" t="s">
        <v>2299</v>
      </c>
      <c r="L779" s="231">
        <f>IF(COUNTIF(tCartera[CUI],"2591732")=0,"Sin PMI",IF(INDEX(tCartera[PMI2026],MATCH("2591732",tCartera[CUI],0))="","No informado",INDEX(tCartera[PMI2026],MATCH("2591732",tCartera[CUI],0))))</f>
        <v>800000</v>
      </c>
      <c r="M779" s="231">
        <f>IF(COUNTIF(tCartera[CUI],"2591732")=0,"Sin PMI",IF(INDEX(tCartera[PMI2027],MATCH("2591732",tCartera[CUI],0))="","No informado",INDEX(tCartera[PMI2027],MATCH("2591732",tCartera[CUI],0))))</f>
        <v>0</v>
      </c>
      <c r="N779" s="231">
        <f>IF(COUNTIF(tCartera[CUI],"2591732")=0,"Sin PMI",IF(INDEX(tCartera[PMI2028],MATCH("2591732",tCartera[CUI],0))="","No informado",INDEX(tCartera[PMI2028],MATCH("2591732",tCartera[CUI],0))))</f>
        <v>0</v>
      </c>
      <c r="O779" s="231">
        <f>IF(COUNTIF(tCartera[CUI],"2591732")=0,"Sin PMI",IF(INDEX(tCartera[PMI2029],MATCH("2591732",tCartera[CUI],0))="","No informado",INDEX(tCartera[PMI2029],MATCH("2591732",tCartera[CUI],0))))</f>
        <v>0</v>
      </c>
    </row>
    <row r="780" spans="1:15" hidden="1" x14ac:dyDescent="0.2">
      <c r="A780" s="129"/>
      <c r="B780" s="131"/>
      <c r="C780" s="110" t="s">
        <v>718</v>
      </c>
      <c r="D780" s="112"/>
      <c r="E780" s="112"/>
      <c r="F780" s="112"/>
      <c r="G780" s="112"/>
      <c r="H780" s="112"/>
      <c r="I780" s="55"/>
      <c r="J780" s="222"/>
      <c r="K780" s="222"/>
      <c r="L780" s="231"/>
      <c r="M780" s="231"/>
      <c r="N780" s="231"/>
      <c r="O780" s="231"/>
    </row>
    <row r="781" spans="1:15" ht="63.75" x14ac:dyDescent="0.2">
      <c r="A781" s="127">
        <f>SUBTOTAL(103,$B$8:B783)</f>
        <v>217</v>
      </c>
      <c r="B781" s="130">
        <v>120</v>
      </c>
      <c r="C781" s="110" t="s">
        <v>330</v>
      </c>
      <c r="D781" s="111">
        <f>IF(COUNTIF(tSIAF[Clave],"2602159|120")=0,"",SUMIF(tSIAF[Clave],"2602159|120",tSIAF[PIM]))</f>
        <v>171047</v>
      </c>
      <c r="E781" s="111">
        <f>IF(COUNTIF(tSIAF[Clave],"2602159|120")=0,"",SUMIF(tSIAF[Clave],"2602159|120",tSIAF[Certificacion]))</f>
        <v>170547</v>
      </c>
      <c r="F781" s="111">
        <f>IF(D781="","",D781-E781)</f>
        <v>500</v>
      </c>
      <c r="G781" s="111">
        <f>IF(COUNTIF(tSIAF[Clave],"2602159|120")=0,"",SUMIF(tSIAF[Clave],"2602159|120",tSIAF[Devengado]))</f>
        <v>142342.18</v>
      </c>
      <c r="H781" s="111">
        <f>IF(D781="","",D781-G781)</f>
        <v>28704.820000000007</v>
      </c>
      <c r="I781" s="55">
        <f>IF(D781="","",IF(D781=0,0,G781/D781))</f>
        <v>0.8321816810584225</v>
      </c>
      <c r="J781" s="222"/>
      <c r="K781" s="222" t="s">
        <v>2299</v>
      </c>
      <c r="L781" s="231">
        <f>IF(COUNTIF(tCartera[CUI],"2602159")=0,"Sin PMI",IF(INDEX(tCartera[PMI2026],MATCH("2602159",tCartera[CUI],0))="","No informado",INDEX(tCartera[PMI2026],MATCH("2602159",tCartera[CUI],0))))</f>
        <v>800000</v>
      </c>
      <c r="M781" s="231">
        <f>IF(COUNTIF(tCartera[CUI],"2602159")=0,"Sin PMI",IF(INDEX(tCartera[PMI2027],MATCH("2602159",tCartera[CUI],0))="","No informado",INDEX(tCartera[PMI2027],MATCH("2602159",tCartera[CUI],0))))</f>
        <v>7856258</v>
      </c>
      <c r="N781" s="231">
        <f>IF(COUNTIF(tCartera[CUI],"2602159")=0,"Sin PMI",IF(INDEX(tCartera[PMI2028],MATCH("2602159",tCartera[CUI],0))="","No informado",INDEX(tCartera[PMI2028],MATCH("2602159",tCartera[CUI],0))))</f>
        <v>0</v>
      </c>
      <c r="O781" s="231">
        <f>IF(COUNTIF(tCartera[CUI],"2602159")=0,"Sin PMI",IF(INDEX(tCartera[PMI2029],MATCH("2602159",tCartera[CUI],0))="","No informado",INDEX(tCartera[PMI2029],MATCH("2602159",tCartera[CUI],0))))</f>
        <v>3000000</v>
      </c>
    </row>
    <row r="782" spans="1:15" hidden="1" x14ac:dyDescent="0.2">
      <c r="A782" s="128"/>
      <c r="B782" s="131"/>
      <c r="C782" s="110" t="s">
        <v>718</v>
      </c>
      <c r="D782" s="112"/>
      <c r="E782" s="112"/>
      <c r="F782" s="112"/>
      <c r="G782" s="112"/>
      <c r="H782" s="112"/>
      <c r="I782" s="55"/>
      <c r="J782" s="222"/>
      <c r="K782" s="222"/>
      <c r="L782" s="231"/>
      <c r="M782" s="231"/>
      <c r="N782" s="231"/>
      <c r="O782" s="231"/>
    </row>
    <row r="783" spans="1:15" hidden="1" x14ac:dyDescent="0.2">
      <c r="A783" s="129"/>
      <c r="B783" s="132"/>
      <c r="C783" s="110" t="s">
        <v>713</v>
      </c>
      <c r="D783" s="112"/>
      <c r="E783" s="112"/>
      <c r="F783" s="112"/>
      <c r="G783" s="112"/>
      <c r="H783" s="112"/>
      <c r="I783" s="55"/>
      <c r="J783" s="222"/>
      <c r="K783" s="222"/>
      <c r="L783" s="231"/>
      <c r="M783" s="231"/>
      <c r="N783" s="231"/>
      <c r="O783" s="231"/>
    </row>
    <row r="784" spans="1:15" ht="51" hidden="1" x14ac:dyDescent="0.2">
      <c r="A784" s="127">
        <f>SUBTOTAL(103,$B$8:B784)</f>
        <v>217</v>
      </c>
      <c r="B784" s="130"/>
      <c r="C784" s="110" t="s">
        <v>302</v>
      </c>
      <c r="D784" s="111"/>
      <c r="E784" s="111"/>
      <c r="F784" s="111"/>
      <c r="G784" s="111"/>
      <c r="H784" s="111"/>
      <c r="I784" s="55"/>
      <c r="J784" s="222"/>
      <c r="K784" s="222"/>
      <c r="L784" s="231"/>
      <c r="M784" s="231"/>
      <c r="N784" s="231"/>
      <c r="O784" s="231"/>
    </row>
    <row r="785" spans="1:15" hidden="1" x14ac:dyDescent="0.2">
      <c r="A785" s="128"/>
      <c r="B785" s="131"/>
      <c r="C785" s="115" t="s">
        <v>462</v>
      </c>
      <c r="D785" s="111"/>
      <c r="E785" s="111"/>
      <c r="F785" s="111"/>
      <c r="G785" s="111"/>
      <c r="H785" s="111"/>
      <c r="I785" s="55"/>
      <c r="J785" s="222"/>
      <c r="K785" s="222"/>
      <c r="L785" s="231"/>
      <c r="M785" s="231"/>
      <c r="N785" s="231"/>
      <c r="O785" s="231"/>
    </row>
    <row r="786" spans="1:15" hidden="1" x14ac:dyDescent="0.2">
      <c r="A786" s="129"/>
      <c r="B786" s="132"/>
      <c r="C786" s="115" t="s">
        <v>87</v>
      </c>
      <c r="D786" s="111"/>
      <c r="E786" s="111"/>
      <c r="F786" s="111"/>
      <c r="G786" s="111"/>
      <c r="H786" s="111"/>
      <c r="I786" s="55"/>
      <c r="J786" s="222"/>
      <c r="K786" s="222"/>
      <c r="L786" s="231"/>
      <c r="M786" s="231"/>
      <c r="N786" s="231"/>
      <c r="O786" s="231"/>
    </row>
    <row r="787" spans="1:15" ht="102" x14ac:dyDescent="0.2">
      <c r="A787" s="127">
        <f>SUBTOTAL(103,$B$8:B789)</f>
        <v>218</v>
      </c>
      <c r="B787" s="130">
        <v>122</v>
      </c>
      <c r="C787" s="110" t="s">
        <v>331</v>
      </c>
      <c r="D787" s="111">
        <f>IF(COUNTIF(tSIAF[Clave],"2603164|122")=0,"",SUMIF(tSIAF[Clave],"2603164|122",tSIAF[PIM]))</f>
        <v>840279</v>
      </c>
      <c r="E787" s="111">
        <f>IF(COUNTIF(tSIAF[Clave],"2603164|122")=0,"",SUMIF(tSIAF[Clave],"2603164|122",tSIAF[Certificacion]))</f>
        <v>668334</v>
      </c>
      <c r="F787" s="111">
        <f>IF(D787="","",D787-E787)</f>
        <v>171945</v>
      </c>
      <c r="G787" s="111">
        <f>IF(COUNTIF(tSIAF[Clave],"2603164|122")=0,"",SUMIF(tSIAF[Clave],"2603164|122",tSIAF[Devengado]))</f>
        <v>535432.86</v>
      </c>
      <c r="H787" s="111">
        <f>IF(D787="","",D787-G787)</f>
        <v>304846.14</v>
      </c>
      <c r="I787" s="55">
        <f>IF(D787="","",IF(D787=0,0,G787/D787))</f>
        <v>0.63720842720096538</v>
      </c>
      <c r="J787" s="222"/>
      <c r="K787" s="222" t="s">
        <v>2299</v>
      </c>
      <c r="L787" s="231">
        <f>IF(COUNTIF(tCartera[CUI],"2603164")=0,"Sin PMI",IF(INDEX(tCartera[PMI2026],MATCH("2603164",tCartera[CUI],0))="","No informado",INDEX(tCartera[PMI2026],MATCH("2603164",tCartera[CUI],0))))</f>
        <v>800000</v>
      </c>
      <c r="M787" s="231">
        <f>IF(COUNTIF(tCartera[CUI],"2603164")=0,"Sin PMI",IF(INDEX(tCartera[PMI2027],MATCH("2603164",tCartera[CUI],0))="","No informado",INDEX(tCartera[PMI2027],MATCH("2603164",tCartera[CUI],0))))</f>
        <v>5485623</v>
      </c>
      <c r="N787" s="231">
        <f>IF(COUNTIF(tCartera[CUI],"2603164")=0,"Sin PMI",IF(INDEX(tCartera[PMI2028],MATCH("2603164",tCartera[CUI],0))="","No informado",INDEX(tCartera[PMI2028],MATCH("2603164",tCartera[CUI],0))))</f>
        <v>0</v>
      </c>
      <c r="O787" s="231">
        <f>IF(COUNTIF(tCartera[CUI],"2603164")=0,"Sin PMI",IF(INDEX(tCartera[PMI2029],MATCH("2603164",tCartera[CUI],0))="","No informado",INDEX(tCartera[PMI2029],MATCH("2603164",tCartera[CUI],0))))</f>
        <v>1000000</v>
      </c>
    </row>
    <row r="788" spans="1:15" hidden="1" x14ac:dyDescent="0.2">
      <c r="A788" s="128"/>
      <c r="B788" s="131"/>
      <c r="C788" s="110" t="s">
        <v>718</v>
      </c>
      <c r="D788" s="112"/>
      <c r="E788" s="112"/>
      <c r="F788" s="112"/>
      <c r="G788" s="112"/>
      <c r="H788" s="112"/>
      <c r="I788" s="55"/>
      <c r="J788" s="222"/>
      <c r="K788" s="222"/>
      <c r="L788" s="231"/>
      <c r="M788" s="231"/>
      <c r="N788" s="231"/>
      <c r="O788" s="231"/>
    </row>
    <row r="789" spans="1:15" hidden="1" x14ac:dyDescent="0.2">
      <c r="A789" s="129"/>
      <c r="B789" s="132"/>
      <c r="C789" s="110" t="s">
        <v>713</v>
      </c>
      <c r="D789" s="112"/>
      <c r="E789" s="112"/>
      <c r="F789" s="112"/>
      <c r="G789" s="112"/>
      <c r="H789" s="112"/>
      <c r="I789" s="55"/>
      <c r="J789" s="222"/>
      <c r="K789" s="222"/>
      <c r="L789" s="231"/>
      <c r="M789" s="231"/>
      <c r="N789" s="231"/>
      <c r="O789" s="231"/>
    </row>
    <row r="790" spans="1:15" ht="76.5" x14ac:dyDescent="0.2">
      <c r="A790" s="127">
        <f>SUBTOTAL(103,$B$8:B792)</f>
        <v>219</v>
      </c>
      <c r="B790" s="130">
        <v>125</v>
      </c>
      <c r="C790" s="110" t="s">
        <v>316</v>
      </c>
      <c r="D790" s="111">
        <f>IF(COUNTIF(tSIAF[Clave],"2603281|125")=0,"",SUMIF(tSIAF[Clave],"2603281|125",tSIAF[PIM]))</f>
        <v>674368</v>
      </c>
      <c r="E790" s="111">
        <f>IF(COUNTIF(tSIAF[Clave],"2603281|125")=0,"",SUMIF(tSIAF[Clave],"2603281|125",tSIAF[Certificacion]))</f>
        <v>173868</v>
      </c>
      <c r="F790" s="111">
        <f>IF(D790="","",D790-E790)</f>
        <v>500500</v>
      </c>
      <c r="G790" s="111">
        <f>IF(COUNTIF(tSIAF[Clave],"2603281|125")=0,"",SUMIF(tSIAF[Clave],"2603281|125",tSIAF[Devengado]))</f>
        <v>97687.86</v>
      </c>
      <c r="H790" s="111">
        <f>IF(D790="","",D790-G790)</f>
        <v>576680.14</v>
      </c>
      <c r="I790" s="55">
        <f>IF(D790="","",IF(D790=0,0,G790/D790))</f>
        <v>0.14485838592578532</v>
      </c>
      <c r="J790" s="222"/>
      <c r="K790" s="222" t="s">
        <v>2299</v>
      </c>
      <c r="L790" s="231">
        <f>IF(COUNTIF(tCartera[CUI],"2603281")=0,"Sin PMI",IF(INDEX(tCartera[PMI2026],MATCH("2603281",tCartera[CUI],0))="","No informado",INDEX(tCartera[PMI2026],MATCH("2603281",tCartera[CUI],0))))</f>
        <v>800000</v>
      </c>
      <c r="M790" s="231">
        <f>IF(COUNTIF(tCartera[CUI],"2603281")=0,"Sin PMI",IF(INDEX(tCartera[PMI2027],MATCH("2603281",tCartera[CUI],0))="","No informado",INDEX(tCartera[PMI2027],MATCH("2603281",tCartera[CUI],0))))</f>
        <v>8574875</v>
      </c>
      <c r="N790" s="231">
        <f>IF(COUNTIF(tCartera[CUI],"2603281")=0,"Sin PMI",IF(INDEX(tCartera[PMI2028],MATCH("2603281",tCartera[CUI],0))="","No informado",INDEX(tCartera[PMI2028],MATCH("2603281",tCartera[CUI],0))))</f>
        <v>0</v>
      </c>
      <c r="O790" s="231">
        <f>IF(COUNTIF(tCartera[CUI],"2603281")=0,"Sin PMI",IF(INDEX(tCartera[PMI2029],MATCH("2603281",tCartera[CUI],0))="","No informado",INDEX(tCartera[PMI2029],MATCH("2603281",tCartera[CUI],0))))</f>
        <v>1000000</v>
      </c>
    </row>
    <row r="791" spans="1:15" hidden="1" x14ac:dyDescent="0.2">
      <c r="A791" s="128"/>
      <c r="B791" s="131"/>
      <c r="C791" s="110" t="s">
        <v>718</v>
      </c>
      <c r="D791" s="112"/>
      <c r="E791" s="112"/>
      <c r="F791" s="112"/>
      <c r="G791" s="112"/>
      <c r="H791" s="112"/>
      <c r="I791" s="55"/>
      <c r="J791" s="222"/>
      <c r="K791" s="222"/>
      <c r="L791" s="231"/>
      <c r="M791" s="231"/>
      <c r="N791" s="231"/>
      <c r="O791" s="231"/>
    </row>
    <row r="792" spans="1:15" hidden="1" x14ac:dyDescent="0.2">
      <c r="A792" s="129"/>
      <c r="B792" s="132"/>
      <c r="C792" s="110" t="s">
        <v>713</v>
      </c>
      <c r="D792" s="112"/>
      <c r="E792" s="112"/>
      <c r="F792" s="112"/>
      <c r="G792" s="112"/>
      <c r="H792" s="112"/>
      <c r="I792" s="55"/>
      <c r="J792" s="222"/>
      <c r="K792" s="222"/>
      <c r="L792" s="231"/>
      <c r="M792" s="231"/>
      <c r="N792" s="231"/>
      <c r="O792" s="231"/>
    </row>
    <row r="793" spans="1:15" ht="63.75" x14ac:dyDescent="0.2">
      <c r="A793" s="127">
        <f>SUBTOTAL(103,$B$8:B795)</f>
        <v>220</v>
      </c>
      <c r="B793" s="130">
        <v>126</v>
      </c>
      <c r="C793" s="110" t="s">
        <v>336</v>
      </c>
      <c r="D793" s="111">
        <f>IF(COUNTIF(tSIAF[Clave],"2607527|126")=0,"",SUMIF(tSIAF[Clave],"2607527|126",tSIAF[PIM]))</f>
        <v>520686</v>
      </c>
      <c r="E793" s="111">
        <f>IF(COUNTIF(tSIAF[Clave],"2607527|126")=0,"",SUMIF(tSIAF[Clave],"2607527|126",tSIAF[Certificacion]))</f>
        <v>519936</v>
      </c>
      <c r="F793" s="111">
        <f>IF(D793="","",D793-E793)</f>
        <v>750</v>
      </c>
      <c r="G793" s="111">
        <f>IF(COUNTIF(tSIAF[Clave],"2607527|126")=0,"",SUMIF(tSIAF[Clave],"2607527|126",tSIAF[Devengado]))</f>
        <v>468290.95</v>
      </c>
      <c r="H793" s="111">
        <f>IF(D793="","",D793-G793)</f>
        <v>52395.049999999988</v>
      </c>
      <c r="I793" s="55">
        <f>IF(D793="","",IF(D793=0,0,G793/D793))</f>
        <v>0.89937303864517193</v>
      </c>
      <c r="J793" s="222"/>
      <c r="K793" s="222" t="s">
        <v>2299</v>
      </c>
      <c r="L793" s="231">
        <f>IF(COUNTIF(tCartera[CUI],"2607527")=0,"Sin PMI",IF(INDEX(tCartera[PMI2026],MATCH("2607527",tCartera[CUI],0))="","No informado",INDEX(tCartera[PMI2026],MATCH("2607527",tCartera[CUI],0))))</f>
        <v>800000</v>
      </c>
      <c r="M793" s="231">
        <f>IF(COUNTIF(tCartera[CUI],"2607527")=0,"Sin PMI",IF(INDEX(tCartera[PMI2027],MATCH("2607527",tCartera[CUI],0))="","No informado",INDEX(tCartera[PMI2027],MATCH("2607527",tCartera[CUI],0))))</f>
        <v>5500000</v>
      </c>
      <c r="N793" s="231">
        <f>IF(COUNTIF(tCartera[CUI],"2607527")=0,"Sin PMI",IF(INDEX(tCartera[PMI2028],MATCH("2607527",tCartera[CUI],0))="","No informado",INDEX(tCartera[PMI2028],MATCH("2607527",tCartera[CUI],0))))</f>
        <v>0</v>
      </c>
      <c r="O793" s="231">
        <f>IF(COUNTIF(tCartera[CUI],"2607527")=0,"Sin PMI",IF(INDEX(tCartera[PMI2029],MATCH("2607527",tCartera[CUI],0))="","No informado",INDEX(tCartera[PMI2029],MATCH("2607527",tCartera[CUI],0))))</f>
        <v>1000000</v>
      </c>
    </row>
    <row r="794" spans="1:15" hidden="1" x14ac:dyDescent="0.2">
      <c r="A794" s="128"/>
      <c r="B794" s="131"/>
      <c r="C794" s="110" t="s">
        <v>718</v>
      </c>
      <c r="D794" s="112"/>
      <c r="E794" s="112"/>
      <c r="F794" s="112"/>
      <c r="G794" s="112"/>
      <c r="H794" s="112"/>
      <c r="I794" s="55"/>
      <c r="J794" s="222"/>
      <c r="K794" s="222"/>
      <c r="L794" s="231"/>
      <c r="M794" s="231"/>
      <c r="N794" s="231"/>
      <c r="O794" s="231"/>
    </row>
    <row r="795" spans="1:15" hidden="1" x14ac:dyDescent="0.2">
      <c r="A795" s="129"/>
      <c r="B795" s="132"/>
      <c r="C795" s="110" t="s">
        <v>713</v>
      </c>
      <c r="D795" s="112"/>
      <c r="E795" s="112"/>
      <c r="F795" s="112"/>
      <c r="G795" s="112"/>
      <c r="H795" s="112"/>
      <c r="I795" s="55"/>
      <c r="J795" s="222"/>
      <c r="K795" s="222"/>
      <c r="L795" s="231"/>
      <c r="M795" s="231"/>
      <c r="N795" s="231"/>
      <c r="O795" s="231"/>
    </row>
    <row r="796" spans="1:15" ht="63.75" x14ac:dyDescent="0.2">
      <c r="A796" s="127">
        <f>+SUBTOTAL(103,$B$10:B799)</f>
        <v>221</v>
      </c>
      <c r="B796" s="130">
        <v>127</v>
      </c>
      <c r="C796" s="110" t="s">
        <v>280</v>
      </c>
      <c r="D796" s="111">
        <f>IF(COUNTIF(tSIAF[Clave],"2614553|127")=0,"",SUMIF(tSIAF[Clave],"2614553|127",tSIAF[PIM]))</f>
        <v>321536</v>
      </c>
      <c r="E796" s="111">
        <f>IF(COUNTIF(tSIAF[Clave],"2614553|127")=0,"",SUMIF(tSIAF[Clave],"2614553|127",tSIAF[Certificacion]))</f>
        <v>319536</v>
      </c>
      <c r="F796" s="111">
        <f>IF(D796="","",D796-E796)</f>
        <v>2000</v>
      </c>
      <c r="G796" s="111">
        <f>IF(COUNTIF(tSIAF[Clave],"2614553|127")=0,"",SUMIF(tSIAF[Clave],"2614553|127",tSIAF[Devengado]))</f>
        <v>219666.12</v>
      </c>
      <c r="H796" s="111">
        <f>IF(D796="","",D796-G796)</f>
        <v>101869.88</v>
      </c>
      <c r="I796" s="55">
        <f>IF(D796="","",IF(D796=0,0,G796/D796))</f>
        <v>0.68317737360668784</v>
      </c>
      <c r="J796" s="222"/>
      <c r="K796" s="222" t="s">
        <v>2299</v>
      </c>
      <c r="L796" s="231">
        <f>IF(COUNTIF(tCartera[CUI],"2614553")=0,"Sin PMI",IF(INDEX(tCartera[PMI2026],MATCH("2614553",tCartera[CUI],0))="","No informado",INDEX(tCartera[PMI2026],MATCH("2614553",tCartera[CUI],0))))</f>
        <v>157636</v>
      </c>
      <c r="M796" s="231">
        <f>IF(COUNTIF(tCartera[CUI],"2614553")=0,"Sin PMI",IF(INDEX(tCartera[PMI2027],MATCH("2614553",tCartera[CUI],0))="","No informado",INDEX(tCartera[PMI2027],MATCH("2614553",tCartera[CUI],0))))</f>
        <v>12958615</v>
      </c>
      <c r="N796" s="231">
        <f>IF(COUNTIF(tCartera[CUI],"2614553")=0,"Sin PMI",IF(INDEX(tCartera[PMI2028],MATCH("2614553",tCartera[CUI],0))="","No informado",INDEX(tCartera[PMI2028],MATCH("2614553",tCartera[CUI],0))))</f>
        <v>0</v>
      </c>
      <c r="O796" s="231">
        <f>IF(COUNTIF(tCartera[CUI],"2614553")=0,"Sin PMI",IF(INDEX(tCartera[PMI2029],MATCH("2614553",tCartera[CUI],0))="","No informado",INDEX(tCartera[PMI2029],MATCH("2614553",tCartera[CUI],0))))</f>
        <v>6000000</v>
      </c>
    </row>
    <row r="797" spans="1:15" hidden="1" x14ac:dyDescent="0.2">
      <c r="A797" s="128"/>
      <c r="B797" s="131"/>
      <c r="C797" s="110" t="s">
        <v>716</v>
      </c>
      <c r="D797" s="112"/>
      <c r="E797" s="112"/>
      <c r="F797" s="112"/>
      <c r="G797" s="112"/>
      <c r="H797" s="112"/>
      <c r="I797" s="55"/>
      <c r="J797" s="222"/>
      <c r="K797" s="222"/>
      <c r="L797" s="231"/>
      <c r="M797" s="231"/>
      <c r="N797" s="231"/>
      <c r="O797" s="231"/>
    </row>
    <row r="798" spans="1:15" hidden="1" x14ac:dyDescent="0.2">
      <c r="A798" s="128"/>
      <c r="B798" s="131"/>
      <c r="C798" s="110" t="s">
        <v>718</v>
      </c>
      <c r="D798" s="112"/>
      <c r="E798" s="112"/>
      <c r="F798" s="112"/>
      <c r="G798" s="112"/>
      <c r="H798" s="112"/>
      <c r="I798" s="55"/>
      <c r="J798" s="222"/>
      <c r="K798" s="222"/>
      <c r="L798" s="231"/>
      <c r="M798" s="231"/>
      <c r="N798" s="231"/>
      <c r="O798" s="231"/>
    </row>
    <row r="799" spans="1:15" hidden="1" x14ac:dyDescent="0.2">
      <c r="A799" s="129"/>
      <c r="B799" s="132"/>
      <c r="C799" s="110" t="s">
        <v>713</v>
      </c>
      <c r="D799" s="112"/>
      <c r="E799" s="112"/>
      <c r="F799" s="112"/>
      <c r="G799" s="112"/>
      <c r="H799" s="112"/>
      <c r="I799" s="55"/>
      <c r="J799" s="222"/>
      <c r="K799" s="222"/>
      <c r="L799" s="231"/>
      <c r="M799" s="231"/>
      <c r="N799" s="231"/>
      <c r="O799" s="231"/>
    </row>
    <row r="800" spans="1:15" ht="63.75" x14ac:dyDescent="0.2">
      <c r="A800" s="127">
        <f>SUBTOTAL(103,$B$8:B802)</f>
        <v>222</v>
      </c>
      <c r="B800" s="130">
        <v>129</v>
      </c>
      <c r="C800" s="110" t="s">
        <v>326</v>
      </c>
      <c r="D800" s="111">
        <f>IF(COUNTIF(tSIAF[Clave],"2645503|129")=0,"",SUMIF(tSIAF[Clave],"2645503|129",tSIAF[PIM]))</f>
        <v>230847</v>
      </c>
      <c r="E800" s="111">
        <f>IF(COUNTIF(tSIAF[Clave],"2645503|129")=0,"",SUMIF(tSIAF[Clave],"2645503|129",tSIAF[Certificacion]))</f>
        <v>230597</v>
      </c>
      <c r="F800" s="111">
        <f>IF(D800="","",D800-E800)</f>
        <v>250</v>
      </c>
      <c r="G800" s="111">
        <f>IF(COUNTIF(tSIAF[Clave],"2645503|129")=0,"",SUMIF(tSIAF[Clave],"2645503|129",tSIAF[Devengado]))</f>
        <v>178545.33</v>
      </c>
      <c r="H800" s="111">
        <f>IF(D800="","",D800-G800)</f>
        <v>52301.670000000013</v>
      </c>
      <c r="I800" s="55">
        <f>IF(D800="","",IF(D800=0,0,G800/D800))</f>
        <v>0.77343578214141828</v>
      </c>
      <c r="J800" s="222"/>
      <c r="K800" s="222" t="s">
        <v>2299</v>
      </c>
      <c r="L800" s="231">
        <f>IF(COUNTIF(tCartera[CUI],"2645503")=0,"Sin PMI",IF(INDEX(tCartera[PMI2026],MATCH("2645503",tCartera[CUI],0))="","No informado",INDEX(tCartera[PMI2026],MATCH("2645503",tCartera[CUI],0))))</f>
        <v>800000</v>
      </c>
      <c r="M800" s="231">
        <f>IF(COUNTIF(tCartera[CUI],"2645503")=0,"Sin PMI",IF(INDEX(tCartera[PMI2027],MATCH("2645503",tCartera[CUI],0))="","No informado",INDEX(tCartera[PMI2027],MATCH("2645503",tCartera[CUI],0))))</f>
        <v>0</v>
      </c>
      <c r="N800" s="231">
        <f>IF(COUNTIF(tCartera[CUI],"2645503")=0,"Sin PMI",IF(INDEX(tCartera[PMI2028],MATCH("2645503",tCartera[CUI],0))="","No informado",INDEX(tCartera[PMI2028],MATCH("2645503",tCartera[CUI],0))))</f>
        <v>0</v>
      </c>
      <c r="O800" s="231">
        <f>IF(COUNTIF(tCartera[CUI],"2645503")=0,"Sin PMI",IF(INDEX(tCartera[PMI2029],MATCH("2645503",tCartera[CUI],0))="","No informado",INDEX(tCartera[PMI2029],MATCH("2645503",tCartera[CUI],0))))</f>
        <v>1000000</v>
      </c>
    </row>
    <row r="801" spans="1:15" hidden="1" x14ac:dyDescent="0.2">
      <c r="A801" s="128"/>
      <c r="B801" s="131"/>
      <c r="C801" s="110" t="s">
        <v>718</v>
      </c>
      <c r="D801" s="112"/>
      <c r="E801" s="112"/>
      <c r="F801" s="112"/>
      <c r="G801" s="112"/>
      <c r="H801" s="112"/>
      <c r="I801" s="55"/>
      <c r="J801" s="222"/>
      <c r="K801" s="222"/>
      <c r="L801" s="231"/>
      <c r="M801" s="231"/>
      <c r="N801" s="231"/>
      <c r="O801" s="231"/>
    </row>
    <row r="802" spans="1:15" hidden="1" x14ac:dyDescent="0.2">
      <c r="A802" s="129"/>
      <c r="B802" s="132"/>
      <c r="C802" s="110" t="s">
        <v>713</v>
      </c>
      <c r="D802" s="112"/>
      <c r="E802" s="112"/>
      <c r="F802" s="112"/>
      <c r="G802" s="112"/>
      <c r="H802" s="112"/>
      <c r="I802" s="55"/>
      <c r="J802" s="222"/>
      <c r="K802" s="222"/>
      <c r="L802" s="231"/>
      <c r="M802" s="231"/>
      <c r="N802" s="231"/>
      <c r="O802" s="231"/>
    </row>
    <row r="803" spans="1:15" ht="51" x14ac:dyDescent="0.2">
      <c r="A803" s="127">
        <f>SUBTOTAL(103,$B$8:B805)</f>
        <v>223</v>
      </c>
      <c r="B803" s="130">
        <v>130</v>
      </c>
      <c r="C803" s="110" t="s">
        <v>446</v>
      </c>
      <c r="D803" s="111">
        <f>IF(COUNTIF(tSIAF[Clave],"2646859|130")=0,"",SUMIF(tSIAF[Clave],"2646859|130",tSIAF[PIM]))</f>
        <v>349206</v>
      </c>
      <c r="E803" s="111">
        <f>IF(COUNTIF(tSIAF[Clave],"2646859|130")=0,"",SUMIF(tSIAF[Clave],"2646859|130",tSIAF[Certificacion]))</f>
        <v>349206</v>
      </c>
      <c r="F803" s="111">
        <f>IF(D803="","",D803-E803)</f>
        <v>0</v>
      </c>
      <c r="G803" s="111">
        <f>IF(COUNTIF(tSIAF[Clave],"2646859|130")=0,"",SUMIF(tSIAF[Clave],"2646859|130",tSIAF[Devengado]))</f>
        <v>281441.09999999998</v>
      </c>
      <c r="H803" s="111">
        <f>IF(D803="","",D803-G803)</f>
        <v>67764.900000000023</v>
      </c>
      <c r="I803" s="55">
        <f>IF(D803="","",IF(D803=0,0,G803/D803))</f>
        <v>0.80594577412759227</v>
      </c>
      <c r="J803" s="222"/>
      <c r="K803" s="222" t="s">
        <v>2299</v>
      </c>
      <c r="L803" s="231">
        <f>IF(COUNTIF(tCartera[CUI],"2646859")=0,"Sin PMI",IF(INDEX(tCartera[PMI2026],MATCH("2646859",tCartera[CUI],0))="","No informado",INDEX(tCartera[PMI2026],MATCH("2646859",tCartera[CUI],0))))</f>
        <v>800000</v>
      </c>
      <c r="M803" s="231">
        <f>IF(COUNTIF(tCartera[CUI],"2646859")=0,"Sin PMI",IF(INDEX(tCartera[PMI2027],MATCH("2646859",tCartera[CUI],0))="","No informado",INDEX(tCartera[PMI2027],MATCH("2646859",tCartera[CUI],0))))</f>
        <v>354785</v>
      </c>
      <c r="N803" s="231">
        <f>IF(COUNTIF(tCartera[CUI],"2646859")=0,"Sin PMI",IF(INDEX(tCartera[PMI2028],MATCH("2646859",tCartera[CUI],0))="","No informado",INDEX(tCartera[PMI2028],MATCH("2646859",tCartera[CUI],0))))</f>
        <v>0</v>
      </c>
      <c r="O803" s="231">
        <f>IF(COUNTIF(tCartera[CUI],"2646859")=0,"Sin PMI",IF(INDEX(tCartera[PMI2029],MATCH("2646859",tCartera[CUI],0))="","No informado",INDEX(tCartera[PMI2029],MATCH("2646859",tCartera[CUI],0))))</f>
        <v>500000</v>
      </c>
    </row>
    <row r="804" spans="1:15" hidden="1" x14ac:dyDescent="0.2">
      <c r="A804" s="128"/>
      <c r="B804" s="131"/>
      <c r="C804" s="110" t="s">
        <v>718</v>
      </c>
      <c r="D804" s="112"/>
      <c r="E804" s="112"/>
      <c r="F804" s="112"/>
      <c r="G804" s="112"/>
      <c r="H804" s="112"/>
      <c r="I804" s="55"/>
      <c r="J804" s="222"/>
      <c r="K804" s="222"/>
      <c r="L804" s="231"/>
      <c r="M804" s="231"/>
      <c r="N804" s="231"/>
      <c r="O804" s="231"/>
    </row>
    <row r="805" spans="1:15" hidden="1" x14ac:dyDescent="0.2">
      <c r="A805" s="129"/>
      <c r="B805" s="132"/>
      <c r="C805" s="110" t="s">
        <v>713</v>
      </c>
      <c r="D805" s="112"/>
      <c r="E805" s="112"/>
      <c r="F805" s="112"/>
      <c r="G805" s="112"/>
      <c r="H805" s="112"/>
      <c r="I805" s="55"/>
      <c r="J805" s="222"/>
      <c r="K805" s="222"/>
      <c r="L805" s="231"/>
      <c r="M805" s="231"/>
      <c r="N805" s="231"/>
      <c r="O805" s="231"/>
    </row>
    <row r="806" spans="1:15" ht="51" x14ac:dyDescent="0.2">
      <c r="A806" s="127">
        <f>SUBTOTAL(103,$B$8:B808)</f>
        <v>224</v>
      </c>
      <c r="B806" s="130">
        <v>131</v>
      </c>
      <c r="C806" s="110" t="s">
        <v>325</v>
      </c>
      <c r="D806" s="111">
        <f>IF(COUNTIF(tSIAF[Clave],"2649221|131")=0,"",SUMIF(tSIAF[Clave],"2649221|131",tSIAF[PIM]))</f>
        <v>239379</v>
      </c>
      <c r="E806" s="111">
        <f>IF(COUNTIF(tSIAF[Clave],"2649221|131")=0,"",SUMIF(tSIAF[Clave],"2649221|131",tSIAF[Certificacion]))</f>
        <v>211500</v>
      </c>
      <c r="F806" s="111">
        <f>IF(D806="","",D806-E806)</f>
        <v>27879</v>
      </c>
      <c r="G806" s="111">
        <f>IF(COUNTIF(tSIAF[Clave],"2649221|131")=0,"",SUMIF(tSIAF[Clave],"2649221|131",tSIAF[Devengado]))</f>
        <v>95146.6</v>
      </c>
      <c r="H806" s="111">
        <f>IF(D806="","",D806-G806)</f>
        <v>144232.4</v>
      </c>
      <c r="I806" s="55">
        <f>IF(D806="","",IF(D806=0,0,G806/D806))</f>
        <v>0.39747262708926018</v>
      </c>
      <c r="J806" s="222"/>
      <c r="K806" s="222" t="s">
        <v>2299</v>
      </c>
      <c r="L806" s="231">
        <f>IF(COUNTIF(tCartera[CUI],"2649221")=0,"Sin PMI",IF(INDEX(tCartera[PMI2026],MATCH("2649221",tCartera[CUI],0))="","No informado",INDEX(tCartera[PMI2026],MATCH("2649221",tCartera[CUI],0))))</f>
        <v>500000</v>
      </c>
      <c r="M806" s="231">
        <f>IF(COUNTIF(tCartera[CUI],"2649221")=0,"Sin PMI",IF(INDEX(tCartera[PMI2027],MATCH("2649221",tCartera[CUI],0))="","No informado",INDEX(tCartera[PMI2027],MATCH("2649221",tCartera[CUI],0))))</f>
        <v>251485</v>
      </c>
      <c r="N806" s="231">
        <f>IF(COUNTIF(tCartera[CUI],"2649221")=0,"Sin PMI",IF(INDEX(tCartera[PMI2028],MATCH("2649221",tCartera[CUI],0))="","No informado",INDEX(tCartera[PMI2028],MATCH("2649221",tCartera[CUI],0))))</f>
        <v>0</v>
      </c>
      <c r="O806" s="231">
        <f>IF(COUNTIF(tCartera[CUI],"2649221")=0,"Sin PMI",IF(INDEX(tCartera[PMI2029],MATCH("2649221",tCartera[CUI],0))="","No informado",INDEX(tCartera[PMI2029],MATCH("2649221",tCartera[CUI],0))))</f>
        <v>960621</v>
      </c>
    </row>
    <row r="807" spans="1:15" hidden="1" x14ac:dyDescent="0.2">
      <c r="A807" s="128"/>
      <c r="B807" s="131"/>
      <c r="C807" s="110" t="s">
        <v>718</v>
      </c>
      <c r="D807" s="112"/>
      <c r="E807" s="112"/>
      <c r="F807" s="112"/>
      <c r="G807" s="112"/>
      <c r="H807" s="112"/>
      <c r="I807" s="55"/>
      <c r="J807" s="222"/>
      <c r="K807" s="222"/>
      <c r="L807" s="231"/>
      <c r="M807" s="231"/>
      <c r="N807" s="231"/>
      <c r="O807" s="231"/>
    </row>
    <row r="808" spans="1:15" hidden="1" x14ac:dyDescent="0.2">
      <c r="A808" s="129"/>
      <c r="B808" s="132"/>
      <c r="C808" s="110" t="s">
        <v>713</v>
      </c>
      <c r="D808" s="112"/>
      <c r="E808" s="112"/>
      <c r="F808" s="112"/>
      <c r="G808" s="112"/>
      <c r="H808" s="112"/>
      <c r="I808" s="55"/>
      <c r="J808" s="222"/>
      <c r="K808" s="222"/>
      <c r="L808" s="231"/>
      <c r="M808" s="231"/>
      <c r="N808" s="231"/>
      <c r="O808" s="231"/>
    </row>
    <row r="809" spans="1:15" ht="63.75" x14ac:dyDescent="0.2">
      <c r="A809" s="127">
        <f>SUBTOTAL(103,$B$8:B811)</f>
        <v>225</v>
      </c>
      <c r="B809" s="130">
        <v>132</v>
      </c>
      <c r="C809" s="110" t="s">
        <v>319</v>
      </c>
      <c r="D809" s="111">
        <f>IF(COUNTIF(tSIAF[Clave],"2651270|132")=0,"",SUMIF(tSIAF[Clave],"2651270|132",tSIAF[PIM]))</f>
        <v>118786</v>
      </c>
      <c r="E809" s="111">
        <f>IF(COUNTIF(tSIAF[Clave],"2651270|132")=0,"",SUMIF(tSIAF[Clave],"2651270|132",tSIAF[Certificacion]))</f>
        <v>112400</v>
      </c>
      <c r="F809" s="111">
        <f>IF(D809="","",D809-E809)</f>
        <v>6386</v>
      </c>
      <c r="G809" s="111">
        <f>IF(COUNTIF(tSIAF[Clave],"2651270|132")=0,"",SUMIF(tSIAF[Clave],"2651270|132",tSIAF[Devengado]))</f>
        <v>76261.179999999993</v>
      </c>
      <c r="H809" s="111">
        <f>IF(D809="","",D809-G809)</f>
        <v>42524.820000000007</v>
      </c>
      <c r="I809" s="55">
        <f>IF(D809="","",IF(D809=0,0,G809/D809))</f>
        <v>0.64200478170828201</v>
      </c>
      <c r="J809" s="222"/>
      <c r="K809" s="222" t="s">
        <v>2299</v>
      </c>
      <c r="L809" s="231">
        <f>IF(COUNTIF(tCartera[CUI],"2651270")=0,"Sin PMI",IF(INDEX(tCartera[PMI2026],MATCH("2651270",tCartera[CUI],0))="","No informado",INDEX(tCartera[PMI2026],MATCH("2651270",tCartera[CUI],0))))</f>
        <v>800000</v>
      </c>
      <c r="M809" s="231">
        <f>IF(COUNTIF(tCartera[CUI],"2651270")=0,"Sin PMI",IF(INDEX(tCartera[PMI2027],MATCH("2651270",tCartera[CUI],0))="","No informado",INDEX(tCartera[PMI2027],MATCH("2651270",tCartera[CUI],0))))</f>
        <v>854254</v>
      </c>
      <c r="N809" s="231">
        <f>IF(COUNTIF(tCartera[CUI],"2651270")=0,"Sin PMI",IF(INDEX(tCartera[PMI2028],MATCH("2651270",tCartera[CUI],0))="","No informado",INDEX(tCartera[PMI2028],MATCH("2651270",tCartera[CUI],0))))</f>
        <v>0</v>
      </c>
      <c r="O809" s="231">
        <f>IF(COUNTIF(tCartera[CUI],"2651270")=0,"Sin PMI",IF(INDEX(tCartera[PMI2029],MATCH("2651270",tCartera[CUI],0))="","No informado",INDEX(tCartera[PMI2029],MATCH("2651270",tCartera[CUI],0))))</f>
        <v>1000000</v>
      </c>
    </row>
    <row r="810" spans="1:15" hidden="1" x14ac:dyDescent="0.2">
      <c r="A810" s="128"/>
      <c r="B810" s="131"/>
      <c r="C810" s="110" t="s">
        <v>718</v>
      </c>
      <c r="D810" s="112"/>
      <c r="E810" s="112"/>
      <c r="F810" s="112"/>
      <c r="G810" s="112"/>
      <c r="H810" s="112"/>
      <c r="I810" s="55"/>
      <c r="J810" s="222"/>
      <c r="K810" s="222"/>
      <c r="L810" s="231"/>
      <c r="M810" s="231"/>
      <c r="N810" s="231"/>
      <c r="O810" s="231"/>
    </row>
    <row r="811" spans="1:15" hidden="1" x14ac:dyDescent="0.2">
      <c r="A811" s="129"/>
      <c r="B811" s="132"/>
      <c r="C811" s="110" t="s">
        <v>713</v>
      </c>
      <c r="D811" s="112"/>
      <c r="E811" s="112"/>
      <c r="F811" s="112"/>
      <c r="G811" s="112"/>
      <c r="H811" s="112"/>
      <c r="I811" s="55"/>
      <c r="J811" s="222"/>
      <c r="K811" s="222"/>
      <c r="L811" s="231"/>
      <c r="M811" s="231"/>
      <c r="N811" s="231"/>
      <c r="O811" s="231"/>
    </row>
    <row r="812" spans="1:15" ht="63.75" x14ac:dyDescent="0.2">
      <c r="A812" s="127">
        <f>SUBTOTAL(103,$B$8:B814)</f>
        <v>226</v>
      </c>
      <c r="B812" s="130">
        <v>133</v>
      </c>
      <c r="C812" s="110" t="s">
        <v>375</v>
      </c>
      <c r="D812" s="111">
        <f>IF(COUNTIF(tSIAF[Clave],"2651271|133")=0,"",SUMIF(tSIAF[Clave],"2651271|133",tSIAF[PIM]))</f>
        <v>141416</v>
      </c>
      <c r="E812" s="111">
        <f>IF(COUNTIF(tSIAF[Clave],"2651271|133")=0,"",SUMIF(tSIAF[Clave],"2651271|133",tSIAF[Certificacion]))</f>
        <v>130450</v>
      </c>
      <c r="F812" s="111">
        <f>IF(D812="","",D812-E812)</f>
        <v>10966</v>
      </c>
      <c r="G812" s="111">
        <f>IF(COUNTIF(tSIAF[Clave],"2651271|133")=0,"",SUMIF(tSIAF[Clave],"2651271|133",tSIAF[Devengado]))</f>
        <v>91615.61</v>
      </c>
      <c r="H812" s="111">
        <f>IF(D812="","",D812-G812)</f>
        <v>49800.39</v>
      </c>
      <c r="I812" s="55">
        <f>IF(D812="","",IF(D812=0,0,G812/D812))</f>
        <v>0.64784472761215139</v>
      </c>
      <c r="J812" s="222"/>
      <c r="K812" s="222" t="s">
        <v>2299</v>
      </c>
      <c r="L812" s="231">
        <f>IF(COUNTIF(tCartera[CUI],"2651271")=0,"Sin PMI",IF(INDEX(tCartera[PMI2026],MATCH("2651271",tCartera[CUI],0))="","No informado",INDEX(tCartera[PMI2026],MATCH("2651271",tCartera[CUI],0))))</f>
        <v>583691</v>
      </c>
      <c r="M812" s="231">
        <f>IF(COUNTIF(tCartera[CUI],"2651271")=0,"Sin PMI",IF(INDEX(tCartera[PMI2027],MATCH("2651271",tCartera[CUI],0))="","No informado",INDEX(tCartera[PMI2027],MATCH("2651271",tCartera[CUI],0))))</f>
        <v>7526548</v>
      </c>
      <c r="N812" s="231">
        <f>IF(COUNTIF(tCartera[CUI],"2651271")=0,"Sin PMI",IF(INDEX(tCartera[PMI2028],MATCH("2651271",tCartera[CUI],0))="","No informado",INDEX(tCartera[PMI2028],MATCH("2651271",tCartera[CUI],0))))</f>
        <v>0</v>
      </c>
      <c r="O812" s="231">
        <f>IF(COUNTIF(tCartera[CUI],"2651271")=0,"Sin PMI",IF(INDEX(tCartera[PMI2029],MATCH("2651271",tCartera[CUI],0))="","No informado",INDEX(tCartera[PMI2029],MATCH("2651271",tCartera[CUI],0))))</f>
        <v>0</v>
      </c>
    </row>
    <row r="813" spans="1:15" hidden="1" x14ac:dyDescent="0.2">
      <c r="A813" s="128"/>
      <c r="B813" s="131"/>
      <c r="C813" s="110" t="s">
        <v>718</v>
      </c>
      <c r="D813" s="112"/>
      <c r="E813" s="112"/>
      <c r="F813" s="112"/>
      <c r="G813" s="112"/>
      <c r="H813" s="112"/>
      <c r="I813" s="55"/>
      <c r="J813" s="222"/>
      <c r="K813" s="222"/>
      <c r="L813" s="231"/>
      <c r="M813" s="231"/>
      <c r="N813" s="231"/>
      <c r="O813" s="231"/>
    </row>
    <row r="814" spans="1:15" hidden="1" x14ac:dyDescent="0.2">
      <c r="A814" s="129"/>
      <c r="B814" s="132"/>
      <c r="C814" s="110" t="s">
        <v>713</v>
      </c>
      <c r="D814" s="112"/>
      <c r="E814" s="112"/>
      <c r="F814" s="112"/>
      <c r="G814" s="112"/>
      <c r="H814" s="112"/>
      <c r="I814" s="55"/>
      <c r="J814" s="222"/>
      <c r="K814" s="222"/>
      <c r="L814" s="231"/>
      <c r="M814" s="231"/>
      <c r="N814" s="231"/>
      <c r="O814" s="231"/>
    </row>
    <row r="815" spans="1:15" ht="51" x14ac:dyDescent="0.2">
      <c r="A815" s="127">
        <f>SUBTOTAL(103,$B$8:B817)</f>
        <v>227</v>
      </c>
      <c r="B815" s="130">
        <v>134</v>
      </c>
      <c r="C815" s="110" t="s">
        <v>314</v>
      </c>
      <c r="D815" s="111">
        <f>IF(COUNTIF(tSIAF[Clave],"2652984|134")=0,"",SUMIF(tSIAF[Clave],"2652984|134",tSIAF[PIM]))</f>
        <v>230550</v>
      </c>
      <c r="E815" s="111">
        <f>IF(COUNTIF(tSIAF[Clave],"2652984|134")=0,"",SUMIF(tSIAF[Clave],"2652984|134",tSIAF[Certificacion]))</f>
        <v>189499</v>
      </c>
      <c r="F815" s="111">
        <f>IF(D815="","",D815-E815)</f>
        <v>41051</v>
      </c>
      <c r="G815" s="111">
        <f>IF(COUNTIF(tSIAF[Clave],"2652984|134")=0,"",SUMIF(tSIAF[Clave],"2652984|134",tSIAF[Devengado]))</f>
        <v>146384.23000000001</v>
      </c>
      <c r="H815" s="111">
        <f>IF(D815="","",D815-G815)</f>
        <v>84165.76999999999</v>
      </c>
      <c r="I815" s="55">
        <f>IF(D815="","",IF(D815=0,0,G815/D815))</f>
        <v>0.63493485144220352</v>
      </c>
      <c r="J815" s="222"/>
      <c r="K815" s="222" t="s">
        <v>2299</v>
      </c>
      <c r="L815" s="231">
        <f>IF(COUNTIF(tCartera[CUI],"2652984")=0,"Sin PMI",IF(INDEX(tCartera[PMI2026],MATCH("2652984",tCartera[CUI],0))="","No informado",INDEX(tCartera[PMI2026],MATCH("2652984",tCartera[CUI],0))))</f>
        <v>800000</v>
      </c>
      <c r="M815" s="231">
        <f>IF(COUNTIF(tCartera[CUI],"2652984")=0,"Sin PMI",IF(INDEX(tCartera[PMI2027],MATCH("2652984",tCartera[CUI],0))="","No informado",INDEX(tCartera[PMI2027],MATCH("2652984",tCartera[CUI],0))))</f>
        <v>0</v>
      </c>
      <c r="N815" s="231">
        <f>IF(COUNTIF(tCartera[CUI],"2652984")=0,"Sin PMI",IF(INDEX(tCartera[PMI2028],MATCH("2652984",tCartera[CUI],0))="","No informado",INDEX(tCartera[PMI2028],MATCH("2652984",tCartera[CUI],0))))</f>
        <v>0</v>
      </c>
      <c r="O815" s="231">
        <f>IF(COUNTIF(tCartera[CUI],"2652984")=0,"Sin PMI",IF(INDEX(tCartera[PMI2029],MATCH("2652984",tCartera[CUI],0))="","No informado",INDEX(tCartera[PMI2029],MATCH("2652984",tCartera[CUI],0))))</f>
        <v>1000000</v>
      </c>
    </row>
    <row r="816" spans="1:15" hidden="1" x14ac:dyDescent="0.2">
      <c r="A816" s="128"/>
      <c r="B816" s="131"/>
      <c r="C816" s="110" t="s">
        <v>718</v>
      </c>
      <c r="D816" s="112"/>
      <c r="E816" s="112"/>
      <c r="F816" s="112"/>
      <c r="G816" s="112"/>
      <c r="H816" s="112"/>
      <c r="I816" s="55"/>
      <c r="J816" s="222"/>
      <c r="K816" s="222"/>
      <c r="L816" s="231"/>
      <c r="M816" s="231"/>
      <c r="N816" s="231"/>
      <c r="O816" s="231"/>
    </row>
    <row r="817" spans="1:15" hidden="1" x14ac:dyDescent="0.2">
      <c r="A817" s="129"/>
      <c r="B817" s="132"/>
      <c r="C817" s="110" t="s">
        <v>713</v>
      </c>
      <c r="D817" s="112"/>
      <c r="E817" s="112"/>
      <c r="F817" s="112"/>
      <c r="G817" s="112"/>
      <c r="H817" s="112"/>
      <c r="I817" s="55"/>
      <c r="J817" s="222"/>
      <c r="K817" s="222"/>
      <c r="L817" s="231"/>
      <c r="M817" s="231"/>
      <c r="N817" s="231"/>
      <c r="O817" s="231"/>
    </row>
    <row r="818" spans="1:15" ht="63.75" x14ac:dyDescent="0.2">
      <c r="A818" s="127">
        <f>SUBTOTAL(103,$B$8:B820)</f>
        <v>228</v>
      </c>
      <c r="B818" s="130">
        <v>135</v>
      </c>
      <c r="C818" s="110" t="s">
        <v>478</v>
      </c>
      <c r="D818" s="111">
        <f>IF(COUNTIF(tSIAF[Clave],"2653737|135")=0,"",SUMIF(tSIAF[Clave],"2653737|135",tSIAF[PIM]))</f>
        <v>490000</v>
      </c>
      <c r="E818" s="111">
        <f>IF(COUNTIF(tSIAF[Clave],"2653737|135")=0,"",SUMIF(tSIAF[Clave],"2653737|135",tSIAF[Certificacion]))</f>
        <v>490000</v>
      </c>
      <c r="F818" s="111">
        <f>IF(D818="","",D818-E818)</f>
        <v>0</v>
      </c>
      <c r="G818" s="111">
        <f>IF(COUNTIF(tSIAF[Clave],"2653737|135")=0,"",SUMIF(tSIAF[Clave],"2653737|135",tSIAF[Devengado]))</f>
        <v>369844.42</v>
      </c>
      <c r="H818" s="111">
        <f>IF(D818="","",D818-G818)</f>
        <v>120155.58000000002</v>
      </c>
      <c r="I818" s="55">
        <f>IF(D818="","",IF(D818=0,0,G818/D818))</f>
        <v>0.75478453061224482</v>
      </c>
      <c r="J818" s="222"/>
      <c r="K818" s="222" t="s">
        <v>2299</v>
      </c>
      <c r="L818" s="231">
        <f>IF(COUNTIF(tCartera[CUI],"2653737")=0,"Sin PMI",IF(INDEX(tCartera[PMI2026],MATCH("2653737",tCartera[CUI],0))="","No informado",INDEX(tCartera[PMI2026],MATCH("2653737",tCartera[CUI],0))))</f>
        <v>50000</v>
      </c>
      <c r="M818" s="231">
        <f>IF(COUNTIF(tCartera[CUI],"2653737")=0,"Sin PMI",IF(INDEX(tCartera[PMI2027],MATCH("2653737",tCartera[CUI],0))="","No informado",INDEX(tCartera[PMI2027],MATCH("2653737",tCartera[CUI],0))))</f>
        <v>0</v>
      </c>
      <c r="N818" s="231">
        <f>IF(COUNTIF(tCartera[CUI],"2653737")=0,"Sin PMI",IF(INDEX(tCartera[PMI2028],MATCH("2653737",tCartera[CUI],0))="","No informado",INDEX(tCartera[PMI2028],MATCH("2653737",tCartera[CUI],0))))</f>
        <v>0</v>
      </c>
      <c r="O818" s="231">
        <f>IF(COUNTIF(tCartera[CUI],"2653737")=0,"Sin PMI",IF(INDEX(tCartera[PMI2029],MATCH("2653737",tCartera[CUI],0))="","No informado",INDEX(tCartera[PMI2029],MATCH("2653737",tCartera[CUI],0))))</f>
        <v>0</v>
      </c>
    </row>
    <row r="819" spans="1:15" hidden="1" x14ac:dyDescent="0.2">
      <c r="A819" s="128"/>
      <c r="B819" s="131"/>
      <c r="C819" s="110" t="s">
        <v>718</v>
      </c>
      <c r="D819" s="112"/>
      <c r="E819" s="112"/>
      <c r="F819" s="112"/>
      <c r="G819" s="112"/>
      <c r="H819" s="112"/>
      <c r="I819" s="55"/>
      <c r="J819" s="222"/>
      <c r="K819" s="222"/>
      <c r="L819" s="231"/>
      <c r="M819" s="231"/>
      <c r="N819" s="231"/>
      <c r="O819" s="231"/>
    </row>
    <row r="820" spans="1:15" hidden="1" x14ac:dyDescent="0.2">
      <c r="A820" s="129"/>
      <c r="B820" s="132"/>
      <c r="C820" s="110" t="s">
        <v>713</v>
      </c>
      <c r="D820" s="112"/>
      <c r="E820" s="112"/>
      <c r="F820" s="112"/>
      <c r="G820" s="112"/>
      <c r="H820" s="112"/>
      <c r="I820" s="55"/>
      <c r="J820" s="222"/>
      <c r="K820" s="222"/>
      <c r="L820" s="231"/>
      <c r="M820" s="231"/>
      <c r="N820" s="231"/>
      <c r="O820" s="231"/>
    </row>
    <row r="821" spans="1:15" ht="63.75" hidden="1" x14ac:dyDescent="0.2">
      <c r="A821" s="127">
        <f>SUBTOTAL(103,$B$8:B823)</f>
        <v>228</v>
      </c>
      <c r="B821" s="130">
        <v>136</v>
      </c>
      <c r="C821" s="110" t="s">
        <v>513</v>
      </c>
      <c r="D821" s="111">
        <f>IF(COUNTIF(tSIAF[Clave],"2653926|136")=0,"",SUMIF(tSIAF[Clave],"2653926|136",tSIAF[PIM]))</f>
        <v>0</v>
      </c>
      <c r="E821" s="111">
        <f>IF(COUNTIF(tSIAF[Clave],"2653926|136")=0,"",SUMIF(tSIAF[Clave],"2653926|136",tSIAF[Certificacion]))</f>
        <v>0</v>
      </c>
      <c r="F821" s="111">
        <f>IF(D821="","",D821-E821)</f>
        <v>0</v>
      </c>
      <c r="G821" s="111">
        <f>IF(COUNTIF(tSIAF[Clave],"2653926|136")=0,"",SUMIF(tSIAF[Clave],"2653926|136",tSIAF[Devengado]))</f>
        <v>0</v>
      </c>
      <c r="H821" s="111">
        <f>IF(D821="","",D821-G821)</f>
        <v>0</v>
      </c>
      <c r="I821" s="55">
        <f>IF(D821="","",IF(D821=0,0,G821/D821))</f>
        <v>0</v>
      </c>
      <c r="J821" s="222"/>
      <c r="K821" s="222" t="s">
        <v>2299</v>
      </c>
      <c r="L821" s="231">
        <f>IF(COUNTIF(tCartera[CUI],"2653926")=0,"Sin PMI",IF(INDEX(tCartera[PMI2026],MATCH("2653926",tCartera[CUI],0))="","No informado",INDEX(tCartera[PMI2026],MATCH("2653926",tCartera[CUI],0))))</f>
        <v>67202</v>
      </c>
      <c r="M821" s="231">
        <f>IF(COUNTIF(tCartera[CUI],"2653926")=0,"Sin PMI",IF(INDEX(tCartera[PMI2027],MATCH("2653926",tCartera[CUI],0))="","No informado",INDEX(tCartera[PMI2027],MATCH("2653926",tCartera[CUI],0))))</f>
        <v>0</v>
      </c>
      <c r="N821" s="231">
        <f>IF(COUNTIF(tCartera[CUI],"2653926")=0,"Sin PMI",IF(INDEX(tCartera[PMI2028],MATCH("2653926",tCartera[CUI],0))="","No informado",INDEX(tCartera[PMI2028],MATCH("2653926",tCartera[CUI],0))))</f>
        <v>5000000</v>
      </c>
      <c r="O821" s="231">
        <f>IF(COUNTIF(tCartera[CUI],"2653926")=0,"Sin PMI",IF(INDEX(tCartera[PMI2029],MATCH("2653926",tCartera[CUI],0))="","No informado",INDEX(tCartera[PMI2029],MATCH("2653926",tCartera[CUI],0))))</f>
        <v>0</v>
      </c>
    </row>
    <row r="822" spans="1:15" hidden="1" x14ac:dyDescent="0.2">
      <c r="A822" s="128"/>
      <c r="B822" s="131"/>
      <c r="C822" s="110" t="s">
        <v>718</v>
      </c>
      <c r="D822" s="112"/>
      <c r="E822" s="112"/>
      <c r="F822" s="112"/>
      <c r="G822" s="112"/>
      <c r="H822" s="112"/>
      <c r="I822" s="55"/>
      <c r="J822" s="222"/>
      <c r="K822" s="222"/>
      <c r="L822" s="231"/>
      <c r="M822" s="231"/>
      <c r="N822" s="231"/>
      <c r="O822" s="231"/>
    </row>
    <row r="823" spans="1:15" hidden="1" x14ac:dyDescent="0.2">
      <c r="A823" s="129"/>
      <c r="B823" s="132"/>
      <c r="C823" s="110" t="s">
        <v>713</v>
      </c>
      <c r="D823" s="112"/>
      <c r="E823" s="112"/>
      <c r="F823" s="112"/>
      <c r="G823" s="112"/>
      <c r="H823" s="112"/>
      <c r="I823" s="55"/>
      <c r="J823" s="222"/>
      <c r="K823" s="222"/>
      <c r="L823" s="231"/>
      <c r="M823" s="231"/>
      <c r="N823" s="231"/>
      <c r="O823" s="231"/>
    </row>
    <row r="824" spans="1:15" ht="63.75" x14ac:dyDescent="0.2">
      <c r="A824" s="127">
        <f>SUBTOTAL(103,$B$8:B826)</f>
        <v>229</v>
      </c>
      <c r="B824" s="130">
        <v>137</v>
      </c>
      <c r="C824" s="110" t="s">
        <v>494</v>
      </c>
      <c r="D824" s="111">
        <f>IF(COUNTIF(tSIAF[Clave],"2654509|137")=0,"",SUMIF(tSIAF[Clave],"2654509|137",tSIAF[PIM]))</f>
        <v>601668</v>
      </c>
      <c r="E824" s="111">
        <f>IF(COUNTIF(tSIAF[Clave],"2654509|137")=0,"",SUMIF(tSIAF[Clave],"2654509|137",tSIAF[Certificacion]))</f>
        <v>584518</v>
      </c>
      <c r="F824" s="111">
        <f>IF(D824="","",D824-E824)</f>
        <v>17150</v>
      </c>
      <c r="G824" s="111">
        <f>IF(COUNTIF(tSIAF[Clave],"2654509|137")=0,"",SUMIF(tSIAF[Clave],"2654509|137",tSIAF[Devengado]))</f>
        <v>242760.63</v>
      </c>
      <c r="H824" s="111">
        <f>IF(D824="","",D824-G824)</f>
        <v>358907.37</v>
      </c>
      <c r="I824" s="55">
        <f>IF(D824="","",IF(D824=0,0,G824/D824))</f>
        <v>0.4034793773310198</v>
      </c>
      <c r="J824" s="222"/>
      <c r="K824" s="222" t="s">
        <v>2299</v>
      </c>
      <c r="L824" s="231">
        <f>IF(COUNTIF(tCartera[CUI],"2654509")=0,"Sin PMI",IF(INDEX(tCartera[PMI2026],MATCH("2654509",tCartera[CUI],0))="","No informado",INDEX(tCartera[PMI2026],MATCH("2654509",tCartera[CUI],0))))</f>
        <v>50000</v>
      </c>
      <c r="M824" s="231">
        <f>IF(COUNTIF(tCartera[CUI],"2654509")=0,"Sin PMI",IF(INDEX(tCartera[PMI2027],MATCH("2654509",tCartera[CUI],0))="","No informado",INDEX(tCartera[PMI2027],MATCH("2654509",tCartera[CUI],0))))</f>
        <v>348574</v>
      </c>
      <c r="N824" s="231">
        <f>IF(COUNTIF(tCartera[CUI],"2654509")=0,"Sin PMI",IF(INDEX(tCartera[PMI2028],MATCH("2654509",tCartera[CUI],0))="","No informado",INDEX(tCartera[PMI2028],MATCH("2654509",tCartera[CUI],0))))</f>
        <v>0</v>
      </c>
      <c r="O824" s="231">
        <f>IF(COUNTIF(tCartera[CUI],"2654509")=0,"Sin PMI",IF(INDEX(tCartera[PMI2029],MATCH("2654509",tCartera[CUI],0))="","No informado",INDEX(tCartera[PMI2029],MATCH("2654509",tCartera[CUI],0))))</f>
        <v>800000</v>
      </c>
    </row>
    <row r="825" spans="1:15" hidden="1" x14ac:dyDescent="0.2">
      <c r="A825" s="128"/>
      <c r="B825" s="131"/>
      <c r="C825" s="110" t="s">
        <v>718</v>
      </c>
      <c r="D825" s="112"/>
      <c r="E825" s="112"/>
      <c r="F825" s="112"/>
      <c r="G825" s="112"/>
      <c r="H825" s="112"/>
      <c r="I825" s="55"/>
      <c r="J825" s="222"/>
      <c r="K825" s="222"/>
      <c r="L825" s="231"/>
      <c r="M825" s="231"/>
      <c r="N825" s="231"/>
      <c r="O825" s="231"/>
    </row>
    <row r="826" spans="1:15" hidden="1" x14ac:dyDescent="0.2">
      <c r="A826" s="129"/>
      <c r="B826" s="132"/>
      <c r="C826" s="110" t="s">
        <v>713</v>
      </c>
      <c r="D826" s="112"/>
      <c r="E826" s="112"/>
      <c r="F826" s="112"/>
      <c r="G826" s="112"/>
      <c r="H826" s="112"/>
      <c r="I826" s="55"/>
      <c r="J826" s="222"/>
      <c r="K826" s="222"/>
      <c r="L826" s="231"/>
      <c r="M826" s="231"/>
      <c r="N826" s="231"/>
      <c r="O826" s="231"/>
    </row>
    <row r="827" spans="1:15" ht="63.75" x14ac:dyDescent="0.2">
      <c r="A827" s="127">
        <f>SUBTOTAL(103,$B$8:B829)</f>
        <v>230</v>
      </c>
      <c r="B827" s="130">
        <v>138</v>
      </c>
      <c r="C827" s="110" t="s">
        <v>514</v>
      </c>
      <c r="D827" s="111">
        <f>IF(COUNTIF(tSIAF[Clave],"2654549|138")=0,"",SUMIF(tSIAF[Clave],"2654549|138",tSIAF[PIM]))</f>
        <v>870779</v>
      </c>
      <c r="E827" s="111">
        <f>IF(COUNTIF(tSIAF[Clave],"2654549|138")=0,"",SUMIF(tSIAF[Clave],"2654549|138",tSIAF[Certificacion]))</f>
        <v>870779</v>
      </c>
      <c r="F827" s="111">
        <f>IF(D827="","",D827-E827)</f>
        <v>0</v>
      </c>
      <c r="G827" s="111">
        <f>IF(COUNTIF(tSIAF[Clave],"2654549|138")=0,"",SUMIF(tSIAF[Clave],"2654549|138",tSIAF[Devengado]))</f>
        <v>391730.07</v>
      </c>
      <c r="H827" s="111">
        <f>IF(D827="","",D827-G827)</f>
        <v>479048.93</v>
      </c>
      <c r="I827" s="55">
        <f>IF(D827="","",IF(D827=0,0,G827/D827))</f>
        <v>0.44986164112823118</v>
      </c>
      <c r="J827" s="222"/>
      <c r="K827" s="222" t="s">
        <v>2299</v>
      </c>
      <c r="L827" s="231">
        <f>IF(COUNTIF(tCartera[CUI],"2654549")=0,"Sin PMI",IF(INDEX(tCartera[PMI2026],MATCH("2654549",tCartera[CUI],0))="","No informado",INDEX(tCartera[PMI2026],MATCH("2654549",tCartera[CUI],0))))</f>
        <v>50000</v>
      </c>
      <c r="M827" s="231">
        <f>IF(COUNTIF(tCartera[CUI],"2654549")=0,"Sin PMI",IF(INDEX(tCartera[PMI2027],MATCH("2654549",tCartera[CUI],0))="","No informado",INDEX(tCartera[PMI2027],MATCH("2654549",tCartera[CUI],0))))</f>
        <v>0</v>
      </c>
      <c r="N827" s="231">
        <f>IF(COUNTIF(tCartera[CUI],"2654549")=0,"Sin PMI",IF(INDEX(tCartera[PMI2028],MATCH("2654549",tCartera[CUI],0))="","No informado",INDEX(tCartera[PMI2028],MATCH("2654549",tCartera[CUI],0))))</f>
        <v>0</v>
      </c>
      <c r="O827" s="231">
        <f>IF(COUNTIF(tCartera[CUI],"2654549")=0,"Sin PMI",IF(INDEX(tCartera[PMI2029],MATCH("2654549",tCartera[CUI],0))="","No informado",INDEX(tCartera[PMI2029],MATCH("2654549",tCartera[CUI],0))))</f>
        <v>1000000</v>
      </c>
    </row>
    <row r="828" spans="1:15" hidden="1" x14ac:dyDescent="0.2">
      <c r="A828" s="128"/>
      <c r="B828" s="131"/>
      <c r="C828" s="110" t="s">
        <v>718</v>
      </c>
      <c r="D828" s="112"/>
      <c r="E828" s="112"/>
      <c r="F828" s="112"/>
      <c r="G828" s="112"/>
      <c r="H828" s="112"/>
      <c r="I828" s="55"/>
      <c r="J828" s="222"/>
      <c r="K828" s="222"/>
      <c r="L828" s="231"/>
      <c r="M828" s="231"/>
      <c r="N828" s="231"/>
      <c r="O828" s="231"/>
    </row>
    <row r="829" spans="1:15" hidden="1" x14ac:dyDescent="0.2">
      <c r="A829" s="129"/>
      <c r="B829" s="132"/>
      <c r="C829" s="110" t="s">
        <v>713</v>
      </c>
      <c r="D829" s="112"/>
      <c r="E829" s="112"/>
      <c r="F829" s="112"/>
      <c r="G829" s="112"/>
      <c r="H829" s="112"/>
      <c r="I829" s="55"/>
      <c r="J829" s="222"/>
      <c r="K829" s="222"/>
      <c r="L829" s="231"/>
      <c r="M829" s="231"/>
      <c r="N829" s="231"/>
      <c r="O829" s="231"/>
    </row>
    <row r="830" spans="1:15" ht="51" x14ac:dyDescent="0.2">
      <c r="A830" s="127">
        <f>SUBTOTAL(103,$B$8:B832)</f>
        <v>231</v>
      </c>
      <c r="B830" s="130">
        <v>139</v>
      </c>
      <c r="C830" s="110" t="s">
        <v>477</v>
      </c>
      <c r="D830" s="111">
        <f>IF(COUNTIF(tSIAF[Clave],"2655389|139")=0,"",SUMIF(tSIAF[Clave],"2655389|139",tSIAF[PIM]))</f>
        <v>101523</v>
      </c>
      <c r="E830" s="111">
        <f>IF(COUNTIF(tSIAF[Clave],"2655389|139")=0,"",SUMIF(tSIAF[Clave],"2655389|139",tSIAF[Certificacion]))</f>
        <v>99920.24</v>
      </c>
      <c r="F830" s="111">
        <f>IF(D830="","",D830-E830)</f>
        <v>1602.7599999999948</v>
      </c>
      <c r="G830" s="111">
        <f>IF(COUNTIF(tSIAF[Clave],"2655389|139")=0,"",SUMIF(tSIAF[Clave],"2655389|139",tSIAF[Devengado]))</f>
        <v>99920.24</v>
      </c>
      <c r="H830" s="111">
        <f>IF(D830="","",D830-G830)</f>
        <v>1602.7599999999948</v>
      </c>
      <c r="I830" s="55">
        <f>IF(D830="","",IF(D830=0,0,G830/D830))</f>
        <v>0.98421283847010044</v>
      </c>
      <c r="J830" s="222"/>
      <c r="K830" s="222" t="s">
        <v>2299</v>
      </c>
      <c r="L830" s="231">
        <f>IF(COUNTIF(tCartera[CUI],"2655389")=0,"Sin PMI",IF(INDEX(tCartera[PMI2026],MATCH("2655389",tCartera[CUI],0))="","No informado",INDEX(tCartera[PMI2026],MATCH("2655389",tCartera[CUI],0))))</f>
        <v>50000</v>
      </c>
      <c r="M830" s="231">
        <f>IF(COUNTIF(tCartera[CUI],"2655389")=0,"Sin PMI",IF(INDEX(tCartera[PMI2027],MATCH("2655389",tCartera[CUI],0))="","No informado",INDEX(tCartera[PMI2027],MATCH("2655389",tCartera[CUI],0))))</f>
        <v>2859865</v>
      </c>
      <c r="N830" s="231">
        <f>IF(COUNTIF(tCartera[CUI],"2655389")=0,"Sin PMI",IF(INDEX(tCartera[PMI2028],MATCH("2655389",tCartera[CUI],0))="","No informado",INDEX(tCartera[PMI2028],MATCH("2655389",tCartera[CUI],0))))</f>
        <v>0</v>
      </c>
      <c r="O830" s="231">
        <f>IF(COUNTIF(tCartera[CUI],"2655389")=0,"Sin PMI",IF(INDEX(tCartera[PMI2029],MATCH("2655389",tCartera[CUI],0))="","No informado",INDEX(tCartera[PMI2029],MATCH("2655389",tCartera[CUI],0))))</f>
        <v>2881732</v>
      </c>
    </row>
    <row r="831" spans="1:15" hidden="1" x14ac:dyDescent="0.2">
      <c r="A831" s="128"/>
      <c r="B831" s="131"/>
      <c r="C831" s="110" t="s">
        <v>718</v>
      </c>
      <c r="D831" s="112"/>
      <c r="E831" s="112"/>
      <c r="F831" s="112"/>
      <c r="G831" s="112"/>
      <c r="H831" s="112"/>
      <c r="I831" s="55"/>
      <c r="J831" s="222"/>
      <c r="K831" s="222"/>
      <c r="L831" s="231"/>
      <c r="M831" s="231"/>
      <c r="N831" s="231"/>
      <c r="O831" s="231"/>
    </row>
    <row r="832" spans="1:15" hidden="1" x14ac:dyDescent="0.2">
      <c r="A832" s="129"/>
      <c r="B832" s="132"/>
      <c r="C832" s="110" t="s">
        <v>713</v>
      </c>
      <c r="D832" s="112"/>
      <c r="E832" s="112"/>
      <c r="F832" s="112"/>
      <c r="G832" s="112"/>
      <c r="H832" s="112"/>
      <c r="I832" s="55"/>
      <c r="J832" s="222"/>
      <c r="K832" s="222"/>
      <c r="L832" s="231"/>
      <c r="M832" s="231"/>
      <c r="N832" s="231"/>
      <c r="O832" s="231"/>
    </row>
    <row r="833" spans="1:15" ht="76.5" hidden="1" x14ac:dyDescent="0.2">
      <c r="A833" s="127">
        <f>SUBTOTAL(103,$B$8:B835)</f>
        <v>231</v>
      </c>
      <c r="B833" s="130">
        <v>140</v>
      </c>
      <c r="C833" s="110" t="s">
        <v>428</v>
      </c>
      <c r="D833" s="111">
        <f>IF(COUNTIF(tSIAF[Clave],"2656599|140")=0,"",SUMIF(tSIAF[Clave],"2656599|140",tSIAF[PIM]))</f>
        <v>0</v>
      </c>
      <c r="E833" s="111">
        <f>IF(COUNTIF(tSIAF[Clave],"2656599|140")=0,"",SUMIF(tSIAF[Clave],"2656599|140",tSIAF[Certificacion]))</f>
        <v>0</v>
      </c>
      <c r="F833" s="111">
        <f>IF(D833="","",D833-E833)</f>
        <v>0</v>
      </c>
      <c r="G833" s="111">
        <f>IF(COUNTIF(tSIAF[Clave],"2656599|140")=0,"",SUMIF(tSIAF[Clave],"2656599|140",tSIAF[Devengado]))</f>
        <v>0</v>
      </c>
      <c r="H833" s="111">
        <f>IF(D833="","",D833-G833)</f>
        <v>0</v>
      </c>
      <c r="I833" s="55">
        <f>IF(D833="","",IF(D833=0,0,G833/D833))</f>
        <v>0</v>
      </c>
      <c r="J833" s="222"/>
      <c r="K833" s="222" t="s">
        <v>2299</v>
      </c>
      <c r="L833" s="231">
        <f>IF(COUNTIF(tCartera[CUI],"2656599")=0,"Sin PMI",IF(INDEX(tCartera[PMI2026],MATCH("2656599",tCartera[CUI],0))="","No informado",INDEX(tCartera[PMI2026],MATCH("2656599",tCartera[CUI],0))))</f>
        <v>800000</v>
      </c>
      <c r="M833" s="231">
        <f>IF(COUNTIF(tCartera[CUI],"2656599")=0,"Sin PMI",IF(INDEX(tCartera[PMI2027],MATCH("2656599",tCartera[CUI],0))="","No informado",INDEX(tCartera[PMI2027],MATCH("2656599",tCartera[CUI],0))))</f>
        <v>0</v>
      </c>
      <c r="N833" s="231">
        <f>IF(COUNTIF(tCartera[CUI],"2656599")=0,"Sin PMI",IF(INDEX(tCartera[PMI2028],MATCH("2656599",tCartera[CUI],0))="","No informado",INDEX(tCartera[PMI2028],MATCH("2656599",tCartera[CUI],0))))</f>
        <v>0</v>
      </c>
      <c r="O833" s="231">
        <f>IF(COUNTIF(tCartera[CUI],"2656599")=0,"Sin PMI",IF(INDEX(tCartera[PMI2029],MATCH("2656599",tCartera[CUI],0))="","No informado",INDEX(tCartera[PMI2029],MATCH("2656599",tCartera[CUI],0))))</f>
        <v>2500000</v>
      </c>
    </row>
    <row r="834" spans="1:15" hidden="1" x14ac:dyDescent="0.2">
      <c r="A834" s="128"/>
      <c r="B834" s="131"/>
      <c r="C834" s="110" t="s">
        <v>718</v>
      </c>
      <c r="D834" s="112"/>
      <c r="E834" s="112"/>
      <c r="F834" s="112"/>
      <c r="G834" s="112"/>
      <c r="H834" s="112"/>
      <c r="I834" s="55"/>
      <c r="J834" s="222"/>
      <c r="K834" s="222"/>
      <c r="L834" s="231"/>
      <c r="M834" s="231"/>
      <c r="N834" s="231"/>
      <c r="O834" s="231"/>
    </row>
    <row r="835" spans="1:15" hidden="1" x14ac:dyDescent="0.2">
      <c r="A835" s="129"/>
      <c r="B835" s="132"/>
      <c r="C835" s="110" t="s">
        <v>713</v>
      </c>
      <c r="D835" s="112"/>
      <c r="E835" s="112"/>
      <c r="F835" s="112"/>
      <c r="G835" s="112"/>
      <c r="H835" s="112"/>
      <c r="I835" s="55"/>
      <c r="J835" s="222"/>
      <c r="K835" s="222"/>
      <c r="L835" s="231"/>
      <c r="M835" s="231"/>
      <c r="N835" s="231"/>
      <c r="O835" s="231"/>
    </row>
    <row r="836" spans="1:15" ht="63.75" hidden="1" x14ac:dyDescent="0.2">
      <c r="A836" s="127">
        <f>SUBTOTAL(103,$B$8:B838)</f>
        <v>231</v>
      </c>
      <c r="B836" s="130">
        <v>141</v>
      </c>
      <c r="C836" s="110" t="s">
        <v>515</v>
      </c>
      <c r="D836" s="111">
        <f>IF(COUNTIF(tSIAF[Clave],"2656878|141")=0,"",SUMIF(tSIAF[Clave],"2656878|141",tSIAF[PIM]))</f>
        <v>300000</v>
      </c>
      <c r="E836" s="111">
        <f>IF(COUNTIF(tSIAF[Clave],"2656878|141")=0,"",SUMIF(tSIAF[Clave],"2656878|141",tSIAF[Certificacion]))</f>
        <v>300000</v>
      </c>
      <c r="F836" s="111">
        <f>IF(D836="","",D836-E836)</f>
        <v>0</v>
      </c>
      <c r="G836" s="111">
        <f>IF(COUNTIF(tSIAF[Clave],"2656878|141")=0,"",SUMIF(tSIAF[Clave],"2656878|141",tSIAF[Devengado]))</f>
        <v>0</v>
      </c>
      <c r="H836" s="111">
        <f>IF(D836="","",D836-G836)</f>
        <v>300000</v>
      </c>
      <c r="I836" s="55">
        <f>IF(D836="","",IF(D836=0,0,G836/D836))</f>
        <v>0</v>
      </c>
      <c r="J836" s="222"/>
      <c r="K836" s="222" t="s">
        <v>2299</v>
      </c>
      <c r="L836" s="231">
        <f>IF(COUNTIF(tCartera[CUI],"2656878")=0,"Sin PMI",IF(INDEX(tCartera[PMI2026],MATCH("2656878",tCartera[CUI],0))="","No informado",INDEX(tCartera[PMI2026],MATCH("2656878",tCartera[CUI],0))))</f>
        <v>50000</v>
      </c>
      <c r="M836" s="231">
        <f>IF(COUNTIF(tCartera[CUI],"2656878")=0,"Sin PMI",IF(INDEX(tCartera[PMI2027],MATCH("2656878",tCartera[CUI],0))="","No informado",INDEX(tCartera[PMI2027],MATCH("2656878",tCartera[CUI],0))))</f>
        <v>200000</v>
      </c>
      <c r="N836" s="231">
        <f>IF(COUNTIF(tCartera[CUI],"2656878")=0,"Sin PMI",IF(INDEX(tCartera[PMI2028],MATCH("2656878",tCartera[CUI],0))="","No informado",INDEX(tCartera[PMI2028],MATCH("2656878",tCartera[CUI],0))))</f>
        <v>0</v>
      </c>
      <c r="O836" s="231">
        <f>IF(COUNTIF(tCartera[CUI],"2656878")=0,"Sin PMI",IF(INDEX(tCartera[PMI2029],MATCH("2656878",tCartera[CUI],0))="","No informado",INDEX(tCartera[PMI2029],MATCH("2656878",tCartera[CUI],0))))</f>
        <v>2000000</v>
      </c>
    </row>
    <row r="837" spans="1:15" hidden="1" x14ac:dyDescent="0.2">
      <c r="A837" s="128"/>
      <c r="B837" s="131"/>
      <c r="C837" s="110" t="s">
        <v>718</v>
      </c>
      <c r="D837" s="112"/>
      <c r="E837" s="112"/>
      <c r="F837" s="112"/>
      <c r="G837" s="112"/>
      <c r="H837" s="112"/>
      <c r="I837" s="55"/>
      <c r="J837" s="222"/>
      <c r="K837" s="222"/>
      <c r="L837" s="231"/>
      <c r="M837" s="231"/>
      <c r="N837" s="231"/>
      <c r="O837" s="231"/>
    </row>
    <row r="838" spans="1:15" hidden="1" x14ac:dyDescent="0.2">
      <c r="A838" s="129"/>
      <c r="B838" s="132"/>
      <c r="C838" s="110" t="s">
        <v>713</v>
      </c>
      <c r="D838" s="112"/>
      <c r="E838" s="112"/>
      <c r="F838" s="112"/>
      <c r="G838" s="112"/>
      <c r="H838" s="112"/>
      <c r="I838" s="55"/>
      <c r="J838" s="222"/>
      <c r="K838" s="222"/>
      <c r="L838" s="231"/>
      <c r="M838" s="231"/>
      <c r="N838" s="231"/>
      <c r="O838" s="231"/>
    </row>
    <row r="839" spans="1:15" ht="89.25" x14ac:dyDescent="0.2">
      <c r="A839" s="127">
        <f>+SUBTOTAL(103,$B$10:B842)</f>
        <v>232</v>
      </c>
      <c r="B839" s="130">
        <v>142</v>
      </c>
      <c r="C839" s="110" t="s">
        <v>481</v>
      </c>
      <c r="D839" s="111">
        <f>IF(COUNTIF(tSIAF[Clave],"2657159|142")=0,"",SUMIF(tSIAF[Clave],"2657159|142",tSIAF[PIM]))</f>
        <v>330710</v>
      </c>
      <c r="E839" s="111">
        <f>IF(COUNTIF(tSIAF[Clave],"2657159|142")=0,"",SUMIF(tSIAF[Clave],"2657159|142",tSIAF[Certificacion]))</f>
        <v>282398.95</v>
      </c>
      <c r="F839" s="111">
        <f>IF(D839="","",D839-E839)</f>
        <v>48311.049999999988</v>
      </c>
      <c r="G839" s="111">
        <f>IF(COUNTIF(tSIAF[Clave],"2657159|142")=0,"",SUMIF(tSIAF[Clave],"2657159|142",tSIAF[Devengado]))</f>
        <v>191886.54</v>
      </c>
      <c r="H839" s="111">
        <f>IF(D839="","",D839-G839)</f>
        <v>138823.46</v>
      </c>
      <c r="I839" s="55">
        <f>IF(D839="","",IF(D839=0,0,G839/D839))</f>
        <v>0.58022599860905333</v>
      </c>
      <c r="J839" s="222"/>
      <c r="K839" s="222" t="s">
        <v>2299</v>
      </c>
      <c r="L839" s="231">
        <f>IF(COUNTIF(tCartera[CUI],"2657159")=0,"Sin PMI",IF(INDEX(tCartera[PMI2026],MATCH("2657159",tCartera[CUI],0))="","No informado",INDEX(tCartera[PMI2026],MATCH("2657159",tCartera[CUI],0))))</f>
        <v>50000</v>
      </c>
      <c r="M839" s="231">
        <f>IF(COUNTIF(tCartera[CUI],"2657159")=0,"Sin PMI",IF(INDEX(tCartera[PMI2027],MATCH("2657159",tCartera[CUI],0))="","No informado",INDEX(tCartera[PMI2027],MATCH("2657159",tCartera[CUI],0))))</f>
        <v>358745</v>
      </c>
      <c r="N839" s="231">
        <f>IF(COUNTIF(tCartera[CUI],"2657159")=0,"Sin PMI",IF(INDEX(tCartera[PMI2028],MATCH("2657159",tCartera[CUI],0))="","No informado",INDEX(tCartera[PMI2028],MATCH("2657159",tCartera[CUI],0))))</f>
        <v>0</v>
      </c>
      <c r="O839" s="231">
        <f>IF(COUNTIF(tCartera[CUI],"2657159")=0,"Sin PMI",IF(INDEX(tCartera[PMI2029],MATCH("2657159",tCartera[CUI],0))="","No informado",INDEX(tCartera[PMI2029],MATCH("2657159",tCartera[CUI],0))))</f>
        <v>200000</v>
      </c>
    </row>
    <row r="840" spans="1:15" hidden="1" x14ac:dyDescent="0.2">
      <c r="A840" s="128"/>
      <c r="B840" s="131"/>
      <c r="C840" s="110" t="s">
        <v>718</v>
      </c>
      <c r="D840" s="112"/>
      <c r="E840" s="112"/>
      <c r="F840" s="112"/>
      <c r="G840" s="112"/>
      <c r="H840" s="112"/>
      <c r="I840" s="55"/>
      <c r="J840" s="222"/>
      <c r="K840" s="222"/>
      <c r="L840" s="231"/>
      <c r="M840" s="231"/>
      <c r="N840" s="231"/>
      <c r="O840" s="231"/>
    </row>
    <row r="841" spans="1:15" hidden="1" x14ac:dyDescent="0.2">
      <c r="A841" s="128"/>
      <c r="B841" s="131"/>
      <c r="C841" s="110" t="s">
        <v>713</v>
      </c>
      <c r="D841" s="112"/>
      <c r="E841" s="112"/>
      <c r="F841" s="112"/>
      <c r="G841" s="112"/>
      <c r="H841" s="112"/>
      <c r="I841" s="55"/>
      <c r="J841" s="222"/>
      <c r="K841" s="222"/>
      <c r="L841" s="231"/>
      <c r="M841" s="231"/>
      <c r="N841" s="231"/>
      <c r="O841" s="231"/>
    </row>
    <row r="842" spans="1:15" hidden="1" x14ac:dyDescent="0.2">
      <c r="A842" s="129"/>
      <c r="B842" s="132"/>
      <c r="C842" s="110" t="s">
        <v>720</v>
      </c>
      <c r="D842" s="112"/>
      <c r="E842" s="112"/>
      <c r="F842" s="112"/>
      <c r="G842" s="112"/>
      <c r="H842" s="112"/>
      <c r="I842" s="55"/>
      <c r="J842" s="222"/>
      <c r="K842" s="222"/>
      <c r="L842" s="231"/>
      <c r="M842" s="231"/>
      <c r="N842" s="231"/>
      <c r="O842" s="231"/>
    </row>
    <row r="843" spans="1:15" ht="38.25" x14ac:dyDescent="0.2">
      <c r="A843" s="127">
        <f>SUBTOTAL(103,$B$8:B845)</f>
        <v>233</v>
      </c>
      <c r="B843" s="130">
        <v>143</v>
      </c>
      <c r="C843" s="110" t="s">
        <v>482</v>
      </c>
      <c r="D843" s="111">
        <f>IF(COUNTIF(tSIAF[Clave],"2657484|143")=0,"",SUMIF(tSIAF[Clave],"2657484|143",tSIAF[PIM]))</f>
        <v>50000</v>
      </c>
      <c r="E843" s="111">
        <f>IF(COUNTIF(tSIAF[Clave],"2657484|143")=0,"",SUMIF(tSIAF[Clave],"2657484|143",tSIAF[Certificacion]))</f>
        <v>49980</v>
      </c>
      <c r="F843" s="111">
        <f>IF(D843="","",D843-E843)</f>
        <v>20</v>
      </c>
      <c r="G843" s="111">
        <f>IF(COUNTIF(tSIAF[Clave],"2657484|143")=0,"",SUMIF(tSIAF[Clave],"2657484|143",tSIAF[Devengado]))</f>
        <v>49974.77</v>
      </c>
      <c r="H843" s="111">
        <f>IF(D843="","",D843-G843)</f>
        <v>25.230000000003201</v>
      </c>
      <c r="I843" s="55">
        <f>IF(D843="","",IF(D843=0,0,G843/D843))</f>
        <v>0.99949539999999992</v>
      </c>
      <c r="J843" s="222"/>
      <c r="K843" s="222" t="s">
        <v>2299</v>
      </c>
      <c r="L843" s="231">
        <f>IF(COUNTIF(tCartera[CUI],"2657484")=0,"Sin PMI",IF(INDEX(tCartera[PMI2026],MATCH("2657484",tCartera[CUI],0))="","No informado",INDEX(tCartera[PMI2026],MATCH("2657484",tCartera[CUI],0))))</f>
        <v>50000</v>
      </c>
      <c r="M843" s="231">
        <f>IF(COUNTIF(tCartera[CUI],"2657484")=0,"Sin PMI",IF(INDEX(tCartera[PMI2027],MATCH("2657484",tCartera[CUI],0))="","No informado",INDEX(tCartera[PMI2027],MATCH("2657484",tCartera[CUI],0))))</f>
        <v>1143284</v>
      </c>
      <c r="N843" s="231">
        <f>IF(COUNTIF(tCartera[CUI],"2657484")=0,"Sin PMI",IF(INDEX(tCartera[PMI2028],MATCH("2657484",tCartera[CUI],0))="","No informado",INDEX(tCartera[PMI2028],MATCH("2657484",tCartera[CUI],0))))</f>
        <v>37381</v>
      </c>
      <c r="O843" s="231">
        <f>IF(COUNTIF(tCartera[CUI],"2657484")=0,"Sin PMI",IF(INDEX(tCartera[PMI2029],MATCH("2657484",tCartera[CUI],0))="","No informado",INDEX(tCartera[PMI2029],MATCH("2657484",tCartera[CUI],0))))</f>
        <v>0</v>
      </c>
    </row>
    <row r="844" spans="1:15" hidden="1" x14ac:dyDescent="0.2">
      <c r="A844" s="128"/>
      <c r="B844" s="131"/>
      <c r="C844" s="110" t="s">
        <v>719</v>
      </c>
      <c r="D844" s="112"/>
      <c r="E844" s="112"/>
      <c r="F844" s="112"/>
      <c r="G844" s="112"/>
      <c r="H844" s="112"/>
      <c r="I844" s="55"/>
      <c r="J844" s="222"/>
      <c r="K844" s="222"/>
      <c r="L844" s="231"/>
      <c r="M844" s="231"/>
      <c r="N844" s="231"/>
      <c r="O844" s="231"/>
    </row>
    <row r="845" spans="1:15" hidden="1" x14ac:dyDescent="0.2">
      <c r="A845" s="129"/>
      <c r="B845" s="132"/>
      <c r="C845" s="110" t="s">
        <v>713</v>
      </c>
      <c r="D845" s="112"/>
      <c r="E845" s="112"/>
      <c r="F845" s="112"/>
      <c r="G845" s="112"/>
      <c r="H845" s="112"/>
      <c r="I845" s="55"/>
      <c r="J845" s="222"/>
      <c r="K845" s="222"/>
      <c r="L845" s="231"/>
      <c r="M845" s="231"/>
      <c r="N845" s="231"/>
      <c r="O845" s="231"/>
    </row>
    <row r="846" spans="1:15" ht="76.5" x14ac:dyDescent="0.2">
      <c r="A846" s="127">
        <f>SUBTOTAL(103,$B$8:B848)</f>
        <v>234</v>
      </c>
      <c r="B846" s="130">
        <v>144</v>
      </c>
      <c r="C846" s="110" t="s">
        <v>473</v>
      </c>
      <c r="D846" s="111">
        <f>IF(COUNTIF(tSIAF[Clave],"2657867|144")=0,"",SUMIF(tSIAF[Clave],"2657867|144",tSIAF[PIM]))</f>
        <v>278409</v>
      </c>
      <c r="E846" s="111">
        <f>IF(COUNTIF(tSIAF[Clave],"2657867|144")=0,"",SUMIF(tSIAF[Clave],"2657867|144",tSIAF[Certificacion]))</f>
        <v>278409</v>
      </c>
      <c r="F846" s="111">
        <f>IF(D846="","",D846-E846)</f>
        <v>0</v>
      </c>
      <c r="G846" s="111">
        <f>IF(COUNTIF(tSIAF[Clave],"2657867|144")=0,"",SUMIF(tSIAF[Clave],"2657867|144",tSIAF[Devengado]))</f>
        <v>202805.9</v>
      </c>
      <c r="H846" s="111">
        <f>IF(D846="","",D846-G846)</f>
        <v>75603.100000000006</v>
      </c>
      <c r="I846" s="55">
        <f>IF(D846="","",IF(D846=0,0,G846/D846))</f>
        <v>0.72844591949254511</v>
      </c>
      <c r="J846" s="222"/>
      <c r="K846" s="222" t="s">
        <v>2299</v>
      </c>
      <c r="L846" s="231">
        <f>IF(COUNTIF(tCartera[CUI],"2657867")=0,"Sin PMI",IF(INDEX(tCartera[PMI2026],MATCH("2657867",tCartera[CUI],0))="","No informado",INDEX(tCartera[PMI2026],MATCH("2657867",tCartera[CUI],0))))</f>
        <v>50000</v>
      </c>
      <c r="M846" s="231">
        <f>IF(COUNTIF(tCartera[CUI],"2657867")=0,"Sin PMI",IF(INDEX(tCartera[PMI2027],MATCH("2657867",tCartera[CUI],0))="","No informado",INDEX(tCartera[PMI2027],MATCH("2657867",tCartera[CUI],0))))</f>
        <v>385474</v>
      </c>
      <c r="N846" s="231">
        <f>IF(COUNTIF(tCartera[CUI],"2657867")=0,"Sin PMI",IF(INDEX(tCartera[PMI2028],MATCH("2657867",tCartera[CUI],0))="","No informado",INDEX(tCartera[PMI2028],MATCH("2657867",tCartera[CUI],0))))</f>
        <v>0</v>
      </c>
      <c r="O846" s="231">
        <f>IF(COUNTIF(tCartera[CUI],"2657867")=0,"Sin PMI",IF(INDEX(tCartera[PMI2029],MATCH("2657867",tCartera[CUI],0))="","No informado",INDEX(tCartera[PMI2029],MATCH("2657867",tCartera[CUI],0))))</f>
        <v>5626284</v>
      </c>
    </row>
    <row r="847" spans="1:15" hidden="1" x14ac:dyDescent="0.2">
      <c r="A847" s="128"/>
      <c r="B847" s="131"/>
      <c r="C847" s="110" t="s">
        <v>718</v>
      </c>
      <c r="D847" s="112"/>
      <c r="E847" s="112"/>
      <c r="F847" s="112"/>
      <c r="G847" s="112"/>
      <c r="H847" s="112"/>
      <c r="I847" s="55"/>
      <c r="J847" s="222"/>
      <c r="K847" s="222"/>
      <c r="L847" s="231"/>
      <c r="M847" s="231"/>
      <c r="N847" s="231"/>
      <c r="O847" s="231"/>
    </row>
    <row r="848" spans="1:15" hidden="1" x14ac:dyDescent="0.2">
      <c r="A848" s="129"/>
      <c r="B848" s="132"/>
      <c r="C848" s="110" t="s">
        <v>713</v>
      </c>
      <c r="D848" s="112"/>
      <c r="E848" s="112"/>
      <c r="F848" s="112"/>
      <c r="G848" s="112"/>
      <c r="H848" s="112"/>
      <c r="I848" s="55"/>
      <c r="J848" s="222"/>
      <c r="K848" s="222"/>
      <c r="L848" s="231"/>
      <c r="M848" s="231"/>
      <c r="N848" s="231"/>
      <c r="O848" s="231"/>
    </row>
    <row r="849" spans="1:15" ht="89.25" x14ac:dyDescent="0.2">
      <c r="A849" s="127">
        <f>SUBTOTAL(103,$B$8:B851)</f>
        <v>235</v>
      </c>
      <c r="B849" s="130">
        <v>145</v>
      </c>
      <c r="C849" s="110" t="s">
        <v>516</v>
      </c>
      <c r="D849" s="111">
        <f>IF(COUNTIF(tSIAF[Clave],"2657953|145")=0,"",SUMIF(tSIAF[Clave],"2657953|145",tSIAF[PIM]))</f>
        <v>390297</v>
      </c>
      <c r="E849" s="111">
        <f>IF(COUNTIF(tSIAF[Clave],"2657953|145")=0,"",SUMIF(tSIAF[Clave],"2657953|145",tSIAF[Certificacion]))</f>
        <v>389428.6</v>
      </c>
      <c r="F849" s="111">
        <f>IF(D849="","",D849-E849)</f>
        <v>868.40000000002328</v>
      </c>
      <c r="G849" s="111">
        <f>IF(COUNTIF(tSIAF[Clave],"2657953|145")=0,"",SUMIF(tSIAF[Clave],"2657953|145",tSIAF[Devengado]))</f>
        <v>251034.11</v>
      </c>
      <c r="H849" s="111">
        <f>IF(D849="","",D849-G849)</f>
        <v>139262.89000000001</v>
      </c>
      <c r="I849" s="55">
        <f>IF(D849="","",IF(D849=0,0,G849/D849))</f>
        <v>0.64318739319031404</v>
      </c>
      <c r="J849" s="222"/>
      <c r="K849" s="222" t="s">
        <v>2299</v>
      </c>
      <c r="L849" s="231">
        <f>IF(COUNTIF(tCartera[CUI],"2657953")=0,"Sin PMI",IF(INDEX(tCartera[PMI2026],MATCH("2657953",tCartera[CUI],0))="","No informado",INDEX(tCartera[PMI2026],MATCH("2657953",tCartera[CUI],0))))</f>
        <v>50000</v>
      </c>
      <c r="M849" s="231">
        <f>IF(COUNTIF(tCartera[CUI],"2657953")=0,"Sin PMI",IF(INDEX(tCartera[PMI2027],MATCH("2657953",tCartera[CUI],0))="","No informado",INDEX(tCartera[PMI2027],MATCH("2657953",tCartera[CUI],0))))</f>
        <v>0</v>
      </c>
      <c r="N849" s="231">
        <f>IF(COUNTIF(tCartera[CUI],"2657953")=0,"Sin PMI",IF(INDEX(tCartera[PMI2028],MATCH("2657953",tCartera[CUI],0))="","No informado",INDEX(tCartera[PMI2028],MATCH("2657953",tCartera[CUI],0))))</f>
        <v>0</v>
      </c>
      <c r="O849" s="231">
        <f>IF(COUNTIF(tCartera[CUI],"2657953")=0,"Sin PMI",IF(INDEX(tCartera[PMI2029],MATCH("2657953",tCartera[CUI],0))="","No informado",INDEX(tCartera[PMI2029],MATCH("2657953",tCartera[CUI],0))))</f>
        <v>1000000</v>
      </c>
    </row>
    <row r="850" spans="1:15" hidden="1" x14ac:dyDescent="0.2">
      <c r="A850" s="128"/>
      <c r="B850" s="131"/>
      <c r="C850" s="110" t="s">
        <v>718</v>
      </c>
      <c r="D850" s="112"/>
      <c r="E850" s="112"/>
      <c r="F850" s="112"/>
      <c r="G850" s="112"/>
      <c r="H850" s="112"/>
      <c r="I850" s="55"/>
      <c r="J850" s="222"/>
      <c r="K850" s="222"/>
      <c r="L850" s="231"/>
      <c r="M850" s="231"/>
      <c r="N850" s="231"/>
      <c r="O850" s="231"/>
    </row>
    <row r="851" spans="1:15" hidden="1" x14ac:dyDescent="0.2">
      <c r="A851" s="129"/>
      <c r="B851" s="132"/>
      <c r="C851" s="110" t="s">
        <v>713</v>
      </c>
      <c r="D851" s="112"/>
      <c r="E851" s="112"/>
      <c r="F851" s="112"/>
      <c r="G851" s="112"/>
      <c r="H851" s="112"/>
      <c r="I851" s="55"/>
      <c r="J851" s="222"/>
      <c r="K851" s="222"/>
      <c r="L851" s="231"/>
      <c r="M851" s="231"/>
      <c r="N851" s="231"/>
      <c r="O851" s="231"/>
    </row>
    <row r="852" spans="1:15" ht="51" x14ac:dyDescent="0.2">
      <c r="A852" s="127">
        <f>SUBTOTAL(103,$B$8:B854)</f>
        <v>236</v>
      </c>
      <c r="B852" s="130">
        <v>146</v>
      </c>
      <c r="C852" s="110" t="s">
        <v>476</v>
      </c>
      <c r="D852" s="111">
        <f>IF(COUNTIF(tSIAF[Clave],"2661648|146")=0,"",SUMIF(tSIAF[Clave],"2661648|146",tSIAF[PIM]))</f>
        <v>159651</v>
      </c>
      <c r="E852" s="111">
        <f>IF(COUNTIF(tSIAF[Clave],"2661648|146")=0,"",SUMIF(tSIAF[Clave],"2661648|146",tSIAF[Certificacion]))</f>
        <v>151653</v>
      </c>
      <c r="F852" s="111">
        <f>IF(D852="","",D852-E852)</f>
        <v>7998</v>
      </c>
      <c r="G852" s="111">
        <f>IF(COUNTIF(tSIAF[Clave],"2661648|146")=0,"",SUMIF(tSIAF[Clave],"2661648|146",tSIAF[Devengado]))</f>
        <v>12000</v>
      </c>
      <c r="H852" s="111">
        <f>IF(D852="","",D852-G852)</f>
        <v>147651</v>
      </c>
      <c r="I852" s="55">
        <f>IF(D852="","",IF(D852=0,0,G852/D852))</f>
        <v>7.5163951368923468E-2</v>
      </c>
      <c r="J852" s="222"/>
      <c r="K852" s="222" t="s">
        <v>2299</v>
      </c>
      <c r="L852" s="231">
        <f>IF(COUNTIF(tCartera[CUI],"2661648")=0,"Sin PMI",IF(INDEX(tCartera[PMI2026],MATCH("2661648",tCartera[CUI],0))="","No informado",INDEX(tCartera[PMI2026],MATCH("2661648",tCartera[CUI],0))))</f>
        <v>50000</v>
      </c>
      <c r="M852" s="231">
        <f>IF(COUNTIF(tCartera[CUI],"2661648")=0,"Sin PMI",IF(INDEX(tCartera[PMI2027],MATCH("2661648",tCartera[CUI],0))="","No informado",INDEX(tCartera[PMI2027],MATCH("2661648",tCartera[CUI],0))))</f>
        <v>185425</v>
      </c>
      <c r="N852" s="231">
        <f>IF(COUNTIF(tCartera[CUI],"2661648")=0,"Sin PMI",IF(INDEX(tCartera[PMI2028],MATCH("2661648",tCartera[CUI],0))="","No informado",INDEX(tCartera[PMI2028],MATCH("2661648",tCartera[CUI],0))))</f>
        <v>500000</v>
      </c>
      <c r="O852" s="231">
        <f>IF(COUNTIF(tCartera[CUI],"2661648")=0,"Sin PMI",IF(INDEX(tCartera[PMI2029],MATCH("2661648",tCartera[CUI],0))="","No informado",INDEX(tCartera[PMI2029],MATCH("2661648",tCartera[CUI],0))))</f>
        <v>1077676</v>
      </c>
    </row>
    <row r="853" spans="1:15" hidden="1" x14ac:dyDescent="0.2">
      <c r="A853" s="128"/>
      <c r="B853" s="131"/>
      <c r="C853" s="110" t="s">
        <v>718</v>
      </c>
      <c r="D853" s="112"/>
      <c r="E853" s="112"/>
      <c r="F853" s="112"/>
      <c r="G853" s="112"/>
      <c r="H853" s="112"/>
      <c r="I853" s="55"/>
      <c r="J853" s="222"/>
      <c r="K853" s="222"/>
      <c r="L853" s="231"/>
      <c r="M853" s="231"/>
      <c r="N853" s="231"/>
      <c r="O853" s="231"/>
    </row>
    <row r="854" spans="1:15" hidden="1" x14ac:dyDescent="0.2">
      <c r="A854" s="129"/>
      <c r="B854" s="132"/>
      <c r="C854" s="110" t="s">
        <v>713</v>
      </c>
      <c r="D854" s="112"/>
      <c r="E854" s="112"/>
      <c r="F854" s="112"/>
      <c r="G854" s="112"/>
      <c r="H854" s="112"/>
      <c r="I854" s="55"/>
      <c r="J854" s="222"/>
      <c r="K854" s="222"/>
      <c r="L854" s="231"/>
      <c r="M854" s="231"/>
      <c r="N854" s="231"/>
      <c r="O854" s="231"/>
    </row>
    <row r="855" spans="1:15" ht="63.75" x14ac:dyDescent="0.2">
      <c r="A855" s="127">
        <f>SUBTOTAL(103,$B$8:B857)</f>
        <v>237</v>
      </c>
      <c r="B855" s="130">
        <v>147</v>
      </c>
      <c r="C855" s="110" t="s">
        <v>493</v>
      </c>
      <c r="D855" s="111">
        <f>IF(COUNTIF(tSIAF[Clave],"2661660|147")=0,"",SUMIF(tSIAF[Clave],"2661660|147",tSIAF[PIM]))</f>
        <v>703231</v>
      </c>
      <c r="E855" s="111">
        <f>IF(COUNTIF(tSIAF[Clave],"2661660|147")=0,"",SUMIF(tSIAF[Clave],"2661660|147",tSIAF[Certificacion]))</f>
        <v>681293</v>
      </c>
      <c r="F855" s="111">
        <f>IF(D855="","",D855-E855)</f>
        <v>21938</v>
      </c>
      <c r="G855" s="111">
        <f>IF(COUNTIF(tSIAF[Clave],"2661660|147")=0,"",SUMIF(tSIAF[Clave],"2661660|147",tSIAF[Devengado]))</f>
        <v>575338.63</v>
      </c>
      <c r="H855" s="111">
        <f>IF(D855="","",D855-G855)</f>
        <v>127892.37</v>
      </c>
      <c r="I855" s="55">
        <f>IF(D855="","",IF(D855=0,0,G855/D855))</f>
        <v>0.81813604633470371</v>
      </c>
      <c r="J855" s="222"/>
      <c r="K855" s="222" t="s">
        <v>2299</v>
      </c>
      <c r="L855" s="231">
        <f>IF(COUNTIF(tCartera[CUI],"2661660")=0,"Sin PMI",IF(INDEX(tCartera[PMI2026],MATCH("2661660",tCartera[CUI],0))="","No informado",INDEX(tCartera[PMI2026],MATCH("2661660",tCartera[CUI],0))))</f>
        <v>50000</v>
      </c>
      <c r="M855" s="231">
        <f>IF(COUNTIF(tCartera[CUI],"2661660")=0,"Sin PMI",IF(INDEX(tCartera[PMI2027],MATCH("2661660",tCartera[CUI],0))="","No informado",INDEX(tCartera[PMI2027],MATCH("2661660",tCartera[CUI],0))))</f>
        <v>5548752</v>
      </c>
      <c r="N855" s="231">
        <f>IF(COUNTIF(tCartera[CUI],"2661660")=0,"Sin PMI",IF(INDEX(tCartera[PMI2028],MATCH("2661660",tCartera[CUI],0))="","No informado",INDEX(tCartera[PMI2028],MATCH("2661660",tCartera[CUI],0))))</f>
        <v>0</v>
      </c>
      <c r="O855" s="231">
        <f>IF(COUNTIF(tCartera[CUI],"2661660")=0,"Sin PMI",IF(INDEX(tCartera[PMI2029],MATCH("2661660",tCartera[CUI],0))="","No informado",INDEX(tCartera[PMI2029],MATCH("2661660",tCartera[CUI],0))))</f>
        <v>1000000</v>
      </c>
    </row>
    <row r="856" spans="1:15" hidden="1" x14ac:dyDescent="0.2">
      <c r="A856" s="128"/>
      <c r="B856" s="131"/>
      <c r="C856" s="110" t="s">
        <v>718</v>
      </c>
      <c r="D856" s="112"/>
      <c r="E856" s="112"/>
      <c r="F856" s="112"/>
      <c r="G856" s="112"/>
      <c r="H856" s="112"/>
      <c r="I856" s="55"/>
      <c r="J856" s="222"/>
      <c r="K856" s="222"/>
      <c r="L856" s="231"/>
      <c r="M856" s="231"/>
      <c r="N856" s="231"/>
      <c r="O856" s="231"/>
    </row>
    <row r="857" spans="1:15" hidden="1" x14ac:dyDescent="0.2">
      <c r="A857" s="129"/>
      <c r="B857" s="132"/>
      <c r="C857" s="110" t="s">
        <v>713</v>
      </c>
      <c r="D857" s="112"/>
      <c r="E857" s="112"/>
      <c r="F857" s="112"/>
      <c r="G857" s="112"/>
      <c r="H857" s="112"/>
      <c r="I857" s="55"/>
      <c r="J857" s="222"/>
      <c r="K857" s="222"/>
      <c r="L857" s="231"/>
      <c r="M857" s="231"/>
      <c r="N857" s="231"/>
      <c r="O857" s="231"/>
    </row>
    <row r="858" spans="1:15" ht="76.5" hidden="1" x14ac:dyDescent="0.2">
      <c r="A858" s="127">
        <f>SUBTOTAL(103,$B$8:B860)</f>
        <v>237</v>
      </c>
      <c r="B858" s="130">
        <v>148</v>
      </c>
      <c r="C858" s="110" t="s">
        <v>517</v>
      </c>
      <c r="D858" s="111">
        <f>IF(COUNTIF(tSIAF[Clave],"2666182|148")=0,"",SUMIF(tSIAF[Clave],"2666182|148",tSIAF[PIM]))</f>
        <v>0</v>
      </c>
      <c r="E858" s="111">
        <f>IF(COUNTIF(tSIAF[Clave],"2666182|148")=0,"",SUMIF(tSIAF[Clave],"2666182|148",tSIAF[Certificacion]))</f>
        <v>0</v>
      </c>
      <c r="F858" s="111">
        <f>IF(D858="","",D858-E858)</f>
        <v>0</v>
      </c>
      <c r="G858" s="111">
        <f>IF(COUNTIF(tSIAF[Clave],"2666182|148")=0,"",SUMIF(tSIAF[Clave],"2666182|148",tSIAF[Devengado]))</f>
        <v>0</v>
      </c>
      <c r="H858" s="111">
        <f>IF(D858="","",D858-G858)</f>
        <v>0</v>
      </c>
      <c r="I858" s="55">
        <f>IF(D858="","",IF(D858=0,0,G858/D858))</f>
        <v>0</v>
      </c>
      <c r="J858" s="222"/>
      <c r="K858" s="222" t="s">
        <v>2299</v>
      </c>
      <c r="L858" s="231">
        <f>IF(COUNTIF(tCartera[CUI],"2666182")=0,"Sin PMI",IF(INDEX(tCartera[PMI2026],MATCH("2666182",tCartera[CUI],0))="","No informado",INDEX(tCartera[PMI2026],MATCH("2666182",tCartera[CUI],0))))</f>
        <v>50000</v>
      </c>
      <c r="M858" s="231">
        <f>IF(COUNTIF(tCartera[CUI],"2666182")=0,"Sin PMI",IF(INDEX(tCartera[PMI2027],MATCH("2666182",tCartera[CUI],0))="","No informado",INDEX(tCartera[PMI2027],MATCH("2666182",tCartera[CUI],0))))</f>
        <v>0</v>
      </c>
      <c r="N858" s="231">
        <f>IF(COUNTIF(tCartera[CUI],"2666182")=0,"Sin PMI",IF(INDEX(tCartera[PMI2028],MATCH("2666182",tCartera[CUI],0))="","No informado",INDEX(tCartera[PMI2028],MATCH("2666182",tCartera[CUI],0))))</f>
        <v>0</v>
      </c>
      <c r="O858" s="231">
        <f>IF(COUNTIF(tCartera[CUI],"2666182")=0,"Sin PMI",IF(INDEX(tCartera[PMI2029],MATCH("2666182",tCartera[CUI],0))="","No informado",INDEX(tCartera[PMI2029],MATCH("2666182",tCartera[CUI],0))))</f>
        <v>500000</v>
      </c>
    </row>
    <row r="859" spans="1:15" hidden="1" x14ac:dyDescent="0.2">
      <c r="A859" s="128"/>
      <c r="B859" s="131"/>
      <c r="C859" s="110" t="s">
        <v>718</v>
      </c>
      <c r="D859" s="112"/>
      <c r="E859" s="112"/>
      <c r="F859" s="112"/>
      <c r="G859" s="112"/>
      <c r="H859" s="112"/>
      <c r="I859" s="55"/>
      <c r="J859" s="222"/>
      <c r="K859" s="222"/>
      <c r="L859" s="231"/>
      <c r="M859" s="231"/>
      <c r="N859" s="231"/>
      <c r="O859" s="231"/>
    </row>
    <row r="860" spans="1:15" hidden="1" x14ac:dyDescent="0.2">
      <c r="A860" s="129"/>
      <c r="B860" s="132"/>
      <c r="C860" s="110" t="s">
        <v>713</v>
      </c>
      <c r="D860" s="112"/>
      <c r="E860" s="112"/>
      <c r="F860" s="112"/>
      <c r="G860" s="112"/>
      <c r="H860" s="112"/>
      <c r="I860" s="55"/>
      <c r="J860" s="222"/>
      <c r="K860" s="222"/>
      <c r="L860" s="231"/>
      <c r="M860" s="231"/>
      <c r="N860" s="231"/>
      <c r="O860" s="231"/>
    </row>
    <row r="861" spans="1:15" ht="63.75" x14ac:dyDescent="0.2">
      <c r="A861" s="127">
        <f>SUBTOTAL(103,$B$8:B863)</f>
        <v>238</v>
      </c>
      <c r="B861" s="130">
        <v>149</v>
      </c>
      <c r="C861" s="110" t="s">
        <v>479</v>
      </c>
      <c r="D861" s="111">
        <f>IF(COUNTIF(tSIAF[Clave],"2670620|149")=0,"",SUMIF(tSIAF[Clave],"2670620|149",tSIAF[PIM]))</f>
        <v>275790</v>
      </c>
      <c r="E861" s="111">
        <f>IF(COUNTIF(tSIAF[Clave],"2670620|149")=0,"",SUMIF(tSIAF[Clave],"2670620|149",tSIAF[Certificacion]))</f>
        <v>274001.90000000002</v>
      </c>
      <c r="F861" s="111">
        <f>IF(D861="","",D861-E861)</f>
        <v>1788.0999999999767</v>
      </c>
      <c r="G861" s="111">
        <f>IF(COUNTIF(tSIAF[Clave],"2670620|149")=0,"",SUMIF(tSIAF[Clave],"2670620|149",tSIAF[Devengado]))</f>
        <v>155654.04999999999</v>
      </c>
      <c r="H861" s="111">
        <f>IF(D861="","",D861-G861)</f>
        <v>120135.95000000001</v>
      </c>
      <c r="I861" s="55">
        <f>IF(D861="","",IF(D861=0,0,G861/D861))</f>
        <v>0.56439337902026898</v>
      </c>
      <c r="J861" s="222"/>
      <c r="K861" s="222" t="s">
        <v>2299</v>
      </c>
      <c r="L861" s="231">
        <f>IF(COUNTIF(tCartera[CUI],"2670620")=0,"Sin PMI",IF(INDEX(tCartera[PMI2026],MATCH("2670620",tCartera[CUI],0))="","No informado",INDEX(tCartera[PMI2026],MATCH("2670620",tCartera[CUI],0))))</f>
        <v>50000</v>
      </c>
      <c r="M861" s="231">
        <f>IF(COUNTIF(tCartera[CUI],"2670620")=0,"Sin PMI",IF(INDEX(tCartera[PMI2027],MATCH("2670620",tCartera[CUI],0))="","No informado",INDEX(tCartera[PMI2027],MATCH("2670620",tCartera[CUI],0))))</f>
        <v>357845</v>
      </c>
      <c r="N861" s="231">
        <f>IF(COUNTIF(tCartera[CUI],"2670620")=0,"Sin PMI",IF(INDEX(tCartera[PMI2028],MATCH("2670620",tCartera[CUI],0))="","No informado",INDEX(tCartera[PMI2028],MATCH("2670620",tCartera[CUI],0))))</f>
        <v>0</v>
      </c>
      <c r="O861" s="231">
        <f>IF(COUNTIF(tCartera[CUI],"2670620")=0,"Sin PMI",IF(INDEX(tCartera[PMI2029],MATCH("2670620",tCartera[CUI],0))="","No informado",INDEX(tCartera[PMI2029],MATCH("2670620",tCartera[CUI],0))))</f>
        <v>1000000</v>
      </c>
    </row>
    <row r="862" spans="1:15" hidden="1" x14ac:dyDescent="0.2">
      <c r="A862" s="128"/>
      <c r="B862" s="131"/>
      <c r="C862" s="110" t="s">
        <v>718</v>
      </c>
      <c r="D862" s="112"/>
      <c r="E862" s="112"/>
      <c r="F862" s="112"/>
      <c r="G862" s="112"/>
      <c r="H862" s="112"/>
      <c r="I862" s="55"/>
      <c r="J862" s="222"/>
      <c r="K862" s="222"/>
      <c r="L862" s="231"/>
      <c r="M862" s="231"/>
      <c r="N862" s="231"/>
      <c r="O862" s="231"/>
    </row>
    <row r="863" spans="1:15" hidden="1" x14ac:dyDescent="0.2">
      <c r="A863" s="129"/>
      <c r="B863" s="132"/>
      <c r="C863" s="110" t="s">
        <v>713</v>
      </c>
      <c r="D863" s="112"/>
      <c r="E863" s="112"/>
      <c r="F863" s="112"/>
      <c r="G863" s="112"/>
      <c r="H863" s="112"/>
      <c r="I863" s="55"/>
      <c r="J863" s="222"/>
      <c r="K863" s="222"/>
      <c r="L863" s="231"/>
      <c r="M863" s="231"/>
      <c r="N863" s="231"/>
      <c r="O863" s="231"/>
    </row>
    <row r="864" spans="1:15" ht="63.75" x14ac:dyDescent="0.2">
      <c r="A864" s="127">
        <f>SUBTOTAL(103,$B$8:B866)</f>
        <v>239</v>
      </c>
      <c r="B864" s="130">
        <v>150</v>
      </c>
      <c r="C864" s="110" t="s">
        <v>429</v>
      </c>
      <c r="D864" s="111">
        <f>IF(COUNTIF(tSIAF[Clave],"2673441|150")=0,"",SUMIF(tSIAF[Clave],"2673441|150",tSIAF[PIM]))</f>
        <v>255799</v>
      </c>
      <c r="E864" s="111">
        <f>IF(COUNTIF(tSIAF[Clave],"2673441|150")=0,"",SUMIF(tSIAF[Clave],"2673441|150",tSIAF[Certificacion]))</f>
        <v>195378.5</v>
      </c>
      <c r="F864" s="111">
        <f>IF(D864="","",D864-E864)</f>
        <v>60420.5</v>
      </c>
      <c r="G864" s="111">
        <f>IF(COUNTIF(tSIAF[Clave],"2673441|150")=0,"",SUMIF(tSIAF[Clave],"2673441|150",tSIAF[Devengado]))</f>
        <v>138575.17000000001</v>
      </c>
      <c r="H864" s="111">
        <f>IF(D864="","",D864-G864)</f>
        <v>117223.82999999999</v>
      </c>
      <c r="I864" s="55">
        <f>IF(D864="","",IF(D864=0,0,G864/D864))</f>
        <v>0.5417346041227683</v>
      </c>
      <c r="J864" s="222"/>
      <c r="K864" s="222" t="s">
        <v>2299</v>
      </c>
      <c r="L864" s="231">
        <f>IF(COUNTIF(tCartera[CUI],"2673441")=0,"Sin PMI",IF(INDEX(tCartera[PMI2026],MATCH("2673441",tCartera[CUI],0))="","No informado",INDEX(tCartera[PMI2026],MATCH("2673441",tCartera[CUI],0))))</f>
        <v>800000</v>
      </c>
      <c r="M864" s="231">
        <f>IF(COUNTIF(tCartera[CUI],"2673441")=0,"Sin PMI",IF(INDEX(tCartera[PMI2027],MATCH("2673441",tCartera[CUI],0))="","No informado",INDEX(tCartera[PMI2027],MATCH("2673441",tCartera[CUI],0))))</f>
        <v>285985</v>
      </c>
      <c r="N864" s="231">
        <f>IF(COUNTIF(tCartera[CUI],"2673441")=0,"Sin PMI",IF(INDEX(tCartera[PMI2028],MATCH("2673441",tCartera[CUI],0))="","No informado",INDEX(tCartera[PMI2028],MATCH("2673441",tCartera[CUI],0))))</f>
        <v>0</v>
      </c>
      <c r="O864" s="231">
        <f>IF(COUNTIF(tCartera[CUI],"2673441")=0,"Sin PMI",IF(INDEX(tCartera[PMI2029],MATCH("2673441",tCartera[CUI],0))="","No informado",INDEX(tCartera[PMI2029],MATCH("2673441",tCartera[CUI],0))))</f>
        <v>1000000</v>
      </c>
    </row>
    <row r="865" spans="1:15" hidden="1" x14ac:dyDescent="0.2">
      <c r="A865" s="128"/>
      <c r="B865" s="131"/>
      <c r="C865" s="110" t="s">
        <v>718</v>
      </c>
      <c r="D865" s="112"/>
      <c r="E865" s="112"/>
      <c r="F865" s="112"/>
      <c r="G865" s="112"/>
      <c r="H865" s="112"/>
      <c r="I865" s="55"/>
      <c r="J865" s="222"/>
      <c r="K865" s="222"/>
      <c r="L865" s="231"/>
      <c r="M865" s="231"/>
      <c r="N865" s="231"/>
      <c r="O865" s="231"/>
    </row>
    <row r="866" spans="1:15" hidden="1" x14ac:dyDescent="0.2">
      <c r="A866" s="129"/>
      <c r="B866" s="132"/>
      <c r="C866" s="110" t="s">
        <v>713</v>
      </c>
      <c r="D866" s="112"/>
      <c r="E866" s="112"/>
      <c r="F866" s="112"/>
      <c r="G866" s="112"/>
      <c r="H866" s="112"/>
      <c r="I866" s="55"/>
      <c r="J866" s="222"/>
      <c r="K866" s="222"/>
      <c r="L866" s="231"/>
      <c r="M866" s="231"/>
      <c r="N866" s="231"/>
      <c r="O866" s="231"/>
    </row>
    <row r="867" spans="1:15" ht="51" x14ac:dyDescent="0.2">
      <c r="A867" s="127">
        <f>SUBTOTAL(103,$B$8:B869)</f>
        <v>240</v>
      </c>
      <c r="B867" s="130">
        <v>151</v>
      </c>
      <c r="C867" s="110" t="s">
        <v>492</v>
      </c>
      <c r="D867" s="111">
        <f>IF(COUNTIF(tSIAF[Clave],"2681264|151")=0,"",SUMIF(tSIAF[Clave],"2681264|151",tSIAF[PIM]))</f>
        <v>222962</v>
      </c>
      <c r="E867" s="111">
        <f>IF(COUNTIF(tSIAF[Clave],"2681264|151")=0,"",SUMIF(tSIAF[Clave],"2681264|151",tSIAF[Certificacion]))</f>
        <v>193349.5</v>
      </c>
      <c r="F867" s="111">
        <f>IF(D867="","",D867-E867)</f>
        <v>29612.5</v>
      </c>
      <c r="G867" s="111">
        <f>IF(COUNTIF(tSIAF[Clave],"2681264|151")=0,"",SUMIF(tSIAF[Clave],"2681264|151",tSIAF[Devengado]))</f>
        <v>193266.31</v>
      </c>
      <c r="H867" s="111">
        <f>IF(D867="","",D867-G867)</f>
        <v>29695.690000000002</v>
      </c>
      <c r="I867" s="55">
        <f>IF(D867="","",IF(D867=0,0,G867/D867))</f>
        <v>0.86681277527112244</v>
      </c>
      <c r="J867" s="222"/>
      <c r="K867" s="222" t="s">
        <v>2299</v>
      </c>
      <c r="L867" s="231">
        <f>IF(COUNTIF(tCartera[CUI],"2681264")=0,"Sin PMI",IF(INDEX(tCartera[PMI2026],MATCH("2681264",tCartera[CUI],0))="","No informado",INDEX(tCartera[PMI2026],MATCH("2681264",tCartera[CUI],0))))</f>
        <v>50000</v>
      </c>
      <c r="M867" s="231">
        <f>IF(COUNTIF(tCartera[CUI],"2681264")=0,"Sin PMI",IF(INDEX(tCartera[PMI2027],MATCH("2681264",tCartera[CUI],0))="","No informado",INDEX(tCartera[PMI2027],MATCH("2681264",tCartera[CUI],0))))</f>
        <v>248565</v>
      </c>
      <c r="N867" s="231">
        <f>IF(COUNTIF(tCartera[CUI],"2681264")=0,"Sin PMI",IF(INDEX(tCartera[PMI2028],MATCH("2681264",tCartera[CUI],0))="","No informado",INDEX(tCartera[PMI2028],MATCH("2681264",tCartera[CUI],0))))</f>
        <v>0</v>
      </c>
      <c r="O867" s="231">
        <f>IF(COUNTIF(tCartera[CUI],"2681264")=0,"Sin PMI",IF(INDEX(tCartera[PMI2029],MATCH("2681264",tCartera[CUI],0))="","No informado",INDEX(tCartera[PMI2029],MATCH("2681264",tCartera[CUI],0))))</f>
        <v>500000</v>
      </c>
    </row>
    <row r="868" spans="1:15" hidden="1" x14ac:dyDescent="0.2">
      <c r="A868" s="128"/>
      <c r="B868" s="131"/>
      <c r="C868" s="110" t="s">
        <v>718</v>
      </c>
      <c r="D868" s="112"/>
      <c r="E868" s="112"/>
      <c r="F868" s="112"/>
      <c r="G868" s="112"/>
      <c r="H868" s="112"/>
      <c r="I868" s="55"/>
      <c r="J868" s="222"/>
      <c r="K868" s="222"/>
      <c r="L868" s="231"/>
      <c r="M868" s="231"/>
      <c r="N868" s="231"/>
      <c r="O868" s="231"/>
    </row>
    <row r="869" spans="1:15" hidden="1" x14ac:dyDescent="0.2">
      <c r="A869" s="129"/>
      <c r="B869" s="132"/>
      <c r="C869" s="110" t="s">
        <v>713</v>
      </c>
      <c r="D869" s="112"/>
      <c r="E869" s="112"/>
      <c r="F869" s="112"/>
      <c r="G869" s="112"/>
      <c r="H869" s="112"/>
      <c r="I869" s="55"/>
      <c r="J869" s="222"/>
      <c r="K869" s="222"/>
      <c r="L869" s="231"/>
      <c r="M869" s="231"/>
      <c r="N869" s="231"/>
      <c r="O869" s="231"/>
    </row>
    <row r="870" spans="1:15" ht="25.5" x14ac:dyDescent="0.2">
      <c r="A870" s="127">
        <f>SUBTOTAL(103,$B$8:B872)</f>
        <v>241</v>
      </c>
      <c r="B870" s="130">
        <v>324</v>
      </c>
      <c r="C870" s="110" t="s">
        <v>94</v>
      </c>
      <c r="D870" s="111">
        <f>IF(COUNTIF(tSIAF[Clave],"2131661|324")=0,"",SUMIF(tSIAF[Clave],"2131661|324",tSIAF[PIM]))</f>
        <v>1308901</v>
      </c>
      <c r="E870" s="111">
        <f>IF(COUNTIF(tSIAF[Clave],"2131661|324")=0,"",SUMIF(tSIAF[Clave],"2131661|324",tSIAF[Certificacion]))</f>
        <v>1298673.22</v>
      </c>
      <c r="F870" s="111">
        <f>IF(D870="","",D870-E870)</f>
        <v>10227.780000000028</v>
      </c>
      <c r="G870" s="111">
        <f>IF(COUNTIF(tSIAF[Clave],"2131661|324")=0,"",SUMIF(tSIAF[Clave],"2131661|324",tSIAF[Devengado]))</f>
        <v>8087.22</v>
      </c>
      <c r="H870" s="111">
        <f>IF(D870="","",D870-G870)</f>
        <v>1300813.78</v>
      </c>
      <c r="I870" s="55">
        <f>IF(D870="","",IF(D870=0,0,G870/D870))</f>
        <v>6.1786338309772855E-3</v>
      </c>
      <c r="J870" s="222"/>
      <c r="K870" s="222" t="s">
        <v>2299</v>
      </c>
      <c r="L870" s="231">
        <f>IF(COUNTIF(tCartera[CUI],"2131661")=0,"Sin PMI",IF(INDEX(tCartera[PMI2026],MATCH("2131661",tCartera[CUI],0))="","No informado",INDEX(tCartera[PMI2026],MATCH("2131661",tCartera[CUI],0))))</f>
        <v>4800690</v>
      </c>
      <c r="M870" s="231">
        <f>IF(COUNTIF(tCartera[CUI],"2131661")=0,"Sin PMI",IF(INDEX(tCartera[PMI2027],MATCH("2131661",tCartera[CUI],0))="","No informado",INDEX(tCartera[PMI2027],MATCH("2131661",tCartera[CUI],0))))</f>
        <v>4000000</v>
      </c>
      <c r="N870" s="231">
        <f>IF(COUNTIF(tCartera[CUI],"2131661")=0,"Sin PMI",IF(INDEX(tCartera[PMI2028],MATCH("2131661",tCartera[CUI],0))="","No informado",INDEX(tCartera[PMI2028],MATCH("2131661",tCartera[CUI],0))))</f>
        <v>14883202</v>
      </c>
      <c r="O870" s="231">
        <f>IF(COUNTIF(tCartera[CUI],"2131661")=0,"Sin PMI",IF(INDEX(tCartera[PMI2029],MATCH("2131661",tCartera[CUI],0))="","No informado",INDEX(tCartera[PMI2029],MATCH("2131661",tCartera[CUI],0))))</f>
        <v>19038629</v>
      </c>
    </row>
    <row r="871" spans="1:15" hidden="1" x14ac:dyDescent="0.2">
      <c r="A871" s="128"/>
      <c r="B871" s="131"/>
      <c r="C871" s="110" t="s">
        <v>718</v>
      </c>
      <c r="D871" s="112"/>
      <c r="E871" s="112"/>
      <c r="F871" s="112"/>
      <c r="G871" s="112"/>
      <c r="H871" s="112"/>
      <c r="I871" s="55"/>
      <c r="J871" s="222"/>
      <c r="K871" s="222"/>
      <c r="L871" s="231"/>
      <c r="M871" s="231"/>
      <c r="N871" s="231"/>
      <c r="O871" s="231"/>
    </row>
    <row r="872" spans="1:15" hidden="1" x14ac:dyDescent="0.2">
      <c r="A872" s="129"/>
      <c r="B872" s="132"/>
      <c r="C872" s="110" t="s">
        <v>713</v>
      </c>
      <c r="D872" s="112"/>
      <c r="E872" s="112"/>
      <c r="F872" s="112"/>
      <c r="G872" s="112"/>
      <c r="H872" s="112"/>
      <c r="I872" s="55"/>
      <c r="J872" s="222"/>
      <c r="K872" s="222"/>
      <c r="L872" s="231"/>
      <c r="M872" s="231"/>
      <c r="N872" s="231"/>
      <c r="O872" s="231"/>
    </row>
    <row r="873" spans="1:15" ht="16.5" x14ac:dyDescent="0.2">
      <c r="A873" s="126" t="s">
        <v>618</v>
      </c>
      <c r="B873" s="126"/>
      <c r="C873" s="126"/>
      <c r="D873" s="50">
        <f>D874+D877+D880+D883</f>
        <v>493524</v>
      </c>
      <c r="E873" s="50">
        <f>E874+E877+E880+E883</f>
        <v>220000</v>
      </c>
      <c r="F873" s="50">
        <f>D873-E873</f>
        <v>273524</v>
      </c>
      <c r="G873" s="50">
        <f>G874+G877+G880+G883</f>
        <v>187967.16</v>
      </c>
      <c r="H873" s="50">
        <f>D873-G873</f>
        <v>305556.83999999997</v>
      </c>
      <c r="I873" s="51">
        <f>IF(D873=0,0,G873/D873)</f>
        <v>0.3808673134437231</v>
      </c>
      <c r="J873" s="221"/>
      <c r="K873" s="221"/>
      <c r="L873" s="230"/>
      <c r="M873" s="230"/>
      <c r="N873" s="230"/>
      <c r="O873" s="230"/>
    </row>
    <row r="874" spans="1:15" ht="51" x14ac:dyDescent="0.2">
      <c r="A874" s="127">
        <f>SUBTOTAL(103,$B$8:B876)</f>
        <v>242</v>
      </c>
      <c r="B874" s="130">
        <v>68</v>
      </c>
      <c r="C874" s="110" t="s">
        <v>293</v>
      </c>
      <c r="D874" s="111">
        <f>IF(COUNTIF(tSIAF[Clave],"2645444|68")=0,"",SUMIF(tSIAF[Clave],"2645444|68",tSIAF[PIM]))</f>
        <v>48882</v>
      </c>
      <c r="E874" s="111">
        <f>IF(COUNTIF(tSIAF[Clave],"2645444|68")=0,"",SUMIF(tSIAF[Clave],"2645444|68",tSIAF[Certificacion]))</f>
        <v>30000</v>
      </c>
      <c r="F874" s="111">
        <f>IF(D874="","",D874-E874)</f>
        <v>18882</v>
      </c>
      <c r="G874" s="111">
        <f>IF(COUNTIF(tSIAF[Clave],"2645444|68")=0,"",SUMIF(tSIAF[Clave],"2645444|68",tSIAF[Devengado]))</f>
        <v>0</v>
      </c>
      <c r="H874" s="111">
        <f>IF(D874="","",D874-G874)</f>
        <v>48882</v>
      </c>
      <c r="I874" s="55">
        <f>IF(D874="","",IF(D874=0,0,G874/D874))</f>
        <v>0</v>
      </c>
      <c r="J874" s="222"/>
      <c r="K874" s="222" t="s">
        <v>2299</v>
      </c>
      <c r="L874" s="231">
        <f>IF(COUNTIF(tCartera[CUI],"2645444")=0,"Sin PMI",IF(INDEX(tCartera[PMI2026],MATCH("2645444",tCartera[CUI],0))="","No informado",INDEX(tCartera[PMI2026],MATCH("2645444",tCartera[CUI],0))))</f>
        <v>1515300</v>
      </c>
      <c r="M874" s="231">
        <f>IF(COUNTIF(tCartera[CUI],"2645444")=0,"Sin PMI",IF(INDEX(tCartera[PMI2027],MATCH("2645444",tCartera[CUI],0))="","No informado",INDEX(tCartera[PMI2027],MATCH("2645444",tCartera[CUI],0))))</f>
        <v>2254875</v>
      </c>
      <c r="N874" s="231">
        <f>IF(COUNTIF(tCartera[CUI],"2645444")=0,"Sin PMI",IF(INDEX(tCartera[PMI2028],MATCH("2645444",tCartera[CUI],0))="","No informado",INDEX(tCartera[PMI2028],MATCH("2645444",tCartera[CUI],0))))</f>
        <v>0</v>
      </c>
      <c r="O874" s="231">
        <f>IF(COUNTIF(tCartera[CUI],"2645444")=0,"Sin PMI",IF(INDEX(tCartera[PMI2029],MATCH("2645444",tCartera[CUI],0))="","No informado",INDEX(tCartera[PMI2029],MATCH("2645444",tCartera[CUI],0))))</f>
        <v>541142</v>
      </c>
    </row>
    <row r="875" spans="1:15" hidden="1" x14ac:dyDescent="0.2">
      <c r="A875" s="128"/>
      <c r="B875" s="131"/>
      <c r="C875" s="110" t="s">
        <v>719</v>
      </c>
      <c r="D875" s="112"/>
      <c r="E875" s="112"/>
      <c r="F875" s="112"/>
      <c r="G875" s="112"/>
      <c r="H875" s="112"/>
      <c r="I875" s="55"/>
      <c r="J875" s="222"/>
      <c r="K875" s="222"/>
      <c r="L875" s="231"/>
      <c r="M875" s="231"/>
      <c r="N875" s="231"/>
      <c r="O875" s="231"/>
    </row>
    <row r="876" spans="1:15" hidden="1" x14ac:dyDescent="0.2">
      <c r="A876" s="129"/>
      <c r="B876" s="132"/>
      <c r="C876" s="110" t="s">
        <v>713</v>
      </c>
      <c r="D876" s="112"/>
      <c r="E876" s="112"/>
      <c r="F876" s="112"/>
      <c r="G876" s="112"/>
      <c r="H876" s="112"/>
      <c r="I876" s="55"/>
      <c r="J876" s="222"/>
      <c r="K876" s="222"/>
      <c r="L876" s="231"/>
      <c r="M876" s="231"/>
      <c r="N876" s="231"/>
      <c r="O876" s="231"/>
    </row>
    <row r="877" spans="1:15" ht="63.75" x14ac:dyDescent="0.2">
      <c r="A877" s="127">
        <f>SUBTOTAL(103,$B$8:B879)</f>
        <v>243</v>
      </c>
      <c r="B877" s="130">
        <v>70</v>
      </c>
      <c r="C877" s="110" t="s">
        <v>290</v>
      </c>
      <c r="D877" s="111">
        <f>IF(COUNTIF(tSIAF[Clave],"2646095|70")=0,"",SUMIF(tSIAF[Clave],"2646095|70",tSIAF[PIM]))</f>
        <v>25425</v>
      </c>
      <c r="E877" s="111">
        <f>IF(COUNTIF(tSIAF[Clave],"2646095|70")=0,"",SUMIF(tSIAF[Clave],"2646095|70",tSIAF[Certificacion]))</f>
        <v>0</v>
      </c>
      <c r="F877" s="111">
        <f>IF(D877="","",D877-E877)</f>
        <v>25425</v>
      </c>
      <c r="G877" s="111">
        <f>IF(COUNTIF(tSIAF[Clave],"2646095|70")=0,"",SUMIF(tSIAF[Clave],"2646095|70",tSIAF[Devengado]))</f>
        <v>0</v>
      </c>
      <c r="H877" s="111">
        <f>IF(D877="","",D877-G877)</f>
        <v>25425</v>
      </c>
      <c r="I877" s="55">
        <f>IF(D877="","",IF(D877=0,0,G877/D877))</f>
        <v>0</v>
      </c>
      <c r="J877" s="222"/>
      <c r="K877" s="222" t="s">
        <v>2299</v>
      </c>
      <c r="L877" s="231">
        <f>IF(COUNTIF(tCartera[CUI],"2646095")=0,"Sin PMI",IF(INDEX(tCartera[PMI2026],MATCH("2646095",tCartera[CUI],0))="","No informado",INDEX(tCartera[PMI2026],MATCH("2646095",tCartera[CUI],0))))</f>
        <v>1893433</v>
      </c>
      <c r="M877" s="231">
        <f>IF(COUNTIF(tCartera[CUI],"2646095")=0,"Sin PMI",IF(INDEX(tCartera[PMI2027],MATCH("2646095",tCartera[CUI],0))="","No informado",INDEX(tCartera[PMI2027],MATCH("2646095",tCartera[CUI],0))))</f>
        <v>354254</v>
      </c>
      <c r="N877" s="231">
        <f>IF(COUNTIF(tCartera[CUI],"2646095")=0,"Sin PMI",IF(INDEX(tCartera[PMI2028],MATCH("2646095",tCartera[CUI],0))="","No informado",INDEX(tCartera[PMI2028],MATCH("2646095",tCartera[CUI],0))))</f>
        <v>0</v>
      </c>
      <c r="O877" s="231">
        <f>IF(COUNTIF(tCartera[CUI],"2646095")=0,"Sin PMI",IF(INDEX(tCartera[PMI2029],MATCH("2646095",tCartera[CUI],0))="","No informado",INDEX(tCartera[PMI2029],MATCH("2646095",tCartera[CUI],0))))</f>
        <v>3069242</v>
      </c>
    </row>
    <row r="878" spans="1:15" hidden="1" x14ac:dyDescent="0.2">
      <c r="A878" s="128"/>
      <c r="B878" s="131"/>
      <c r="C878" s="110" t="s">
        <v>719</v>
      </c>
      <c r="D878" s="112"/>
      <c r="E878" s="112"/>
      <c r="F878" s="112"/>
      <c r="G878" s="112"/>
      <c r="H878" s="112"/>
      <c r="I878" s="55"/>
      <c r="J878" s="222"/>
      <c r="K878" s="222"/>
      <c r="L878" s="231"/>
      <c r="M878" s="231"/>
      <c r="N878" s="231"/>
      <c r="O878" s="231"/>
    </row>
    <row r="879" spans="1:15" hidden="1" x14ac:dyDescent="0.2">
      <c r="A879" s="129"/>
      <c r="B879" s="132"/>
      <c r="C879" s="110" t="s">
        <v>713</v>
      </c>
      <c r="D879" s="112"/>
      <c r="E879" s="112"/>
      <c r="F879" s="112"/>
      <c r="G879" s="112"/>
      <c r="H879" s="112"/>
      <c r="I879" s="55"/>
      <c r="J879" s="222"/>
      <c r="K879" s="222"/>
      <c r="L879" s="231"/>
      <c r="M879" s="231"/>
      <c r="N879" s="231"/>
      <c r="O879" s="231"/>
    </row>
    <row r="880" spans="1:15" ht="38.25" x14ac:dyDescent="0.2">
      <c r="A880" s="127">
        <f>SUBTOTAL(103,$B$8:B882)</f>
        <v>244</v>
      </c>
      <c r="B880" s="130">
        <v>74</v>
      </c>
      <c r="C880" s="110" t="s">
        <v>474</v>
      </c>
      <c r="D880" s="111">
        <f>IF(COUNTIF(tSIAF[Clave],"2669946|74")=0,"",SUMIF(tSIAF[Clave],"2669946|74",tSIAF[PIM]))</f>
        <v>50000</v>
      </c>
      <c r="E880" s="111">
        <f>IF(COUNTIF(tSIAF[Clave],"2669946|74")=0,"",SUMIF(tSIAF[Clave],"2669946|74",tSIAF[Certificacion]))</f>
        <v>50000</v>
      </c>
      <c r="F880" s="111">
        <f>IF(D880="","",D880-E880)</f>
        <v>0</v>
      </c>
      <c r="G880" s="111">
        <f>IF(COUNTIF(tSIAF[Clave],"2669946|74")=0,"",SUMIF(tSIAF[Clave],"2669946|74",tSIAF[Devengado]))</f>
        <v>47967.16</v>
      </c>
      <c r="H880" s="111">
        <f>IF(D880="","",D880-G880)</f>
        <v>2032.8399999999965</v>
      </c>
      <c r="I880" s="55">
        <f>IF(D880="","",IF(D880=0,0,G880/D880))</f>
        <v>0.95934320000000006</v>
      </c>
      <c r="J880" s="222"/>
      <c r="K880" s="222" t="s">
        <v>2299</v>
      </c>
      <c r="L880" s="231">
        <f>IF(COUNTIF(tCartera[CUI],"2669946")=0,"Sin PMI",IF(INDEX(tCartera[PMI2026],MATCH("2669946",tCartera[CUI],0))="","No informado",INDEX(tCartera[PMI2026],MATCH("2669946",tCartera[CUI],0))))</f>
        <v>50000</v>
      </c>
      <c r="M880" s="231">
        <f>IF(COUNTIF(tCartera[CUI],"2669946")=0,"Sin PMI",IF(INDEX(tCartera[PMI2027],MATCH("2669946",tCartera[CUI],0))="","No informado",INDEX(tCartera[PMI2027],MATCH("2669946",tCartera[CUI],0))))</f>
        <v>254857</v>
      </c>
      <c r="N880" s="231">
        <f>IF(COUNTIF(tCartera[CUI],"2669946")=0,"Sin PMI",IF(INDEX(tCartera[PMI2028],MATCH("2669946",tCartera[CUI],0))="","No informado",INDEX(tCartera[PMI2028],MATCH("2669946",tCartera[CUI],0))))</f>
        <v>0</v>
      </c>
      <c r="O880" s="231">
        <f>IF(COUNTIF(tCartera[CUI],"2669946")=0,"Sin PMI",IF(INDEX(tCartera[PMI2029],MATCH("2669946",tCartera[CUI],0))="","No informado",INDEX(tCartera[PMI2029],MATCH("2669946",tCartera[CUI],0))))</f>
        <v>1000000</v>
      </c>
    </row>
    <row r="881" spans="1:15" hidden="1" x14ac:dyDescent="0.2">
      <c r="A881" s="128"/>
      <c r="B881" s="131"/>
      <c r="C881" s="110" t="s">
        <v>719</v>
      </c>
      <c r="D881" s="112"/>
      <c r="E881" s="112"/>
      <c r="F881" s="112"/>
      <c r="G881" s="112"/>
      <c r="H881" s="112"/>
      <c r="I881" s="55"/>
      <c r="J881" s="222"/>
      <c r="K881" s="222"/>
      <c r="L881" s="231"/>
      <c r="M881" s="231"/>
      <c r="N881" s="231"/>
      <c r="O881" s="231"/>
    </row>
    <row r="882" spans="1:15" hidden="1" x14ac:dyDescent="0.2">
      <c r="A882" s="129"/>
      <c r="B882" s="132"/>
      <c r="C882" s="110" t="s">
        <v>713</v>
      </c>
      <c r="D882" s="112"/>
      <c r="E882" s="112"/>
      <c r="F882" s="112"/>
      <c r="G882" s="112"/>
      <c r="H882" s="112"/>
      <c r="I882" s="55"/>
      <c r="J882" s="222"/>
      <c r="K882" s="222"/>
      <c r="L882" s="231"/>
      <c r="M882" s="231"/>
      <c r="N882" s="231"/>
      <c r="O882" s="231"/>
    </row>
    <row r="883" spans="1:15" ht="38.25" x14ac:dyDescent="0.2">
      <c r="A883" s="127">
        <f>SUBTOTAL(103,$B$8:B885)</f>
        <v>245</v>
      </c>
      <c r="B883" s="130">
        <v>246</v>
      </c>
      <c r="C883" s="110" t="s">
        <v>268</v>
      </c>
      <c r="D883" s="111">
        <f>IF(COUNTIF(tSIAF[Clave],"2527207|246")=0,"",SUMIF(tSIAF[Clave],"2527207|246",tSIAF[PIM]))</f>
        <v>369217</v>
      </c>
      <c r="E883" s="111">
        <f>IF(COUNTIF(tSIAF[Clave],"2527207|246")=0,"",SUMIF(tSIAF[Clave],"2527207|246",tSIAF[Certificacion]))</f>
        <v>140000</v>
      </c>
      <c r="F883" s="111">
        <f>IF(D883="","",D883-E883)</f>
        <v>229217</v>
      </c>
      <c r="G883" s="111">
        <f>IF(COUNTIF(tSIAF[Clave],"2527207|246")=0,"",SUMIF(tSIAF[Clave],"2527207|246",tSIAF[Devengado]))</f>
        <v>140000</v>
      </c>
      <c r="H883" s="111">
        <f>IF(D883="","",D883-G883)</f>
        <v>229217</v>
      </c>
      <c r="I883" s="55">
        <f>IF(D883="","",IF(D883=0,0,G883/D883))</f>
        <v>0.37918080695092587</v>
      </c>
      <c r="J883" s="222"/>
      <c r="K883" s="222" t="s">
        <v>2299</v>
      </c>
      <c r="L883" s="231" t="str">
        <f>IF(COUNTIF(tCartera[CUI],"2527207")=0,"Sin PMI",IF(INDEX(tCartera[PMI2026],MATCH("2527207",tCartera[CUI],0))="","No informado",INDEX(tCartera[PMI2026],MATCH("2527207",tCartera[CUI],0))))</f>
        <v>Sin PMI</v>
      </c>
      <c r="M883" s="231" t="str">
        <f>IF(COUNTIF(tCartera[CUI],"2527207")=0,"Sin PMI",IF(INDEX(tCartera[PMI2027],MATCH("2527207",tCartera[CUI],0))="","No informado",INDEX(tCartera[PMI2027],MATCH("2527207",tCartera[CUI],0))))</f>
        <v>Sin PMI</v>
      </c>
      <c r="N883" s="231" t="str">
        <f>IF(COUNTIF(tCartera[CUI],"2527207")=0,"Sin PMI",IF(INDEX(tCartera[PMI2028],MATCH("2527207",tCartera[CUI],0))="","No informado",INDEX(tCartera[PMI2028],MATCH("2527207",tCartera[CUI],0))))</f>
        <v>Sin PMI</v>
      </c>
      <c r="O883" s="231" t="str">
        <f>IF(COUNTIF(tCartera[CUI],"2527207")=0,"Sin PMI",IF(INDEX(tCartera[PMI2029],MATCH("2527207",tCartera[CUI],0))="","No informado",INDEX(tCartera[PMI2029],MATCH("2527207",tCartera[CUI],0))))</f>
        <v>Sin PMI</v>
      </c>
    </row>
    <row r="884" spans="1:15" hidden="1" x14ac:dyDescent="0.2">
      <c r="A884" s="128"/>
      <c r="B884" s="131"/>
      <c r="C884" s="110" t="s">
        <v>718</v>
      </c>
      <c r="D884" s="112"/>
      <c r="E884" s="112"/>
      <c r="F884" s="112"/>
      <c r="G884" s="112"/>
      <c r="H884" s="112"/>
      <c r="I884" s="55"/>
      <c r="J884" s="222"/>
      <c r="K884" s="222"/>
      <c r="L884" s="231"/>
      <c r="M884" s="231"/>
      <c r="N884" s="231"/>
      <c r="O884" s="231"/>
    </row>
    <row r="885" spans="1:15" hidden="1" x14ac:dyDescent="0.2">
      <c r="A885" s="129"/>
      <c r="B885" s="132"/>
      <c r="C885" s="110" t="s">
        <v>713</v>
      </c>
      <c r="D885" s="112"/>
      <c r="E885" s="112"/>
      <c r="F885" s="112"/>
      <c r="G885" s="112"/>
      <c r="H885" s="112"/>
      <c r="I885" s="55"/>
      <c r="J885" s="222"/>
      <c r="K885" s="222"/>
      <c r="L885" s="231"/>
      <c r="M885" s="231"/>
      <c r="N885" s="231"/>
      <c r="O885" s="231"/>
    </row>
    <row r="886" spans="1:15" ht="16.5" x14ac:dyDescent="0.2">
      <c r="A886" s="150" t="s">
        <v>612</v>
      </c>
      <c r="B886" s="150"/>
      <c r="C886" s="150"/>
      <c r="D886" s="50">
        <f>D887+D889+D891</f>
        <v>1376515</v>
      </c>
      <c r="E886" s="50">
        <f>E887+E889+E891</f>
        <v>0</v>
      </c>
      <c r="F886" s="50">
        <f>D886-E886</f>
        <v>1376515</v>
      </c>
      <c r="G886" s="50">
        <f>G887+G889+G891</f>
        <v>0</v>
      </c>
      <c r="H886" s="50">
        <f>D886-G886</f>
        <v>1376515</v>
      </c>
      <c r="I886" s="51">
        <f>IF(D886=0,0,G886/D886)</f>
        <v>0</v>
      </c>
      <c r="J886" s="221"/>
      <c r="K886" s="221"/>
      <c r="L886" s="230"/>
      <c r="M886" s="230"/>
      <c r="N886" s="230"/>
      <c r="O886" s="230"/>
    </row>
    <row r="887" spans="1:15" ht="51" hidden="1" x14ac:dyDescent="0.2">
      <c r="A887" s="127">
        <f>SUBTOTAL(103,$B$8:B888)</f>
        <v>245</v>
      </c>
      <c r="B887" s="130">
        <v>231</v>
      </c>
      <c r="C887" s="110" t="s">
        <v>112</v>
      </c>
      <c r="D887" s="111">
        <f>IF(COUNTIF(tSIAF[Clave],"2393101|231")=0,"",SUMIF(tSIAF[Clave],"2393101|231",tSIAF[PIM]))</f>
        <v>0</v>
      </c>
      <c r="E887" s="111">
        <f>IF(COUNTIF(tSIAF[Clave],"2393101|231")=0,"",SUMIF(tSIAF[Clave],"2393101|231",tSIAF[Certificacion]))</f>
        <v>0</v>
      </c>
      <c r="F887" s="111">
        <f>IF(D887="","",D887-E887)</f>
        <v>0</v>
      </c>
      <c r="G887" s="111">
        <f>IF(COUNTIF(tSIAF[Clave],"2393101|231")=0,"",SUMIF(tSIAF[Clave],"2393101|231",tSIAF[Devengado]))</f>
        <v>0</v>
      </c>
      <c r="H887" s="111">
        <f>IF(D887="","",D887-G887)</f>
        <v>0</v>
      </c>
      <c r="I887" s="55">
        <f>IF(D887="","",IF(D887=0,0,G887/D887))</f>
        <v>0</v>
      </c>
      <c r="J887" s="222"/>
      <c r="K887" s="222" t="s">
        <v>2299</v>
      </c>
      <c r="L887" s="231">
        <f>IF(COUNTIF(tCartera[CUI],"2393101")=0,"Sin PMI",IF(INDEX(tCartera[PMI2026],MATCH("2393101",tCartera[CUI],0))="","No informado",INDEX(tCartera[PMI2026],MATCH("2393101",tCartera[CUI],0))))</f>
        <v>154969</v>
      </c>
      <c r="M887" s="231">
        <f>IF(COUNTIF(tCartera[CUI],"2393101")=0,"Sin PMI",IF(INDEX(tCartera[PMI2027],MATCH("2393101",tCartera[CUI],0))="","No informado",INDEX(tCartera[PMI2027],MATCH("2393101",tCartera[CUI],0))))</f>
        <v>0</v>
      </c>
      <c r="N887" s="231">
        <f>IF(COUNTIF(tCartera[CUI],"2393101")=0,"Sin PMI",IF(INDEX(tCartera[PMI2028],MATCH("2393101",tCartera[CUI],0))="","No informado",INDEX(tCartera[PMI2028],MATCH("2393101",tCartera[CUI],0))))</f>
        <v>0</v>
      </c>
      <c r="O887" s="231">
        <f>IF(COUNTIF(tCartera[CUI],"2393101")=0,"Sin PMI",IF(INDEX(tCartera[PMI2029],MATCH("2393101",tCartera[CUI],0))="","No informado",INDEX(tCartera[PMI2029],MATCH("2393101",tCartera[CUI],0))))</f>
        <v>0</v>
      </c>
    </row>
    <row r="888" spans="1:15" hidden="1" x14ac:dyDescent="0.2">
      <c r="A888" s="129"/>
      <c r="B888" s="132"/>
      <c r="C888" s="110" t="s">
        <v>722</v>
      </c>
      <c r="D888" s="112"/>
      <c r="E888" s="112"/>
      <c r="F888" s="112"/>
      <c r="G888" s="112"/>
      <c r="H888" s="112"/>
      <c r="I888" s="55"/>
      <c r="J888" s="222"/>
      <c r="K888" s="222"/>
      <c r="L888" s="231"/>
      <c r="M888" s="231"/>
      <c r="N888" s="231"/>
      <c r="O888" s="231"/>
    </row>
    <row r="889" spans="1:15" ht="38.25" hidden="1" x14ac:dyDescent="0.2">
      <c r="A889" s="127">
        <f>SUBTOTAL(103,$B$8:B890)</f>
        <v>245</v>
      </c>
      <c r="B889" s="130">
        <v>232</v>
      </c>
      <c r="C889" s="110" t="s">
        <v>134</v>
      </c>
      <c r="D889" s="111">
        <f>IF(COUNTIF(tSIAF[Clave],"2411317|232")=0,"",SUMIF(tSIAF[Clave],"2411317|232",tSIAF[PIM]))</f>
        <v>0</v>
      </c>
      <c r="E889" s="111">
        <f>IF(COUNTIF(tSIAF[Clave],"2411317|232")=0,"",SUMIF(tSIAF[Clave],"2411317|232",tSIAF[Certificacion]))</f>
        <v>0</v>
      </c>
      <c r="F889" s="111">
        <f>IF(D889="","",D889-E889)</f>
        <v>0</v>
      </c>
      <c r="G889" s="111">
        <f>IF(COUNTIF(tSIAF[Clave],"2411317|232")=0,"",SUMIF(tSIAF[Clave],"2411317|232",tSIAF[Devengado]))</f>
        <v>0</v>
      </c>
      <c r="H889" s="111">
        <f>IF(D889="","",D889-G889)</f>
        <v>0</v>
      </c>
      <c r="I889" s="55">
        <f>IF(D889="","",IF(D889=0,0,G889/D889))</f>
        <v>0</v>
      </c>
      <c r="J889" s="222"/>
      <c r="K889" s="222" t="s">
        <v>2299</v>
      </c>
      <c r="L889" s="231">
        <f>IF(COUNTIF(tCartera[CUI],"2411317")=0,"Sin PMI",IF(INDEX(tCartera[PMI2026],MATCH("2411317",tCartera[CUI],0))="","No informado",INDEX(tCartera[PMI2026],MATCH("2411317",tCartera[CUI],0))))</f>
        <v>10763553</v>
      </c>
      <c r="M889" s="231">
        <f>IF(COUNTIF(tCartera[CUI],"2411317")=0,"Sin PMI",IF(INDEX(tCartera[PMI2027],MATCH("2411317",tCartera[CUI],0))="","No informado",INDEX(tCartera[PMI2027],MATCH("2411317",tCartera[CUI],0))))</f>
        <v>0</v>
      </c>
      <c r="N889" s="231">
        <f>IF(COUNTIF(tCartera[CUI],"2411317")=0,"Sin PMI",IF(INDEX(tCartera[PMI2028],MATCH("2411317",tCartera[CUI],0))="","No informado",INDEX(tCartera[PMI2028],MATCH("2411317",tCartera[CUI],0))))</f>
        <v>0</v>
      </c>
      <c r="O889" s="231">
        <f>IF(COUNTIF(tCartera[CUI],"2411317")=0,"Sin PMI",IF(INDEX(tCartera[PMI2029],MATCH("2411317",tCartera[CUI],0))="","No informado",INDEX(tCartera[PMI2029],MATCH("2411317",tCartera[CUI],0))))</f>
        <v>0</v>
      </c>
    </row>
    <row r="890" spans="1:15" hidden="1" x14ac:dyDescent="0.2">
      <c r="A890" s="129"/>
      <c r="B890" s="132"/>
      <c r="C890" s="110" t="s">
        <v>722</v>
      </c>
      <c r="D890" s="112"/>
      <c r="E890" s="112"/>
      <c r="F890" s="112"/>
      <c r="G890" s="112"/>
      <c r="H890" s="112"/>
      <c r="I890" s="55"/>
      <c r="J890" s="222"/>
      <c r="K890" s="222"/>
      <c r="L890" s="231"/>
      <c r="M890" s="231"/>
      <c r="N890" s="231"/>
      <c r="O890" s="231"/>
    </row>
    <row r="891" spans="1:15" x14ac:dyDescent="0.2">
      <c r="A891" s="127">
        <f>SUBTOTAL(103,$B$8:B892)</f>
        <v>246</v>
      </c>
      <c r="B891" s="130">
        <v>507</v>
      </c>
      <c r="C891" s="110" t="s">
        <v>672</v>
      </c>
      <c r="D891" s="111">
        <f>IF(COUNTIF(tSIAF[Clave],"2658446|507")=0,"",SUMIF(tSIAF[Clave],"2658446|507",tSIAF[PIM]))</f>
        <v>1376515</v>
      </c>
      <c r="E891" s="111">
        <f>IF(COUNTIF(tSIAF[Clave],"2658446|507")=0,"",SUMIF(tSIAF[Clave],"2658446|507",tSIAF[Certificacion]))</f>
        <v>0</v>
      </c>
      <c r="F891" s="111">
        <f>IF(D891="","",D891-E891)</f>
        <v>1376515</v>
      </c>
      <c r="G891" s="111">
        <f>IF(COUNTIF(tSIAF[Clave],"2658446|507")=0,"",SUMIF(tSIAF[Clave],"2658446|507",tSIAF[Devengado]))</f>
        <v>0</v>
      </c>
      <c r="H891" s="111">
        <f>IF(D891="","",D891-G891)</f>
        <v>1376515</v>
      </c>
      <c r="I891" s="55">
        <f>IF(D891="","",IF(D891=0,0,G891/D891))</f>
        <v>0</v>
      </c>
      <c r="J891" s="222"/>
      <c r="K891" s="222" t="s">
        <v>2299</v>
      </c>
      <c r="L891" s="231" t="str">
        <f>IF(COUNTIF(tCartera[CUI],"2658446")=0,"Sin PMI",IF(INDEX(tCartera[PMI2026],MATCH("2658446",tCartera[CUI],0))="","No informado",INDEX(tCartera[PMI2026],MATCH("2658446",tCartera[CUI],0))))</f>
        <v>Sin PMI</v>
      </c>
      <c r="M891" s="231" t="str">
        <f>IF(COUNTIF(tCartera[CUI],"2658446")=0,"Sin PMI",IF(INDEX(tCartera[PMI2027],MATCH("2658446",tCartera[CUI],0))="","No informado",INDEX(tCartera[PMI2027],MATCH("2658446",tCartera[CUI],0))))</f>
        <v>Sin PMI</v>
      </c>
      <c r="N891" s="231" t="str">
        <f>IF(COUNTIF(tCartera[CUI],"2658446")=0,"Sin PMI",IF(INDEX(tCartera[PMI2028],MATCH("2658446",tCartera[CUI],0))="","No informado",INDEX(tCartera[PMI2028],MATCH("2658446",tCartera[CUI],0))))</f>
        <v>Sin PMI</v>
      </c>
      <c r="O891" s="231" t="str">
        <f>IF(COUNTIF(tCartera[CUI],"2658446")=0,"Sin PMI",IF(INDEX(tCartera[PMI2029],MATCH("2658446",tCartera[CUI],0))="","No informado",INDEX(tCartera[PMI2029],MATCH("2658446",tCartera[CUI],0))))</f>
        <v>Sin PMI</v>
      </c>
    </row>
    <row r="892" spans="1:15" hidden="1" x14ac:dyDescent="0.2">
      <c r="A892" s="129"/>
      <c r="B892" s="132"/>
      <c r="C892" s="110" t="s">
        <v>719</v>
      </c>
      <c r="D892" s="112"/>
      <c r="E892" s="112"/>
      <c r="F892" s="112"/>
      <c r="G892" s="112"/>
      <c r="H892" s="112"/>
      <c r="I892" s="55"/>
      <c r="J892" s="222"/>
      <c r="K892" s="222"/>
      <c r="L892" s="231"/>
      <c r="M892" s="231"/>
      <c r="N892" s="231"/>
      <c r="O892" s="231"/>
    </row>
    <row r="893" spans="1:15" ht="16.5" x14ac:dyDescent="0.2">
      <c r="A893" s="126" t="s">
        <v>615</v>
      </c>
      <c r="B893" s="126"/>
      <c r="C893" s="126"/>
      <c r="D893" s="50">
        <f>D894</f>
        <v>46429</v>
      </c>
      <c r="E893" s="50">
        <f>E894</f>
        <v>0</v>
      </c>
      <c r="F893" s="50">
        <f>D893-E893</f>
        <v>46429</v>
      </c>
      <c r="G893" s="50">
        <f>G894</f>
        <v>0</v>
      </c>
      <c r="H893" s="50">
        <f>D893-G893</f>
        <v>46429</v>
      </c>
      <c r="I893" s="51">
        <f>IF(D893=0,0,G893/D893)</f>
        <v>0</v>
      </c>
      <c r="J893" s="221"/>
      <c r="K893" s="221"/>
      <c r="L893" s="230"/>
      <c r="M893" s="230"/>
      <c r="N893" s="230"/>
      <c r="O893" s="230"/>
    </row>
    <row r="894" spans="1:15" ht="25.5" x14ac:dyDescent="0.2">
      <c r="A894" s="127">
        <f>SUBTOTAL(103,$B$8:B895)</f>
        <v>247</v>
      </c>
      <c r="B894" s="130">
        <v>225</v>
      </c>
      <c r="C894" s="110" t="s">
        <v>138</v>
      </c>
      <c r="D894" s="111">
        <f>IF(COUNTIF(tSIAF[Clave],"2343538|225")=0,"",SUMIF(tSIAF[Clave],"2343538|225",tSIAF[PIM]))</f>
        <v>46429</v>
      </c>
      <c r="E894" s="111">
        <f>IF(COUNTIF(tSIAF[Clave],"2343538|225")=0,"",SUMIF(tSIAF[Clave],"2343538|225",tSIAF[Certificacion]))</f>
        <v>0</v>
      </c>
      <c r="F894" s="111">
        <f>IF(D894="","",D894-E894)</f>
        <v>46429</v>
      </c>
      <c r="G894" s="111">
        <f>IF(COUNTIF(tSIAF[Clave],"2343538|225")=0,"",SUMIF(tSIAF[Clave],"2343538|225",tSIAF[Devengado]))</f>
        <v>0</v>
      </c>
      <c r="H894" s="111">
        <f>IF(D894="","",D894-G894)</f>
        <v>46429</v>
      </c>
      <c r="I894" s="55">
        <f>IF(D894="","",IF(D894=0,0,G894/D894))</f>
        <v>0</v>
      </c>
      <c r="J894" s="222"/>
      <c r="K894" s="222" t="s">
        <v>2299</v>
      </c>
      <c r="L894" s="231">
        <f>IF(COUNTIF(tCartera[CUI],"2343538")=0,"Sin PMI",IF(INDEX(tCartera[PMI2026],MATCH("2343538",tCartera[CUI],0))="","No informado",INDEX(tCartera[PMI2026],MATCH("2343538",tCartera[CUI],0))))</f>
        <v>800000</v>
      </c>
      <c r="M894" s="231">
        <f>IF(COUNTIF(tCartera[CUI],"2343538")=0,"Sin PMI",IF(INDEX(tCartera[PMI2027],MATCH("2343538",tCartera[CUI],0))="","No informado",INDEX(tCartera[PMI2027],MATCH("2343538",tCartera[CUI],0))))</f>
        <v>580909</v>
      </c>
      <c r="N894" s="231">
        <f>IF(COUNTIF(tCartera[CUI],"2343538")=0,"Sin PMI",IF(INDEX(tCartera[PMI2028],MATCH("2343538",tCartera[CUI],0))="","No informado",INDEX(tCartera[PMI2028],MATCH("2343538",tCartera[CUI],0))))</f>
        <v>800000</v>
      </c>
      <c r="O894" s="231">
        <f>IF(COUNTIF(tCartera[CUI],"2343538")=0,"Sin PMI",IF(INDEX(tCartera[PMI2029],MATCH("2343538",tCartera[CUI],0))="","No informado",INDEX(tCartera[PMI2029],MATCH("2343538",tCartera[CUI],0))))</f>
        <v>800000</v>
      </c>
    </row>
    <row r="895" spans="1:15" hidden="1" x14ac:dyDescent="0.2">
      <c r="A895" s="129"/>
      <c r="B895" s="132"/>
      <c r="C895" s="110" t="s">
        <v>722</v>
      </c>
      <c r="D895" s="112"/>
      <c r="E895" s="112"/>
      <c r="F895" s="112"/>
      <c r="G895" s="112"/>
      <c r="H895" s="112"/>
      <c r="I895" s="55"/>
      <c r="J895" s="222"/>
      <c r="K895" s="222"/>
      <c r="L895" s="231"/>
      <c r="M895" s="231"/>
      <c r="N895" s="231"/>
      <c r="O895" s="231"/>
    </row>
    <row r="896" spans="1:15" ht="16.5" x14ac:dyDescent="0.2">
      <c r="A896" s="126" t="s">
        <v>616</v>
      </c>
      <c r="B896" s="126"/>
      <c r="C896" s="126"/>
      <c r="D896" s="50">
        <f>D897</f>
        <v>1349649</v>
      </c>
      <c r="E896" s="50">
        <f>E897</f>
        <v>0</v>
      </c>
      <c r="F896" s="50">
        <f>D896-E896</f>
        <v>1349649</v>
      </c>
      <c r="G896" s="50">
        <f>G897</f>
        <v>0</v>
      </c>
      <c r="H896" s="50">
        <f>D896-G896</f>
        <v>1349649</v>
      </c>
      <c r="I896" s="51">
        <f>IF(D896=0,0,G896/D896)</f>
        <v>0</v>
      </c>
      <c r="J896" s="221"/>
      <c r="K896" s="221"/>
      <c r="L896" s="230"/>
      <c r="M896" s="230"/>
      <c r="N896" s="230"/>
      <c r="O896" s="230"/>
    </row>
    <row r="897" spans="1:15" ht="38.25" x14ac:dyDescent="0.2">
      <c r="A897" s="127">
        <f>SUBTOTAL(103,$B$8:B898)</f>
        <v>248</v>
      </c>
      <c r="B897" s="130">
        <v>270</v>
      </c>
      <c r="C897" s="110" t="s">
        <v>332</v>
      </c>
      <c r="D897" s="111">
        <f>IF(COUNTIF(tSIAF[Clave],"2645524|270")=0,"",SUMIF(tSIAF[Clave],"2645524|270",tSIAF[PIM]))</f>
        <v>1349649</v>
      </c>
      <c r="E897" s="111">
        <f>IF(COUNTIF(tSIAF[Clave],"2645524|270")=0,"",SUMIF(tSIAF[Clave],"2645524|270",tSIAF[Certificacion]))</f>
        <v>0</v>
      </c>
      <c r="F897" s="111">
        <f>IF(D897="","",D897-E897)</f>
        <v>1349649</v>
      </c>
      <c r="G897" s="111">
        <f>IF(COUNTIF(tSIAF[Clave],"2645524|270")=0,"",SUMIF(tSIAF[Clave],"2645524|270",tSIAF[Devengado]))</f>
        <v>0</v>
      </c>
      <c r="H897" s="111">
        <f>IF(D897="","",D897-G897)</f>
        <v>1349649</v>
      </c>
      <c r="I897" s="55">
        <f>IF(D897="","",IF(D897=0,0,G897/D897))</f>
        <v>0</v>
      </c>
      <c r="J897" s="222"/>
      <c r="K897" s="222" t="s">
        <v>2299</v>
      </c>
      <c r="L897" s="231">
        <f>IF(COUNTIF(tCartera[CUI],"2645524")=0,"Sin PMI",IF(INDEX(tCartera[PMI2026],MATCH("2645524",tCartera[CUI],0))="","No informado",INDEX(tCartera[PMI2026],MATCH("2645524",tCartera[CUI],0))))</f>
        <v>1349649</v>
      </c>
      <c r="M897" s="231">
        <f>IF(COUNTIF(tCartera[CUI],"2645524")=0,"Sin PMI",IF(INDEX(tCartera[PMI2027],MATCH("2645524",tCartera[CUI],0))="","No informado",INDEX(tCartera[PMI2027],MATCH("2645524",tCartera[CUI],0))))</f>
        <v>0</v>
      </c>
      <c r="N897" s="231">
        <f>IF(COUNTIF(tCartera[CUI],"2645524")=0,"Sin PMI",IF(INDEX(tCartera[PMI2028],MATCH("2645524",tCartera[CUI],0))="","No informado",INDEX(tCartera[PMI2028],MATCH("2645524",tCartera[CUI],0))))</f>
        <v>0</v>
      </c>
      <c r="O897" s="231">
        <f>IF(COUNTIF(tCartera[CUI],"2645524")=0,"Sin PMI",IF(INDEX(tCartera[PMI2029],MATCH("2645524",tCartera[CUI],0))="","No informado",INDEX(tCartera[PMI2029],MATCH("2645524",tCartera[CUI],0))))</f>
        <v>1000000</v>
      </c>
    </row>
    <row r="898" spans="1:15" hidden="1" x14ac:dyDescent="0.2">
      <c r="A898" s="129"/>
      <c r="B898" s="132"/>
      <c r="C898" s="110" t="s">
        <v>719</v>
      </c>
      <c r="D898" s="112"/>
      <c r="E898" s="112"/>
      <c r="F898" s="112"/>
      <c r="G898" s="112"/>
      <c r="H898" s="112"/>
      <c r="I898" s="55"/>
      <c r="J898" s="222"/>
      <c r="K898" s="222"/>
      <c r="L898" s="231"/>
      <c r="M898" s="231"/>
      <c r="N898" s="231"/>
      <c r="O898" s="231"/>
    </row>
    <row r="899" spans="1:15" ht="16.5" x14ac:dyDescent="0.2">
      <c r="A899" s="126" t="s">
        <v>614</v>
      </c>
      <c r="B899" s="126"/>
      <c r="C899" s="126"/>
      <c r="D899" s="50">
        <f>D900</f>
        <v>100000</v>
      </c>
      <c r="E899" s="50">
        <f>E900</f>
        <v>0</v>
      </c>
      <c r="F899" s="50">
        <f>D899-E899</f>
        <v>100000</v>
      </c>
      <c r="G899" s="50">
        <f>G900</f>
        <v>0</v>
      </c>
      <c r="H899" s="50">
        <f>D899-G899</f>
        <v>100000</v>
      </c>
      <c r="I899" s="51">
        <f>IF(D899=0,0,G899/D899)</f>
        <v>0</v>
      </c>
      <c r="J899" s="221"/>
      <c r="K899" s="221"/>
      <c r="L899" s="230"/>
      <c r="M899" s="230"/>
      <c r="N899" s="230"/>
      <c r="O899" s="230"/>
    </row>
    <row r="900" spans="1:15" ht="48" customHeight="1" x14ac:dyDescent="0.2">
      <c r="A900" s="127">
        <f>SUBTOTAL(103,$B$8:B901)</f>
        <v>249</v>
      </c>
      <c r="B900" s="130">
        <v>153</v>
      </c>
      <c r="C900" s="110" t="s">
        <v>337</v>
      </c>
      <c r="D900" s="111">
        <f>IF(COUNTIF(tSIAF[Clave],"2625216|153")=0,"",SUMIF(tSIAF[Clave],"2625216|153",tSIAF[PIM]))</f>
        <v>100000</v>
      </c>
      <c r="E900" s="111">
        <f>IF(COUNTIF(tSIAF[Clave],"2625216|153")=0,"",SUMIF(tSIAF[Clave],"2625216|153",tSIAF[Certificacion]))</f>
        <v>0</v>
      </c>
      <c r="F900" s="111">
        <f>IF(D900="","",D900-E900)</f>
        <v>100000</v>
      </c>
      <c r="G900" s="111">
        <f>IF(COUNTIF(tSIAF[Clave],"2625216|153")=0,"",SUMIF(tSIAF[Clave],"2625216|153",tSIAF[Devengado]))</f>
        <v>0</v>
      </c>
      <c r="H900" s="111">
        <f>IF(D900="","",D900-G900)</f>
        <v>100000</v>
      </c>
      <c r="I900" s="55">
        <f>IF(D900="","",IF(D900=0,0,G900/D900))</f>
        <v>0</v>
      </c>
      <c r="J900" s="222"/>
      <c r="K900" s="222" t="s">
        <v>2299</v>
      </c>
      <c r="L900" s="231" t="str">
        <f>IF(COUNTIF(tCartera[CUI],"2625216")=0,"Sin PMI",IF(INDEX(tCartera[PMI2026],MATCH("2625216",tCartera[CUI],0))="","No informado",INDEX(tCartera[PMI2026],MATCH("2625216",tCartera[CUI],0))))</f>
        <v>Sin PMI</v>
      </c>
      <c r="M900" s="231" t="str">
        <f>IF(COUNTIF(tCartera[CUI],"2625216")=0,"Sin PMI",IF(INDEX(tCartera[PMI2027],MATCH("2625216",tCartera[CUI],0))="","No informado",INDEX(tCartera[PMI2027],MATCH("2625216",tCartera[CUI],0))))</f>
        <v>Sin PMI</v>
      </c>
      <c r="N900" s="231" t="str">
        <f>IF(COUNTIF(tCartera[CUI],"2625216")=0,"Sin PMI",IF(INDEX(tCartera[PMI2028],MATCH("2625216",tCartera[CUI],0))="","No informado",INDEX(tCartera[PMI2028],MATCH("2625216",tCartera[CUI],0))))</f>
        <v>Sin PMI</v>
      </c>
      <c r="O900" s="231" t="str">
        <f>IF(COUNTIF(tCartera[CUI],"2625216")=0,"Sin PMI",IF(INDEX(tCartera[PMI2029],MATCH("2625216",tCartera[CUI],0))="","No informado",INDEX(tCartera[PMI2029],MATCH("2625216",tCartera[CUI],0))))</f>
        <v>Sin PMI</v>
      </c>
    </row>
    <row r="901" spans="1:15" hidden="1" x14ac:dyDescent="0.2">
      <c r="A901" s="129"/>
      <c r="B901" s="132"/>
      <c r="C901" s="110" t="s">
        <v>719</v>
      </c>
      <c r="D901" s="112"/>
      <c r="E901" s="112"/>
      <c r="F901" s="112"/>
      <c r="G901" s="112"/>
      <c r="H901" s="112"/>
      <c r="I901" s="55"/>
      <c r="J901" s="222"/>
      <c r="K901" s="222"/>
      <c r="L901" s="231"/>
      <c r="M901" s="231"/>
      <c r="N901" s="231"/>
      <c r="O901" s="231"/>
    </row>
    <row r="902" spans="1:15" ht="16.5" hidden="1" x14ac:dyDescent="0.2">
      <c r="A902" s="126" t="s">
        <v>619</v>
      </c>
      <c r="B902" s="126"/>
      <c r="C902" s="126"/>
      <c r="D902" s="50">
        <f>D903</f>
        <v>0</v>
      </c>
      <c r="E902" s="50">
        <f>E903</f>
        <v>0</v>
      </c>
      <c r="F902" s="50">
        <f>D902-E902</f>
        <v>0</v>
      </c>
      <c r="G902" s="50">
        <f>G903</f>
        <v>0</v>
      </c>
      <c r="H902" s="50">
        <f>D902-G902</f>
        <v>0</v>
      </c>
      <c r="I902" s="51">
        <f>IF(D902=0,0,G902/D902)</f>
        <v>0</v>
      </c>
      <c r="J902" s="221"/>
      <c r="K902" s="221"/>
      <c r="L902" s="230"/>
      <c r="M902" s="230"/>
      <c r="N902" s="230"/>
      <c r="O902" s="230"/>
    </row>
    <row r="903" spans="1:15" ht="38.25" hidden="1" x14ac:dyDescent="0.2">
      <c r="A903" s="127">
        <f>SUBTOTAL(103,$B$8:B904)</f>
        <v>249</v>
      </c>
      <c r="B903" s="130">
        <v>236</v>
      </c>
      <c r="C903" s="110" t="s">
        <v>162</v>
      </c>
      <c r="D903" s="111">
        <f>IF(COUNTIF(tSIAF[Clave],"2462296|236")=0,"",SUMIF(tSIAF[Clave],"2462296|236",tSIAF[PIM]))</f>
        <v>0</v>
      </c>
      <c r="E903" s="111">
        <f>IF(COUNTIF(tSIAF[Clave],"2462296|236")=0,"",SUMIF(tSIAF[Clave],"2462296|236",tSIAF[Certificacion]))</f>
        <v>0</v>
      </c>
      <c r="F903" s="111">
        <f>IF(D903="","",D903-E903)</f>
        <v>0</v>
      </c>
      <c r="G903" s="111">
        <f>IF(COUNTIF(tSIAF[Clave],"2462296|236")=0,"",SUMIF(tSIAF[Clave],"2462296|236",tSIAF[Devengado]))</f>
        <v>0</v>
      </c>
      <c r="H903" s="111">
        <f>IF(D903="","",D903-G903)</f>
        <v>0</v>
      </c>
      <c r="I903" s="55">
        <f>IF(D903="","",IF(D903=0,0,G903/D903))</f>
        <v>0</v>
      </c>
      <c r="J903" s="222"/>
      <c r="K903" s="222" t="s">
        <v>2299</v>
      </c>
      <c r="L903" s="231">
        <f>IF(COUNTIF(tCartera[CUI],"2462296")=0,"Sin PMI",IF(INDEX(tCartera[PMI2026],MATCH("2462296",tCartera[CUI],0))="","No informado",INDEX(tCartera[PMI2026],MATCH("2462296",tCartera[CUI],0))))</f>
        <v>250000</v>
      </c>
      <c r="M903" s="231">
        <f>IF(COUNTIF(tCartera[CUI],"2462296")=0,"Sin PMI",IF(INDEX(tCartera[PMI2027],MATCH("2462296",tCartera[CUI],0))="","No informado",INDEX(tCartera[PMI2027],MATCH("2462296",tCartera[CUI],0))))</f>
        <v>0</v>
      </c>
      <c r="N903" s="231">
        <f>IF(COUNTIF(tCartera[CUI],"2462296")=0,"Sin PMI",IF(INDEX(tCartera[PMI2028],MATCH("2462296",tCartera[CUI],0))="","No informado",INDEX(tCartera[PMI2028],MATCH("2462296",tCartera[CUI],0))))</f>
        <v>0</v>
      </c>
      <c r="O903" s="231">
        <f>IF(COUNTIF(tCartera[CUI],"2462296")=0,"Sin PMI",IF(INDEX(tCartera[PMI2029],MATCH("2462296",tCartera[CUI],0))="","No informado",INDEX(tCartera[PMI2029],MATCH("2462296",tCartera[CUI],0))))</f>
        <v>0</v>
      </c>
    </row>
    <row r="904" spans="1:15" hidden="1" x14ac:dyDescent="0.2">
      <c r="A904" s="129"/>
      <c r="B904" s="132"/>
      <c r="C904" s="110" t="s">
        <v>718</v>
      </c>
      <c r="D904" s="112"/>
      <c r="E904" s="112"/>
      <c r="F904" s="112"/>
      <c r="G904" s="112"/>
      <c r="H904" s="112"/>
      <c r="I904" s="55"/>
      <c r="J904" s="222"/>
      <c r="K904" s="222"/>
      <c r="L904" s="231"/>
      <c r="M904" s="231"/>
      <c r="N904" s="231"/>
      <c r="O904" s="231"/>
    </row>
    <row r="905" spans="1:15" customFormat="1" ht="16.5" x14ac:dyDescent="0.2">
      <c r="A905" s="151" t="s">
        <v>108</v>
      </c>
      <c r="B905" s="152"/>
      <c r="C905" s="153"/>
      <c r="D905" s="90">
        <f>D10+D11+D13+D14+D15+D16+D17+D18+D19+D20+D21+D22+D23+D24+D25+D26+D27+D28+D29+D30+D31+D32+D33+D34+D35+D37+D38+D39+D41+D42+D43+D44+D45+D46+D47+D48+D49+D50+D51+D52+D53+D54+D55+D56+D57+D58+D59+D60+D61+D62+D63+D64+D66+D67+D68+D69+D70+D71+D72+D73+D74+D76+D79+D130+D131+D132+D133+D134+D135+D137+D138+D139+D140+D141+D142+D143+D144+D145+D146+D147+D148+D149+D150+D151+D152+D153+D154+D155+D156+D158+D159+D160+D161+D162+D163+D164+D165+D166+D167+D169+D170+D171+D177+D178+D179+D180+D181+D182+D183+D184+D185+D188+D189+D190+D191+D192+D193+D194+D195+D196+D197+D199+D201+D202+D204+D212+D216+D219+D222+D224+D227+D229+D231+D233+D235+D237+D241+D243+D245+D249+D251+D253+D255+D257+D259+D263+D265+D272+D275+D277+D279+D281+D283+D285+D287+D289+D291+D293+D295+D297+D300+D302+D305+D309+D312+D314+D316+D319+D322+D325+D558+D561+D566+D569+D574+D577+D580+D582+D585+D588+D591+D594+D597+D600+D603+D606+D609+D611+D620+D622+D625+D627+D630+D633+D636+D638+D641+D644+D647+D650+D653+D656+D661+D664+D667+D670+D673+D676+D680+D683+D686+D689+D692+D695+D698+D700+D702+D705+D708+D711+D714+D716+D719+D721+D724+D726+D728+D731+D734+D737+D740+D742+D745+D752+D754+D767+D770+D773+D776+D779+D781+D787+D790+D793+D796+D800+D803+D806+D809+D812+D815+D818+D821+D824+D827+D830+D833+D836+D839+D843+D846+D849+D852+D855+D858+D861+D864+D867+D870+D874+D877+D880+D883+D887+D889+D891+D894+D897+D900+D903</f>
        <v>770071302</v>
      </c>
      <c r="E905" s="90">
        <f>E10+E11+E13+E14+E15+E16+E17+E18+E19+E20+E21+E22+E23+E24+E25+E26+E27+E28+E29+E30+E31+E32+E33+E34+E35+E37+E38+E39+E41+E42+E43+E44+E45+E46+E47+E48+E49+E50+E51+E52+E53+E54+E55+E56+E57+E58+E59+E60+E61+E62+E63+E64+E66+E67+E68+E69+E70+E71+E72+E73+E74+E76+E79+E130+E131+E132+E133+E134+E135+E137+E138+E139+E140+E141+E142+E143+E144+E145+E146+E147+E148+E149+E150+E151+E152+E153+E154+E155+E156+E158+E159+E160+E161+E162+E163+E164+E165+E166+E167+E169+E170+E171+E177+E178+E179+E180+E181+E182+E183+E184+E185+E188+E189+E190+E191+E192+E193+E194+E195+E196+E197+E199+E201+E202+E204+E212+E216+E219+E222+E224+E227+E229+E231+E233+E235+E237+E241+E243+E245+E249+E251+E253+E255+E257+E259+E263+E265+E272+E275+E277+E279+E281+E283+E285+E287+E289+E291+E293+E295+E297+E300+E302+E305+E309+E312+E314+E316+E319+E322+E325+E558+E561+E566+E569+E574+E577+E580+E582+E585+E588+E591+E594+E597+E600+E603+E606+E609+E611+E620+E622+E625+E627+E630+E633+E636+E638+E641+E644+E647+E650+E653+E656+E661+E664+E667+E670+E673+E676+E680+E683+E686+E689+E692+E695+E698+E700+E702+E705+E708+E711+E714+E716+E719+E721+E724+E726+E728+E731+E734+E737+E740+E742+E745+E752+E754+E767+E770+E773+E776+E779+E781+E787+E790+E793+E796+E800+E803+E806+E809+E812+E815+E818+E821+E824+E827+E830+E833+E836+E839+E843+E846+E849+E852+E855+E858+E861+E864+E867+E870+E874+E877+E880+E883+E887+E889+E891+E894+E897+E900+E903</f>
        <v>722649554.93999958</v>
      </c>
      <c r="F905" s="90">
        <f>D905-E905</f>
        <v>47421747.06000042</v>
      </c>
      <c r="G905" s="90">
        <f>G10+G11+G13+G14+G15+G16+G17+G18+G19+G20+G21+G22+G23+G24+G25+G26+G27+G28+G29+G30+G31+G32+G33+G34+G35+G37+G38+G39+G41+G42+G43+G44+G45+G46+G47+G48+G49+G50+G51+G52+G53+G54+G55+G56+G57+G58+G59+G60+G61+G62+G63+G64+G66+G67+G68+G69+G70+G71+G72+G73+G74+G76+G79+G130+G131+G132+G133+G134+G135+G137+G138+G139+G140+G141+G142+G143+G144+G145+G146+G147+G148+G149+G150+G151+G152+G153+G154+G155+G156+G158+G159+G160+G161+G162+G163+G164+G165+G166+G167+G169+G170+G171+G177+G178+G179+G180+G181+G182+G183+G184+G185+G188+G189+G190+G191+G192+G193+G194+G195+G196+G197+G199+G201+G202+G204+G212+G216+G219+G222+G224+G227+G229+G231+G233+G235+G237+G241+G243+G245+G249+G251+G253+G255+G257+G259+G263+G265+G272+G275+G277+G279+G281+G283+G285+G287+G289+G291+G293+G295+G297+G300+G302+G305+G309+G312+G314+G316+G319+G322+G325+G558+G561+G566+G569+G574+G577+G580+G582+G585+G588+G591+G594+G597+G600+G603+G606+G609+G611+G620+G622+G625+G627+G630+G633+G636+G638+G641+G644+G647+G650+G653+G656+G661+G664+G667+G670+G673+G676+G680+G683+G686+G689+G692+G695+G698+G700+G702+G705+G708+G711+G714+G716+G719+G721+G724+G726+G728+G731+G734+G737+G740+G742+G745+G752+G754+G767+G770+G773+G776+G779+G781+G787+G790+G793+G796+G800+G803+G806+G809+G812+G815+G818+G821+G824+G827+G830+G833+G836+G839+G843+G846+G849+G852+G855+G858+G861+G864+G867+G870+G874+G877+G880+G883+G887+G889+G891+G894+G897+G900+G903</f>
        <v>381727436.3100003</v>
      </c>
      <c r="H905" s="92">
        <f>D905-G905</f>
        <v>388343865.6899997</v>
      </c>
      <c r="I905" s="95">
        <f>IF(D905=0,0,G905/D905)</f>
        <v>0.49570401509391698</v>
      </c>
      <c r="J905" s="238"/>
      <c r="K905" s="238"/>
      <c r="L905" s="237"/>
      <c r="M905" s="237"/>
      <c r="N905" s="237"/>
      <c r="O905" s="237"/>
    </row>
  </sheetData>
  <mergeCells count="431">
    <mergeCell ref="J3:J4"/>
    <mergeCell ref="K3:K4"/>
    <mergeCell ref="L3:L4"/>
    <mergeCell ref="M3:M4"/>
    <mergeCell ref="N3:N4"/>
    <mergeCell ref="O3:O4"/>
    <mergeCell ref="A2:O2"/>
    <mergeCell ref="B249:B250"/>
    <mergeCell ref="A293:A294"/>
    <mergeCell ref="B293:B294"/>
    <mergeCell ref="A251:A252"/>
    <mergeCell ref="B251:B252"/>
    <mergeCell ref="B239:B240"/>
    <mergeCell ref="A287:A288"/>
    <mergeCell ref="A257:A258"/>
    <mergeCell ref="B257:B258"/>
    <mergeCell ref="A259:A260"/>
    <mergeCell ref="B259:B260"/>
    <mergeCell ref="A271:C271"/>
    <mergeCell ref="A243:A244"/>
    <mergeCell ref="B243:B244"/>
    <mergeCell ref="B255:B256"/>
    <mergeCell ref="A261:A262"/>
    <mergeCell ref="B261:B262"/>
    <mergeCell ref="B263:B264"/>
    <mergeCell ref="A239:A240"/>
    <mergeCell ref="B245:B246"/>
    <mergeCell ref="A245:A246"/>
    <mergeCell ref="A253:A254"/>
    <mergeCell ref="B253:B254"/>
    <mergeCell ref="A255:A256"/>
    <mergeCell ref="A128:C128"/>
    <mergeCell ref="A40:C40"/>
    <mergeCell ref="A9:C9"/>
    <mergeCell ref="A12:C12"/>
    <mergeCell ref="A218:C218"/>
    <mergeCell ref="A229:A230"/>
    <mergeCell ref="A241:A242"/>
    <mergeCell ref="B241:B242"/>
    <mergeCell ref="A78:C78"/>
    <mergeCell ref="B222:B223"/>
    <mergeCell ref="B224:B226"/>
    <mergeCell ref="A65:C65"/>
    <mergeCell ref="A233:A234"/>
    <mergeCell ref="B233:B234"/>
    <mergeCell ref="A235:A236"/>
    <mergeCell ref="B235:B236"/>
    <mergeCell ref="A237:A238"/>
    <mergeCell ref="B237:B238"/>
    <mergeCell ref="B229:B230"/>
    <mergeCell ref="A214:A215"/>
    <mergeCell ref="B219:B221"/>
    <mergeCell ref="A222:A223"/>
    <mergeCell ref="B227:B228"/>
    <mergeCell ref="A224:A226"/>
    <mergeCell ref="A219:A221"/>
    <mergeCell ref="A227:A228"/>
    <mergeCell ref="A198:C198"/>
    <mergeCell ref="A200:C200"/>
    <mergeCell ref="A203:C203"/>
    <mergeCell ref="A231:A232"/>
    <mergeCell ref="B231:B232"/>
    <mergeCell ref="B214:B215"/>
    <mergeCell ref="A216:A217"/>
    <mergeCell ref="B216:B217"/>
    <mergeCell ref="A247:A248"/>
    <mergeCell ref="A275:A276"/>
    <mergeCell ref="B275:B276"/>
    <mergeCell ref="B247:B248"/>
    <mergeCell ref="A302:A303"/>
    <mergeCell ref="B302:B303"/>
    <mergeCell ref="B295:B296"/>
    <mergeCell ref="A297:A298"/>
    <mergeCell ref="B297:B298"/>
    <mergeCell ref="B281:B282"/>
    <mergeCell ref="A265:A266"/>
    <mergeCell ref="B265:B266"/>
    <mergeCell ref="A267:A268"/>
    <mergeCell ref="B267:B268"/>
    <mergeCell ref="A283:A284"/>
    <mergeCell ref="B283:B284"/>
    <mergeCell ref="A281:A282"/>
    <mergeCell ref="B277:B278"/>
    <mergeCell ref="A249:A250"/>
    <mergeCell ref="A272:A274"/>
    <mergeCell ref="B272:B274"/>
    <mergeCell ref="B287:B288"/>
    <mergeCell ref="A285:A286"/>
    <mergeCell ref="B285:B286"/>
    <mergeCell ref="A299:C299"/>
    <mergeCell ref="A305:A306"/>
    <mergeCell ref="B305:B306"/>
    <mergeCell ref="A295:A296"/>
    <mergeCell ref="B291:B292"/>
    <mergeCell ref="A314:A315"/>
    <mergeCell ref="A289:A290"/>
    <mergeCell ref="A517:A518"/>
    <mergeCell ref="B517:B518"/>
    <mergeCell ref="A308:C308"/>
    <mergeCell ref="B314:B315"/>
    <mergeCell ref="B503:B504"/>
    <mergeCell ref="A499:A500"/>
    <mergeCell ref="A309:A311"/>
    <mergeCell ref="B322:B324"/>
    <mergeCell ref="B309:B311"/>
    <mergeCell ref="A312:A313"/>
    <mergeCell ref="B312:B313"/>
    <mergeCell ref="A495:A496"/>
    <mergeCell ref="A503:A504"/>
    <mergeCell ref="B495:B496"/>
    <mergeCell ref="B501:B502"/>
    <mergeCell ref="A497:A498"/>
    <mergeCell ref="A330:A494"/>
    <mergeCell ref="B519:B520"/>
    <mergeCell ref="A505:A506"/>
    <mergeCell ref="A511:A512"/>
    <mergeCell ref="A513:A514"/>
    <mergeCell ref="A515:A516"/>
    <mergeCell ref="B515:B516"/>
    <mergeCell ref="B505:B506"/>
    <mergeCell ref="B513:B514"/>
    <mergeCell ref="A519:A520"/>
    <mergeCell ref="A507:A508"/>
    <mergeCell ref="B507:B508"/>
    <mergeCell ref="A509:A510"/>
    <mergeCell ref="A322:A324"/>
    <mergeCell ref="B330:B494"/>
    <mergeCell ref="B497:B498"/>
    <mergeCell ref="A319:A321"/>
    <mergeCell ref="B325:B327"/>
    <mergeCell ref="A325:A327"/>
    <mergeCell ref="B499:B500"/>
    <mergeCell ref="B511:B512"/>
    <mergeCell ref="A905:C905"/>
    <mergeCell ref="A728:A730"/>
    <mergeCell ref="A676:A679"/>
    <mergeCell ref="A724:A725"/>
    <mergeCell ref="B776:B778"/>
    <mergeCell ref="A744:C744"/>
    <mergeCell ref="A740:A741"/>
    <mergeCell ref="B698:B699"/>
    <mergeCell ref="A776:A778"/>
    <mergeCell ref="A784:A786"/>
    <mergeCell ref="B784:B786"/>
    <mergeCell ref="A737:A739"/>
    <mergeCell ref="B767:B769"/>
    <mergeCell ref="A742:A743"/>
    <mergeCell ref="B742:B743"/>
    <mergeCell ref="B676:B679"/>
    <mergeCell ref="A307:C307"/>
    <mergeCell ref="B509:B510"/>
    <mergeCell ref="A501:A502"/>
    <mergeCell ref="B659:B660"/>
    <mergeCell ref="A580:A581"/>
    <mergeCell ref="B580:B581"/>
    <mergeCell ref="A897:A898"/>
    <mergeCell ref="B897:B898"/>
    <mergeCell ref="A572:A573"/>
    <mergeCell ref="B572:B573"/>
    <mergeCell ref="A564:A565"/>
    <mergeCell ref="B564:B565"/>
    <mergeCell ref="B566:B568"/>
    <mergeCell ref="A566:A568"/>
    <mergeCell ref="A889:A890"/>
    <mergeCell ref="B889:B890"/>
    <mergeCell ref="A680:A682"/>
    <mergeCell ref="B673:B675"/>
    <mergeCell ref="A670:A672"/>
    <mergeCell ref="A770:A772"/>
    <mergeCell ref="B689:B691"/>
    <mergeCell ref="A556:A557"/>
    <mergeCell ref="A779:A780"/>
    <mergeCell ref="B787:B789"/>
    <mergeCell ref="B877:B879"/>
    <mergeCell ref="B887:B888"/>
    <mergeCell ref="B880:B882"/>
    <mergeCell ref="A880:A882"/>
    <mergeCell ref="B833:B835"/>
    <mergeCell ref="A833:A835"/>
    <mergeCell ref="A891:A892"/>
    <mergeCell ref="B891:B892"/>
    <mergeCell ref="A836:A838"/>
    <mergeCell ref="B867:B869"/>
    <mergeCell ref="A867:A869"/>
    <mergeCell ref="A886:C886"/>
    <mergeCell ref="B883:B885"/>
    <mergeCell ref="A883:A885"/>
    <mergeCell ref="B849:B851"/>
    <mergeCell ref="A874:A876"/>
    <mergeCell ref="A873:C873"/>
    <mergeCell ref="A843:A845"/>
    <mergeCell ref="B846:B848"/>
    <mergeCell ref="B843:B845"/>
    <mergeCell ref="A846:A848"/>
    <mergeCell ref="B836:B838"/>
    <mergeCell ref="B874:B876"/>
    <mergeCell ref="A903:A904"/>
    <mergeCell ref="B903:B904"/>
    <mergeCell ref="A899:C899"/>
    <mergeCell ref="A830:A832"/>
    <mergeCell ref="A861:A863"/>
    <mergeCell ref="B864:B866"/>
    <mergeCell ref="A864:A866"/>
    <mergeCell ref="A849:A851"/>
    <mergeCell ref="B852:B854"/>
    <mergeCell ref="A852:A854"/>
    <mergeCell ref="B855:B857"/>
    <mergeCell ref="A855:A857"/>
    <mergeCell ref="B858:B860"/>
    <mergeCell ref="A858:A860"/>
    <mergeCell ref="B861:B863"/>
    <mergeCell ref="A902:C902"/>
    <mergeCell ref="B900:B901"/>
    <mergeCell ref="A900:A901"/>
    <mergeCell ref="A877:A879"/>
    <mergeCell ref="A887:A888"/>
    <mergeCell ref="A896:C896"/>
    <mergeCell ref="A894:A895"/>
    <mergeCell ref="B894:B895"/>
    <mergeCell ref="A893:C893"/>
    <mergeCell ref="B830:B832"/>
    <mergeCell ref="A806:A808"/>
    <mergeCell ref="B779:B780"/>
    <mergeCell ref="B745:B751"/>
    <mergeCell ref="B806:B808"/>
    <mergeCell ref="A781:A783"/>
    <mergeCell ref="A620:A621"/>
    <mergeCell ref="A661:A663"/>
    <mergeCell ref="B824:B826"/>
    <mergeCell ref="A824:A826"/>
    <mergeCell ref="B821:B823"/>
    <mergeCell ref="A821:A823"/>
    <mergeCell ref="B818:B820"/>
    <mergeCell ref="B812:B814"/>
    <mergeCell ref="B827:B829"/>
    <mergeCell ref="A812:A814"/>
    <mergeCell ref="A815:A817"/>
    <mergeCell ref="B815:B817"/>
    <mergeCell ref="B726:B727"/>
    <mergeCell ref="A719:A720"/>
    <mergeCell ref="B839:B842"/>
    <mergeCell ref="C3:C4"/>
    <mergeCell ref="A279:A280"/>
    <mergeCell ref="B279:B280"/>
    <mergeCell ref="A300:A301"/>
    <mergeCell ref="B300:B301"/>
    <mergeCell ref="A5:C5"/>
    <mergeCell ref="A6:C6"/>
    <mergeCell ref="A7:C7"/>
    <mergeCell ref="A175:C175"/>
    <mergeCell ref="A157:C157"/>
    <mergeCell ref="A129:C129"/>
    <mergeCell ref="A136:C136"/>
    <mergeCell ref="A212:A213"/>
    <mergeCell ref="B212:B213"/>
    <mergeCell ref="A211:C211"/>
    <mergeCell ref="B289:B290"/>
    <mergeCell ref="A291:A292"/>
    <mergeCell ref="A75:C75"/>
    <mergeCell ref="A263:A264"/>
    <mergeCell ref="A269:A270"/>
    <mergeCell ref="B269:B270"/>
    <mergeCell ref="A186:C186"/>
    <mergeCell ref="A176:C176"/>
    <mergeCell ref="A277:A278"/>
    <mergeCell ref="A3:A4"/>
    <mergeCell ref="B3:B4"/>
    <mergeCell ref="C1:I1"/>
    <mergeCell ref="D3:D4"/>
    <mergeCell ref="G3:G4"/>
    <mergeCell ref="I3:I4"/>
    <mergeCell ref="A695:A697"/>
    <mergeCell ref="A8:C8"/>
    <mergeCell ref="E3:E4"/>
    <mergeCell ref="F3:F4"/>
    <mergeCell ref="H3:H4"/>
    <mergeCell ref="A210:C210"/>
    <mergeCell ref="A627:A629"/>
    <mergeCell ref="B627:B629"/>
    <mergeCell ref="A636:A637"/>
    <mergeCell ref="B686:B688"/>
    <mergeCell ref="B692:B694"/>
    <mergeCell ref="B695:B697"/>
    <mergeCell ref="A304:C304"/>
    <mergeCell ref="B319:B321"/>
    <mergeCell ref="A316:A318"/>
    <mergeCell ref="B316:B318"/>
    <mergeCell ref="A839:A842"/>
    <mergeCell ref="B770:B772"/>
    <mergeCell ref="B714:B715"/>
    <mergeCell ref="A714:A715"/>
    <mergeCell ref="A745:A751"/>
    <mergeCell ref="A754:A766"/>
    <mergeCell ref="B754:B766"/>
    <mergeCell ref="B731:B733"/>
    <mergeCell ref="A731:A733"/>
    <mergeCell ref="A818:A820"/>
    <mergeCell ref="B781:B783"/>
    <mergeCell ref="A800:A802"/>
    <mergeCell ref="B809:B811"/>
    <mergeCell ref="B800:B802"/>
    <mergeCell ref="A809:A811"/>
    <mergeCell ref="B803:B805"/>
    <mergeCell ref="A803:A805"/>
    <mergeCell ref="A787:A789"/>
    <mergeCell ref="B740:B741"/>
    <mergeCell ref="B724:B725"/>
    <mergeCell ref="B719:B720"/>
    <mergeCell ref="B752:B753"/>
    <mergeCell ref="A726:A727"/>
    <mergeCell ref="A827:A829"/>
    <mergeCell ref="B521:B522"/>
    <mergeCell ref="B700:B701"/>
    <mergeCell ref="B708:B710"/>
    <mergeCell ref="A698:A699"/>
    <mergeCell ref="A673:A675"/>
    <mergeCell ref="B620:B621"/>
    <mergeCell ref="A711:A713"/>
    <mergeCell ref="B636:B637"/>
    <mergeCell ref="A638:A640"/>
    <mergeCell ref="A692:A694"/>
    <mergeCell ref="A700:A701"/>
    <mergeCell ref="B641:B643"/>
    <mergeCell ref="A708:A710"/>
    <mergeCell ref="B523:B524"/>
    <mergeCell ref="B569:B571"/>
    <mergeCell ref="B525:B527"/>
    <mergeCell ref="A618:A619"/>
    <mergeCell ref="B618:B619"/>
    <mergeCell ref="A617:C617"/>
    <mergeCell ref="A606:A608"/>
    <mergeCell ref="A525:A527"/>
    <mergeCell ref="A523:A524"/>
    <mergeCell ref="A554:A555"/>
    <mergeCell ref="B711:B713"/>
    <mergeCell ref="B728:B730"/>
    <mergeCell ref="B554:B555"/>
    <mergeCell ref="A569:A571"/>
    <mergeCell ref="B577:B579"/>
    <mergeCell ref="A577:A579"/>
    <mergeCell ref="A603:A605"/>
    <mergeCell ref="B606:B608"/>
    <mergeCell ref="A625:A626"/>
    <mergeCell ref="A647:A649"/>
    <mergeCell ref="B644:B646"/>
    <mergeCell ref="B661:B663"/>
    <mergeCell ref="B716:B718"/>
    <mergeCell ref="A716:A718"/>
    <mergeCell ref="B609:B610"/>
    <mergeCell ref="A609:A610"/>
    <mergeCell ref="B611:B613"/>
    <mergeCell ref="A611:A613"/>
    <mergeCell ref="B597:B599"/>
    <mergeCell ref="B574:B576"/>
    <mergeCell ref="A574:A576"/>
    <mergeCell ref="B585:B587"/>
    <mergeCell ref="A585:A587"/>
    <mergeCell ref="B588:B590"/>
    <mergeCell ref="A588:A590"/>
    <mergeCell ref="A528:A542"/>
    <mergeCell ref="B528:B542"/>
    <mergeCell ref="B633:B635"/>
    <mergeCell ref="A622:A624"/>
    <mergeCell ref="B622:B624"/>
    <mergeCell ref="B667:B669"/>
    <mergeCell ref="A667:A669"/>
    <mergeCell ref="B664:B666"/>
    <mergeCell ref="A664:A666"/>
    <mergeCell ref="B558:B560"/>
    <mergeCell ref="A558:A560"/>
    <mergeCell ref="B656:B658"/>
    <mergeCell ref="A630:A632"/>
    <mergeCell ref="B561:B563"/>
    <mergeCell ref="B556:B557"/>
    <mergeCell ref="A641:A643"/>
    <mergeCell ref="B543:B551"/>
    <mergeCell ref="A597:A599"/>
    <mergeCell ref="A633:A635"/>
    <mergeCell ref="B625:B626"/>
    <mergeCell ref="B591:B593"/>
    <mergeCell ref="A591:A593"/>
    <mergeCell ref="B594:B596"/>
    <mergeCell ref="A594:A596"/>
    <mergeCell ref="A521:A522"/>
    <mergeCell ref="A543:A551"/>
    <mergeCell ref="A767:A769"/>
    <mergeCell ref="B630:B632"/>
    <mergeCell ref="B702:B704"/>
    <mergeCell ref="A702:A704"/>
    <mergeCell ref="A683:A685"/>
    <mergeCell ref="B683:B685"/>
    <mergeCell ref="A689:A691"/>
    <mergeCell ref="B603:B605"/>
    <mergeCell ref="B680:B682"/>
    <mergeCell ref="A686:A688"/>
    <mergeCell ref="B638:B640"/>
    <mergeCell ref="A752:A753"/>
    <mergeCell ref="A644:A646"/>
    <mergeCell ref="A656:A658"/>
    <mergeCell ref="B653:B655"/>
    <mergeCell ref="A653:A655"/>
    <mergeCell ref="B650:B652"/>
    <mergeCell ref="A650:A652"/>
    <mergeCell ref="B647:B649"/>
    <mergeCell ref="B737:B739"/>
    <mergeCell ref="B734:B736"/>
    <mergeCell ref="A734:A736"/>
    <mergeCell ref="A168:C168"/>
    <mergeCell ref="A870:A872"/>
    <mergeCell ref="B870:B872"/>
    <mergeCell ref="A582:A584"/>
    <mergeCell ref="B582:B584"/>
    <mergeCell ref="A600:A602"/>
    <mergeCell ref="B600:B602"/>
    <mergeCell ref="A614:A616"/>
    <mergeCell ref="B614:B616"/>
    <mergeCell ref="A721:A723"/>
    <mergeCell ref="B721:B723"/>
    <mergeCell ref="B796:B799"/>
    <mergeCell ref="B790:B792"/>
    <mergeCell ref="A793:A795"/>
    <mergeCell ref="B793:B795"/>
    <mergeCell ref="B705:B707"/>
    <mergeCell ref="A705:A707"/>
    <mergeCell ref="B670:B672"/>
    <mergeCell ref="A659:A660"/>
    <mergeCell ref="A773:A775"/>
    <mergeCell ref="B773:B775"/>
    <mergeCell ref="A796:A799"/>
    <mergeCell ref="A790:A792"/>
    <mergeCell ref="A561:A563"/>
  </mergeCells>
  <pageMargins left="0.74803149606299213" right="0.74803149606299213" top="0.74803149606299213" bottom="0.74803149606299213" header="0.31496062992125984" footer="0.31496062992125984"/>
  <pageSetup paperSize="9" scale="57" fitToHeight="0" orientation="landscape" r:id="rId1"/>
  <headerFooter>
    <oddFooter>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pageSetUpPr fitToPage="1"/>
  </sheetPr>
  <dimension ref="A1:O323"/>
  <sheetViews>
    <sheetView showGridLines="0" zoomScale="85" zoomScaleNormal="85" zoomScaleSheetLayoutView="75" workbookViewId="0">
      <pane ySplit="5" topLeftCell="A322" activePane="bottomLeft" state="frozen"/>
      <selection activeCell="D356" sqref="D356"/>
      <selection pane="bottomLeft" activeCell="A323" sqref="A323:XFD323"/>
    </sheetView>
  </sheetViews>
  <sheetFormatPr baseColWidth="10" defaultRowHeight="16.5" x14ac:dyDescent="0.2"/>
  <cols>
    <col min="1" max="1" width="6.28515625" style="1" customWidth="1"/>
    <col min="2" max="2" width="5.42578125" style="3" customWidth="1"/>
    <col min="3" max="3" width="45.5703125" style="11" customWidth="1"/>
    <col min="4" max="4" width="16.5703125" customWidth="1"/>
    <col min="5" max="5" width="17.7109375" bestFit="1" customWidth="1"/>
    <col min="6" max="6" width="16.5703125" customWidth="1"/>
    <col min="7" max="7" width="17.140625" customWidth="1"/>
    <col min="8" max="8" width="16.42578125" customWidth="1"/>
    <col min="9" max="9" width="10.28515625" style="18" customWidth="1"/>
    <col min="10" max="10" width="32.7109375" customWidth="1"/>
    <col min="11" max="11" width="29.7109375" customWidth="1"/>
    <col min="12" max="15" width="20.7109375" customWidth="1"/>
  </cols>
  <sheetData>
    <row r="1" spans="1:15" ht="19.5" customHeight="1" x14ac:dyDescent="0.2">
      <c r="B1" s="43"/>
      <c r="C1" s="141" t="s">
        <v>657</v>
      </c>
      <c r="D1" s="141"/>
      <c r="E1" s="141"/>
      <c r="F1" s="141"/>
      <c r="G1" s="141"/>
      <c r="H1" s="141"/>
      <c r="I1" s="141"/>
    </row>
    <row r="2" spans="1:15" ht="41.25" customHeight="1" x14ac:dyDescent="0.25">
      <c r="A2" s="142" t="str">
        <f>"COMPORTAMIENTO DE EJECUCIÓN DE PROYECTOS DE INVERSIÓN PÚBLICA 2026 - U.E. 001 SEDE CENTRAL AL "&amp;TEXT(SIAF!B3,"dd/mm/yyyy")</f>
        <v>COMPORTAMIENTO DE EJECUCIÓN DE PROYECTOS DE INVERSIÓN PÚBLICA 2026 - U.E. 001 SEDE CENTRAL AL 06/10/2026</v>
      </c>
      <c r="B2" s="142"/>
      <c r="C2" s="142"/>
      <c r="D2" s="142"/>
      <c r="E2" s="142"/>
      <c r="F2" s="142"/>
      <c r="G2" s="142"/>
      <c r="H2" s="142"/>
      <c r="I2" s="142"/>
      <c r="J2" s="142"/>
      <c r="K2" s="142"/>
      <c r="L2" s="142"/>
      <c r="M2" s="142"/>
      <c r="N2" s="142"/>
      <c r="O2" s="142"/>
    </row>
    <row r="3" spans="1:15" ht="18" x14ac:dyDescent="0.25">
      <c r="D3" s="2"/>
      <c r="E3" s="2"/>
      <c r="F3" s="2"/>
      <c r="I3" s="19"/>
    </row>
    <row r="4" spans="1:15" ht="12.6" customHeight="1" x14ac:dyDescent="0.2">
      <c r="A4" s="164" t="s">
        <v>3</v>
      </c>
      <c r="B4" s="164" t="s">
        <v>1</v>
      </c>
      <c r="C4" s="164" t="s">
        <v>0</v>
      </c>
      <c r="D4" s="164" t="s">
        <v>639</v>
      </c>
      <c r="E4" s="164" t="s">
        <v>643</v>
      </c>
      <c r="F4" s="164" t="s">
        <v>644</v>
      </c>
      <c r="G4" s="164" t="s">
        <v>641</v>
      </c>
      <c r="H4" s="164" t="s">
        <v>645</v>
      </c>
      <c r="I4" s="160" t="s">
        <v>133</v>
      </c>
      <c r="J4" s="240" t="s">
        <v>2293</v>
      </c>
      <c r="K4" s="240" t="s">
        <v>2294</v>
      </c>
      <c r="L4" s="240" t="s">
        <v>2295</v>
      </c>
      <c r="M4" s="240" t="s">
        <v>2296</v>
      </c>
      <c r="N4" s="240" t="s">
        <v>2297</v>
      </c>
      <c r="O4" s="240" t="s">
        <v>2298</v>
      </c>
    </row>
    <row r="5" spans="1:15" ht="24" customHeight="1" x14ac:dyDescent="0.2">
      <c r="A5" s="164"/>
      <c r="B5" s="164"/>
      <c r="C5" s="164"/>
      <c r="D5" s="164"/>
      <c r="E5" s="164"/>
      <c r="F5" s="164"/>
      <c r="G5" s="164"/>
      <c r="H5" s="164"/>
      <c r="I5" s="160"/>
      <c r="J5" s="241"/>
      <c r="K5" s="241"/>
      <c r="L5" s="241"/>
      <c r="M5" s="241"/>
      <c r="N5" s="241"/>
      <c r="O5" s="241"/>
    </row>
    <row r="6" spans="1:15" x14ac:dyDescent="0.2">
      <c r="A6" s="144" t="s">
        <v>5</v>
      </c>
      <c r="B6" s="144"/>
      <c r="C6" s="144"/>
      <c r="D6" s="48">
        <f>D8+D9+D10+D11+D13+D14+D16+D17+D19+D20+D21+D22+D23+D24+D25+D26+D27+D28+D29+D30+D31+D32+D33+D34+D35+D36+D37+D38+D39+D40+D41+D42+D43+D44+D45+D46+D47+D48+D49+D50+D51+D52+D53+D54+D55+D56+D57+D58+D59+D60+D61+D62+D63+D64+D65+D66+D67+D68+D69+D70+D71+D72+D73+D74+D75+D76+D77+D78+D79+D80+D81+D82+D84+D85+D86+D87+D89+D90+D91+D92+D93+D94+D95</f>
        <v>15438088</v>
      </c>
      <c r="E6" s="48">
        <f>E8+E9+E10+E11+E13+E14+E16+E17+E19+E20+E21+E22+E23+E24+E25+E26+E27+E28+E29+E30+E31+E32+E33+E34+E35+E36+E37+E38+E39+E40+E41+E42+E43+E44+E45+E46+E47+E48+E49+E50+E51+E52+E53+E54+E55+E56+E57+E58+E59+E60+E61+E62+E63+E64+E65+E66+E67+E68+E69+E70+E71+E72+E73+E74+E75+E76+E77+E78+E79+E80+E81+E82+E84+E85+E86+E87+E89+E90+E91+E92+E93+E94+E95</f>
        <v>13246423.869999999</v>
      </c>
      <c r="F6" s="48">
        <f>D6-E6</f>
        <v>2191664.1300000008</v>
      </c>
      <c r="G6" s="48">
        <f>G8+G9+G10+G11+G13+G14+G16+G17+G19+G20+G21+G22+G23+G24+G25+G26+G27+G28+G29+G30+G31+G32+G33+G34+G35+G36+G37+G38+G39+G40+G41+G42+G43+G44+G45+G46+G47+G48+G49+G50+G51+G52+G53+G54+G55+G56+G57+G58+G59+G60+G61+G62+G63+G64+G65+G66+G67+G68+G69+G70+G71+G72+G73+G74+G75+G76+G77+G78+G79+G80+G81+G82+G84+G85+G86+G87+G89+G90+G91+G92+G93+G94+G95</f>
        <v>6937956.7899999991</v>
      </c>
      <c r="H6" s="48">
        <f>D6-G6</f>
        <v>8500131.2100000009</v>
      </c>
      <c r="I6" s="49">
        <f>IF(D6=0,0,G6/D6)</f>
        <v>0.44940518476122165</v>
      </c>
      <c r="J6" s="220"/>
      <c r="K6" s="220"/>
      <c r="L6" s="229"/>
      <c r="M6" s="229"/>
      <c r="N6" s="229"/>
      <c r="O6" s="229"/>
    </row>
    <row r="7" spans="1:15" x14ac:dyDescent="0.2">
      <c r="A7" s="150" t="s">
        <v>616</v>
      </c>
      <c r="B7" s="150"/>
      <c r="C7" s="150"/>
      <c r="D7" s="50">
        <f>D8+D9+D10+D11</f>
        <v>3137774</v>
      </c>
      <c r="E7" s="50">
        <f>E8+E9+E10+E11</f>
        <v>2421934.02</v>
      </c>
      <c r="F7" s="50">
        <f>D7-E7</f>
        <v>715839.98</v>
      </c>
      <c r="G7" s="50">
        <f>G8+G9+G10+G11</f>
        <v>1602346.39</v>
      </c>
      <c r="H7" s="50">
        <f>D7-G7</f>
        <v>1535427.61</v>
      </c>
      <c r="I7" s="51">
        <f>IF(D7=0,0,G7/D7)</f>
        <v>0.51066341616700239</v>
      </c>
      <c r="J7" s="221"/>
      <c r="K7" s="221"/>
      <c r="L7" s="230"/>
      <c r="M7" s="230"/>
      <c r="N7" s="230"/>
      <c r="O7" s="230"/>
    </row>
    <row r="8" spans="1:15" ht="38.25" x14ac:dyDescent="0.2">
      <c r="A8" s="52">
        <f>SUBTOTAL(103,$B$8:B8)+287</f>
        <v>288</v>
      </c>
      <c r="B8" s="69">
        <v>20</v>
      </c>
      <c r="C8" s="82" t="s">
        <v>139</v>
      </c>
      <c r="D8" s="60">
        <f>IF(COUNTIF(tSIAF[Clave],"2526527|20")=0,"",SUMIF(tSIAF[Clave],"2526527|20",tSIAF[PIM]))</f>
        <v>2659376</v>
      </c>
      <c r="E8" s="60">
        <f>IF(COUNTIF(tSIAF[Clave],"2526527|20")=0,"",SUMIF(tSIAF[Clave],"2526527|20",tSIAF[Certificacion]))</f>
        <v>1980094.52</v>
      </c>
      <c r="F8" s="60">
        <f>IF(D8="","",D8-E8)</f>
        <v>679281.48</v>
      </c>
      <c r="G8" s="60">
        <f>IF(COUNTIF(tSIAF[Clave],"2526527|20")=0,"",SUMIF(tSIAF[Clave],"2526527|20",tSIAF[Devengado]))</f>
        <v>1386716.89</v>
      </c>
      <c r="H8" s="60">
        <f>IF(D8="","",D8-G8)</f>
        <v>1272659.1100000001</v>
      </c>
      <c r="I8" s="66">
        <f>IF(D8="","",IF(D8=0,0,G8/D8))</f>
        <v>0.52144446291160029</v>
      </c>
      <c r="J8" s="227"/>
      <c r="K8" s="227" t="s">
        <v>2299</v>
      </c>
      <c r="L8" s="236">
        <f>IF(COUNTIF(tCartera[CUI],"2526527")=0,"Sin PMI",IF(INDEX(tCartera[PMI2026],MATCH("2526527",tCartera[CUI],0))="","No informado",INDEX(tCartera[PMI2026],MATCH("2526527",tCartera[CUI],0))))</f>
        <v>3659376</v>
      </c>
      <c r="M8" s="236">
        <f>IF(COUNTIF(tCartera[CUI],"2526527")=0,"Sin PMI",IF(INDEX(tCartera[PMI2027],MATCH("2526527",tCartera[CUI],0))="","No informado",INDEX(tCartera[PMI2027],MATCH("2526527",tCartera[CUI],0))))</f>
        <v>55933</v>
      </c>
      <c r="N8" s="236">
        <f>IF(COUNTIF(tCartera[CUI],"2526527")=0,"Sin PMI",IF(INDEX(tCartera[PMI2028],MATCH("2526527",tCartera[CUI],0))="","No informado",INDEX(tCartera[PMI2028],MATCH("2526527",tCartera[CUI],0))))</f>
        <v>0</v>
      </c>
      <c r="O8" s="236">
        <f>IF(COUNTIF(tCartera[CUI],"2526527")=0,"Sin PMI",IF(INDEX(tCartera[PMI2029],MATCH("2526527",tCartera[CUI],0))="","No informado",INDEX(tCartera[PMI2029],MATCH("2526527",tCartera[CUI],0))))</f>
        <v>1953448</v>
      </c>
    </row>
    <row r="9" spans="1:15" ht="51" x14ac:dyDescent="0.2">
      <c r="A9" s="52">
        <f>SUBTOTAL(103,$B$8:B9)+287</f>
        <v>289</v>
      </c>
      <c r="B9" s="69">
        <v>383</v>
      </c>
      <c r="C9" s="82" t="s">
        <v>535</v>
      </c>
      <c r="D9" s="54">
        <f>IF(COUNTIF(tSIAF[Clave],"2717147|383")=0,"",SUMIF(tSIAF[Clave],"2717147|383",tSIAF[PIM]))</f>
        <v>159946</v>
      </c>
      <c r="E9" s="54">
        <f>IF(COUNTIF(tSIAF[Clave],"2717147|383")=0,"",SUMIF(tSIAF[Clave],"2717147|383",tSIAF[Certificacion]))</f>
        <v>154011</v>
      </c>
      <c r="F9" s="54">
        <f>IF(D9="","",D9-E9)</f>
        <v>5935</v>
      </c>
      <c r="G9" s="54">
        <f>IF(COUNTIF(tSIAF[Clave],"2717147|383")=0,"",SUMIF(tSIAF[Clave],"2717147|383",tSIAF[Devengado]))</f>
        <v>60441</v>
      </c>
      <c r="H9" s="54">
        <f>IF(D9="","",D9-G9)</f>
        <v>99505</v>
      </c>
      <c r="I9" s="66">
        <f>IF(D9="","",IF(D9=0,0,G9/D9))</f>
        <v>0.37788378577769999</v>
      </c>
      <c r="J9" s="227"/>
      <c r="K9" s="227" t="s">
        <v>2299</v>
      </c>
      <c r="L9" s="236" t="str">
        <f>IF(COUNTIF(tCartera[CUI],"2717147")=0,"Sin PMI",IF(INDEX(tCartera[PMI2026],MATCH("2717147",tCartera[CUI],0))="","No informado",INDEX(tCartera[PMI2026],MATCH("2717147",tCartera[CUI],0))))</f>
        <v>Sin PMI</v>
      </c>
      <c r="M9" s="236" t="str">
        <f>IF(COUNTIF(tCartera[CUI],"2717147")=0,"Sin PMI",IF(INDEX(tCartera[PMI2027],MATCH("2717147",tCartera[CUI],0))="","No informado",INDEX(tCartera[PMI2027],MATCH("2717147",tCartera[CUI],0))))</f>
        <v>Sin PMI</v>
      </c>
      <c r="N9" s="236" t="str">
        <f>IF(COUNTIF(tCartera[CUI],"2717147")=0,"Sin PMI",IF(INDEX(tCartera[PMI2028],MATCH("2717147",tCartera[CUI],0))="","No informado",INDEX(tCartera[PMI2028],MATCH("2717147",tCartera[CUI],0))))</f>
        <v>Sin PMI</v>
      </c>
      <c r="O9" s="236" t="str">
        <f>IF(COUNTIF(tCartera[CUI],"2717147")=0,"Sin PMI",IF(INDEX(tCartera[PMI2029],MATCH("2717147",tCartera[CUI],0))="","No informado",INDEX(tCartera[PMI2029],MATCH("2717147",tCartera[CUI],0))))</f>
        <v>Sin PMI</v>
      </c>
    </row>
    <row r="10" spans="1:15" ht="63.75" x14ac:dyDescent="0.2">
      <c r="A10" s="52">
        <f>SUBTOTAL(103,$B$8:B10)+287</f>
        <v>290</v>
      </c>
      <c r="B10" s="69">
        <v>475</v>
      </c>
      <c r="C10" s="82" t="s">
        <v>625</v>
      </c>
      <c r="D10" s="54">
        <f>IF(COUNTIF(tSIAF[Clave],"2723296|475")=0,"",SUMIF(tSIAF[Clave],"2723296|475",tSIAF[PIM]))</f>
        <v>159560</v>
      </c>
      <c r="E10" s="54">
        <f>IF(COUNTIF(tSIAF[Clave],"2723296|475")=0,"",SUMIF(tSIAF[Clave],"2723296|475",tSIAF[Certificacion]))</f>
        <v>141270</v>
      </c>
      <c r="F10" s="54">
        <f>IF(D10="","",D10-E10)</f>
        <v>18290</v>
      </c>
      <c r="G10" s="54">
        <f>IF(COUNTIF(tSIAF[Clave],"2723296|475")=0,"",SUMIF(tSIAF[Clave],"2723296|475",tSIAF[Devengado]))</f>
        <v>57830</v>
      </c>
      <c r="H10" s="54">
        <f>IF(D10="","",D10-G10)</f>
        <v>101730</v>
      </c>
      <c r="I10" s="66">
        <f>IF(D10="","",IF(D10=0,0,G10/D10))</f>
        <v>0.36243419403359239</v>
      </c>
      <c r="J10" s="227"/>
      <c r="K10" s="227" t="s">
        <v>2299</v>
      </c>
      <c r="L10" s="236" t="str">
        <f>IF(COUNTIF(tCartera[CUI],"2723296")=0,"Sin PMI",IF(INDEX(tCartera[PMI2026],MATCH("2723296",tCartera[CUI],0))="","No informado",INDEX(tCartera[PMI2026],MATCH("2723296",tCartera[CUI],0))))</f>
        <v>Sin PMI</v>
      </c>
      <c r="M10" s="236" t="str">
        <f>IF(COUNTIF(tCartera[CUI],"2723296")=0,"Sin PMI",IF(INDEX(tCartera[PMI2027],MATCH("2723296",tCartera[CUI],0))="","No informado",INDEX(tCartera[PMI2027],MATCH("2723296",tCartera[CUI],0))))</f>
        <v>Sin PMI</v>
      </c>
      <c r="N10" s="236" t="str">
        <f>IF(COUNTIF(tCartera[CUI],"2723296")=0,"Sin PMI",IF(INDEX(tCartera[PMI2028],MATCH("2723296",tCartera[CUI],0))="","No informado",INDEX(tCartera[PMI2028],MATCH("2723296",tCartera[CUI],0))))</f>
        <v>Sin PMI</v>
      </c>
      <c r="O10" s="236" t="str">
        <f>IF(COUNTIF(tCartera[CUI],"2723296")=0,"Sin PMI",IF(INDEX(tCartera[PMI2029],MATCH("2723296",tCartera[CUI],0))="","No informado",INDEX(tCartera[PMI2029],MATCH("2723296",tCartera[CUI],0))))</f>
        <v>Sin PMI</v>
      </c>
    </row>
    <row r="11" spans="1:15" ht="63.75" x14ac:dyDescent="0.2">
      <c r="A11" s="52">
        <f>SUBTOTAL(103,$B$8:B11)+287</f>
        <v>291</v>
      </c>
      <c r="B11" s="69">
        <v>410</v>
      </c>
      <c r="C11" s="82" t="s">
        <v>562</v>
      </c>
      <c r="D11" s="54">
        <f>IF(COUNTIF(tSIAF[Clave],"2717175|410")=0,"",SUMIF(tSIAF[Clave],"2717175|410",tSIAF[PIM]))</f>
        <v>158892</v>
      </c>
      <c r="E11" s="54">
        <f>IF(COUNTIF(tSIAF[Clave],"2717175|410")=0,"",SUMIF(tSIAF[Clave],"2717175|410",tSIAF[Certificacion]))</f>
        <v>146558.5</v>
      </c>
      <c r="F11" s="54">
        <f>IF(D11="","",D11-E11)</f>
        <v>12333.5</v>
      </c>
      <c r="G11" s="54">
        <f>IF(COUNTIF(tSIAF[Clave],"2717175|410")=0,"",SUMIF(tSIAF[Clave],"2717175|410",tSIAF[Devengado]))</f>
        <v>97358.5</v>
      </c>
      <c r="H11" s="54">
        <f>IF(D11="","",D11-G11)</f>
        <v>61533.5</v>
      </c>
      <c r="I11" s="66">
        <f>IF(D11="","",IF(D11=0,0,G11/D11))</f>
        <v>0.6127338066107797</v>
      </c>
      <c r="J11" s="227"/>
      <c r="K11" s="227" t="s">
        <v>2299</v>
      </c>
      <c r="L11" s="236" t="str">
        <f>IF(COUNTIF(tCartera[CUI],"2717175")=0,"Sin PMI",IF(INDEX(tCartera[PMI2026],MATCH("2717175",tCartera[CUI],0))="","No informado",INDEX(tCartera[PMI2026],MATCH("2717175",tCartera[CUI],0))))</f>
        <v>Sin PMI</v>
      </c>
      <c r="M11" s="236" t="str">
        <f>IF(COUNTIF(tCartera[CUI],"2717175")=0,"Sin PMI",IF(INDEX(tCartera[PMI2027],MATCH("2717175",tCartera[CUI],0))="","No informado",INDEX(tCartera[PMI2027],MATCH("2717175",tCartera[CUI],0))))</f>
        <v>Sin PMI</v>
      </c>
      <c r="N11" s="236" t="str">
        <f>IF(COUNTIF(tCartera[CUI],"2717175")=0,"Sin PMI",IF(INDEX(tCartera[PMI2028],MATCH("2717175",tCartera[CUI],0))="","No informado",INDEX(tCartera[PMI2028],MATCH("2717175",tCartera[CUI],0))))</f>
        <v>Sin PMI</v>
      </c>
      <c r="O11" s="236" t="str">
        <f>IF(COUNTIF(tCartera[CUI],"2717175")=0,"Sin PMI",IF(INDEX(tCartera[PMI2029],MATCH("2717175",tCartera[CUI],0))="","No informado",INDEX(tCartera[PMI2029],MATCH("2717175",tCartera[CUI],0))))</f>
        <v>Sin PMI</v>
      </c>
    </row>
    <row r="12" spans="1:15" x14ac:dyDescent="0.2">
      <c r="A12" s="150" t="s">
        <v>612</v>
      </c>
      <c r="B12" s="150"/>
      <c r="C12" s="150"/>
      <c r="D12" s="50">
        <f>D13+D14</f>
        <v>243160</v>
      </c>
      <c r="E12" s="50">
        <f>E13+E14</f>
        <v>83160</v>
      </c>
      <c r="F12" s="50">
        <f>D12-E12</f>
        <v>160000</v>
      </c>
      <c r="G12" s="50">
        <f>G13+G14</f>
        <v>83100.399999999994</v>
      </c>
      <c r="H12" s="50">
        <f>D12-G12</f>
        <v>160059.6</v>
      </c>
      <c r="I12" s="51">
        <f>IF(D12=0,0,G12/D12)</f>
        <v>0.34175193288369793</v>
      </c>
      <c r="J12" s="221"/>
      <c r="K12" s="221"/>
      <c r="L12" s="230"/>
      <c r="M12" s="230"/>
      <c r="N12" s="230"/>
      <c r="O12" s="230"/>
    </row>
    <row r="13" spans="1:15" ht="63.75" x14ac:dyDescent="0.2">
      <c r="A13" s="52">
        <f>SUBTOTAL(103,$B$8:B13)+287</f>
        <v>292</v>
      </c>
      <c r="B13" s="69">
        <v>399</v>
      </c>
      <c r="C13" s="82" t="s">
        <v>551</v>
      </c>
      <c r="D13" s="54">
        <f>IF(COUNTIF(tSIAF[Clave],"2717164|399")=0,"",SUMIF(tSIAF[Clave],"2717164|399",tSIAF[PIM]))</f>
        <v>160000</v>
      </c>
      <c r="E13" s="54">
        <f>IF(COUNTIF(tSIAF[Clave],"2717164|399")=0,"",SUMIF(tSIAF[Clave],"2717164|399",tSIAF[Certificacion]))</f>
        <v>0</v>
      </c>
      <c r="F13" s="54">
        <f>IF(D13="","",D13-E13)</f>
        <v>160000</v>
      </c>
      <c r="G13" s="54">
        <f>IF(COUNTIF(tSIAF[Clave],"2717164|399")=0,"",SUMIF(tSIAF[Clave],"2717164|399",tSIAF[Devengado]))</f>
        <v>0</v>
      </c>
      <c r="H13" s="54">
        <f>IF(D13="","",D13-G13)</f>
        <v>160000</v>
      </c>
      <c r="I13" s="66">
        <f>IF(D13="","",IF(D13=0,0,G13/D13))</f>
        <v>0</v>
      </c>
      <c r="J13" s="227"/>
      <c r="K13" s="227" t="s">
        <v>2299</v>
      </c>
      <c r="L13" s="236" t="str">
        <f>IF(COUNTIF(tCartera[CUI],"2717164")=0,"Sin PMI",IF(INDEX(tCartera[PMI2026],MATCH("2717164",tCartera[CUI],0))="","No informado",INDEX(tCartera[PMI2026],MATCH("2717164",tCartera[CUI],0))))</f>
        <v>Sin PMI</v>
      </c>
      <c r="M13" s="236" t="str">
        <f>IF(COUNTIF(tCartera[CUI],"2717164")=0,"Sin PMI",IF(INDEX(tCartera[PMI2027],MATCH("2717164",tCartera[CUI],0))="","No informado",INDEX(tCartera[PMI2027],MATCH("2717164",tCartera[CUI],0))))</f>
        <v>Sin PMI</v>
      </c>
      <c r="N13" s="236" t="str">
        <f>IF(COUNTIF(tCartera[CUI],"2717164")=0,"Sin PMI",IF(INDEX(tCartera[PMI2028],MATCH("2717164",tCartera[CUI],0))="","No informado",INDEX(tCartera[PMI2028],MATCH("2717164",tCartera[CUI],0))))</f>
        <v>Sin PMI</v>
      </c>
      <c r="O13" s="236" t="str">
        <f>IF(COUNTIF(tCartera[CUI],"2717164")=0,"Sin PMI",IF(INDEX(tCartera[PMI2029],MATCH("2717164",tCartera[CUI],0))="","No informado",INDEX(tCartera[PMI2029],MATCH("2717164",tCartera[CUI],0))))</f>
        <v>Sin PMI</v>
      </c>
    </row>
    <row r="14" spans="1:15" ht="51" x14ac:dyDescent="0.2">
      <c r="A14" s="52">
        <f>SUBTOTAL(103,$B$8:B14)+287</f>
        <v>293</v>
      </c>
      <c r="B14" s="69">
        <v>373</v>
      </c>
      <c r="C14" s="82" t="s">
        <v>412</v>
      </c>
      <c r="D14" s="54">
        <f>IF(COUNTIF(tSIAF[Clave],"2676438|373")=0,"",SUMIF(tSIAF[Clave],"2676438|373",tSIAF[PIM]))</f>
        <v>83160</v>
      </c>
      <c r="E14" s="54">
        <f>IF(COUNTIF(tSIAF[Clave],"2676438|373")=0,"",SUMIF(tSIAF[Clave],"2676438|373",tSIAF[Certificacion]))</f>
        <v>83160</v>
      </c>
      <c r="F14" s="54">
        <f>IF(D14="","",D14-E14)</f>
        <v>0</v>
      </c>
      <c r="G14" s="54">
        <f>IF(COUNTIF(tSIAF[Clave],"2676438|373")=0,"",SUMIF(tSIAF[Clave],"2676438|373",tSIAF[Devengado]))</f>
        <v>83100.399999999994</v>
      </c>
      <c r="H14" s="54">
        <f>IF(D14="","",D14-G14)</f>
        <v>59.600000000005821</v>
      </c>
      <c r="I14" s="66">
        <f>IF(D14="","",IF(D14=0,0,G14/D14))</f>
        <v>0.99928330928330922</v>
      </c>
      <c r="J14" s="227"/>
      <c r="K14" s="227" t="s">
        <v>2299</v>
      </c>
      <c r="L14" s="236" t="str">
        <f>IF(COUNTIF(tCartera[CUI],"2676438")=0,"Sin PMI",IF(INDEX(tCartera[PMI2026],MATCH("2676438",tCartera[CUI],0))="","No informado",INDEX(tCartera[PMI2026],MATCH("2676438",tCartera[CUI],0))))</f>
        <v>Sin PMI</v>
      </c>
      <c r="M14" s="236" t="str">
        <f>IF(COUNTIF(tCartera[CUI],"2676438")=0,"Sin PMI",IF(INDEX(tCartera[PMI2027],MATCH("2676438",tCartera[CUI],0))="","No informado",INDEX(tCartera[PMI2027],MATCH("2676438",tCartera[CUI],0))))</f>
        <v>Sin PMI</v>
      </c>
      <c r="N14" s="236" t="str">
        <f>IF(COUNTIF(tCartera[CUI],"2676438")=0,"Sin PMI",IF(INDEX(tCartera[PMI2028],MATCH("2676438",tCartera[CUI],0))="","No informado",INDEX(tCartera[PMI2028],MATCH("2676438",tCartera[CUI],0))))</f>
        <v>Sin PMI</v>
      </c>
      <c r="O14" s="236" t="str">
        <f>IF(COUNTIF(tCartera[CUI],"2676438")=0,"Sin PMI",IF(INDEX(tCartera[PMI2029],MATCH("2676438",tCartera[CUI],0))="","No informado",INDEX(tCartera[PMI2029],MATCH("2676438",tCartera[CUI],0))))</f>
        <v>Sin PMI</v>
      </c>
    </row>
    <row r="15" spans="1:15" x14ac:dyDescent="0.2">
      <c r="A15" s="150" t="s">
        <v>615</v>
      </c>
      <c r="B15" s="150"/>
      <c r="C15" s="150"/>
      <c r="D15" s="50">
        <f>D16+D17</f>
        <v>1098209</v>
      </c>
      <c r="E15" s="50">
        <f>E16+E17</f>
        <v>995606.03</v>
      </c>
      <c r="F15" s="50">
        <f>D15-E15</f>
        <v>102602.96999999997</v>
      </c>
      <c r="G15" s="50">
        <f>G16+G17</f>
        <v>677101.76</v>
      </c>
      <c r="H15" s="50">
        <f>D15-G15</f>
        <v>421107.24</v>
      </c>
      <c r="I15" s="51">
        <f>IF(D15=0,0,G15/D15)</f>
        <v>0.61655091152959041</v>
      </c>
      <c r="J15" s="221"/>
      <c r="K15" s="221"/>
      <c r="L15" s="230"/>
      <c r="M15" s="230"/>
      <c r="N15" s="230"/>
      <c r="O15" s="230"/>
    </row>
    <row r="16" spans="1:15" ht="12.75" x14ac:dyDescent="0.2">
      <c r="A16" s="52">
        <f>SUBTOTAL(103,$B$8:B16)+287</f>
        <v>294</v>
      </c>
      <c r="B16" s="69">
        <v>216</v>
      </c>
      <c r="C16" s="82" t="s">
        <v>137</v>
      </c>
      <c r="D16" s="60">
        <f>IF(COUNTIF(tSIAF[Clave],"2016766|216")=0,"",SUMIF(tSIAF[Clave],"2016766|216",tSIAF[PIM]))</f>
        <v>928209</v>
      </c>
      <c r="E16" s="60">
        <f>IF(COUNTIF(tSIAF[Clave],"2016766|216")=0,"",SUMIF(tSIAF[Clave],"2016766|216",tSIAF[Certificacion]))</f>
        <v>900951.03</v>
      </c>
      <c r="F16" s="60">
        <f>IF(D16="","",D16-E16)</f>
        <v>27257.969999999972</v>
      </c>
      <c r="G16" s="60">
        <f>IF(COUNTIF(tSIAF[Clave],"2016766|216")=0,"",SUMIF(tSIAF[Clave],"2016766|216",tSIAF[Devengado]))</f>
        <v>633092.52</v>
      </c>
      <c r="H16" s="60">
        <f>IF(D16="","",D16-G16)</f>
        <v>295116.48</v>
      </c>
      <c r="I16" s="66">
        <f>IF(D16="","",IF(D16=0,0,G16/D16))</f>
        <v>0.68205815716072571</v>
      </c>
      <c r="J16" s="227"/>
      <c r="K16" s="227" t="s">
        <v>2299</v>
      </c>
      <c r="L16" s="236" t="str">
        <f>IF(COUNTIF(tCartera[CUI],"2016766")=0,"Sin PMI",IF(INDEX(tCartera[PMI2026],MATCH("2016766",tCartera[CUI],0))="","No informado",INDEX(tCartera[PMI2026],MATCH("2016766",tCartera[CUI],0))))</f>
        <v>Sin PMI</v>
      </c>
      <c r="M16" s="236" t="str">
        <f>IF(COUNTIF(tCartera[CUI],"2016766")=0,"Sin PMI",IF(INDEX(tCartera[PMI2027],MATCH("2016766",tCartera[CUI],0))="","No informado",INDEX(tCartera[PMI2027],MATCH("2016766",tCartera[CUI],0))))</f>
        <v>Sin PMI</v>
      </c>
      <c r="N16" s="236" t="str">
        <f>IF(COUNTIF(tCartera[CUI],"2016766")=0,"Sin PMI",IF(INDEX(tCartera[PMI2028],MATCH("2016766",tCartera[CUI],0))="","No informado",INDEX(tCartera[PMI2028],MATCH("2016766",tCartera[CUI],0))))</f>
        <v>Sin PMI</v>
      </c>
      <c r="O16" s="236" t="str">
        <f>IF(COUNTIF(tCartera[CUI],"2016766")=0,"Sin PMI",IF(INDEX(tCartera[PMI2029],MATCH("2016766",tCartera[CUI],0))="","No informado",INDEX(tCartera[PMI2029],MATCH("2016766",tCartera[CUI],0))))</f>
        <v>Sin PMI</v>
      </c>
    </row>
    <row r="17" spans="1:15" ht="12.75" x14ac:dyDescent="0.2">
      <c r="A17" s="52">
        <f>SUBTOTAL(103,$B$8:B17)+287</f>
        <v>295</v>
      </c>
      <c r="B17" s="69">
        <v>493</v>
      </c>
      <c r="C17" s="82" t="s">
        <v>137</v>
      </c>
      <c r="D17" s="60">
        <f>IF(COUNTIF(tSIAF[Clave],"2016766|493")=0,"",SUMIF(tSIAF[Clave],"2016766|493",tSIAF[PIM]))</f>
        <v>170000</v>
      </c>
      <c r="E17" s="60">
        <f>IF(COUNTIF(tSIAF[Clave],"2016766|493")=0,"",SUMIF(tSIAF[Clave],"2016766|493",tSIAF[Certificacion]))</f>
        <v>94655</v>
      </c>
      <c r="F17" s="60">
        <f>IF(D17="","",D17-E17)</f>
        <v>75345</v>
      </c>
      <c r="G17" s="60">
        <f>IF(COUNTIF(tSIAF[Clave],"2016766|493")=0,"",SUMIF(tSIAF[Clave],"2016766|493",tSIAF[Devengado]))</f>
        <v>44009.24</v>
      </c>
      <c r="H17" s="60">
        <f>IF(D17="","",D17-G17)</f>
        <v>125990.76000000001</v>
      </c>
      <c r="I17" s="66">
        <f>IF(D17="","",IF(D17=0,0,G17/D17))</f>
        <v>0.25887788235294118</v>
      </c>
      <c r="J17" s="227"/>
      <c r="K17" s="227" t="s">
        <v>2299</v>
      </c>
      <c r="L17" s="236" t="str">
        <f>IF(COUNTIF(tCartera[CUI],"2016766")=0,"Sin PMI",IF(INDEX(tCartera[PMI2026],MATCH("2016766",tCartera[CUI],0))="","No informado",INDEX(tCartera[PMI2026],MATCH("2016766",tCartera[CUI],0))))</f>
        <v>Sin PMI</v>
      </c>
      <c r="M17" s="236" t="str">
        <f>IF(COUNTIF(tCartera[CUI],"2016766")=0,"Sin PMI",IF(INDEX(tCartera[PMI2027],MATCH("2016766",tCartera[CUI],0))="","No informado",INDEX(tCartera[PMI2027],MATCH("2016766",tCartera[CUI],0))))</f>
        <v>Sin PMI</v>
      </c>
      <c r="N17" s="236" t="str">
        <f>IF(COUNTIF(tCartera[CUI],"2016766")=0,"Sin PMI",IF(INDEX(tCartera[PMI2028],MATCH("2016766",tCartera[CUI],0))="","No informado",INDEX(tCartera[PMI2028],MATCH("2016766",tCartera[CUI],0))))</f>
        <v>Sin PMI</v>
      </c>
      <c r="O17" s="236" t="str">
        <f>IF(COUNTIF(tCartera[CUI],"2016766")=0,"Sin PMI",IF(INDEX(tCartera[PMI2029],MATCH("2016766",tCartera[CUI],0))="","No informado",INDEX(tCartera[PMI2029],MATCH("2016766",tCartera[CUI],0))))</f>
        <v>Sin PMI</v>
      </c>
    </row>
    <row r="18" spans="1:15" x14ac:dyDescent="0.2">
      <c r="A18" s="150" t="s">
        <v>613</v>
      </c>
      <c r="B18" s="150"/>
      <c r="C18" s="150"/>
      <c r="D18" s="50">
        <f>D19+D20+D21+D22+D23+D24+D25+D26+D27+D28+D29+D30+D31+D32+D33+D34+D35+D36+D37+D38+D39+D40+D41+D42+D43+D44+D45+D46+D47+D48+D49+D50+D51+D52+D53+D54+D55+D56+D57+D58+D59+D60+D61+D62+D63+D64+D65+D66+D67+D68+D69+D70+D71+D72+D73+D74+D75+D76+D77+D78+D79+D80+D81+D82</f>
        <v>8596003</v>
      </c>
      <c r="E18" s="50">
        <f>E19+E20+E21+E22+E23+E24+E25+E26+E27+E28+E29+E30+E31+E32+E33+E34+E35+E36+E37+E38+E39+E40+E41+E42+E43+E44+E45+E46+E47+E48+E49+E50+E51+E52+E53+E54+E55+E56+E57+E58+E59+E60+E61+E62+E63+E64+E65+E66+E67+E68+E69+E70+E71+E72+E73+E74+E75+E76+E77+E78+E79+E80+E81+E82</f>
        <v>7643005.1499999994</v>
      </c>
      <c r="F18" s="50">
        <f>D18-E18</f>
        <v>952997.85000000056</v>
      </c>
      <c r="G18" s="50">
        <f>G19+G20+G21+G22+G23+G24+G25+G26+G27+G28+G29+G30+G31+G32+G33+G34+G35+G36+G37+G38+G39+G40+G41+G42+G43+G44+G45+G46+G47+G48+G49+G50+G51+G52+G53+G54+G55+G56+G57+G58+G59+G60+G61+G62+G63+G64+G65+G66+G67+G68+G69+G70+G71+G72+G73+G74+G75+G76+G77+G78+G79+G80+G81+G82</f>
        <v>4006476.24</v>
      </c>
      <c r="H18" s="50">
        <f>D18-G18</f>
        <v>4589526.76</v>
      </c>
      <c r="I18" s="51">
        <f>IF(D18=0,0,G18/D18)</f>
        <v>0.46608595180806711</v>
      </c>
      <c r="J18" s="221"/>
      <c r="K18" s="221"/>
      <c r="L18" s="230"/>
      <c r="M18" s="230"/>
      <c r="N18" s="230"/>
      <c r="O18" s="230"/>
    </row>
    <row r="19" spans="1:15" ht="38.25" x14ac:dyDescent="0.2">
      <c r="A19" s="52">
        <f>SUBTOTAL(103,$B$8:B19)+287</f>
        <v>296</v>
      </c>
      <c r="B19" s="69">
        <v>418</v>
      </c>
      <c r="C19" s="82" t="s">
        <v>570</v>
      </c>
      <c r="D19" s="54">
        <f>IF(COUNTIF(tSIAF[Clave],"2717186|418")=0,"",SUMIF(tSIAF[Clave],"2717186|418",tSIAF[PIM]))</f>
        <v>350000</v>
      </c>
      <c r="E19" s="54">
        <f>IF(COUNTIF(tSIAF[Clave],"2717186|418")=0,"",SUMIF(tSIAF[Clave],"2717186|418",tSIAF[Certificacion]))</f>
        <v>334060</v>
      </c>
      <c r="F19" s="54">
        <f>IF(D19="","",D19-E19)</f>
        <v>15940</v>
      </c>
      <c r="G19" s="54">
        <f>IF(COUNTIF(tSIAF[Clave],"2717186|418")=0,"",SUMIF(tSIAF[Clave],"2717186|418",tSIAF[Devengado]))</f>
        <v>65360</v>
      </c>
      <c r="H19" s="54">
        <f>IF(D19="","",D19-G19)</f>
        <v>284640</v>
      </c>
      <c r="I19" s="66">
        <f>IF(D19="","",IF(D19=0,0,G19/D19))</f>
        <v>0.18674285714285715</v>
      </c>
      <c r="J19" s="227"/>
      <c r="K19" s="227" t="s">
        <v>2299</v>
      </c>
      <c r="L19" s="236" t="str">
        <f>IF(COUNTIF(tCartera[CUI],"2717186")=0,"Sin PMI",IF(INDEX(tCartera[PMI2026],MATCH("2717186",tCartera[CUI],0))="","No informado",INDEX(tCartera[PMI2026],MATCH("2717186",tCartera[CUI],0))))</f>
        <v>Sin PMI</v>
      </c>
      <c r="M19" s="236" t="str">
        <f>IF(COUNTIF(tCartera[CUI],"2717186")=0,"Sin PMI",IF(INDEX(tCartera[PMI2027],MATCH("2717186",tCartera[CUI],0))="","No informado",INDEX(tCartera[PMI2027],MATCH("2717186",tCartera[CUI],0))))</f>
        <v>Sin PMI</v>
      </c>
      <c r="N19" s="236" t="str">
        <f>IF(COUNTIF(tCartera[CUI],"2717186")=0,"Sin PMI",IF(INDEX(tCartera[PMI2028],MATCH("2717186",tCartera[CUI],0))="","No informado",INDEX(tCartera[PMI2028],MATCH("2717186",tCartera[CUI],0))))</f>
        <v>Sin PMI</v>
      </c>
      <c r="O19" s="236" t="str">
        <f>IF(COUNTIF(tCartera[CUI],"2717186")=0,"Sin PMI",IF(INDEX(tCartera[PMI2029],MATCH("2717186",tCartera[CUI],0))="","No informado",INDEX(tCartera[PMI2029],MATCH("2717186",tCartera[CUI],0))))</f>
        <v>Sin PMI</v>
      </c>
    </row>
    <row r="20" spans="1:15" ht="38.25" x14ac:dyDescent="0.2">
      <c r="A20" s="52">
        <f>SUBTOTAL(103,$B$8:B20)+287</f>
        <v>297</v>
      </c>
      <c r="B20" s="69">
        <v>424</v>
      </c>
      <c r="C20" s="82" t="s">
        <v>576</v>
      </c>
      <c r="D20" s="54">
        <f>IF(COUNTIF(tSIAF[Clave],"2717193|424")=0,"",SUMIF(tSIAF[Clave],"2717193|424",tSIAF[PIM]))</f>
        <v>349950</v>
      </c>
      <c r="E20" s="54">
        <f>IF(COUNTIF(tSIAF[Clave],"2717193|424")=0,"",SUMIF(tSIAF[Clave],"2717193|424",tSIAF[Certificacion]))</f>
        <v>287705</v>
      </c>
      <c r="F20" s="54">
        <f>IF(D20="","",D20-E20)</f>
        <v>62245</v>
      </c>
      <c r="G20" s="54">
        <f>IF(COUNTIF(tSIAF[Clave],"2717193|424")=0,"",SUMIF(tSIAF[Clave],"2717193|424",tSIAF[Devengado]))</f>
        <v>136062</v>
      </c>
      <c r="H20" s="54">
        <f>IF(D20="","",D20-G20)</f>
        <v>213888</v>
      </c>
      <c r="I20" s="66">
        <f>IF(D20="","",IF(D20=0,0,G20/D20))</f>
        <v>0.38880411487355337</v>
      </c>
      <c r="J20" s="227"/>
      <c r="K20" s="227" t="s">
        <v>2299</v>
      </c>
      <c r="L20" s="236" t="str">
        <f>IF(COUNTIF(tCartera[CUI],"2717193")=0,"Sin PMI",IF(INDEX(tCartera[PMI2026],MATCH("2717193",tCartera[CUI],0))="","No informado",INDEX(tCartera[PMI2026],MATCH("2717193",tCartera[CUI],0))))</f>
        <v>Sin PMI</v>
      </c>
      <c r="M20" s="236" t="str">
        <f>IF(COUNTIF(tCartera[CUI],"2717193")=0,"Sin PMI",IF(INDEX(tCartera[PMI2027],MATCH("2717193",tCartera[CUI],0))="","No informado",INDEX(tCartera[PMI2027],MATCH("2717193",tCartera[CUI],0))))</f>
        <v>Sin PMI</v>
      </c>
      <c r="N20" s="236" t="str">
        <f>IF(COUNTIF(tCartera[CUI],"2717193")=0,"Sin PMI",IF(INDEX(tCartera[PMI2028],MATCH("2717193",tCartera[CUI],0))="","No informado",INDEX(tCartera[PMI2028],MATCH("2717193",tCartera[CUI],0))))</f>
        <v>Sin PMI</v>
      </c>
      <c r="O20" s="236" t="str">
        <f>IF(COUNTIF(tCartera[CUI],"2717193")=0,"Sin PMI",IF(INDEX(tCartera[PMI2029],MATCH("2717193",tCartera[CUI],0))="","No informado",INDEX(tCartera[PMI2029],MATCH("2717193",tCartera[CUI],0))))</f>
        <v>Sin PMI</v>
      </c>
    </row>
    <row r="21" spans="1:15" ht="38.25" x14ac:dyDescent="0.2">
      <c r="A21" s="52">
        <f>SUBTOTAL(103,$B$8:B21)+287</f>
        <v>298</v>
      </c>
      <c r="B21" s="69">
        <v>413</v>
      </c>
      <c r="C21" s="82" t="s">
        <v>565</v>
      </c>
      <c r="D21" s="54">
        <f>IF(COUNTIF(tSIAF[Clave],"2717178|413")=0,"",SUMIF(tSIAF[Clave],"2717178|413",tSIAF[PIM]))</f>
        <v>349899</v>
      </c>
      <c r="E21" s="54">
        <f>IF(COUNTIF(tSIAF[Clave],"2717178|413")=0,"",SUMIF(tSIAF[Clave],"2717178|413",tSIAF[Certificacion]))</f>
        <v>307070</v>
      </c>
      <c r="F21" s="54">
        <f>IF(D21="","",D21-E21)</f>
        <v>42829</v>
      </c>
      <c r="G21" s="54">
        <f>IF(COUNTIF(tSIAF[Clave],"2717178|413")=0,"",SUMIF(tSIAF[Clave],"2717178|413",tSIAF[Devengado]))</f>
        <v>10500</v>
      </c>
      <c r="H21" s="54">
        <f>IF(D21="","",D21-G21)</f>
        <v>339399</v>
      </c>
      <c r="I21" s="66">
        <f>IF(D21="","",IF(D21=0,0,G21/D21))</f>
        <v>3.0008659641782343E-2</v>
      </c>
      <c r="J21" s="227"/>
      <c r="K21" s="227" t="s">
        <v>2299</v>
      </c>
      <c r="L21" s="236" t="str">
        <f>IF(COUNTIF(tCartera[CUI],"2717178")=0,"Sin PMI",IF(INDEX(tCartera[PMI2026],MATCH("2717178",tCartera[CUI],0))="","No informado",INDEX(tCartera[PMI2026],MATCH("2717178",tCartera[CUI],0))))</f>
        <v>Sin PMI</v>
      </c>
      <c r="M21" s="236" t="str">
        <f>IF(COUNTIF(tCartera[CUI],"2717178")=0,"Sin PMI",IF(INDEX(tCartera[PMI2027],MATCH("2717178",tCartera[CUI],0))="","No informado",INDEX(tCartera[PMI2027],MATCH("2717178",tCartera[CUI],0))))</f>
        <v>Sin PMI</v>
      </c>
      <c r="N21" s="236" t="str">
        <f>IF(COUNTIF(tCartera[CUI],"2717178")=0,"Sin PMI",IF(INDEX(tCartera[PMI2028],MATCH("2717178",tCartera[CUI],0))="","No informado",INDEX(tCartera[PMI2028],MATCH("2717178",tCartera[CUI],0))))</f>
        <v>Sin PMI</v>
      </c>
      <c r="O21" s="236" t="str">
        <f>IF(COUNTIF(tCartera[CUI],"2717178")=0,"Sin PMI",IF(INDEX(tCartera[PMI2029],MATCH("2717178",tCartera[CUI],0))="","No informado",INDEX(tCartera[PMI2029],MATCH("2717178",tCartera[CUI],0))))</f>
        <v>Sin PMI</v>
      </c>
    </row>
    <row r="22" spans="1:15" ht="51" x14ac:dyDescent="0.2">
      <c r="A22" s="52">
        <f>SUBTOTAL(103,$B$8:B22)+287</f>
        <v>299</v>
      </c>
      <c r="B22" s="69">
        <v>394</v>
      </c>
      <c r="C22" s="82" t="s">
        <v>546</v>
      </c>
      <c r="D22" s="54">
        <f>IF(COUNTIF(tSIAF[Clave],"2717158|394")=0,"",SUMIF(tSIAF[Clave],"2717158|394",tSIAF[PIM]))</f>
        <v>349792</v>
      </c>
      <c r="E22" s="54">
        <f>IF(COUNTIF(tSIAF[Clave],"2717158|394")=0,"",SUMIF(tSIAF[Clave],"2717158|394",tSIAF[Certificacion]))</f>
        <v>321500</v>
      </c>
      <c r="F22" s="54">
        <f>IF(D22="","",D22-E22)</f>
        <v>28292</v>
      </c>
      <c r="G22" s="54">
        <f>IF(COUNTIF(tSIAF[Clave],"2717158|394")=0,"",SUMIF(tSIAF[Clave],"2717158|394",tSIAF[Devengado]))</f>
        <v>0</v>
      </c>
      <c r="H22" s="54">
        <f>IF(D22="","",D22-G22)</f>
        <v>349792</v>
      </c>
      <c r="I22" s="66">
        <f>IF(D22="","",IF(D22=0,0,G22/D22))</f>
        <v>0</v>
      </c>
      <c r="J22" s="227"/>
      <c r="K22" s="227" t="s">
        <v>2299</v>
      </c>
      <c r="L22" s="236" t="str">
        <f>IF(COUNTIF(tCartera[CUI],"2717158")=0,"Sin PMI",IF(INDEX(tCartera[PMI2026],MATCH("2717158",tCartera[CUI],0))="","No informado",INDEX(tCartera[PMI2026],MATCH("2717158",tCartera[CUI],0))))</f>
        <v>Sin PMI</v>
      </c>
      <c r="M22" s="236" t="str">
        <f>IF(COUNTIF(tCartera[CUI],"2717158")=0,"Sin PMI",IF(INDEX(tCartera[PMI2027],MATCH("2717158",tCartera[CUI],0))="","No informado",INDEX(tCartera[PMI2027],MATCH("2717158",tCartera[CUI],0))))</f>
        <v>Sin PMI</v>
      </c>
      <c r="N22" s="236" t="str">
        <f>IF(COUNTIF(tCartera[CUI],"2717158")=0,"Sin PMI",IF(INDEX(tCartera[PMI2028],MATCH("2717158",tCartera[CUI],0))="","No informado",INDEX(tCartera[PMI2028],MATCH("2717158",tCartera[CUI],0))))</f>
        <v>Sin PMI</v>
      </c>
      <c r="O22" s="236" t="str">
        <f>IF(COUNTIF(tCartera[CUI],"2717158")=0,"Sin PMI",IF(INDEX(tCartera[PMI2029],MATCH("2717158",tCartera[CUI],0))="","No informado",INDEX(tCartera[PMI2029],MATCH("2717158",tCartera[CUI],0))))</f>
        <v>Sin PMI</v>
      </c>
    </row>
    <row r="23" spans="1:15" ht="51" x14ac:dyDescent="0.2">
      <c r="A23" s="52">
        <f>SUBTOTAL(103,$B$8:B23)+287</f>
        <v>300</v>
      </c>
      <c r="B23" s="69">
        <v>408</v>
      </c>
      <c r="C23" s="82" t="s">
        <v>560</v>
      </c>
      <c r="D23" s="54">
        <f>IF(COUNTIF(tSIAF[Clave],"2717173|408")=0,"",SUMIF(tSIAF[Clave],"2717173|408",tSIAF[PIM]))</f>
        <v>349792</v>
      </c>
      <c r="E23" s="54">
        <f>IF(COUNTIF(tSIAF[Clave],"2717173|408")=0,"",SUMIF(tSIAF[Clave],"2717173|408",tSIAF[Certificacion]))</f>
        <v>329100</v>
      </c>
      <c r="F23" s="54">
        <f>IF(D23="","",D23-E23)</f>
        <v>20692</v>
      </c>
      <c r="G23" s="54">
        <f>IF(COUNTIF(tSIAF[Clave],"2717173|408")=0,"",SUMIF(tSIAF[Clave],"2717173|408",tSIAF[Devengado]))</f>
        <v>0</v>
      </c>
      <c r="H23" s="54">
        <f>IF(D23="","",D23-G23)</f>
        <v>349792</v>
      </c>
      <c r="I23" s="66">
        <f>IF(D23="","",IF(D23=0,0,G23/D23))</f>
        <v>0</v>
      </c>
      <c r="J23" s="227"/>
      <c r="K23" s="227" t="s">
        <v>2299</v>
      </c>
      <c r="L23" s="236" t="str">
        <f>IF(COUNTIF(tCartera[CUI],"2717173")=0,"Sin PMI",IF(INDEX(tCartera[PMI2026],MATCH("2717173",tCartera[CUI],0))="","No informado",INDEX(tCartera[PMI2026],MATCH("2717173",tCartera[CUI],0))))</f>
        <v>Sin PMI</v>
      </c>
      <c r="M23" s="236" t="str">
        <f>IF(COUNTIF(tCartera[CUI],"2717173")=0,"Sin PMI",IF(INDEX(tCartera[PMI2027],MATCH("2717173",tCartera[CUI],0))="","No informado",INDEX(tCartera[PMI2027],MATCH("2717173",tCartera[CUI],0))))</f>
        <v>Sin PMI</v>
      </c>
      <c r="N23" s="236" t="str">
        <f>IF(COUNTIF(tCartera[CUI],"2717173")=0,"Sin PMI",IF(INDEX(tCartera[PMI2028],MATCH("2717173",tCartera[CUI],0))="","No informado",INDEX(tCartera[PMI2028],MATCH("2717173",tCartera[CUI],0))))</f>
        <v>Sin PMI</v>
      </c>
      <c r="O23" s="236" t="str">
        <f>IF(COUNTIF(tCartera[CUI],"2717173")=0,"Sin PMI",IF(INDEX(tCartera[PMI2029],MATCH("2717173",tCartera[CUI],0))="","No informado",INDEX(tCartera[PMI2029],MATCH("2717173",tCartera[CUI],0))))</f>
        <v>Sin PMI</v>
      </c>
    </row>
    <row r="24" spans="1:15" ht="38.25" x14ac:dyDescent="0.2">
      <c r="A24" s="52">
        <f>SUBTOTAL(103,$B$8:B24)+287</f>
        <v>301</v>
      </c>
      <c r="B24" s="69">
        <v>421</v>
      </c>
      <c r="C24" s="82" t="s">
        <v>573</v>
      </c>
      <c r="D24" s="54">
        <f>IF(COUNTIF(tSIAF[Clave],"2717189|421")=0,"",SUMIF(tSIAF[Clave],"2717189|421",tSIAF[PIM]))</f>
        <v>346711</v>
      </c>
      <c r="E24" s="54">
        <f>IF(COUNTIF(tSIAF[Clave],"2717189|421")=0,"",SUMIF(tSIAF[Clave],"2717189|421",tSIAF[Certificacion]))</f>
        <v>318955</v>
      </c>
      <c r="F24" s="54">
        <f>IF(D24="","",D24-E24)</f>
        <v>27756</v>
      </c>
      <c r="G24" s="54">
        <f>IF(COUNTIF(tSIAF[Clave],"2717189|421")=0,"",SUMIF(tSIAF[Clave],"2717189|421",tSIAF[Devengado]))</f>
        <v>112190</v>
      </c>
      <c r="H24" s="54">
        <f>IF(D24="","",D24-G24)</f>
        <v>234521</v>
      </c>
      <c r="I24" s="66">
        <f>IF(D24="","",IF(D24=0,0,G24/D24))</f>
        <v>0.32358361863338631</v>
      </c>
      <c r="J24" s="227"/>
      <c r="K24" s="227" t="s">
        <v>2299</v>
      </c>
      <c r="L24" s="236" t="str">
        <f>IF(COUNTIF(tCartera[CUI],"2717189")=0,"Sin PMI",IF(INDEX(tCartera[PMI2026],MATCH("2717189",tCartera[CUI],0))="","No informado",INDEX(tCartera[PMI2026],MATCH("2717189",tCartera[CUI],0))))</f>
        <v>Sin PMI</v>
      </c>
      <c r="M24" s="236" t="str">
        <f>IF(COUNTIF(tCartera[CUI],"2717189")=0,"Sin PMI",IF(INDEX(tCartera[PMI2027],MATCH("2717189",tCartera[CUI],0))="","No informado",INDEX(tCartera[PMI2027],MATCH("2717189",tCartera[CUI],0))))</f>
        <v>Sin PMI</v>
      </c>
      <c r="N24" s="236" t="str">
        <f>IF(COUNTIF(tCartera[CUI],"2717189")=0,"Sin PMI",IF(INDEX(tCartera[PMI2028],MATCH("2717189",tCartera[CUI],0))="","No informado",INDEX(tCartera[PMI2028],MATCH("2717189",tCartera[CUI],0))))</f>
        <v>Sin PMI</v>
      </c>
      <c r="O24" s="236" t="str">
        <f>IF(COUNTIF(tCartera[CUI],"2717189")=0,"Sin PMI",IF(INDEX(tCartera[PMI2029],MATCH("2717189",tCartera[CUI],0))="","No informado",INDEX(tCartera[PMI2029],MATCH("2717189",tCartera[CUI],0))))</f>
        <v>Sin PMI</v>
      </c>
    </row>
    <row r="25" spans="1:15" ht="51" x14ac:dyDescent="0.2">
      <c r="A25" s="52">
        <f>SUBTOTAL(103,$B$8:B25)+287</f>
        <v>302</v>
      </c>
      <c r="B25" s="69">
        <v>387</v>
      </c>
      <c r="C25" s="82" t="s">
        <v>539</v>
      </c>
      <c r="D25" s="54">
        <f>IF(COUNTIF(tSIAF[Clave],"2717151|387")=0,"",SUMIF(tSIAF[Clave],"2717151|387",tSIAF[PIM]))</f>
        <v>269980</v>
      </c>
      <c r="E25" s="54">
        <f>IF(COUNTIF(tSIAF[Clave],"2717151|387")=0,"",SUMIF(tSIAF[Clave],"2717151|387",tSIAF[Certificacion]))</f>
        <v>259749</v>
      </c>
      <c r="F25" s="54">
        <f>IF(D25="","",D25-E25)</f>
        <v>10231</v>
      </c>
      <c r="G25" s="54">
        <f>IF(COUNTIF(tSIAF[Clave],"2717151|387")=0,"",SUMIF(tSIAF[Clave],"2717151|387",tSIAF[Devengado]))</f>
        <v>255066</v>
      </c>
      <c r="H25" s="54">
        <f>IF(D25="","",D25-G25)</f>
        <v>14914</v>
      </c>
      <c r="I25" s="66">
        <f>IF(D25="","",IF(D25=0,0,G25/D25))</f>
        <v>0.94475887102748357</v>
      </c>
      <c r="J25" s="227"/>
      <c r="K25" s="227" t="s">
        <v>2299</v>
      </c>
      <c r="L25" s="236" t="str">
        <f>IF(COUNTIF(tCartera[CUI],"2717151")=0,"Sin PMI",IF(INDEX(tCartera[PMI2026],MATCH("2717151",tCartera[CUI],0))="","No informado",INDEX(tCartera[PMI2026],MATCH("2717151",tCartera[CUI],0))))</f>
        <v>Sin PMI</v>
      </c>
      <c r="M25" s="236" t="str">
        <f>IF(COUNTIF(tCartera[CUI],"2717151")=0,"Sin PMI",IF(INDEX(tCartera[PMI2027],MATCH("2717151",tCartera[CUI],0))="","No informado",INDEX(tCartera[PMI2027],MATCH("2717151",tCartera[CUI],0))))</f>
        <v>Sin PMI</v>
      </c>
      <c r="N25" s="236" t="str">
        <f>IF(COUNTIF(tCartera[CUI],"2717151")=0,"Sin PMI",IF(INDEX(tCartera[PMI2028],MATCH("2717151",tCartera[CUI],0))="","No informado",INDEX(tCartera[PMI2028],MATCH("2717151",tCartera[CUI],0))))</f>
        <v>Sin PMI</v>
      </c>
      <c r="O25" s="236" t="str">
        <f>IF(COUNTIF(tCartera[CUI],"2717151")=0,"Sin PMI",IF(INDEX(tCartera[PMI2029],MATCH("2717151",tCartera[CUI],0))="","No informado",INDEX(tCartera[PMI2029],MATCH("2717151",tCartera[CUI],0))))</f>
        <v>Sin PMI</v>
      </c>
    </row>
    <row r="26" spans="1:15" ht="63.75" x14ac:dyDescent="0.2">
      <c r="A26" s="52">
        <f>SUBTOTAL(103,$B$8:B26)+287</f>
        <v>303</v>
      </c>
      <c r="B26" s="69">
        <v>378</v>
      </c>
      <c r="C26" s="82" t="s">
        <v>426</v>
      </c>
      <c r="D26" s="54">
        <f>IF(COUNTIF(tSIAF[Clave],"2676440|378")=0,"",SUMIF(tSIAF[Clave],"2676440|378",tSIAF[PIM]))</f>
        <v>209400</v>
      </c>
      <c r="E26" s="54">
        <f>IF(COUNTIF(tSIAF[Clave],"2676440|378")=0,"",SUMIF(tSIAF[Clave],"2676440|378",tSIAF[Certificacion]))</f>
        <v>176550</v>
      </c>
      <c r="F26" s="54">
        <f>IF(D26="","",D26-E26)</f>
        <v>32850</v>
      </c>
      <c r="G26" s="54">
        <f>IF(COUNTIF(tSIAF[Clave],"2676440|378")=0,"",SUMIF(tSIAF[Clave],"2676440|378",tSIAF[Devengado]))</f>
        <v>136550</v>
      </c>
      <c r="H26" s="54">
        <f>IF(D26="","",D26-G26)</f>
        <v>72850</v>
      </c>
      <c r="I26" s="66">
        <f>IF(D26="","",IF(D26=0,0,G26/D26))</f>
        <v>0.65210124164278893</v>
      </c>
      <c r="J26" s="227"/>
      <c r="K26" s="227" t="s">
        <v>2299</v>
      </c>
      <c r="L26" s="236" t="str">
        <f>IF(COUNTIF(tCartera[CUI],"2676440")=0,"Sin PMI",IF(INDEX(tCartera[PMI2026],MATCH("2676440",tCartera[CUI],0))="","No informado",INDEX(tCartera[PMI2026],MATCH("2676440",tCartera[CUI],0))))</f>
        <v>Sin PMI</v>
      </c>
      <c r="M26" s="236" t="str">
        <f>IF(COUNTIF(tCartera[CUI],"2676440")=0,"Sin PMI",IF(INDEX(tCartera[PMI2027],MATCH("2676440",tCartera[CUI],0))="","No informado",INDEX(tCartera[PMI2027],MATCH("2676440",tCartera[CUI],0))))</f>
        <v>Sin PMI</v>
      </c>
      <c r="N26" s="236" t="str">
        <f>IF(COUNTIF(tCartera[CUI],"2676440")=0,"Sin PMI",IF(INDEX(tCartera[PMI2028],MATCH("2676440",tCartera[CUI],0))="","No informado",INDEX(tCartera[PMI2028],MATCH("2676440",tCartera[CUI],0))))</f>
        <v>Sin PMI</v>
      </c>
      <c r="O26" s="236" t="str">
        <f>IF(COUNTIF(tCartera[CUI],"2676440")=0,"Sin PMI",IF(INDEX(tCartera[PMI2029],MATCH("2676440",tCartera[CUI],0))="","No informado",INDEX(tCartera[PMI2029],MATCH("2676440",tCartera[CUI],0))))</f>
        <v>Sin PMI</v>
      </c>
    </row>
    <row r="27" spans="1:15" ht="51" x14ac:dyDescent="0.2">
      <c r="A27" s="52">
        <f>SUBTOTAL(103,$B$8:B27)+287</f>
        <v>304</v>
      </c>
      <c r="B27" s="69">
        <v>392</v>
      </c>
      <c r="C27" s="82" t="s">
        <v>544</v>
      </c>
      <c r="D27" s="54">
        <f>IF(COUNTIF(tSIAF[Clave],"2717156|392")=0,"",SUMIF(tSIAF[Clave],"2717156|392",tSIAF[PIM]))</f>
        <v>160000</v>
      </c>
      <c r="E27" s="54">
        <f>IF(COUNTIF(tSIAF[Clave],"2717156|392")=0,"",SUMIF(tSIAF[Clave],"2717156|392",tSIAF[Certificacion]))</f>
        <v>143401</v>
      </c>
      <c r="F27" s="54">
        <f>IF(D27="","",D27-E27)</f>
        <v>16599</v>
      </c>
      <c r="G27" s="54">
        <f>IF(COUNTIF(tSIAF[Clave],"2717156|392")=0,"",SUMIF(tSIAF[Clave],"2717156|392",tSIAF[Devengado]))</f>
        <v>143401</v>
      </c>
      <c r="H27" s="54">
        <f>IF(D27="","",D27-G27)</f>
        <v>16599</v>
      </c>
      <c r="I27" s="66">
        <f>IF(D27="","",IF(D27=0,0,G27/D27))</f>
        <v>0.89625624999999998</v>
      </c>
      <c r="J27" s="227"/>
      <c r="K27" s="227" t="s">
        <v>2299</v>
      </c>
      <c r="L27" s="236" t="str">
        <f>IF(COUNTIF(tCartera[CUI],"2717156")=0,"Sin PMI",IF(INDEX(tCartera[PMI2026],MATCH("2717156",tCartera[CUI],0))="","No informado",INDEX(tCartera[PMI2026],MATCH("2717156",tCartera[CUI],0))))</f>
        <v>Sin PMI</v>
      </c>
      <c r="M27" s="236" t="str">
        <f>IF(COUNTIF(tCartera[CUI],"2717156")=0,"Sin PMI",IF(INDEX(tCartera[PMI2027],MATCH("2717156",tCartera[CUI],0))="","No informado",INDEX(tCartera[PMI2027],MATCH("2717156",tCartera[CUI],0))))</f>
        <v>Sin PMI</v>
      </c>
      <c r="N27" s="236" t="str">
        <f>IF(COUNTIF(tCartera[CUI],"2717156")=0,"Sin PMI",IF(INDEX(tCartera[PMI2028],MATCH("2717156",tCartera[CUI],0))="","No informado",INDEX(tCartera[PMI2028],MATCH("2717156",tCartera[CUI],0))))</f>
        <v>Sin PMI</v>
      </c>
      <c r="O27" s="236" t="str">
        <f>IF(COUNTIF(tCartera[CUI],"2717156")=0,"Sin PMI",IF(INDEX(tCartera[PMI2029],MATCH("2717156",tCartera[CUI],0))="","No informado",INDEX(tCartera[PMI2029],MATCH("2717156",tCartera[CUI],0))))</f>
        <v>Sin PMI</v>
      </c>
    </row>
    <row r="28" spans="1:15" ht="76.5" x14ac:dyDescent="0.2">
      <c r="A28" s="52">
        <f>SUBTOTAL(103,$B$8:B28)+287</f>
        <v>305</v>
      </c>
      <c r="B28" s="69">
        <v>393</v>
      </c>
      <c r="C28" s="82" t="s">
        <v>545</v>
      </c>
      <c r="D28" s="54">
        <f>IF(COUNTIF(tSIAF[Clave],"2717157|393")=0,"",SUMIF(tSIAF[Clave],"2717157|393",tSIAF[PIM]))</f>
        <v>160000</v>
      </c>
      <c r="E28" s="54">
        <f>IF(COUNTIF(tSIAF[Clave],"2717157|393")=0,"",SUMIF(tSIAF[Clave],"2717157|393",tSIAF[Certificacion]))</f>
        <v>149840</v>
      </c>
      <c r="F28" s="54">
        <f>IF(D28="","",D28-E28)</f>
        <v>10160</v>
      </c>
      <c r="G28" s="54">
        <f>IF(COUNTIF(tSIAF[Clave],"2717157|393")=0,"",SUMIF(tSIAF[Clave],"2717157|393",tSIAF[Devengado]))</f>
        <v>18740</v>
      </c>
      <c r="H28" s="54">
        <f>IF(D28="","",D28-G28)</f>
        <v>141260</v>
      </c>
      <c r="I28" s="66">
        <f>IF(D28="","",IF(D28=0,0,G28/D28))</f>
        <v>0.11712500000000001</v>
      </c>
      <c r="J28" s="227"/>
      <c r="K28" s="227" t="s">
        <v>2299</v>
      </c>
      <c r="L28" s="236" t="str">
        <f>IF(COUNTIF(tCartera[CUI],"2717157")=0,"Sin PMI",IF(INDEX(tCartera[PMI2026],MATCH("2717157",tCartera[CUI],0))="","No informado",INDEX(tCartera[PMI2026],MATCH("2717157",tCartera[CUI],0))))</f>
        <v>Sin PMI</v>
      </c>
      <c r="M28" s="236" t="str">
        <f>IF(COUNTIF(tCartera[CUI],"2717157")=0,"Sin PMI",IF(INDEX(tCartera[PMI2027],MATCH("2717157",tCartera[CUI],0))="","No informado",INDEX(tCartera[PMI2027],MATCH("2717157",tCartera[CUI],0))))</f>
        <v>Sin PMI</v>
      </c>
      <c r="N28" s="236" t="str">
        <f>IF(COUNTIF(tCartera[CUI],"2717157")=0,"Sin PMI",IF(INDEX(tCartera[PMI2028],MATCH("2717157",tCartera[CUI],0))="","No informado",INDEX(tCartera[PMI2028],MATCH("2717157",tCartera[CUI],0))))</f>
        <v>Sin PMI</v>
      </c>
      <c r="O28" s="236" t="str">
        <f>IF(COUNTIF(tCartera[CUI],"2717157")=0,"Sin PMI",IF(INDEX(tCartera[PMI2029],MATCH("2717157",tCartera[CUI],0))="","No informado",INDEX(tCartera[PMI2029],MATCH("2717157",tCartera[CUI],0))))</f>
        <v>Sin PMI</v>
      </c>
    </row>
    <row r="29" spans="1:15" ht="63.75" x14ac:dyDescent="0.2">
      <c r="A29" s="52">
        <f>SUBTOTAL(103,$B$8:B29)+287</f>
        <v>306</v>
      </c>
      <c r="B29" s="69">
        <v>397</v>
      </c>
      <c r="C29" s="82" t="s">
        <v>549</v>
      </c>
      <c r="D29" s="54">
        <f>IF(COUNTIF(tSIAF[Clave],"2717161|397")=0,"",SUMIF(tSIAF[Clave],"2717161|397",tSIAF[PIM]))</f>
        <v>160000</v>
      </c>
      <c r="E29" s="54">
        <f>IF(COUNTIF(tSIAF[Clave],"2717161|397")=0,"",SUMIF(tSIAF[Clave],"2717161|397",tSIAF[Certificacion]))</f>
        <v>148990</v>
      </c>
      <c r="F29" s="54">
        <f>IF(D29="","",D29-E29)</f>
        <v>11010</v>
      </c>
      <c r="G29" s="54">
        <f>IF(COUNTIF(tSIAF[Clave],"2717161|397")=0,"",SUMIF(tSIAF[Clave],"2717161|397",tSIAF[Devengado]))</f>
        <v>26000</v>
      </c>
      <c r="H29" s="54">
        <f>IF(D29="","",D29-G29)</f>
        <v>134000</v>
      </c>
      <c r="I29" s="66">
        <f>IF(D29="","",IF(D29=0,0,G29/D29))</f>
        <v>0.16250000000000001</v>
      </c>
      <c r="J29" s="227"/>
      <c r="K29" s="227" t="s">
        <v>2299</v>
      </c>
      <c r="L29" s="236" t="str">
        <f>IF(COUNTIF(tCartera[CUI],"2717161")=0,"Sin PMI",IF(INDEX(tCartera[PMI2026],MATCH("2717161",tCartera[CUI],0))="","No informado",INDEX(tCartera[PMI2026],MATCH("2717161",tCartera[CUI],0))))</f>
        <v>Sin PMI</v>
      </c>
      <c r="M29" s="236" t="str">
        <f>IF(COUNTIF(tCartera[CUI],"2717161")=0,"Sin PMI",IF(INDEX(tCartera[PMI2027],MATCH("2717161",tCartera[CUI],0))="","No informado",INDEX(tCartera[PMI2027],MATCH("2717161",tCartera[CUI],0))))</f>
        <v>Sin PMI</v>
      </c>
      <c r="N29" s="236" t="str">
        <f>IF(COUNTIF(tCartera[CUI],"2717161")=0,"Sin PMI",IF(INDEX(tCartera[PMI2028],MATCH("2717161",tCartera[CUI],0))="","No informado",INDEX(tCartera[PMI2028],MATCH("2717161",tCartera[CUI],0))))</f>
        <v>Sin PMI</v>
      </c>
      <c r="O29" s="236" t="str">
        <f>IF(COUNTIF(tCartera[CUI],"2717161")=0,"Sin PMI",IF(INDEX(tCartera[PMI2029],MATCH("2717161",tCartera[CUI],0))="","No informado",INDEX(tCartera[PMI2029],MATCH("2717161",tCartera[CUI],0))))</f>
        <v>Sin PMI</v>
      </c>
    </row>
    <row r="30" spans="1:15" ht="51" x14ac:dyDescent="0.2">
      <c r="A30" s="52">
        <f>SUBTOTAL(103,$B$8:B30)+287</f>
        <v>307</v>
      </c>
      <c r="B30" s="69">
        <v>404</v>
      </c>
      <c r="C30" s="82" t="s">
        <v>556</v>
      </c>
      <c r="D30" s="54">
        <f>IF(COUNTIF(tSIAF[Clave],"2717169|404")=0,"",SUMIF(tSIAF[Clave],"2717169|404",tSIAF[PIM]))</f>
        <v>160000</v>
      </c>
      <c r="E30" s="54">
        <f>IF(COUNTIF(tSIAF[Clave],"2717169|404")=0,"",SUMIF(tSIAF[Clave],"2717169|404",tSIAF[Certificacion]))</f>
        <v>150870</v>
      </c>
      <c r="F30" s="54">
        <f>IF(D30="","",D30-E30)</f>
        <v>9130</v>
      </c>
      <c r="G30" s="54">
        <f>IF(COUNTIF(tSIAF[Clave],"2717169|404")=0,"",SUMIF(tSIAF[Clave],"2717169|404",tSIAF[Devengado]))</f>
        <v>45270</v>
      </c>
      <c r="H30" s="54">
        <f>IF(D30="","",D30-G30)</f>
        <v>114730</v>
      </c>
      <c r="I30" s="66">
        <f>IF(D30="","",IF(D30=0,0,G30/D30))</f>
        <v>0.28293750000000001</v>
      </c>
      <c r="J30" s="227"/>
      <c r="K30" s="227" t="s">
        <v>2299</v>
      </c>
      <c r="L30" s="236" t="str">
        <f>IF(COUNTIF(tCartera[CUI],"2717169")=0,"Sin PMI",IF(INDEX(tCartera[PMI2026],MATCH("2717169",tCartera[CUI],0))="","No informado",INDEX(tCartera[PMI2026],MATCH("2717169",tCartera[CUI],0))))</f>
        <v>Sin PMI</v>
      </c>
      <c r="M30" s="236" t="str">
        <f>IF(COUNTIF(tCartera[CUI],"2717169")=0,"Sin PMI",IF(INDEX(tCartera[PMI2027],MATCH("2717169",tCartera[CUI],0))="","No informado",INDEX(tCartera[PMI2027],MATCH("2717169",tCartera[CUI],0))))</f>
        <v>Sin PMI</v>
      </c>
      <c r="N30" s="236" t="str">
        <f>IF(COUNTIF(tCartera[CUI],"2717169")=0,"Sin PMI",IF(INDEX(tCartera[PMI2028],MATCH("2717169",tCartera[CUI],0))="","No informado",INDEX(tCartera[PMI2028],MATCH("2717169",tCartera[CUI],0))))</f>
        <v>Sin PMI</v>
      </c>
      <c r="O30" s="236" t="str">
        <f>IF(COUNTIF(tCartera[CUI],"2717169")=0,"Sin PMI",IF(INDEX(tCartera[PMI2029],MATCH("2717169",tCartera[CUI],0))="","No informado",INDEX(tCartera[PMI2029],MATCH("2717169",tCartera[CUI],0))))</f>
        <v>Sin PMI</v>
      </c>
    </row>
    <row r="31" spans="1:15" ht="63.75" x14ac:dyDescent="0.2">
      <c r="A31" s="52">
        <f>SUBTOTAL(103,$B$8:B31)+287</f>
        <v>308</v>
      </c>
      <c r="B31" s="69">
        <v>407</v>
      </c>
      <c r="C31" s="82" t="s">
        <v>559</v>
      </c>
      <c r="D31" s="54">
        <f>IF(COUNTIF(tSIAF[Clave],"2717172|407")=0,"",SUMIF(tSIAF[Clave],"2717172|407",tSIAF[PIM]))</f>
        <v>160000</v>
      </c>
      <c r="E31" s="54">
        <f>IF(COUNTIF(tSIAF[Clave],"2717172|407")=0,"",SUMIF(tSIAF[Clave],"2717172|407",tSIAF[Certificacion]))</f>
        <v>151322</v>
      </c>
      <c r="F31" s="54">
        <f>IF(D31="","",D31-E31)</f>
        <v>8678</v>
      </c>
      <c r="G31" s="54">
        <f>IF(COUNTIF(tSIAF[Clave],"2717172|407")=0,"",SUMIF(tSIAF[Clave],"2717172|407",tSIAF[Devengado]))</f>
        <v>96322</v>
      </c>
      <c r="H31" s="54">
        <f>IF(D31="","",D31-G31)</f>
        <v>63678</v>
      </c>
      <c r="I31" s="66">
        <f>IF(D31="","",IF(D31=0,0,G31/D31))</f>
        <v>0.60201249999999995</v>
      </c>
      <c r="J31" s="227"/>
      <c r="K31" s="227" t="s">
        <v>2299</v>
      </c>
      <c r="L31" s="236" t="str">
        <f>IF(COUNTIF(tCartera[CUI],"2717172")=0,"Sin PMI",IF(INDEX(tCartera[PMI2026],MATCH("2717172",tCartera[CUI],0))="","No informado",INDEX(tCartera[PMI2026],MATCH("2717172",tCartera[CUI],0))))</f>
        <v>Sin PMI</v>
      </c>
      <c r="M31" s="236" t="str">
        <f>IF(COUNTIF(tCartera[CUI],"2717172")=0,"Sin PMI",IF(INDEX(tCartera[PMI2027],MATCH("2717172",tCartera[CUI],0))="","No informado",INDEX(tCartera[PMI2027],MATCH("2717172",tCartera[CUI],0))))</f>
        <v>Sin PMI</v>
      </c>
      <c r="N31" s="236" t="str">
        <f>IF(COUNTIF(tCartera[CUI],"2717172")=0,"Sin PMI",IF(INDEX(tCartera[PMI2028],MATCH("2717172",tCartera[CUI],0))="","No informado",INDEX(tCartera[PMI2028],MATCH("2717172",tCartera[CUI],0))))</f>
        <v>Sin PMI</v>
      </c>
      <c r="O31" s="236" t="str">
        <f>IF(COUNTIF(tCartera[CUI],"2717172")=0,"Sin PMI",IF(INDEX(tCartera[PMI2029],MATCH("2717172",tCartera[CUI],0))="","No informado",INDEX(tCartera[PMI2029],MATCH("2717172",tCartera[CUI],0))))</f>
        <v>Sin PMI</v>
      </c>
    </row>
    <row r="32" spans="1:15" ht="63.75" x14ac:dyDescent="0.2">
      <c r="A32" s="52">
        <f>SUBTOTAL(103,$B$8:B32)+287</f>
        <v>309</v>
      </c>
      <c r="B32" s="69">
        <v>412</v>
      </c>
      <c r="C32" s="82" t="s">
        <v>564</v>
      </c>
      <c r="D32" s="54">
        <f>IF(COUNTIF(tSIAF[Clave],"2717177|412")=0,"",SUMIF(tSIAF[Clave],"2717177|412",tSIAF[PIM]))</f>
        <v>160000</v>
      </c>
      <c r="E32" s="54">
        <f>IF(COUNTIF(tSIAF[Clave],"2717177|412")=0,"",SUMIF(tSIAF[Clave],"2717177|412",tSIAF[Certificacion]))</f>
        <v>145570.62</v>
      </c>
      <c r="F32" s="54">
        <f>IF(D32="","",D32-E32)</f>
        <v>14429.380000000005</v>
      </c>
      <c r="G32" s="54">
        <f>IF(COUNTIF(tSIAF[Clave],"2717177|412")=0,"",SUMIF(tSIAF[Clave],"2717177|412",tSIAF[Devengado]))</f>
        <v>10545</v>
      </c>
      <c r="H32" s="54">
        <f>IF(D32="","",D32-G32)</f>
        <v>149455</v>
      </c>
      <c r="I32" s="66">
        <f>IF(D32="","",IF(D32=0,0,G32/D32))</f>
        <v>6.590625E-2</v>
      </c>
      <c r="J32" s="227"/>
      <c r="K32" s="227" t="s">
        <v>2299</v>
      </c>
      <c r="L32" s="236" t="str">
        <f>IF(COUNTIF(tCartera[CUI],"2717177")=0,"Sin PMI",IF(INDEX(tCartera[PMI2026],MATCH("2717177",tCartera[CUI],0))="","No informado",INDEX(tCartera[PMI2026],MATCH("2717177",tCartera[CUI],0))))</f>
        <v>Sin PMI</v>
      </c>
      <c r="M32" s="236" t="str">
        <f>IF(COUNTIF(tCartera[CUI],"2717177")=0,"Sin PMI",IF(INDEX(tCartera[PMI2027],MATCH("2717177",tCartera[CUI],0))="","No informado",INDEX(tCartera[PMI2027],MATCH("2717177",tCartera[CUI],0))))</f>
        <v>Sin PMI</v>
      </c>
      <c r="N32" s="236" t="str">
        <f>IF(COUNTIF(tCartera[CUI],"2717177")=0,"Sin PMI",IF(INDEX(tCartera[PMI2028],MATCH("2717177",tCartera[CUI],0))="","No informado",INDEX(tCartera[PMI2028],MATCH("2717177",tCartera[CUI],0))))</f>
        <v>Sin PMI</v>
      </c>
      <c r="O32" s="236" t="str">
        <f>IF(COUNTIF(tCartera[CUI],"2717177")=0,"Sin PMI",IF(INDEX(tCartera[PMI2029],MATCH("2717177",tCartera[CUI],0))="","No informado",INDEX(tCartera[PMI2029],MATCH("2717177",tCartera[CUI],0))))</f>
        <v>Sin PMI</v>
      </c>
    </row>
    <row r="33" spans="1:15" ht="63.75" x14ac:dyDescent="0.2">
      <c r="A33" s="52">
        <f>SUBTOTAL(103,$B$8:B33)+287</f>
        <v>310</v>
      </c>
      <c r="B33" s="69">
        <v>420</v>
      </c>
      <c r="C33" s="82" t="s">
        <v>572</v>
      </c>
      <c r="D33" s="54">
        <f>IF(COUNTIF(tSIAF[Clave],"2717188|420")=0,"",SUMIF(tSIAF[Clave],"2717188|420",tSIAF[PIM]))</f>
        <v>160000</v>
      </c>
      <c r="E33" s="54">
        <f>IF(COUNTIF(tSIAF[Clave],"2717188|420")=0,"",SUMIF(tSIAF[Clave],"2717188|420",tSIAF[Certificacion]))</f>
        <v>154450</v>
      </c>
      <c r="F33" s="54">
        <f>IF(D33="","",D33-E33)</f>
        <v>5550</v>
      </c>
      <c r="G33" s="54">
        <f>IF(COUNTIF(tSIAF[Clave],"2717188|420")=0,"",SUMIF(tSIAF[Clave],"2717188|420",tSIAF[Devengado]))</f>
        <v>129270</v>
      </c>
      <c r="H33" s="54">
        <f>IF(D33="","",D33-G33)</f>
        <v>30730</v>
      </c>
      <c r="I33" s="66">
        <f>IF(D33="","",IF(D33=0,0,G33/D33))</f>
        <v>0.80793749999999998</v>
      </c>
      <c r="J33" s="227"/>
      <c r="K33" s="227" t="s">
        <v>2299</v>
      </c>
      <c r="L33" s="236" t="str">
        <f>IF(COUNTIF(tCartera[CUI],"2717188")=0,"Sin PMI",IF(INDEX(tCartera[PMI2026],MATCH("2717188",tCartera[CUI],0))="","No informado",INDEX(tCartera[PMI2026],MATCH("2717188",tCartera[CUI],0))))</f>
        <v>Sin PMI</v>
      </c>
      <c r="M33" s="236" t="str">
        <f>IF(COUNTIF(tCartera[CUI],"2717188")=0,"Sin PMI",IF(INDEX(tCartera[PMI2027],MATCH("2717188",tCartera[CUI],0))="","No informado",INDEX(tCartera[PMI2027],MATCH("2717188",tCartera[CUI],0))))</f>
        <v>Sin PMI</v>
      </c>
      <c r="N33" s="236" t="str">
        <f>IF(COUNTIF(tCartera[CUI],"2717188")=0,"Sin PMI",IF(INDEX(tCartera[PMI2028],MATCH("2717188",tCartera[CUI],0))="","No informado",INDEX(tCartera[PMI2028],MATCH("2717188",tCartera[CUI],0))))</f>
        <v>Sin PMI</v>
      </c>
      <c r="O33" s="236" t="str">
        <f>IF(COUNTIF(tCartera[CUI],"2717188")=0,"Sin PMI",IF(INDEX(tCartera[PMI2029],MATCH("2717188",tCartera[CUI],0))="","No informado",INDEX(tCartera[PMI2029],MATCH("2717188",tCartera[CUI],0))))</f>
        <v>Sin PMI</v>
      </c>
    </row>
    <row r="34" spans="1:15" ht="63.75" x14ac:dyDescent="0.2">
      <c r="A34" s="52">
        <f>SUBTOTAL(103,$B$8:B34)+287</f>
        <v>311</v>
      </c>
      <c r="B34" s="69">
        <v>423</v>
      </c>
      <c r="C34" s="82" t="s">
        <v>575</v>
      </c>
      <c r="D34" s="54">
        <f>IF(COUNTIF(tSIAF[Clave],"2717192|423")=0,"",SUMIF(tSIAF[Clave],"2717192|423",tSIAF[PIM]))</f>
        <v>160000</v>
      </c>
      <c r="E34" s="54">
        <f>IF(COUNTIF(tSIAF[Clave],"2717192|423")=0,"",SUMIF(tSIAF[Clave],"2717192|423",tSIAF[Certificacion]))</f>
        <v>146000</v>
      </c>
      <c r="F34" s="54">
        <f>IF(D34="","",D34-E34)</f>
        <v>14000</v>
      </c>
      <c r="G34" s="54">
        <f>IF(COUNTIF(tSIAF[Clave],"2717192|423")=0,"",SUMIF(tSIAF[Clave],"2717192|423",tSIAF[Devengado]))</f>
        <v>2000</v>
      </c>
      <c r="H34" s="54">
        <f>IF(D34="","",D34-G34)</f>
        <v>158000</v>
      </c>
      <c r="I34" s="66">
        <f>IF(D34="","",IF(D34=0,0,G34/D34))</f>
        <v>1.2500000000000001E-2</v>
      </c>
      <c r="J34" s="227"/>
      <c r="K34" s="227" t="s">
        <v>2299</v>
      </c>
      <c r="L34" s="236" t="str">
        <f>IF(COUNTIF(tCartera[CUI],"2717192")=0,"Sin PMI",IF(INDEX(tCartera[PMI2026],MATCH("2717192",tCartera[CUI],0))="","No informado",INDEX(tCartera[PMI2026],MATCH("2717192",tCartera[CUI],0))))</f>
        <v>Sin PMI</v>
      </c>
      <c r="M34" s="236" t="str">
        <f>IF(COUNTIF(tCartera[CUI],"2717192")=0,"Sin PMI",IF(INDEX(tCartera[PMI2027],MATCH("2717192",tCartera[CUI],0))="","No informado",INDEX(tCartera[PMI2027],MATCH("2717192",tCartera[CUI],0))))</f>
        <v>Sin PMI</v>
      </c>
      <c r="N34" s="236" t="str">
        <f>IF(COUNTIF(tCartera[CUI],"2717192")=0,"Sin PMI",IF(INDEX(tCartera[PMI2028],MATCH("2717192",tCartera[CUI],0))="","No informado",INDEX(tCartera[PMI2028],MATCH("2717192",tCartera[CUI],0))))</f>
        <v>Sin PMI</v>
      </c>
      <c r="O34" s="236" t="str">
        <f>IF(COUNTIF(tCartera[CUI],"2717192")=0,"Sin PMI",IF(INDEX(tCartera[PMI2029],MATCH("2717192",tCartera[CUI],0))="","No informado",INDEX(tCartera[PMI2029],MATCH("2717192",tCartera[CUI],0))))</f>
        <v>Sin PMI</v>
      </c>
    </row>
    <row r="35" spans="1:15" ht="51" x14ac:dyDescent="0.2">
      <c r="A35" s="52">
        <f>SUBTOTAL(103,$B$8:B35)+287</f>
        <v>312</v>
      </c>
      <c r="B35" s="69">
        <v>425</v>
      </c>
      <c r="C35" s="82" t="s">
        <v>577</v>
      </c>
      <c r="D35" s="54">
        <f>IF(COUNTIF(tSIAF[Clave],"2717194|425")=0,"",SUMIF(tSIAF[Clave],"2717194|425",tSIAF[PIM]))</f>
        <v>160000</v>
      </c>
      <c r="E35" s="54">
        <f>IF(COUNTIF(tSIAF[Clave],"2717194|425")=0,"",SUMIF(tSIAF[Clave],"2717194|425",tSIAF[Certificacion]))</f>
        <v>92650</v>
      </c>
      <c r="F35" s="54">
        <f>IF(D35="","",D35-E35)</f>
        <v>67350</v>
      </c>
      <c r="G35" s="54">
        <f>IF(COUNTIF(tSIAF[Clave],"2717194|425")=0,"",SUMIF(tSIAF[Clave],"2717194|425",tSIAF[Devengado]))</f>
        <v>89300</v>
      </c>
      <c r="H35" s="54">
        <f>IF(D35="","",D35-G35)</f>
        <v>70700</v>
      </c>
      <c r="I35" s="66">
        <f>IF(D35="","",IF(D35=0,0,G35/D35))</f>
        <v>0.55812499999999998</v>
      </c>
      <c r="J35" s="227"/>
      <c r="K35" s="227" t="s">
        <v>2299</v>
      </c>
      <c r="L35" s="236" t="str">
        <f>IF(COUNTIF(tCartera[CUI],"2717194")=0,"Sin PMI",IF(INDEX(tCartera[PMI2026],MATCH("2717194",tCartera[CUI],0))="","No informado",INDEX(tCartera[PMI2026],MATCH("2717194",tCartera[CUI],0))))</f>
        <v>Sin PMI</v>
      </c>
      <c r="M35" s="236" t="str">
        <f>IF(COUNTIF(tCartera[CUI],"2717194")=0,"Sin PMI",IF(INDEX(tCartera[PMI2027],MATCH("2717194",tCartera[CUI],0))="","No informado",INDEX(tCartera[PMI2027],MATCH("2717194",tCartera[CUI],0))))</f>
        <v>Sin PMI</v>
      </c>
      <c r="N35" s="236" t="str">
        <f>IF(COUNTIF(tCartera[CUI],"2717194")=0,"Sin PMI",IF(INDEX(tCartera[PMI2028],MATCH("2717194",tCartera[CUI],0))="","No informado",INDEX(tCartera[PMI2028],MATCH("2717194",tCartera[CUI],0))))</f>
        <v>Sin PMI</v>
      </c>
      <c r="O35" s="236" t="str">
        <f>IF(COUNTIF(tCartera[CUI],"2717194")=0,"Sin PMI",IF(INDEX(tCartera[PMI2029],MATCH("2717194",tCartera[CUI],0))="","No informado",INDEX(tCartera[PMI2029],MATCH("2717194",tCartera[CUI],0))))</f>
        <v>Sin PMI</v>
      </c>
    </row>
    <row r="36" spans="1:15" s="11" customFormat="1" ht="51" x14ac:dyDescent="0.2">
      <c r="A36" s="52">
        <f>SUBTOTAL(103,$B$8:B36)+287</f>
        <v>313</v>
      </c>
      <c r="B36" s="56">
        <v>351</v>
      </c>
      <c r="C36" s="81" t="s">
        <v>235</v>
      </c>
      <c r="D36" s="54">
        <f>IF(COUNTIF(tSIAF[Clave],"2612522|351")=0,"",SUMIF(tSIAF[Clave],"2612522|351",tSIAF[PIM]))</f>
        <v>61500</v>
      </c>
      <c r="E36" s="54">
        <f>IF(COUNTIF(tSIAF[Clave],"2612522|351")=0,"",SUMIF(tSIAF[Clave],"2612522|351",tSIAF[Certificacion]))</f>
        <v>59000</v>
      </c>
      <c r="F36" s="54">
        <f>IF(D36="","",D36-E36)</f>
        <v>2500</v>
      </c>
      <c r="G36" s="54">
        <f>IF(COUNTIF(tSIAF[Clave],"2612522|351")=0,"",SUMIF(tSIAF[Clave],"2612522|351",tSIAF[Devengado]))</f>
        <v>0</v>
      </c>
      <c r="H36" s="54">
        <f>IF(D36="","",D36-G36)</f>
        <v>61500</v>
      </c>
      <c r="I36" s="55">
        <f>IF(D36="","",IF(D36=0,0,G36/D36))</f>
        <v>0</v>
      </c>
      <c r="J36" s="222"/>
      <c r="K36" s="222" t="s">
        <v>2299</v>
      </c>
      <c r="L36" s="231" t="str">
        <f>IF(COUNTIF(tCartera[CUI],"2612522")=0,"Sin PMI",IF(INDEX(tCartera[PMI2026],MATCH("2612522",tCartera[CUI],0))="","No informado",INDEX(tCartera[PMI2026],MATCH("2612522",tCartera[CUI],0))))</f>
        <v>Sin PMI</v>
      </c>
      <c r="M36" s="231" t="str">
        <f>IF(COUNTIF(tCartera[CUI],"2612522")=0,"Sin PMI",IF(INDEX(tCartera[PMI2027],MATCH("2612522",tCartera[CUI],0))="","No informado",INDEX(tCartera[PMI2027],MATCH("2612522",tCartera[CUI],0))))</f>
        <v>Sin PMI</v>
      </c>
      <c r="N36" s="231" t="str">
        <f>IF(COUNTIF(tCartera[CUI],"2612522")=0,"Sin PMI",IF(INDEX(tCartera[PMI2028],MATCH("2612522",tCartera[CUI],0))="","No informado",INDEX(tCartera[PMI2028],MATCH("2612522",tCartera[CUI],0))))</f>
        <v>Sin PMI</v>
      </c>
      <c r="O36" s="231" t="str">
        <f>IF(COUNTIF(tCartera[CUI],"2612522")=0,"Sin PMI",IF(INDEX(tCartera[PMI2029],MATCH("2612522",tCartera[CUI],0))="","No informado",INDEX(tCartera[PMI2029],MATCH("2612522",tCartera[CUI],0))))</f>
        <v>Sin PMI</v>
      </c>
    </row>
    <row r="37" spans="1:15" ht="63.75" x14ac:dyDescent="0.2">
      <c r="A37" s="52">
        <f>SUBTOTAL(103,$B$8:B37)+287</f>
        <v>314</v>
      </c>
      <c r="B37" s="69">
        <v>352</v>
      </c>
      <c r="C37" s="82" t="s">
        <v>236</v>
      </c>
      <c r="D37" s="54">
        <f>IF(COUNTIF(tSIAF[Clave],"2612541|352")=0,"",SUMIF(tSIAF[Clave],"2612541|352",tSIAF[PIM]))</f>
        <v>62000</v>
      </c>
      <c r="E37" s="54">
        <f>IF(COUNTIF(tSIAF[Clave],"2612541|352")=0,"",SUMIF(tSIAF[Clave],"2612541|352",tSIAF[Certificacion]))</f>
        <v>61766.67</v>
      </c>
      <c r="F37" s="54">
        <f>IF(D37="","",D37-E37)</f>
        <v>233.33000000000175</v>
      </c>
      <c r="G37" s="54">
        <f>IF(COUNTIF(tSIAF[Clave],"2612541|352")=0,"",SUMIF(tSIAF[Clave],"2612541|352",tSIAF[Devengado]))</f>
        <v>0</v>
      </c>
      <c r="H37" s="54">
        <f>IF(D37="","",D37-G37)</f>
        <v>62000</v>
      </c>
      <c r="I37" s="66">
        <f>IF(D37="","",IF(D37=0,0,G37/D37))</f>
        <v>0</v>
      </c>
      <c r="J37" s="227"/>
      <c r="K37" s="227" t="s">
        <v>2299</v>
      </c>
      <c r="L37" s="236" t="str">
        <f>IF(COUNTIF(tCartera[CUI],"2612541")=0,"Sin PMI",IF(INDEX(tCartera[PMI2026],MATCH("2612541",tCartera[CUI],0))="","No informado",INDEX(tCartera[PMI2026],MATCH("2612541",tCartera[CUI],0))))</f>
        <v>Sin PMI</v>
      </c>
      <c r="M37" s="236" t="str">
        <f>IF(COUNTIF(tCartera[CUI],"2612541")=0,"Sin PMI",IF(INDEX(tCartera[PMI2027],MATCH("2612541",tCartera[CUI],0))="","No informado",INDEX(tCartera[PMI2027],MATCH("2612541",tCartera[CUI],0))))</f>
        <v>Sin PMI</v>
      </c>
      <c r="N37" s="236" t="str">
        <f>IF(COUNTIF(tCartera[CUI],"2612541")=0,"Sin PMI",IF(INDEX(tCartera[PMI2028],MATCH("2612541",tCartera[CUI],0))="","No informado",INDEX(tCartera[PMI2028],MATCH("2612541",tCartera[CUI],0))))</f>
        <v>Sin PMI</v>
      </c>
      <c r="O37" s="236" t="str">
        <f>IF(COUNTIF(tCartera[CUI],"2612541")=0,"Sin PMI",IF(INDEX(tCartera[PMI2029],MATCH("2612541",tCartera[CUI],0))="","No informado",INDEX(tCartera[PMI2029],MATCH("2612541",tCartera[CUI],0))))</f>
        <v>Sin PMI</v>
      </c>
    </row>
    <row r="38" spans="1:15" ht="51" x14ac:dyDescent="0.2">
      <c r="A38" s="52">
        <f>SUBTOTAL(103,$B$8:B38)+287</f>
        <v>315</v>
      </c>
      <c r="B38" s="69">
        <v>353</v>
      </c>
      <c r="C38" s="82" t="s">
        <v>378</v>
      </c>
      <c r="D38" s="54">
        <f>IF(COUNTIF(tSIAF[Clave],"2680578|353")=0,"",SUMIF(tSIAF[Clave],"2680578|353",tSIAF[PIM]))</f>
        <v>63755</v>
      </c>
      <c r="E38" s="54">
        <f>IF(COUNTIF(tSIAF[Clave],"2680578|353")=0,"",SUMIF(tSIAF[Clave],"2680578|353",tSIAF[Certificacion]))</f>
        <v>60139.48</v>
      </c>
      <c r="F38" s="54">
        <f>IF(D38="","",D38-E38)</f>
        <v>3615.5199999999968</v>
      </c>
      <c r="G38" s="54">
        <f>IF(COUNTIF(tSIAF[Clave],"2680578|353")=0,"",SUMIF(tSIAF[Clave],"2680578|353",tSIAF[Devengado]))</f>
        <v>2139.48</v>
      </c>
      <c r="H38" s="54">
        <f>IF(D38="","",D38-G38)</f>
        <v>61615.519999999997</v>
      </c>
      <c r="I38" s="66">
        <f>IF(D38="","",IF(D38=0,0,G38/D38))</f>
        <v>3.3557838600894049E-2</v>
      </c>
      <c r="J38" s="227"/>
      <c r="K38" s="227" t="s">
        <v>2299</v>
      </c>
      <c r="L38" s="236" t="str">
        <f>IF(COUNTIF(tCartera[CUI],"2680578")=0,"Sin PMI",IF(INDEX(tCartera[PMI2026],MATCH("2680578",tCartera[CUI],0))="","No informado",INDEX(tCartera[PMI2026],MATCH("2680578",tCartera[CUI],0))))</f>
        <v>Sin PMI</v>
      </c>
      <c r="M38" s="236" t="str">
        <f>IF(COUNTIF(tCartera[CUI],"2680578")=0,"Sin PMI",IF(INDEX(tCartera[PMI2027],MATCH("2680578",tCartera[CUI],0))="","No informado",INDEX(tCartera[PMI2027],MATCH("2680578",tCartera[CUI],0))))</f>
        <v>Sin PMI</v>
      </c>
      <c r="N38" s="236" t="str">
        <f>IF(COUNTIF(tCartera[CUI],"2680578")=0,"Sin PMI",IF(INDEX(tCartera[PMI2028],MATCH("2680578",tCartera[CUI],0))="","No informado",INDEX(tCartera[PMI2028],MATCH("2680578",tCartera[CUI],0))))</f>
        <v>Sin PMI</v>
      </c>
      <c r="O38" s="236" t="str">
        <f>IF(COUNTIF(tCartera[CUI],"2680578")=0,"Sin PMI",IF(INDEX(tCartera[PMI2029],MATCH("2680578",tCartera[CUI],0))="","No informado",INDEX(tCartera[PMI2029],MATCH("2680578",tCartera[CUI],0))))</f>
        <v>Sin PMI</v>
      </c>
    </row>
    <row r="39" spans="1:15" ht="63.75" x14ac:dyDescent="0.2">
      <c r="A39" s="52">
        <f>SUBTOTAL(103,$B$8:B39)+287</f>
        <v>316</v>
      </c>
      <c r="B39" s="69">
        <v>354</v>
      </c>
      <c r="C39" s="82" t="s">
        <v>382</v>
      </c>
      <c r="D39" s="54">
        <f>IF(COUNTIF(tSIAF[Clave],"2676418|354")=0,"",SUMIF(tSIAF[Clave],"2676418|354",tSIAF[PIM]))</f>
        <v>65438</v>
      </c>
      <c r="E39" s="54">
        <f>IF(COUNTIF(tSIAF[Clave],"2676418|354")=0,"",SUMIF(tSIAF[Clave],"2676418|354",tSIAF[Certificacion]))</f>
        <v>59650</v>
      </c>
      <c r="F39" s="54">
        <f>IF(D39="","",D39-E39)</f>
        <v>5788</v>
      </c>
      <c r="G39" s="54">
        <f>IF(COUNTIF(tSIAF[Clave],"2676418|354")=0,"",SUMIF(tSIAF[Clave],"2676418|354",tSIAF[Devengado]))</f>
        <v>0</v>
      </c>
      <c r="H39" s="54">
        <f>IF(D39="","",D39-G39)</f>
        <v>65438</v>
      </c>
      <c r="I39" s="66">
        <f>IF(D39="","",IF(D39=0,0,G39/D39))</f>
        <v>0</v>
      </c>
      <c r="J39" s="227"/>
      <c r="K39" s="227" t="s">
        <v>2299</v>
      </c>
      <c r="L39" s="236" t="str">
        <f>IF(COUNTIF(tCartera[CUI],"2676418")=0,"Sin PMI",IF(INDEX(tCartera[PMI2026],MATCH("2676418",tCartera[CUI],0))="","No informado",INDEX(tCartera[PMI2026],MATCH("2676418",tCartera[CUI],0))))</f>
        <v>Sin PMI</v>
      </c>
      <c r="M39" s="236" t="str">
        <f>IF(COUNTIF(tCartera[CUI],"2676418")=0,"Sin PMI",IF(INDEX(tCartera[PMI2027],MATCH("2676418",tCartera[CUI],0))="","No informado",INDEX(tCartera[PMI2027],MATCH("2676418",tCartera[CUI],0))))</f>
        <v>Sin PMI</v>
      </c>
      <c r="N39" s="236" t="str">
        <f>IF(COUNTIF(tCartera[CUI],"2676418")=0,"Sin PMI",IF(INDEX(tCartera[PMI2028],MATCH("2676418",tCartera[CUI],0))="","No informado",INDEX(tCartera[PMI2028],MATCH("2676418",tCartera[CUI],0))))</f>
        <v>Sin PMI</v>
      </c>
      <c r="O39" s="236" t="str">
        <f>IF(COUNTIF(tCartera[CUI],"2676418")=0,"Sin PMI",IF(INDEX(tCartera[PMI2029],MATCH("2676418",tCartera[CUI],0))="","No informado",INDEX(tCartera[PMI2029],MATCH("2676418",tCartera[CUI],0))))</f>
        <v>Sin PMI</v>
      </c>
    </row>
    <row r="40" spans="1:15" ht="51" x14ac:dyDescent="0.2">
      <c r="A40" s="52">
        <f>SUBTOTAL(103,$B$8:B40)+287</f>
        <v>317</v>
      </c>
      <c r="B40" s="69">
        <v>355</v>
      </c>
      <c r="C40" s="82" t="s">
        <v>386</v>
      </c>
      <c r="D40" s="54">
        <f>IF(COUNTIF(tSIAF[Clave],"2681120|355")=0,"",SUMIF(tSIAF[Clave],"2681120|355",tSIAF[PIM]))</f>
        <v>61200</v>
      </c>
      <c r="E40" s="54">
        <f>IF(COUNTIF(tSIAF[Clave],"2681120|355")=0,"",SUMIF(tSIAF[Clave],"2681120|355",tSIAF[Certificacion]))</f>
        <v>59150</v>
      </c>
      <c r="F40" s="54">
        <f>IF(D40="","",D40-E40)</f>
        <v>2050</v>
      </c>
      <c r="G40" s="54">
        <f>IF(COUNTIF(tSIAF[Clave],"2681120|355")=0,"",SUMIF(tSIAF[Clave],"2681120|355",tSIAF[Devengado]))</f>
        <v>59150</v>
      </c>
      <c r="H40" s="54">
        <f>IF(D40="","",D40-G40)</f>
        <v>2050</v>
      </c>
      <c r="I40" s="66">
        <f>IF(D40="","",IF(D40=0,0,G40/D40))</f>
        <v>0.96650326797385622</v>
      </c>
      <c r="J40" s="227"/>
      <c r="K40" s="227" t="s">
        <v>2299</v>
      </c>
      <c r="L40" s="236" t="str">
        <f>IF(COUNTIF(tCartera[CUI],"2681120")=0,"Sin PMI",IF(INDEX(tCartera[PMI2026],MATCH("2681120",tCartera[CUI],0))="","No informado",INDEX(tCartera[PMI2026],MATCH("2681120",tCartera[CUI],0))))</f>
        <v>Sin PMI</v>
      </c>
      <c r="M40" s="236" t="str">
        <f>IF(COUNTIF(tCartera[CUI],"2681120")=0,"Sin PMI",IF(INDEX(tCartera[PMI2027],MATCH("2681120",tCartera[CUI],0))="","No informado",INDEX(tCartera[PMI2027],MATCH("2681120",tCartera[CUI],0))))</f>
        <v>Sin PMI</v>
      </c>
      <c r="N40" s="236" t="str">
        <f>IF(COUNTIF(tCartera[CUI],"2681120")=0,"Sin PMI",IF(INDEX(tCartera[PMI2028],MATCH("2681120",tCartera[CUI],0))="","No informado",INDEX(tCartera[PMI2028],MATCH("2681120",tCartera[CUI],0))))</f>
        <v>Sin PMI</v>
      </c>
      <c r="O40" s="236" t="str">
        <f>IF(COUNTIF(tCartera[CUI],"2681120")=0,"Sin PMI",IF(INDEX(tCartera[PMI2029],MATCH("2681120",tCartera[CUI],0))="","No informado",INDEX(tCartera[PMI2029],MATCH("2681120",tCartera[CUI],0))))</f>
        <v>Sin PMI</v>
      </c>
    </row>
    <row r="41" spans="1:15" ht="51" x14ac:dyDescent="0.2">
      <c r="A41" s="52">
        <f>SUBTOTAL(103,$B$8:B41)+287</f>
        <v>318</v>
      </c>
      <c r="B41" s="69">
        <v>357</v>
      </c>
      <c r="C41" s="82" t="s">
        <v>389</v>
      </c>
      <c r="D41" s="54">
        <f>IF(COUNTIF(tSIAF[Clave],"2676423|357")=0,"",SUMIF(tSIAF[Clave],"2676423|357",tSIAF[PIM]))</f>
        <v>2936</v>
      </c>
      <c r="E41" s="54">
        <f>IF(COUNTIF(tSIAF[Clave],"2676423|357")=0,"",SUMIF(tSIAF[Clave],"2676423|357",tSIAF[Certificacion]))</f>
        <v>2936</v>
      </c>
      <c r="F41" s="54">
        <f>IF(D41="","",D41-E41)</f>
        <v>0</v>
      </c>
      <c r="G41" s="54">
        <f>IF(COUNTIF(tSIAF[Clave],"2676423|357")=0,"",SUMIF(tSIAF[Clave],"2676423|357",tSIAF[Devengado]))</f>
        <v>2936</v>
      </c>
      <c r="H41" s="54">
        <f>IF(D41="","",D41-G41)</f>
        <v>0</v>
      </c>
      <c r="I41" s="66">
        <f>IF(D41="","",IF(D41=0,0,G41/D41))</f>
        <v>1</v>
      </c>
      <c r="J41" s="227"/>
      <c r="K41" s="227" t="s">
        <v>2299</v>
      </c>
      <c r="L41" s="236" t="str">
        <f>IF(COUNTIF(tCartera[CUI],"2676423")=0,"Sin PMI",IF(INDEX(tCartera[PMI2026],MATCH("2676423",tCartera[CUI],0))="","No informado",INDEX(tCartera[PMI2026],MATCH("2676423",tCartera[CUI],0))))</f>
        <v>Sin PMI</v>
      </c>
      <c r="M41" s="236" t="str">
        <f>IF(COUNTIF(tCartera[CUI],"2676423")=0,"Sin PMI",IF(INDEX(tCartera[PMI2027],MATCH("2676423",tCartera[CUI],0))="","No informado",INDEX(tCartera[PMI2027],MATCH("2676423",tCartera[CUI],0))))</f>
        <v>Sin PMI</v>
      </c>
      <c r="N41" s="236" t="str">
        <f>IF(COUNTIF(tCartera[CUI],"2676423")=0,"Sin PMI",IF(INDEX(tCartera[PMI2028],MATCH("2676423",tCartera[CUI],0))="","No informado",INDEX(tCartera[PMI2028],MATCH("2676423",tCartera[CUI],0))))</f>
        <v>Sin PMI</v>
      </c>
      <c r="O41" s="236" t="str">
        <f>IF(COUNTIF(tCartera[CUI],"2676423")=0,"Sin PMI",IF(INDEX(tCartera[PMI2029],MATCH("2676423",tCartera[CUI],0))="","No informado",INDEX(tCartera[PMI2029],MATCH("2676423",tCartera[CUI],0))))</f>
        <v>Sin PMI</v>
      </c>
    </row>
    <row r="42" spans="1:15" ht="63.75" x14ac:dyDescent="0.2">
      <c r="A42" s="52">
        <f>SUBTOTAL(103,$B$8:B42)+287</f>
        <v>319</v>
      </c>
      <c r="B42" s="69">
        <v>358</v>
      </c>
      <c r="C42" s="82" t="s">
        <v>390</v>
      </c>
      <c r="D42" s="54">
        <f>IF(COUNTIF(tSIAF[Clave],"2676424|358")=0,"",SUMIF(tSIAF[Clave],"2676424|358",tSIAF[PIM]))</f>
        <v>10692</v>
      </c>
      <c r="E42" s="54">
        <f>IF(COUNTIF(tSIAF[Clave],"2676424|358")=0,"",SUMIF(tSIAF[Clave],"2676424|358",tSIAF[Certificacion]))</f>
        <v>10691.76</v>
      </c>
      <c r="F42" s="54">
        <f>IF(D42="","",D42-E42)</f>
        <v>0.23999999999978172</v>
      </c>
      <c r="G42" s="54">
        <f>IF(COUNTIF(tSIAF[Clave],"2676424|358")=0,"",SUMIF(tSIAF[Clave],"2676424|358",tSIAF[Devengado]))</f>
        <v>10691.76</v>
      </c>
      <c r="H42" s="54">
        <f>IF(D42="","",D42-G42)</f>
        <v>0.23999999999978172</v>
      </c>
      <c r="I42" s="66">
        <f>IF(D42="","",IF(D42=0,0,G42/D42))</f>
        <v>0.99997755331088667</v>
      </c>
      <c r="J42" s="227"/>
      <c r="K42" s="227" t="s">
        <v>2299</v>
      </c>
      <c r="L42" s="236" t="str">
        <f>IF(COUNTIF(tCartera[CUI],"2676424")=0,"Sin PMI",IF(INDEX(tCartera[PMI2026],MATCH("2676424",tCartera[CUI],0))="","No informado",INDEX(tCartera[PMI2026],MATCH("2676424",tCartera[CUI],0))))</f>
        <v>Sin PMI</v>
      </c>
      <c r="M42" s="236" t="str">
        <f>IF(COUNTIF(tCartera[CUI],"2676424")=0,"Sin PMI",IF(INDEX(tCartera[PMI2027],MATCH("2676424",tCartera[CUI],0))="","No informado",INDEX(tCartera[PMI2027],MATCH("2676424",tCartera[CUI],0))))</f>
        <v>Sin PMI</v>
      </c>
      <c r="N42" s="236" t="str">
        <f>IF(COUNTIF(tCartera[CUI],"2676424")=0,"Sin PMI",IF(INDEX(tCartera[PMI2028],MATCH("2676424",tCartera[CUI],0))="","No informado",INDEX(tCartera[PMI2028],MATCH("2676424",tCartera[CUI],0))))</f>
        <v>Sin PMI</v>
      </c>
      <c r="O42" s="236" t="str">
        <f>IF(COUNTIF(tCartera[CUI],"2676424")=0,"Sin PMI",IF(INDEX(tCartera[PMI2029],MATCH("2676424",tCartera[CUI],0))="","No informado",INDEX(tCartera[PMI2029],MATCH("2676424",tCartera[CUI],0))))</f>
        <v>Sin PMI</v>
      </c>
    </row>
    <row r="43" spans="1:15" ht="51" x14ac:dyDescent="0.2">
      <c r="A43" s="52">
        <f>SUBTOTAL(103,$B$8:B43)+287</f>
        <v>320</v>
      </c>
      <c r="B43" s="69">
        <v>359</v>
      </c>
      <c r="C43" s="82" t="s">
        <v>391</v>
      </c>
      <c r="D43" s="54">
        <f>IF(COUNTIF(tSIAF[Clave],"2681121|359")=0,"",SUMIF(tSIAF[Clave],"2681121|359",tSIAF[PIM]))</f>
        <v>7816</v>
      </c>
      <c r="E43" s="54">
        <f>IF(COUNTIF(tSIAF[Clave],"2681121|359")=0,"",SUMIF(tSIAF[Clave],"2681121|359",tSIAF[Certificacion]))</f>
        <v>4500</v>
      </c>
      <c r="F43" s="54">
        <f>IF(D43="","",D43-E43)</f>
        <v>3316</v>
      </c>
      <c r="G43" s="54">
        <f>IF(COUNTIF(tSIAF[Clave],"2681121|359")=0,"",SUMIF(tSIAF[Clave],"2681121|359",tSIAF[Devengado]))</f>
        <v>3000</v>
      </c>
      <c r="H43" s="54">
        <f>IF(D43="","",D43-G43)</f>
        <v>4816</v>
      </c>
      <c r="I43" s="66">
        <f>IF(D43="","",IF(D43=0,0,G43/D43))</f>
        <v>0.38382804503582396</v>
      </c>
      <c r="J43" s="227"/>
      <c r="K43" s="227" t="s">
        <v>2299</v>
      </c>
      <c r="L43" s="236" t="str">
        <f>IF(COUNTIF(tCartera[CUI],"2681121")=0,"Sin PMI",IF(INDEX(tCartera[PMI2026],MATCH("2681121",tCartera[CUI],0))="","No informado",INDEX(tCartera[PMI2026],MATCH("2681121",tCartera[CUI],0))))</f>
        <v>Sin PMI</v>
      </c>
      <c r="M43" s="236" t="str">
        <f>IF(COUNTIF(tCartera[CUI],"2681121")=0,"Sin PMI",IF(INDEX(tCartera[PMI2027],MATCH("2681121",tCartera[CUI],0))="","No informado",INDEX(tCartera[PMI2027],MATCH("2681121",tCartera[CUI],0))))</f>
        <v>Sin PMI</v>
      </c>
      <c r="N43" s="236" t="str">
        <f>IF(COUNTIF(tCartera[CUI],"2681121")=0,"Sin PMI",IF(INDEX(tCartera[PMI2028],MATCH("2681121",tCartera[CUI],0))="","No informado",INDEX(tCartera[PMI2028],MATCH("2681121",tCartera[CUI],0))))</f>
        <v>Sin PMI</v>
      </c>
      <c r="O43" s="236" t="str">
        <f>IF(COUNTIF(tCartera[CUI],"2681121")=0,"Sin PMI",IF(INDEX(tCartera[PMI2029],MATCH("2681121",tCartera[CUI],0))="","No informado",INDEX(tCartera[PMI2029],MATCH("2681121",tCartera[CUI],0))))</f>
        <v>Sin PMI</v>
      </c>
    </row>
    <row r="44" spans="1:15" ht="63.75" x14ac:dyDescent="0.2">
      <c r="A44" s="52">
        <f>SUBTOTAL(103,$B$8:B44)+287</f>
        <v>321</v>
      </c>
      <c r="B44" s="69">
        <v>360</v>
      </c>
      <c r="C44" s="82" t="s">
        <v>393</v>
      </c>
      <c r="D44" s="54">
        <f>IF(COUNTIF(tSIAF[Clave],"2676426|360")=0,"",SUMIF(tSIAF[Clave],"2676426|360",tSIAF[PIM]))</f>
        <v>3546</v>
      </c>
      <c r="E44" s="54">
        <f>IF(COUNTIF(tSIAF[Clave],"2676426|360")=0,"",SUMIF(tSIAF[Clave],"2676426|360",tSIAF[Certificacion]))</f>
        <v>3546</v>
      </c>
      <c r="F44" s="54">
        <f>IF(D44="","",D44-E44)</f>
        <v>0</v>
      </c>
      <c r="G44" s="54">
        <f>IF(COUNTIF(tSIAF[Clave],"2676426|360")=0,"",SUMIF(tSIAF[Clave],"2676426|360",tSIAF[Devengado]))</f>
        <v>3546</v>
      </c>
      <c r="H44" s="54">
        <f>IF(D44="","",D44-G44)</f>
        <v>0</v>
      </c>
      <c r="I44" s="66">
        <f>IF(D44="","",IF(D44=0,0,G44/D44))</f>
        <v>1</v>
      </c>
      <c r="J44" s="227"/>
      <c r="K44" s="227" t="s">
        <v>2299</v>
      </c>
      <c r="L44" s="236" t="str">
        <f>IF(COUNTIF(tCartera[CUI],"2676426")=0,"Sin PMI",IF(INDEX(tCartera[PMI2026],MATCH("2676426",tCartera[CUI],0))="","No informado",INDEX(tCartera[PMI2026],MATCH("2676426",tCartera[CUI],0))))</f>
        <v>Sin PMI</v>
      </c>
      <c r="M44" s="236" t="str">
        <f>IF(COUNTIF(tCartera[CUI],"2676426")=0,"Sin PMI",IF(INDEX(tCartera[PMI2027],MATCH("2676426",tCartera[CUI],0))="","No informado",INDEX(tCartera[PMI2027],MATCH("2676426",tCartera[CUI],0))))</f>
        <v>Sin PMI</v>
      </c>
      <c r="N44" s="236" t="str">
        <f>IF(COUNTIF(tCartera[CUI],"2676426")=0,"Sin PMI",IF(INDEX(tCartera[PMI2028],MATCH("2676426",tCartera[CUI],0))="","No informado",INDEX(tCartera[PMI2028],MATCH("2676426",tCartera[CUI],0))))</f>
        <v>Sin PMI</v>
      </c>
      <c r="O44" s="236" t="str">
        <f>IF(COUNTIF(tCartera[CUI],"2676426")=0,"Sin PMI",IF(INDEX(tCartera[PMI2029],MATCH("2676426",tCartera[CUI],0))="","No informado",INDEX(tCartera[PMI2029],MATCH("2676426",tCartera[CUI],0))))</f>
        <v>Sin PMI</v>
      </c>
    </row>
    <row r="45" spans="1:15" ht="63.75" x14ac:dyDescent="0.2">
      <c r="A45" s="52">
        <f>SUBTOTAL(103,$B$8:B45)+287</f>
        <v>322</v>
      </c>
      <c r="B45" s="69">
        <v>361</v>
      </c>
      <c r="C45" s="82" t="s">
        <v>394</v>
      </c>
      <c r="D45" s="54">
        <f>IF(COUNTIF(tSIAF[Clave],"2676427|361")=0,"",SUMIF(tSIAF[Clave],"2676427|361",tSIAF[PIM]))</f>
        <v>2555</v>
      </c>
      <c r="E45" s="54">
        <f>IF(COUNTIF(tSIAF[Clave],"2676427|361")=0,"",SUMIF(tSIAF[Clave],"2676427|361",tSIAF[Certificacion]))</f>
        <v>2550</v>
      </c>
      <c r="F45" s="54">
        <f>IF(D45="","",D45-E45)</f>
        <v>5</v>
      </c>
      <c r="G45" s="54">
        <f>IF(COUNTIF(tSIAF[Clave],"2676427|361")=0,"",SUMIF(tSIAF[Clave],"2676427|361",tSIAF[Devengado]))</f>
        <v>2550</v>
      </c>
      <c r="H45" s="54">
        <f>IF(D45="","",D45-G45)</f>
        <v>5</v>
      </c>
      <c r="I45" s="66">
        <f>IF(D45="","",IF(D45=0,0,G45/D45))</f>
        <v>0.99804305283757333</v>
      </c>
      <c r="J45" s="227"/>
      <c r="K45" s="227" t="s">
        <v>2299</v>
      </c>
      <c r="L45" s="236" t="str">
        <f>IF(COUNTIF(tCartera[CUI],"2676427")=0,"Sin PMI",IF(INDEX(tCartera[PMI2026],MATCH("2676427",tCartera[CUI],0))="","No informado",INDEX(tCartera[PMI2026],MATCH("2676427",tCartera[CUI],0))))</f>
        <v>Sin PMI</v>
      </c>
      <c r="M45" s="236" t="str">
        <f>IF(COUNTIF(tCartera[CUI],"2676427")=0,"Sin PMI",IF(INDEX(tCartera[PMI2027],MATCH("2676427",tCartera[CUI],0))="","No informado",INDEX(tCartera[PMI2027],MATCH("2676427",tCartera[CUI],0))))</f>
        <v>Sin PMI</v>
      </c>
      <c r="N45" s="236" t="str">
        <f>IF(COUNTIF(tCartera[CUI],"2676427")=0,"Sin PMI",IF(INDEX(tCartera[PMI2028],MATCH("2676427",tCartera[CUI],0))="","No informado",INDEX(tCartera[PMI2028],MATCH("2676427",tCartera[CUI],0))))</f>
        <v>Sin PMI</v>
      </c>
      <c r="O45" s="236" t="str">
        <f>IF(COUNTIF(tCartera[CUI],"2676427")=0,"Sin PMI",IF(INDEX(tCartera[PMI2029],MATCH("2676427",tCartera[CUI],0))="","No informado",INDEX(tCartera[PMI2029],MATCH("2676427",tCartera[CUI],0))))</f>
        <v>Sin PMI</v>
      </c>
    </row>
    <row r="46" spans="1:15" ht="63.75" x14ac:dyDescent="0.2">
      <c r="A46" s="52">
        <f>SUBTOTAL(103,$B$8:B46)+287</f>
        <v>323</v>
      </c>
      <c r="B46" s="69">
        <v>362</v>
      </c>
      <c r="C46" s="82" t="s">
        <v>397</v>
      </c>
      <c r="D46" s="54">
        <f>IF(COUNTIF(tSIAF[Clave],"2676430|362")=0,"",SUMIF(tSIAF[Clave],"2676430|362",tSIAF[PIM]))</f>
        <v>73376</v>
      </c>
      <c r="E46" s="54">
        <f>IF(COUNTIF(tSIAF[Clave],"2676430|362")=0,"",SUMIF(tSIAF[Clave],"2676430|362",tSIAF[Certificacion]))</f>
        <v>69875.75</v>
      </c>
      <c r="F46" s="54">
        <f>IF(D46="","",D46-E46)</f>
        <v>3500.25</v>
      </c>
      <c r="G46" s="54">
        <f>IF(COUNTIF(tSIAF[Clave],"2676430|362")=0,"",SUMIF(tSIAF[Clave],"2676430|362",tSIAF[Devengado]))</f>
        <v>69875.75</v>
      </c>
      <c r="H46" s="54">
        <f>IF(D46="","",D46-G46)</f>
        <v>3500.25</v>
      </c>
      <c r="I46" s="66">
        <f>IF(D46="","",IF(D46=0,0,G46/D46))</f>
        <v>0.95229707261229835</v>
      </c>
      <c r="J46" s="227"/>
      <c r="K46" s="227" t="s">
        <v>2299</v>
      </c>
      <c r="L46" s="236" t="str">
        <f>IF(COUNTIF(tCartera[CUI],"2676430")=0,"Sin PMI",IF(INDEX(tCartera[PMI2026],MATCH("2676430",tCartera[CUI],0))="","No informado",INDEX(tCartera[PMI2026],MATCH("2676430",tCartera[CUI],0))))</f>
        <v>Sin PMI</v>
      </c>
      <c r="M46" s="236" t="str">
        <f>IF(COUNTIF(tCartera[CUI],"2676430")=0,"Sin PMI",IF(INDEX(tCartera[PMI2027],MATCH("2676430",tCartera[CUI],0))="","No informado",INDEX(tCartera[PMI2027],MATCH("2676430",tCartera[CUI],0))))</f>
        <v>Sin PMI</v>
      </c>
      <c r="N46" s="236" t="str">
        <f>IF(COUNTIF(tCartera[CUI],"2676430")=0,"Sin PMI",IF(INDEX(tCartera[PMI2028],MATCH("2676430",tCartera[CUI],0))="","No informado",INDEX(tCartera[PMI2028],MATCH("2676430",tCartera[CUI],0))))</f>
        <v>Sin PMI</v>
      </c>
      <c r="O46" s="236" t="str">
        <f>IF(COUNTIF(tCartera[CUI],"2676430")=0,"Sin PMI",IF(INDEX(tCartera[PMI2029],MATCH("2676430",tCartera[CUI],0))="","No informado",INDEX(tCartera[PMI2029],MATCH("2676430",tCartera[CUI],0))))</f>
        <v>Sin PMI</v>
      </c>
    </row>
    <row r="47" spans="1:15" ht="51" x14ac:dyDescent="0.2">
      <c r="A47" s="52">
        <f>SUBTOTAL(103,$B$8:B47)+287</f>
        <v>324</v>
      </c>
      <c r="B47" s="69">
        <v>363</v>
      </c>
      <c r="C47" s="82" t="s">
        <v>398</v>
      </c>
      <c r="D47" s="54">
        <f>IF(COUNTIF(tSIAF[Clave],"2676431|363")=0,"",SUMIF(tSIAF[Clave],"2676431|363",tSIAF[PIM]))</f>
        <v>54964</v>
      </c>
      <c r="E47" s="54">
        <f>IF(COUNTIF(tSIAF[Clave],"2676431|363")=0,"",SUMIF(tSIAF[Clave],"2676431|363",tSIAF[Certificacion]))</f>
        <v>1977.5</v>
      </c>
      <c r="F47" s="54">
        <f>IF(D47="","",D47-E47)</f>
        <v>52986.5</v>
      </c>
      <c r="G47" s="54">
        <f>IF(COUNTIF(tSIAF[Clave],"2676431|363")=0,"",SUMIF(tSIAF[Clave],"2676431|363",tSIAF[Devengado]))</f>
        <v>1977.5</v>
      </c>
      <c r="H47" s="54">
        <f>IF(D47="","",D47-G47)</f>
        <v>52986.5</v>
      </c>
      <c r="I47" s="66">
        <f>IF(D47="","",IF(D47=0,0,G47/D47))</f>
        <v>3.5978094752929193E-2</v>
      </c>
      <c r="J47" s="227"/>
      <c r="K47" s="227" t="s">
        <v>2299</v>
      </c>
      <c r="L47" s="236" t="str">
        <f>IF(COUNTIF(tCartera[CUI],"2676431")=0,"Sin PMI",IF(INDEX(tCartera[PMI2026],MATCH("2676431",tCartera[CUI],0))="","No informado",INDEX(tCartera[PMI2026],MATCH("2676431",tCartera[CUI],0))))</f>
        <v>Sin PMI</v>
      </c>
      <c r="M47" s="236" t="str">
        <f>IF(COUNTIF(tCartera[CUI],"2676431")=0,"Sin PMI",IF(INDEX(tCartera[PMI2027],MATCH("2676431",tCartera[CUI],0))="","No informado",INDEX(tCartera[PMI2027],MATCH("2676431",tCartera[CUI],0))))</f>
        <v>Sin PMI</v>
      </c>
      <c r="N47" s="236" t="str">
        <f>IF(COUNTIF(tCartera[CUI],"2676431")=0,"Sin PMI",IF(INDEX(tCartera[PMI2028],MATCH("2676431",tCartera[CUI],0))="","No informado",INDEX(tCartera[PMI2028],MATCH("2676431",tCartera[CUI],0))))</f>
        <v>Sin PMI</v>
      </c>
      <c r="O47" s="236" t="str">
        <f>IF(COUNTIF(tCartera[CUI],"2676431")=0,"Sin PMI",IF(INDEX(tCartera[PMI2029],MATCH("2676431",tCartera[CUI],0))="","No informado",INDEX(tCartera[PMI2029],MATCH("2676431",tCartera[CUI],0))))</f>
        <v>Sin PMI</v>
      </c>
    </row>
    <row r="48" spans="1:15" ht="63.75" x14ac:dyDescent="0.2">
      <c r="A48" s="52">
        <f>SUBTOTAL(103,$B$8:B48)+287</f>
        <v>325</v>
      </c>
      <c r="B48" s="69">
        <v>364</v>
      </c>
      <c r="C48" s="82" t="s">
        <v>400</v>
      </c>
      <c r="D48" s="54">
        <f>IF(COUNTIF(tSIAF[Clave],"2676432|364")=0,"",SUMIF(tSIAF[Clave],"2676432|364",tSIAF[PIM]))</f>
        <v>73915</v>
      </c>
      <c r="E48" s="54">
        <f>IF(COUNTIF(tSIAF[Clave],"2676432|364")=0,"",SUMIF(tSIAF[Clave],"2676432|364",tSIAF[Certificacion]))</f>
        <v>71560</v>
      </c>
      <c r="F48" s="54">
        <f>IF(D48="","",D48-E48)</f>
        <v>2355</v>
      </c>
      <c r="G48" s="54">
        <f>IF(COUNTIF(tSIAF[Clave],"2676432|364")=0,"",SUMIF(tSIAF[Clave],"2676432|364",tSIAF[Devengado]))</f>
        <v>69710</v>
      </c>
      <c r="H48" s="54">
        <f>IF(D48="","",D48-G48)</f>
        <v>4205</v>
      </c>
      <c r="I48" s="66">
        <f>IF(D48="","",IF(D48=0,0,G48/D48))</f>
        <v>0.94311032943245621</v>
      </c>
      <c r="J48" s="227"/>
      <c r="K48" s="227" t="s">
        <v>2299</v>
      </c>
      <c r="L48" s="236" t="str">
        <f>IF(COUNTIF(tCartera[CUI],"2676432")=0,"Sin PMI",IF(INDEX(tCartera[PMI2026],MATCH("2676432",tCartera[CUI],0))="","No informado",INDEX(tCartera[PMI2026],MATCH("2676432",tCartera[CUI],0))))</f>
        <v>Sin PMI</v>
      </c>
      <c r="M48" s="236" t="str">
        <f>IF(COUNTIF(tCartera[CUI],"2676432")=0,"Sin PMI",IF(INDEX(tCartera[PMI2027],MATCH("2676432",tCartera[CUI],0))="","No informado",INDEX(tCartera[PMI2027],MATCH("2676432",tCartera[CUI],0))))</f>
        <v>Sin PMI</v>
      </c>
      <c r="N48" s="236" t="str">
        <f>IF(COUNTIF(tCartera[CUI],"2676432")=0,"Sin PMI",IF(INDEX(tCartera[PMI2028],MATCH("2676432",tCartera[CUI],0))="","No informado",INDEX(tCartera[PMI2028],MATCH("2676432",tCartera[CUI],0))))</f>
        <v>Sin PMI</v>
      </c>
      <c r="O48" s="236" t="str">
        <f>IF(COUNTIF(tCartera[CUI],"2676432")=0,"Sin PMI",IF(INDEX(tCartera[PMI2029],MATCH("2676432",tCartera[CUI],0))="","No informado",INDEX(tCartera[PMI2029],MATCH("2676432",tCartera[CUI],0))))</f>
        <v>Sin PMI</v>
      </c>
    </row>
    <row r="49" spans="1:15" ht="63.75" x14ac:dyDescent="0.2">
      <c r="A49" s="52">
        <f>SUBTOTAL(103,$B$8:B49)+287</f>
        <v>326</v>
      </c>
      <c r="B49" s="69">
        <v>365</v>
      </c>
      <c r="C49" s="82" t="s">
        <v>401</v>
      </c>
      <c r="D49" s="54">
        <f>IF(COUNTIF(tSIAF[Clave],"2681125|365")=0,"",SUMIF(tSIAF[Clave],"2681125|365",tSIAF[PIM]))</f>
        <v>5098</v>
      </c>
      <c r="E49" s="54">
        <f>IF(COUNTIF(tSIAF[Clave],"2681125|365")=0,"",SUMIF(tSIAF[Clave],"2681125|365",tSIAF[Certificacion]))</f>
        <v>5097</v>
      </c>
      <c r="F49" s="54">
        <f>IF(D49="","",D49-E49)</f>
        <v>1</v>
      </c>
      <c r="G49" s="54">
        <f>IF(COUNTIF(tSIAF[Clave],"2681125|365")=0,"",SUMIF(tSIAF[Clave],"2681125|365",tSIAF[Devengado]))</f>
        <v>5097</v>
      </c>
      <c r="H49" s="54">
        <f>IF(D49="","",D49-G49)</f>
        <v>1</v>
      </c>
      <c r="I49" s="66">
        <f>IF(D49="","",IF(D49=0,0,G49/D49))</f>
        <v>0.99980384464495886</v>
      </c>
      <c r="J49" s="227"/>
      <c r="K49" s="227" t="s">
        <v>2299</v>
      </c>
      <c r="L49" s="236" t="str">
        <f>IF(COUNTIF(tCartera[CUI],"2681125")=0,"Sin PMI",IF(INDEX(tCartera[PMI2026],MATCH("2681125",tCartera[CUI],0))="","No informado",INDEX(tCartera[PMI2026],MATCH("2681125",tCartera[CUI],0))))</f>
        <v>Sin PMI</v>
      </c>
      <c r="M49" s="236" t="str">
        <f>IF(COUNTIF(tCartera[CUI],"2681125")=0,"Sin PMI",IF(INDEX(tCartera[PMI2027],MATCH("2681125",tCartera[CUI],0))="","No informado",INDEX(tCartera[PMI2027],MATCH("2681125",tCartera[CUI],0))))</f>
        <v>Sin PMI</v>
      </c>
      <c r="N49" s="236" t="str">
        <f>IF(COUNTIF(tCartera[CUI],"2681125")=0,"Sin PMI",IF(INDEX(tCartera[PMI2028],MATCH("2681125",tCartera[CUI],0))="","No informado",INDEX(tCartera[PMI2028],MATCH("2681125",tCartera[CUI],0))))</f>
        <v>Sin PMI</v>
      </c>
      <c r="O49" s="236" t="str">
        <f>IF(COUNTIF(tCartera[CUI],"2681125")=0,"Sin PMI",IF(INDEX(tCartera[PMI2029],MATCH("2681125",tCartera[CUI],0))="","No informado",INDEX(tCartera[PMI2029],MATCH("2681125",tCartera[CUI],0))))</f>
        <v>Sin PMI</v>
      </c>
    </row>
    <row r="50" spans="1:15" ht="51" x14ac:dyDescent="0.2">
      <c r="A50" s="52">
        <f>SUBTOTAL(103,$B$8:B50)+287</f>
        <v>327</v>
      </c>
      <c r="B50" s="69">
        <v>366</v>
      </c>
      <c r="C50" s="82" t="s">
        <v>403</v>
      </c>
      <c r="D50" s="54">
        <f>IF(COUNTIF(tSIAF[Clave],"2681128|366")=0,"",SUMIF(tSIAF[Clave],"2681128|366",tSIAF[PIM]))</f>
        <v>4800</v>
      </c>
      <c r="E50" s="54">
        <f>IF(COUNTIF(tSIAF[Clave],"2681128|366")=0,"",SUMIF(tSIAF[Clave],"2681128|366",tSIAF[Certificacion]))</f>
        <v>4800</v>
      </c>
      <c r="F50" s="54">
        <f>IF(D50="","",D50-E50)</f>
        <v>0</v>
      </c>
      <c r="G50" s="54">
        <f>IF(COUNTIF(tSIAF[Clave],"2681128|366")=0,"",SUMIF(tSIAF[Clave],"2681128|366",tSIAF[Devengado]))</f>
        <v>4800</v>
      </c>
      <c r="H50" s="54">
        <f>IF(D50="","",D50-G50)</f>
        <v>0</v>
      </c>
      <c r="I50" s="66">
        <f>IF(D50="","",IF(D50=0,0,G50/D50))</f>
        <v>1</v>
      </c>
      <c r="J50" s="227"/>
      <c r="K50" s="227" t="s">
        <v>2299</v>
      </c>
      <c r="L50" s="236" t="str">
        <f>IF(COUNTIF(tCartera[CUI],"2681128")=0,"Sin PMI",IF(INDEX(tCartera[PMI2026],MATCH("2681128",tCartera[CUI],0))="","No informado",INDEX(tCartera[PMI2026],MATCH("2681128",tCartera[CUI],0))))</f>
        <v>Sin PMI</v>
      </c>
      <c r="M50" s="236" t="str">
        <f>IF(COUNTIF(tCartera[CUI],"2681128")=0,"Sin PMI",IF(INDEX(tCartera[PMI2027],MATCH("2681128",tCartera[CUI],0))="","No informado",INDEX(tCartera[PMI2027],MATCH("2681128",tCartera[CUI],0))))</f>
        <v>Sin PMI</v>
      </c>
      <c r="N50" s="236" t="str">
        <f>IF(COUNTIF(tCartera[CUI],"2681128")=0,"Sin PMI",IF(INDEX(tCartera[PMI2028],MATCH("2681128",tCartera[CUI],0))="","No informado",INDEX(tCartera[PMI2028],MATCH("2681128",tCartera[CUI],0))))</f>
        <v>Sin PMI</v>
      </c>
      <c r="O50" s="236" t="str">
        <f>IF(COUNTIF(tCartera[CUI],"2681128")=0,"Sin PMI",IF(INDEX(tCartera[PMI2029],MATCH("2681128",tCartera[CUI],0))="","No informado",INDEX(tCartera[PMI2029],MATCH("2681128",tCartera[CUI],0))))</f>
        <v>Sin PMI</v>
      </c>
    </row>
    <row r="51" spans="1:15" ht="51" x14ac:dyDescent="0.2">
      <c r="A51" s="52">
        <f>SUBTOTAL(103,$B$8:B51)+287</f>
        <v>328</v>
      </c>
      <c r="B51" s="69">
        <v>367</v>
      </c>
      <c r="C51" s="82" t="s">
        <v>404</v>
      </c>
      <c r="D51" s="54">
        <f>IF(COUNTIF(tSIAF[Clave],"2681129|367")=0,"",SUMIF(tSIAF[Clave],"2681129|367",tSIAF[PIM]))</f>
        <v>12800</v>
      </c>
      <c r="E51" s="54">
        <f>IF(COUNTIF(tSIAF[Clave],"2681129|367")=0,"",SUMIF(tSIAF[Clave],"2681129|367",tSIAF[Certificacion]))</f>
        <v>12800</v>
      </c>
      <c r="F51" s="54">
        <f>IF(D51="","",D51-E51)</f>
        <v>0</v>
      </c>
      <c r="G51" s="54">
        <f>IF(COUNTIF(tSIAF[Clave],"2681129|367")=0,"",SUMIF(tSIAF[Clave],"2681129|367",tSIAF[Devengado]))</f>
        <v>12800</v>
      </c>
      <c r="H51" s="54">
        <f>IF(D51="","",D51-G51)</f>
        <v>0</v>
      </c>
      <c r="I51" s="66">
        <f>IF(D51="","",IF(D51=0,0,G51/D51))</f>
        <v>1</v>
      </c>
      <c r="J51" s="227"/>
      <c r="K51" s="227" t="s">
        <v>2299</v>
      </c>
      <c r="L51" s="236" t="str">
        <f>IF(COUNTIF(tCartera[CUI],"2681129")=0,"Sin PMI",IF(INDEX(tCartera[PMI2026],MATCH("2681129",tCartera[CUI],0))="","No informado",INDEX(tCartera[PMI2026],MATCH("2681129",tCartera[CUI],0))))</f>
        <v>Sin PMI</v>
      </c>
      <c r="M51" s="236" t="str">
        <f>IF(COUNTIF(tCartera[CUI],"2681129")=0,"Sin PMI",IF(INDEX(tCartera[PMI2027],MATCH("2681129",tCartera[CUI],0))="","No informado",INDEX(tCartera[PMI2027],MATCH("2681129",tCartera[CUI],0))))</f>
        <v>Sin PMI</v>
      </c>
      <c r="N51" s="236" t="str">
        <f>IF(COUNTIF(tCartera[CUI],"2681129")=0,"Sin PMI",IF(INDEX(tCartera[PMI2028],MATCH("2681129",tCartera[CUI],0))="","No informado",INDEX(tCartera[PMI2028],MATCH("2681129",tCartera[CUI],0))))</f>
        <v>Sin PMI</v>
      </c>
      <c r="O51" s="236" t="str">
        <f>IF(COUNTIF(tCartera[CUI],"2681129")=0,"Sin PMI",IF(INDEX(tCartera[PMI2029],MATCH("2681129",tCartera[CUI],0))="","No informado",INDEX(tCartera[PMI2029],MATCH("2681129",tCartera[CUI],0))))</f>
        <v>Sin PMI</v>
      </c>
    </row>
    <row r="52" spans="1:15" ht="63.75" x14ac:dyDescent="0.2">
      <c r="A52" s="52">
        <f>SUBTOTAL(103,$B$8:B52)+287</f>
        <v>329</v>
      </c>
      <c r="B52" s="69">
        <v>369</v>
      </c>
      <c r="C52" s="82" t="s">
        <v>407</v>
      </c>
      <c r="D52" s="54">
        <f>IF(COUNTIF(tSIAF[Clave],"2676435|369")=0,"",SUMIF(tSIAF[Clave],"2676435|369",tSIAF[PIM]))</f>
        <v>57400</v>
      </c>
      <c r="E52" s="54">
        <f>IF(COUNTIF(tSIAF[Clave],"2676435|369")=0,"",SUMIF(tSIAF[Clave],"2676435|369",tSIAF[Certificacion]))</f>
        <v>57400</v>
      </c>
      <c r="F52" s="54">
        <f>IF(D52="","",D52-E52)</f>
        <v>0</v>
      </c>
      <c r="G52" s="54">
        <f>IF(COUNTIF(tSIAF[Clave],"2676435|369")=0,"",SUMIF(tSIAF[Clave],"2676435|369",tSIAF[Devengado]))</f>
        <v>57400</v>
      </c>
      <c r="H52" s="54">
        <f>IF(D52="","",D52-G52)</f>
        <v>0</v>
      </c>
      <c r="I52" s="66">
        <f>IF(D52="","",IF(D52=0,0,G52/D52))</f>
        <v>1</v>
      </c>
      <c r="J52" s="227"/>
      <c r="K52" s="227" t="s">
        <v>2299</v>
      </c>
      <c r="L52" s="236" t="str">
        <f>IF(COUNTIF(tCartera[CUI],"2676435")=0,"Sin PMI",IF(INDEX(tCartera[PMI2026],MATCH("2676435",tCartera[CUI],0))="","No informado",INDEX(tCartera[PMI2026],MATCH("2676435",tCartera[CUI],0))))</f>
        <v>Sin PMI</v>
      </c>
      <c r="M52" s="236" t="str">
        <f>IF(COUNTIF(tCartera[CUI],"2676435")=0,"Sin PMI",IF(INDEX(tCartera[PMI2027],MATCH("2676435",tCartera[CUI],0))="","No informado",INDEX(tCartera[PMI2027],MATCH("2676435",tCartera[CUI],0))))</f>
        <v>Sin PMI</v>
      </c>
      <c r="N52" s="236" t="str">
        <f>IF(COUNTIF(tCartera[CUI],"2676435")=0,"Sin PMI",IF(INDEX(tCartera[PMI2028],MATCH("2676435",tCartera[CUI],0))="","No informado",INDEX(tCartera[PMI2028],MATCH("2676435",tCartera[CUI],0))))</f>
        <v>Sin PMI</v>
      </c>
      <c r="O52" s="236" t="str">
        <f>IF(COUNTIF(tCartera[CUI],"2676435")=0,"Sin PMI",IF(INDEX(tCartera[PMI2029],MATCH("2676435",tCartera[CUI],0))="","No informado",INDEX(tCartera[PMI2029],MATCH("2676435",tCartera[CUI],0))))</f>
        <v>Sin PMI</v>
      </c>
    </row>
    <row r="53" spans="1:15" ht="63.75" x14ac:dyDescent="0.2">
      <c r="A53" s="52">
        <f>SUBTOTAL(103,$B$8:B53)+287</f>
        <v>330</v>
      </c>
      <c r="B53" s="69">
        <v>370</v>
      </c>
      <c r="C53" s="82" t="s">
        <v>408</v>
      </c>
      <c r="D53" s="54">
        <f>IF(COUNTIF(tSIAF[Clave],"2676436|370")=0,"",SUMIF(tSIAF[Clave],"2676436|370",tSIAF[PIM]))</f>
        <v>5898</v>
      </c>
      <c r="E53" s="54">
        <f>IF(COUNTIF(tSIAF[Clave],"2676436|370")=0,"",SUMIF(tSIAF[Clave],"2676436|370",tSIAF[Certificacion]))</f>
        <v>5898</v>
      </c>
      <c r="F53" s="54">
        <f>IF(D53="","",D53-E53)</f>
        <v>0</v>
      </c>
      <c r="G53" s="54">
        <f>IF(COUNTIF(tSIAF[Clave],"2676436|370")=0,"",SUMIF(tSIAF[Clave],"2676436|370",tSIAF[Devengado]))</f>
        <v>5898</v>
      </c>
      <c r="H53" s="54">
        <f>IF(D53="","",D53-G53)</f>
        <v>0</v>
      </c>
      <c r="I53" s="66">
        <f>IF(D53="","",IF(D53=0,0,G53/D53))</f>
        <v>1</v>
      </c>
      <c r="J53" s="227"/>
      <c r="K53" s="227" t="s">
        <v>2299</v>
      </c>
      <c r="L53" s="236" t="str">
        <f>IF(COUNTIF(tCartera[CUI],"2676436")=0,"Sin PMI",IF(INDEX(tCartera[PMI2026],MATCH("2676436",tCartera[CUI],0))="","No informado",INDEX(tCartera[PMI2026],MATCH("2676436",tCartera[CUI],0))))</f>
        <v>Sin PMI</v>
      </c>
      <c r="M53" s="236" t="str">
        <f>IF(COUNTIF(tCartera[CUI],"2676436")=0,"Sin PMI",IF(INDEX(tCartera[PMI2027],MATCH("2676436",tCartera[CUI],0))="","No informado",INDEX(tCartera[PMI2027],MATCH("2676436",tCartera[CUI],0))))</f>
        <v>Sin PMI</v>
      </c>
      <c r="N53" s="236" t="str">
        <f>IF(COUNTIF(tCartera[CUI],"2676436")=0,"Sin PMI",IF(INDEX(tCartera[PMI2028],MATCH("2676436",tCartera[CUI],0))="","No informado",INDEX(tCartera[PMI2028],MATCH("2676436",tCartera[CUI],0))))</f>
        <v>Sin PMI</v>
      </c>
      <c r="O53" s="236" t="str">
        <f>IF(COUNTIF(tCartera[CUI],"2676436")=0,"Sin PMI",IF(INDEX(tCartera[PMI2029],MATCH("2676436",tCartera[CUI],0))="","No informado",INDEX(tCartera[PMI2029],MATCH("2676436",tCartera[CUI],0))))</f>
        <v>Sin PMI</v>
      </c>
    </row>
    <row r="54" spans="1:15" ht="63.75" x14ac:dyDescent="0.2">
      <c r="A54" s="52">
        <f>SUBTOTAL(103,$B$8:B54)+287</f>
        <v>331</v>
      </c>
      <c r="B54" s="69">
        <v>371</v>
      </c>
      <c r="C54" s="82" t="s">
        <v>409</v>
      </c>
      <c r="D54" s="54">
        <f>IF(COUNTIF(tSIAF[Clave],"2681276|371")=0,"",SUMIF(tSIAF[Clave],"2681276|371",tSIAF[PIM]))</f>
        <v>3000</v>
      </c>
      <c r="E54" s="54">
        <f>IF(COUNTIF(tSIAF[Clave],"2681276|371")=0,"",SUMIF(tSIAF[Clave],"2681276|371",tSIAF[Certificacion]))</f>
        <v>3000</v>
      </c>
      <c r="F54" s="54">
        <f>IF(D54="","",D54-E54)</f>
        <v>0</v>
      </c>
      <c r="G54" s="54">
        <f>IF(COUNTIF(tSIAF[Clave],"2681276|371")=0,"",SUMIF(tSIAF[Clave],"2681276|371",tSIAF[Devengado]))</f>
        <v>3000</v>
      </c>
      <c r="H54" s="54">
        <f>IF(D54="","",D54-G54)</f>
        <v>0</v>
      </c>
      <c r="I54" s="66">
        <f>IF(D54="","",IF(D54=0,0,G54/D54))</f>
        <v>1</v>
      </c>
      <c r="J54" s="227"/>
      <c r="K54" s="227" t="s">
        <v>2299</v>
      </c>
      <c r="L54" s="236" t="str">
        <f>IF(COUNTIF(tCartera[CUI],"2681276")=0,"Sin PMI",IF(INDEX(tCartera[PMI2026],MATCH("2681276",tCartera[CUI],0))="","No informado",INDEX(tCartera[PMI2026],MATCH("2681276",tCartera[CUI],0))))</f>
        <v>Sin PMI</v>
      </c>
      <c r="M54" s="236" t="str">
        <f>IF(COUNTIF(tCartera[CUI],"2681276")=0,"Sin PMI",IF(INDEX(tCartera[PMI2027],MATCH("2681276",tCartera[CUI],0))="","No informado",INDEX(tCartera[PMI2027],MATCH("2681276",tCartera[CUI],0))))</f>
        <v>Sin PMI</v>
      </c>
      <c r="N54" s="236" t="str">
        <f>IF(COUNTIF(tCartera[CUI],"2681276")=0,"Sin PMI",IF(INDEX(tCartera[PMI2028],MATCH("2681276",tCartera[CUI],0))="","No informado",INDEX(tCartera[PMI2028],MATCH("2681276",tCartera[CUI],0))))</f>
        <v>Sin PMI</v>
      </c>
      <c r="O54" s="236" t="str">
        <f>IF(COUNTIF(tCartera[CUI],"2681276")=0,"Sin PMI",IF(INDEX(tCartera[PMI2029],MATCH("2681276",tCartera[CUI],0))="","No informado",INDEX(tCartera[PMI2029],MATCH("2681276",tCartera[CUI],0))))</f>
        <v>Sin PMI</v>
      </c>
    </row>
    <row r="55" spans="1:15" ht="63.75" x14ac:dyDescent="0.2">
      <c r="A55" s="52">
        <f>SUBTOTAL(103,$B$8:B55)+287</f>
        <v>332</v>
      </c>
      <c r="B55" s="69">
        <v>372</v>
      </c>
      <c r="C55" s="82" t="s">
        <v>411</v>
      </c>
      <c r="D55" s="54">
        <f>IF(COUNTIF(tSIAF[Clave],"2681132|372")=0,"",SUMIF(tSIAF[Clave],"2681132|372",tSIAF[PIM]))</f>
        <v>87790</v>
      </c>
      <c r="E55" s="54">
        <f>IF(COUNTIF(tSIAF[Clave],"2681132|372")=0,"",SUMIF(tSIAF[Clave],"2681132|372",tSIAF[Certificacion]))</f>
        <v>87438</v>
      </c>
      <c r="F55" s="54">
        <f>IF(D55="","",D55-E55)</f>
        <v>352</v>
      </c>
      <c r="G55" s="54">
        <f>IF(COUNTIF(tSIAF[Clave],"2681132|372")=0,"",SUMIF(tSIAF[Clave],"2681132|372",tSIAF[Devengado]))</f>
        <v>77990</v>
      </c>
      <c r="H55" s="54">
        <f>IF(D55="","",D55-G55)</f>
        <v>9800</v>
      </c>
      <c r="I55" s="66">
        <f>IF(D55="","",IF(D55=0,0,G55/D55))</f>
        <v>0.88836997380111626</v>
      </c>
      <c r="J55" s="227"/>
      <c r="K55" s="227" t="s">
        <v>2299</v>
      </c>
      <c r="L55" s="236" t="str">
        <f>IF(COUNTIF(tCartera[CUI],"2681132")=0,"Sin PMI",IF(INDEX(tCartera[PMI2026],MATCH("2681132",tCartera[CUI],0))="","No informado",INDEX(tCartera[PMI2026],MATCH("2681132",tCartera[CUI],0))))</f>
        <v>Sin PMI</v>
      </c>
      <c r="M55" s="236" t="str">
        <f>IF(COUNTIF(tCartera[CUI],"2681132")=0,"Sin PMI",IF(INDEX(tCartera[PMI2027],MATCH("2681132",tCartera[CUI],0))="","No informado",INDEX(tCartera[PMI2027],MATCH("2681132",tCartera[CUI],0))))</f>
        <v>Sin PMI</v>
      </c>
      <c r="N55" s="236" t="str">
        <f>IF(COUNTIF(tCartera[CUI],"2681132")=0,"Sin PMI",IF(INDEX(tCartera[PMI2028],MATCH("2681132",tCartera[CUI],0))="","No informado",INDEX(tCartera[PMI2028],MATCH("2681132",tCartera[CUI],0))))</f>
        <v>Sin PMI</v>
      </c>
      <c r="O55" s="236" t="str">
        <f>IF(COUNTIF(tCartera[CUI],"2681132")=0,"Sin PMI",IF(INDEX(tCartera[PMI2029],MATCH("2681132",tCartera[CUI],0))="","No informado",INDEX(tCartera[PMI2029],MATCH("2681132",tCartera[CUI],0))))</f>
        <v>Sin PMI</v>
      </c>
    </row>
    <row r="56" spans="1:15" ht="38.25" x14ac:dyDescent="0.2">
      <c r="A56" s="52">
        <f>SUBTOTAL(103,$B$8:B56)+287</f>
        <v>333</v>
      </c>
      <c r="B56" s="69">
        <v>376</v>
      </c>
      <c r="C56" s="82" t="s">
        <v>424</v>
      </c>
      <c r="D56" s="54">
        <f>IF(COUNTIF(tSIAF[Clave],"2676433|376")=0,"",SUMIF(tSIAF[Clave],"2676433|376",tSIAF[PIM]))</f>
        <v>14715</v>
      </c>
      <c r="E56" s="54">
        <f>IF(COUNTIF(tSIAF[Clave],"2676433|376")=0,"",SUMIF(tSIAF[Clave],"2676433|376",tSIAF[Certificacion]))</f>
        <v>14714</v>
      </c>
      <c r="F56" s="54">
        <f>IF(D56="","",D56-E56)</f>
        <v>1</v>
      </c>
      <c r="G56" s="54">
        <f>IF(COUNTIF(tSIAF[Clave],"2676433|376")=0,"",SUMIF(tSIAF[Clave],"2676433|376",tSIAF[Devengado]))</f>
        <v>14714</v>
      </c>
      <c r="H56" s="54">
        <f>IF(D56="","",D56-G56)</f>
        <v>1</v>
      </c>
      <c r="I56" s="66">
        <f>IF(D56="","",IF(D56=0,0,G56/D56))</f>
        <v>0.99993204213387699</v>
      </c>
      <c r="J56" s="227"/>
      <c r="K56" s="227" t="s">
        <v>2299</v>
      </c>
      <c r="L56" s="236" t="str">
        <f>IF(COUNTIF(tCartera[CUI],"2676433")=0,"Sin PMI",IF(INDEX(tCartera[PMI2026],MATCH("2676433",tCartera[CUI],0))="","No informado",INDEX(tCartera[PMI2026],MATCH("2676433",tCartera[CUI],0))))</f>
        <v>Sin PMI</v>
      </c>
      <c r="M56" s="236" t="str">
        <f>IF(COUNTIF(tCartera[CUI],"2676433")=0,"Sin PMI",IF(INDEX(tCartera[PMI2027],MATCH("2676433",tCartera[CUI],0))="","No informado",INDEX(tCartera[PMI2027],MATCH("2676433",tCartera[CUI],0))))</f>
        <v>Sin PMI</v>
      </c>
      <c r="N56" s="236" t="str">
        <f>IF(COUNTIF(tCartera[CUI],"2676433")=0,"Sin PMI",IF(INDEX(tCartera[PMI2028],MATCH("2676433",tCartera[CUI],0))="","No informado",INDEX(tCartera[PMI2028],MATCH("2676433",tCartera[CUI],0))))</f>
        <v>Sin PMI</v>
      </c>
      <c r="O56" s="236" t="str">
        <f>IF(COUNTIF(tCartera[CUI],"2676433")=0,"Sin PMI",IF(INDEX(tCartera[PMI2029],MATCH("2676433",tCartera[CUI],0))="","No informado",INDEX(tCartera[PMI2029],MATCH("2676433",tCartera[CUI],0))))</f>
        <v>Sin PMI</v>
      </c>
    </row>
    <row r="57" spans="1:15" ht="51" x14ac:dyDescent="0.2">
      <c r="A57" s="52">
        <f>SUBTOTAL(103,$B$8:B57)+287</f>
        <v>334</v>
      </c>
      <c r="B57" s="69">
        <v>384</v>
      </c>
      <c r="C57" s="82" t="s">
        <v>536</v>
      </c>
      <c r="D57" s="54">
        <f>IF(COUNTIF(tSIAF[Clave],"2717148|384")=0,"",SUMIF(tSIAF[Clave],"2717148|384",tSIAF[PIM]))</f>
        <v>159547</v>
      </c>
      <c r="E57" s="54">
        <f>IF(COUNTIF(tSIAF[Clave],"2717148|384")=0,"",SUMIF(tSIAF[Clave],"2717148|384",tSIAF[Certificacion]))</f>
        <v>154167</v>
      </c>
      <c r="F57" s="54">
        <f>IF(D57="","",D57-E57)</f>
        <v>5380</v>
      </c>
      <c r="G57" s="54">
        <f>IF(COUNTIF(tSIAF[Clave],"2717148|384")=0,"",SUMIF(tSIAF[Clave],"2717148|384",tSIAF[Devengado]))</f>
        <v>116817</v>
      </c>
      <c r="H57" s="54">
        <f>IF(D57="","",D57-G57)</f>
        <v>42730</v>
      </c>
      <c r="I57" s="66">
        <f>IF(D57="","",IF(D57=0,0,G57/D57))</f>
        <v>0.73217923245187944</v>
      </c>
      <c r="J57" s="227"/>
      <c r="K57" s="227" t="s">
        <v>2299</v>
      </c>
      <c r="L57" s="236" t="str">
        <f>IF(COUNTIF(tCartera[CUI],"2717148")=0,"Sin PMI",IF(INDEX(tCartera[PMI2026],MATCH("2717148",tCartera[CUI],0))="","No informado",INDEX(tCartera[PMI2026],MATCH("2717148",tCartera[CUI],0))))</f>
        <v>Sin PMI</v>
      </c>
      <c r="M57" s="236" t="str">
        <f>IF(COUNTIF(tCartera[CUI],"2717148")=0,"Sin PMI",IF(INDEX(tCartera[PMI2027],MATCH("2717148",tCartera[CUI],0))="","No informado",INDEX(tCartera[PMI2027],MATCH("2717148",tCartera[CUI],0))))</f>
        <v>Sin PMI</v>
      </c>
      <c r="N57" s="236" t="str">
        <f>IF(COUNTIF(tCartera[CUI],"2717148")=0,"Sin PMI",IF(INDEX(tCartera[PMI2028],MATCH("2717148",tCartera[CUI],0))="","No informado",INDEX(tCartera[PMI2028],MATCH("2717148",tCartera[CUI],0))))</f>
        <v>Sin PMI</v>
      </c>
      <c r="O57" s="236" t="str">
        <f>IF(COUNTIF(tCartera[CUI],"2717148")=0,"Sin PMI",IF(INDEX(tCartera[PMI2029],MATCH("2717148",tCartera[CUI],0))="","No informado",INDEX(tCartera[PMI2029],MATCH("2717148",tCartera[CUI],0))))</f>
        <v>Sin PMI</v>
      </c>
    </row>
    <row r="58" spans="1:15" ht="63.75" x14ac:dyDescent="0.2">
      <c r="A58" s="52">
        <f>SUBTOTAL(103,$B$8:B58)+287</f>
        <v>335</v>
      </c>
      <c r="B58" s="69">
        <v>385</v>
      </c>
      <c r="C58" s="82" t="s">
        <v>537</v>
      </c>
      <c r="D58" s="54">
        <f>IF(COUNTIF(tSIAF[Clave],"2717149|385")=0,"",SUMIF(tSIAF[Clave],"2717149|385",tSIAF[PIM]))</f>
        <v>158642</v>
      </c>
      <c r="E58" s="54">
        <f>IF(COUNTIF(tSIAF[Clave],"2717149|385")=0,"",SUMIF(tSIAF[Clave],"2717149|385",tSIAF[Certificacion]))</f>
        <v>78147.62</v>
      </c>
      <c r="F58" s="54">
        <f>IF(D58="","",D58-E58)</f>
        <v>80494.38</v>
      </c>
      <c r="G58" s="54">
        <f>IF(COUNTIF(tSIAF[Clave],"2717149|385")=0,"",SUMIF(tSIAF[Clave],"2717149|385",tSIAF[Devengado]))</f>
        <v>0</v>
      </c>
      <c r="H58" s="54">
        <f>IF(D58="","",D58-G58)</f>
        <v>158642</v>
      </c>
      <c r="I58" s="66">
        <f>IF(D58="","",IF(D58=0,0,G58/D58))</f>
        <v>0</v>
      </c>
      <c r="J58" s="227"/>
      <c r="K58" s="227" t="s">
        <v>2299</v>
      </c>
      <c r="L58" s="236" t="str">
        <f>IF(COUNTIF(tCartera[CUI],"2717149")=0,"Sin PMI",IF(INDEX(tCartera[PMI2026],MATCH("2717149",tCartera[CUI],0))="","No informado",INDEX(tCartera[PMI2026],MATCH("2717149",tCartera[CUI],0))))</f>
        <v>Sin PMI</v>
      </c>
      <c r="M58" s="236" t="str">
        <f>IF(COUNTIF(tCartera[CUI],"2717149")=0,"Sin PMI",IF(INDEX(tCartera[PMI2027],MATCH("2717149",tCartera[CUI],0))="","No informado",INDEX(tCartera[PMI2027],MATCH("2717149",tCartera[CUI],0))))</f>
        <v>Sin PMI</v>
      </c>
      <c r="N58" s="236" t="str">
        <f>IF(COUNTIF(tCartera[CUI],"2717149")=0,"Sin PMI",IF(INDEX(tCartera[PMI2028],MATCH("2717149",tCartera[CUI],0))="","No informado",INDEX(tCartera[PMI2028],MATCH("2717149",tCartera[CUI],0))))</f>
        <v>Sin PMI</v>
      </c>
      <c r="O58" s="236" t="str">
        <f>IF(COUNTIF(tCartera[CUI],"2717149")=0,"Sin PMI",IF(INDEX(tCartera[PMI2029],MATCH("2717149",tCartera[CUI],0))="","No informado",INDEX(tCartera[PMI2029],MATCH("2717149",tCartera[CUI],0))))</f>
        <v>Sin PMI</v>
      </c>
    </row>
    <row r="59" spans="1:15" ht="51" x14ac:dyDescent="0.2">
      <c r="A59" s="52">
        <f>SUBTOTAL(103,$B$8:B59)+287</f>
        <v>336</v>
      </c>
      <c r="B59" s="69">
        <v>388</v>
      </c>
      <c r="C59" s="82" t="s">
        <v>540</v>
      </c>
      <c r="D59" s="54">
        <f>IF(COUNTIF(tSIAF[Clave],"2717152|388")=0,"",SUMIF(tSIAF[Clave],"2717152|388",tSIAF[PIM]))</f>
        <v>159352</v>
      </c>
      <c r="E59" s="54">
        <f>IF(COUNTIF(tSIAF[Clave],"2717152|388")=0,"",SUMIF(tSIAF[Clave],"2717152|388",tSIAF[Certificacion]))</f>
        <v>154000</v>
      </c>
      <c r="F59" s="54">
        <f>IF(D59="","",D59-E59)</f>
        <v>5352</v>
      </c>
      <c r="G59" s="54">
        <f>IF(COUNTIF(tSIAF[Clave],"2717152|388")=0,"",SUMIF(tSIAF[Clave],"2717152|388",tSIAF[Devengado]))</f>
        <v>150220</v>
      </c>
      <c r="H59" s="54">
        <f>IF(D59="","",D59-G59)</f>
        <v>9132</v>
      </c>
      <c r="I59" s="66">
        <f>IF(D59="","",IF(D59=0,0,G59/D59))</f>
        <v>0.94269290627039515</v>
      </c>
      <c r="J59" s="227"/>
      <c r="K59" s="227" t="s">
        <v>2299</v>
      </c>
      <c r="L59" s="236" t="str">
        <f>IF(COUNTIF(tCartera[CUI],"2717152")=0,"Sin PMI",IF(INDEX(tCartera[PMI2026],MATCH("2717152",tCartera[CUI],0))="","No informado",INDEX(tCartera[PMI2026],MATCH("2717152",tCartera[CUI],0))))</f>
        <v>Sin PMI</v>
      </c>
      <c r="M59" s="236" t="str">
        <f>IF(COUNTIF(tCartera[CUI],"2717152")=0,"Sin PMI",IF(INDEX(tCartera[PMI2027],MATCH("2717152",tCartera[CUI],0))="","No informado",INDEX(tCartera[PMI2027],MATCH("2717152",tCartera[CUI],0))))</f>
        <v>Sin PMI</v>
      </c>
      <c r="N59" s="236" t="str">
        <f>IF(COUNTIF(tCartera[CUI],"2717152")=0,"Sin PMI",IF(INDEX(tCartera[PMI2028],MATCH("2717152",tCartera[CUI],0))="","No informado",INDEX(tCartera[PMI2028],MATCH("2717152",tCartera[CUI],0))))</f>
        <v>Sin PMI</v>
      </c>
      <c r="O59" s="236" t="str">
        <f>IF(COUNTIF(tCartera[CUI],"2717152")=0,"Sin PMI",IF(INDEX(tCartera[PMI2029],MATCH("2717152",tCartera[CUI],0))="","No informado",INDEX(tCartera[PMI2029],MATCH("2717152",tCartera[CUI],0))))</f>
        <v>Sin PMI</v>
      </c>
    </row>
    <row r="60" spans="1:15" ht="63.75" x14ac:dyDescent="0.2">
      <c r="A60" s="52">
        <f>SUBTOTAL(103,$B$8:B60)+287</f>
        <v>337</v>
      </c>
      <c r="B60" s="69">
        <v>389</v>
      </c>
      <c r="C60" s="82" t="s">
        <v>541</v>
      </c>
      <c r="D60" s="54">
        <f>IF(COUNTIF(tSIAF[Clave],"2717153|389")=0,"",SUMIF(tSIAF[Clave],"2717153|389",tSIAF[PIM]))</f>
        <v>159613</v>
      </c>
      <c r="E60" s="54">
        <f>IF(COUNTIF(tSIAF[Clave],"2717153|389")=0,"",SUMIF(tSIAF[Clave],"2717153|389",tSIAF[Certificacion]))</f>
        <v>149133.25</v>
      </c>
      <c r="F60" s="54">
        <f>IF(D60="","",D60-E60)</f>
        <v>10479.75</v>
      </c>
      <c r="G60" s="54">
        <f>IF(COUNTIF(tSIAF[Clave],"2717153|389")=0,"",SUMIF(tSIAF[Clave],"2717153|389",tSIAF[Devengado]))</f>
        <v>7133.25</v>
      </c>
      <c r="H60" s="54">
        <f>IF(D60="","",D60-G60)</f>
        <v>152479.75</v>
      </c>
      <c r="I60" s="66">
        <f>IF(D60="","",IF(D60=0,0,G60/D60))</f>
        <v>4.4690908635261539E-2</v>
      </c>
      <c r="J60" s="227"/>
      <c r="K60" s="227" t="s">
        <v>2299</v>
      </c>
      <c r="L60" s="236" t="str">
        <f>IF(COUNTIF(tCartera[CUI],"2717153")=0,"Sin PMI",IF(INDEX(tCartera[PMI2026],MATCH("2717153",tCartera[CUI],0))="","No informado",INDEX(tCartera[PMI2026],MATCH("2717153",tCartera[CUI],0))))</f>
        <v>Sin PMI</v>
      </c>
      <c r="M60" s="236" t="str">
        <f>IF(COUNTIF(tCartera[CUI],"2717153")=0,"Sin PMI",IF(INDEX(tCartera[PMI2027],MATCH("2717153",tCartera[CUI],0))="","No informado",INDEX(tCartera[PMI2027],MATCH("2717153",tCartera[CUI],0))))</f>
        <v>Sin PMI</v>
      </c>
      <c r="N60" s="236" t="str">
        <f>IF(COUNTIF(tCartera[CUI],"2717153")=0,"Sin PMI",IF(INDEX(tCartera[PMI2028],MATCH("2717153",tCartera[CUI],0))="","No informado",INDEX(tCartera[PMI2028],MATCH("2717153",tCartera[CUI],0))))</f>
        <v>Sin PMI</v>
      </c>
      <c r="O60" s="236" t="str">
        <f>IF(COUNTIF(tCartera[CUI],"2717153")=0,"Sin PMI",IF(INDEX(tCartera[PMI2029],MATCH("2717153",tCartera[CUI],0))="","No informado",INDEX(tCartera[PMI2029],MATCH("2717153",tCartera[CUI],0))))</f>
        <v>Sin PMI</v>
      </c>
    </row>
    <row r="61" spans="1:15" ht="63.75" x14ac:dyDescent="0.2">
      <c r="A61" s="52">
        <f>SUBTOTAL(103,$B$8:B61)+287</f>
        <v>338</v>
      </c>
      <c r="B61" s="69">
        <v>390</v>
      </c>
      <c r="C61" s="82" t="s">
        <v>542</v>
      </c>
      <c r="D61" s="54">
        <f>IF(COUNTIF(tSIAF[Clave],"2717154|390")=0,"",SUMIF(tSIAF[Clave],"2717154|390",tSIAF[PIM]))</f>
        <v>159555</v>
      </c>
      <c r="E61" s="54">
        <f>IF(COUNTIF(tSIAF[Clave],"2717154|390")=0,"",SUMIF(tSIAF[Clave],"2717154|390",tSIAF[Certificacion]))</f>
        <v>132645</v>
      </c>
      <c r="F61" s="54">
        <f>IF(D61="","",D61-E61)</f>
        <v>26910</v>
      </c>
      <c r="G61" s="54">
        <f>IF(COUNTIF(tSIAF[Clave],"2717154|390")=0,"",SUMIF(tSIAF[Clave],"2717154|390",tSIAF[Devengado]))</f>
        <v>100745</v>
      </c>
      <c r="H61" s="54">
        <f>IF(D61="","",D61-G61)</f>
        <v>58810</v>
      </c>
      <c r="I61" s="66">
        <f>IF(D61="","",IF(D61=0,0,G61/D61))</f>
        <v>0.6314123656419417</v>
      </c>
      <c r="J61" s="227"/>
      <c r="K61" s="227" t="s">
        <v>2299</v>
      </c>
      <c r="L61" s="236" t="str">
        <f>IF(COUNTIF(tCartera[CUI],"2717154")=0,"Sin PMI",IF(INDEX(tCartera[PMI2026],MATCH("2717154",tCartera[CUI],0))="","No informado",INDEX(tCartera[PMI2026],MATCH("2717154",tCartera[CUI],0))))</f>
        <v>Sin PMI</v>
      </c>
      <c r="M61" s="236" t="str">
        <f>IF(COUNTIF(tCartera[CUI],"2717154")=0,"Sin PMI",IF(INDEX(tCartera[PMI2027],MATCH("2717154",tCartera[CUI],0))="","No informado",INDEX(tCartera[PMI2027],MATCH("2717154",tCartera[CUI],0))))</f>
        <v>Sin PMI</v>
      </c>
      <c r="N61" s="236" t="str">
        <f>IF(COUNTIF(tCartera[CUI],"2717154")=0,"Sin PMI",IF(INDEX(tCartera[PMI2028],MATCH("2717154",tCartera[CUI],0))="","No informado",INDEX(tCartera[PMI2028],MATCH("2717154",tCartera[CUI],0))))</f>
        <v>Sin PMI</v>
      </c>
      <c r="O61" s="236" t="str">
        <f>IF(COUNTIF(tCartera[CUI],"2717154")=0,"Sin PMI",IF(INDEX(tCartera[PMI2029],MATCH("2717154",tCartera[CUI],0))="","No informado",INDEX(tCartera[PMI2029],MATCH("2717154",tCartera[CUI],0))))</f>
        <v>Sin PMI</v>
      </c>
    </row>
    <row r="62" spans="1:15" ht="63.75" x14ac:dyDescent="0.2">
      <c r="A62" s="52">
        <f>SUBTOTAL(103,$B$8:B62)+287</f>
        <v>339</v>
      </c>
      <c r="B62" s="69">
        <v>391</v>
      </c>
      <c r="C62" s="82" t="s">
        <v>543</v>
      </c>
      <c r="D62" s="54">
        <f>IF(COUNTIF(tSIAF[Clave],"2717155|391")=0,"",SUMIF(tSIAF[Clave],"2717155|391",tSIAF[PIM]))</f>
        <v>154799</v>
      </c>
      <c r="E62" s="54">
        <f>IF(COUNTIF(tSIAF[Clave],"2717155|391")=0,"",SUMIF(tSIAF[Clave],"2717155|391",tSIAF[Certificacion]))</f>
        <v>147492</v>
      </c>
      <c r="F62" s="54">
        <f>IF(D62="","",D62-E62)</f>
        <v>7307</v>
      </c>
      <c r="G62" s="54">
        <f>IF(COUNTIF(tSIAF[Clave],"2717155|391")=0,"",SUMIF(tSIAF[Clave],"2717155|391",tSIAF[Devengado]))</f>
        <v>143262</v>
      </c>
      <c r="H62" s="54">
        <f>IF(D62="","",D62-G62)</f>
        <v>11537</v>
      </c>
      <c r="I62" s="66">
        <f>IF(D62="","",IF(D62=0,0,G62/D62))</f>
        <v>0.92547109477451406</v>
      </c>
      <c r="J62" s="227"/>
      <c r="K62" s="227" t="s">
        <v>2299</v>
      </c>
      <c r="L62" s="236" t="str">
        <f>IF(COUNTIF(tCartera[CUI],"2717155")=0,"Sin PMI",IF(INDEX(tCartera[PMI2026],MATCH("2717155",tCartera[CUI],0))="","No informado",INDEX(tCartera[PMI2026],MATCH("2717155",tCartera[CUI],0))))</f>
        <v>Sin PMI</v>
      </c>
      <c r="M62" s="236" t="str">
        <f>IF(COUNTIF(tCartera[CUI],"2717155")=0,"Sin PMI",IF(INDEX(tCartera[PMI2027],MATCH("2717155",tCartera[CUI],0))="","No informado",INDEX(tCartera[PMI2027],MATCH("2717155",tCartera[CUI],0))))</f>
        <v>Sin PMI</v>
      </c>
      <c r="N62" s="236" t="str">
        <f>IF(COUNTIF(tCartera[CUI],"2717155")=0,"Sin PMI",IF(INDEX(tCartera[PMI2028],MATCH("2717155",tCartera[CUI],0))="","No informado",INDEX(tCartera[PMI2028],MATCH("2717155",tCartera[CUI],0))))</f>
        <v>Sin PMI</v>
      </c>
      <c r="O62" s="236" t="str">
        <f>IF(COUNTIF(tCartera[CUI],"2717155")=0,"Sin PMI",IF(INDEX(tCartera[PMI2029],MATCH("2717155",tCartera[CUI],0))="","No informado",INDEX(tCartera[PMI2029],MATCH("2717155",tCartera[CUI],0))))</f>
        <v>Sin PMI</v>
      </c>
    </row>
    <row r="63" spans="1:15" ht="63.75" x14ac:dyDescent="0.2">
      <c r="A63" s="52">
        <f>SUBTOTAL(103,$B$8:B63)+287</f>
        <v>340</v>
      </c>
      <c r="B63" s="69">
        <v>395</v>
      </c>
      <c r="C63" s="82" t="s">
        <v>547</v>
      </c>
      <c r="D63" s="54">
        <f>IF(COUNTIF(tSIAF[Clave],"2717159|395")=0,"",SUMIF(tSIAF[Clave],"2717159|395",tSIAF[PIM]))</f>
        <v>155278</v>
      </c>
      <c r="E63" s="54">
        <f>IF(COUNTIF(tSIAF[Clave],"2717159|395")=0,"",SUMIF(tSIAF[Clave],"2717159|395",tSIAF[Certificacion]))</f>
        <v>149541</v>
      </c>
      <c r="F63" s="54">
        <f>IF(D63="","",D63-E63)</f>
        <v>5737</v>
      </c>
      <c r="G63" s="54">
        <f>IF(COUNTIF(tSIAF[Clave],"2717159|395")=0,"",SUMIF(tSIAF[Clave],"2717159|395",tSIAF[Devengado]))</f>
        <v>113190</v>
      </c>
      <c r="H63" s="54">
        <f>IF(D63="","",D63-G63)</f>
        <v>42088</v>
      </c>
      <c r="I63" s="66">
        <f>IF(D63="","",IF(D63=0,0,G63/D63))</f>
        <v>0.72895065624235245</v>
      </c>
      <c r="J63" s="227"/>
      <c r="K63" s="227" t="s">
        <v>2299</v>
      </c>
      <c r="L63" s="236" t="str">
        <f>IF(COUNTIF(tCartera[CUI],"2717159")=0,"Sin PMI",IF(INDEX(tCartera[PMI2026],MATCH("2717159",tCartera[CUI],0))="","No informado",INDEX(tCartera[PMI2026],MATCH("2717159",tCartera[CUI],0))))</f>
        <v>Sin PMI</v>
      </c>
      <c r="M63" s="236" t="str">
        <f>IF(COUNTIF(tCartera[CUI],"2717159")=0,"Sin PMI",IF(INDEX(tCartera[PMI2027],MATCH("2717159",tCartera[CUI],0))="","No informado",INDEX(tCartera[PMI2027],MATCH("2717159",tCartera[CUI],0))))</f>
        <v>Sin PMI</v>
      </c>
      <c r="N63" s="236" t="str">
        <f>IF(COUNTIF(tCartera[CUI],"2717159")=0,"Sin PMI",IF(INDEX(tCartera[PMI2028],MATCH("2717159",tCartera[CUI],0))="","No informado",INDEX(tCartera[PMI2028],MATCH("2717159",tCartera[CUI],0))))</f>
        <v>Sin PMI</v>
      </c>
      <c r="O63" s="236" t="str">
        <f>IF(COUNTIF(tCartera[CUI],"2717159")=0,"Sin PMI",IF(INDEX(tCartera[PMI2029],MATCH("2717159",tCartera[CUI],0))="","No informado",INDEX(tCartera[PMI2029],MATCH("2717159",tCartera[CUI],0))))</f>
        <v>Sin PMI</v>
      </c>
    </row>
    <row r="64" spans="1:15" ht="51" x14ac:dyDescent="0.2">
      <c r="A64" s="52">
        <f>SUBTOTAL(103,$B$8:B64)+287</f>
        <v>341</v>
      </c>
      <c r="B64" s="69">
        <v>396</v>
      </c>
      <c r="C64" s="82" t="s">
        <v>548</v>
      </c>
      <c r="D64" s="54">
        <f>IF(COUNTIF(tSIAF[Clave],"2717160|396")=0,"",SUMIF(tSIAF[Clave],"2717160|396",tSIAF[PIM]))</f>
        <v>159890</v>
      </c>
      <c r="E64" s="54">
        <f>IF(COUNTIF(tSIAF[Clave],"2717160|396")=0,"",SUMIF(tSIAF[Clave],"2717160|396",tSIAF[Certificacion]))</f>
        <v>150349</v>
      </c>
      <c r="F64" s="54">
        <f>IF(D64="","",D64-E64)</f>
        <v>9541</v>
      </c>
      <c r="G64" s="54">
        <f>IF(COUNTIF(tSIAF[Clave],"2717160|396")=0,"",SUMIF(tSIAF[Clave],"2717160|396",tSIAF[Devengado]))</f>
        <v>5349</v>
      </c>
      <c r="H64" s="54">
        <f>IF(D64="","",D64-G64)</f>
        <v>154541</v>
      </c>
      <c r="I64" s="66">
        <f>IF(D64="","",IF(D64=0,0,G64/D64))</f>
        <v>3.3454249796735253E-2</v>
      </c>
      <c r="J64" s="227"/>
      <c r="K64" s="227" t="s">
        <v>2299</v>
      </c>
      <c r="L64" s="236" t="str">
        <f>IF(COUNTIF(tCartera[CUI],"2717160")=0,"Sin PMI",IF(INDEX(tCartera[PMI2026],MATCH("2717160",tCartera[CUI],0))="","No informado",INDEX(tCartera[PMI2026],MATCH("2717160",tCartera[CUI],0))))</f>
        <v>Sin PMI</v>
      </c>
      <c r="M64" s="236" t="str">
        <f>IF(COUNTIF(tCartera[CUI],"2717160")=0,"Sin PMI",IF(INDEX(tCartera[PMI2027],MATCH("2717160",tCartera[CUI],0))="","No informado",INDEX(tCartera[PMI2027],MATCH("2717160",tCartera[CUI],0))))</f>
        <v>Sin PMI</v>
      </c>
      <c r="N64" s="236" t="str">
        <f>IF(COUNTIF(tCartera[CUI],"2717160")=0,"Sin PMI",IF(INDEX(tCartera[PMI2028],MATCH("2717160",tCartera[CUI],0))="","No informado",INDEX(tCartera[PMI2028],MATCH("2717160",tCartera[CUI],0))))</f>
        <v>Sin PMI</v>
      </c>
      <c r="O64" s="236" t="str">
        <f>IF(COUNTIF(tCartera[CUI],"2717160")=0,"Sin PMI",IF(INDEX(tCartera[PMI2029],MATCH("2717160",tCartera[CUI],0))="","No informado",INDEX(tCartera[PMI2029],MATCH("2717160",tCartera[CUI],0))))</f>
        <v>Sin PMI</v>
      </c>
    </row>
    <row r="65" spans="1:15" ht="38.25" x14ac:dyDescent="0.2">
      <c r="A65" s="52">
        <f>SUBTOTAL(103,$B$8:B65)+287</f>
        <v>342</v>
      </c>
      <c r="B65" s="69">
        <v>398</v>
      </c>
      <c r="C65" s="82" t="s">
        <v>550</v>
      </c>
      <c r="D65" s="54">
        <f>IF(COUNTIF(tSIAF[Clave],"2717162|398")=0,"",SUMIF(tSIAF[Clave],"2717162|398",tSIAF[PIM]))</f>
        <v>159321</v>
      </c>
      <c r="E65" s="54">
        <f>IF(COUNTIF(tSIAF[Clave],"2717162|398")=0,"",SUMIF(tSIAF[Clave],"2717162|398",tSIAF[Certificacion]))</f>
        <v>152810</v>
      </c>
      <c r="F65" s="54">
        <f>IF(D65="","",D65-E65)</f>
        <v>6511</v>
      </c>
      <c r="G65" s="54">
        <f>IF(COUNTIF(tSIAF[Clave],"2717162|398")=0,"",SUMIF(tSIAF[Clave],"2717162|398",tSIAF[Devengado]))</f>
        <v>130010</v>
      </c>
      <c r="H65" s="54">
        <f>IF(D65="","",D65-G65)</f>
        <v>29311</v>
      </c>
      <c r="I65" s="66">
        <f>IF(D65="","",IF(D65=0,0,G65/D65))</f>
        <v>0.81602550825063869</v>
      </c>
      <c r="J65" s="227"/>
      <c r="K65" s="227" t="s">
        <v>2299</v>
      </c>
      <c r="L65" s="236" t="str">
        <f>IF(COUNTIF(tCartera[CUI],"2717162")=0,"Sin PMI",IF(INDEX(tCartera[PMI2026],MATCH("2717162",tCartera[CUI],0))="","No informado",INDEX(tCartera[PMI2026],MATCH("2717162",tCartera[CUI],0))))</f>
        <v>Sin PMI</v>
      </c>
      <c r="M65" s="236" t="str">
        <f>IF(COUNTIF(tCartera[CUI],"2717162")=0,"Sin PMI",IF(INDEX(tCartera[PMI2027],MATCH("2717162",tCartera[CUI],0))="","No informado",INDEX(tCartera[PMI2027],MATCH("2717162",tCartera[CUI],0))))</f>
        <v>Sin PMI</v>
      </c>
      <c r="N65" s="236" t="str">
        <f>IF(COUNTIF(tCartera[CUI],"2717162")=0,"Sin PMI",IF(INDEX(tCartera[PMI2028],MATCH("2717162",tCartera[CUI],0))="","No informado",INDEX(tCartera[PMI2028],MATCH("2717162",tCartera[CUI],0))))</f>
        <v>Sin PMI</v>
      </c>
      <c r="O65" s="236" t="str">
        <f>IF(COUNTIF(tCartera[CUI],"2717162")=0,"Sin PMI",IF(INDEX(tCartera[PMI2029],MATCH("2717162",tCartera[CUI],0))="","No informado",INDEX(tCartera[PMI2029],MATCH("2717162",tCartera[CUI],0))))</f>
        <v>Sin PMI</v>
      </c>
    </row>
    <row r="66" spans="1:15" ht="51" x14ac:dyDescent="0.2">
      <c r="A66" s="52">
        <f>SUBTOTAL(103,$B$8:B66)+287</f>
        <v>343</v>
      </c>
      <c r="B66" s="69">
        <v>400</v>
      </c>
      <c r="C66" s="82" t="s">
        <v>552</v>
      </c>
      <c r="D66" s="54">
        <f>IF(COUNTIF(tSIAF[Clave],"2717165|400")=0,"",SUMIF(tSIAF[Clave],"2717165|400",tSIAF[PIM]))</f>
        <v>146532</v>
      </c>
      <c r="E66" s="54">
        <f>IF(COUNTIF(tSIAF[Clave],"2717165|400")=0,"",SUMIF(tSIAF[Clave],"2717165|400",tSIAF[Certificacion]))</f>
        <v>140645</v>
      </c>
      <c r="F66" s="54">
        <f>IF(D66="","",D66-E66)</f>
        <v>5887</v>
      </c>
      <c r="G66" s="54">
        <f>IF(COUNTIF(tSIAF[Clave],"2717165|400")=0,"",SUMIF(tSIAF[Clave],"2717165|400",tSIAF[Devengado]))</f>
        <v>109445</v>
      </c>
      <c r="H66" s="54">
        <f>IF(D66="","",D66-G66)</f>
        <v>37087</v>
      </c>
      <c r="I66" s="66">
        <f>IF(D66="","",IF(D66=0,0,G66/D66))</f>
        <v>0.74690170065241723</v>
      </c>
      <c r="J66" s="227"/>
      <c r="K66" s="227" t="s">
        <v>2299</v>
      </c>
      <c r="L66" s="236" t="str">
        <f>IF(COUNTIF(tCartera[CUI],"2717165")=0,"Sin PMI",IF(INDEX(tCartera[PMI2026],MATCH("2717165",tCartera[CUI],0))="","No informado",INDEX(tCartera[PMI2026],MATCH("2717165",tCartera[CUI],0))))</f>
        <v>Sin PMI</v>
      </c>
      <c r="M66" s="236" t="str">
        <f>IF(COUNTIF(tCartera[CUI],"2717165")=0,"Sin PMI",IF(INDEX(tCartera[PMI2027],MATCH("2717165",tCartera[CUI],0))="","No informado",INDEX(tCartera[PMI2027],MATCH("2717165",tCartera[CUI],0))))</f>
        <v>Sin PMI</v>
      </c>
      <c r="N66" s="236" t="str">
        <f>IF(COUNTIF(tCartera[CUI],"2717165")=0,"Sin PMI",IF(INDEX(tCartera[PMI2028],MATCH("2717165",tCartera[CUI],0))="","No informado",INDEX(tCartera[PMI2028],MATCH("2717165",tCartera[CUI],0))))</f>
        <v>Sin PMI</v>
      </c>
      <c r="O66" s="236" t="str">
        <f>IF(COUNTIF(tCartera[CUI],"2717165")=0,"Sin PMI",IF(INDEX(tCartera[PMI2029],MATCH("2717165",tCartera[CUI],0))="","No informado",INDEX(tCartera[PMI2029],MATCH("2717165",tCartera[CUI],0))))</f>
        <v>Sin PMI</v>
      </c>
    </row>
    <row r="67" spans="1:15" ht="76.5" x14ac:dyDescent="0.2">
      <c r="A67" s="52">
        <f>SUBTOTAL(103,$B$8:B67)+287</f>
        <v>344</v>
      </c>
      <c r="B67" s="69">
        <v>401</v>
      </c>
      <c r="C67" s="82" t="s">
        <v>553</v>
      </c>
      <c r="D67" s="54">
        <f>IF(COUNTIF(tSIAF[Clave],"2717166|401")=0,"",SUMIF(tSIAF[Clave],"2717166|401",tSIAF[PIM]))</f>
        <v>155656</v>
      </c>
      <c r="E67" s="54">
        <f>IF(COUNTIF(tSIAF[Clave],"2717166|401")=0,"",SUMIF(tSIAF[Clave],"2717166|401",tSIAF[Certificacion]))</f>
        <v>151053</v>
      </c>
      <c r="F67" s="54">
        <f>IF(D67="","",D67-E67)</f>
        <v>4603</v>
      </c>
      <c r="G67" s="54">
        <f>IF(COUNTIF(tSIAF[Clave],"2717166|401")=0,"",SUMIF(tSIAF[Clave],"2717166|401",tSIAF[Devengado]))</f>
        <v>0</v>
      </c>
      <c r="H67" s="54">
        <f>IF(D67="","",D67-G67)</f>
        <v>155656</v>
      </c>
      <c r="I67" s="66">
        <f>IF(D67="","",IF(D67=0,0,G67/D67))</f>
        <v>0</v>
      </c>
      <c r="J67" s="227"/>
      <c r="K67" s="227" t="s">
        <v>2299</v>
      </c>
      <c r="L67" s="236" t="str">
        <f>IF(COUNTIF(tCartera[CUI],"2717166")=0,"Sin PMI",IF(INDEX(tCartera[PMI2026],MATCH("2717166",tCartera[CUI],0))="","No informado",INDEX(tCartera[PMI2026],MATCH("2717166",tCartera[CUI],0))))</f>
        <v>Sin PMI</v>
      </c>
      <c r="M67" s="236" t="str">
        <f>IF(COUNTIF(tCartera[CUI],"2717166")=0,"Sin PMI",IF(INDEX(tCartera[PMI2027],MATCH("2717166",tCartera[CUI],0))="","No informado",INDEX(tCartera[PMI2027],MATCH("2717166",tCartera[CUI],0))))</f>
        <v>Sin PMI</v>
      </c>
      <c r="N67" s="236" t="str">
        <f>IF(COUNTIF(tCartera[CUI],"2717166")=0,"Sin PMI",IF(INDEX(tCartera[PMI2028],MATCH("2717166",tCartera[CUI],0))="","No informado",INDEX(tCartera[PMI2028],MATCH("2717166",tCartera[CUI],0))))</f>
        <v>Sin PMI</v>
      </c>
      <c r="O67" s="236" t="str">
        <f>IF(COUNTIF(tCartera[CUI],"2717166")=0,"Sin PMI",IF(INDEX(tCartera[PMI2029],MATCH("2717166",tCartera[CUI],0))="","No informado",INDEX(tCartera[PMI2029],MATCH("2717166",tCartera[CUI],0))))</f>
        <v>Sin PMI</v>
      </c>
    </row>
    <row r="68" spans="1:15" ht="51" x14ac:dyDescent="0.2">
      <c r="A68" s="52">
        <f>SUBTOTAL(103,$B$8:B68)+287</f>
        <v>345</v>
      </c>
      <c r="B68" s="69">
        <v>402</v>
      </c>
      <c r="C68" s="82" t="s">
        <v>554</v>
      </c>
      <c r="D68" s="54">
        <f>IF(COUNTIF(tSIAF[Clave],"2717167|402")=0,"",SUMIF(tSIAF[Clave],"2717167|402",tSIAF[PIM]))</f>
        <v>159060</v>
      </c>
      <c r="E68" s="54">
        <f>IF(COUNTIF(tSIAF[Clave],"2717167|402")=0,"",SUMIF(tSIAF[Clave],"2717167|402",tSIAF[Certificacion]))</f>
        <v>151725</v>
      </c>
      <c r="F68" s="54">
        <f>IF(D68="","",D68-E68)</f>
        <v>7335</v>
      </c>
      <c r="G68" s="54">
        <f>IF(COUNTIF(tSIAF[Clave],"2717167|402")=0,"",SUMIF(tSIAF[Clave],"2717167|402",tSIAF[Devengado]))</f>
        <v>124900</v>
      </c>
      <c r="H68" s="54">
        <f>IF(D68="","",D68-G68)</f>
        <v>34160</v>
      </c>
      <c r="I68" s="66">
        <f>IF(D68="","",IF(D68=0,0,G68/D68))</f>
        <v>0.78523827486483089</v>
      </c>
      <c r="J68" s="227"/>
      <c r="K68" s="227" t="s">
        <v>2299</v>
      </c>
      <c r="L68" s="236" t="str">
        <f>IF(COUNTIF(tCartera[CUI],"2717167")=0,"Sin PMI",IF(INDEX(tCartera[PMI2026],MATCH("2717167",tCartera[CUI],0))="","No informado",INDEX(tCartera[PMI2026],MATCH("2717167",tCartera[CUI],0))))</f>
        <v>Sin PMI</v>
      </c>
      <c r="M68" s="236" t="str">
        <f>IF(COUNTIF(tCartera[CUI],"2717167")=0,"Sin PMI",IF(INDEX(tCartera[PMI2027],MATCH("2717167",tCartera[CUI],0))="","No informado",INDEX(tCartera[PMI2027],MATCH("2717167",tCartera[CUI],0))))</f>
        <v>Sin PMI</v>
      </c>
      <c r="N68" s="236" t="str">
        <f>IF(COUNTIF(tCartera[CUI],"2717167")=0,"Sin PMI",IF(INDEX(tCartera[PMI2028],MATCH("2717167",tCartera[CUI],0))="","No informado",INDEX(tCartera[PMI2028],MATCH("2717167",tCartera[CUI],0))))</f>
        <v>Sin PMI</v>
      </c>
      <c r="O68" s="236" t="str">
        <f>IF(COUNTIF(tCartera[CUI],"2717167")=0,"Sin PMI",IF(INDEX(tCartera[PMI2029],MATCH("2717167",tCartera[CUI],0))="","No informado",INDEX(tCartera[PMI2029],MATCH("2717167",tCartera[CUI],0))))</f>
        <v>Sin PMI</v>
      </c>
    </row>
    <row r="69" spans="1:15" ht="51" x14ac:dyDescent="0.2">
      <c r="A69" s="52">
        <f>SUBTOTAL(103,$B$8:B69)+287</f>
        <v>346</v>
      </c>
      <c r="B69" s="69">
        <v>403</v>
      </c>
      <c r="C69" s="82" t="s">
        <v>555</v>
      </c>
      <c r="D69" s="54">
        <f>IF(COUNTIF(tSIAF[Clave],"2717168|403")=0,"",SUMIF(tSIAF[Clave],"2717168|403",tSIAF[PIM]))</f>
        <v>159862</v>
      </c>
      <c r="E69" s="54">
        <f>IF(COUNTIF(tSIAF[Clave],"2717168|403")=0,"",SUMIF(tSIAF[Clave],"2717168|403",tSIAF[Certificacion]))</f>
        <v>86882.5</v>
      </c>
      <c r="F69" s="54">
        <f>IF(D69="","",D69-E69)</f>
        <v>72979.5</v>
      </c>
      <c r="G69" s="54">
        <f>IF(COUNTIF(tSIAF[Clave],"2717168|403")=0,"",SUMIF(tSIAF[Clave],"2717168|403",tSIAF[Devengado]))</f>
        <v>86872.5</v>
      </c>
      <c r="H69" s="54">
        <f>IF(D69="","",D69-G69)</f>
        <v>72989.5</v>
      </c>
      <c r="I69" s="66">
        <f>IF(D69="","",IF(D69=0,0,G69/D69))</f>
        <v>0.54342182632520553</v>
      </c>
      <c r="J69" s="227"/>
      <c r="K69" s="227" t="s">
        <v>2299</v>
      </c>
      <c r="L69" s="236" t="str">
        <f>IF(COUNTIF(tCartera[CUI],"2717168")=0,"Sin PMI",IF(INDEX(tCartera[PMI2026],MATCH("2717168",tCartera[CUI],0))="","No informado",INDEX(tCartera[PMI2026],MATCH("2717168",tCartera[CUI],0))))</f>
        <v>Sin PMI</v>
      </c>
      <c r="M69" s="236" t="str">
        <f>IF(COUNTIF(tCartera[CUI],"2717168")=0,"Sin PMI",IF(INDEX(tCartera[PMI2027],MATCH("2717168",tCartera[CUI],0))="","No informado",INDEX(tCartera[PMI2027],MATCH("2717168",tCartera[CUI],0))))</f>
        <v>Sin PMI</v>
      </c>
      <c r="N69" s="236" t="str">
        <f>IF(COUNTIF(tCartera[CUI],"2717168")=0,"Sin PMI",IF(INDEX(tCartera[PMI2028],MATCH("2717168",tCartera[CUI],0))="","No informado",INDEX(tCartera[PMI2028],MATCH("2717168",tCartera[CUI],0))))</f>
        <v>Sin PMI</v>
      </c>
      <c r="O69" s="236" t="str">
        <f>IF(COUNTIF(tCartera[CUI],"2717168")=0,"Sin PMI",IF(INDEX(tCartera[PMI2029],MATCH("2717168",tCartera[CUI],0))="","No informado",INDEX(tCartera[PMI2029],MATCH("2717168",tCartera[CUI],0))))</f>
        <v>Sin PMI</v>
      </c>
    </row>
    <row r="70" spans="1:15" ht="51" x14ac:dyDescent="0.2">
      <c r="A70" s="52">
        <f>SUBTOTAL(103,$B$8:B70)+287</f>
        <v>347</v>
      </c>
      <c r="B70" s="69">
        <v>405</v>
      </c>
      <c r="C70" s="82" t="s">
        <v>557</v>
      </c>
      <c r="D70" s="54">
        <f>IF(COUNTIF(tSIAF[Clave],"2717170|405")=0,"",SUMIF(tSIAF[Clave],"2717170|405",tSIAF[PIM]))</f>
        <v>157300</v>
      </c>
      <c r="E70" s="54">
        <f>IF(COUNTIF(tSIAF[Clave],"2717170|405")=0,"",SUMIF(tSIAF[Clave],"2717170|405",tSIAF[Certificacion]))</f>
        <v>149830</v>
      </c>
      <c r="F70" s="54">
        <f>IF(D70="","",D70-E70)</f>
        <v>7470</v>
      </c>
      <c r="G70" s="54">
        <f>IF(COUNTIF(tSIAF[Clave],"2717170|405")=0,"",SUMIF(tSIAF[Clave],"2717170|405",tSIAF[Devengado]))</f>
        <v>149790</v>
      </c>
      <c r="H70" s="54">
        <f>IF(D70="","",D70-G70)</f>
        <v>7510</v>
      </c>
      <c r="I70" s="66">
        <f>IF(D70="","",IF(D70=0,0,G70/D70))</f>
        <v>0.95225683407501593</v>
      </c>
      <c r="J70" s="227"/>
      <c r="K70" s="227" t="s">
        <v>2299</v>
      </c>
      <c r="L70" s="236" t="str">
        <f>IF(COUNTIF(tCartera[CUI],"2717170")=0,"Sin PMI",IF(INDEX(tCartera[PMI2026],MATCH("2717170",tCartera[CUI],0))="","No informado",INDEX(tCartera[PMI2026],MATCH("2717170",tCartera[CUI],0))))</f>
        <v>Sin PMI</v>
      </c>
      <c r="M70" s="236" t="str">
        <f>IF(COUNTIF(tCartera[CUI],"2717170")=0,"Sin PMI",IF(INDEX(tCartera[PMI2027],MATCH("2717170",tCartera[CUI],0))="","No informado",INDEX(tCartera[PMI2027],MATCH("2717170",tCartera[CUI],0))))</f>
        <v>Sin PMI</v>
      </c>
      <c r="N70" s="236" t="str">
        <f>IF(COUNTIF(tCartera[CUI],"2717170")=0,"Sin PMI",IF(INDEX(tCartera[PMI2028],MATCH("2717170",tCartera[CUI],0))="","No informado",INDEX(tCartera[PMI2028],MATCH("2717170",tCartera[CUI],0))))</f>
        <v>Sin PMI</v>
      </c>
      <c r="O70" s="236" t="str">
        <f>IF(COUNTIF(tCartera[CUI],"2717170")=0,"Sin PMI",IF(INDEX(tCartera[PMI2029],MATCH("2717170",tCartera[CUI],0))="","No informado",INDEX(tCartera[PMI2029],MATCH("2717170",tCartera[CUI],0))))</f>
        <v>Sin PMI</v>
      </c>
    </row>
    <row r="71" spans="1:15" ht="51" x14ac:dyDescent="0.2">
      <c r="A71" s="52">
        <f>SUBTOTAL(103,$B$8:B71)+287</f>
        <v>348</v>
      </c>
      <c r="B71" s="69">
        <v>406</v>
      </c>
      <c r="C71" s="82" t="s">
        <v>558</v>
      </c>
      <c r="D71" s="54">
        <f>IF(COUNTIF(tSIAF[Clave],"2717171|406")=0,"",SUMIF(tSIAF[Clave],"2717171|406",tSIAF[PIM]))</f>
        <v>159720</v>
      </c>
      <c r="E71" s="54">
        <f>IF(COUNTIF(tSIAF[Clave],"2717171|406")=0,"",SUMIF(tSIAF[Clave],"2717171|406",tSIAF[Certificacion]))</f>
        <v>152944</v>
      </c>
      <c r="F71" s="54">
        <f>IF(D71="","",D71-E71)</f>
        <v>6776</v>
      </c>
      <c r="G71" s="54">
        <f>IF(COUNTIF(tSIAF[Clave],"2717171|406")=0,"",SUMIF(tSIAF[Clave],"2717171|406",tSIAF[Devengado]))</f>
        <v>146395</v>
      </c>
      <c r="H71" s="54">
        <f>IF(D71="","",D71-G71)</f>
        <v>13325</v>
      </c>
      <c r="I71" s="66">
        <f>IF(D71="","",IF(D71=0,0,G71/D71))</f>
        <v>0.916572752316554</v>
      </c>
      <c r="J71" s="227"/>
      <c r="K71" s="227" t="s">
        <v>2299</v>
      </c>
      <c r="L71" s="236" t="str">
        <f>IF(COUNTIF(tCartera[CUI],"2717171")=0,"Sin PMI",IF(INDEX(tCartera[PMI2026],MATCH("2717171",tCartera[CUI],0))="","No informado",INDEX(tCartera[PMI2026],MATCH("2717171",tCartera[CUI],0))))</f>
        <v>Sin PMI</v>
      </c>
      <c r="M71" s="236" t="str">
        <f>IF(COUNTIF(tCartera[CUI],"2717171")=0,"Sin PMI",IF(INDEX(tCartera[PMI2027],MATCH("2717171",tCartera[CUI],0))="","No informado",INDEX(tCartera[PMI2027],MATCH("2717171",tCartera[CUI],0))))</f>
        <v>Sin PMI</v>
      </c>
      <c r="N71" s="236" t="str">
        <f>IF(COUNTIF(tCartera[CUI],"2717171")=0,"Sin PMI",IF(INDEX(tCartera[PMI2028],MATCH("2717171",tCartera[CUI],0))="","No informado",INDEX(tCartera[PMI2028],MATCH("2717171",tCartera[CUI],0))))</f>
        <v>Sin PMI</v>
      </c>
      <c r="O71" s="236" t="str">
        <f>IF(COUNTIF(tCartera[CUI],"2717171")=0,"Sin PMI",IF(INDEX(tCartera[PMI2029],MATCH("2717171",tCartera[CUI],0))="","No informado",INDEX(tCartera[PMI2029],MATCH("2717171",tCartera[CUI],0))))</f>
        <v>Sin PMI</v>
      </c>
    </row>
    <row r="72" spans="1:15" ht="51" x14ac:dyDescent="0.2">
      <c r="A72" s="52">
        <f>SUBTOTAL(103,$B$8:B72)+287</f>
        <v>349</v>
      </c>
      <c r="B72" s="69">
        <v>409</v>
      </c>
      <c r="C72" s="82" t="s">
        <v>561</v>
      </c>
      <c r="D72" s="54">
        <f>IF(COUNTIF(tSIAF[Clave],"2717174|409")=0,"",SUMIF(tSIAF[Clave],"2717174|409",tSIAF[PIM]))</f>
        <v>159007</v>
      </c>
      <c r="E72" s="54">
        <f>IF(COUNTIF(tSIAF[Clave],"2717174|409")=0,"",SUMIF(tSIAF[Clave],"2717174|409",tSIAF[Certificacion]))</f>
        <v>49260</v>
      </c>
      <c r="F72" s="54">
        <f>IF(D72="","",D72-E72)</f>
        <v>109747</v>
      </c>
      <c r="G72" s="54">
        <f>IF(COUNTIF(tSIAF[Clave],"2717174|409")=0,"",SUMIF(tSIAF[Clave],"2717174|409",tSIAF[Devengado]))</f>
        <v>49260</v>
      </c>
      <c r="H72" s="54">
        <f>IF(D72="","",D72-G72)</f>
        <v>109747</v>
      </c>
      <c r="I72" s="66">
        <f>IF(D72="","",IF(D72=0,0,G72/D72))</f>
        <v>0.30979768186306261</v>
      </c>
      <c r="J72" s="227"/>
      <c r="K72" s="227" t="s">
        <v>2299</v>
      </c>
      <c r="L72" s="236" t="str">
        <f>IF(COUNTIF(tCartera[CUI],"2717174")=0,"Sin PMI",IF(INDEX(tCartera[PMI2026],MATCH("2717174",tCartera[CUI],0))="","No informado",INDEX(tCartera[PMI2026],MATCH("2717174",tCartera[CUI],0))))</f>
        <v>Sin PMI</v>
      </c>
      <c r="M72" s="236" t="str">
        <f>IF(COUNTIF(tCartera[CUI],"2717174")=0,"Sin PMI",IF(INDEX(tCartera[PMI2027],MATCH("2717174",tCartera[CUI],0))="","No informado",INDEX(tCartera[PMI2027],MATCH("2717174",tCartera[CUI],0))))</f>
        <v>Sin PMI</v>
      </c>
      <c r="N72" s="236" t="str">
        <f>IF(COUNTIF(tCartera[CUI],"2717174")=0,"Sin PMI",IF(INDEX(tCartera[PMI2028],MATCH("2717174",tCartera[CUI],0))="","No informado",INDEX(tCartera[PMI2028],MATCH("2717174",tCartera[CUI],0))))</f>
        <v>Sin PMI</v>
      </c>
      <c r="O72" s="236" t="str">
        <f>IF(COUNTIF(tCartera[CUI],"2717174")=0,"Sin PMI",IF(INDEX(tCartera[PMI2029],MATCH("2717174",tCartera[CUI],0))="","No informado",INDEX(tCartera[PMI2029],MATCH("2717174",tCartera[CUI],0))))</f>
        <v>Sin PMI</v>
      </c>
    </row>
    <row r="73" spans="1:15" ht="51" x14ac:dyDescent="0.2">
      <c r="A73" s="52">
        <f>SUBTOTAL(103,$B$8:B73)+287</f>
        <v>350</v>
      </c>
      <c r="B73" s="69">
        <v>411</v>
      </c>
      <c r="C73" s="82" t="s">
        <v>563</v>
      </c>
      <c r="D73" s="54">
        <f>IF(COUNTIF(tSIAF[Clave],"2717176|411")=0,"",SUMIF(tSIAF[Clave],"2717176|411",tSIAF[PIM]))</f>
        <v>159876</v>
      </c>
      <c r="E73" s="54">
        <f>IF(COUNTIF(tSIAF[Clave],"2717176|411")=0,"",SUMIF(tSIAF[Clave],"2717176|411",tSIAF[Certificacion]))</f>
        <v>122810</v>
      </c>
      <c r="F73" s="54">
        <f>IF(D73="","",D73-E73)</f>
        <v>37066</v>
      </c>
      <c r="G73" s="54">
        <f>IF(COUNTIF(tSIAF[Clave],"2717176|411")=0,"",SUMIF(tSIAF[Clave],"2717176|411",tSIAF[Devengado]))</f>
        <v>113200</v>
      </c>
      <c r="H73" s="54">
        <f>IF(D73="","",D73-G73)</f>
        <v>46676</v>
      </c>
      <c r="I73" s="66">
        <f>IF(D73="","",IF(D73=0,0,G73/D73))</f>
        <v>0.70804873777177313</v>
      </c>
      <c r="J73" s="227"/>
      <c r="K73" s="227" t="s">
        <v>2299</v>
      </c>
      <c r="L73" s="236" t="str">
        <f>IF(COUNTIF(tCartera[CUI],"2717176")=0,"Sin PMI",IF(INDEX(tCartera[PMI2026],MATCH("2717176",tCartera[CUI],0))="","No informado",INDEX(tCartera[PMI2026],MATCH("2717176",tCartera[CUI],0))))</f>
        <v>Sin PMI</v>
      </c>
      <c r="M73" s="236" t="str">
        <f>IF(COUNTIF(tCartera[CUI],"2717176")=0,"Sin PMI",IF(INDEX(tCartera[PMI2027],MATCH("2717176",tCartera[CUI],0))="","No informado",INDEX(tCartera[PMI2027],MATCH("2717176",tCartera[CUI],0))))</f>
        <v>Sin PMI</v>
      </c>
      <c r="N73" s="236" t="str">
        <f>IF(COUNTIF(tCartera[CUI],"2717176")=0,"Sin PMI",IF(INDEX(tCartera[PMI2028],MATCH("2717176",tCartera[CUI],0))="","No informado",INDEX(tCartera[PMI2028],MATCH("2717176",tCartera[CUI],0))))</f>
        <v>Sin PMI</v>
      </c>
      <c r="O73" s="236" t="str">
        <f>IF(COUNTIF(tCartera[CUI],"2717176")=0,"Sin PMI",IF(INDEX(tCartera[PMI2029],MATCH("2717176",tCartera[CUI],0))="","No informado",INDEX(tCartera[PMI2029],MATCH("2717176",tCartera[CUI],0))))</f>
        <v>Sin PMI</v>
      </c>
    </row>
    <row r="74" spans="1:15" ht="51" x14ac:dyDescent="0.2">
      <c r="A74" s="52">
        <f>SUBTOTAL(103,$B$8:B74)+287</f>
        <v>351</v>
      </c>
      <c r="B74" s="69">
        <v>414</v>
      </c>
      <c r="C74" s="82" t="s">
        <v>566</v>
      </c>
      <c r="D74" s="54">
        <f>IF(COUNTIF(tSIAF[Clave],"2717179|414")=0,"",SUMIF(tSIAF[Clave],"2717179|414",tSIAF[PIM]))</f>
        <v>158527</v>
      </c>
      <c r="E74" s="54">
        <f>IF(COUNTIF(tSIAF[Clave],"2717179|414")=0,"",SUMIF(tSIAF[Clave],"2717179|414",tSIAF[Certificacion]))</f>
        <v>152744</v>
      </c>
      <c r="F74" s="54">
        <f>IF(D74="","",D74-E74)</f>
        <v>5783</v>
      </c>
      <c r="G74" s="54">
        <f>IF(COUNTIF(tSIAF[Clave],"2717179|414")=0,"",SUMIF(tSIAF[Clave],"2717179|414",tSIAF[Devengado]))</f>
        <v>146576</v>
      </c>
      <c r="H74" s="54">
        <f>IF(D74="","",D74-G74)</f>
        <v>11951</v>
      </c>
      <c r="I74" s="66">
        <f>IF(D74="","",IF(D74=0,0,G74/D74))</f>
        <v>0.92461221116907533</v>
      </c>
      <c r="J74" s="227"/>
      <c r="K74" s="227" t="s">
        <v>2299</v>
      </c>
      <c r="L74" s="236" t="str">
        <f>IF(COUNTIF(tCartera[CUI],"2717179")=0,"Sin PMI",IF(INDEX(tCartera[PMI2026],MATCH("2717179",tCartera[CUI],0))="","No informado",INDEX(tCartera[PMI2026],MATCH("2717179",tCartera[CUI],0))))</f>
        <v>Sin PMI</v>
      </c>
      <c r="M74" s="236" t="str">
        <f>IF(COUNTIF(tCartera[CUI],"2717179")=0,"Sin PMI",IF(INDEX(tCartera[PMI2027],MATCH("2717179",tCartera[CUI],0))="","No informado",INDEX(tCartera[PMI2027],MATCH("2717179",tCartera[CUI],0))))</f>
        <v>Sin PMI</v>
      </c>
      <c r="N74" s="236" t="str">
        <f>IF(COUNTIF(tCartera[CUI],"2717179")=0,"Sin PMI",IF(INDEX(tCartera[PMI2028],MATCH("2717179",tCartera[CUI],0))="","No informado",INDEX(tCartera[PMI2028],MATCH("2717179",tCartera[CUI],0))))</f>
        <v>Sin PMI</v>
      </c>
      <c r="O74" s="236" t="str">
        <f>IF(COUNTIF(tCartera[CUI],"2717179")=0,"Sin PMI",IF(INDEX(tCartera[PMI2029],MATCH("2717179",tCartera[CUI],0))="","No informado",INDEX(tCartera[PMI2029],MATCH("2717179",tCartera[CUI],0))))</f>
        <v>Sin PMI</v>
      </c>
    </row>
    <row r="75" spans="1:15" ht="51" x14ac:dyDescent="0.2">
      <c r="A75" s="52">
        <f>SUBTOTAL(103,$B$8:B75)+287</f>
        <v>352</v>
      </c>
      <c r="B75" s="69">
        <v>415</v>
      </c>
      <c r="C75" s="82" t="s">
        <v>567</v>
      </c>
      <c r="D75" s="54">
        <f>IF(COUNTIF(tSIAF[Clave],"2717180|415")=0,"",SUMIF(tSIAF[Clave],"2717180|415",tSIAF[PIM]))</f>
        <v>158640</v>
      </c>
      <c r="E75" s="54">
        <f>IF(COUNTIF(tSIAF[Clave],"2717180|415")=0,"",SUMIF(tSIAF[Clave],"2717180|415",tSIAF[Certificacion]))</f>
        <v>136115</v>
      </c>
      <c r="F75" s="54">
        <f>IF(D75="","",D75-E75)</f>
        <v>22525</v>
      </c>
      <c r="G75" s="54">
        <f>IF(COUNTIF(tSIAF[Clave],"2717180|415")=0,"",SUMIF(tSIAF[Clave],"2717180|415",tSIAF[Devengado]))</f>
        <v>43095</v>
      </c>
      <c r="H75" s="54">
        <f>IF(D75="","",D75-G75)</f>
        <v>115545</v>
      </c>
      <c r="I75" s="66">
        <f>IF(D75="","",IF(D75=0,0,G75/D75))</f>
        <v>0.27165279878971255</v>
      </c>
      <c r="J75" s="227"/>
      <c r="K75" s="227" t="s">
        <v>2299</v>
      </c>
      <c r="L75" s="236" t="str">
        <f>IF(COUNTIF(tCartera[CUI],"2717180")=0,"Sin PMI",IF(INDEX(tCartera[PMI2026],MATCH("2717180",tCartera[CUI],0))="","No informado",INDEX(tCartera[PMI2026],MATCH("2717180",tCartera[CUI],0))))</f>
        <v>Sin PMI</v>
      </c>
      <c r="M75" s="236" t="str">
        <f>IF(COUNTIF(tCartera[CUI],"2717180")=0,"Sin PMI",IF(INDEX(tCartera[PMI2027],MATCH("2717180",tCartera[CUI],0))="","No informado",INDEX(tCartera[PMI2027],MATCH("2717180",tCartera[CUI],0))))</f>
        <v>Sin PMI</v>
      </c>
      <c r="N75" s="236" t="str">
        <f>IF(COUNTIF(tCartera[CUI],"2717180")=0,"Sin PMI",IF(INDEX(tCartera[PMI2028],MATCH("2717180",tCartera[CUI],0))="","No informado",INDEX(tCartera[PMI2028],MATCH("2717180",tCartera[CUI],0))))</f>
        <v>Sin PMI</v>
      </c>
      <c r="O75" s="236" t="str">
        <f>IF(COUNTIF(tCartera[CUI],"2717180")=0,"Sin PMI",IF(INDEX(tCartera[PMI2029],MATCH("2717180",tCartera[CUI],0))="","No informado",INDEX(tCartera[PMI2029],MATCH("2717180",tCartera[CUI],0))))</f>
        <v>Sin PMI</v>
      </c>
    </row>
    <row r="76" spans="1:15" ht="51" x14ac:dyDescent="0.2">
      <c r="A76" s="52">
        <f>SUBTOTAL(103,$B$8:B76)+287</f>
        <v>353</v>
      </c>
      <c r="B76" s="69">
        <v>416</v>
      </c>
      <c r="C76" s="82" t="s">
        <v>568</v>
      </c>
      <c r="D76" s="54">
        <f>IF(COUNTIF(tSIAF[Clave],"2717184|416")=0,"",SUMIF(tSIAF[Clave],"2717184|416",tSIAF[PIM]))</f>
        <v>159041</v>
      </c>
      <c r="E76" s="54">
        <f>IF(COUNTIF(tSIAF[Clave],"2717184|416")=0,"",SUMIF(tSIAF[Clave],"2717184|416",tSIAF[Certificacion]))</f>
        <v>146000</v>
      </c>
      <c r="F76" s="54">
        <f>IF(D76="","",D76-E76)</f>
        <v>13041</v>
      </c>
      <c r="G76" s="54">
        <f>IF(COUNTIF(tSIAF[Clave],"2717184|416")=0,"",SUMIF(tSIAF[Clave],"2717184|416",tSIAF[Devengado]))</f>
        <v>139000</v>
      </c>
      <c r="H76" s="54">
        <f>IF(D76="","",D76-G76)</f>
        <v>20041</v>
      </c>
      <c r="I76" s="66">
        <f>IF(D76="","",IF(D76=0,0,G76/D76))</f>
        <v>0.87398846838236677</v>
      </c>
      <c r="J76" s="227"/>
      <c r="K76" s="227" t="s">
        <v>2299</v>
      </c>
      <c r="L76" s="236" t="str">
        <f>IF(COUNTIF(tCartera[CUI],"2717184")=0,"Sin PMI",IF(INDEX(tCartera[PMI2026],MATCH("2717184",tCartera[CUI],0))="","No informado",INDEX(tCartera[PMI2026],MATCH("2717184",tCartera[CUI],0))))</f>
        <v>Sin PMI</v>
      </c>
      <c r="M76" s="236" t="str">
        <f>IF(COUNTIF(tCartera[CUI],"2717184")=0,"Sin PMI",IF(INDEX(tCartera[PMI2027],MATCH("2717184",tCartera[CUI],0))="","No informado",INDEX(tCartera[PMI2027],MATCH("2717184",tCartera[CUI],0))))</f>
        <v>Sin PMI</v>
      </c>
      <c r="N76" s="236" t="str">
        <f>IF(COUNTIF(tCartera[CUI],"2717184")=0,"Sin PMI",IF(INDEX(tCartera[PMI2028],MATCH("2717184",tCartera[CUI],0))="","No informado",INDEX(tCartera[PMI2028],MATCH("2717184",tCartera[CUI],0))))</f>
        <v>Sin PMI</v>
      </c>
      <c r="O76" s="236" t="str">
        <f>IF(COUNTIF(tCartera[CUI],"2717184")=0,"Sin PMI",IF(INDEX(tCartera[PMI2029],MATCH("2717184",tCartera[CUI],0))="","No informado",INDEX(tCartera[PMI2029],MATCH("2717184",tCartera[CUI],0))))</f>
        <v>Sin PMI</v>
      </c>
    </row>
    <row r="77" spans="1:15" ht="63.75" x14ac:dyDescent="0.2">
      <c r="A77" s="52">
        <f>SUBTOTAL(103,$B$8:B77)+287</f>
        <v>354</v>
      </c>
      <c r="B77" s="69">
        <v>419</v>
      </c>
      <c r="C77" s="82" t="s">
        <v>571</v>
      </c>
      <c r="D77" s="54">
        <f>IF(COUNTIF(tSIAF[Clave],"2717187|419")=0,"",SUMIF(tSIAF[Clave],"2717187|419",tSIAF[PIM]))</f>
        <v>159584</v>
      </c>
      <c r="E77" s="54">
        <f>IF(COUNTIF(tSIAF[Clave],"2717187|419")=0,"",SUMIF(tSIAF[Clave],"2717187|419",tSIAF[Certificacion]))</f>
        <v>152800</v>
      </c>
      <c r="F77" s="54">
        <f>IF(D77="","",D77-E77)</f>
        <v>6784</v>
      </c>
      <c r="G77" s="54">
        <f>IF(COUNTIF(tSIAF[Clave],"2717187|419")=0,"",SUMIF(tSIAF[Clave],"2717187|419",tSIAF[Devengado]))</f>
        <v>152800</v>
      </c>
      <c r="H77" s="54">
        <f>IF(D77="","",D77-G77)</f>
        <v>6784</v>
      </c>
      <c r="I77" s="66">
        <f>IF(D77="","",IF(D77=0,0,G77/D77))</f>
        <v>0.95748947262883499</v>
      </c>
      <c r="J77" s="227"/>
      <c r="K77" s="227" t="s">
        <v>2299</v>
      </c>
      <c r="L77" s="236" t="str">
        <f>IF(COUNTIF(tCartera[CUI],"2717187")=0,"Sin PMI",IF(INDEX(tCartera[PMI2026],MATCH("2717187",tCartera[CUI],0))="","No informado",INDEX(tCartera[PMI2026],MATCH("2717187",tCartera[CUI],0))))</f>
        <v>Sin PMI</v>
      </c>
      <c r="M77" s="236" t="str">
        <f>IF(COUNTIF(tCartera[CUI],"2717187")=0,"Sin PMI",IF(INDEX(tCartera[PMI2027],MATCH("2717187",tCartera[CUI],0))="","No informado",INDEX(tCartera[PMI2027],MATCH("2717187",tCartera[CUI],0))))</f>
        <v>Sin PMI</v>
      </c>
      <c r="N77" s="236" t="str">
        <f>IF(COUNTIF(tCartera[CUI],"2717187")=0,"Sin PMI",IF(INDEX(tCartera[PMI2028],MATCH("2717187",tCartera[CUI],0))="","No informado",INDEX(tCartera[PMI2028],MATCH("2717187",tCartera[CUI],0))))</f>
        <v>Sin PMI</v>
      </c>
      <c r="O77" s="236" t="str">
        <f>IF(COUNTIF(tCartera[CUI],"2717187")=0,"Sin PMI",IF(INDEX(tCartera[PMI2029],MATCH("2717187",tCartera[CUI],0))="","No informado",INDEX(tCartera[PMI2029],MATCH("2717187",tCartera[CUI],0))))</f>
        <v>Sin PMI</v>
      </c>
    </row>
    <row r="78" spans="1:15" ht="51" x14ac:dyDescent="0.2">
      <c r="A78" s="52">
        <f>SUBTOTAL(103,$B$8:B78)+287</f>
        <v>355</v>
      </c>
      <c r="B78" s="69">
        <v>422</v>
      </c>
      <c r="C78" s="82" t="s">
        <v>574</v>
      </c>
      <c r="D78" s="54">
        <f>IF(COUNTIF(tSIAF[Clave],"2717190|422")=0,"",SUMIF(tSIAF[Clave],"2717190|422",tSIAF[PIM]))</f>
        <v>159830</v>
      </c>
      <c r="E78" s="54">
        <f>IF(COUNTIF(tSIAF[Clave],"2717190|422")=0,"",SUMIF(tSIAF[Clave],"2717190|422",tSIAF[Certificacion]))</f>
        <v>152085</v>
      </c>
      <c r="F78" s="54">
        <f>IF(D78="","",D78-E78)</f>
        <v>7745</v>
      </c>
      <c r="G78" s="54">
        <f>IF(COUNTIF(tSIAF[Clave],"2717190|422")=0,"",SUMIF(tSIAF[Clave],"2717190|422",tSIAF[Devengado]))</f>
        <v>97085</v>
      </c>
      <c r="H78" s="54">
        <f>IF(D78="","",D78-G78)</f>
        <v>62745</v>
      </c>
      <c r="I78" s="66">
        <f>IF(D78="","",IF(D78=0,0,G78/D78))</f>
        <v>0.60742664080585618</v>
      </c>
      <c r="J78" s="227"/>
      <c r="K78" s="227" t="s">
        <v>2299</v>
      </c>
      <c r="L78" s="236" t="str">
        <f>IF(COUNTIF(tCartera[CUI],"2717190")=0,"Sin PMI",IF(INDEX(tCartera[PMI2026],MATCH("2717190",tCartera[CUI],0))="","No informado",INDEX(tCartera[PMI2026],MATCH("2717190",tCartera[CUI],0))))</f>
        <v>Sin PMI</v>
      </c>
      <c r="M78" s="236" t="str">
        <f>IF(COUNTIF(tCartera[CUI],"2717190")=0,"Sin PMI",IF(INDEX(tCartera[PMI2027],MATCH("2717190",tCartera[CUI],0))="","No informado",INDEX(tCartera[PMI2027],MATCH("2717190",tCartera[CUI],0))))</f>
        <v>Sin PMI</v>
      </c>
      <c r="N78" s="236" t="str">
        <f>IF(COUNTIF(tCartera[CUI],"2717190")=0,"Sin PMI",IF(INDEX(tCartera[PMI2028],MATCH("2717190",tCartera[CUI],0))="","No informado",INDEX(tCartera[PMI2028],MATCH("2717190",tCartera[CUI],0))))</f>
        <v>Sin PMI</v>
      </c>
      <c r="O78" s="236" t="str">
        <f>IF(COUNTIF(tCartera[CUI],"2717190")=0,"Sin PMI",IF(INDEX(tCartera[PMI2029],MATCH("2717190",tCartera[CUI],0))="","No informado",INDEX(tCartera[PMI2029],MATCH("2717190",tCartera[CUI],0))))</f>
        <v>Sin PMI</v>
      </c>
    </row>
    <row r="79" spans="1:15" ht="51" x14ac:dyDescent="0.2">
      <c r="A79" s="52">
        <f>SUBTOTAL(103,$B$8:B79)+287</f>
        <v>356</v>
      </c>
      <c r="B79" s="69">
        <v>426</v>
      </c>
      <c r="C79" s="82" t="s">
        <v>578</v>
      </c>
      <c r="D79" s="54">
        <f>IF(COUNTIF(tSIAF[Clave],"2717191|426")=0,"",SUMIF(tSIAF[Clave],"2717191|426",tSIAF[PIM]))</f>
        <v>159880</v>
      </c>
      <c r="E79" s="54">
        <f>IF(COUNTIF(tSIAF[Clave],"2717191|426")=0,"",SUMIF(tSIAF[Clave],"2717191|426",tSIAF[Certificacion]))</f>
        <v>154030</v>
      </c>
      <c r="F79" s="54">
        <f>IF(D79="","",D79-E79)</f>
        <v>5850</v>
      </c>
      <c r="G79" s="54">
        <f>IF(COUNTIF(tSIAF[Clave],"2717191|426")=0,"",SUMIF(tSIAF[Clave],"2717191|426",tSIAF[Devengado]))</f>
        <v>50840</v>
      </c>
      <c r="H79" s="54">
        <f>IF(D79="","",D79-G79)</f>
        <v>109040</v>
      </c>
      <c r="I79" s="66">
        <f>IF(D79="","",IF(D79=0,0,G79/D79))</f>
        <v>0.31798849136852642</v>
      </c>
      <c r="J79" s="227"/>
      <c r="K79" s="227" t="s">
        <v>2299</v>
      </c>
      <c r="L79" s="236" t="str">
        <f>IF(COUNTIF(tCartera[CUI],"2717191")=0,"Sin PMI",IF(INDEX(tCartera[PMI2026],MATCH("2717191",tCartera[CUI],0))="","No informado",INDEX(tCartera[PMI2026],MATCH("2717191",tCartera[CUI],0))))</f>
        <v>Sin PMI</v>
      </c>
      <c r="M79" s="236" t="str">
        <f>IF(COUNTIF(tCartera[CUI],"2717191")=0,"Sin PMI",IF(INDEX(tCartera[PMI2027],MATCH("2717191",tCartera[CUI],0))="","No informado",INDEX(tCartera[PMI2027],MATCH("2717191",tCartera[CUI],0))))</f>
        <v>Sin PMI</v>
      </c>
      <c r="N79" s="236" t="str">
        <f>IF(COUNTIF(tCartera[CUI],"2717191")=0,"Sin PMI",IF(INDEX(tCartera[PMI2028],MATCH("2717191",tCartera[CUI],0))="","No informado",INDEX(tCartera[PMI2028],MATCH("2717191",tCartera[CUI],0))))</f>
        <v>Sin PMI</v>
      </c>
      <c r="O79" s="236" t="str">
        <f>IF(COUNTIF(tCartera[CUI],"2717191")=0,"Sin PMI",IF(INDEX(tCartera[PMI2029],MATCH("2717191",tCartera[CUI],0))="","No informado",INDEX(tCartera[PMI2029],MATCH("2717191",tCartera[CUI],0))))</f>
        <v>Sin PMI</v>
      </c>
    </row>
    <row r="80" spans="1:15" ht="51" x14ac:dyDescent="0.2">
      <c r="A80" s="52">
        <f>SUBTOTAL(103,$B$8:B80)+287</f>
        <v>357</v>
      </c>
      <c r="B80" s="69">
        <v>478</v>
      </c>
      <c r="C80" s="82" t="s">
        <v>626</v>
      </c>
      <c r="D80" s="54">
        <f>IF(COUNTIF(tSIAF[Clave],"2717181|478")=0,"",SUMIF(tSIAF[Clave],"2717181|478",tSIAF[PIM]))</f>
        <v>159978</v>
      </c>
      <c r="E80" s="54">
        <f>IF(COUNTIF(tSIAF[Clave],"2717181|478")=0,"",SUMIF(tSIAF[Clave],"2717181|478",tSIAF[Certificacion]))</f>
        <v>153229</v>
      </c>
      <c r="F80" s="54">
        <f>IF(D80="","",D80-E80)</f>
        <v>6749</v>
      </c>
      <c r="G80" s="54">
        <f>IF(COUNTIF(tSIAF[Clave],"2717181|478")=0,"",SUMIF(tSIAF[Clave],"2717181|478",tSIAF[Devengado]))</f>
        <v>129240</v>
      </c>
      <c r="H80" s="54">
        <f>IF(D80="","",D80-G80)</f>
        <v>30738</v>
      </c>
      <c r="I80" s="66">
        <f>IF(D80="","",IF(D80=0,0,G80/D80))</f>
        <v>0.80786108089862352</v>
      </c>
      <c r="J80" s="227"/>
      <c r="K80" s="227" t="s">
        <v>2299</v>
      </c>
      <c r="L80" s="236" t="str">
        <f>IF(COUNTIF(tCartera[CUI],"2717181")=0,"Sin PMI",IF(INDEX(tCartera[PMI2026],MATCH("2717181",tCartera[CUI],0))="","No informado",INDEX(tCartera[PMI2026],MATCH("2717181",tCartera[CUI],0))))</f>
        <v>Sin PMI</v>
      </c>
      <c r="M80" s="236" t="str">
        <f>IF(COUNTIF(tCartera[CUI],"2717181")=0,"Sin PMI",IF(INDEX(tCartera[PMI2027],MATCH("2717181",tCartera[CUI],0))="","No informado",INDEX(tCartera[PMI2027],MATCH("2717181",tCartera[CUI],0))))</f>
        <v>Sin PMI</v>
      </c>
      <c r="N80" s="236" t="str">
        <f>IF(COUNTIF(tCartera[CUI],"2717181")=0,"Sin PMI",IF(INDEX(tCartera[PMI2028],MATCH("2717181",tCartera[CUI],0))="","No informado",INDEX(tCartera[PMI2028],MATCH("2717181",tCartera[CUI],0))))</f>
        <v>Sin PMI</v>
      </c>
      <c r="O80" s="236" t="str">
        <f>IF(COUNTIF(tCartera[CUI],"2717181")=0,"Sin PMI",IF(INDEX(tCartera[PMI2029],MATCH("2717181",tCartera[CUI],0))="","No informado",INDEX(tCartera[PMI2029],MATCH("2717181",tCartera[CUI],0))))</f>
        <v>Sin PMI</v>
      </c>
    </row>
    <row r="81" spans="1:15" ht="54" customHeight="1" x14ac:dyDescent="0.2">
      <c r="A81" s="52">
        <f>SUBTOTAL(103,$B$8:B81)+287</f>
        <v>358</v>
      </c>
      <c r="B81" s="69">
        <v>487</v>
      </c>
      <c r="C81" s="82" t="s">
        <v>90</v>
      </c>
      <c r="D81" s="54">
        <f>IF(COUNTIF(tSIAF[Clave],"2326588|487")=0,"",SUMIF(tSIAF[Clave],"2326588|487",tSIAF[PIM]))</f>
        <v>44000</v>
      </c>
      <c r="E81" s="54">
        <f>IF(COUNTIF(tSIAF[Clave],"2326588|487")=0,"",SUMIF(tSIAF[Clave],"2326588|487",tSIAF[Certificacion]))</f>
        <v>43500</v>
      </c>
      <c r="F81" s="54">
        <f>IF(D81="","",D81-E81)</f>
        <v>500</v>
      </c>
      <c r="G81" s="54">
        <f>IF(COUNTIF(tSIAF[Clave],"2326588|487")=0,"",SUMIF(tSIAF[Clave],"2326588|487",tSIAF[Devengado]))</f>
        <v>17400</v>
      </c>
      <c r="H81" s="54">
        <f>IF(D81="","",D81-G81)</f>
        <v>26600</v>
      </c>
      <c r="I81" s="66">
        <f>IF(D81="","",IF(D81=0,0,G81/D81))</f>
        <v>0.39545454545454545</v>
      </c>
      <c r="J81" s="227"/>
      <c r="K81" s="227" t="s">
        <v>2299</v>
      </c>
      <c r="L81" s="236">
        <f>IF(COUNTIF(tCartera[CUI],"2326588")=0,"Sin PMI",IF(INDEX(tCartera[PMI2026],MATCH("2326588",tCartera[CUI],0))="","No informado",INDEX(tCartera[PMI2026],MATCH("2326588",tCartera[CUI],0))))</f>
        <v>44000</v>
      </c>
      <c r="M81" s="236">
        <f>IF(COUNTIF(tCartera[CUI],"2326588")=0,"Sin PMI",IF(INDEX(tCartera[PMI2027],MATCH("2326588",tCartera[CUI],0))="","No informado",INDEX(tCartera[PMI2027],MATCH("2326588",tCartera[CUI],0))))</f>
        <v>291221</v>
      </c>
      <c r="N81" s="236">
        <f>IF(COUNTIF(tCartera[CUI],"2326588")=0,"Sin PMI",IF(INDEX(tCartera[PMI2028],MATCH("2326588",tCartera[CUI],0))="","No informado",INDEX(tCartera[PMI2028],MATCH("2326588",tCartera[CUI],0))))</f>
        <v>0</v>
      </c>
      <c r="O81" s="236">
        <f>IF(COUNTIF(tCartera[CUI],"2326588")=0,"Sin PMI",IF(INDEX(tCartera[PMI2029],MATCH("2326588",tCartera[CUI],0))="","No informado",INDEX(tCartera[PMI2029],MATCH("2326588",tCartera[CUI],0))))</f>
        <v>0</v>
      </c>
    </row>
    <row r="82" spans="1:15" ht="54" customHeight="1" x14ac:dyDescent="0.2">
      <c r="A82" s="52">
        <f>SUBTOTAL(103,$B$8:B82)+287</f>
        <v>359</v>
      </c>
      <c r="B82" s="69">
        <v>526</v>
      </c>
      <c r="C82" s="82" t="s">
        <v>711</v>
      </c>
      <c r="D82" s="54">
        <f>IF(COUNTIF(tSIAF[Clave],"2681133|526")=0,"",SUMIF(tSIAF[Clave],"2681133|526",tSIAF[PIM]))</f>
        <v>2795</v>
      </c>
      <c r="E82" s="54">
        <f>IF(COUNTIF(tSIAF[Clave],"2681133|526")=0,"",SUMIF(tSIAF[Clave],"2681133|526",tSIAF[Certificacion]))</f>
        <v>2795</v>
      </c>
      <c r="F82" s="54">
        <f>IF(D82="","",D82-E82)</f>
        <v>0</v>
      </c>
      <c r="G82" s="54">
        <f>IF(COUNTIF(tSIAF[Clave],"2681133|526")=0,"",SUMIF(tSIAF[Clave],"2681133|526",tSIAF[Devengado]))</f>
        <v>0</v>
      </c>
      <c r="H82" s="54">
        <f>IF(D82="","",D82-G82)</f>
        <v>2795</v>
      </c>
      <c r="I82" s="66">
        <f>IF(D82="","",IF(D82=0,0,G82/D82))</f>
        <v>0</v>
      </c>
      <c r="J82" s="227"/>
      <c r="K82" s="227" t="s">
        <v>2299</v>
      </c>
      <c r="L82" s="236" t="str">
        <f>IF(COUNTIF(tCartera[CUI],"2681133")=0,"Sin PMI",IF(INDEX(tCartera[PMI2026],MATCH("2681133",tCartera[CUI],0))="","No informado",INDEX(tCartera[PMI2026],MATCH("2681133",tCartera[CUI],0))))</f>
        <v>Sin PMI</v>
      </c>
      <c r="M82" s="236" t="str">
        <f>IF(COUNTIF(tCartera[CUI],"2681133")=0,"Sin PMI",IF(INDEX(tCartera[PMI2027],MATCH("2681133",tCartera[CUI],0))="","No informado",INDEX(tCartera[PMI2027],MATCH("2681133",tCartera[CUI],0))))</f>
        <v>Sin PMI</v>
      </c>
      <c r="N82" s="236" t="str">
        <f>IF(COUNTIF(tCartera[CUI],"2681133")=0,"Sin PMI",IF(INDEX(tCartera[PMI2028],MATCH("2681133",tCartera[CUI],0))="","No informado",INDEX(tCartera[PMI2028],MATCH("2681133",tCartera[CUI],0))))</f>
        <v>Sin PMI</v>
      </c>
      <c r="O82" s="236" t="str">
        <f>IF(COUNTIF(tCartera[CUI],"2681133")=0,"Sin PMI",IF(INDEX(tCartera[PMI2029],MATCH("2681133",tCartera[CUI],0))="","No informado",INDEX(tCartera[PMI2029],MATCH("2681133",tCartera[CUI],0))))</f>
        <v>Sin PMI</v>
      </c>
    </row>
    <row r="83" spans="1:15" x14ac:dyDescent="0.2">
      <c r="A83" s="150" t="s">
        <v>617</v>
      </c>
      <c r="B83" s="150"/>
      <c r="C83" s="150"/>
      <c r="D83" s="50">
        <f>D84+D85+D86+D87</f>
        <v>1054126</v>
      </c>
      <c r="E83" s="50">
        <f>E84+E85+E86+E87</f>
        <v>893638.67</v>
      </c>
      <c r="F83" s="50">
        <f>D83-E83</f>
        <v>160487.32999999996</v>
      </c>
      <c r="G83" s="50">
        <f>G84+G85+G86+G87</f>
        <v>30322</v>
      </c>
      <c r="H83" s="50">
        <f>D83-G83</f>
        <v>1023804</v>
      </c>
      <c r="I83" s="51">
        <f>IF(D83=0,0,G83/D83)</f>
        <v>2.8765062241136258E-2</v>
      </c>
      <c r="J83" s="221"/>
      <c r="K83" s="221"/>
      <c r="L83" s="230"/>
      <c r="M83" s="230"/>
      <c r="N83" s="230"/>
      <c r="O83" s="230"/>
    </row>
    <row r="84" spans="1:15" ht="63.75" x14ac:dyDescent="0.2">
      <c r="A84" s="52">
        <f>SUBTOTAL(103,$B$8:B84)+287</f>
        <v>360</v>
      </c>
      <c r="B84" s="69">
        <v>368</v>
      </c>
      <c r="C84" s="82" t="s">
        <v>406</v>
      </c>
      <c r="D84" s="54">
        <f>IF(COUNTIF(tSIAF[Clave],"2681278|368")=0,"",SUMIF(tSIAF[Clave],"2681278|368",tSIAF[PIM]))</f>
        <v>179500</v>
      </c>
      <c r="E84" s="54">
        <f>IF(COUNTIF(tSIAF[Clave],"2681278|368")=0,"",SUMIF(tSIAF[Clave],"2681278|368",tSIAF[Certificacion]))</f>
        <v>163750</v>
      </c>
      <c r="F84" s="54">
        <f>IF(D84="","",D84-E84)</f>
        <v>15750</v>
      </c>
      <c r="G84" s="54">
        <f>IF(COUNTIF(tSIAF[Clave],"2681278|368")=0,"",SUMIF(tSIAF[Clave],"2681278|368",tSIAF[Devengado]))</f>
        <v>3750</v>
      </c>
      <c r="H84" s="54">
        <f>IF(D84="","",D84-G84)</f>
        <v>175750</v>
      </c>
      <c r="I84" s="66">
        <f>IF(D84="","",IF(D84=0,0,G84/D84))</f>
        <v>2.0891364902506964E-2</v>
      </c>
      <c r="J84" s="227"/>
      <c r="K84" s="227" t="s">
        <v>2299</v>
      </c>
      <c r="L84" s="236" t="str">
        <f>IF(COUNTIF(tCartera[CUI],"2681278")=0,"Sin PMI",IF(INDEX(tCartera[PMI2026],MATCH("2681278",tCartera[CUI],0))="","No informado",INDEX(tCartera[PMI2026],MATCH("2681278",tCartera[CUI],0))))</f>
        <v>Sin PMI</v>
      </c>
      <c r="M84" s="236" t="str">
        <f>IF(COUNTIF(tCartera[CUI],"2681278")=0,"Sin PMI",IF(INDEX(tCartera[PMI2027],MATCH("2681278",tCartera[CUI],0))="","No informado",INDEX(tCartera[PMI2027],MATCH("2681278",tCartera[CUI],0))))</f>
        <v>Sin PMI</v>
      </c>
      <c r="N84" s="236" t="str">
        <f>IF(COUNTIF(tCartera[CUI],"2681278")=0,"Sin PMI",IF(INDEX(tCartera[PMI2028],MATCH("2681278",tCartera[CUI],0))="","No informado",INDEX(tCartera[PMI2028],MATCH("2681278",tCartera[CUI],0))))</f>
        <v>Sin PMI</v>
      </c>
      <c r="O84" s="236" t="str">
        <f>IF(COUNTIF(tCartera[CUI],"2681278")=0,"Sin PMI",IF(INDEX(tCartera[PMI2029],MATCH("2681278",tCartera[CUI],0))="","No informado",INDEX(tCartera[PMI2029],MATCH("2681278",tCartera[CUI],0))))</f>
        <v>Sin PMI</v>
      </c>
    </row>
    <row r="85" spans="1:15" ht="51" x14ac:dyDescent="0.2">
      <c r="A85" s="52">
        <f>SUBTOTAL(103,$B$8:B85)+287</f>
        <v>361</v>
      </c>
      <c r="B85" s="69">
        <v>375</v>
      </c>
      <c r="C85" s="82" t="s">
        <v>423</v>
      </c>
      <c r="D85" s="54">
        <f>IF(COUNTIF(tSIAF[Clave],"2681123|375")=0,"",SUMIF(tSIAF[Clave],"2681123|375",tSIAF[PIM]))</f>
        <v>175166</v>
      </c>
      <c r="E85" s="54">
        <f>IF(COUNTIF(tSIAF[Clave],"2681123|375")=0,"",SUMIF(tSIAF[Clave],"2681123|375",tSIAF[Certificacion]))</f>
        <v>166872</v>
      </c>
      <c r="F85" s="54">
        <f>IF(D85="","",D85-E85)</f>
        <v>8294</v>
      </c>
      <c r="G85" s="54">
        <f>IF(COUNTIF(tSIAF[Clave],"2681123|375")=0,"",SUMIF(tSIAF[Clave],"2681123|375",tSIAF[Devengado]))</f>
        <v>5872</v>
      </c>
      <c r="H85" s="54">
        <f>IF(D85="","",D85-G85)</f>
        <v>169294</v>
      </c>
      <c r="I85" s="66">
        <f>IF(D85="","",IF(D85=0,0,G85/D85))</f>
        <v>3.352248724067456E-2</v>
      </c>
      <c r="J85" s="227"/>
      <c r="K85" s="227" t="s">
        <v>2299</v>
      </c>
      <c r="L85" s="236" t="str">
        <f>IF(COUNTIF(tCartera[CUI],"2681123")=0,"Sin PMI",IF(INDEX(tCartera[PMI2026],MATCH("2681123",tCartera[CUI],0))="","No informado",INDEX(tCartera[PMI2026],MATCH("2681123",tCartera[CUI],0))))</f>
        <v>Sin PMI</v>
      </c>
      <c r="M85" s="236" t="str">
        <f>IF(COUNTIF(tCartera[CUI],"2681123")=0,"Sin PMI",IF(INDEX(tCartera[PMI2027],MATCH("2681123",tCartera[CUI],0))="","No informado",INDEX(tCartera[PMI2027],MATCH("2681123",tCartera[CUI],0))))</f>
        <v>Sin PMI</v>
      </c>
      <c r="N85" s="236" t="str">
        <f>IF(COUNTIF(tCartera[CUI],"2681123")=0,"Sin PMI",IF(INDEX(tCartera[PMI2028],MATCH("2681123",tCartera[CUI],0))="","No informado",INDEX(tCartera[PMI2028],MATCH("2681123",tCartera[CUI],0))))</f>
        <v>Sin PMI</v>
      </c>
      <c r="O85" s="236" t="str">
        <f>IF(COUNTIF(tCartera[CUI],"2681123")=0,"Sin PMI",IF(INDEX(tCartera[PMI2029],MATCH("2681123",tCartera[CUI],0))="","No informado",INDEX(tCartera[PMI2029],MATCH("2681123",tCartera[CUI],0))))</f>
        <v>Sin PMI</v>
      </c>
    </row>
    <row r="86" spans="1:15" ht="51" x14ac:dyDescent="0.2">
      <c r="A86" s="52">
        <f>SUBTOTAL(103,$B$8:B86)+287</f>
        <v>362</v>
      </c>
      <c r="B86" s="69">
        <v>417</v>
      </c>
      <c r="C86" s="82" t="s">
        <v>569</v>
      </c>
      <c r="D86" s="54">
        <f>IF(COUNTIF(tSIAF[Clave],"2717185|417")=0,"",SUMIF(tSIAF[Clave],"2717185|417",tSIAF[PIM]))</f>
        <v>349792</v>
      </c>
      <c r="E86" s="54">
        <f>IF(COUNTIF(tSIAF[Clave],"2717185|417")=0,"",SUMIF(tSIAF[Clave],"2717185|417",tSIAF[Certificacion]))</f>
        <v>325833.33</v>
      </c>
      <c r="F86" s="54">
        <f>IF(D86="","",D86-E86)</f>
        <v>23958.669999999984</v>
      </c>
      <c r="G86" s="54">
        <f>IF(COUNTIF(tSIAF[Clave],"2717185|417")=0,"",SUMIF(tSIAF[Clave],"2717185|417",tSIAF[Devengado]))</f>
        <v>0</v>
      </c>
      <c r="H86" s="54">
        <f>IF(D86="","",D86-G86)</f>
        <v>349792</v>
      </c>
      <c r="I86" s="66">
        <f>IF(D86="","",IF(D86=0,0,G86/D86))</f>
        <v>0</v>
      </c>
      <c r="J86" s="227"/>
      <c r="K86" s="227" t="s">
        <v>2299</v>
      </c>
      <c r="L86" s="236" t="str">
        <f>IF(COUNTIF(tCartera[CUI],"2717185")=0,"Sin PMI",IF(INDEX(tCartera[PMI2026],MATCH("2717185",tCartera[CUI],0))="","No informado",INDEX(tCartera[PMI2026],MATCH("2717185",tCartera[CUI],0))))</f>
        <v>Sin PMI</v>
      </c>
      <c r="M86" s="236" t="str">
        <f>IF(COUNTIF(tCartera[CUI],"2717185")=0,"Sin PMI",IF(INDEX(tCartera[PMI2027],MATCH("2717185",tCartera[CUI],0))="","No informado",INDEX(tCartera[PMI2027],MATCH("2717185",tCartera[CUI],0))))</f>
        <v>Sin PMI</v>
      </c>
      <c r="N86" s="236" t="str">
        <f>IF(COUNTIF(tCartera[CUI],"2717185")=0,"Sin PMI",IF(INDEX(tCartera[PMI2028],MATCH("2717185",tCartera[CUI],0))="","No informado",INDEX(tCartera[PMI2028],MATCH("2717185",tCartera[CUI],0))))</f>
        <v>Sin PMI</v>
      </c>
      <c r="O86" s="236" t="str">
        <f>IF(COUNTIF(tCartera[CUI],"2717185")=0,"Sin PMI",IF(INDEX(tCartera[PMI2029],MATCH("2717185",tCartera[CUI],0))="","No informado",INDEX(tCartera[PMI2029],MATCH("2717185",tCartera[CUI],0))))</f>
        <v>Sin PMI</v>
      </c>
    </row>
    <row r="87" spans="1:15" ht="63.75" x14ac:dyDescent="0.2">
      <c r="A87" s="52">
        <f>SUBTOTAL(103,$B$8:B87)+287</f>
        <v>363</v>
      </c>
      <c r="B87" s="69">
        <v>474</v>
      </c>
      <c r="C87" s="82" t="s">
        <v>627</v>
      </c>
      <c r="D87" s="54">
        <f>IF(COUNTIF(tSIAF[Clave],"2723300|474")=0,"",SUMIF(tSIAF[Clave],"2723300|474",tSIAF[PIM]))</f>
        <v>349668</v>
      </c>
      <c r="E87" s="54">
        <f>IF(COUNTIF(tSIAF[Clave],"2723300|474")=0,"",SUMIF(tSIAF[Clave],"2723300|474",tSIAF[Certificacion]))</f>
        <v>237183.34</v>
      </c>
      <c r="F87" s="54">
        <f>IF(D87="","",D87-E87)</f>
        <v>112484.66</v>
      </c>
      <c r="G87" s="54">
        <f>IF(COUNTIF(tSIAF[Clave],"2723300|474")=0,"",SUMIF(tSIAF[Clave],"2723300|474",tSIAF[Devengado]))</f>
        <v>20700</v>
      </c>
      <c r="H87" s="54">
        <f>IF(D87="","",D87-G87)</f>
        <v>328968</v>
      </c>
      <c r="I87" s="66">
        <f>IF(D87="","",IF(D87=0,0,G87/D87))</f>
        <v>5.9199011633892719E-2</v>
      </c>
      <c r="J87" s="227"/>
      <c r="K87" s="227" t="s">
        <v>2299</v>
      </c>
      <c r="L87" s="236" t="str">
        <f>IF(COUNTIF(tCartera[CUI],"2723300")=0,"Sin PMI",IF(INDEX(tCartera[PMI2026],MATCH("2723300",tCartera[CUI],0))="","No informado",INDEX(tCartera[PMI2026],MATCH("2723300",tCartera[CUI],0))))</f>
        <v>Sin PMI</v>
      </c>
      <c r="M87" s="236" t="str">
        <f>IF(COUNTIF(tCartera[CUI],"2723300")=0,"Sin PMI",IF(INDEX(tCartera[PMI2027],MATCH("2723300",tCartera[CUI],0))="","No informado",INDEX(tCartera[PMI2027],MATCH("2723300",tCartera[CUI],0))))</f>
        <v>Sin PMI</v>
      </c>
      <c r="N87" s="236" t="str">
        <f>IF(COUNTIF(tCartera[CUI],"2723300")=0,"Sin PMI",IF(INDEX(tCartera[PMI2028],MATCH("2723300",tCartera[CUI],0))="","No informado",INDEX(tCartera[PMI2028],MATCH("2723300",tCartera[CUI],0))))</f>
        <v>Sin PMI</v>
      </c>
      <c r="O87" s="236" t="str">
        <f>IF(COUNTIF(tCartera[CUI],"2723300")=0,"Sin PMI",IF(INDEX(tCartera[PMI2029],MATCH("2723300",tCartera[CUI],0))="","No informado",INDEX(tCartera[PMI2029],MATCH("2723300",tCartera[CUI],0))))</f>
        <v>Sin PMI</v>
      </c>
    </row>
    <row r="88" spans="1:15" x14ac:dyDescent="0.2">
      <c r="A88" s="150" t="s">
        <v>91</v>
      </c>
      <c r="B88" s="150"/>
      <c r="C88" s="150"/>
      <c r="D88" s="50">
        <f>D89+D90+D91+D92+D93+D94+D95</f>
        <v>1308816</v>
      </c>
      <c r="E88" s="50">
        <f>E89+E90+E91+E92+E93+E94+E95</f>
        <v>1209080</v>
      </c>
      <c r="F88" s="50">
        <f>D88-E88</f>
        <v>99736</v>
      </c>
      <c r="G88" s="50">
        <f>G89+G90+G91+G92+G93+G94+G95</f>
        <v>538610</v>
      </c>
      <c r="H88" s="50">
        <f>D88-G88</f>
        <v>770206</v>
      </c>
      <c r="I88" s="51">
        <f>IF(D88=0,0,G88/D88)</f>
        <v>0.41152461461351331</v>
      </c>
      <c r="J88" s="221"/>
      <c r="K88" s="221"/>
      <c r="L88" s="230"/>
      <c r="M88" s="230"/>
      <c r="N88" s="230"/>
      <c r="O88" s="230"/>
    </row>
    <row r="89" spans="1:15" ht="63.75" x14ac:dyDescent="0.2">
      <c r="A89" s="52">
        <f>SUBTOTAL(103,$B$8:B89)+287</f>
        <v>364</v>
      </c>
      <c r="B89" s="69">
        <v>356</v>
      </c>
      <c r="C89" s="82" t="s">
        <v>388</v>
      </c>
      <c r="D89" s="54">
        <f>IF(COUNTIF(tSIAF[Clave],"2676422|356")=0,"",SUMIF(tSIAF[Clave],"2676422|356",tSIAF[PIM]))</f>
        <v>5365</v>
      </c>
      <c r="E89" s="54">
        <f>IF(COUNTIF(tSIAF[Clave],"2676422|356")=0,"",SUMIF(tSIAF[Clave],"2676422|356",tSIAF[Certificacion]))</f>
        <v>5364</v>
      </c>
      <c r="F89" s="54">
        <f>IF(D89="","",D89-E89)</f>
        <v>1</v>
      </c>
      <c r="G89" s="54">
        <f>IF(COUNTIF(tSIAF[Clave],"2676422|356")=0,"",SUMIF(tSIAF[Clave],"2676422|356",tSIAF[Devengado]))</f>
        <v>5364</v>
      </c>
      <c r="H89" s="54">
        <f>IF(D89="","",D89-G89)</f>
        <v>1</v>
      </c>
      <c r="I89" s="66">
        <f>IF(D89="","",IF(D89=0,0,G89/D89))</f>
        <v>0.9998136067101584</v>
      </c>
      <c r="J89" s="227"/>
      <c r="K89" s="227" t="s">
        <v>2299</v>
      </c>
      <c r="L89" s="236" t="str">
        <f>IF(COUNTIF(tCartera[CUI],"2676422")=0,"Sin PMI",IF(INDEX(tCartera[PMI2026],MATCH("2676422",tCartera[CUI],0))="","No informado",INDEX(tCartera[PMI2026],MATCH("2676422",tCartera[CUI],0))))</f>
        <v>Sin PMI</v>
      </c>
      <c r="M89" s="236" t="str">
        <f>IF(COUNTIF(tCartera[CUI],"2676422")=0,"Sin PMI",IF(INDEX(tCartera[PMI2027],MATCH("2676422",tCartera[CUI],0))="","No informado",INDEX(tCartera[PMI2027],MATCH("2676422",tCartera[CUI],0))))</f>
        <v>Sin PMI</v>
      </c>
      <c r="N89" s="236" t="str">
        <f>IF(COUNTIF(tCartera[CUI],"2676422")=0,"Sin PMI",IF(INDEX(tCartera[PMI2028],MATCH("2676422",tCartera[CUI],0))="","No informado",INDEX(tCartera[PMI2028],MATCH("2676422",tCartera[CUI],0))))</f>
        <v>Sin PMI</v>
      </c>
      <c r="O89" s="236" t="str">
        <f>IF(COUNTIF(tCartera[CUI],"2676422")=0,"Sin PMI",IF(INDEX(tCartera[PMI2029],MATCH("2676422",tCartera[CUI],0))="","No informado",INDEX(tCartera[PMI2029],MATCH("2676422",tCartera[CUI],0))))</f>
        <v>Sin PMI</v>
      </c>
    </row>
    <row r="90" spans="1:15" ht="38.25" x14ac:dyDescent="0.2">
      <c r="A90" s="52">
        <f>SUBTOTAL(103,$B$8:B90)+287</f>
        <v>365</v>
      </c>
      <c r="B90" s="69">
        <v>374</v>
      </c>
      <c r="C90" s="82" t="s">
        <v>422</v>
      </c>
      <c r="D90" s="54">
        <f>IF(COUNTIF(tSIAF[Clave],"2681274|374")=0,"",SUMIF(tSIAF[Clave],"2681274|374",tSIAF[PIM]))</f>
        <v>335890</v>
      </c>
      <c r="E90" s="54">
        <f>IF(COUNTIF(tSIAF[Clave],"2681274|374")=0,"",SUMIF(tSIAF[Clave],"2681274|374",tSIAF[Certificacion]))</f>
        <v>314900</v>
      </c>
      <c r="F90" s="54">
        <f>IF(D90="","",D90-E90)</f>
        <v>20990</v>
      </c>
      <c r="G90" s="54">
        <f>IF(COUNTIF(tSIAF[Clave],"2681274|374")=0,"",SUMIF(tSIAF[Clave],"2681274|374",tSIAF[Devengado]))</f>
        <v>0</v>
      </c>
      <c r="H90" s="54">
        <f>IF(D90="","",D90-G90)</f>
        <v>335890</v>
      </c>
      <c r="I90" s="66">
        <f>IF(D90="","",IF(D90=0,0,G90/D90))</f>
        <v>0</v>
      </c>
      <c r="J90" s="227"/>
      <c r="K90" s="227" t="s">
        <v>2299</v>
      </c>
      <c r="L90" s="236" t="str">
        <f>IF(COUNTIF(tCartera[CUI],"2681274")=0,"Sin PMI",IF(INDEX(tCartera[PMI2026],MATCH("2681274",tCartera[CUI],0))="","No informado",INDEX(tCartera[PMI2026],MATCH("2681274",tCartera[CUI],0))))</f>
        <v>Sin PMI</v>
      </c>
      <c r="M90" s="236" t="str">
        <f>IF(COUNTIF(tCartera[CUI],"2681274")=0,"Sin PMI",IF(INDEX(tCartera[PMI2027],MATCH("2681274",tCartera[CUI],0))="","No informado",INDEX(tCartera[PMI2027],MATCH("2681274",tCartera[CUI],0))))</f>
        <v>Sin PMI</v>
      </c>
      <c r="N90" s="236" t="str">
        <f>IF(COUNTIF(tCartera[CUI],"2681274")=0,"Sin PMI",IF(INDEX(tCartera[PMI2028],MATCH("2681274",tCartera[CUI],0))="","No informado",INDEX(tCartera[PMI2028],MATCH("2681274",tCartera[CUI],0))))</f>
        <v>Sin PMI</v>
      </c>
      <c r="O90" s="236" t="str">
        <f>IF(COUNTIF(tCartera[CUI],"2681274")=0,"Sin PMI",IF(INDEX(tCartera[PMI2029],MATCH("2681274",tCartera[CUI],0))="","No informado",INDEX(tCartera[PMI2029],MATCH("2681274",tCartera[CUI],0))))</f>
        <v>Sin PMI</v>
      </c>
    </row>
    <row r="91" spans="1:15" ht="51" x14ac:dyDescent="0.2">
      <c r="A91" s="52">
        <f>SUBTOTAL(103,$B$8:B91)+287</f>
        <v>366</v>
      </c>
      <c r="B91" s="69">
        <v>377</v>
      </c>
      <c r="C91" s="82" t="s">
        <v>425</v>
      </c>
      <c r="D91" s="54">
        <f>IF(COUNTIF(tSIAF[Clave],"2681130|377")=0,"",SUMIF(tSIAF[Clave],"2681130|377",tSIAF[PIM]))</f>
        <v>157066</v>
      </c>
      <c r="E91" s="54">
        <f>IF(COUNTIF(tSIAF[Clave],"2681130|377")=0,"",SUMIF(tSIAF[Clave],"2681130|377",tSIAF[Certificacion]))</f>
        <v>157066</v>
      </c>
      <c r="F91" s="54">
        <f>IF(D91="","",D91-E91)</f>
        <v>0</v>
      </c>
      <c r="G91" s="54">
        <f>IF(COUNTIF(tSIAF[Clave],"2681130|377")=0,"",SUMIF(tSIAF[Clave],"2681130|377",tSIAF[Devengado]))</f>
        <v>157066</v>
      </c>
      <c r="H91" s="54">
        <f>IF(D91="","",D91-G91)</f>
        <v>0</v>
      </c>
      <c r="I91" s="66">
        <f>IF(D91="","",IF(D91=0,0,G91/D91))</f>
        <v>1</v>
      </c>
      <c r="J91" s="227"/>
      <c r="K91" s="227" t="s">
        <v>2299</v>
      </c>
      <c r="L91" s="236" t="str">
        <f>IF(COUNTIF(tCartera[CUI],"2681130")=0,"Sin PMI",IF(INDEX(tCartera[PMI2026],MATCH("2681130",tCartera[CUI],0))="","No informado",INDEX(tCartera[PMI2026],MATCH("2681130",tCartera[CUI],0))))</f>
        <v>Sin PMI</v>
      </c>
      <c r="M91" s="236" t="str">
        <f>IF(COUNTIF(tCartera[CUI],"2681130")=0,"Sin PMI",IF(INDEX(tCartera[PMI2027],MATCH("2681130",tCartera[CUI],0))="","No informado",INDEX(tCartera[PMI2027],MATCH("2681130",tCartera[CUI],0))))</f>
        <v>Sin PMI</v>
      </c>
      <c r="N91" s="236" t="str">
        <f>IF(COUNTIF(tCartera[CUI],"2681130")=0,"Sin PMI",IF(INDEX(tCartera[PMI2028],MATCH("2681130",tCartera[CUI],0))="","No informado",INDEX(tCartera[PMI2028],MATCH("2681130",tCartera[CUI],0))))</f>
        <v>Sin PMI</v>
      </c>
      <c r="O91" s="236" t="str">
        <f>IF(COUNTIF(tCartera[CUI],"2681130")=0,"Sin PMI",IF(INDEX(tCartera[PMI2029],MATCH("2681130",tCartera[CUI],0))="","No informado",INDEX(tCartera[PMI2029],MATCH("2681130",tCartera[CUI],0))))</f>
        <v>Sin PMI</v>
      </c>
    </row>
    <row r="92" spans="1:15" ht="63.75" x14ac:dyDescent="0.2">
      <c r="A92" s="52">
        <f>SUBTOTAL(103,$B$8:B92)+287</f>
        <v>367</v>
      </c>
      <c r="B92" s="69">
        <v>386</v>
      </c>
      <c r="C92" s="82" t="s">
        <v>538</v>
      </c>
      <c r="D92" s="54">
        <f>IF(COUNTIF(tSIAF[Clave],"2717150|386")=0,"",SUMIF(tSIAF[Clave],"2717150|386",tSIAF[PIM]))</f>
        <v>159345</v>
      </c>
      <c r="E92" s="54">
        <f>IF(COUNTIF(tSIAF[Clave],"2717150|386")=0,"",SUMIF(tSIAF[Clave],"2717150|386",tSIAF[Certificacion]))</f>
        <v>150543</v>
      </c>
      <c r="F92" s="54">
        <f>IF(D92="","",D92-E92)</f>
        <v>8802</v>
      </c>
      <c r="G92" s="54">
        <f>IF(COUNTIF(tSIAF[Clave],"2717150|386")=0,"",SUMIF(tSIAF[Clave],"2717150|386",tSIAF[Devengado]))</f>
        <v>150263</v>
      </c>
      <c r="H92" s="54">
        <f>IF(D92="","",D92-G92)</f>
        <v>9082</v>
      </c>
      <c r="I92" s="66">
        <f>IF(D92="","",IF(D92=0,0,G92/D92))</f>
        <v>0.94300417333458852</v>
      </c>
      <c r="J92" s="227"/>
      <c r="K92" s="227" t="s">
        <v>2299</v>
      </c>
      <c r="L92" s="236" t="str">
        <f>IF(COUNTIF(tCartera[CUI],"2717150")=0,"Sin PMI",IF(INDEX(tCartera[PMI2026],MATCH("2717150",tCartera[CUI],0))="","No informado",INDEX(tCartera[PMI2026],MATCH("2717150",tCartera[CUI],0))))</f>
        <v>Sin PMI</v>
      </c>
      <c r="M92" s="236" t="str">
        <f>IF(COUNTIF(tCartera[CUI],"2717150")=0,"Sin PMI",IF(INDEX(tCartera[PMI2027],MATCH("2717150",tCartera[CUI],0))="","No informado",INDEX(tCartera[PMI2027],MATCH("2717150",tCartera[CUI],0))))</f>
        <v>Sin PMI</v>
      </c>
      <c r="N92" s="236" t="str">
        <f>IF(COUNTIF(tCartera[CUI],"2717150")=0,"Sin PMI",IF(INDEX(tCartera[PMI2028],MATCH("2717150",tCartera[CUI],0))="","No informado",INDEX(tCartera[PMI2028],MATCH("2717150",tCartera[CUI],0))))</f>
        <v>Sin PMI</v>
      </c>
      <c r="O92" s="236" t="str">
        <f>IF(COUNTIF(tCartera[CUI],"2717150")=0,"Sin PMI",IF(INDEX(tCartera[PMI2029],MATCH("2717150",tCartera[CUI],0))="","No informado",INDEX(tCartera[PMI2029],MATCH("2717150",tCartera[CUI],0))))</f>
        <v>Sin PMI</v>
      </c>
    </row>
    <row r="93" spans="1:15" ht="63.75" x14ac:dyDescent="0.2">
      <c r="A93" s="52">
        <f>SUBTOTAL(103,$B$8:B93)+287</f>
        <v>368</v>
      </c>
      <c r="B93" s="69">
        <v>473</v>
      </c>
      <c r="C93" s="82" t="s">
        <v>628</v>
      </c>
      <c r="D93" s="54">
        <f>IF(COUNTIF(tSIAF[Clave],"2723295|473")=0,"",SUMIF(tSIAF[Clave],"2723295|473",tSIAF[PIM]))</f>
        <v>160000</v>
      </c>
      <c r="E93" s="54">
        <f>IF(COUNTIF(tSIAF[Clave],"2723295|473")=0,"",SUMIF(tSIAF[Clave],"2723295|473",tSIAF[Certificacion]))</f>
        <v>145797</v>
      </c>
      <c r="F93" s="54">
        <f>IF(D93="","",D93-E93)</f>
        <v>14203</v>
      </c>
      <c r="G93" s="54">
        <f>IF(COUNTIF(tSIAF[Clave],"2723295|473")=0,"",SUMIF(tSIAF[Clave],"2723295|473",tSIAF[Devengado]))</f>
        <v>139797</v>
      </c>
      <c r="H93" s="54">
        <f>IF(D93="","",D93-G93)</f>
        <v>20203</v>
      </c>
      <c r="I93" s="66">
        <f>IF(D93="","",IF(D93=0,0,G93/D93))</f>
        <v>0.87373124999999996</v>
      </c>
      <c r="J93" s="227"/>
      <c r="K93" s="227" t="s">
        <v>2299</v>
      </c>
      <c r="L93" s="236" t="str">
        <f>IF(COUNTIF(tCartera[CUI],"2723295")=0,"Sin PMI",IF(INDEX(tCartera[PMI2026],MATCH("2723295",tCartera[CUI],0))="","No informado",INDEX(tCartera[PMI2026],MATCH("2723295",tCartera[CUI],0))))</f>
        <v>Sin PMI</v>
      </c>
      <c r="M93" s="236" t="str">
        <f>IF(COUNTIF(tCartera[CUI],"2723295")=0,"Sin PMI",IF(INDEX(tCartera[PMI2027],MATCH("2723295",tCartera[CUI],0))="","No informado",INDEX(tCartera[PMI2027],MATCH("2723295",tCartera[CUI],0))))</f>
        <v>Sin PMI</v>
      </c>
      <c r="N93" s="236" t="str">
        <f>IF(COUNTIF(tCartera[CUI],"2723295")=0,"Sin PMI",IF(INDEX(tCartera[PMI2028],MATCH("2723295",tCartera[CUI],0))="","No informado",INDEX(tCartera[PMI2028],MATCH("2723295",tCartera[CUI],0))))</f>
        <v>Sin PMI</v>
      </c>
      <c r="O93" s="236" t="str">
        <f>IF(COUNTIF(tCartera[CUI],"2723295")=0,"Sin PMI",IF(INDEX(tCartera[PMI2029],MATCH("2723295",tCartera[CUI],0))="","No informado",INDEX(tCartera[PMI2029],MATCH("2723295",tCartera[CUI],0))))</f>
        <v>Sin PMI</v>
      </c>
    </row>
    <row r="94" spans="1:15" ht="63.75" x14ac:dyDescent="0.2">
      <c r="A94" s="52">
        <f>SUBTOTAL(103,$B$8:B94)+287</f>
        <v>369</v>
      </c>
      <c r="B94" s="69">
        <v>476</v>
      </c>
      <c r="C94" s="82" t="s">
        <v>629</v>
      </c>
      <c r="D94" s="54">
        <f>IF(COUNTIF(tSIAF[Clave],"2723301|476")=0,"",SUMIF(tSIAF[Clave],"2723301|476",tSIAF[PIM]))</f>
        <v>141150</v>
      </c>
      <c r="E94" s="54">
        <f>IF(COUNTIF(tSIAF[Clave],"2723301|476")=0,"",SUMIF(tSIAF[Clave],"2723301|476",tSIAF[Certificacion]))</f>
        <v>115290</v>
      </c>
      <c r="F94" s="54">
        <f>IF(D94="","",D94-E94)</f>
        <v>25860</v>
      </c>
      <c r="G94" s="54">
        <f>IF(COUNTIF(tSIAF[Clave],"2723301|476")=0,"",SUMIF(tSIAF[Clave],"2723301|476",tSIAF[Devengado]))</f>
        <v>0</v>
      </c>
      <c r="H94" s="54">
        <f>IF(D94="","",D94-G94)</f>
        <v>141150</v>
      </c>
      <c r="I94" s="66">
        <f>IF(D94="","",IF(D94=0,0,G94/D94))</f>
        <v>0</v>
      </c>
      <c r="J94" s="227"/>
      <c r="K94" s="227" t="s">
        <v>2299</v>
      </c>
      <c r="L94" s="236" t="str">
        <f>IF(COUNTIF(tCartera[CUI],"2723301")=0,"Sin PMI",IF(INDEX(tCartera[PMI2026],MATCH("2723301",tCartera[CUI],0))="","No informado",INDEX(tCartera[PMI2026],MATCH("2723301",tCartera[CUI],0))))</f>
        <v>Sin PMI</v>
      </c>
      <c r="M94" s="236" t="str">
        <f>IF(COUNTIF(tCartera[CUI],"2723301")=0,"Sin PMI",IF(INDEX(tCartera[PMI2027],MATCH("2723301",tCartera[CUI],0))="","No informado",INDEX(tCartera[PMI2027],MATCH("2723301",tCartera[CUI],0))))</f>
        <v>Sin PMI</v>
      </c>
      <c r="N94" s="236" t="str">
        <f>IF(COUNTIF(tCartera[CUI],"2723301")=0,"Sin PMI",IF(INDEX(tCartera[PMI2028],MATCH("2723301",tCartera[CUI],0))="","No informado",INDEX(tCartera[PMI2028],MATCH("2723301",tCartera[CUI],0))))</f>
        <v>Sin PMI</v>
      </c>
      <c r="O94" s="236" t="str">
        <f>IF(COUNTIF(tCartera[CUI],"2723301")=0,"Sin PMI",IF(INDEX(tCartera[PMI2029],MATCH("2723301",tCartera[CUI],0))="","No informado",INDEX(tCartera[PMI2029],MATCH("2723301",tCartera[CUI],0))))</f>
        <v>Sin PMI</v>
      </c>
    </row>
    <row r="95" spans="1:15" ht="63.75" x14ac:dyDescent="0.2">
      <c r="A95" s="52">
        <f>SUBTOTAL(103,$B$8:B95)+287</f>
        <v>370</v>
      </c>
      <c r="B95" s="69">
        <v>477</v>
      </c>
      <c r="C95" s="82" t="s">
        <v>630</v>
      </c>
      <c r="D95" s="54">
        <f>IF(COUNTIF(tSIAF[Clave],"2723299|477")=0,"",SUMIF(tSIAF[Clave],"2723299|477",tSIAF[PIM]))</f>
        <v>350000</v>
      </c>
      <c r="E95" s="54">
        <f>IF(COUNTIF(tSIAF[Clave],"2723299|477")=0,"",SUMIF(tSIAF[Clave],"2723299|477",tSIAF[Certificacion]))</f>
        <v>320120</v>
      </c>
      <c r="F95" s="54">
        <f>IF(D95="","",D95-E95)</f>
        <v>29880</v>
      </c>
      <c r="G95" s="54">
        <f>IF(COUNTIF(tSIAF[Clave],"2723299|477")=0,"",SUMIF(tSIAF[Clave],"2723299|477",tSIAF[Devengado]))</f>
        <v>86120</v>
      </c>
      <c r="H95" s="54">
        <f>IF(D95="","",D95-G95)</f>
        <v>263880</v>
      </c>
      <c r="I95" s="66">
        <f>IF(D95="","",IF(D95=0,0,G95/D95))</f>
        <v>0.24605714285714286</v>
      </c>
      <c r="J95" s="227"/>
      <c r="K95" s="227" t="s">
        <v>2299</v>
      </c>
      <c r="L95" s="236" t="str">
        <f>IF(COUNTIF(tCartera[CUI],"2723299")=0,"Sin PMI",IF(INDEX(tCartera[PMI2026],MATCH("2723299",tCartera[CUI],0))="","No informado",INDEX(tCartera[PMI2026],MATCH("2723299",tCartera[CUI],0))))</f>
        <v>Sin PMI</v>
      </c>
      <c r="M95" s="236" t="str">
        <f>IF(COUNTIF(tCartera[CUI],"2723299")=0,"Sin PMI",IF(INDEX(tCartera[PMI2027],MATCH("2723299",tCartera[CUI],0))="","No informado",INDEX(tCartera[PMI2027],MATCH("2723299",tCartera[CUI],0))))</f>
        <v>Sin PMI</v>
      </c>
      <c r="N95" s="236" t="str">
        <f>IF(COUNTIF(tCartera[CUI],"2723299")=0,"Sin PMI",IF(INDEX(tCartera[PMI2028],MATCH("2723299",tCartera[CUI],0))="","No informado",INDEX(tCartera[PMI2028],MATCH("2723299",tCartera[CUI],0))))</f>
        <v>Sin PMI</v>
      </c>
      <c r="O95" s="236" t="str">
        <f>IF(COUNTIF(tCartera[CUI],"2723299")=0,"Sin PMI",IF(INDEX(tCartera[PMI2029],MATCH("2723299",tCartera[CUI],0))="","No informado",INDEX(tCartera[PMI2029],MATCH("2723299",tCartera[CUI],0))))</f>
        <v>Sin PMI</v>
      </c>
    </row>
    <row r="96" spans="1:15" ht="69" hidden="1" x14ac:dyDescent="0.2">
      <c r="A96" s="12"/>
      <c r="B96" s="33"/>
      <c r="C96" s="7" t="s">
        <v>24</v>
      </c>
      <c r="D96" s="13"/>
      <c r="E96" s="13"/>
      <c r="F96" s="13"/>
      <c r="G96" s="13"/>
      <c r="H96" s="13"/>
      <c r="I96" s="22"/>
      <c r="J96" s="242"/>
      <c r="K96" s="242"/>
      <c r="L96" s="244"/>
      <c r="M96" s="244"/>
      <c r="N96" s="244"/>
      <c r="O96" s="244"/>
    </row>
    <row r="97" spans="1:15" ht="118.5" hidden="1" customHeight="1" x14ac:dyDescent="0.2">
      <c r="A97" s="12"/>
      <c r="B97" s="33"/>
      <c r="C97" s="7" t="s">
        <v>42</v>
      </c>
      <c r="D97" s="13"/>
      <c r="E97" s="13"/>
      <c r="F97" s="13"/>
      <c r="G97" s="13"/>
      <c r="H97" s="13"/>
      <c r="I97" s="21"/>
      <c r="J97" s="242"/>
      <c r="K97" s="242"/>
      <c r="L97" s="244"/>
      <c r="M97" s="244"/>
      <c r="N97" s="244"/>
      <c r="O97" s="244"/>
    </row>
    <row r="98" spans="1:15" ht="86.25" hidden="1" x14ac:dyDescent="0.2">
      <c r="A98" s="12"/>
      <c r="B98" s="33"/>
      <c r="C98" s="7" t="s">
        <v>43</v>
      </c>
      <c r="D98" s="13"/>
      <c r="E98" s="13"/>
      <c r="F98" s="13"/>
      <c r="G98" s="13"/>
      <c r="H98" s="13"/>
      <c r="I98" s="21"/>
      <c r="J98" s="242"/>
      <c r="K98" s="242"/>
      <c r="L98" s="244"/>
      <c r="M98" s="244"/>
      <c r="N98" s="244"/>
      <c r="O98" s="244"/>
    </row>
    <row r="99" spans="1:15" ht="101.25" hidden="1" customHeight="1" x14ac:dyDescent="0.2">
      <c r="A99" s="12"/>
      <c r="B99" s="33"/>
      <c r="C99" s="7" t="s">
        <v>44</v>
      </c>
      <c r="D99" s="13"/>
      <c r="E99" s="13"/>
      <c r="F99" s="13"/>
      <c r="G99" s="13"/>
      <c r="H99" s="13"/>
      <c r="I99" s="21"/>
      <c r="J99" s="242"/>
      <c r="K99" s="242"/>
      <c r="L99" s="244"/>
      <c r="M99" s="244"/>
      <c r="N99" s="244"/>
      <c r="O99" s="244"/>
    </row>
    <row r="100" spans="1:15" ht="86.25" hidden="1" x14ac:dyDescent="0.2">
      <c r="A100" s="12"/>
      <c r="B100" s="33"/>
      <c r="C100" s="7" t="s">
        <v>45</v>
      </c>
      <c r="D100" s="13"/>
      <c r="E100" s="13"/>
      <c r="F100" s="13"/>
      <c r="G100" s="13"/>
      <c r="H100" s="13"/>
      <c r="I100" s="21"/>
      <c r="J100" s="242"/>
      <c r="K100" s="242"/>
      <c r="L100" s="244"/>
      <c r="M100" s="244"/>
      <c r="N100" s="244"/>
      <c r="O100" s="244"/>
    </row>
    <row r="101" spans="1:15" ht="103.5" hidden="1" x14ac:dyDescent="0.2">
      <c r="A101" s="12"/>
      <c r="B101" s="33"/>
      <c r="C101" s="7" t="s">
        <v>46</v>
      </c>
      <c r="D101" s="13"/>
      <c r="E101" s="13"/>
      <c r="F101" s="13"/>
      <c r="G101" s="13"/>
      <c r="H101" s="13"/>
      <c r="I101" s="21"/>
      <c r="J101" s="242"/>
      <c r="K101" s="242"/>
      <c r="L101" s="244"/>
      <c r="M101" s="244"/>
      <c r="N101" s="244"/>
      <c r="O101" s="244"/>
    </row>
    <row r="102" spans="1:15" ht="86.25" hidden="1" x14ac:dyDescent="0.2">
      <c r="A102" s="12"/>
      <c r="B102" s="33"/>
      <c r="C102" s="7" t="s">
        <v>25</v>
      </c>
      <c r="D102" s="13"/>
      <c r="E102" s="13"/>
      <c r="F102" s="13"/>
      <c r="G102" s="13"/>
      <c r="H102" s="13"/>
      <c r="I102" s="21"/>
      <c r="J102" s="242"/>
      <c r="K102" s="242"/>
      <c r="L102" s="244"/>
      <c r="M102" s="244"/>
      <c r="N102" s="244"/>
      <c r="O102" s="244"/>
    </row>
    <row r="103" spans="1:15" ht="86.25" hidden="1" x14ac:dyDescent="0.2">
      <c r="A103" s="12"/>
      <c r="B103" s="33"/>
      <c r="C103" s="7" t="s">
        <v>47</v>
      </c>
      <c r="D103" s="13"/>
      <c r="E103" s="13"/>
      <c r="F103" s="13"/>
      <c r="G103" s="13"/>
      <c r="H103" s="13"/>
      <c r="I103" s="21"/>
      <c r="J103" s="242"/>
      <c r="K103" s="242"/>
      <c r="L103" s="244"/>
      <c r="M103" s="244"/>
      <c r="N103" s="244"/>
      <c r="O103" s="244"/>
    </row>
    <row r="104" spans="1:15" ht="103.5" hidden="1" x14ac:dyDescent="0.2">
      <c r="A104" s="12"/>
      <c r="B104" s="33"/>
      <c r="C104" s="7" t="s">
        <v>48</v>
      </c>
      <c r="D104" s="13"/>
      <c r="E104" s="13"/>
      <c r="F104" s="13"/>
      <c r="G104" s="13"/>
      <c r="H104" s="13"/>
      <c r="I104" s="21"/>
      <c r="J104" s="242"/>
      <c r="K104" s="242"/>
      <c r="L104" s="244"/>
      <c r="M104" s="244"/>
      <c r="N104" s="244"/>
      <c r="O104" s="244"/>
    </row>
    <row r="105" spans="1:15" ht="86.25" hidden="1" x14ac:dyDescent="0.2">
      <c r="A105" s="12"/>
      <c r="B105" s="33"/>
      <c r="C105" s="7" t="s">
        <v>12</v>
      </c>
      <c r="D105" s="13"/>
      <c r="E105" s="13"/>
      <c r="F105" s="13"/>
      <c r="G105" s="13"/>
      <c r="H105" s="13"/>
      <c r="I105" s="21"/>
      <c r="J105" s="242"/>
      <c r="K105" s="242"/>
      <c r="L105" s="244"/>
      <c r="M105" s="244"/>
      <c r="N105" s="244"/>
      <c r="O105" s="244"/>
    </row>
    <row r="106" spans="1:15" ht="103.5" hidden="1" x14ac:dyDescent="0.2">
      <c r="A106" s="12"/>
      <c r="B106" s="33"/>
      <c r="C106" s="7" t="s">
        <v>49</v>
      </c>
      <c r="D106" s="13"/>
      <c r="E106" s="13"/>
      <c r="F106" s="13"/>
      <c r="G106" s="13"/>
      <c r="H106" s="13"/>
      <c r="I106" s="21"/>
      <c r="J106" s="242"/>
      <c r="K106" s="242"/>
      <c r="L106" s="244"/>
      <c r="M106" s="244"/>
      <c r="N106" s="244"/>
      <c r="O106" s="244"/>
    </row>
    <row r="107" spans="1:15" ht="138" hidden="1" x14ac:dyDescent="0.2">
      <c r="A107" s="12"/>
      <c r="B107" s="33"/>
      <c r="C107" s="7" t="s">
        <v>50</v>
      </c>
      <c r="D107" s="13"/>
      <c r="E107" s="13"/>
      <c r="F107" s="13"/>
      <c r="G107" s="13"/>
      <c r="H107" s="13"/>
      <c r="I107" s="21"/>
      <c r="J107" s="242"/>
      <c r="K107" s="242"/>
      <c r="L107" s="244"/>
      <c r="M107" s="244"/>
      <c r="N107" s="244"/>
      <c r="O107" s="244"/>
    </row>
    <row r="108" spans="1:15" ht="120.75" hidden="1" x14ac:dyDescent="0.2">
      <c r="A108" s="12"/>
      <c r="B108" s="33"/>
      <c r="C108" s="7" t="s">
        <v>51</v>
      </c>
      <c r="D108" s="13"/>
      <c r="E108" s="13"/>
      <c r="F108" s="13"/>
      <c r="G108" s="13"/>
      <c r="H108" s="13"/>
      <c r="I108" s="21"/>
      <c r="J108" s="242"/>
      <c r="K108" s="242"/>
      <c r="L108" s="244"/>
      <c r="M108" s="244"/>
      <c r="N108" s="244"/>
      <c r="O108" s="244"/>
    </row>
    <row r="109" spans="1:15" ht="119.25" hidden="1" customHeight="1" x14ac:dyDescent="0.2">
      <c r="A109" s="12"/>
      <c r="B109" s="33"/>
      <c r="C109" s="7" t="s">
        <v>52</v>
      </c>
      <c r="D109" s="13"/>
      <c r="E109" s="13"/>
      <c r="F109" s="13"/>
      <c r="G109" s="13"/>
      <c r="H109" s="13"/>
      <c r="I109" s="21"/>
      <c r="J109" s="242"/>
      <c r="K109" s="242"/>
      <c r="L109" s="244"/>
      <c r="M109" s="244"/>
      <c r="N109" s="244"/>
      <c r="O109" s="244"/>
    </row>
    <row r="110" spans="1:15" ht="103.5" hidden="1" x14ac:dyDescent="0.2">
      <c r="A110" s="12"/>
      <c r="B110" s="33"/>
      <c r="C110" s="7" t="s">
        <v>53</v>
      </c>
      <c r="D110" s="13"/>
      <c r="E110" s="13"/>
      <c r="F110" s="13"/>
      <c r="G110" s="13"/>
      <c r="H110" s="13"/>
      <c r="I110" s="21"/>
      <c r="J110" s="242"/>
      <c r="K110" s="242"/>
      <c r="L110" s="244"/>
      <c r="M110" s="244"/>
      <c r="N110" s="244"/>
      <c r="O110" s="244"/>
    </row>
    <row r="111" spans="1:15" ht="103.5" hidden="1" x14ac:dyDescent="0.2">
      <c r="A111" s="12"/>
      <c r="B111" s="33"/>
      <c r="C111" s="7" t="s">
        <v>54</v>
      </c>
      <c r="D111" s="13"/>
      <c r="E111" s="13"/>
      <c r="F111" s="13"/>
      <c r="G111" s="13"/>
      <c r="H111" s="13"/>
      <c r="I111" s="21"/>
      <c r="J111" s="242"/>
      <c r="K111" s="242"/>
      <c r="L111" s="244"/>
      <c r="M111" s="244"/>
      <c r="N111" s="244"/>
      <c r="O111" s="244"/>
    </row>
    <row r="112" spans="1:15" ht="120.75" hidden="1" x14ac:dyDescent="0.2">
      <c r="A112" s="12"/>
      <c r="B112" s="33"/>
      <c r="C112" s="7" t="s">
        <v>55</v>
      </c>
      <c r="D112" s="13"/>
      <c r="E112" s="13"/>
      <c r="F112" s="13"/>
      <c r="G112" s="13"/>
      <c r="H112" s="13"/>
      <c r="I112" s="21"/>
      <c r="J112" s="242"/>
      <c r="K112" s="242"/>
      <c r="L112" s="244"/>
      <c r="M112" s="244"/>
      <c r="N112" s="244"/>
      <c r="O112" s="244"/>
    </row>
    <row r="113" spans="1:15" ht="103.5" hidden="1" x14ac:dyDescent="0.2">
      <c r="A113" s="12"/>
      <c r="B113" s="33"/>
      <c r="C113" s="7" t="s">
        <v>56</v>
      </c>
      <c r="D113" s="13"/>
      <c r="E113" s="13"/>
      <c r="F113" s="13"/>
      <c r="G113" s="13"/>
      <c r="H113" s="13"/>
      <c r="I113" s="21"/>
      <c r="J113" s="242"/>
      <c r="K113" s="242"/>
      <c r="L113" s="244"/>
      <c r="M113" s="244"/>
      <c r="N113" s="244"/>
      <c r="O113" s="244"/>
    </row>
    <row r="114" spans="1:15" ht="86.25" hidden="1" x14ac:dyDescent="0.2">
      <c r="A114" s="12"/>
      <c r="B114" s="33"/>
      <c r="C114" s="7" t="s">
        <v>13</v>
      </c>
      <c r="D114" s="13"/>
      <c r="E114" s="13"/>
      <c r="F114" s="13"/>
      <c r="G114" s="13"/>
      <c r="H114" s="13"/>
      <c r="I114" s="21"/>
      <c r="J114" s="242"/>
      <c r="K114" s="242"/>
      <c r="L114" s="244"/>
      <c r="M114" s="244"/>
      <c r="N114" s="244"/>
      <c r="O114" s="244"/>
    </row>
    <row r="115" spans="1:15" ht="86.25" hidden="1" x14ac:dyDescent="0.2">
      <c r="A115" s="12"/>
      <c r="B115" s="33"/>
      <c r="C115" s="7" t="s">
        <v>14</v>
      </c>
      <c r="D115" s="13"/>
      <c r="E115" s="13"/>
      <c r="F115" s="13"/>
      <c r="G115" s="13"/>
      <c r="H115" s="13"/>
      <c r="I115" s="21"/>
      <c r="J115" s="242"/>
      <c r="K115" s="242"/>
      <c r="L115" s="244"/>
      <c r="M115" s="244"/>
      <c r="N115" s="244"/>
      <c r="O115" s="244"/>
    </row>
    <row r="116" spans="1:15" ht="86.25" hidden="1" x14ac:dyDescent="0.2">
      <c r="A116" s="12"/>
      <c r="B116" s="33"/>
      <c r="C116" s="7" t="s">
        <v>57</v>
      </c>
      <c r="D116" s="13"/>
      <c r="E116" s="13"/>
      <c r="F116" s="13"/>
      <c r="G116" s="13"/>
      <c r="H116" s="13"/>
      <c r="I116" s="21"/>
      <c r="J116" s="242"/>
      <c r="K116" s="242"/>
      <c r="L116" s="244"/>
      <c r="M116" s="244"/>
      <c r="N116" s="244"/>
      <c r="O116" s="244"/>
    </row>
    <row r="117" spans="1:15" ht="86.25" hidden="1" x14ac:dyDescent="0.2">
      <c r="A117" s="12"/>
      <c r="B117" s="33"/>
      <c r="C117" s="7" t="s">
        <v>15</v>
      </c>
      <c r="D117" s="13"/>
      <c r="E117" s="13"/>
      <c r="F117" s="13"/>
      <c r="G117" s="13"/>
      <c r="H117" s="13"/>
      <c r="I117" s="21"/>
      <c r="J117" s="242"/>
      <c r="K117" s="242"/>
      <c r="L117" s="244"/>
      <c r="M117" s="244"/>
      <c r="N117" s="244"/>
      <c r="O117" s="244"/>
    </row>
    <row r="118" spans="1:15" ht="86.25" hidden="1" x14ac:dyDescent="0.2">
      <c r="A118" s="12"/>
      <c r="B118" s="33"/>
      <c r="C118" s="7" t="s">
        <v>59</v>
      </c>
      <c r="D118" s="13"/>
      <c r="E118" s="13"/>
      <c r="F118" s="13"/>
      <c r="G118" s="13"/>
      <c r="H118" s="13"/>
      <c r="I118" s="21"/>
      <c r="J118" s="242"/>
      <c r="K118" s="242"/>
      <c r="L118" s="244"/>
      <c r="M118" s="244"/>
      <c r="N118" s="244"/>
      <c r="O118" s="244"/>
    </row>
    <row r="119" spans="1:15" ht="103.5" hidden="1" x14ac:dyDescent="0.2">
      <c r="A119" s="12"/>
      <c r="B119" s="33"/>
      <c r="C119" s="7" t="s">
        <v>60</v>
      </c>
      <c r="D119" s="13"/>
      <c r="E119" s="13"/>
      <c r="F119" s="13"/>
      <c r="G119" s="13"/>
      <c r="H119" s="13"/>
      <c r="I119" s="21"/>
      <c r="J119" s="242"/>
      <c r="K119" s="242"/>
      <c r="L119" s="244"/>
      <c r="M119" s="244"/>
      <c r="N119" s="244"/>
      <c r="O119" s="244"/>
    </row>
    <row r="120" spans="1:15" ht="103.5" hidden="1" x14ac:dyDescent="0.2">
      <c r="A120" s="12"/>
      <c r="B120" s="33"/>
      <c r="C120" s="7" t="s">
        <v>61</v>
      </c>
      <c r="D120" s="13"/>
      <c r="E120" s="13"/>
      <c r="F120" s="13"/>
      <c r="G120" s="13"/>
      <c r="H120" s="13"/>
      <c r="I120" s="21"/>
      <c r="J120" s="242"/>
      <c r="K120" s="242"/>
      <c r="L120" s="244"/>
      <c r="M120" s="244"/>
      <c r="N120" s="244"/>
      <c r="O120" s="244"/>
    </row>
    <row r="121" spans="1:15" ht="155.25" hidden="1" x14ac:dyDescent="0.2">
      <c r="A121" s="12"/>
      <c r="B121" s="33"/>
      <c r="C121" s="7" t="s">
        <v>62</v>
      </c>
      <c r="D121" s="13"/>
      <c r="E121" s="13"/>
      <c r="F121" s="13"/>
      <c r="G121" s="13"/>
      <c r="H121" s="13"/>
      <c r="I121" s="21"/>
      <c r="J121" s="242"/>
      <c r="K121" s="242"/>
      <c r="L121" s="244"/>
      <c r="M121" s="244"/>
      <c r="N121" s="244"/>
      <c r="O121" s="244"/>
    </row>
    <row r="122" spans="1:15" ht="120.75" hidden="1" x14ac:dyDescent="0.2">
      <c r="A122" s="12"/>
      <c r="B122" s="33"/>
      <c r="C122" s="7" t="s">
        <v>63</v>
      </c>
      <c r="D122" s="13"/>
      <c r="E122" s="13"/>
      <c r="F122" s="13"/>
      <c r="G122" s="13"/>
      <c r="H122" s="13"/>
      <c r="I122" s="21"/>
      <c r="J122" s="242"/>
      <c r="K122" s="242"/>
      <c r="L122" s="244"/>
      <c r="M122" s="244"/>
      <c r="N122" s="244"/>
      <c r="O122" s="244"/>
    </row>
    <row r="123" spans="1:15" ht="86.25" hidden="1" x14ac:dyDescent="0.2">
      <c r="A123" s="12"/>
      <c r="B123" s="33"/>
      <c r="C123" s="7" t="s">
        <v>64</v>
      </c>
      <c r="D123" s="13"/>
      <c r="E123" s="13"/>
      <c r="F123" s="13"/>
      <c r="G123" s="13"/>
      <c r="H123" s="13"/>
      <c r="I123" s="21"/>
      <c r="J123" s="242"/>
      <c r="K123" s="242"/>
      <c r="L123" s="244"/>
      <c r="M123" s="244"/>
      <c r="N123" s="244"/>
      <c r="O123" s="244"/>
    </row>
    <row r="124" spans="1:15" ht="103.5" hidden="1" x14ac:dyDescent="0.2">
      <c r="A124" s="12"/>
      <c r="B124" s="33"/>
      <c r="C124" s="7" t="s">
        <v>65</v>
      </c>
      <c r="D124" s="13"/>
      <c r="E124" s="13"/>
      <c r="F124" s="13"/>
      <c r="G124" s="13"/>
      <c r="H124" s="13"/>
      <c r="I124" s="21"/>
      <c r="J124" s="242"/>
      <c r="K124" s="242"/>
      <c r="L124" s="244"/>
      <c r="M124" s="244"/>
      <c r="N124" s="244"/>
      <c r="O124" s="244"/>
    </row>
    <row r="125" spans="1:15" ht="103.5" hidden="1" x14ac:dyDescent="0.2">
      <c r="A125" s="12"/>
      <c r="B125" s="33"/>
      <c r="C125" s="7" t="s">
        <v>66</v>
      </c>
      <c r="D125" s="13"/>
      <c r="E125" s="13"/>
      <c r="F125" s="13"/>
      <c r="G125" s="13"/>
      <c r="H125" s="13"/>
      <c r="I125" s="21"/>
      <c r="J125" s="242"/>
      <c r="K125" s="242"/>
      <c r="L125" s="244"/>
      <c r="M125" s="244"/>
      <c r="N125" s="244"/>
      <c r="O125" s="244"/>
    </row>
    <row r="126" spans="1:15" ht="103.5" hidden="1" x14ac:dyDescent="0.2">
      <c r="A126" s="12"/>
      <c r="B126" s="33"/>
      <c r="C126" s="7" t="s">
        <v>67</v>
      </c>
      <c r="D126" s="13"/>
      <c r="E126" s="13"/>
      <c r="F126" s="13"/>
      <c r="G126" s="13"/>
      <c r="H126" s="13"/>
      <c r="I126" s="21"/>
      <c r="J126" s="242"/>
      <c r="K126" s="242"/>
      <c r="L126" s="244"/>
      <c r="M126" s="244"/>
      <c r="N126" s="244"/>
      <c r="O126" s="244"/>
    </row>
    <row r="127" spans="1:15" ht="86.25" hidden="1" x14ac:dyDescent="0.2">
      <c r="A127" s="12"/>
      <c r="B127" s="33"/>
      <c r="C127" s="7" t="s">
        <v>69</v>
      </c>
      <c r="D127" s="13"/>
      <c r="E127" s="13"/>
      <c r="F127" s="13"/>
      <c r="G127" s="13"/>
      <c r="H127" s="13"/>
      <c r="I127" s="21"/>
      <c r="J127" s="242"/>
      <c r="K127" s="242"/>
      <c r="L127" s="244"/>
      <c r="M127" s="244"/>
      <c r="N127" s="244"/>
      <c r="O127" s="244"/>
    </row>
    <row r="128" spans="1:15" ht="86.25" hidden="1" x14ac:dyDescent="0.2">
      <c r="A128" s="12"/>
      <c r="B128" s="33"/>
      <c r="C128" s="7" t="s">
        <v>26</v>
      </c>
      <c r="D128" s="13"/>
      <c r="E128" s="13"/>
      <c r="F128" s="13"/>
      <c r="G128" s="13"/>
      <c r="H128" s="13"/>
      <c r="I128" s="21"/>
      <c r="J128" s="242"/>
      <c r="K128" s="242"/>
      <c r="L128" s="244"/>
      <c r="M128" s="244"/>
      <c r="N128" s="244"/>
      <c r="O128" s="244"/>
    </row>
    <row r="129" spans="1:15" ht="103.5" hidden="1" x14ac:dyDescent="0.2">
      <c r="A129" s="12"/>
      <c r="B129" s="33"/>
      <c r="C129" s="7" t="s">
        <v>70</v>
      </c>
      <c r="D129" s="13"/>
      <c r="E129" s="13"/>
      <c r="F129" s="13"/>
      <c r="G129" s="13"/>
      <c r="H129" s="13"/>
      <c r="I129" s="21"/>
      <c r="J129" s="242"/>
      <c r="K129" s="242"/>
      <c r="L129" s="244"/>
      <c r="M129" s="244"/>
      <c r="N129" s="244"/>
      <c r="O129" s="244"/>
    </row>
    <row r="130" spans="1:15" ht="86.25" hidden="1" x14ac:dyDescent="0.2">
      <c r="A130" s="12"/>
      <c r="B130" s="33"/>
      <c r="C130" s="7" t="s">
        <v>71</v>
      </c>
      <c r="D130" s="13"/>
      <c r="E130" s="13"/>
      <c r="F130" s="13"/>
      <c r="G130" s="13"/>
      <c r="H130" s="13"/>
      <c r="I130" s="21"/>
      <c r="J130" s="242"/>
      <c r="K130" s="242"/>
      <c r="L130" s="244"/>
      <c r="M130" s="244"/>
      <c r="N130" s="244"/>
      <c r="O130" s="244"/>
    </row>
    <row r="131" spans="1:15" ht="120.75" hidden="1" x14ac:dyDescent="0.2">
      <c r="A131" s="12"/>
      <c r="B131" s="33"/>
      <c r="C131" s="7" t="s">
        <v>72</v>
      </c>
      <c r="D131" s="13"/>
      <c r="E131" s="13"/>
      <c r="F131" s="13"/>
      <c r="G131" s="13"/>
      <c r="H131" s="13"/>
      <c r="I131" s="21"/>
      <c r="J131" s="242"/>
      <c r="K131" s="242"/>
      <c r="L131" s="244"/>
      <c r="M131" s="244"/>
      <c r="N131" s="244"/>
      <c r="O131" s="244"/>
    </row>
    <row r="132" spans="1:15" ht="69" hidden="1" x14ac:dyDescent="0.2">
      <c r="A132" s="12"/>
      <c r="B132" s="33"/>
      <c r="C132" s="7" t="s">
        <v>17</v>
      </c>
      <c r="D132" s="13"/>
      <c r="E132" s="13"/>
      <c r="F132" s="13"/>
      <c r="G132" s="13"/>
      <c r="H132" s="13"/>
      <c r="I132" s="21"/>
      <c r="J132" s="242"/>
      <c r="K132" s="242"/>
      <c r="L132" s="244"/>
      <c r="M132" s="244"/>
      <c r="N132" s="244"/>
      <c r="O132" s="244"/>
    </row>
    <row r="133" spans="1:15" ht="86.25" hidden="1" x14ac:dyDescent="0.2">
      <c r="A133" s="12"/>
      <c r="B133" s="33"/>
      <c r="C133" s="7" t="s">
        <v>73</v>
      </c>
      <c r="D133" s="13"/>
      <c r="E133" s="13"/>
      <c r="F133" s="13"/>
      <c r="G133" s="13"/>
      <c r="H133" s="13"/>
      <c r="I133" s="21"/>
      <c r="J133" s="242"/>
      <c r="K133" s="242"/>
      <c r="L133" s="244"/>
      <c r="M133" s="244"/>
      <c r="N133" s="244"/>
      <c r="O133" s="244"/>
    </row>
    <row r="134" spans="1:15" ht="103.5" hidden="1" x14ac:dyDescent="0.2">
      <c r="A134" s="12"/>
      <c r="B134" s="33"/>
      <c r="C134" s="7" t="s">
        <v>75</v>
      </c>
      <c r="D134" s="13"/>
      <c r="E134" s="13"/>
      <c r="F134" s="13"/>
      <c r="G134" s="13"/>
      <c r="H134" s="13"/>
      <c r="I134" s="21"/>
      <c r="J134" s="242"/>
      <c r="K134" s="242"/>
      <c r="L134" s="244"/>
      <c r="M134" s="244"/>
      <c r="N134" s="244"/>
      <c r="O134" s="244"/>
    </row>
    <row r="135" spans="1:15" ht="103.5" hidden="1" x14ac:dyDescent="0.2">
      <c r="A135" s="12"/>
      <c r="B135" s="33"/>
      <c r="C135" s="7" t="s">
        <v>77</v>
      </c>
      <c r="D135" s="13"/>
      <c r="E135" s="13"/>
      <c r="F135" s="13"/>
      <c r="G135" s="13"/>
      <c r="H135" s="13"/>
      <c r="I135" s="21"/>
      <c r="J135" s="242"/>
      <c r="K135" s="242"/>
      <c r="L135" s="244"/>
      <c r="M135" s="244"/>
      <c r="N135" s="244"/>
      <c r="O135" s="244"/>
    </row>
    <row r="136" spans="1:15" ht="86.25" hidden="1" x14ac:dyDescent="0.2">
      <c r="A136" s="12"/>
      <c r="B136" s="33"/>
      <c r="C136" s="7" t="s">
        <v>78</v>
      </c>
      <c r="D136" s="13"/>
      <c r="E136" s="13"/>
      <c r="F136" s="13"/>
      <c r="G136" s="13"/>
      <c r="H136" s="13"/>
      <c r="I136" s="21"/>
      <c r="J136" s="242"/>
      <c r="K136" s="242"/>
      <c r="L136" s="244"/>
      <c r="M136" s="244"/>
      <c r="N136" s="244"/>
      <c r="O136" s="244"/>
    </row>
    <row r="137" spans="1:15" ht="86.25" hidden="1" x14ac:dyDescent="0.2">
      <c r="A137" s="12"/>
      <c r="B137" s="33"/>
      <c r="C137" s="7" t="s">
        <v>79</v>
      </c>
      <c r="D137" s="13"/>
      <c r="E137" s="13"/>
      <c r="F137" s="13"/>
      <c r="G137" s="13"/>
      <c r="H137" s="13"/>
      <c r="I137" s="21"/>
      <c r="J137" s="242"/>
      <c r="K137" s="242"/>
      <c r="L137" s="244"/>
      <c r="M137" s="244"/>
      <c r="N137" s="244"/>
      <c r="O137" s="244"/>
    </row>
    <row r="138" spans="1:15" ht="103.5" hidden="1" x14ac:dyDescent="0.2">
      <c r="A138" s="12"/>
      <c r="B138" s="33"/>
      <c r="C138" s="7" t="s">
        <v>80</v>
      </c>
      <c r="D138" s="13"/>
      <c r="E138" s="13"/>
      <c r="F138" s="13"/>
      <c r="G138" s="13"/>
      <c r="H138" s="13"/>
      <c r="I138" s="21"/>
      <c r="J138" s="242"/>
      <c r="K138" s="242"/>
      <c r="L138" s="244"/>
      <c r="M138" s="244"/>
      <c r="N138" s="244"/>
      <c r="O138" s="244"/>
    </row>
    <row r="139" spans="1:15" ht="86.25" hidden="1" x14ac:dyDescent="0.2">
      <c r="A139" s="12"/>
      <c r="B139" s="33"/>
      <c r="C139" s="7" t="s">
        <v>18</v>
      </c>
      <c r="D139" s="13"/>
      <c r="E139" s="13"/>
      <c r="F139" s="13"/>
      <c r="G139" s="13"/>
      <c r="H139" s="13"/>
      <c r="I139" s="21"/>
      <c r="J139" s="242"/>
      <c r="K139" s="242"/>
      <c r="L139" s="244"/>
      <c r="M139" s="244"/>
      <c r="N139" s="244"/>
      <c r="O139" s="244"/>
    </row>
    <row r="140" spans="1:15" ht="135.75" hidden="1" customHeight="1" x14ac:dyDescent="0.2">
      <c r="A140" s="12"/>
      <c r="B140" s="8"/>
      <c r="C140" s="7" t="s">
        <v>368</v>
      </c>
      <c r="D140" s="13"/>
      <c r="E140" s="13"/>
      <c r="F140" s="13"/>
      <c r="G140" s="13"/>
      <c r="H140" s="13"/>
      <c r="I140" s="21"/>
      <c r="J140" s="242"/>
      <c r="K140" s="242"/>
      <c r="L140" s="244"/>
      <c r="M140" s="244"/>
      <c r="N140" s="244"/>
      <c r="O140" s="244"/>
    </row>
    <row r="141" spans="1:15" ht="103.5" hidden="1" x14ac:dyDescent="0.2">
      <c r="A141" s="12"/>
      <c r="B141" s="8"/>
      <c r="C141" s="7" t="s">
        <v>212</v>
      </c>
      <c r="D141" s="13"/>
      <c r="E141" s="13"/>
      <c r="F141" s="13"/>
      <c r="G141" s="13"/>
      <c r="H141" s="13"/>
      <c r="I141" s="21"/>
      <c r="J141" s="242"/>
      <c r="K141" s="242"/>
      <c r="L141" s="244"/>
      <c r="M141" s="244"/>
      <c r="N141" s="244"/>
      <c r="O141" s="244"/>
    </row>
    <row r="142" spans="1:15" ht="120.75" hidden="1" x14ac:dyDescent="0.2">
      <c r="A142" s="12"/>
      <c r="B142" s="8"/>
      <c r="C142" s="7" t="s">
        <v>213</v>
      </c>
      <c r="D142" s="13"/>
      <c r="E142" s="13"/>
      <c r="F142" s="13"/>
      <c r="G142" s="13"/>
      <c r="H142" s="13"/>
      <c r="I142" s="21"/>
      <c r="J142" s="242"/>
      <c r="K142" s="242"/>
      <c r="L142" s="244"/>
      <c r="M142" s="244"/>
      <c r="N142" s="244"/>
      <c r="O142" s="244"/>
    </row>
    <row r="143" spans="1:15" ht="103.5" hidden="1" x14ac:dyDescent="0.2">
      <c r="A143" s="12"/>
      <c r="B143" s="8"/>
      <c r="C143" s="7" t="s">
        <v>214</v>
      </c>
      <c r="D143" s="13"/>
      <c r="E143" s="13"/>
      <c r="F143" s="13"/>
      <c r="G143" s="13"/>
      <c r="H143" s="13"/>
      <c r="I143" s="21"/>
      <c r="J143" s="242"/>
      <c r="K143" s="242"/>
      <c r="L143" s="244"/>
      <c r="M143" s="244"/>
      <c r="N143" s="244"/>
      <c r="O143" s="244"/>
    </row>
    <row r="144" spans="1:15" ht="86.25" hidden="1" x14ac:dyDescent="0.2">
      <c r="A144" s="12"/>
      <c r="B144" s="8"/>
      <c r="C144" s="7" t="s">
        <v>215</v>
      </c>
      <c r="D144" s="13"/>
      <c r="E144" s="13"/>
      <c r="F144" s="13"/>
      <c r="G144" s="13"/>
      <c r="H144" s="13"/>
      <c r="I144" s="21"/>
      <c r="J144" s="242"/>
      <c r="K144" s="242"/>
      <c r="L144" s="244"/>
      <c r="M144" s="244"/>
      <c r="N144" s="244"/>
      <c r="O144" s="244"/>
    </row>
    <row r="145" spans="1:15" ht="120.75" hidden="1" x14ac:dyDescent="0.2">
      <c r="A145" s="12"/>
      <c r="B145" s="8"/>
      <c r="C145" s="7" t="s">
        <v>305</v>
      </c>
      <c r="D145" s="13"/>
      <c r="E145" s="13"/>
      <c r="F145" s="13"/>
      <c r="G145" s="13"/>
      <c r="H145" s="13"/>
      <c r="I145" s="21"/>
      <c r="J145" s="242"/>
      <c r="K145" s="242"/>
      <c r="L145" s="244"/>
      <c r="M145" s="244"/>
      <c r="N145" s="244"/>
      <c r="O145" s="244"/>
    </row>
    <row r="146" spans="1:15" ht="103.5" hidden="1" x14ac:dyDescent="0.2">
      <c r="A146" s="12"/>
      <c r="B146" s="8"/>
      <c r="C146" s="7" t="s">
        <v>216</v>
      </c>
      <c r="D146" s="13"/>
      <c r="E146" s="13"/>
      <c r="F146" s="13"/>
      <c r="G146" s="13"/>
      <c r="H146" s="13"/>
      <c r="I146" s="21"/>
      <c r="J146" s="242"/>
      <c r="K146" s="242"/>
      <c r="L146" s="244"/>
      <c r="M146" s="244"/>
      <c r="N146" s="244"/>
      <c r="O146" s="244"/>
    </row>
    <row r="147" spans="1:15" ht="120.75" hidden="1" x14ac:dyDescent="0.2">
      <c r="A147" s="12"/>
      <c r="B147" s="8"/>
      <c r="C147" s="7" t="s">
        <v>306</v>
      </c>
      <c r="D147" s="13"/>
      <c r="E147" s="13"/>
      <c r="F147" s="13"/>
      <c r="G147" s="13"/>
      <c r="H147" s="13"/>
      <c r="I147" s="21"/>
      <c r="J147" s="242"/>
      <c r="K147" s="242"/>
      <c r="L147" s="244"/>
      <c r="M147" s="244"/>
      <c r="N147" s="244"/>
      <c r="O147" s="244"/>
    </row>
    <row r="148" spans="1:15" ht="103.5" hidden="1" x14ac:dyDescent="0.2">
      <c r="A148" s="12"/>
      <c r="B148" s="8"/>
      <c r="C148" s="7" t="s">
        <v>217</v>
      </c>
      <c r="D148" s="13"/>
      <c r="E148" s="13"/>
      <c r="F148" s="13"/>
      <c r="G148" s="13"/>
      <c r="H148" s="13"/>
      <c r="I148" s="21"/>
      <c r="J148" s="242"/>
      <c r="K148" s="242"/>
      <c r="L148" s="244"/>
      <c r="M148" s="244"/>
      <c r="N148" s="244"/>
      <c r="O148" s="244"/>
    </row>
    <row r="149" spans="1:15" ht="103.5" hidden="1" x14ac:dyDescent="0.2">
      <c r="A149" s="12"/>
      <c r="B149" s="8"/>
      <c r="C149" s="7" t="s">
        <v>218</v>
      </c>
      <c r="D149" s="13"/>
      <c r="E149" s="13"/>
      <c r="F149" s="13"/>
      <c r="G149" s="13"/>
      <c r="H149" s="13"/>
      <c r="I149" s="21"/>
      <c r="J149" s="242"/>
      <c r="K149" s="242"/>
      <c r="L149" s="244"/>
      <c r="M149" s="244"/>
      <c r="N149" s="244"/>
      <c r="O149" s="244"/>
    </row>
    <row r="150" spans="1:15" ht="103.5" hidden="1" x14ac:dyDescent="0.2">
      <c r="A150" s="12"/>
      <c r="B150" s="8"/>
      <c r="C150" s="7" t="s">
        <v>219</v>
      </c>
      <c r="D150" s="13"/>
      <c r="E150" s="13"/>
      <c r="F150" s="13"/>
      <c r="G150" s="13"/>
      <c r="H150" s="13"/>
      <c r="I150" s="21"/>
      <c r="J150" s="242"/>
      <c r="K150" s="242"/>
      <c r="L150" s="244"/>
      <c r="M150" s="244"/>
      <c r="N150" s="244"/>
      <c r="O150" s="244"/>
    </row>
    <row r="151" spans="1:15" ht="120.75" hidden="1" x14ac:dyDescent="0.2">
      <c r="A151" s="12"/>
      <c r="B151" s="8"/>
      <c r="C151" s="7" t="s">
        <v>220</v>
      </c>
      <c r="D151" s="13"/>
      <c r="E151" s="13"/>
      <c r="F151" s="13"/>
      <c r="G151" s="13"/>
      <c r="H151" s="13"/>
      <c r="I151" s="21"/>
      <c r="J151" s="242"/>
      <c r="K151" s="242"/>
      <c r="L151" s="244"/>
      <c r="M151" s="244"/>
      <c r="N151" s="244"/>
      <c r="O151" s="244"/>
    </row>
    <row r="152" spans="1:15" ht="103.5" hidden="1" x14ac:dyDescent="0.2">
      <c r="A152" s="12"/>
      <c r="B152" s="8"/>
      <c r="C152" s="7" t="s">
        <v>221</v>
      </c>
      <c r="D152" s="13"/>
      <c r="E152" s="13"/>
      <c r="F152" s="13"/>
      <c r="G152" s="13"/>
      <c r="H152" s="13"/>
      <c r="I152" s="21"/>
      <c r="J152" s="242"/>
      <c r="K152" s="242"/>
      <c r="L152" s="244"/>
      <c r="M152" s="244"/>
      <c r="N152" s="244"/>
      <c r="O152" s="244"/>
    </row>
    <row r="153" spans="1:15" ht="86.25" hidden="1" x14ac:dyDescent="0.2">
      <c r="A153" s="12"/>
      <c r="B153" s="8"/>
      <c r="C153" s="7" t="s">
        <v>222</v>
      </c>
      <c r="D153" s="13"/>
      <c r="E153" s="13"/>
      <c r="F153" s="13"/>
      <c r="G153" s="13"/>
      <c r="H153" s="13"/>
      <c r="I153" s="21"/>
      <c r="J153" s="242"/>
      <c r="K153" s="242"/>
      <c r="L153" s="244"/>
      <c r="M153" s="244"/>
      <c r="N153" s="244"/>
      <c r="O153" s="244"/>
    </row>
    <row r="154" spans="1:15" ht="103.5" hidden="1" x14ac:dyDescent="0.2">
      <c r="A154" s="12"/>
      <c r="B154" s="8"/>
      <c r="C154" s="7" t="s">
        <v>223</v>
      </c>
      <c r="D154" s="13"/>
      <c r="E154" s="13"/>
      <c r="F154" s="13"/>
      <c r="G154" s="13"/>
      <c r="H154" s="13"/>
      <c r="I154" s="21"/>
      <c r="J154" s="242"/>
      <c r="K154" s="242"/>
      <c r="L154" s="244"/>
      <c r="M154" s="244"/>
      <c r="N154" s="244"/>
      <c r="O154" s="244"/>
    </row>
    <row r="155" spans="1:15" ht="103.5" hidden="1" x14ac:dyDescent="0.2">
      <c r="A155" s="12"/>
      <c r="B155" s="8"/>
      <c r="C155" s="7" t="s">
        <v>224</v>
      </c>
      <c r="D155" s="13"/>
      <c r="E155" s="13"/>
      <c r="F155" s="13"/>
      <c r="G155" s="13"/>
      <c r="H155" s="13"/>
      <c r="I155" s="21"/>
      <c r="J155" s="242"/>
      <c r="K155" s="242"/>
      <c r="L155" s="244"/>
      <c r="M155" s="244"/>
      <c r="N155" s="244"/>
      <c r="O155" s="244"/>
    </row>
    <row r="156" spans="1:15" ht="86.25" hidden="1" x14ac:dyDescent="0.2">
      <c r="A156" s="12"/>
      <c r="B156" s="8"/>
      <c r="C156" s="7" t="s">
        <v>225</v>
      </c>
      <c r="D156" s="13"/>
      <c r="E156" s="13"/>
      <c r="F156" s="13"/>
      <c r="G156" s="13"/>
      <c r="H156" s="13"/>
      <c r="I156" s="21"/>
      <c r="J156" s="242"/>
      <c r="K156" s="242"/>
      <c r="L156" s="244"/>
      <c r="M156" s="244"/>
      <c r="N156" s="244"/>
      <c r="O156" s="244"/>
    </row>
    <row r="157" spans="1:15" ht="120.75" hidden="1" x14ac:dyDescent="0.2">
      <c r="A157" s="12"/>
      <c r="B157" s="8"/>
      <c r="C157" s="7" t="s">
        <v>226</v>
      </c>
      <c r="D157" s="13"/>
      <c r="E157" s="13"/>
      <c r="F157" s="13"/>
      <c r="G157" s="13"/>
      <c r="H157" s="13"/>
      <c r="I157" s="21"/>
      <c r="J157" s="242"/>
      <c r="K157" s="242"/>
      <c r="L157" s="244"/>
      <c r="M157" s="244"/>
      <c r="N157" s="244"/>
      <c r="O157" s="244"/>
    </row>
    <row r="158" spans="1:15" ht="120.75" hidden="1" x14ac:dyDescent="0.2">
      <c r="A158" s="12"/>
      <c r="B158" s="8"/>
      <c r="C158" s="7" t="s">
        <v>227</v>
      </c>
      <c r="D158" s="13"/>
      <c r="E158" s="13"/>
      <c r="F158" s="13"/>
      <c r="G158" s="13"/>
      <c r="H158" s="13"/>
      <c r="I158" s="21"/>
      <c r="J158" s="242"/>
      <c r="K158" s="242"/>
      <c r="L158" s="244"/>
      <c r="M158" s="244"/>
      <c r="N158" s="244"/>
      <c r="O158" s="244"/>
    </row>
    <row r="159" spans="1:15" ht="120.75" hidden="1" x14ac:dyDescent="0.2">
      <c r="A159" s="12"/>
      <c r="B159" s="8"/>
      <c r="C159" s="7" t="s">
        <v>307</v>
      </c>
      <c r="D159" s="13"/>
      <c r="E159" s="13"/>
      <c r="F159" s="13"/>
      <c r="G159" s="13"/>
      <c r="H159" s="13"/>
      <c r="I159" s="21"/>
      <c r="J159" s="242"/>
      <c r="K159" s="242"/>
      <c r="L159" s="244"/>
      <c r="M159" s="244"/>
      <c r="N159" s="244"/>
      <c r="O159" s="244"/>
    </row>
    <row r="160" spans="1:15" ht="103.5" hidden="1" x14ac:dyDescent="0.2">
      <c r="A160" s="12"/>
      <c r="B160" s="8"/>
      <c r="C160" s="7" t="s">
        <v>228</v>
      </c>
      <c r="D160" s="13"/>
      <c r="E160" s="13"/>
      <c r="F160" s="13"/>
      <c r="G160" s="13"/>
      <c r="H160" s="13"/>
      <c r="I160" s="21"/>
      <c r="J160" s="242"/>
      <c r="K160" s="242"/>
      <c r="L160" s="244"/>
      <c r="M160" s="244"/>
      <c r="N160" s="244"/>
      <c r="O160" s="244"/>
    </row>
    <row r="161" spans="1:15" ht="120.75" hidden="1" x14ac:dyDescent="0.2">
      <c r="A161" s="12"/>
      <c r="B161" s="8"/>
      <c r="C161" s="7" t="s">
        <v>230</v>
      </c>
      <c r="D161" s="13"/>
      <c r="E161" s="13"/>
      <c r="F161" s="13"/>
      <c r="G161" s="13"/>
      <c r="H161" s="13"/>
      <c r="I161" s="21"/>
      <c r="J161" s="242"/>
      <c r="K161" s="242"/>
      <c r="L161" s="244"/>
      <c r="M161" s="244"/>
      <c r="N161" s="244"/>
      <c r="O161" s="244"/>
    </row>
    <row r="162" spans="1:15" ht="86.25" hidden="1" x14ac:dyDescent="0.2">
      <c r="A162" s="12"/>
      <c r="B162" s="8"/>
      <c r="C162" s="7" t="s">
        <v>229</v>
      </c>
      <c r="D162" s="13"/>
      <c r="E162" s="13"/>
      <c r="F162" s="13"/>
      <c r="G162" s="13"/>
      <c r="H162" s="13"/>
      <c r="I162" s="21"/>
      <c r="J162" s="242"/>
      <c r="K162" s="242"/>
      <c r="L162" s="244"/>
      <c r="M162" s="244"/>
      <c r="N162" s="244"/>
      <c r="O162" s="244"/>
    </row>
    <row r="163" spans="1:15" ht="103.5" hidden="1" x14ac:dyDescent="0.2">
      <c r="A163" s="12"/>
      <c r="B163" s="8"/>
      <c r="C163" s="7" t="s">
        <v>308</v>
      </c>
      <c r="D163" s="13"/>
      <c r="E163" s="13"/>
      <c r="F163" s="13"/>
      <c r="G163" s="13"/>
      <c r="H163" s="13"/>
      <c r="I163" s="21"/>
      <c r="J163" s="242"/>
      <c r="K163" s="242"/>
      <c r="L163" s="244"/>
      <c r="M163" s="244"/>
      <c r="N163" s="244"/>
      <c r="O163" s="244"/>
    </row>
    <row r="164" spans="1:15" ht="103.5" hidden="1" x14ac:dyDescent="0.2">
      <c r="A164" s="12"/>
      <c r="B164" s="8"/>
      <c r="C164" s="7" t="s">
        <v>231</v>
      </c>
      <c r="D164" s="13"/>
      <c r="E164" s="13"/>
      <c r="F164" s="13"/>
      <c r="G164" s="13"/>
      <c r="H164" s="13"/>
      <c r="I164" s="21"/>
      <c r="J164" s="242"/>
      <c r="K164" s="242"/>
      <c r="L164" s="244"/>
      <c r="M164" s="244"/>
      <c r="N164" s="244"/>
      <c r="O164" s="244"/>
    </row>
    <row r="165" spans="1:15" ht="103.5" hidden="1" x14ac:dyDescent="0.2">
      <c r="A165" s="12"/>
      <c r="B165" s="8"/>
      <c r="C165" s="7" t="s">
        <v>232</v>
      </c>
      <c r="D165" s="13"/>
      <c r="E165" s="13"/>
      <c r="F165" s="13"/>
      <c r="G165" s="13"/>
      <c r="H165" s="13"/>
      <c r="I165" s="21"/>
      <c r="J165" s="242"/>
      <c r="K165" s="242"/>
      <c r="L165" s="244"/>
      <c r="M165" s="244"/>
      <c r="N165" s="244"/>
      <c r="O165" s="244"/>
    </row>
    <row r="166" spans="1:15" ht="103.5" hidden="1" x14ac:dyDescent="0.2">
      <c r="A166" s="12"/>
      <c r="B166" s="8"/>
      <c r="C166" s="7" t="s">
        <v>233</v>
      </c>
      <c r="D166" s="13"/>
      <c r="E166" s="13"/>
      <c r="F166" s="13"/>
      <c r="G166" s="13"/>
      <c r="H166" s="13"/>
      <c r="I166" s="21"/>
      <c r="J166" s="242"/>
      <c r="K166" s="242"/>
      <c r="L166" s="244"/>
      <c r="M166" s="244"/>
      <c r="N166" s="244"/>
      <c r="O166" s="244"/>
    </row>
    <row r="167" spans="1:15" ht="120.75" hidden="1" x14ac:dyDescent="0.2">
      <c r="A167" s="12"/>
      <c r="B167" s="8"/>
      <c r="C167" s="7" t="s">
        <v>74</v>
      </c>
      <c r="D167" s="13"/>
      <c r="E167" s="13"/>
      <c r="F167" s="13"/>
      <c r="G167" s="13"/>
      <c r="H167" s="13"/>
      <c r="I167" s="21"/>
      <c r="J167" s="242"/>
      <c r="K167" s="242"/>
      <c r="L167" s="244"/>
      <c r="M167" s="244"/>
      <c r="N167" s="244"/>
      <c r="O167" s="244"/>
    </row>
    <row r="168" spans="1:15" ht="120.75" hidden="1" x14ac:dyDescent="0.2">
      <c r="A168" s="12"/>
      <c r="B168" s="8"/>
      <c r="C168" s="7" t="s">
        <v>58</v>
      </c>
      <c r="D168" s="13"/>
      <c r="E168" s="13"/>
      <c r="F168" s="13"/>
      <c r="G168" s="13"/>
      <c r="H168" s="13"/>
      <c r="I168" s="21"/>
      <c r="J168" s="242"/>
      <c r="K168" s="242"/>
      <c r="L168" s="244"/>
      <c r="M168" s="244"/>
      <c r="N168" s="244"/>
      <c r="O168" s="244"/>
    </row>
    <row r="169" spans="1:15" ht="86.25" hidden="1" x14ac:dyDescent="0.2">
      <c r="A169" s="12"/>
      <c r="B169" s="8"/>
      <c r="C169" s="7" t="s">
        <v>16</v>
      </c>
      <c r="D169" s="13"/>
      <c r="E169" s="13"/>
      <c r="F169" s="13"/>
      <c r="G169" s="13"/>
      <c r="H169" s="13"/>
      <c r="I169" s="21"/>
      <c r="J169" s="242"/>
      <c r="K169" s="242"/>
      <c r="L169" s="244"/>
      <c r="M169" s="244"/>
      <c r="N169" s="244"/>
      <c r="O169" s="244"/>
    </row>
    <row r="170" spans="1:15" ht="86.25" hidden="1" x14ac:dyDescent="0.2">
      <c r="A170" s="12"/>
      <c r="B170" s="8"/>
      <c r="C170" s="7" t="s">
        <v>68</v>
      </c>
      <c r="D170" s="13"/>
      <c r="E170" s="13"/>
      <c r="F170" s="13"/>
      <c r="G170" s="13"/>
      <c r="H170" s="13"/>
      <c r="I170" s="21"/>
      <c r="J170" s="242"/>
      <c r="K170" s="242"/>
      <c r="L170" s="244"/>
      <c r="M170" s="244"/>
      <c r="N170" s="244"/>
      <c r="O170" s="244"/>
    </row>
    <row r="171" spans="1:15" ht="138" hidden="1" x14ac:dyDescent="0.2">
      <c r="A171" s="12"/>
      <c r="B171" s="8"/>
      <c r="C171" s="7" t="s">
        <v>76</v>
      </c>
      <c r="D171" s="13"/>
      <c r="E171" s="13"/>
      <c r="F171" s="13"/>
      <c r="G171" s="13"/>
      <c r="H171" s="13"/>
      <c r="I171" s="21"/>
      <c r="J171" s="242"/>
      <c r="K171" s="242"/>
      <c r="L171" s="244"/>
      <c r="M171" s="244"/>
      <c r="N171" s="244"/>
      <c r="O171" s="244"/>
    </row>
    <row r="172" spans="1:15" ht="34.5" hidden="1" x14ac:dyDescent="0.2">
      <c r="A172" s="12"/>
      <c r="B172" s="8"/>
      <c r="C172" s="7" t="s">
        <v>23</v>
      </c>
      <c r="D172" s="13"/>
      <c r="E172" s="13"/>
      <c r="F172" s="13"/>
      <c r="G172" s="13"/>
      <c r="H172" s="13"/>
      <c r="I172" s="21"/>
      <c r="J172" s="242"/>
      <c r="K172" s="242"/>
      <c r="L172" s="244"/>
      <c r="M172" s="244"/>
      <c r="N172" s="244"/>
      <c r="O172" s="244"/>
    </row>
    <row r="173" spans="1:15" ht="126.75" hidden="1" customHeight="1" x14ac:dyDescent="0.2">
      <c r="A173" s="12"/>
      <c r="B173" s="8"/>
      <c r="C173" s="7" t="s">
        <v>377</v>
      </c>
      <c r="D173" s="13"/>
      <c r="E173" s="13"/>
      <c r="F173" s="13"/>
      <c r="G173" s="13"/>
      <c r="H173" s="13"/>
      <c r="I173" s="21"/>
      <c r="J173" s="242"/>
      <c r="K173" s="242"/>
      <c r="L173" s="244"/>
      <c r="M173" s="244"/>
      <c r="N173" s="244"/>
      <c r="O173" s="244"/>
    </row>
    <row r="174" spans="1:15" ht="103.5" hidden="1" x14ac:dyDescent="0.2">
      <c r="A174" s="12"/>
      <c r="B174" s="8"/>
      <c r="C174" s="7" t="s">
        <v>379</v>
      </c>
      <c r="D174" s="13"/>
      <c r="E174" s="13"/>
      <c r="F174" s="13"/>
      <c r="G174" s="13"/>
      <c r="H174" s="13"/>
      <c r="I174" s="21"/>
      <c r="J174" s="242"/>
      <c r="K174" s="242"/>
      <c r="L174" s="244"/>
      <c r="M174" s="244"/>
      <c r="N174" s="244"/>
      <c r="O174" s="244"/>
    </row>
    <row r="175" spans="1:15" ht="138" hidden="1" x14ac:dyDescent="0.2">
      <c r="A175" s="12"/>
      <c r="B175" s="8"/>
      <c r="C175" s="7" t="s">
        <v>380</v>
      </c>
      <c r="D175" s="13"/>
      <c r="E175" s="13"/>
      <c r="F175" s="13"/>
      <c r="G175" s="13"/>
      <c r="H175" s="13"/>
      <c r="I175" s="21"/>
      <c r="J175" s="242"/>
      <c r="K175" s="242"/>
      <c r="L175" s="244"/>
      <c r="M175" s="244"/>
      <c r="N175" s="244"/>
      <c r="O175" s="244"/>
    </row>
    <row r="176" spans="1:15" ht="138" hidden="1" x14ac:dyDescent="0.2">
      <c r="A176" s="12"/>
      <c r="B176" s="8"/>
      <c r="C176" s="7" t="s">
        <v>381</v>
      </c>
      <c r="D176" s="13"/>
      <c r="E176" s="13"/>
      <c r="F176" s="13"/>
      <c r="G176" s="13"/>
      <c r="H176" s="13"/>
      <c r="I176" s="21"/>
      <c r="J176" s="242"/>
      <c r="K176" s="242"/>
      <c r="L176" s="244"/>
      <c r="M176" s="244"/>
      <c r="N176" s="244"/>
      <c r="O176" s="244"/>
    </row>
    <row r="177" spans="1:15" ht="132.75" hidden="1" customHeight="1" x14ac:dyDescent="0.2">
      <c r="A177" s="12"/>
      <c r="B177" s="8"/>
      <c r="C177" s="7" t="s">
        <v>383</v>
      </c>
      <c r="D177" s="13"/>
      <c r="E177" s="13"/>
      <c r="F177" s="13"/>
      <c r="G177" s="13"/>
      <c r="H177" s="13"/>
      <c r="I177" s="21"/>
      <c r="J177" s="242"/>
      <c r="K177" s="242"/>
      <c r="L177" s="244"/>
      <c r="M177" s="244"/>
      <c r="N177" s="244"/>
      <c r="O177" s="244"/>
    </row>
    <row r="178" spans="1:15" ht="103.5" hidden="1" x14ac:dyDescent="0.2">
      <c r="A178" s="12"/>
      <c r="B178" s="8"/>
      <c r="C178" s="7" t="s">
        <v>384</v>
      </c>
      <c r="D178" s="13"/>
      <c r="E178" s="13"/>
      <c r="F178" s="13"/>
      <c r="G178" s="13"/>
      <c r="H178" s="13"/>
      <c r="I178" s="21"/>
      <c r="J178" s="242"/>
      <c r="K178" s="242"/>
      <c r="L178" s="244"/>
      <c r="M178" s="244"/>
      <c r="N178" s="244"/>
      <c r="O178" s="244"/>
    </row>
    <row r="179" spans="1:15" ht="120.75" hidden="1" x14ac:dyDescent="0.2">
      <c r="A179" s="12"/>
      <c r="B179" s="8"/>
      <c r="C179" s="7" t="s">
        <v>385</v>
      </c>
      <c r="D179" s="13"/>
      <c r="E179" s="13"/>
      <c r="F179" s="13"/>
      <c r="G179" s="13"/>
      <c r="H179" s="13"/>
      <c r="I179" s="21"/>
      <c r="J179" s="242"/>
      <c r="K179" s="242"/>
      <c r="L179" s="244"/>
      <c r="M179" s="244"/>
      <c r="N179" s="244"/>
      <c r="O179" s="244"/>
    </row>
    <row r="180" spans="1:15" hidden="1" x14ac:dyDescent="0.2">
      <c r="J180" s="224"/>
      <c r="K180" s="224"/>
      <c r="L180" s="216"/>
      <c r="M180" s="216"/>
      <c r="N180" s="216"/>
      <c r="O180" s="216"/>
    </row>
    <row r="181" spans="1:15" ht="120.75" hidden="1" x14ac:dyDescent="0.2">
      <c r="A181" s="12"/>
      <c r="B181" s="8"/>
      <c r="C181" s="7" t="s">
        <v>387</v>
      </c>
      <c r="D181" s="13"/>
      <c r="E181" s="13"/>
      <c r="F181" s="13"/>
      <c r="G181" s="13"/>
      <c r="H181" s="13"/>
      <c r="I181" s="21"/>
      <c r="J181" s="242"/>
      <c r="K181" s="242"/>
      <c r="L181" s="244"/>
      <c r="M181" s="244"/>
      <c r="N181" s="244"/>
      <c r="O181" s="244"/>
    </row>
    <row r="182" spans="1:15" ht="103.5" hidden="1" x14ac:dyDescent="0.2">
      <c r="A182" s="12"/>
      <c r="B182" s="8"/>
      <c r="C182" s="7" t="s">
        <v>392</v>
      </c>
      <c r="D182" s="13"/>
      <c r="E182" s="13"/>
      <c r="F182" s="13"/>
      <c r="G182" s="13"/>
      <c r="H182" s="13"/>
      <c r="I182" s="21"/>
      <c r="J182" s="242"/>
      <c r="K182" s="242"/>
      <c r="L182" s="244"/>
      <c r="M182" s="244"/>
      <c r="N182" s="244"/>
      <c r="O182" s="244"/>
    </row>
    <row r="183" spans="1:15" ht="138" hidden="1" x14ac:dyDescent="0.2">
      <c r="A183" s="12"/>
      <c r="B183" s="8"/>
      <c r="C183" s="7" t="s">
        <v>395</v>
      </c>
      <c r="D183" s="13"/>
      <c r="E183" s="13"/>
      <c r="F183" s="13"/>
      <c r="G183" s="13"/>
      <c r="H183" s="13"/>
      <c r="I183" s="21"/>
      <c r="J183" s="242"/>
      <c r="K183" s="242"/>
      <c r="L183" s="244"/>
      <c r="M183" s="244"/>
      <c r="N183" s="244"/>
      <c r="O183" s="244"/>
    </row>
    <row r="184" spans="1:15" ht="103.5" hidden="1" x14ac:dyDescent="0.2">
      <c r="A184" s="12"/>
      <c r="B184" s="8"/>
      <c r="C184" s="7" t="s">
        <v>396</v>
      </c>
      <c r="D184" s="13"/>
      <c r="E184" s="13"/>
      <c r="F184" s="13"/>
      <c r="G184" s="13"/>
      <c r="H184" s="13"/>
      <c r="I184" s="21"/>
      <c r="J184" s="242"/>
      <c r="K184" s="242"/>
      <c r="L184" s="244"/>
      <c r="M184" s="244"/>
      <c r="N184" s="244"/>
      <c r="O184" s="244"/>
    </row>
    <row r="185" spans="1:15" ht="120.75" hidden="1" x14ac:dyDescent="0.2">
      <c r="A185" s="12"/>
      <c r="B185" s="8"/>
      <c r="C185" s="7" t="s">
        <v>399</v>
      </c>
      <c r="D185" s="13"/>
      <c r="E185" s="13"/>
      <c r="F185" s="13"/>
      <c r="G185" s="13"/>
      <c r="H185" s="13"/>
      <c r="I185" s="21"/>
      <c r="J185" s="242"/>
      <c r="K185" s="242"/>
      <c r="L185" s="244"/>
      <c r="M185" s="244"/>
      <c r="N185" s="244"/>
      <c r="O185" s="244"/>
    </row>
    <row r="186" spans="1:15" ht="120.75" hidden="1" x14ac:dyDescent="0.2">
      <c r="A186" s="12"/>
      <c r="B186" s="8"/>
      <c r="C186" s="7" t="s">
        <v>402</v>
      </c>
      <c r="D186" s="13"/>
      <c r="E186" s="13"/>
      <c r="F186" s="13"/>
      <c r="G186" s="13"/>
      <c r="H186" s="13"/>
      <c r="I186" s="21"/>
      <c r="J186" s="242"/>
      <c r="K186" s="242"/>
      <c r="L186" s="244"/>
      <c r="M186" s="244"/>
      <c r="N186" s="244"/>
      <c r="O186" s="244"/>
    </row>
    <row r="187" spans="1:15" ht="138" hidden="1" x14ac:dyDescent="0.2">
      <c r="A187" s="12"/>
      <c r="B187" s="8"/>
      <c r="C187" s="7" t="s">
        <v>405</v>
      </c>
      <c r="D187" s="13"/>
      <c r="E187" s="13"/>
      <c r="F187" s="13"/>
      <c r="G187" s="13"/>
      <c r="H187" s="13"/>
      <c r="I187" s="21"/>
      <c r="J187" s="242"/>
      <c r="K187" s="242"/>
      <c r="L187" s="244"/>
      <c r="M187" s="244"/>
      <c r="N187" s="244"/>
      <c r="O187" s="244"/>
    </row>
    <row r="188" spans="1:15" ht="86.25" hidden="1" x14ac:dyDescent="0.2">
      <c r="A188" s="12"/>
      <c r="B188" s="8"/>
      <c r="C188" s="7" t="s">
        <v>410</v>
      </c>
      <c r="D188" s="13"/>
      <c r="E188" s="13"/>
      <c r="F188" s="13"/>
      <c r="G188" s="13"/>
      <c r="H188" s="13"/>
      <c r="I188" s="21"/>
      <c r="J188" s="242"/>
      <c r="K188" s="242"/>
      <c r="L188" s="244"/>
      <c r="M188" s="244"/>
      <c r="N188" s="244"/>
      <c r="O188" s="244"/>
    </row>
    <row r="189" spans="1:15" ht="138" hidden="1" x14ac:dyDescent="0.2">
      <c r="A189" s="12"/>
      <c r="B189" s="8"/>
      <c r="C189" s="7" t="s">
        <v>413</v>
      </c>
      <c r="D189" s="13"/>
      <c r="E189" s="13"/>
      <c r="F189" s="13"/>
      <c r="G189" s="13"/>
      <c r="H189" s="13"/>
      <c r="I189" s="21"/>
      <c r="J189" s="242"/>
      <c r="K189" s="242"/>
      <c r="L189" s="244"/>
      <c r="M189" s="244"/>
      <c r="N189" s="244"/>
      <c r="O189" s="244"/>
    </row>
    <row r="190" spans="1:15" ht="120.75" hidden="1" x14ac:dyDescent="0.2">
      <c r="A190" s="12"/>
      <c r="B190" s="8"/>
      <c r="C190" s="7" t="s">
        <v>414</v>
      </c>
      <c r="D190" s="13"/>
      <c r="E190" s="13"/>
      <c r="F190" s="13"/>
      <c r="G190" s="13"/>
      <c r="H190" s="13"/>
      <c r="I190" s="21"/>
      <c r="J190" s="242"/>
      <c r="K190" s="242"/>
      <c r="L190" s="244"/>
      <c r="M190" s="244"/>
      <c r="N190" s="244"/>
      <c r="O190" s="244"/>
    </row>
    <row r="191" spans="1:15" ht="103.5" hidden="1" x14ac:dyDescent="0.2">
      <c r="A191" s="12"/>
      <c r="B191" s="8"/>
      <c r="C191" s="7" t="s">
        <v>421</v>
      </c>
      <c r="D191" s="13"/>
      <c r="E191" s="13"/>
      <c r="F191" s="13"/>
      <c r="G191" s="13"/>
      <c r="H191" s="13"/>
      <c r="I191" s="21"/>
      <c r="J191" s="242"/>
      <c r="K191" s="242"/>
      <c r="L191" s="244"/>
      <c r="M191" s="244"/>
      <c r="N191" s="244"/>
      <c r="O191" s="244"/>
    </row>
    <row r="192" spans="1:15" ht="29.25" customHeight="1" x14ac:dyDescent="0.2">
      <c r="A192" s="161" t="s">
        <v>10</v>
      </c>
      <c r="B192" s="162"/>
      <c r="C192" s="163"/>
      <c r="D192" s="48">
        <f>D194+D195+D196+D198+D200+D201+D202+D203+D204+D205+D206</f>
        <v>18155027</v>
      </c>
      <c r="E192" s="48">
        <f>E194+E195+E196+E198+E200+E201+E202+E203+E204+E205+E206</f>
        <v>15578094.309999999</v>
      </c>
      <c r="F192" s="48">
        <f>D192-E192</f>
        <v>2576932.6900000013</v>
      </c>
      <c r="G192" s="48">
        <f>G194+G195+G196+G198+G200+G201+G202+G203+G204+G205+G206</f>
        <v>8757642.459999999</v>
      </c>
      <c r="H192" s="48">
        <f>D192-G192</f>
        <v>9397384.540000001</v>
      </c>
      <c r="I192" s="49">
        <f>IF(D192=0,0,G192/D192)</f>
        <v>0.48238113113244058</v>
      </c>
      <c r="J192" s="220"/>
      <c r="K192" s="220"/>
      <c r="L192" s="229"/>
      <c r="M192" s="229"/>
      <c r="N192" s="229"/>
      <c r="O192" s="229"/>
    </row>
    <row r="193" spans="1:15" x14ac:dyDescent="0.2">
      <c r="A193" s="150" t="s">
        <v>608</v>
      </c>
      <c r="B193" s="150"/>
      <c r="C193" s="150"/>
      <c r="D193" s="50">
        <f>D194+D195+D196</f>
        <v>16120710</v>
      </c>
      <c r="E193" s="50">
        <f>E194+E195+E196</f>
        <v>15413788.109999999</v>
      </c>
      <c r="F193" s="50">
        <f>D193-E193</f>
        <v>706921.8900000006</v>
      </c>
      <c r="G193" s="50">
        <f>G194+G195+G196</f>
        <v>8626797.8200000003</v>
      </c>
      <c r="H193" s="50">
        <f>D193-G193</f>
        <v>7493912.1799999997</v>
      </c>
      <c r="I193" s="51">
        <f>IF(D193=0,0,G193/D193)</f>
        <v>0.53513758513117604</v>
      </c>
      <c r="J193" s="221"/>
      <c r="K193" s="221"/>
      <c r="L193" s="230"/>
      <c r="M193" s="230"/>
      <c r="N193" s="230"/>
      <c r="O193" s="230"/>
    </row>
    <row r="194" spans="1:15" ht="63.75" x14ac:dyDescent="0.2">
      <c r="A194" s="52">
        <f>SUBTOTAL(103,$B$8:B194)+287</f>
        <v>371</v>
      </c>
      <c r="B194" s="69">
        <v>4</v>
      </c>
      <c r="C194" s="82" t="s">
        <v>135</v>
      </c>
      <c r="D194" s="60">
        <f>IF(COUNTIF(tSIAF[Clave],"2183634|4")=0,"",SUMIF(tSIAF[Clave],"2183634|4",tSIAF[PIM]))</f>
        <v>10918999</v>
      </c>
      <c r="E194" s="60">
        <f>IF(COUNTIF(tSIAF[Clave],"2183634|4")=0,"",SUMIF(tSIAF[Clave],"2183634|4",tSIAF[Certificacion]))</f>
        <v>10451686.220000001</v>
      </c>
      <c r="F194" s="60">
        <f>IF(D194="","",D194-E194)</f>
        <v>467312.77999999933</v>
      </c>
      <c r="G194" s="60">
        <f>IF(COUNTIF(tSIAF[Clave],"2183634|4")=0,"",SUMIF(tSIAF[Clave],"2183634|4",tSIAF[Devengado]))</f>
        <v>5853517.8399999999</v>
      </c>
      <c r="H194" s="60">
        <f>IF(D194="","",D194-G194)</f>
        <v>5065481.16</v>
      </c>
      <c r="I194" s="66">
        <f>IF(D194="","",IF(D194=0,0,G194/D194))</f>
        <v>0.53608557341199503</v>
      </c>
      <c r="J194" s="227"/>
      <c r="K194" s="227" t="s">
        <v>2299</v>
      </c>
      <c r="L194" s="236">
        <f>IF(COUNTIF(tCartera[CUI],"2183634")=0,"Sin PMI",IF(INDEX(tCartera[PMI2026],MATCH("2183634",tCartera[CUI],0))="","No informado",INDEX(tCartera[PMI2026],MATCH("2183634",tCartera[CUI],0))))</f>
        <v>10517000</v>
      </c>
      <c r="M194" s="236">
        <f>IF(COUNTIF(tCartera[CUI],"2183634")=0,"Sin PMI",IF(INDEX(tCartera[PMI2027],MATCH("2183634",tCartera[CUI],0))="","No informado",INDEX(tCartera[PMI2027],MATCH("2183634",tCartera[CUI],0))))</f>
        <v>7783178</v>
      </c>
      <c r="N194" s="236">
        <f>IF(COUNTIF(tCartera[CUI],"2183634")=0,"Sin PMI",IF(INDEX(tCartera[PMI2028],MATCH("2183634",tCartera[CUI],0))="","No informado",INDEX(tCartera[PMI2028],MATCH("2183634",tCartera[CUI],0))))</f>
        <v>1598000</v>
      </c>
      <c r="O194" s="236">
        <f>IF(COUNTIF(tCartera[CUI],"2183634")=0,"Sin PMI",IF(INDEX(tCartera[PMI2029],MATCH("2183634",tCartera[CUI],0))="","No informado",INDEX(tCartera[PMI2029],MATCH("2183634",tCartera[CUI],0))))</f>
        <v>2000000</v>
      </c>
    </row>
    <row r="195" spans="1:15" ht="63.75" x14ac:dyDescent="0.2">
      <c r="A195" s="52">
        <f>SUBTOTAL(103,$B$8:B195)+287</f>
        <v>372</v>
      </c>
      <c r="B195" s="69">
        <v>6</v>
      </c>
      <c r="C195" s="82" t="s">
        <v>364</v>
      </c>
      <c r="D195" s="60">
        <f>IF(COUNTIF(tSIAF[Clave],"2532916|6")=0,"",SUMIF(tSIAF[Clave],"2532916|6",tSIAF[PIM]))</f>
        <v>19658</v>
      </c>
      <c r="E195" s="60">
        <f>IF(COUNTIF(tSIAF[Clave],"2532916|6")=0,"",SUMIF(tSIAF[Clave],"2532916|6",tSIAF[Certificacion]))</f>
        <v>3612</v>
      </c>
      <c r="F195" s="60">
        <f>IF(D195="","",D195-E195)</f>
        <v>16046</v>
      </c>
      <c r="G195" s="60">
        <f>IF(COUNTIF(tSIAF[Clave],"2532916|6")=0,"",SUMIF(tSIAF[Clave],"2532916|6",tSIAF[Devengado]))</f>
        <v>0</v>
      </c>
      <c r="H195" s="60">
        <f>IF(D195="","",D195-G195)</f>
        <v>19658</v>
      </c>
      <c r="I195" s="66">
        <f>IF(D195="","",IF(D195=0,0,G195/D195))</f>
        <v>0</v>
      </c>
      <c r="J195" s="227"/>
      <c r="K195" s="227" t="s">
        <v>2299</v>
      </c>
      <c r="L195" s="236">
        <f>IF(COUNTIF(tCartera[CUI],"2532916")=0,"Sin PMI",IF(INDEX(tCartera[PMI2026],MATCH("2532916",tCartera[CUI],0))="","No informado",INDEX(tCartera[PMI2026],MATCH("2532916",tCartera[CUI],0))))</f>
        <v>200000</v>
      </c>
      <c r="M195" s="236">
        <f>IF(COUNTIF(tCartera[CUI],"2532916")=0,"Sin PMI",IF(INDEX(tCartera[PMI2027],MATCH("2532916",tCartera[CUI],0))="","No informado",INDEX(tCartera[PMI2027],MATCH("2532916",tCartera[CUI],0))))</f>
        <v>2915452</v>
      </c>
      <c r="N195" s="236">
        <f>IF(COUNTIF(tCartera[CUI],"2532916")=0,"Sin PMI",IF(INDEX(tCartera[PMI2028],MATCH("2532916",tCartera[CUI],0))="","No informado",INDEX(tCartera[PMI2028],MATCH("2532916",tCartera[CUI],0))))</f>
        <v>2124684</v>
      </c>
      <c r="O195" s="236">
        <f>IF(COUNTIF(tCartera[CUI],"2532916")=0,"Sin PMI",IF(INDEX(tCartera[PMI2029],MATCH("2532916",tCartera[CUI],0))="","No informado",INDEX(tCartera[PMI2029],MATCH("2532916",tCartera[CUI],0))))</f>
        <v>2000000</v>
      </c>
    </row>
    <row r="196" spans="1:15" ht="63.75" x14ac:dyDescent="0.2">
      <c r="A196" s="52">
        <f>SUBTOTAL(103,$B$8:B196)+287</f>
        <v>373</v>
      </c>
      <c r="B196" s="69">
        <v>303</v>
      </c>
      <c r="C196" s="82" t="s">
        <v>136</v>
      </c>
      <c r="D196" s="60">
        <f>IF(COUNTIF(tSIAF[Clave],"2520451|303")=0,"",SUMIF(tSIAF[Clave],"2520451|303",tSIAF[PIM]))</f>
        <v>5182053</v>
      </c>
      <c r="E196" s="60">
        <f>IF(COUNTIF(tSIAF[Clave],"2520451|303")=0,"",SUMIF(tSIAF[Clave],"2520451|303",tSIAF[Certificacion]))</f>
        <v>4958489.8899999997</v>
      </c>
      <c r="F196" s="60">
        <f>IF(D196="","",D196-E196)</f>
        <v>223563.11000000034</v>
      </c>
      <c r="G196" s="60">
        <f>IF(COUNTIF(tSIAF[Clave],"2520451|303")=0,"",SUMIF(tSIAF[Clave],"2520451|303",tSIAF[Devengado]))</f>
        <v>2773279.98</v>
      </c>
      <c r="H196" s="60">
        <f>IF(D196="","",D196-G196)</f>
        <v>2408773.02</v>
      </c>
      <c r="I196" s="66">
        <f>IF(D196="","",IF(D196=0,0,G196/D196))</f>
        <v>0.5351701304482992</v>
      </c>
      <c r="J196" s="227"/>
      <c r="K196" s="227" t="s">
        <v>2299</v>
      </c>
      <c r="L196" s="236">
        <f>IF(COUNTIF(tCartera[CUI],"2520451")=0,"Sin PMI",IF(INDEX(tCartera[PMI2026],MATCH("2520451",tCartera[CUI],0))="","No informado",INDEX(tCartera[PMI2026],MATCH("2520451",tCartera[CUI],0))))</f>
        <v>409040</v>
      </c>
      <c r="M196" s="236">
        <f>IF(COUNTIF(tCartera[CUI],"2520451")=0,"Sin PMI",IF(INDEX(tCartera[PMI2027],MATCH("2520451",tCartera[CUI],0))="","No informado",INDEX(tCartera[PMI2027],MATCH("2520451",tCartera[CUI],0))))</f>
        <v>29865</v>
      </c>
      <c r="N196" s="236">
        <f>IF(COUNTIF(tCartera[CUI],"2520451")=0,"Sin PMI",IF(INDEX(tCartera[PMI2028],MATCH("2520451",tCartera[CUI],0))="","No informado",INDEX(tCartera[PMI2028],MATCH("2520451",tCartera[CUI],0))))</f>
        <v>0</v>
      </c>
      <c r="O196" s="236">
        <f>IF(COUNTIF(tCartera[CUI],"2520451")=0,"Sin PMI",IF(INDEX(tCartera[PMI2029],MATCH("2520451",tCartera[CUI],0))="","No informado",INDEX(tCartera[PMI2029],MATCH("2520451",tCartera[CUI],0))))</f>
        <v>0</v>
      </c>
    </row>
    <row r="197" spans="1:15" x14ac:dyDescent="0.2">
      <c r="A197" s="150" t="s">
        <v>613</v>
      </c>
      <c r="B197" s="150"/>
      <c r="C197" s="150"/>
      <c r="D197" s="50">
        <f>D198</f>
        <v>1800000</v>
      </c>
      <c r="E197" s="50">
        <f>E198</f>
        <v>26893</v>
      </c>
      <c r="F197" s="50">
        <f>D197-E197</f>
        <v>1773107</v>
      </c>
      <c r="G197" s="50">
        <f>G198</f>
        <v>26892.69</v>
      </c>
      <c r="H197" s="50">
        <f>D197-G197</f>
        <v>1773107.31</v>
      </c>
      <c r="I197" s="51">
        <f>IF(D197=0,0,G197/D197)</f>
        <v>1.4940383333333333E-2</v>
      </c>
      <c r="J197" s="221"/>
      <c r="K197" s="221"/>
      <c r="L197" s="230"/>
      <c r="M197" s="230"/>
      <c r="N197" s="230"/>
      <c r="O197" s="230"/>
    </row>
    <row r="198" spans="1:15" ht="38.25" x14ac:dyDescent="0.2">
      <c r="A198" s="52">
        <f>SUBTOTAL(103,$B$8:B198)+287</f>
        <v>374</v>
      </c>
      <c r="B198" s="69">
        <v>5</v>
      </c>
      <c r="C198" s="82" t="s">
        <v>491</v>
      </c>
      <c r="D198" s="60">
        <f>IF(COUNTIF(tSIAF[Clave],"2474102|5")=0,"",SUMIF(tSIAF[Clave],"2474102|5",tSIAF[PIM]))</f>
        <v>1800000</v>
      </c>
      <c r="E198" s="60">
        <f>IF(COUNTIF(tSIAF[Clave],"2474102|5")=0,"",SUMIF(tSIAF[Clave],"2474102|5",tSIAF[Certificacion]))</f>
        <v>26893</v>
      </c>
      <c r="F198" s="60">
        <f>IF(D198="","",D198-E198)</f>
        <v>1773107</v>
      </c>
      <c r="G198" s="60">
        <f>IF(COUNTIF(tSIAF[Clave],"2474102|5")=0,"",SUMIF(tSIAF[Clave],"2474102|5",tSIAF[Devengado]))</f>
        <v>26892.69</v>
      </c>
      <c r="H198" s="60">
        <f>IF(D198="","",D198-G198)</f>
        <v>1773107.31</v>
      </c>
      <c r="I198" s="66">
        <f>IF(D198="","",IF(D198=0,0,G198/D198))</f>
        <v>1.4940383333333333E-2</v>
      </c>
      <c r="J198" s="227"/>
      <c r="K198" s="227" t="s">
        <v>2299</v>
      </c>
      <c r="L198" s="236">
        <f>IF(COUNTIF(tCartera[CUI],"2474102")=0,"Sin PMI",IF(INDEX(tCartera[PMI2026],MATCH("2474102",tCartera[CUI],0))="","No informado",INDEX(tCartera[PMI2026],MATCH("2474102",tCartera[CUI],0))))</f>
        <v>300000</v>
      </c>
      <c r="M198" s="236">
        <f>IF(COUNTIF(tCartera[CUI],"2474102")=0,"Sin PMI",IF(INDEX(tCartera[PMI2027],MATCH("2474102",tCartera[CUI],0))="","No informado",INDEX(tCartera[PMI2027],MATCH("2474102",tCartera[CUI],0))))</f>
        <v>4508196</v>
      </c>
      <c r="N198" s="236">
        <f>IF(COUNTIF(tCartera[CUI],"2474102")=0,"Sin PMI",IF(INDEX(tCartera[PMI2028],MATCH("2474102",tCartera[CUI],0))="","No informado",INDEX(tCartera[PMI2028],MATCH("2474102",tCartera[CUI],0))))</f>
        <v>5000000</v>
      </c>
      <c r="O198" s="236">
        <f>IF(COUNTIF(tCartera[CUI],"2474102")=0,"Sin PMI",IF(INDEX(tCartera[PMI2029],MATCH("2474102",tCartera[CUI],0))="","No informado",INDEX(tCartera[PMI2029],MATCH("2474102",tCartera[CUI],0))))</f>
        <v>1000000</v>
      </c>
    </row>
    <row r="199" spans="1:15" x14ac:dyDescent="0.2">
      <c r="A199" s="150" t="s">
        <v>614</v>
      </c>
      <c r="B199" s="150"/>
      <c r="C199" s="150"/>
      <c r="D199" s="50">
        <f>D200+D201+D202+D203+D204+D205+D206</f>
        <v>234317</v>
      </c>
      <c r="E199" s="50">
        <f>E200+E201+E202+E203+E204+E205+E206</f>
        <v>137413.20000000001</v>
      </c>
      <c r="F199" s="50">
        <f>D199-E199</f>
        <v>96903.799999999988</v>
      </c>
      <c r="G199" s="50">
        <f>G200+G201+G202+G203+G204+G205+G206</f>
        <v>103951.95000000001</v>
      </c>
      <c r="H199" s="50">
        <f>D199-G199</f>
        <v>130365.04999999999</v>
      </c>
      <c r="I199" s="51">
        <f>IF(D199=0,0,G199/D199)</f>
        <v>0.44363810564320988</v>
      </c>
      <c r="J199" s="221"/>
      <c r="K199" s="221"/>
      <c r="L199" s="230"/>
      <c r="M199" s="230"/>
      <c r="N199" s="230"/>
      <c r="O199" s="230"/>
    </row>
    <row r="200" spans="1:15" ht="63.75" x14ac:dyDescent="0.2">
      <c r="A200" s="52">
        <f>SUBTOTAL(103,$B$8:B200)+287</f>
        <v>375</v>
      </c>
      <c r="B200" s="53">
        <v>7</v>
      </c>
      <c r="C200" s="81" t="s">
        <v>97</v>
      </c>
      <c r="D200" s="60">
        <f>IF(COUNTIF(tSIAF[Clave],"2533866|7")=0,"",SUMIF(tSIAF[Clave],"2533866|7",tSIAF[PIM]))</f>
        <v>32099</v>
      </c>
      <c r="E200" s="60">
        <f>IF(COUNTIF(tSIAF[Clave],"2533866|7")=0,"",SUMIF(tSIAF[Clave],"2533866|7",tSIAF[Certificacion]))</f>
        <v>0</v>
      </c>
      <c r="F200" s="60">
        <f>IF(D200="","",D200-E200)</f>
        <v>32099</v>
      </c>
      <c r="G200" s="60">
        <f>IF(COUNTIF(tSIAF[Clave],"2533866|7")=0,"",SUMIF(tSIAF[Clave],"2533866|7",tSIAF[Devengado]))</f>
        <v>0</v>
      </c>
      <c r="H200" s="60">
        <f>IF(D200="","",D200-G200)</f>
        <v>32099</v>
      </c>
      <c r="I200" s="66">
        <f>IF(D200="","",IF(D200=0,0,G200/D200))</f>
        <v>0</v>
      </c>
      <c r="J200" s="227"/>
      <c r="K200" s="227" t="s">
        <v>2299</v>
      </c>
      <c r="L200" s="236">
        <f>IF(COUNTIF(tCartera[CUI],"2533866")=0,"Sin PMI",IF(INDEX(tCartera[PMI2026],MATCH("2533866",tCartera[CUI],0))="","No informado",INDEX(tCartera[PMI2026],MATCH("2533866",tCartera[CUI],0))))</f>
        <v>500000</v>
      </c>
      <c r="M200" s="236">
        <f>IF(COUNTIF(tCartera[CUI],"2533866")=0,"Sin PMI",IF(INDEX(tCartera[PMI2027],MATCH("2533866",tCartera[CUI],0))="","No informado",INDEX(tCartera[PMI2027],MATCH("2533866",tCartera[CUI],0))))</f>
        <v>0</v>
      </c>
      <c r="N200" s="236">
        <f>IF(COUNTIF(tCartera[CUI],"2533866")=0,"Sin PMI",IF(INDEX(tCartera[PMI2028],MATCH("2533866",tCartera[CUI],0))="","No informado",INDEX(tCartera[PMI2028],MATCH("2533866",tCartera[CUI],0))))</f>
        <v>0</v>
      </c>
      <c r="O200" s="236">
        <f>IF(COUNTIF(tCartera[CUI],"2533866")=0,"Sin PMI",IF(INDEX(tCartera[PMI2029],MATCH("2533866",tCartera[CUI],0))="","No informado",INDEX(tCartera[PMI2029],MATCH("2533866",tCartera[CUI],0))))</f>
        <v>0</v>
      </c>
    </row>
    <row r="201" spans="1:15" ht="63.75" x14ac:dyDescent="0.2">
      <c r="A201" s="52">
        <f>SUBTOTAL(103,$B$8:B201)+287</f>
        <v>376</v>
      </c>
      <c r="B201" s="69">
        <v>152</v>
      </c>
      <c r="C201" s="82" t="s">
        <v>160</v>
      </c>
      <c r="D201" s="60">
        <f>IF(COUNTIF(tSIAF[Clave],"2250970|152")=0,"",SUMIF(tSIAF[Clave],"2250970|152",tSIAF[PIM]))</f>
        <v>30000</v>
      </c>
      <c r="E201" s="60">
        <f>IF(COUNTIF(tSIAF[Clave],"2250970|152")=0,"",SUMIF(tSIAF[Clave],"2250970|152",tSIAF[Certificacion]))</f>
        <v>23434</v>
      </c>
      <c r="F201" s="60">
        <f>IF(D201="","",D201-E201)</f>
        <v>6566</v>
      </c>
      <c r="G201" s="60">
        <f>IF(COUNTIF(tSIAF[Clave],"2250970|152")=0,"",SUMIF(tSIAF[Clave],"2250970|152",tSIAF[Devengado]))</f>
        <v>13106.35</v>
      </c>
      <c r="H201" s="60">
        <f>IF(D201="","",D201-G201)</f>
        <v>16893.650000000001</v>
      </c>
      <c r="I201" s="66">
        <f>IF(D201="","",IF(D201=0,0,G201/D201))</f>
        <v>0.43687833333333337</v>
      </c>
      <c r="J201" s="227"/>
      <c r="K201" s="227" t="s">
        <v>2299</v>
      </c>
      <c r="L201" s="236">
        <f>IF(COUNTIF(tCartera[CUI],"2250970")=0,"Sin PMI",IF(INDEX(tCartera[PMI2026],MATCH("2250970",tCartera[CUI],0))="","No informado",INDEX(tCartera[PMI2026],MATCH("2250970",tCartera[CUI],0))))</f>
        <v>2080646</v>
      </c>
      <c r="M201" s="236">
        <f>IF(COUNTIF(tCartera[CUI],"2250970")=0,"Sin PMI",IF(INDEX(tCartera[PMI2027],MATCH("2250970",tCartera[CUI],0))="","No informado",INDEX(tCartera[PMI2027],MATCH("2250970",tCartera[CUI],0))))</f>
        <v>70728</v>
      </c>
      <c r="N201" s="236">
        <f>IF(COUNTIF(tCartera[CUI],"2250970")=0,"Sin PMI",IF(INDEX(tCartera[PMI2028],MATCH("2250970",tCartera[CUI],0))="","No informado",INDEX(tCartera[PMI2028],MATCH("2250970",tCartera[CUI],0))))</f>
        <v>300000</v>
      </c>
      <c r="O201" s="236">
        <f>IF(COUNTIF(tCartera[CUI],"2250970")=0,"Sin PMI",IF(INDEX(tCartera[PMI2029],MATCH("2250970",tCartera[CUI],0))="","No informado",INDEX(tCartera[PMI2029],MATCH("2250970",tCartera[CUI],0))))</f>
        <v>300000</v>
      </c>
    </row>
    <row r="202" spans="1:15" ht="38.25" x14ac:dyDescent="0.2">
      <c r="A202" s="52">
        <f>SUBTOTAL(103,$B$8:B202)+287</f>
        <v>377</v>
      </c>
      <c r="B202" s="69">
        <v>154</v>
      </c>
      <c r="C202" s="82" t="s">
        <v>323</v>
      </c>
      <c r="D202" s="60">
        <f>IF(COUNTIF(tSIAF[Clave],"2631070|154")=0,"",SUMIF(tSIAF[Clave],"2631070|154",tSIAF[PIM]))</f>
        <v>90586</v>
      </c>
      <c r="E202" s="60">
        <f>IF(COUNTIF(tSIAF[Clave],"2631070|154")=0,"",SUMIF(tSIAF[Clave],"2631070|154",tSIAF[Certificacion]))</f>
        <v>90435.199999999997</v>
      </c>
      <c r="F202" s="60">
        <f>IF(D202="","",D202-E202)</f>
        <v>150.80000000000291</v>
      </c>
      <c r="G202" s="60">
        <f>IF(COUNTIF(tSIAF[Clave],"2631070|154")=0,"",SUMIF(tSIAF[Clave],"2631070|154",tSIAF[Devengado]))</f>
        <v>78301.600000000006</v>
      </c>
      <c r="H202" s="60">
        <f>IF(D202="","",D202-G202)</f>
        <v>12284.399999999994</v>
      </c>
      <c r="I202" s="66">
        <f>IF(D202="","",IF(D202=0,0,G202/D202))</f>
        <v>0.86438964078334402</v>
      </c>
      <c r="J202" s="227"/>
      <c r="K202" s="227" t="s">
        <v>2299</v>
      </c>
      <c r="L202" s="236">
        <f>IF(COUNTIF(tCartera[CUI],"2631070")=0,"Sin PMI",IF(INDEX(tCartera[PMI2026],MATCH("2631070",tCartera[CUI],0))="","No informado",INDEX(tCartera[PMI2026],MATCH("2631070",tCartera[CUI],0))))</f>
        <v>100000</v>
      </c>
      <c r="M202" s="236">
        <f>IF(COUNTIF(tCartera[CUI],"2631070")=0,"Sin PMI",IF(INDEX(tCartera[PMI2027],MATCH("2631070",tCartera[CUI],0))="","No informado",INDEX(tCartera[PMI2027],MATCH("2631070",tCartera[CUI],0))))</f>
        <v>0</v>
      </c>
      <c r="N202" s="236">
        <f>IF(COUNTIF(tCartera[CUI],"2631070")=0,"Sin PMI",IF(INDEX(tCartera[PMI2028],MATCH("2631070",tCartera[CUI],0))="","No informado",INDEX(tCartera[PMI2028],MATCH("2631070",tCartera[CUI],0))))</f>
        <v>2000000</v>
      </c>
      <c r="O202" s="236">
        <f>IF(COUNTIF(tCartera[CUI],"2631070")=0,"Sin PMI",IF(INDEX(tCartera[PMI2029],MATCH("2631070",tCartera[CUI],0))="","No informado",INDEX(tCartera[PMI2029],MATCH("2631070",tCartera[CUI],0))))</f>
        <v>2000000</v>
      </c>
    </row>
    <row r="203" spans="1:15" ht="63.75" hidden="1" x14ac:dyDescent="0.2">
      <c r="A203" s="52">
        <f>SUBTOTAL(103,$B$8:B203)+287</f>
        <v>377</v>
      </c>
      <c r="B203" s="69">
        <v>250</v>
      </c>
      <c r="C203" s="82" t="s">
        <v>200</v>
      </c>
      <c r="D203" s="60">
        <f>IF(COUNTIF(tSIAF[Clave],"2549395|250")=0,"",SUMIF(tSIAF[Clave],"2549395|250",tSIAF[PIM]))</f>
        <v>0</v>
      </c>
      <c r="E203" s="60">
        <f>IF(COUNTIF(tSIAF[Clave],"2549395|250")=0,"",SUMIF(tSIAF[Clave],"2549395|250",tSIAF[Certificacion]))</f>
        <v>0</v>
      </c>
      <c r="F203" s="60">
        <f>IF(D203="","",D203-E203)</f>
        <v>0</v>
      </c>
      <c r="G203" s="60">
        <f>IF(COUNTIF(tSIAF[Clave],"2549395|250")=0,"",SUMIF(tSIAF[Clave],"2549395|250",tSIAF[Devengado]))</f>
        <v>0</v>
      </c>
      <c r="H203" s="60">
        <f>IF(D203="","",D203-G203)</f>
        <v>0</v>
      </c>
      <c r="I203" s="66">
        <f>IF(D203="","",IF(D203=0,0,G203/D203))</f>
        <v>0</v>
      </c>
      <c r="J203" s="227"/>
      <c r="K203" s="227" t="s">
        <v>2299</v>
      </c>
      <c r="L203" s="236">
        <f>IF(COUNTIF(tCartera[CUI],"2549395")=0,"Sin PMI",IF(INDEX(tCartera[PMI2026],MATCH("2549395",tCartera[CUI],0))="","No informado",INDEX(tCartera[PMI2026],MATCH("2549395",tCartera[CUI],0))))</f>
        <v>800000</v>
      </c>
      <c r="M203" s="236">
        <f>IF(COUNTIF(tCartera[CUI],"2549395")=0,"Sin PMI",IF(INDEX(tCartera[PMI2027],MATCH("2549395",tCartera[CUI],0))="","No informado",INDEX(tCartera[PMI2027],MATCH("2549395",tCartera[CUI],0))))</f>
        <v>0</v>
      </c>
      <c r="N203" s="236">
        <f>IF(COUNTIF(tCartera[CUI],"2549395")=0,"Sin PMI",IF(INDEX(tCartera[PMI2028],MATCH("2549395",tCartera[CUI],0))="","No informado",INDEX(tCartera[PMI2028],MATCH("2549395",tCartera[CUI],0))))</f>
        <v>0</v>
      </c>
      <c r="O203" s="236">
        <f>IF(COUNTIF(tCartera[CUI],"2549395")=0,"Sin PMI",IF(INDEX(tCartera[PMI2029],MATCH("2549395",tCartera[CUI],0))="","No informado",INDEX(tCartera[PMI2029],MATCH("2549395",tCartera[CUI],0))))</f>
        <v>0</v>
      </c>
    </row>
    <row r="204" spans="1:15" ht="51" hidden="1" x14ac:dyDescent="0.2">
      <c r="A204" s="52">
        <f>SUBTOTAL(103,$B$8:B204)+287</f>
        <v>377</v>
      </c>
      <c r="B204" s="69">
        <v>253</v>
      </c>
      <c r="C204" s="82" t="s">
        <v>201</v>
      </c>
      <c r="D204" s="60">
        <f>IF(COUNTIF(tSIAF[Clave],"2566295|253")=0,"",SUMIF(tSIAF[Clave],"2566295|253",tSIAF[PIM]))</f>
        <v>0</v>
      </c>
      <c r="E204" s="60">
        <f>IF(COUNTIF(tSIAF[Clave],"2566295|253")=0,"",SUMIF(tSIAF[Clave],"2566295|253",tSIAF[Certificacion]))</f>
        <v>0</v>
      </c>
      <c r="F204" s="60">
        <f>IF(D204="","",D204-E204)</f>
        <v>0</v>
      </c>
      <c r="G204" s="60">
        <f>IF(COUNTIF(tSIAF[Clave],"2566295|253")=0,"",SUMIF(tSIAF[Clave],"2566295|253",tSIAF[Devengado]))</f>
        <v>0</v>
      </c>
      <c r="H204" s="60">
        <f>IF(D204="","",D204-G204)</f>
        <v>0</v>
      </c>
      <c r="I204" s="66">
        <f>IF(D204="","",IF(D204=0,0,G204/D204))</f>
        <v>0</v>
      </c>
      <c r="J204" s="227"/>
      <c r="K204" s="227" t="s">
        <v>2299</v>
      </c>
      <c r="L204" s="236">
        <f>IF(COUNTIF(tCartera[CUI],"2566295")=0,"Sin PMI",IF(INDEX(tCartera[PMI2026],MATCH("2566295",tCartera[CUI],0))="","No informado",INDEX(tCartera[PMI2026],MATCH("2566295",tCartera[CUI],0))))</f>
        <v>200000</v>
      </c>
      <c r="M204" s="236">
        <f>IF(COUNTIF(tCartera[CUI],"2566295")=0,"Sin PMI",IF(INDEX(tCartera[PMI2027],MATCH("2566295",tCartera[CUI],0))="","No informado",INDEX(tCartera[PMI2027],MATCH("2566295",tCartera[CUI],0))))</f>
        <v>0</v>
      </c>
      <c r="N204" s="236">
        <f>IF(COUNTIF(tCartera[CUI],"2566295")=0,"Sin PMI",IF(INDEX(tCartera[PMI2028],MATCH("2566295",tCartera[CUI],0))="","No informado",INDEX(tCartera[PMI2028],MATCH("2566295",tCartera[CUI],0))))</f>
        <v>0</v>
      </c>
      <c r="O204" s="236">
        <f>IF(COUNTIF(tCartera[CUI],"2566295")=0,"Sin PMI",IF(INDEX(tCartera[PMI2029],MATCH("2566295",tCartera[CUI],0))="","No informado",INDEX(tCartera[PMI2029],MATCH("2566295",tCartera[CUI],0))))</f>
        <v>0</v>
      </c>
    </row>
    <row r="205" spans="1:15" ht="25.5" x14ac:dyDescent="0.2">
      <c r="A205" s="52">
        <f>SUBTOTAL(103,$B$8:B205)+287</f>
        <v>378</v>
      </c>
      <c r="B205" s="69">
        <v>465</v>
      </c>
      <c r="C205" s="82" t="s">
        <v>161</v>
      </c>
      <c r="D205" s="60">
        <f>IF(COUNTIF(tSIAF[Clave],"2260735|465")=0,"",SUMIF(tSIAF[Clave],"2260735|465",tSIAF[PIM]))</f>
        <v>70632</v>
      </c>
      <c r="E205" s="60">
        <f>IF(COUNTIF(tSIAF[Clave],"2260735|465")=0,"",SUMIF(tSIAF[Clave],"2260735|465",tSIAF[Certificacion]))</f>
        <v>12544</v>
      </c>
      <c r="F205" s="60">
        <f>IF(D205="","",D205-E205)</f>
        <v>58088</v>
      </c>
      <c r="G205" s="60">
        <f>IF(COUNTIF(tSIAF[Clave],"2260735|465")=0,"",SUMIF(tSIAF[Clave],"2260735|465",tSIAF[Devengado]))</f>
        <v>12544</v>
      </c>
      <c r="H205" s="60">
        <f>IF(D205="","",D205-G205)</f>
        <v>58088</v>
      </c>
      <c r="I205" s="66">
        <f>IF(D205="","",IF(D205=0,0,G205/D205))</f>
        <v>0.17759655680144976</v>
      </c>
      <c r="J205" s="227"/>
      <c r="K205" s="227" t="s">
        <v>2299</v>
      </c>
      <c r="L205" s="236">
        <f>IF(COUNTIF(tCartera[CUI],"2260735")=0,"Sin PMI",IF(INDEX(tCartera[PMI2026],MATCH("2260735",tCartera[CUI],0))="","No informado",INDEX(tCartera[PMI2026],MATCH("2260735",tCartera[CUI],0))))</f>
        <v>70632</v>
      </c>
      <c r="M205" s="236">
        <f>IF(COUNTIF(tCartera[CUI],"2260735")=0,"Sin PMI",IF(INDEX(tCartera[PMI2027],MATCH("2260735",tCartera[CUI],0))="","No informado",INDEX(tCartera[PMI2027],MATCH("2260735",tCartera[CUI],0))))</f>
        <v>0</v>
      </c>
      <c r="N205" s="236">
        <f>IF(COUNTIF(tCartera[CUI],"2260735")=0,"Sin PMI",IF(INDEX(tCartera[PMI2028],MATCH("2260735",tCartera[CUI],0))="","No informado",INDEX(tCartera[PMI2028],MATCH("2260735",tCartera[CUI],0))))</f>
        <v>0</v>
      </c>
      <c r="O205" s="236">
        <f>IF(COUNTIF(tCartera[CUI],"2260735")=0,"Sin PMI",IF(INDEX(tCartera[PMI2029],MATCH("2260735",tCartera[CUI],0))="","No informado",INDEX(tCartera[PMI2029],MATCH("2260735",tCartera[CUI],0))))</f>
        <v>0</v>
      </c>
    </row>
    <row r="206" spans="1:15" ht="38.25" x14ac:dyDescent="0.2">
      <c r="A206" s="52">
        <f>SUBTOTAL(103,$B$8:B206)+287</f>
        <v>379</v>
      </c>
      <c r="B206" s="69">
        <v>471</v>
      </c>
      <c r="C206" s="82" t="s">
        <v>634</v>
      </c>
      <c r="D206" s="60">
        <f>IF(COUNTIF(tSIAF[Clave],"2684838|471")=0,"",SUMIF(tSIAF[Clave],"2684838|471",tSIAF[PIM]))</f>
        <v>11000</v>
      </c>
      <c r="E206" s="60">
        <f>IF(COUNTIF(tSIAF[Clave],"2684838|471")=0,"",SUMIF(tSIAF[Clave],"2684838|471",tSIAF[Certificacion]))</f>
        <v>11000</v>
      </c>
      <c r="F206" s="60">
        <f>IF(D206="","",D206-E206)</f>
        <v>0</v>
      </c>
      <c r="G206" s="60">
        <f>IF(COUNTIF(tSIAF[Clave],"2684838|471")=0,"",SUMIF(tSIAF[Clave],"2684838|471",tSIAF[Devengado]))</f>
        <v>0</v>
      </c>
      <c r="H206" s="60">
        <f>IF(D206="","",D206-G206)</f>
        <v>11000</v>
      </c>
      <c r="I206" s="66">
        <f>IF(D206="","",IF(D206=0,0,G206/D206))</f>
        <v>0</v>
      </c>
      <c r="J206" s="227"/>
      <c r="K206" s="227" t="s">
        <v>2299</v>
      </c>
      <c r="L206" s="236">
        <f>IF(COUNTIF(tCartera[CUI],"2684838")=0,"Sin PMI",IF(INDEX(tCartera[PMI2026],MATCH("2684838",tCartera[CUI],0))="","No informado",INDEX(tCartera[PMI2026],MATCH("2684838",tCartera[CUI],0))))</f>
        <v>11000</v>
      </c>
      <c r="M206" s="236">
        <f>IF(COUNTIF(tCartera[CUI],"2684838")=0,"Sin PMI",IF(INDEX(tCartera[PMI2027],MATCH("2684838",tCartera[CUI],0))="","No informado",INDEX(tCartera[PMI2027],MATCH("2684838",tCartera[CUI],0))))</f>
        <v>164792</v>
      </c>
      <c r="N206" s="236">
        <f>IF(COUNTIF(tCartera[CUI],"2684838")=0,"Sin PMI",IF(INDEX(tCartera[PMI2028],MATCH("2684838",tCartera[CUI],0))="","No informado",INDEX(tCartera[PMI2028],MATCH("2684838",tCartera[CUI],0))))</f>
        <v>9322563</v>
      </c>
      <c r="O206" s="236">
        <f>IF(COUNTIF(tCartera[CUI],"2684838")=0,"Sin PMI",IF(INDEX(tCartera[PMI2029],MATCH("2684838",tCartera[CUI],0))="","No informado",INDEX(tCartera[PMI2029],MATCH("2684838",tCartera[CUI],0))))</f>
        <v>9322563</v>
      </c>
    </row>
    <row r="207" spans="1:15" ht="155.25" hidden="1" x14ac:dyDescent="0.2">
      <c r="A207" s="12">
        <f>SUBTOTAL(103,$B$8:B207)+241</f>
        <v>333</v>
      </c>
      <c r="B207" s="8"/>
      <c r="C207" s="7" t="s">
        <v>247</v>
      </c>
      <c r="D207" s="13"/>
      <c r="E207" s="13"/>
      <c r="F207" s="13"/>
      <c r="G207" s="13"/>
      <c r="H207" s="13"/>
      <c r="I207" s="21"/>
      <c r="J207" s="242"/>
      <c r="K207" s="242"/>
      <c r="L207" s="244"/>
      <c r="M207" s="244"/>
      <c r="N207" s="244"/>
      <c r="O207" s="244"/>
    </row>
    <row r="208" spans="1:15" ht="86.25" hidden="1" x14ac:dyDescent="0.2">
      <c r="A208" s="12">
        <v>251</v>
      </c>
      <c r="B208" s="33"/>
      <c r="C208" s="7" t="s">
        <v>27</v>
      </c>
      <c r="D208" s="13"/>
      <c r="E208" s="13"/>
      <c r="F208" s="13"/>
      <c r="G208" s="13"/>
      <c r="H208" s="13"/>
      <c r="I208" s="21"/>
      <c r="J208" s="242"/>
      <c r="K208" s="242"/>
      <c r="L208" s="244"/>
      <c r="M208" s="244"/>
      <c r="N208" s="244"/>
      <c r="O208" s="244"/>
    </row>
    <row r="209" spans="1:15" ht="69" hidden="1" x14ac:dyDescent="0.2">
      <c r="A209" s="12">
        <v>252</v>
      </c>
      <c r="B209" s="33"/>
      <c r="C209" s="7" t="s">
        <v>81</v>
      </c>
      <c r="D209" s="13"/>
      <c r="E209" s="13"/>
      <c r="F209" s="13"/>
      <c r="G209" s="13"/>
      <c r="H209" s="13"/>
      <c r="I209" s="21"/>
      <c r="J209" s="242"/>
      <c r="K209" s="242"/>
      <c r="L209" s="244"/>
      <c r="M209" s="244"/>
      <c r="N209" s="244"/>
      <c r="O209" s="244"/>
    </row>
    <row r="210" spans="1:15" ht="155.25" hidden="1" x14ac:dyDescent="0.2">
      <c r="A210" s="12">
        <v>254</v>
      </c>
      <c r="B210" s="33"/>
      <c r="C210" s="7" t="s">
        <v>82</v>
      </c>
      <c r="D210" s="13"/>
      <c r="E210" s="13"/>
      <c r="F210" s="13"/>
      <c r="G210" s="13"/>
      <c r="H210" s="13"/>
      <c r="I210" s="21"/>
      <c r="J210" s="242"/>
      <c r="K210" s="242"/>
      <c r="L210" s="244"/>
      <c r="M210" s="244"/>
      <c r="N210" s="244"/>
      <c r="O210" s="244"/>
    </row>
    <row r="211" spans="1:15" ht="86.25" hidden="1" x14ac:dyDescent="0.2">
      <c r="A211" s="12">
        <v>257</v>
      </c>
      <c r="B211" s="33"/>
      <c r="C211" s="7" t="s">
        <v>83</v>
      </c>
      <c r="D211" s="13"/>
      <c r="E211" s="13"/>
      <c r="F211" s="13"/>
      <c r="G211" s="13"/>
      <c r="H211" s="13"/>
      <c r="I211" s="22"/>
      <c r="J211" s="242"/>
      <c r="K211" s="242"/>
      <c r="L211" s="244"/>
      <c r="M211" s="244"/>
      <c r="N211" s="244"/>
      <c r="O211" s="244"/>
    </row>
    <row r="212" spans="1:15" ht="51.75" hidden="1" x14ac:dyDescent="0.2">
      <c r="A212" s="12">
        <v>258</v>
      </c>
      <c r="B212" s="33"/>
      <c r="C212" s="7" t="s">
        <v>122</v>
      </c>
      <c r="D212" s="13"/>
      <c r="E212" s="13"/>
      <c r="F212" s="13"/>
      <c r="G212" s="13"/>
      <c r="H212" s="13"/>
      <c r="I212" s="21"/>
      <c r="J212" s="242"/>
      <c r="K212" s="242"/>
      <c r="L212" s="244"/>
      <c r="M212" s="244"/>
      <c r="N212" s="244"/>
      <c r="O212" s="244"/>
    </row>
    <row r="213" spans="1:15" ht="86.25" hidden="1" x14ac:dyDescent="0.2">
      <c r="A213" s="12">
        <v>260</v>
      </c>
      <c r="B213" s="33"/>
      <c r="C213" s="7" t="s">
        <v>199</v>
      </c>
      <c r="D213" s="13"/>
      <c r="E213" s="13"/>
      <c r="F213" s="13"/>
      <c r="G213" s="13"/>
      <c r="H213" s="13"/>
      <c r="I213" s="21"/>
      <c r="J213" s="242"/>
      <c r="K213" s="242"/>
      <c r="L213" s="244"/>
      <c r="M213" s="244"/>
      <c r="N213" s="244"/>
      <c r="O213" s="244"/>
    </row>
    <row r="214" spans="1:15" ht="109.5" hidden="1" customHeight="1" x14ac:dyDescent="0.2">
      <c r="A214" s="12">
        <f>SUBTOTAL(103,$B$8:B214)+241</f>
        <v>333</v>
      </c>
      <c r="B214" s="8"/>
      <c r="C214" s="7" t="s">
        <v>337</v>
      </c>
      <c r="D214" s="13"/>
      <c r="E214" s="13"/>
      <c r="F214" s="13"/>
      <c r="G214" s="13"/>
      <c r="H214" s="13"/>
      <c r="I214" s="21"/>
      <c r="J214" s="242"/>
      <c r="K214" s="242"/>
      <c r="L214" s="244"/>
      <c r="M214" s="244"/>
      <c r="N214" s="244"/>
      <c r="O214" s="244"/>
    </row>
    <row r="215" spans="1:15" ht="18" hidden="1" x14ac:dyDescent="0.2">
      <c r="A215" s="12">
        <f>SUBTOTAL(103,$B$8:B215)+241</f>
        <v>333</v>
      </c>
      <c r="B215" s="8"/>
      <c r="D215" s="13"/>
      <c r="E215" s="13"/>
      <c r="F215" s="13"/>
      <c r="G215" s="13"/>
      <c r="H215" s="13"/>
      <c r="I215" s="21"/>
      <c r="J215" s="242"/>
      <c r="K215" s="242"/>
      <c r="L215" s="244"/>
      <c r="M215" s="244"/>
      <c r="N215" s="244"/>
      <c r="O215" s="244"/>
    </row>
    <row r="216" spans="1:15" hidden="1" x14ac:dyDescent="0.2">
      <c r="J216" s="224"/>
      <c r="K216" s="224"/>
      <c r="L216" s="216"/>
      <c r="M216" s="216"/>
      <c r="N216" s="216"/>
      <c r="O216" s="216"/>
    </row>
    <row r="217" spans="1:15" x14ac:dyDescent="0.2">
      <c r="A217" s="144" t="s">
        <v>6</v>
      </c>
      <c r="B217" s="144"/>
      <c r="C217" s="144"/>
      <c r="D217" s="63">
        <f>D221+D222+D223</f>
        <v>13183082</v>
      </c>
      <c r="E217" s="63">
        <f>E221+E222+E223</f>
        <v>12706540.85</v>
      </c>
      <c r="F217" s="63">
        <f>D217-E217</f>
        <v>476541.15000000037</v>
      </c>
      <c r="G217" s="63">
        <f>G221+G222+G223</f>
        <v>3714211.5199999996</v>
      </c>
      <c r="H217" s="63">
        <f>D217-G217</f>
        <v>9468870.4800000004</v>
      </c>
      <c r="I217" s="64">
        <f>IF(D217=0,0,G217/D217)</f>
        <v>0.28174075834467233</v>
      </c>
      <c r="J217" s="225"/>
      <c r="K217" s="225"/>
      <c r="L217" s="234"/>
      <c r="M217" s="234"/>
      <c r="N217" s="234"/>
      <c r="O217" s="234"/>
    </row>
    <row r="218" spans="1:15" x14ac:dyDescent="0.2">
      <c r="A218" s="150" t="s">
        <v>612</v>
      </c>
      <c r="B218" s="150"/>
      <c r="C218" s="150"/>
      <c r="D218" s="50">
        <f>D221+D222+D223</f>
        <v>13183082</v>
      </c>
      <c r="E218" s="50">
        <f>E221+E222+E223</f>
        <v>12706540.85</v>
      </c>
      <c r="F218" s="50">
        <f>D218-E218</f>
        <v>476541.15000000037</v>
      </c>
      <c r="G218" s="50">
        <f>G221+G222+G223</f>
        <v>3714211.5199999996</v>
      </c>
      <c r="H218" s="50">
        <f>D218-G218</f>
        <v>9468870.4800000004</v>
      </c>
      <c r="I218" s="51">
        <f>IF(D218=0,0,G218/D218)</f>
        <v>0.28174075834467233</v>
      </c>
      <c r="J218" s="221"/>
      <c r="K218" s="221"/>
      <c r="L218" s="230"/>
      <c r="M218" s="230"/>
      <c r="N218" s="230"/>
      <c r="O218" s="230"/>
    </row>
    <row r="219" spans="1:15" ht="69" hidden="1" x14ac:dyDescent="0.2">
      <c r="A219" s="12">
        <v>265</v>
      </c>
      <c r="B219" s="20"/>
      <c r="C219" s="7" t="s">
        <v>28</v>
      </c>
      <c r="D219" s="13"/>
      <c r="E219" s="13"/>
      <c r="F219" s="13"/>
      <c r="G219" s="13"/>
      <c r="H219" s="13"/>
      <c r="I219" s="21"/>
      <c r="J219" s="242"/>
      <c r="K219" s="242"/>
      <c r="L219" s="244"/>
      <c r="M219" s="244"/>
      <c r="N219" s="244"/>
      <c r="O219" s="244"/>
    </row>
    <row r="220" spans="1:15" ht="51.75" hidden="1" x14ac:dyDescent="0.2">
      <c r="A220" s="12">
        <f>SUBTOTAL(103,$B$8:B220)+241</f>
        <v>333</v>
      </c>
      <c r="B220" s="8"/>
      <c r="C220" s="7" t="s">
        <v>333</v>
      </c>
      <c r="D220" s="13"/>
      <c r="E220" s="13"/>
      <c r="F220" s="13"/>
      <c r="G220" s="13"/>
      <c r="H220" s="13"/>
      <c r="I220" s="21"/>
      <c r="J220" s="242"/>
      <c r="K220" s="242"/>
      <c r="L220" s="244"/>
      <c r="M220" s="244"/>
      <c r="N220" s="244"/>
      <c r="O220" s="244"/>
    </row>
    <row r="221" spans="1:15" ht="38.25" x14ac:dyDescent="0.2">
      <c r="A221" s="52">
        <f>SUBTOTAL(103,$B$8:B221)+287</f>
        <v>380</v>
      </c>
      <c r="B221" s="70" t="s">
        <v>503</v>
      </c>
      <c r="C221" s="82" t="s">
        <v>141</v>
      </c>
      <c r="D221" s="60">
        <f>IF(COUNTIF(tSIAF[Clave],"2324613|59")=0,"",SUMIF(tSIAF[Clave],"2324613|59",tSIAF[PIM]))</f>
        <v>550560</v>
      </c>
      <c r="E221" s="60">
        <f>IF(COUNTIF(tSIAF[Clave],"2324613|59")=0,"",SUMIF(tSIAF[Clave],"2324613|59",tSIAF[Certificacion]))</f>
        <v>519500</v>
      </c>
      <c r="F221" s="60">
        <f>IF(D221="","",D221-E221)</f>
        <v>31060</v>
      </c>
      <c r="G221" s="60">
        <f>IF(COUNTIF(tSIAF[Clave],"2324613|59")=0,"",SUMIF(tSIAF[Clave],"2324613|59",tSIAF[Devengado]))</f>
        <v>517920.09</v>
      </c>
      <c r="H221" s="60">
        <f>IF(D221="","",D221-G221)</f>
        <v>32639.909999999974</v>
      </c>
      <c r="I221" s="66">
        <f>IF(D221="","",IF(D221=0,0,G221/D221))</f>
        <v>0.94071507192676551</v>
      </c>
      <c r="J221" s="227"/>
      <c r="K221" s="227" t="s">
        <v>2299</v>
      </c>
      <c r="L221" s="236">
        <f>IF(COUNTIF(tCartera[CUI],"2324613")=0,"Sin PMI",IF(INDEX(tCartera[PMI2026],MATCH("2324613",tCartera[CUI],0))="","No informado",INDEX(tCartera[PMI2026],MATCH("2324613",tCartera[CUI],0))))</f>
        <v>100560</v>
      </c>
      <c r="M221" s="236">
        <f>IF(COUNTIF(tCartera[CUI],"2324613")=0,"Sin PMI",IF(INDEX(tCartera[PMI2027],MATCH("2324613",tCartera[CUI],0))="","No informado",INDEX(tCartera[PMI2027],MATCH("2324613",tCartera[CUI],0))))</f>
        <v>93700</v>
      </c>
      <c r="N221" s="236">
        <f>IF(COUNTIF(tCartera[CUI],"2324613")=0,"Sin PMI",IF(INDEX(tCartera[PMI2028],MATCH("2324613",tCartera[CUI],0))="","No informado",INDEX(tCartera[PMI2028],MATCH("2324613",tCartera[CUI],0))))</f>
        <v>0</v>
      </c>
      <c r="O221" s="236">
        <f>IF(COUNTIF(tCartera[CUI],"2324613")=0,"Sin PMI",IF(INDEX(tCartera[PMI2029],MATCH("2324613",tCartera[CUI],0))="","No informado",INDEX(tCartera[PMI2029],MATCH("2324613",tCartera[CUI],0))))</f>
        <v>0</v>
      </c>
    </row>
    <row r="222" spans="1:15" ht="38.25" x14ac:dyDescent="0.2">
      <c r="A222" s="52">
        <f>SUBTOTAL(103,$B$8:B222)+287</f>
        <v>381</v>
      </c>
      <c r="B222" s="70" t="s">
        <v>504</v>
      </c>
      <c r="C222" s="82" t="s">
        <v>304</v>
      </c>
      <c r="D222" s="60">
        <f>IF(COUNTIF(tSIAF[Clave],"2603148|60")=0,"",SUMIF(tSIAF[Clave],"2603148|60",tSIAF[PIM]))</f>
        <v>12532522</v>
      </c>
      <c r="E222" s="60">
        <f>IF(COUNTIF(tSIAF[Clave],"2603148|60")=0,"",SUMIF(tSIAF[Clave],"2603148|60",tSIAF[Certificacion]))</f>
        <v>12187040.85</v>
      </c>
      <c r="F222" s="60">
        <f>IF(D222="","",D222-E222)</f>
        <v>345481.15000000037</v>
      </c>
      <c r="G222" s="60">
        <f>IF(COUNTIF(tSIAF[Clave],"2603148|60")=0,"",SUMIF(tSIAF[Clave],"2603148|60",tSIAF[Devengado]))</f>
        <v>3196291.4299999997</v>
      </c>
      <c r="H222" s="60">
        <f>IF(D222="","",D222-G222)</f>
        <v>9336230.5700000003</v>
      </c>
      <c r="I222" s="66">
        <f>IF(D222="","",IF(D222=0,0,G222/D222))</f>
        <v>0.25503976214843266</v>
      </c>
      <c r="J222" s="227"/>
      <c r="K222" s="227" t="s">
        <v>2299</v>
      </c>
      <c r="L222" s="236">
        <f>IF(COUNTIF(tCartera[CUI],"2603148")=0,"Sin PMI",IF(INDEX(tCartera[PMI2026],MATCH("2603148",tCartera[CUI],0))="","No informado",INDEX(tCartera[PMI2026],MATCH("2603148",tCartera[CUI],0))))</f>
        <v>1000000</v>
      </c>
      <c r="M222" s="236">
        <f>IF(COUNTIF(tCartera[CUI],"2603148")=0,"Sin PMI",IF(INDEX(tCartera[PMI2027],MATCH("2603148",tCartera[CUI],0))="","No informado",INDEX(tCartera[PMI2027],MATCH("2603148",tCartera[CUI],0))))</f>
        <v>4832260</v>
      </c>
      <c r="N222" s="236">
        <f>IF(COUNTIF(tCartera[CUI],"2603148")=0,"Sin PMI",IF(INDEX(tCartera[PMI2028],MATCH("2603148",tCartera[CUI],0))="","No informado",INDEX(tCartera[PMI2028],MATCH("2603148",tCartera[CUI],0))))</f>
        <v>1000000</v>
      </c>
      <c r="O222" s="236">
        <f>IF(COUNTIF(tCartera[CUI],"2603148")=0,"Sin PMI",IF(INDEX(tCartera[PMI2029],MATCH("2603148",tCartera[CUI],0))="","No informado",INDEX(tCartera[PMI2029],MATCH("2603148",tCartera[CUI],0))))</f>
        <v>1000000</v>
      </c>
    </row>
    <row r="223" spans="1:15" ht="51" x14ac:dyDescent="0.2">
      <c r="A223" s="52">
        <f>SUBTOTAL(103,$B$8:B223)+287</f>
        <v>382</v>
      </c>
      <c r="B223" s="70" t="s">
        <v>505</v>
      </c>
      <c r="C223" s="82" t="s">
        <v>416</v>
      </c>
      <c r="D223" s="60">
        <f>IF(COUNTIF(tSIAF[Clave],"2603160|61")=0,"",SUMIF(tSIAF[Clave],"2603160|61",tSIAF[PIM]))</f>
        <v>100000</v>
      </c>
      <c r="E223" s="60">
        <f>IF(COUNTIF(tSIAF[Clave],"2603160|61")=0,"",SUMIF(tSIAF[Clave],"2603160|61",tSIAF[Certificacion]))</f>
        <v>0</v>
      </c>
      <c r="F223" s="60">
        <f>IF(D223="","",D223-E223)</f>
        <v>100000</v>
      </c>
      <c r="G223" s="60">
        <f>IF(COUNTIF(tSIAF[Clave],"2603160|61")=0,"",SUMIF(tSIAF[Clave],"2603160|61",tSIAF[Devengado]))</f>
        <v>0</v>
      </c>
      <c r="H223" s="60">
        <f>IF(D223="","",D223-G223)</f>
        <v>100000</v>
      </c>
      <c r="I223" s="66">
        <f>IF(D223="","",IF(D223=0,0,G223/D223))</f>
        <v>0</v>
      </c>
      <c r="J223" s="227"/>
      <c r="K223" s="227" t="s">
        <v>2299</v>
      </c>
      <c r="L223" s="236">
        <f>IF(COUNTIF(tCartera[CUI],"2603160")=0,"Sin PMI",IF(INDEX(tCartera[PMI2026],MATCH("2603160",tCartera[CUI],0))="","No informado",INDEX(tCartera[PMI2026],MATCH("2603160",tCartera[CUI],0))))</f>
        <v>100000</v>
      </c>
      <c r="M223" s="236">
        <f>IF(COUNTIF(tCartera[CUI],"2603160")=0,"Sin PMI",IF(INDEX(tCartera[PMI2027],MATCH("2603160",tCartera[CUI],0))="","No informado",INDEX(tCartera[PMI2027],MATCH("2603160",tCartera[CUI],0))))</f>
        <v>0</v>
      </c>
      <c r="N223" s="236">
        <f>IF(COUNTIF(tCartera[CUI],"2603160")=0,"Sin PMI",IF(INDEX(tCartera[PMI2028],MATCH("2603160",tCartera[CUI],0))="","No informado",INDEX(tCartera[PMI2028],MATCH("2603160",tCartera[CUI],0))))</f>
        <v>0</v>
      </c>
      <c r="O223" s="236">
        <f>IF(COUNTIF(tCartera[CUI],"2603160")=0,"Sin PMI",IF(INDEX(tCartera[PMI2029],MATCH("2603160",tCartera[CUI],0))="","No informado",INDEX(tCartera[PMI2029],MATCH("2603160",tCartera[CUI],0))))</f>
        <v>0</v>
      </c>
    </row>
    <row r="224" spans="1:15" x14ac:dyDescent="0.2">
      <c r="A224" s="144" t="s">
        <v>7</v>
      </c>
      <c r="B224" s="144"/>
      <c r="C224" s="144"/>
      <c r="D224" s="48">
        <f>D226+D230</f>
        <v>5603985</v>
      </c>
      <c r="E224" s="48">
        <f>E226+E230</f>
        <v>5402769.9500000002</v>
      </c>
      <c r="F224" s="48">
        <f>D224-E224</f>
        <v>201215.04999999981</v>
      </c>
      <c r="G224" s="48">
        <f>G226+G230</f>
        <v>3499541.36</v>
      </c>
      <c r="H224" s="48">
        <f>D224-G224</f>
        <v>2104443.64</v>
      </c>
      <c r="I224" s="49">
        <f>IF(D224=0,0,G224/D224)</f>
        <v>0.62447372004029278</v>
      </c>
      <c r="J224" s="220"/>
      <c r="K224" s="220"/>
      <c r="L224" s="229"/>
      <c r="M224" s="229"/>
      <c r="N224" s="229"/>
      <c r="O224" s="229"/>
    </row>
    <row r="225" spans="1:15" x14ac:dyDescent="0.2">
      <c r="A225" s="150" t="s">
        <v>612</v>
      </c>
      <c r="B225" s="150"/>
      <c r="C225" s="150"/>
      <c r="D225" s="50">
        <f>D226</f>
        <v>1332387</v>
      </c>
      <c r="E225" s="50">
        <f>E226</f>
        <v>1332216.6100000001</v>
      </c>
      <c r="F225" s="50">
        <f>D225-E225</f>
        <v>170.38999999989755</v>
      </c>
      <c r="G225" s="50">
        <f>G226</f>
        <v>1212326</v>
      </c>
      <c r="H225" s="50">
        <f>D225-G225</f>
        <v>120061</v>
      </c>
      <c r="I225" s="51">
        <f>IF(D225=0,0,G225/D225)</f>
        <v>0.9098902946366183</v>
      </c>
      <c r="J225" s="221"/>
      <c r="K225" s="221"/>
      <c r="L225" s="230"/>
      <c r="M225" s="230"/>
      <c r="N225" s="230"/>
      <c r="O225" s="230"/>
    </row>
    <row r="226" spans="1:15" ht="25.5" x14ac:dyDescent="0.2">
      <c r="A226" s="52">
        <f>SUBTOTAL(103,$B$8:B226)+287</f>
        <v>383</v>
      </c>
      <c r="B226" s="69">
        <v>218</v>
      </c>
      <c r="C226" s="82" t="s">
        <v>140</v>
      </c>
      <c r="D226" s="60">
        <f>IF(COUNTIF(tSIAF[Clave],"2187217|218")=0,"",SUMIF(tSIAF[Clave],"2187217|218",tSIAF[PIM]))</f>
        <v>1332387</v>
      </c>
      <c r="E226" s="60">
        <f>IF(COUNTIF(tSIAF[Clave],"2187217|218")=0,"",SUMIF(tSIAF[Clave],"2187217|218",tSIAF[Certificacion]))</f>
        <v>1332216.6100000001</v>
      </c>
      <c r="F226" s="60">
        <f>IF(D226="","",D226-E226)</f>
        <v>170.38999999989755</v>
      </c>
      <c r="G226" s="60">
        <f>IF(COUNTIF(tSIAF[Clave],"2187217|218")=0,"",SUMIF(tSIAF[Clave],"2187217|218",tSIAF[Devengado]))</f>
        <v>1212326</v>
      </c>
      <c r="H226" s="60">
        <f>IF(D226="","",D226-G226)</f>
        <v>120061</v>
      </c>
      <c r="I226" s="66">
        <f>IF(D226="","",IF(D226=0,0,G226/D226))</f>
        <v>0.9098902946366183</v>
      </c>
      <c r="J226" s="227"/>
      <c r="K226" s="227" t="s">
        <v>2299</v>
      </c>
      <c r="L226" s="236">
        <f>IF(COUNTIF(tCartera[CUI],"2187217")=0,"Sin PMI",IF(INDEX(tCartera[PMI2026],MATCH("2187217",tCartera[CUI],0))="","No informado",INDEX(tCartera[PMI2026],MATCH("2187217",tCartera[CUI],0))))</f>
        <v>630478</v>
      </c>
      <c r="M226" s="236">
        <f>IF(COUNTIF(tCartera[CUI],"2187217")=0,"Sin PMI",IF(INDEX(tCartera[PMI2027],MATCH("2187217",tCartera[CUI],0))="","No informado",INDEX(tCartera[PMI2027],MATCH("2187217",tCartera[CUI],0))))</f>
        <v>188781</v>
      </c>
      <c r="N226" s="236">
        <f>IF(COUNTIF(tCartera[CUI],"2187217")=0,"Sin PMI",IF(INDEX(tCartera[PMI2028],MATCH("2187217",tCartera[CUI],0))="","No informado",INDEX(tCartera[PMI2028],MATCH("2187217",tCartera[CUI],0))))</f>
        <v>2845395</v>
      </c>
      <c r="O226" s="236">
        <f>IF(COUNTIF(tCartera[CUI],"2187217")=0,"Sin PMI",IF(INDEX(tCartera[PMI2029],MATCH("2187217",tCartera[CUI],0))="","No informado",INDEX(tCartera[PMI2029],MATCH("2187217",tCartera[CUI],0))))</f>
        <v>2772809</v>
      </c>
    </row>
    <row r="227" spans="1:15" x14ac:dyDescent="0.2">
      <c r="A227" s="150" t="s">
        <v>613</v>
      </c>
      <c r="B227" s="150"/>
      <c r="C227" s="150"/>
      <c r="D227" s="50">
        <f>D230</f>
        <v>4271598</v>
      </c>
      <c r="E227" s="50">
        <f>E230</f>
        <v>4070553.34</v>
      </c>
      <c r="F227" s="50">
        <f>D227-E227</f>
        <v>201044.66000000015</v>
      </c>
      <c r="G227" s="50">
        <f>G230</f>
        <v>2287215.36</v>
      </c>
      <c r="H227" s="50">
        <f>D227-G227</f>
        <v>1984382.6400000001</v>
      </c>
      <c r="I227" s="51">
        <f>IF(D227=0,0,G227/D227)</f>
        <v>0.53544724011950562</v>
      </c>
      <c r="J227" s="221"/>
      <c r="K227" s="221"/>
      <c r="L227" s="230"/>
      <c r="M227" s="230"/>
      <c r="N227" s="230"/>
      <c r="O227" s="230"/>
    </row>
    <row r="228" spans="1:15" ht="63" hidden="1" x14ac:dyDescent="0.2">
      <c r="A228" s="12">
        <f>SUBTOTAL(103,$B$8:B228)+241</f>
        <v>337</v>
      </c>
      <c r="B228" s="33"/>
      <c r="C228" s="41" t="s">
        <v>29</v>
      </c>
      <c r="D228" s="13"/>
      <c r="E228" s="13"/>
      <c r="F228" s="13"/>
      <c r="G228" s="13"/>
      <c r="H228" s="13"/>
      <c r="I228" s="21"/>
      <c r="J228" s="242"/>
      <c r="K228" s="242"/>
      <c r="L228" s="244"/>
      <c r="M228" s="244"/>
      <c r="N228" s="244"/>
      <c r="O228" s="244"/>
    </row>
    <row r="229" spans="1:15" ht="31.5" hidden="1" x14ac:dyDescent="0.2">
      <c r="A229" s="12">
        <f>SUBTOTAL(103,$B$8:B229)+241</f>
        <v>337</v>
      </c>
      <c r="B229" s="33"/>
      <c r="C229" s="41" t="s">
        <v>234</v>
      </c>
      <c r="D229" s="13"/>
      <c r="E229" s="13"/>
      <c r="F229" s="13"/>
      <c r="G229" s="13"/>
      <c r="H229" s="13"/>
      <c r="I229" s="21"/>
      <c r="J229" s="242"/>
      <c r="K229" s="242"/>
      <c r="L229" s="244"/>
      <c r="M229" s="244"/>
      <c r="N229" s="244"/>
      <c r="O229" s="244"/>
    </row>
    <row r="230" spans="1:15" ht="38.25" x14ac:dyDescent="0.2">
      <c r="A230" s="52">
        <f>SUBTOTAL(103,$B$8:B230)+287</f>
        <v>384</v>
      </c>
      <c r="B230" s="69">
        <v>264</v>
      </c>
      <c r="C230" s="82" t="s">
        <v>365</v>
      </c>
      <c r="D230" s="60">
        <f>IF(COUNTIF(tSIAF[Clave],"2603155|264")=0,"",SUMIF(tSIAF[Clave],"2603155|264",tSIAF[PIM]))</f>
        <v>4271598</v>
      </c>
      <c r="E230" s="60">
        <f>IF(COUNTIF(tSIAF[Clave],"2603155|264")=0,"",SUMIF(tSIAF[Clave],"2603155|264",tSIAF[Certificacion]))</f>
        <v>4070553.34</v>
      </c>
      <c r="F230" s="60">
        <f>IF(D230="","",D230-E230)</f>
        <v>201044.66000000015</v>
      </c>
      <c r="G230" s="60">
        <f>IF(COUNTIF(tSIAF[Clave],"2603155|264")=0,"",SUMIF(tSIAF[Clave],"2603155|264",tSIAF[Devengado]))</f>
        <v>2287215.36</v>
      </c>
      <c r="H230" s="60">
        <f>IF(D230="","",D230-G230)</f>
        <v>1984382.6400000001</v>
      </c>
      <c r="I230" s="66">
        <f>IF(D230="","",IF(D230=0,0,G230/D230))</f>
        <v>0.53544724011950562</v>
      </c>
      <c r="J230" s="227"/>
      <c r="K230" s="227" t="s">
        <v>2299</v>
      </c>
      <c r="L230" s="236">
        <f>IF(COUNTIF(tCartera[CUI],"2603155")=0,"Sin PMI",IF(INDEX(tCartera[PMI2026],MATCH("2603155",tCartera[CUI],0))="","No informado",INDEX(tCartera[PMI2026],MATCH("2603155",tCartera[CUI],0))))</f>
        <v>1500000</v>
      </c>
      <c r="M230" s="236">
        <f>IF(COUNTIF(tCartera[CUI],"2603155")=0,"Sin PMI",IF(INDEX(tCartera[PMI2027],MATCH("2603155",tCartera[CUI],0))="","No informado",INDEX(tCartera[PMI2027],MATCH("2603155",tCartera[CUI],0))))</f>
        <v>4950944</v>
      </c>
      <c r="N230" s="236">
        <f>IF(COUNTIF(tCartera[CUI],"2603155")=0,"Sin PMI",IF(INDEX(tCartera[PMI2028],MATCH("2603155",tCartera[CUI],0))="","No informado",INDEX(tCartera[PMI2028],MATCH("2603155",tCartera[CUI],0))))</f>
        <v>5144103</v>
      </c>
      <c r="O230" s="236">
        <f>IF(COUNTIF(tCartera[CUI],"2603155")=0,"Sin PMI",IF(INDEX(tCartera[PMI2029],MATCH("2603155",tCartera[CUI],0))="","No informado",INDEX(tCartera[PMI2029],MATCH("2603155",tCartera[CUI],0))))</f>
        <v>4718085</v>
      </c>
    </row>
    <row r="231" spans="1:15" x14ac:dyDescent="0.2">
      <c r="A231" s="144" t="s">
        <v>8</v>
      </c>
      <c r="B231" s="144"/>
      <c r="C231" s="144"/>
      <c r="D231" s="48">
        <f>D235+D236+D237+D238+D239+D240+D241+D242+D243+D244+D245+D246+D247+D248+D249+D250+D251+D252+D253+D254+D255+D256+D257+D258+D259+D260+D261+D263+D264+D265+D266+D267+D268+D269+D270+D272+D273+D274+D276+D277+D279</f>
        <v>74397967</v>
      </c>
      <c r="E231" s="48">
        <f>E235+E236+E237+E238+E239+E240+E241+E242+E243+E244+E245+E246+E247+E248+E249+E250+E251+E252+E253+E254+E255+E256+E257+E258+E259+E260+E261+E263+E264+E265+E266+E267+E268+E269+E270+E272+E273+E274+E276+E277+E279</f>
        <v>67208621.579999998</v>
      </c>
      <c r="F231" s="48">
        <f>D231-E231</f>
        <v>7189345.4200000018</v>
      </c>
      <c r="G231" s="48">
        <f>G235+G236+G237+G238+G239+G240+G241+G242+G243+G244+G245+G246+G247+G248+G249+G250+G251+G252+G253+G254+G255+G256+G257+G258+G259+G260+G261+G263+G264+G265+G266+G267+G268+G269+G270+G272+G273+G274+G276+G277+G279</f>
        <v>23249589.989999998</v>
      </c>
      <c r="H231" s="48">
        <f>D231-G231</f>
        <v>51148377.010000005</v>
      </c>
      <c r="I231" s="49">
        <f>IF(D231=0,0,G231/D231)</f>
        <v>0.31250302834215882</v>
      </c>
      <c r="J231" s="220"/>
      <c r="K231" s="220"/>
      <c r="L231" s="229"/>
      <c r="M231" s="229"/>
      <c r="N231" s="229"/>
      <c r="O231" s="229"/>
    </row>
    <row r="232" spans="1:15" ht="66" hidden="1" x14ac:dyDescent="0.2">
      <c r="A232" s="42">
        <v>271</v>
      </c>
      <c r="B232" s="71"/>
      <c r="C232" s="72" t="s">
        <v>32</v>
      </c>
      <c r="D232" s="73"/>
      <c r="E232" s="73"/>
      <c r="F232" s="73"/>
      <c r="G232" s="73"/>
      <c r="H232" s="73"/>
      <c r="I232" s="74"/>
      <c r="J232" s="243"/>
      <c r="K232" s="243"/>
      <c r="L232" s="245"/>
      <c r="M232" s="245"/>
      <c r="N232" s="245"/>
      <c r="O232" s="245"/>
    </row>
    <row r="233" spans="1:15" ht="66" hidden="1" x14ac:dyDescent="0.2">
      <c r="A233" s="42">
        <f>SUBTOTAL(103,$B$8:B233)+241</f>
        <v>338</v>
      </c>
      <c r="B233" s="75"/>
      <c r="C233" s="72" t="s">
        <v>101</v>
      </c>
      <c r="D233" s="73"/>
      <c r="E233" s="73"/>
      <c r="F233" s="73"/>
      <c r="G233" s="73"/>
      <c r="H233" s="73"/>
      <c r="I233" s="74"/>
      <c r="J233" s="243"/>
      <c r="K233" s="243"/>
      <c r="L233" s="245"/>
      <c r="M233" s="245"/>
      <c r="N233" s="245"/>
      <c r="O233" s="245"/>
    </row>
    <row r="234" spans="1:15" x14ac:dyDescent="0.2">
      <c r="A234" s="150" t="s">
        <v>609</v>
      </c>
      <c r="B234" s="150"/>
      <c r="C234" s="150"/>
      <c r="D234" s="50">
        <f>D235+D236+D237+D238+D239+D240+D241+D242+D243+D244+D245+D246+D247+D248+D249+D250+D251+D252+D253+D254+D255+D256+D257+D258+D259+D260+D261</f>
        <v>52935028</v>
      </c>
      <c r="E234" s="50">
        <f>E235+E236+E237+E238+E239+E240+E241+E242+E243+E244+E245+E246+E247+E248+E249+E250+E251+E252+E253+E254+E255+E256+E257+E258+E259+E260+E261</f>
        <v>48878434.080000006</v>
      </c>
      <c r="F234" s="50">
        <f>D234-E234</f>
        <v>4056593.9199999943</v>
      </c>
      <c r="G234" s="50">
        <f>G235+G236+G237+G238+G239+G240+G241+G242+G243+G244+G245+G246+G247+G248+G249+G250+G251+G252+G253+G254+G255+G256+G257+G258+G259+G260+G261</f>
        <v>17052641.129999999</v>
      </c>
      <c r="H234" s="50">
        <f>D234-G234</f>
        <v>35882386.870000005</v>
      </c>
      <c r="I234" s="51">
        <f>IF(D234=0,0,G234/D234)</f>
        <v>0.32214285652215013</v>
      </c>
      <c r="J234" s="221"/>
      <c r="K234" s="221"/>
      <c r="L234" s="230"/>
      <c r="M234" s="230"/>
      <c r="N234" s="230"/>
      <c r="O234" s="230"/>
    </row>
    <row r="235" spans="1:15" ht="51" hidden="1" x14ac:dyDescent="0.2">
      <c r="A235" s="52">
        <f>SUBTOTAL(103,$B$8:B235)+287</f>
        <v>384</v>
      </c>
      <c r="B235" s="69">
        <v>195</v>
      </c>
      <c r="C235" s="82" t="s">
        <v>527</v>
      </c>
      <c r="D235" s="60">
        <f>IF(COUNTIF(tSIAF[Clave],"2154443|195")=0,"",SUMIF(tSIAF[Clave],"2154443|195",tSIAF[PIM]))</f>
        <v>0</v>
      </c>
      <c r="E235" s="60">
        <f>IF(COUNTIF(tSIAF[Clave],"2154443|195")=0,"",SUMIF(tSIAF[Clave],"2154443|195",tSIAF[Certificacion]))</f>
        <v>0</v>
      </c>
      <c r="F235" s="60">
        <f>IF(D235="","",D235-E235)</f>
        <v>0</v>
      </c>
      <c r="G235" s="60">
        <f>IF(COUNTIF(tSIAF[Clave],"2154443|195")=0,"",SUMIF(tSIAF[Clave],"2154443|195",tSIAF[Devengado]))</f>
        <v>0</v>
      </c>
      <c r="H235" s="60">
        <f>IF(D235="","",D235-G235)</f>
        <v>0</v>
      </c>
      <c r="I235" s="66">
        <f>IF(D235="","",IF(D235=0,0,G235/D235))</f>
        <v>0</v>
      </c>
      <c r="J235" s="227"/>
      <c r="K235" s="227" t="s">
        <v>2299</v>
      </c>
      <c r="L235" s="236">
        <f>IF(COUNTIF(tCartera[CUI],"2154443")=0,"Sin PMI",IF(INDEX(tCartera[PMI2026],MATCH("2154443",tCartera[CUI],0))="","No informado",INDEX(tCartera[PMI2026],MATCH("2154443",tCartera[CUI],0))))</f>
        <v>4098</v>
      </c>
      <c r="M235" s="236">
        <f>IF(COUNTIF(tCartera[CUI],"2154443")=0,"Sin PMI",IF(INDEX(tCartera[PMI2027],MATCH("2154443",tCartera[CUI],0))="","No informado",INDEX(tCartera[PMI2027],MATCH("2154443",tCartera[CUI],0))))</f>
        <v>0</v>
      </c>
      <c r="N235" s="236">
        <f>IF(COUNTIF(tCartera[CUI],"2154443")=0,"Sin PMI",IF(INDEX(tCartera[PMI2028],MATCH("2154443",tCartera[CUI],0))="","No informado",INDEX(tCartera[PMI2028],MATCH("2154443",tCartera[CUI],0))))</f>
        <v>0</v>
      </c>
      <c r="O235" s="236">
        <f>IF(COUNTIF(tCartera[CUI],"2154443")=0,"Sin PMI",IF(INDEX(tCartera[PMI2029],MATCH("2154443",tCartera[CUI],0))="","No informado",INDEX(tCartera[PMI2029],MATCH("2154443",tCartera[CUI],0))))</f>
        <v>0</v>
      </c>
    </row>
    <row r="236" spans="1:15" ht="51" hidden="1" x14ac:dyDescent="0.2">
      <c r="A236" s="52">
        <f>SUBTOTAL(103,$B$8:B236)+287</f>
        <v>384</v>
      </c>
      <c r="B236" s="69">
        <v>196</v>
      </c>
      <c r="C236" s="82" t="s">
        <v>528</v>
      </c>
      <c r="D236" s="60">
        <f>IF(COUNTIF(tSIAF[Clave],"2159149|196")=0,"",SUMIF(tSIAF[Clave],"2159149|196",tSIAF[PIM]))</f>
        <v>0</v>
      </c>
      <c r="E236" s="60">
        <f>IF(COUNTIF(tSIAF[Clave],"2159149|196")=0,"",SUMIF(tSIAF[Clave],"2159149|196",tSIAF[Certificacion]))</f>
        <v>0</v>
      </c>
      <c r="F236" s="60">
        <f>IF(D236="","",D236-E236)</f>
        <v>0</v>
      </c>
      <c r="G236" s="60">
        <f>IF(COUNTIF(tSIAF[Clave],"2159149|196")=0,"",SUMIF(tSIAF[Clave],"2159149|196",tSIAF[Devengado]))</f>
        <v>0</v>
      </c>
      <c r="H236" s="60">
        <f>IF(D236="","",D236-G236)</f>
        <v>0</v>
      </c>
      <c r="I236" s="66">
        <f>IF(D236="","",IF(D236=0,0,G236/D236))</f>
        <v>0</v>
      </c>
      <c r="J236" s="227"/>
      <c r="K236" s="227" t="s">
        <v>2299</v>
      </c>
      <c r="L236" s="236">
        <f>IF(COUNTIF(tCartera[CUI],"2159149")=0,"Sin PMI",IF(INDEX(tCartera[PMI2026],MATCH("2159149",tCartera[CUI],0))="","No informado",INDEX(tCartera[PMI2026],MATCH("2159149",tCartera[CUI],0))))</f>
        <v>87917</v>
      </c>
      <c r="M236" s="236">
        <f>IF(COUNTIF(tCartera[CUI],"2159149")=0,"Sin PMI",IF(INDEX(tCartera[PMI2027],MATCH("2159149",tCartera[CUI],0))="","No informado",INDEX(tCartera[PMI2027],MATCH("2159149",tCartera[CUI],0))))</f>
        <v>0</v>
      </c>
      <c r="N236" s="236">
        <f>IF(COUNTIF(tCartera[CUI],"2159149")=0,"Sin PMI",IF(INDEX(tCartera[PMI2028],MATCH("2159149",tCartera[CUI],0))="","No informado",INDEX(tCartera[PMI2028],MATCH("2159149",tCartera[CUI],0))))</f>
        <v>0</v>
      </c>
      <c r="O236" s="236">
        <f>IF(COUNTIF(tCartera[CUI],"2159149")=0,"Sin PMI",IF(INDEX(tCartera[PMI2029],MATCH("2159149",tCartera[CUI],0))="","No informado",INDEX(tCartera[PMI2029],MATCH("2159149",tCartera[CUI],0))))</f>
        <v>0</v>
      </c>
    </row>
    <row r="237" spans="1:15" ht="51" hidden="1" x14ac:dyDescent="0.2">
      <c r="A237" s="52">
        <f>SUBTOTAL(103,$B$8:B237)+287</f>
        <v>384</v>
      </c>
      <c r="B237" s="69">
        <v>239</v>
      </c>
      <c r="C237" s="82" t="s">
        <v>371</v>
      </c>
      <c r="D237" s="60">
        <f>IF(COUNTIF(tSIAF[Clave],"2488048|239")=0,"",SUMIF(tSIAF[Clave],"2488048|239",tSIAF[PIM]))</f>
        <v>0</v>
      </c>
      <c r="E237" s="60">
        <f>IF(COUNTIF(tSIAF[Clave],"2488048|239")=0,"",SUMIF(tSIAF[Clave],"2488048|239",tSIAF[Certificacion]))</f>
        <v>0</v>
      </c>
      <c r="F237" s="60">
        <f>IF(D237="","",D237-E237)</f>
        <v>0</v>
      </c>
      <c r="G237" s="60">
        <f>IF(COUNTIF(tSIAF[Clave],"2488048|239")=0,"",SUMIF(tSIAF[Clave],"2488048|239",tSIAF[Devengado]))</f>
        <v>0</v>
      </c>
      <c r="H237" s="60">
        <f>IF(D237="","",D237-G237)</f>
        <v>0</v>
      </c>
      <c r="I237" s="66">
        <f>IF(D237="","",IF(D237=0,0,G237/D237))</f>
        <v>0</v>
      </c>
      <c r="J237" s="227"/>
      <c r="K237" s="227" t="s">
        <v>2299</v>
      </c>
      <c r="L237" s="236">
        <f>IF(COUNTIF(tCartera[CUI],"2488048")=0,"Sin PMI",IF(INDEX(tCartera[PMI2026],MATCH("2488048",tCartera[CUI],0))="","No informado",INDEX(tCartera[PMI2026],MATCH("2488048",tCartera[CUI],0))))</f>
        <v>276105</v>
      </c>
      <c r="M237" s="236">
        <f>IF(COUNTIF(tCartera[CUI],"2488048")=0,"Sin PMI",IF(INDEX(tCartera[PMI2027],MATCH("2488048",tCartera[CUI],0))="","No informado",INDEX(tCartera[PMI2027],MATCH("2488048",tCartera[CUI],0))))</f>
        <v>0</v>
      </c>
      <c r="N237" s="236">
        <f>IF(COUNTIF(tCartera[CUI],"2488048")=0,"Sin PMI",IF(INDEX(tCartera[PMI2028],MATCH("2488048",tCartera[CUI],0))="","No informado",INDEX(tCartera[PMI2028],MATCH("2488048",tCartera[CUI],0))))</f>
        <v>0</v>
      </c>
      <c r="O237" s="236">
        <f>IF(COUNTIF(tCartera[CUI],"2488048")=0,"Sin PMI",IF(INDEX(tCartera[PMI2029],MATCH("2488048",tCartera[CUI],0))="","No informado",INDEX(tCartera[PMI2029],MATCH("2488048",tCartera[CUI],0))))</f>
        <v>0</v>
      </c>
    </row>
    <row r="238" spans="1:15" ht="51" hidden="1" x14ac:dyDescent="0.2">
      <c r="A238" s="52">
        <f>SUBTOTAL(103,$B$8:B238)+287</f>
        <v>384</v>
      </c>
      <c r="B238" s="69">
        <v>249</v>
      </c>
      <c r="C238" s="82" t="s">
        <v>128</v>
      </c>
      <c r="D238" s="60">
        <f>IF(COUNTIF(tSIAF[Clave],"2544369|249")=0,"",SUMIF(tSIAF[Clave],"2544369|249",tSIAF[PIM]))</f>
        <v>0</v>
      </c>
      <c r="E238" s="60">
        <f>IF(COUNTIF(tSIAF[Clave],"2544369|249")=0,"",SUMIF(tSIAF[Clave],"2544369|249",tSIAF[Certificacion]))</f>
        <v>0</v>
      </c>
      <c r="F238" s="60">
        <f>IF(D238="","",D238-E238)</f>
        <v>0</v>
      </c>
      <c r="G238" s="60">
        <f>IF(COUNTIF(tSIAF[Clave],"2544369|249")=0,"",SUMIF(tSIAF[Clave],"2544369|249",tSIAF[Devengado]))</f>
        <v>0</v>
      </c>
      <c r="H238" s="60">
        <f>IF(D238="","",D238-G238)</f>
        <v>0</v>
      </c>
      <c r="I238" s="66">
        <f>IF(D238="","",IF(D238=0,0,G238/D238))</f>
        <v>0</v>
      </c>
      <c r="J238" s="227"/>
      <c r="K238" s="227" t="s">
        <v>2299</v>
      </c>
      <c r="L238" s="236">
        <f>IF(COUNTIF(tCartera[CUI],"2544369")=0,"Sin PMI",IF(INDEX(tCartera[PMI2026],MATCH("2544369",tCartera[CUI],0))="","No informado",INDEX(tCartera[PMI2026],MATCH("2544369",tCartera[CUI],0))))</f>
        <v>89896</v>
      </c>
      <c r="M238" s="236">
        <f>IF(COUNTIF(tCartera[CUI],"2544369")=0,"Sin PMI",IF(INDEX(tCartera[PMI2027],MATCH("2544369",tCartera[CUI],0))="","No informado",INDEX(tCartera[PMI2027],MATCH("2544369",tCartera[CUI],0))))</f>
        <v>0</v>
      </c>
      <c r="N238" s="236">
        <f>IF(COUNTIF(tCartera[CUI],"2544369")=0,"Sin PMI",IF(INDEX(tCartera[PMI2028],MATCH("2544369",tCartera[CUI],0))="","No informado",INDEX(tCartera[PMI2028],MATCH("2544369",tCartera[CUI],0))))</f>
        <v>0</v>
      </c>
      <c r="O238" s="236">
        <f>IF(COUNTIF(tCartera[CUI],"2544369")=0,"Sin PMI",IF(INDEX(tCartera[PMI2029],MATCH("2544369",tCartera[CUI],0))="","No informado",INDEX(tCartera[PMI2029],MATCH("2544369",tCartera[CUI],0))))</f>
        <v>0</v>
      </c>
    </row>
    <row r="239" spans="1:15" ht="38.25" x14ac:dyDescent="0.2">
      <c r="A239" s="52">
        <f>SUBTOTAL(103,$B$8:B239)+287</f>
        <v>385</v>
      </c>
      <c r="B239" s="70" t="s">
        <v>506</v>
      </c>
      <c r="C239" s="82" t="s">
        <v>205</v>
      </c>
      <c r="D239" s="60">
        <f>IF(COUNTIF(tSIAF[Clave],"2567368|254")=0,"",SUMIF(tSIAF[Clave],"2567368|254",tSIAF[PIM]))</f>
        <v>2390440</v>
      </c>
      <c r="E239" s="60">
        <f>IF(COUNTIF(tSIAF[Clave],"2567368|254")=0,"",SUMIF(tSIAF[Clave],"2567368|254",tSIAF[Certificacion]))</f>
        <v>2386020</v>
      </c>
      <c r="F239" s="60">
        <f>IF(D239="","",D239-E239)</f>
        <v>4420</v>
      </c>
      <c r="G239" s="60">
        <f>IF(COUNTIF(tSIAF[Clave],"2567368|254")=0,"",SUMIF(tSIAF[Clave],"2567368|254",tSIAF[Devengado]))</f>
        <v>824976.09</v>
      </c>
      <c r="H239" s="60">
        <f>IF(D239="","",D239-G239)</f>
        <v>1565463.9100000001</v>
      </c>
      <c r="I239" s="66">
        <f>IF(D239="","",IF(D239=0,0,G239/D239))</f>
        <v>0.34511474456585395</v>
      </c>
      <c r="J239" s="227"/>
      <c r="K239" s="227" t="s">
        <v>2299</v>
      </c>
      <c r="L239" s="236">
        <f>IF(COUNTIF(tCartera[CUI],"2567368")=0,"Sin PMI",IF(INDEX(tCartera[PMI2026],MATCH("2567368",tCartera[CUI],0))="","No informado",INDEX(tCartera[PMI2026],MATCH("2567368",tCartera[CUI],0))))</f>
        <v>21175</v>
      </c>
      <c r="M239" s="236">
        <f>IF(COUNTIF(tCartera[CUI],"2567368")=0,"Sin PMI",IF(INDEX(tCartera[PMI2027],MATCH("2567368",tCartera[CUI],0))="","No informado",INDEX(tCartera[PMI2027],MATCH("2567368",tCartera[CUI],0))))</f>
        <v>2971</v>
      </c>
      <c r="N239" s="236">
        <f>IF(COUNTIF(tCartera[CUI],"2567368")=0,"Sin PMI",IF(INDEX(tCartera[PMI2028],MATCH("2567368",tCartera[CUI],0))="","No informado",INDEX(tCartera[PMI2028],MATCH("2567368",tCartera[CUI],0))))</f>
        <v>1</v>
      </c>
      <c r="O239" s="236">
        <f>IF(COUNTIF(tCartera[CUI],"2567368")=0,"Sin PMI",IF(INDEX(tCartera[PMI2029],MATCH("2567368",tCartera[CUI],0))="","No informado",INDEX(tCartera[PMI2029],MATCH("2567368",tCartera[CUI],0))))</f>
        <v>0</v>
      </c>
    </row>
    <row r="240" spans="1:15" ht="51" x14ac:dyDescent="0.2">
      <c r="A240" s="52">
        <f>SUBTOTAL(103,$B$8:B240)+287</f>
        <v>386</v>
      </c>
      <c r="B240" s="58" t="s">
        <v>507</v>
      </c>
      <c r="C240" s="81" t="s">
        <v>206</v>
      </c>
      <c r="D240" s="60">
        <f>IF(COUNTIF(tSIAF[Clave],"2567375|255")=0,"",SUMIF(tSIAF[Clave],"2567375|255",tSIAF[PIM]))</f>
        <v>20600</v>
      </c>
      <c r="E240" s="60">
        <f>IF(COUNTIF(tSIAF[Clave],"2567375|255")=0,"",SUMIF(tSIAF[Clave],"2567375|255",tSIAF[Certificacion]))</f>
        <v>20600</v>
      </c>
      <c r="F240" s="60">
        <f>IF(D240="","",D240-E240)</f>
        <v>0</v>
      </c>
      <c r="G240" s="60">
        <f>IF(COUNTIF(tSIAF[Clave],"2567375|255")=0,"",SUMIF(tSIAF[Clave],"2567375|255",tSIAF[Devengado]))</f>
        <v>17783.599999999999</v>
      </c>
      <c r="H240" s="60">
        <f>IF(D240="","",D240-G240)</f>
        <v>2816.4000000000015</v>
      </c>
      <c r="I240" s="66">
        <f>IF(D240="","",IF(D240=0,0,G240/D240))</f>
        <v>0.86328155339805823</v>
      </c>
      <c r="J240" s="227"/>
      <c r="K240" s="227" t="s">
        <v>2299</v>
      </c>
      <c r="L240" s="236">
        <f>IF(COUNTIF(tCartera[CUI],"2567375")=0,"Sin PMI",IF(INDEX(tCartera[PMI2026],MATCH("2567375",tCartera[CUI],0))="","No informado",INDEX(tCartera[PMI2026],MATCH("2567375",tCartera[CUI],0))))</f>
        <v>40062</v>
      </c>
      <c r="M240" s="236">
        <f>IF(COUNTIF(tCartera[CUI],"2567375")=0,"Sin PMI",IF(INDEX(tCartera[PMI2027],MATCH("2567375",tCartera[CUI],0))="","No informado",INDEX(tCartera[PMI2027],MATCH("2567375",tCartera[CUI],0))))</f>
        <v>0</v>
      </c>
      <c r="N240" s="236">
        <f>IF(COUNTIF(tCartera[CUI],"2567375")=0,"Sin PMI",IF(INDEX(tCartera[PMI2028],MATCH("2567375",tCartera[CUI],0))="","No informado",INDEX(tCartera[PMI2028],MATCH("2567375",tCartera[CUI],0))))</f>
        <v>0</v>
      </c>
      <c r="O240" s="236">
        <f>IF(COUNTIF(tCartera[CUI],"2567375")=0,"Sin PMI",IF(INDEX(tCartera[PMI2029],MATCH("2567375",tCartera[CUI],0))="","No informado",INDEX(tCartera[PMI2029],MATCH("2567375",tCartera[CUI],0))))</f>
        <v>0</v>
      </c>
    </row>
    <row r="241" spans="1:15" ht="63.75" x14ac:dyDescent="0.2">
      <c r="A241" s="52">
        <f>SUBTOTAL(103,$B$8:B241)+287</f>
        <v>387</v>
      </c>
      <c r="B241" s="69">
        <v>263</v>
      </c>
      <c r="C241" s="82" t="s">
        <v>303</v>
      </c>
      <c r="D241" s="60">
        <f>IF(COUNTIF(tSIAF[Clave],"2600443|263")=0,"",SUMIF(tSIAF[Clave],"2600443|263",tSIAF[PIM]))</f>
        <v>3517960</v>
      </c>
      <c r="E241" s="60">
        <f>IF(COUNTIF(tSIAF[Clave],"2600443|263")=0,"",SUMIF(tSIAF[Clave],"2600443|263",tSIAF[Certificacion]))</f>
        <v>3461030.1</v>
      </c>
      <c r="F241" s="60">
        <f>IF(D241="","",D241-E241)</f>
        <v>56929.899999999907</v>
      </c>
      <c r="G241" s="60">
        <f>IF(COUNTIF(tSIAF[Clave],"2600443|263")=0,"",SUMIF(tSIAF[Clave],"2600443|263",tSIAF[Devengado]))</f>
        <v>2179648.5099999998</v>
      </c>
      <c r="H241" s="60">
        <f>IF(D241="","",D241-G241)</f>
        <v>1338311.4900000002</v>
      </c>
      <c r="I241" s="66">
        <f>IF(D241="","",IF(D241=0,0,G241/D241))</f>
        <v>0.61957739997043737</v>
      </c>
      <c r="J241" s="227"/>
      <c r="K241" s="227" t="s">
        <v>2299</v>
      </c>
      <c r="L241" s="236">
        <f>IF(COUNTIF(tCartera[CUI],"2600443")=0,"Sin PMI",IF(INDEX(tCartera[PMI2026],MATCH("2600443",tCartera[CUI],0))="","No informado",INDEX(tCartera[PMI2026],MATCH("2600443",tCartera[CUI],0))))</f>
        <v>2000000</v>
      </c>
      <c r="M241" s="236">
        <f>IF(COUNTIF(tCartera[CUI],"2600443")=0,"Sin PMI",IF(INDEX(tCartera[PMI2027],MATCH("2600443",tCartera[CUI],0))="","No informado",INDEX(tCartera[PMI2027],MATCH("2600443",tCartera[CUI],0))))</f>
        <v>64020</v>
      </c>
      <c r="N241" s="236">
        <f>IF(COUNTIF(tCartera[CUI],"2600443")=0,"Sin PMI",IF(INDEX(tCartera[PMI2028],MATCH("2600443",tCartera[CUI],0))="","No informado",INDEX(tCartera[PMI2028],MATCH("2600443",tCartera[CUI],0))))</f>
        <v>1401972</v>
      </c>
      <c r="O241" s="236">
        <f>IF(COUNTIF(tCartera[CUI],"2600443")=0,"Sin PMI",IF(INDEX(tCartera[PMI2029],MATCH("2600443",tCartera[CUI],0))="","No informado",INDEX(tCartera[PMI2029],MATCH("2600443",tCartera[CUI],0))))</f>
        <v>495265</v>
      </c>
    </row>
    <row r="242" spans="1:15" ht="76.5" x14ac:dyDescent="0.2">
      <c r="A242" s="52">
        <f>SUBTOTAL(103,$B$8:B242)+287</f>
        <v>388</v>
      </c>
      <c r="B242" s="69">
        <v>281</v>
      </c>
      <c r="C242" s="82" t="s">
        <v>310</v>
      </c>
      <c r="D242" s="60">
        <f>IF(COUNTIF(tSIAF[Clave],"2650340|281")=0,"",SUMIF(tSIAF[Clave],"2650340|281",tSIAF[PIM]))</f>
        <v>2170829</v>
      </c>
      <c r="E242" s="60">
        <f>IF(COUNTIF(tSIAF[Clave],"2650340|281")=0,"",SUMIF(tSIAF[Clave],"2650340|281",tSIAF[Certificacion]))</f>
        <v>2170829</v>
      </c>
      <c r="F242" s="60">
        <f>IF(D242="","",D242-E242)</f>
        <v>0</v>
      </c>
      <c r="G242" s="60">
        <f>IF(COUNTIF(tSIAF[Clave],"2650340|281")=0,"",SUMIF(tSIAF[Clave],"2650340|281",tSIAF[Devengado]))</f>
        <v>147448.29999999999</v>
      </c>
      <c r="H242" s="60">
        <f>IF(D242="","",D242-G242)</f>
        <v>2023380.7</v>
      </c>
      <c r="I242" s="66">
        <f>IF(D242="","",IF(D242=0,0,G242/D242))</f>
        <v>6.7922577043148025E-2</v>
      </c>
      <c r="J242" s="227"/>
      <c r="K242" s="227" t="s">
        <v>2299</v>
      </c>
      <c r="L242" s="236">
        <f>IF(COUNTIF(tCartera[CUI],"2650340")=0,"Sin PMI",IF(INDEX(tCartera[PMI2026],MATCH("2650340",tCartera[CUI],0))="","No informado",INDEX(tCartera[PMI2026],MATCH("2650340",tCartera[CUI],0))))</f>
        <v>2421000</v>
      </c>
      <c r="M242" s="236">
        <f>IF(COUNTIF(tCartera[CUI],"2650340")=0,"Sin PMI",IF(INDEX(tCartera[PMI2027],MATCH("2650340",tCartera[CUI],0))="","No informado",INDEX(tCartera[PMI2027],MATCH("2650340",tCartera[CUI],0))))</f>
        <v>2508625</v>
      </c>
      <c r="N242" s="236">
        <f>IF(COUNTIF(tCartera[CUI],"2650340")=0,"Sin PMI",IF(INDEX(tCartera[PMI2028],MATCH("2650340",tCartera[CUI],0))="","No informado",INDEX(tCartera[PMI2028],MATCH("2650340",tCartera[CUI],0))))</f>
        <v>546908</v>
      </c>
      <c r="O242" s="236">
        <f>IF(COUNTIF(tCartera[CUI],"2650340")=0,"Sin PMI",IF(INDEX(tCartera[PMI2029],MATCH("2650340",tCartera[CUI],0))="","No informado",INDEX(tCartera[PMI2029],MATCH("2650340",tCartera[CUI],0))))</f>
        <v>170650</v>
      </c>
    </row>
    <row r="243" spans="1:15" ht="38.25" x14ac:dyDescent="0.2">
      <c r="A243" s="52">
        <f>SUBTOTAL(103,$B$8:B243)+287</f>
        <v>389</v>
      </c>
      <c r="B243" s="69">
        <v>285</v>
      </c>
      <c r="C243" s="82" t="s">
        <v>419</v>
      </c>
      <c r="D243" s="60">
        <f>IF(COUNTIF(tSIAF[Clave],"2684028|285")=0,"",SUMIF(tSIAF[Clave],"2684028|285",tSIAF[PIM]))</f>
        <v>31336</v>
      </c>
      <c r="E243" s="60">
        <f>IF(COUNTIF(tSIAF[Clave],"2684028|285")=0,"",SUMIF(tSIAF[Clave],"2684028|285",tSIAF[Certificacion]))</f>
        <v>0</v>
      </c>
      <c r="F243" s="60">
        <f>IF(D243="","",D243-E243)</f>
        <v>31336</v>
      </c>
      <c r="G243" s="60">
        <f>IF(COUNTIF(tSIAF[Clave],"2684028|285")=0,"",SUMIF(tSIAF[Clave],"2684028|285",tSIAF[Devengado]))</f>
        <v>0</v>
      </c>
      <c r="H243" s="60">
        <f>IF(D243="","",D243-G243)</f>
        <v>31336</v>
      </c>
      <c r="I243" s="66">
        <f>IF(D243="","",IF(D243=0,0,G243/D243))</f>
        <v>0</v>
      </c>
      <c r="J243" s="227"/>
      <c r="K243" s="227" t="s">
        <v>2299</v>
      </c>
      <c r="L243" s="236">
        <f>IF(COUNTIF(tCartera[CUI],"2684028")=0,"Sin PMI",IF(INDEX(tCartera[PMI2026],MATCH("2684028",tCartera[CUI],0))="","No informado",INDEX(tCartera[PMI2026],MATCH("2684028",tCartera[CUI],0))))</f>
        <v>513444</v>
      </c>
      <c r="M243" s="236">
        <f>IF(COUNTIF(tCartera[CUI],"2684028")=0,"Sin PMI",IF(INDEX(tCartera[PMI2027],MATCH("2684028",tCartera[CUI],0))="","No informado",INDEX(tCartera[PMI2027],MATCH("2684028",tCartera[CUI],0))))</f>
        <v>0</v>
      </c>
      <c r="N243" s="236">
        <f>IF(COUNTIF(tCartera[CUI],"2684028")=0,"Sin PMI",IF(INDEX(tCartera[PMI2028],MATCH("2684028",tCartera[CUI],0))="","No informado",INDEX(tCartera[PMI2028],MATCH("2684028",tCartera[CUI],0))))</f>
        <v>0</v>
      </c>
      <c r="O243" s="236">
        <f>IF(COUNTIF(tCartera[CUI],"2684028")=0,"Sin PMI",IF(INDEX(tCartera[PMI2029],MATCH("2684028",tCartera[CUI],0))="","No informado",INDEX(tCartera[PMI2029],MATCH("2684028",tCartera[CUI],0))))</f>
        <v>0</v>
      </c>
    </row>
    <row r="244" spans="1:15" ht="63.75" x14ac:dyDescent="0.2">
      <c r="A244" s="52">
        <f>SUBTOTAL(103,$B$8:B244)+287</f>
        <v>390</v>
      </c>
      <c r="B244" s="69">
        <v>287</v>
      </c>
      <c r="C244" s="82" t="s">
        <v>431</v>
      </c>
      <c r="D244" s="60">
        <f>IF(COUNTIF(tSIAF[Clave],"2685776|287")=0,"",SUMIF(tSIAF[Clave],"2685776|287",tSIAF[PIM]))</f>
        <v>1263865</v>
      </c>
      <c r="E244" s="60">
        <f>IF(COUNTIF(tSIAF[Clave],"2685776|287")=0,"",SUMIF(tSIAF[Clave],"2685776|287",tSIAF[Certificacion]))</f>
        <v>1181167.94</v>
      </c>
      <c r="F244" s="60">
        <f>IF(D244="","",D244-E244)</f>
        <v>82697.060000000056</v>
      </c>
      <c r="G244" s="60">
        <f>IF(COUNTIF(tSIAF[Clave],"2685776|287")=0,"",SUMIF(tSIAF[Clave],"2685776|287",tSIAF[Devengado]))</f>
        <v>146441.28</v>
      </c>
      <c r="H244" s="60">
        <f>IF(D244="","",D244-G244)</f>
        <v>1117423.72</v>
      </c>
      <c r="I244" s="66">
        <f>IF(D244="","",IF(D244=0,0,G244/D244))</f>
        <v>0.11586781816095865</v>
      </c>
      <c r="J244" s="227"/>
      <c r="K244" s="227" t="s">
        <v>2299</v>
      </c>
      <c r="L244" s="236">
        <f>IF(COUNTIF(tCartera[CUI],"2685776")=0,"Sin PMI",IF(INDEX(tCartera[PMI2026],MATCH("2685776",tCartera[CUI],0))="","No informado",INDEX(tCartera[PMI2026],MATCH("2685776",tCartera[CUI],0))))</f>
        <v>894000</v>
      </c>
      <c r="M244" s="236">
        <f>IF(COUNTIF(tCartera[CUI],"2685776")=0,"Sin PMI",IF(INDEX(tCartera[PMI2027],MATCH("2685776",tCartera[CUI],0))="","No informado",INDEX(tCartera[PMI2027],MATCH("2685776",tCartera[CUI],0))))</f>
        <v>0</v>
      </c>
      <c r="N244" s="236">
        <f>IF(COUNTIF(tCartera[CUI],"2685776")=0,"Sin PMI",IF(INDEX(tCartera[PMI2028],MATCH("2685776",tCartera[CUI],0))="","No informado",INDEX(tCartera[PMI2028],MATCH("2685776",tCartera[CUI],0))))</f>
        <v>825648</v>
      </c>
      <c r="O244" s="236">
        <f>IF(COUNTIF(tCartera[CUI],"2685776")=0,"Sin PMI",IF(INDEX(tCartera[PMI2029],MATCH("2685776",tCartera[CUI],0))="","No informado",INDEX(tCartera[PMI2029],MATCH("2685776",tCartera[CUI],0))))</f>
        <v>825648</v>
      </c>
    </row>
    <row r="245" spans="1:15" ht="76.5" x14ac:dyDescent="0.2">
      <c r="A245" s="52">
        <f>SUBTOTAL(103,$B$8:B245)+287</f>
        <v>391</v>
      </c>
      <c r="B245" s="69">
        <v>313</v>
      </c>
      <c r="C245" s="82" t="s">
        <v>472</v>
      </c>
      <c r="D245" s="60">
        <f>IF(COUNTIF(tSIAF[Clave],"2694246|313")=0,"",SUMIF(tSIAF[Clave],"2694246|313",tSIAF[PIM]))</f>
        <v>8483998</v>
      </c>
      <c r="E245" s="60">
        <f>IF(COUNTIF(tSIAF[Clave],"2694246|313")=0,"",SUMIF(tSIAF[Clave],"2694246|313",tSIAF[Certificacion]))</f>
        <v>8474782.3099999987</v>
      </c>
      <c r="F245" s="60">
        <f>IF(D245="","",D245-E245)</f>
        <v>9215.6900000013411</v>
      </c>
      <c r="G245" s="60">
        <f>IF(COUNTIF(tSIAF[Clave],"2694246|313")=0,"",SUMIF(tSIAF[Clave],"2694246|313",tSIAF[Devengado]))</f>
        <v>5322446.09</v>
      </c>
      <c r="H245" s="60">
        <f>IF(D245="","",D245-G245)</f>
        <v>3161551.91</v>
      </c>
      <c r="I245" s="66">
        <f>IF(D245="","",IF(D245=0,0,G245/D245))</f>
        <v>0.627351172171422</v>
      </c>
      <c r="J245" s="227"/>
      <c r="K245" s="227" t="s">
        <v>2299</v>
      </c>
      <c r="L245" s="236">
        <f>IF(COUNTIF(tCartera[CUI],"2694246")=0,"Sin PMI",IF(INDEX(tCartera[PMI2026],MATCH("2694246",tCartera[CUI],0))="","No informado",INDEX(tCartera[PMI2026],MATCH("2694246",tCartera[CUI],0))))</f>
        <v>2578971</v>
      </c>
      <c r="M245" s="236">
        <f>IF(COUNTIF(tCartera[CUI],"2694246")=0,"Sin PMI",IF(INDEX(tCartera[PMI2027],MATCH("2694246",tCartera[CUI],0))="","No informado",INDEX(tCartera[PMI2027],MATCH("2694246",tCartera[CUI],0))))</f>
        <v>22487</v>
      </c>
      <c r="N245" s="236">
        <f>IF(COUNTIF(tCartera[CUI],"2694246")=0,"Sin PMI",IF(INDEX(tCartera[PMI2028],MATCH("2694246",tCartera[CUI],0))="","No informado",INDEX(tCartera[PMI2028],MATCH("2694246",tCartera[CUI],0))))</f>
        <v>500000</v>
      </c>
      <c r="O245" s="236">
        <f>IF(COUNTIF(tCartera[CUI],"2694246")=0,"Sin PMI",IF(INDEX(tCartera[PMI2029],MATCH("2694246",tCartera[CUI],0))="","No informado",INDEX(tCartera[PMI2029],MATCH("2694246",tCartera[CUI],0))))</f>
        <v>500000</v>
      </c>
    </row>
    <row r="246" spans="1:15" ht="63.75" x14ac:dyDescent="0.2">
      <c r="A246" s="52">
        <f>SUBTOTAL(103,$B$8:B246)+287</f>
        <v>392</v>
      </c>
      <c r="B246" s="69">
        <v>314</v>
      </c>
      <c r="C246" s="82" t="s">
        <v>208</v>
      </c>
      <c r="D246" s="60">
        <f>IF(COUNTIF(tSIAF[Clave],"2611144|314")=0,"",SUMIF(tSIAF[Clave],"2611144|314",tSIAF[PIM]))</f>
        <v>4219373</v>
      </c>
      <c r="E246" s="60">
        <f>IF(COUNTIF(tSIAF[Clave],"2611144|314")=0,"",SUMIF(tSIAF[Clave],"2611144|314",tSIAF[Certificacion]))</f>
        <v>4183621.03</v>
      </c>
      <c r="F246" s="60">
        <f>IF(D246="","",D246-E246)</f>
        <v>35751.970000000205</v>
      </c>
      <c r="G246" s="60">
        <f>IF(COUNTIF(tSIAF[Clave],"2611144|314")=0,"",SUMIF(tSIAF[Clave],"2611144|314",tSIAF[Devengado]))</f>
        <v>3829328.08</v>
      </c>
      <c r="H246" s="60">
        <f>IF(D246="","",D246-G246)</f>
        <v>390044.91999999993</v>
      </c>
      <c r="I246" s="66">
        <f>IF(D246="","",IF(D246=0,0,G246/D246))</f>
        <v>0.90755855905604932</v>
      </c>
      <c r="J246" s="227"/>
      <c r="K246" s="227" t="s">
        <v>2299</v>
      </c>
      <c r="L246" s="236">
        <f>IF(COUNTIF(tCartera[CUI],"2611144")=0,"Sin PMI",IF(INDEX(tCartera[PMI2026],MATCH("2611144",tCartera[CUI],0))="","No informado",INDEX(tCartera[PMI2026],MATCH("2611144",tCartera[CUI],0))))</f>
        <v>3305500</v>
      </c>
      <c r="M246" s="236">
        <f>IF(COUNTIF(tCartera[CUI],"2611144")=0,"Sin PMI",IF(INDEX(tCartera[PMI2027],MATCH("2611144",tCartera[CUI],0))="","No informado",INDEX(tCartera[PMI2027],MATCH("2611144",tCartera[CUI],0))))</f>
        <v>177809</v>
      </c>
      <c r="N246" s="236">
        <f>IF(COUNTIF(tCartera[CUI],"2611144")=0,"Sin PMI",IF(INDEX(tCartera[PMI2028],MATCH("2611144",tCartera[CUI],0))="","No informado",INDEX(tCartera[PMI2028],MATCH("2611144",tCartera[CUI],0))))</f>
        <v>150483</v>
      </c>
      <c r="O246" s="236">
        <f>IF(COUNTIF(tCartera[CUI],"2611144")=0,"Sin PMI",IF(INDEX(tCartera[PMI2029],MATCH("2611144",tCartera[CUI],0))="","No informado",INDEX(tCartera[PMI2029],MATCH("2611144",tCartera[CUI],0))))</f>
        <v>0</v>
      </c>
    </row>
    <row r="247" spans="1:15" ht="63.75" x14ac:dyDescent="0.2">
      <c r="A247" s="52">
        <f>SUBTOTAL(103,$B$8:B247)+287</f>
        <v>393</v>
      </c>
      <c r="B247" s="69">
        <v>343</v>
      </c>
      <c r="C247" s="82" t="s">
        <v>467</v>
      </c>
      <c r="D247" s="60">
        <f>IF(COUNTIF(tSIAF[Clave],"2692290|343")=0,"",SUMIF(tSIAF[Clave],"2692290|343",tSIAF[PIM]))</f>
        <v>13926334</v>
      </c>
      <c r="E247" s="60">
        <f>IF(COUNTIF(tSIAF[Clave],"2692290|343")=0,"",SUMIF(tSIAF[Clave],"2692290|343",tSIAF[Certificacion]))</f>
        <v>13763618.01</v>
      </c>
      <c r="F247" s="60">
        <f>IF(D247="","",D247-E247)</f>
        <v>162715.99000000022</v>
      </c>
      <c r="G247" s="60">
        <f>IF(COUNTIF(tSIAF[Clave],"2692290|343")=0,"",SUMIF(tSIAF[Clave],"2692290|343",tSIAF[Devengado]))</f>
        <v>182925.48</v>
      </c>
      <c r="H247" s="60">
        <f>IF(D247="","",D247-G247)</f>
        <v>13743408.52</v>
      </c>
      <c r="I247" s="66">
        <f>IF(D247="","",IF(D247=0,0,G247/D247))</f>
        <v>1.3135221372688606E-2</v>
      </c>
      <c r="J247" s="227"/>
      <c r="K247" s="227" t="s">
        <v>2299</v>
      </c>
      <c r="L247" s="236">
        <f>IF(COUNTIF(tCartera[CUI],"2692290")=0,"Sin PMI",IF(INDEX(tCartera[PMI2026],MATCH("2692290",tCartera[CUI],0))="","No informado",INDEX(tCartera[PMI2026],MATCH("2692290",tCartera[CUI],0))))</f>
        <v>923830</v>
      </c>
      <c r="M247" s="236">
        <f>IF(COUNTIF(tCartera[CUI],"2692290")=0,"Sin PMI",IF(INDEX(tCartera[PMI2027],MATCH("2692290",tCartera[CUI],0))="","No informado",INDEX(tCartera[PMI2027],MATCH("2692290",tCartera[CUI],0))))</f>
        <v>1124828</v>
      </c>
      <c r="N247" s="236">
        <f>IF(COUNTIF(tCartera[CUI],"2692290")=0,"Sin PMI",IF(INDEX(tCartera[PMI2028],MATCH("2692290",tCartera[CUI],0))="","No informado",INDEX(tCartera[PMI2028],MATCH("2692290",tCartera[CUI],0))))</f>
        <v>450000</v>
      </c>
      <c r="O247" s="236">
        <f>IF(COUNTIF(tCartera[CUI],"2692290")=0,"Sin PMI",IF(INDEX(tCartera[PMI2029],MATCH("2692290",tCartera[CUI],0))="","No informado",INDEX(tCartera[PMI2029],MATCH("2692290",tCartera[CUI],0))))</f>
        <v>450000</v>
      </c>
    </row>
    <row r="248" spans="1:15" ht="38.25" x14ac:dyDescent="0.2">
      <c r="A248" s="52">
        <f>SUBTOTAL(103,$B$8:B248)+287</f>
        <v>394</v>
      </c>
      <c r="B248" s="69">
        <v>344</v>
      </c>
      <c r="C248" s="82" t="s">
        <v>418</v>
      </c>
      <c r="D248" s="60">
        <f>IF(COUNTIF(tSIAF[Clave],"2668521|344")=0,"",SUMIF(tSIAF[Clave],"2668521|344",tSIAF[PIM]))</f>
        <v>1175365</v>
      </c>
      <c r="E248" s="60">
        <f>IF(COUNTIF(tSIAF[Clave],"2668521|344")=0,"",SUMIF(tSIAF[Clave],"2668521|344",tSIAF[Certificacion]))</f>
        <v>285679.94</v>
      </c>
      <c r="F248" s="60">
        <f>IF(D248="","",D248-E248)</f>
        <v>889685.06</v>
      </c>
      <c r="G248" s="60">
        <f>IF(COUNTIF(tSIAF[Clave],"2668521|344")=0,"",SUMIF(tSIAF[Clave],"2668521|344",tSIAF[Devengado]))</f>
        <v>278011.28000000003</v>
      </c>
      <c r="H248" s="60">
        <f>IF(D248="","",D248-G248)</f>
        <v>897353.72</v>
      </c>
      <c r="I248" s="66">
        <f>IF(D248="","",IF(D248=0,0,G248/D248))</f>
        <v>0.23653186882372712</v>
      </c>
      <c r="J248" s="227"/>
      <c r="K248" s="227" t="s">
        <v>2299</v>
      </c>
      <c r="L248" s="236">
        <f>IF(COUNTIF(tCartera[CUI],"2668521")=0,"Sin PMI",IF(INDEX(tCartera[PMI2026],MATCH("2668521",tCartera[CUI],0))="","No informado",INDEX(tCartera[PMI2026],MATCH("2668521",tCartera[CUI],0))))</f>
        <v>300000</v>
      </c>
      <c r="M248" s="236">
        <f>IF(COUNTIF(tCartera[CUI],"2668521")=0,"Sin PMI",IF(INDEX(tCartera[PMI2027],MATCH("2668521",tCartera[CUI],0))="","No informado",INDEX(tCartera[PMI2027],MATCH("2668521",tCartera[CUI],0))))</f>
        <v>163232</v>
      </c>
      <c r="N248" s="236">
        <f>IF(COUNTIF(tCartera[CUI],"2668521")=0,"Sin PMI",IF(INDEX(tCartera[PMI2028],MATCH("2668521",tCartera[CUI],0))="","No informado",INDEX(tCartera[PMI2028],MATCH("2668521",tCartera[CUI],0))))</f>
        <v>0</v>
      </c>
      <c r="O248" s="236">
        <f>IF(COUNTIF(tCartera[CUI],"2668521")=0,"Sin PMI",IF(INDEX(tCartera[PMI2029],MATCH("2668521",tCartera[CUI],0))="","No informado",INDEX(tCartera[PMI2029],MATCH("2668521",tCartera[CUI],0))))</f>
        <v>0</v>
      </c>
    </row>
    <row r="249" spans="1:15" ht="51" x14ac:dyDescent="0.2">
      <c r="A249" s="52">
        <f>SUBTOTAL(103,$B$8:B249)+287</f>
        <v>395</v>
      </c>
      <c r="B249" s="69">
        <v>346</v>
      </c>
      <c r="C249" s="82" t="s">
        <v>209</v>
      </c>
      <c r="D249" s="60">
        <f>IF(COUNTIF(tSIAF[Clave],"2613817|346")=0,"",SUMIF(tSIAF[Clave],"2613817|346",tSIAF[PIM]))</f>
        <v>392605</v>
      </c>
      <c r="E249" s="60">
        <f>IF(COUNTIF(tSIAF[Clave],"2613817|346")=0,"",SUMIF(tSIAF[Clave],"2613817|346",tSIAF[Certificacion]))</f>
        <v>337020.28</v>
      </c>
      <c r="F249" s="60">
        <f>IF(D249="","",D249-E249)</f>
        <v>55584.719999999972</v>
      </c>
      <c r="G249" s="60">
        <f>IF(COUNTIF(tSIAF[Clave],"2613817|346")=0,"",SUMIF(tSIAF[Clave],"2613817|346",tSIAF[Devengado]))</f>
        <v>298073.84999999998</v>
      </c>
      <c r="H249" s="60">
        <f>IF(D249="","",D249-G249)</f>
        <v>94531.150000000023</v>
      </c>
      <c r="I249" s="66">
        <f>IF(D249="","",IF(D249=0,0,G249/D249))</f>
        <v>0.75922071802447744</v>
      </c>
      <c r="J249" s="227"/>
      <c r="K249" s="227" t="s">
        <v>2299</v>
      </c>
      <c r="L249" s="236">
        <f>IF(COUNTIF(tCartera[CUI],"2613817")=0,"Sin PMI",IF(INDEX(tCartera[PMI2026],MATCH("2613817",tCartera[CUI],0))="","No informado",INDEX(tCartera[PMI2026],MATCH("2613817",tCartera[CUI],0))))</f>
        <v>587684</v>
      </c>
      <c r="M249" s="236">
        <f>IF(COUNTIF(tCartera[CUI],"2613817")=0,"Sin PMI",IF(INDEX(tCartera[PMI2027],MATCH("2613817",tCartera[CUI],0))="","No informado",INDEX(tCartera[PMI2027],MATCH("2613817",tCartera[CUI],0))))</f>
        <v>31681</v>
      </c>
      <c r="N249" s="236">
        <f>IF(COUNTIF(tCartera[CUI],"2613817")=0,"Sin PMI",IF(INDEX(tCartera[PMI2028],MATCH("2613817",tCartera[CUI],0))="","No informado",INDEX(tCartera[PMI2028],MATCH("2613817",tCartera[CUI],0))))</f>
        <v>755677</v>
      </c>
      <c r="O249" s="236">
        <f>IF(COUNTIF(tCartera[CUI],"2613817")=0,"Sin PMI",IF(INDEX(tCartera[PMI2029],MATCH("2613817",tCartera[CUI],0))="","No informado",INDEX(tCartera[PMI2029],MATCH("2613817",tCartera[CUI],0))))</f>
        <v>0</v>
      </c>
    </row>
    <row r="250" spans="1:15" ht="76.5" x14ac:dyDescent="0.2">
      <c r="A250" s="52">
        <f>SUBTOTAL(103,$B$8:B250)+287</f>
        <v>396</v>
      </c>
      <c r="B250" s="69">
        <v>379</v>
      </c>
      <c r="C250" s="82" t="s">
        <v>468</v>
      </c>
      <c r="D250" s="60">
        <f>IF(COUNTIF(tSIAF[Clave],"2692846|379")=0,"",SUMIF(tSIAF[Clave],"2692846|379",tSIAF[PIM]))</f>
        <v>167074</v>
      </c>
      <c r="E250" s="60">
        <f>IF(COUNTIF(tSIAF[Clave],"2692846|379")=0,"",SUMIF(tSIAF[Clave],"2692846|379",tSIAF[Certificacion]))</f>
        <v>63765.14</v>
      </c>
      <c r="F250" s="60">
        <f>IF(D250="","",D250-E250)</f>
        <v>103308.86</v>
      </c>
      <c r="G250" s="60">
        <f>IF(COUNTIF(tSIAF[Clave],"2692846|379")=0,"",SUMIF(tSIAF[Clave],"2692846|379",tSIAF[Devengado]))</f>
        <v>62264.09</v>
      </c>
      <c r="H250" s="60">
        <f>IF(D250="","",D250-G250)</f>
        <v>104809.91</v>
      </c>
      <c r="I250" s="66">
        <f>IF(D250="","",IF(D250=0,0,G250/D250))</f>
        <v>0.37267372541508553</v>
      </c>
      <c r="J250" s="227"/>
      <c r="K250" s="227" t="s">
        <v>2299</v>
      </c>
      <c r="L250" s="236">
        <f>IF(COUNTIF(tCartera[CUI],"2692846")=0,"Sin PMI",IF(INDEX(tCartera[PMI2026],MATCH("2692846",tCartera[CUI],0))="","No informado",INDEX(tCartera[PMI2026],MATCH("2692846",tCartera[CUI],0))))</f>
        <v>295210</v>
      </c>
      <c r="M250" s="236">
        <f>IF(COUNTIF(tCartera[CUI],"2692846")=0,"Sin PMI",IF(INDEX(tCartera[PMI2027],MATCH("2692846",tCartera[CUI],0))="","No informado",INDEX(tCartera[PMI2027],MATCH("2692846",tCartera[CUI],0))))</f>
        <v>0</v>
      </c>
      <c r="N250" s="236">
        <f>IF(COUNTIF(tCartera[CUI],"2692846")=0,"Sin PMI",IF(INDEX(tCartera[PMI2028],MATCH("2692846",tCartera[CUI],0))="","No informado",INDEX(tCartera[PMI2028],MATCH("2692846",tCartera[CUI],0))))</f>
        <v>1200001</v>
      </c>
      <c r="O250" s="236">
        <f>IF(COUNTIF(tCartera[CUI],"2692846")=0,"Sin PMI",IF(INDEX(tCartera[PMI2029],MATCH("2692846",tCartera[CUI],0))="","No informado",INDEX(tCartera[PMI2029],MATCH("2692846",tCartera[CUI],0))))</f>
        <v>1200001</v>
      </c>
    </row>
    <row r="251" spans="1:15" ht="63.75" x14ac:dyDescent="0.2">
      <c r="A251" s="52">
        <f>SUBTOTAL(103,$B$8:B251)+287</f>
        <v>397</v>
      </c>
      <c r="B251" s="69">
        <v>380</v>
      </c>
      <c r="C251" s="82" t="s">
        <v>466</v>
      </c>
      <c r="D251" s="60">
        <f>IF(COUNTIF(tSIAF[Clave],"2691682|380")=0,"",SUMIF(tSIAF[Clave],"2691682|380",tSIAF[PIM]))</f>
        <v>2967206</v>
      </c>
      <c r="E251" s="60">
        <f>IF(COUNTIF(tSIAF[Clave],"2691682|380")=0,"",SUMIF(tSIAF[Clave],"2691682|380",tSIAF[Certificacion]))</f>
        <v>2958279.03</v>
      </c>
      <c r="F251" s="60">
        <f>IF(D251="","",D251-E251)</f>
        <v>8926.9700000002049</v>
      </c>
      <c r="G251" s="60">
        <f>IF(COUNTIF(tSIAF[Clave],"2691682|380")=0,"",SUMIF(tSIAF[Clave],"2691682|380",tSIAF[Devengado]))</f>
        <v>886710.64</v>
      </c>
      <c r="H251" s="60">
        <f>IF(D251="","",D251-G251)</f>
        <v>2080495.3599999999</v>
      </c>
      <c r="I251" s="66">
        <f>IF(D251="","",IF(D251=0,0,G251/D251))</f>
        <v>0.29883689908958122</v>
      </c>
      <c r="J251" s="227"/>
      <c r="K251" s="227" t="s">
        <v>2299</v>
      </c>
      <c r="L251" s="236">
        <f>IF(COUNTIF(tCartera[CUI],"2691682")=0,"Sin PMI",IF(INDEX(tCartera[PMI2026],MATCH("2691682",tCartera[CUI],0))="","No informado",INDEX(tCartera[PMI2026],MATCH("2691682",tCartera[CUI],0))))</f>
        <v>309908</v>
      </c>
      <c r="M251" s="236">
        <f>IF(COUNTIF(tCartera[CUI],"2691682")=0,"Sin PMI",IF(INDEX(tCartera[PMI2027],MATCH("2691682",tCartera[CUI],0))="","No informado",INDEX(tCartera[PMI2027],MATCH("2691682",tCartera[CUI],0))))</f>
        <v>29240</v>
      </c>
      <c r="N251" s="236">
        <f>IF(COUNTIF(tCartera[CUI],"2691682")=0,"Sin PMI",IF(INDEX(tCartera[PMI2028],MATCH("2691682",tCartera[CUI],0))="","No informado",INDEX(tCartera[PMI2028],MATCH("2691682",tCartera[CUI],0))))</f>
        <v>1302067</v>
      </c>
      <c r="O251" s="236">
        <f>IF(COUNTIF(tCartera[CUI],"2691682")=0,"Sin PMI",IF(INDEX(tCartera[PMI2029],MATCH("2691682",tCartera[CUI],0))="","No informado",INDEX(tCartera[PMI2029],MATCH("2691682",tCartera[CUI],0))))</f>
        <v>604135</v>
      </c>
    </row>
    <row r="252" spans="1:15" ht="38.25" x14ac:dyDescent="0.2">
      <c r="A252" s="52">
        <f>SUBTOTAL(103,$B$8:B252)+287</f>
        <v>398</v>
      </c>
      <c r="B252" s="69">
        <v>382</v>
      </c>
      <c r="C252" s="82" t="s">
        <v>497</v>
      </c>
      <c r="D252" s="60">
        <f>IF(COUNTIF(tSIAF[Clave],"2711034|382")=0,"",SUMIF(tSIAF[Clave],"2711034|382",tSIAF[PIM]))</f>
        <v>2040218</v>
      </c>
      <c r="E252" s="60">
        <f>IF(COUNTIF(tSIAF[Clave],"2711034|382")=0,"",SUMIF(tSIAF[Clave],"2711034|382",tSIAF[Certificacion]))</f>
        <v>2014066.28</v>
      </c>
      <c r="F252" s="60">
        <f>IF(D252="","",D252-E252)</f>
        <v>26151.719999999972</v>
      </c>
      <c r="G252" s="60">
        <f>IF(COUNTIF(tSIAF[Clave],"2711034|382")=0,"",SUMIF(tSIAF[Clave],"2711034|382",tSIAF[Devengado]))</f>
        <v>153737.13</v>
      </c>
      <c r="H252" s="60">
        <f>IF(D252="","",D252-G252)</f>
        <v>1886480.87</v>
      </c>
      <c r="I252" s="66">
        <f>IF(D252="","",IF(D252=0,0,G252/D252))</f>
        <v>7.53532857763239E-2</v>
      </c>
      <c r="J252" s="227"/>
      <c r="K252" s="227" t="s">
        <v>2299</v>
      </c>
      <c r="L252" s="236">
        <f>IF(COUNTIF(tCartera[CUI],"2711034")=0,"Sin PMI",IF(INDEX(tCartera[PMI2026],MATCH("2711034",tCartera[CUI],0))="","No informado",INDEX(tCartera[PMI2026],MATCH("2711034",tCartera[CUI],0))))</f>
        <v>40218</v>
      </c>
      <c r="M252" s="236">
        <f>IF(COUNTIF(tCartera[CUI],"2711034")=0,"Sin PMI",IF(INDEX(tCartera[PMI2027],MATCH("2711034",tCartera[CUI],0))="","No informado",INDEX(tCartera[PMI2027],MATCH("2711034",tCartera[CUI],0))))</f>
        <v>3757795</v>
      </c>
      <c r="N252" s="236">
        <f>IF(COUNTIF(tCartera[CUI],"2711034")=0,"Sin PMI",IF(INDEX(tCartera[PMI2028],MATCH("2711034",tCartera[CUI],0))="","No informado",INDEX(tCartera[PMI2028],MATCH("2711034",tCartera[CUI],0))))</f>
        <v>698171</v>
      </c>
      <c r="O252" s="236">
        <f>IF(COUNTIF(tCartera[CUI],"2711034")=0,"Sin PMI",IF(INDEX(tCartera[PMI2029],MATCH("2711034",tCartera[CUI],0))="","No informado",INDEX(tCartera[PMI2029],MATCH("2711034",tCartera[CUI],0))))</f>
        <v>0</v>
      </c>
    </row>
    <row r="253" spans="1:15" ht="63.75" x14ac:dyDescent="0.2">
      <c r="A253" s="52">
        <f>SUBTOTAL(103,$B$8:B253)+287</f>
        <v>399</v>
      </c>
      <c r="B253" s="69">
        <v>437</v>
      </c>
      <c r="C253" s="82" t="s">
        <v>465</v>
      </c>
      <c r="D253" s="60">
        <f>IF(COUNTIF(tSIAF[Clave],"2693367|437")=0,"",SUMIF(tSIAF[Clave],"2693367|437",tSIAF[PIM]))</f>
        <v>3974680</v>
      </c>
      <c r="E253" s="60">
        <f>IF(COUNTIF(tSIAF[Clave],"2693367|437")=0,"",SUMIF(tSIAF[Clave],"2693367|437",tSIAF[Certificacion]))</f>
        <v>3830379.2</v>
      </c>
      <c r="F253" s="60">
        <f>IF(D253="","",D253-E253)</f>
        <v>144300.79999999981</v>
      </c>
      <c r="G253" s="60">
        <f>IF(COUNTIF(tSIAF[Clave],"2693367|437")=0,"",SUMIF(tSIAF[Clave],"2693367|437",tSIAF[Devengado]))</f>
        <v>141890.09</v>
      </c>
      <c r="H253" s="60">
        <f>IF(D253="","",D253-G253)</f>
        <v>3832789.91</v>
      </c>
      <c r="I253" s="66">
        <f>IF(D253="","",IF(D253=0,0,G253/D253))</f>
        <v>3.5698493966809908E-2</v>
      </c>
      <c r="J253" s="227"/>
      <c r="K253" s="227" t="s">
        <v>2299</v>
      </c>
      <c r="L253" s="236">
        <f>IF(COUNTIF(tCartera[CUI],"2693367")=0,"Sin PMI",IF(INDEX(tCartera[PMI2026],MATCH("2693367",tCartera[CUI],0))="","No informado",INDEX(tCartera[PMI2026],MATCH("2693367",tCartera[CUI],0))))</f>
        <v>2900000</v>
      </c>
      <c r="M253" s="236">
        <f>IF(COUNTIF(tCartera[CUI],"2693367")=0,"Sin PMI",IF(INDEX(tCartera[PMI2027],MATCH("2693367",tCartera[CUI],0))="","No informado",INDEX(tCartera[PMI2027],MATCH("2693367",tCartera[CUI],0))))</f>
        <v>66882</v>
      </c>
      <c r="N253" s="236">
        <f>IF(COUNTIF(tCartera[CUI],"2693367")=0,"Sin PMI",IF(INDEX(tCartera[PMI2028],MATCH("2693367",tCartera[CUI],0))="","No informado",INDEX(tCartera[PMI2028],MATCH("2693367",tCartera[CUI],0))))</f>
        <v>1</v>
      </c>
      <c r="O253" s="236">
        <f>IF(COUNTIF(tCartera[CUI],"2693367")=0,"Sin PMI",IF(INDEX(tCartera[PMI2029],MATCH("2693367",tCartera[CUI],0))="","No informado",INDEX(tCartera[PMI2029],MATCH("2693367",tCartera[CUI],0))))</f>
        <v>0</v>
      </c>
    </row>
    <row r="254" spans="1:15" ht="63.75" x14ac:dyDescent="0.2">
      <c r="A254" s="52">
        <f>SUBTOTAL(103,$B$8:B254)+287</f>
        <v>400</v>
      </c>
      <c r="B254" s="69">
        <v>454</v>
      </c>
      <c r="C254" s="82" t="s">
        <v>581</v>
      </c>
      <c r="D254" s="60">
        <f>IF(COUNTIF(tSIAF[Clave],"2707256|454")=0,"",SUMIF(tSIAF[Clave],"2707256|454",tSIAF[PIM]))</f>
        <v>80738</v>
      </c>
      <c r="E254" s="60">
        <f>IF(COUNTIF(tSIAF[Clave],"2707256|454")=0,"",SUMIF(tSIAF[Clave],"2707256|454",tSIAF[Certificacion]))</f>
        <v>0</v>
      </c>
      <c r="F254" s="60">
        <f>IF(D254="","",D254-E254)</f>
        <v>80738</v>
      </c>
      <c r="G254" s="60">
        <f>IF(COUNTIF(tSIAF[Clave],"2707256|454")=0,"",SUMIF(tSIAF[Clave],"2707256|454",tSIAF[Devengado]))</f>
        <v>0</v>
      </c>
      <c r="H254" s="60">
        <f>IF(D254="","",D254-G254)</f>
        <v>80738</v>
      </c>
      <c r="I254" s="66">
        <f>IF(D254="","",IF(D254=0,0,G254/D254))</f>
        <v>0</v>
      </c>
      <c r="J254" s="227"/>
      <c r="K254" s="227" t="s">
        <v>2299</v>
      </c>
      <c r="L254" s="236" t="str">
        <f>IF(COUNTIF(tCartera[CUI],"2707256")=0,"Sin PMI",IF(INDEX(tCartera[PMI2026],MATCH("2707256",tCartera[CUI],0))="","No informado",INDEX(tCartera[PMI2026],MATCH("2707256",tCartera[CUI],0))))</f>
        <v>Sin PMI</v>
      </c>
      <c r="M254" s="236" t="str">
        <f>IF(COUNTIF(tCartera[CUI],"2707256")=0,"Sin PMI",IF(INDEX(tCartera[PMI2027],MATCH("2707256",tCartera[CUI],0))="","No informado",INDEX(tCartera[PMI2027],MATCH("2707256",tCartera[CUI],0))))</f>
        <v>Sin PMI</v>
      </c>
      <c r="N254" s="236" t="str">
        <f>IF(COUNTIF(tCartera[CUI],"2707256")=0,"Sin PMI",IF(INDEX(tCartera[PMI2028],MATCH("2707256",tCartera[CUI],0))="","No informado",INDEX(tCartera[PMI2028],MATCH("2707256",tCartera[CUI],0))))</f>
        <v>Sin PMI</v>
      </c>
      <c r="O254" s="236" t="str">
        <f>IF(COUNTIF(tCartera[CUI],"2707256")=0,"Sin PMI",IF(INDEX(tCartera[PMI2029],MATCH("2707256",tCartera[CUI],0))="","No informado",INDEX(tCartera[PMI2029],MATCH("2707256",tCartera[CUI],0))))</f>
        <v>Sin PMI</v>
      </c>
    </row>
    <row r="255" spans="1:15" ht="63.75" x14ac:dyDescent="0.2">
      <c r="A255" s="52">
        <f>SUBTOTAL(103,$B$8:B255)+287</f>
        <v>401</v>
      </c>
      <c r="B255" s="69">
        <v>462</v>
      </c>
      <c r="C255" s="82" t="s">
        <v>620</v>
      </c>
      <c r="D255" s="60">
        <f>IF(COUNTIF(tSIAF[Clave],"2650340|462")=0,"",SUMIF(tSIAF[Clave],"2650340|462",tSIAF[PIM]))</f>
        <v>5872577</v>
      </c>
      <c r="E255" s="60">
        <f>IF(COUNTIF(tSIAF[Clave],"2650340|462")=0,"",SUMIF(tSIAF[Clave],"2650340|462",tSIAF[Certificacion]))</f>
        <v>3724247.8200000003</v>
      </c>
      <c r="F255" s="60">
        <f>IF(D255="","",D255-E255)</f>
        <v>2148329.1799999997</v>
      </c>
      <c r="G255" s="60">
        <f>IF(COUNTIF(tSIAF[Clave],"2650340|462")=0,"",SUMIF(tSIAF[Clave],"2650340|462",tSIAF[Devengado]))</f>
        <v>2558179.3000000003</v>
      </c>
      <c r="H255" s="60">
        <f>IF(D255="","",D255-G255)</f>
        <v>3314397.6999999997</v>
      </c>
      <c r="I255" s="66">
        <f>IF(D255="","",IF(D255=0,0,G255/D255))</f>
        <v>0.43561443298231767</v>
      </c>
      <c r="J255" s="227"/>
      <c r="K255" s="227" t="s">
        <v>2299</v>
      </c>
      <c r="L255" s="236">
        <f>IF(COUNTIF(tCartera[CUI],"2650340")=0,"Sin PMI",IF(INDEX(tCartera[PMI2026],MATCH("2650340",tCartera[CUI],0))="","No informado",INDEX(tCartera[PMI2026],MATCH("2650340",tCartera[CUI],0))))</f>
        <v>2421000</v>
      </c>
      <c r="M255" s="236">
        <f>IF(COUNTIF(tCartera[CUI],"2650340")=0,"Sin PMI",IF(INDEX(tCartera[PMI2027],MATCH("2650340",tCartera[CUI],0))="","No informado",INDEX(tCartera[PMI2027],MATCH("2650340",tCartera[CUI],0))))</f>
        <v>2508625</v>
      </c>
      <c r="N255" s="236">
        <f>IF(COUNTIF(tCartera[CUI],"2650340")=0,"Sin PMI",IF(INDEX(tCartera[PMI2028],MATCH("2650340",tCartera[CUI],0))="","No informado",INDEX(tCartera[PMI2028],MATCH("2650340",tCartera[CUI],0))))</f>
        <v>546908</v>
      </c>
      <c r="O255" s="236">
        <f>IF(COUNTIF(tCartera[CUI],"2650340")=0,"Sin PMI",IF(INDEX(tCartera[PMI2029],MATCH("2650340",tCartera[CUI],0))="","No informado",INDEX(tCartera[PMI2029],MATCH("2650340",tCartera[CUI],0))))</f>
        <v>170650</v>
      </c>
    </row>
    <row r="256" spans="1:15" ht="51" x14ac:dyDescent="0.2">
      <c r="A256" s="52">
        <f>SUBTOTAL(103,$B$8:B256)+287</f>
        <v>402</v>
      </c>
      <c r="B256" s="69">
        <v>482</v>
      </c>
      <c r="C256" s="82" t="s">
        <v>637</v>
      </c>
      <c r="D256" s="60">
        <f>IF(COUNTIF(tSIAF[Clave],"2531093|482")=0,"",SUMIF(tSIAF[Clave],"2531093|482",tSIAF[PIM]))</f>
        <v>13758</v>
      </c>
      <c r="E256" s="60">
        <f>IF(COUNTIF(tSIAF[Clave],"2531093|482")=0,"",SUMIF(tSIAF[Clave],"2531093|482",tSIAF[Certificacion]))</f>
        <v>13758</v>
      </c>
      <c r="F256" s="60">
        <f>IF(D256="","",D256-E256)</f>
        <v>0</v>
      </c>
      <c r="G256" s="60">
        <f>IF(COUNTIF(tSIAF[Clave],"2531093|482")=0,"",SUMIF(tSIAF[Clave],"2531093|482",tSIAF[Devengado]))</f>
        <v>13212.64</v>
      </c>
      <c r="H256" s="60">
        <f>IF(D256="","",D256-G256)</f>
        <v>545.36000000000058</v>
      </c>
      <c r="I256" s="66">
        <f>IF(D256="","",IF(D256=0,0,G256/D256))</f>
        <v>0.96036051751708096</v>
      </c>
      <c r="J256" s="227"/>
      <c r="K256" s="227" t="s">
        <v>2299</v>
      </c>
      <c r="L256" s="236">
        <f>IF(COUNTIF(tCartera[CUI],"2531093")=0,"Sin PMI",IF(INDEX(tCartera[PMI2026],MATCH("2531093",tCartera[CUI],0))="","No informado",INDEX(tCartera[PMI2026],MATCH("2531093",tCartera[CUI],0))))</f>
        <v>27014</v>
      </c>
      <c r="M256" s="236">
        <f>IF(COUNTIF(tCartera[CUI],"2531093")=0,"Sin PMI",IF(INDEX(tCartera[PMI2027],MATCH("2531093",tCartera[CUI],0))="","No informado",INDEX(tCartera[PMI2027],MATCH("2531093",tCartera[CUI],0))))</f>
        <v>0</v>
      </c>
      <c r="N256" s="236">
        <f>IF(COUNTIF(tCartera[CUI],"2531093")=0,"Sin PMI",IF(INDEX(tCartera[PMI2028],MATCH("2531093",tCartera[CUI],0))="","No informado",INDEX(tCartera[PMI2028],MATCH("2531093",tCartera[CUI],0))))</f>
        <v>0</v>
      </c>
      <c r="O256" s="236">
        <f>IF(COUNTIF(tCartera[CUI],"2531093")=0,"Sin PMI",IF(INDEX(tCartera[PMI2029],MATCH("2531093",tCartera[CUI],0))="","No informado",INDEX(tCartera[PMI2029],MATCH("2531093",tCartera[CUI],0))))</f>
        <v>0</v>
      </c>
    </row>
    <row r="257" spans="1:15" ht="38.25" x14ac:dyDescent="0.2">
      <c r="A257" s="52">
        <f>SUBTOTAL(103,$B$8:B257)+287</f>
        <v>403</v>
      </c>
      <c r="B257" s="69">
        <v>485</v>
      </c>
      <c r="C257" s="82" t="s">
        <v>270</v>
      </c>
      <c r="D257" s="60">
        <f>IF(COUNTIF(tSIAF[Clave],"2639523|485")=0,"",SUMIF(tSIAF[Clave],"2639523|485",tSIAF[PIM]))</f>
        <v>10277</v>
      </c>
      <c r="E257" s="60">
        <f>IF(COUNTIF(tSIAF[Clave],"2639523|485")=0,"",SUMIF(tSIAF[Clave],"2639523|485",tSIAF[Certificacion]))</f>
        <v>9570</v>
      </c>
      <c r="F257" s="60">
        <f>IF(D257="","",D257-E257)</f>
        <v>707</v>
      </c>
      <c r="G257" s="60">
        <f>IF(COUNTIF(tSIAF[Clave],"2639523|485")=0,"",SUMIF(tSIAF[Clave],"2639523|485",tSIAF[Devengado]))</f>
        <v>9564.68</v>
      </c>
      <c r="H257" s="60">
        <f>IF(D257="","",D257-G257)</f>
        <v>712.31999999999971</v>
      </c>
      <c r="I257" s="66">
        <f>IF(D257="","",IF(D257=0,0,G257/D257))</f>
        <v>0.93068794395251531</v>
      </c>
      <c r="J257" s="227"/>
      <c r="K257" s="227" t="s">
        <v>2299</v>
      </c>
      <c r="L257" s="236">
        <f>IF(COUNTIF(tCartera[CUI],"2639523")=0,"Sin PMI",IF(INDEX(tCartera[PMI2026],MATCH("2639523",tCartera[CUI],0))="","No informado",INDEX(tCartera[PMI2026],MATCH("2639523",tCartera[CUI],0))))</f>
        <v>10277</v>
      </c>
      <c r="M257" s="236">
        <f>IF(COUNTIF(tCartera[CUI],"2639523")=0,"Sin PMI",IF(INDEX(tCartera[PMI2027],MATCH("2639523",tCartera[CUI],0))="","No informado",INDEX(tCartera[PMI2027],MATCH("2639523",tCartera[CUI],0))))</f>
        <v>27636</v>
      </c>
      <c r="N257" s="236">
        <f>IF(COUNTIF(tCartera[CUI],"2639523")=0,"Sin PMI",IF(INDEX(tCartera[PMI2028],MATCH("2639523",tCartera[CUI],0))="","No informado",INDEX(tCartera[PMI2028],MATCH("2639523",tCartera[CUI],0))))</f>
        <v>0</v>
      </c>
      <c r="O257" s="236">
        <f>IF(COUNTIF(tCartera[CUI],"2639523")=0,"Sin PMI",IF(INDEX(tCartera[PMI2029],MATCH("2639523",tCartera[CUI],0))="","No informado",INDEX(tCartera[PMI2029],MATCH("2639523",tCartera[CUI],0))))</f>
        <v>0</v>
      </c>
    </row>
    <row r="258" spans="1:15" ht="38.25" x14ac:dyDescent="0.2">
      <c r="A258" s="52">
        <f>SUBTOTAL(103,$B$8:B258)+287</f>
        <v>404</v>
      </c>
      <c r="B258" s="69">
        <v>494</v>
      </c>
      <c r="C258" s="82" t="s">
        <v>651</v>
      </c>
      <c r="D258" s="60">
        <f>IF(COUNTIF(tSIAF[Clave],"2695768|494")=0,"",SUMIF(tSIAF[Clave],"2695768|494",tSIAF[PIM]))</f>
        <v>114255</v>
      </c>
      <c r="E258" s="60">
        <f>IF(COUNTIF(tSIAF[Clave],"2695768|494")=0,"",SUMIF(tSIAF[Clave],"2695768|494",tSIAF[Certificacion]))</f>
        <v>0</v>
      </c>
      <c r="F258" s="60">
        <f>IF(D258="","",D258-E258)</f>
        <v>114255</v>
      </c>
      <c r="G258" s="60">
        <f>IF(COUNTIF(tSIAF[Clave],"2695768|494")=0,"",SUMIF(tSIAF[Clave],"2695768|494",tSIAF[Devengado]))</f>
        <v>0</v>
      </c>
      <c r="H258" s="60">
        <f>IF(D258="","",D258-G258)</f>
        <v>114255</v>
      </c>
      <c r="I258" s="66">
        <f>IF(D258="","",IF(D258=0,0,G258/D258))</f>
        <v>0</v>
      </c>
      <c r="J258" s="227"/>
      <c r="K258" s="227" t="s">
        <v>2299</v>
      </c>
      <c r="L258" s="236" t="str">
        <f>IF(COUNTIF(tCartera[CUI],"2695768")=0,"Sin PMI",IF(INDEX(tCartera[PMI2026],MATCH("2695768",tCartera[CUI],0))="","No informado",INDEX(tCartera[PMI2026],MATCH("2695768",tCartera[CUI],0))))</f>
        <v>Sin PMI</v>
      </c>
      <c r="M258" s="236" t="str">
        <f>IF(COUNTIF(tCartera[CUI],"2695768")=0,"Sin PMI",IF(INDEX(tCartera[PMI2027],MATCH("2695768",tCartera[CUI],0))="","No informado",INDEX(tCartera[PMI2027],MATCH("2695768",tCartera[CUI],0))))</f>
        <v>Sin PMI</v>
      </c>
      <c r="N258" s="236" t="str">
        <f>IF(COUNTIF(tCartera[CUI],"2695768")=0,"Sin PMI",IF(INDEX(tCartera[PMI2028],MATCH("2695768",tCartera[CUI],0))="","No informado",INDEX(tCartera[PMI2028],MATCH("2695768",tCartera[CUI],0))))</f>
        <v>Sin PMI</v>
      </c>
      <c r="O258" s="236" t="str">
        <f>IF(COUNTIF(tCartera[CUI],"2695768")=0,"Sin PMI",IF(INDEX(tCartera[PMI2029],MATCH("2695768",tCartera[CUI],0))="","No informado",INDEX(tCartera[PMI2029],MATCH("2695768",tCartera[CUI],0))))</f>
        <v>Sin PMI</v>
      </c>
    </row>
    <row r="259" spans="1:15" ht="63.75" x14ac:dyDescent="0.2">
      <c r="A259" s="52">
        <f>SUBTOTAL(103,$B$8:B259)+287</f>
        <v>405</v>
      </c>
      <c r="B259" s="69">
        <v>497</v>
      </c>
      <c r="C259" s="82" t="s">
        <v>655</v>
      </c>
      <c r="D259" s="60">
        <f>IF(COUNTIF(tSIAF[Clave],"2694640|497")=0,"",SUMIF(tSIAF[Clave],"2694640|497",tSIAF[PIM]))</f>
        <v>36445</v>
      </c>
      <c r="E259" s="60">
        <f>IF(COUNTIF(tSIAF[Clave],"2694640|497")=0,"",SUMIF(tSIAF[Clave],"2694640|497",tSIAF[Certificacion]))</f>
        <v>0</v>
      </c>
      <c r="F259" s="60">
        <f>IF(D259="","",D259-E259)</f>
        <v>36445</v>
      </c>
      <c r="G259" s="60">
        <f>IF(COUNTIF(tSIAF[Clave],"2694640|497")=0,"",SUMIF(tSIAF[Clave],"2694640|497",tSIAF[Devengado]))</f>
        <v>0</v>
      </c>
      <c r="H259" s="60">
        <f>IF(D259="","",D259-G259)</f>
        <v>36445</v>
      </c>
      <c r="I259" s="66">
        <f>IF(D259="","",IF(D259=0,0,G259/D259))</f>
        <v>0</v>
      </c>
      <c r="J259" s="227"/>
      <c r="K259" s="227" t="s">
        <v>2299</v>
      </c>
      <c r="L259" s="236" t="str">
        <f>IF(COUNTIF(tCartera[CUI],"2694640")=0,"Sin PMI",IF(INDEX(tCartera[PMI2026],MATCH("2694640",tCartera[CUI],0))="","No informado",INDEX(tCartera[PMI2026],MATCH("2694640",tCartera[CUI],0))))</f>
        <v>Sin PMI</v>
      </c>
      <c r="M259" s="236" t="str">
        <f>IF(COUNTIF(tCartera[CUI],"2694640")=0,"Sin PMI",IF(INDEX(tCartera[PMI2027],MATCH("2694640",tCartera[CUI],0))="","No informado",INDEX(tCartera[PMI2027],MATCH("2694640",tCartera[CUI],0))))</f>
        <v>Sin PMI</v>
      </c>
      <c r="N259" s="236" t="str">
        <f>IF(COUNTIF(tCartera[CUI],"2694640")=0,"Sin PMI",IF(INDEX(tCartera[PMI2028],MATCH("2694640",tCartera[CUI],0))="","No informado",INDEX(tCartera[PMI2028],MATCH("2694640",tCartera[CUI],0))))</f>
        <v>Sin PMI</v>
      </c>
      <c r="O259" s="236" t="str">
        <f>IF(COUNTIF(tCartera[CUI],"2694640")=0,"Sin PMI",IF(INDEX(tCartera[PMI2029],MATCH("2694640",tCartera[CUI],0))="","No informado",INDEX(tCartera[PMI2029],MATCH("2694640",tCartera[CUI],0))))</f>
        <v>Sin PMI</v>
      </c>
    </row>
    <row r="260" spans="1:15" ht="63.75" x14ac:dyDescent="0.2">
      <c r="A260" s="52">
        <f>SUBTOTAL(103,$B$8:B260)+287</f>
        <v>406</v>
      </c>
      <c r="B260" s="69">
        <v>498</v>
      </c>
      <c r="C260" s="82" t="s">
        <v>656</v>
      </c>
      <c r="D260" s="60">
        <f>IF(COUNTIF(tSIAF[Clave],"2694772|498")=0,"",SUMIF(tSIAF[Clave],"2694772|498",tSIAF[PIM]))</f>
        <v>39485</v>
      </c>
      <c r="E260" s="60">
        <f>IF(COUNTIF(tSIAF[Clave],"2694772|498")=0,"",SUMIF(tSIAF[Clave],"2694772|498",tSIAF[Certificacion]))</f>
        <v>0</v>
      </c>
      <c r="F260" s="60">
        <f>IF(D260="","",D260-E260)</f>
        <v>39485</v>
      </c>
      <c r="G260" s="60">
        <f>IF(COUNTIF(tSIAF[Clave],"2694772|498")=0,"",SUMIF(tSIAF[Clave],"2694772|498",tSIAF[Devengado]))</f>
        <v>0</v>
      </c>
      <c r="H260" s="60">
        <f>IF(D260="","",D260-G260)</f>
        <v>39485</v>
      </c>
      <c r="I260" s="66">
        <f>IF(D260="","",IF(D260=0,0,G260/D260))</f>
        <v>0</v>
      </c>
      <c r="J260" s="227"/>
      <c r="K260" s="227" t="s">
        <v>2299</v>
      </c>
      <c r="L260" s="236" t="str">
        <f>IF(COUNTIF(tCartera[CUI],"2694772")=0,"Sin PMI",IF(INDEX(tCartera[PMI2026],MATCH("2694772",tCartera[CUI],0))="","No informado",INDEX(tCartera[PMI2026],MATCH("2694772",tCartera[CUI],0))))</f>
        <v>Sin PMI</v>
      </c>
      <c r="M260" s="236" t="str">
        <f>IF(COUNTIF(tCartera[CUI],"2694772")=0,"Sin PMI",IF(INDEX(tCartera[PMI2027],MATCH("2694772",tCartera[CUI],0))="","No informado",INDEX(tCartera[PMI2027],MATCH("2694772",tCartera[CUI],0))))</f>
        <v>Sin PMI</v>
      </c>
      <c r="N260" s="236" t="str">
        <f>IF(COUNTIF(tCartera[CUI],"2694772")=0,"Sin PMI",IF(INDEX(tCartera[PMI2028],MATCH("2694772",tCartera[CUI],0))="","No informado",INDEX(tCartera[PMI2028],MATCH("2694772",tCartera[CUI],0))))</f>
        <v>Sin PMI</v>
      </c>
      <c r="O260" s="236" t="str">
        <f>IF(COUNTIF(tCartera[CUI],"2694772")=0,"Sin PMI",IF(INDEX(tCartera[PMI2029],MATCH("2694772",tCartera[CUI],0))="","No informado",INDEX(tCartera[PMI2029],MATCH("2694772",tCartera[CUI],0))))</f>
        <v>Sin PMI</v>
      </c>
    </row>
    <row r="261" spans="1:15" ht="51" x14ac:dyDescent="0.2">
      <c r="A261" s="52">
        <f>SUBTOTAL(103,$B$8:B261)+287</f>
        <v>407</v>
      </c>
      <c r="B261" s="69">
        <v>524</v>
      </c>
      <c r="C261" s="82" t="s">
        <v>679</v>
      </c>
      <c r="D261" s="60">
        <f>IF(COUNTIF(tSIAF[Clave],"2733644|524")=0,"",SUMIF(tSIAF[Clave],"2733644|524",tSIAF[PIM]))</f>
        <v>25610</v>
      </c>
      <c r="E261" s="60">
        <f>IF(COUNTIF(tSIAF[Clave],"2733644|524")=0,"",SUMIF(tSIAF[Clave],"2733644|524",tSIAF[Certificacion]))</f>
        <v>0</v>
      </c>
      <c r="F261" s="60">
        <f>IF(D261="","",D261-E261)</f>
        <v>25610</v>
      </c>
      <c r="G261" s="60">
        <f>IF(COUNTIF(tSIAF[Clave],"2733644|524")=0,"",SUMIF(tSIAF[Clave],"2733644|524",tSIAF[Devengado]))</f>
        <v>0</v>
      </c>
      <c r="H261" s="60">
        <f>IF(D261="","",D261-G261)</f>
        <v>25610</v>
      </c>
      <c r="I261" s="66">
        <f>IF(D261="","",IF(D261=0,0,G261/D261))</f>
        <v>0</v>
      </c>
      <c r="J261" s="227"/>
      <c r="K261" s="227" t="s">
        <v>2299</v>
      </c>
      <c r="L261" s="236" t="str">
        <f>IF(COUNTIF(tCartera[CUI],"2733644")=0,"Sin PMI",IF(INDEX(tCartera[PMI2026],MATCH("2733644",tCartera[CUI],0))="","No informado",INDEX(tCartera[PMI2026],MATCH("2733644",tCartera[CUI],0))))</f>
        <v>Sin PMI</v>
      </c>
      <c r="M261" s="236" t="str">
        <f>IF(COUNTIF(tCartera[CUI],"2733644")=0,"Sin PMI",IF(INDEX(tCartera[PMI2027],MATCH("2733644",tCartera[CUI],0))="","No informado",INDEX(tCartera[PMI2027],MATCH("2733644",tCartera[CUI],0))))</f>
        <v>Sin PMI</v>
      </c>
      <c r="N261" s="236" t="str">
        <f>IF(COUNTIF(tCartera[CUI],"2733644")=0,"Sin PMI",IF(INDEX(tCartera[PMI2028],MATCH("2733644",tCartera[CUI],0))="","No informado",INDEX(tCartera[PMI2028],MATCH("2733644",tCartera[CUI],0))))</f>
        <v>Sin PMI</v>
      </c>
      <c r="O261" s="236" t="str">
        <f>IF(COUNTIF(tCartera[CUI],"2733644")=0,"Sin PMI",IF(INDEX(tCartera[PMI2029],MATCH("2733644",tCartera[CUI],0))="","No informado",INDEX(tCartera[PMI2029],MATCH("2733644",tCartera[CUI],0))))</f>
        <v>Sin PMI</v>
      </c>
    </row>
    <row r="262" spans="1:15" x14ac:dyDescent="0.2">
      <c r="A262" s="150" t="s">
        <v>610</v>
      </c>
      <c r="B262" s="150"/>
      <c r="C262" s="150"/>
      <c r="D262" s="50">
        <f>D263+D264+D265+D266+D267+D268+D269+D270+D272+D273+D274</f>
        <v>9526686</v>
      </c>
      <c r="E262" s="50">
        <f>E263+E264+E265+E266+E267+E268+E269+E270+E272+E273+E274</f>
        <v>7349693.7199999997</v>
      </c>
      <c r="F262" s="50">
        <f>D262-E262</f>
        <v>2176992.2800000003</v>
      </c>
      <c r="G262" s="50">
        <f>G263+G264+G265+G266+G267+G268+G269+G270+G272+G273+G274</f>
        <v>335809.26</v>
      </c>
      <c r="H262" s="50">
        <f>D262-G262</f>
        <v>9190876.7400000002</v>
      </c>
      <c r="I262" s="51">
        <f>IF(D262=0,0,G262/D262)</f>
        <v>3.5249325946084507E-2</v>
      </c>
      <c r="J262" s="221"/>
      <c r="K262" s="221"/>
      <c r="L262" s="230"/>
      <c r="M262" s="230"/>
      <c r="N262" s="230"/>
      <c r="O262" s="230"/>
    </row>
    <row r="263" spans="1:15" ht="63.75" x14ac:dyDescent="0.2">
      <c r="A263" s="52">
        <f>SUBTOTAL(103,$B$8:B263)+287</f>
        <v>408</v>
      </c>
      <c r="B263" s="69">
        <v>512</v>
      </c>
      <c r="C263" s="82" t="s">
        <v>663</v>
      </c>
      <c r="D263" s="60">
        <f>IF(COUNTIF(tSIAF[Clave],"2721991|512")=0,"",SUMIF(tSIAF[Clave],"2721991|512",tSIAF[PIM]))</f>
        <v>3254770</v>
      </c>
      <c r="E263" s="60">
        <f>IF(COUNTIF(tSIAF[Clave],"2721991|512")=0,"",SUMIF(tSIAF[Clave],"2721991|512",tSIAF[Certificacion]))</f>
        <v>2925559.55</v>
      </c>
      <c r="F263" s="60">
        <f>IF(D263="","",D263-E263)</f>
        <v>329210.45000000019</v>
      </c>
      <c r="G263" s="60">
        <f>IF(COUNTIF(tSIAF[Clave],"2721991|512")=0,"",SUMIF(tSIAF[Clave],"2721991|512",tSIAF[Devengado]))</f>
        <v>0</v>
      </c>
      <c r="H263" s="60">
        <f>IF(D263="","",D263-G263)</f>
        <v>3254770</v>
      </c>
      <c r="I263" s="66">
        <f>IF(D263="","",IF(D263=0,0,G263/D263))</f>
        <v>0</v>
      </c>
      <c r="J263" s="227"/>
      <c r="K263" s="227" t="s">
        <v>2299</v>
      </c>
      <c r="L263" s="236" t="str">
        <f>IF(COUNTIF(tCartera[CUI],"2721991")=0,"Sin PMI",IF(INDEX(tCartera[PMI2026],MATCH("2721991",tCartera[CUI],0))="","No informado",INDEX(tCartera[PMI2026],MATCH("2721991",tCartera[CUI],0))))</f>
        <v>Sin PMI</v>
      </c>
      <c r="M263" s="236" t="str">
        <f>IF(COUNTIF(tCartera[CUI],"2721991")=0,"Sin PMI",IF(INDEX(tCartera[PMI2027],MATCH("2721991",tCartera[CUI],0))="","No informado",INDEX(tCartera[PMI2027],MATCH("2721991",tCartera[CUI],0))))</f>
        <v>Sin PMI</v>
      </c>
      <c r="N263" s="236" t="str">
        <f>IF(COUNTIF(tCartera[CUI],"2721991")=0,"Sin PMI",IF(INDEX(tCartera[PMI2028],MATCH("2721991",tCartera[CUI],0))="","No informado",INDEX(tCartera[PMI2028],MATCH("2721991",tCartera[CUI],0))))</f>
        <v>Sin PMI</v>
      </c>
      <c r="O263" s="236" t="str">
        <f>IF(COUNTIF(tCartera[CUI],"2721991")=0,"Sin PMI",IF(INDEX(tCartera[PMI2029],MATCH("2721991",tCartera[CUI],0))="","No informado",INDEX(tCartera[PMI2029],MATCH("2721991",tCartera[CUI],0))))</f>
        <v>Sin PMI</v>
      </c>
    </row>
    <row r="264" spans="1:15" ht="63.75" x14ac:dyDescent="0.2">
      <c r="A264" s="52">
        <f>SUBTOTAL(103,$B$8:B264)+287</f>
        <v>409</v>
      </c>
      <c r="B264" s="69">
        <v>513</v>
      </c>
      <c r="C264" s="82" t="s">
        <v>664</v>
      </c>
      <c r="D264" s="60">
        <f>IF(COUNTIF(tSIAF[Clave],"2721892|513")=0,"",SUMIF(tSIAF[Clave],"2721892|513",tSIAF[PIM]))</f>
        <v>1007572</v>
      </c>
      <c r="E264" s="60">
        <f>IF(COUNTIF(tSIAF[Clave],"2721892|513")=0,"",SUMIF(tSIAF[Clave],"2721892|513",tSIAF[Certificacion]))</f>
        <v>838299.38</v>
      </c>
      <c r="F264" s="60">
        <f>IF(D264="","",D264-E264)</f>
        <v>169272.62</v>
      </c>
      <c r="G264" s="60">
        <f>IF(COUNTIF(tSIAF[Clave],"2721892|513")=0,"",SUMIF(tSIAF[Clave],"2721892|513",tSIAF[Devengado]))</f>
        <v>0</v>
      </c>
      <c r="H264" s="60">
        <f>IF(D264="","",D264-G264)</f>
        <v>1007572</v>
      </c>
      <c r="I264" s="66">
        <f>IF(D264="","",IF(D264=0,0,G264/D264))</f>
        <v>0</v>
      </c>
      <c r="J264" s="227"/>
      <c r="K264" s="227" t="s">
        <v>2299</v>
      </c>
      <c r="L264" s="236" t="str">
        <f>IF(COUNTIF(tCartera[CUI],"2721892")=0,"Sin PMI",IF(INDEX(tCartera[PMI2026],MATCH("2721892",tCartera[CUI],0))="","No informado",INDEX(tCartera[PMI2026],MATCH("2721892",tCartera[CUI],0))))</f>
        <v>Sin PMI</v>
      </c>
      <c r="M264" s="236" t="str">
        <f>IF(COUNTIF(tCartera[CUI],"2721892")=0,"Sin PMI",IF(INDEX(tCartera[PMI2027],MATCH("2721892",tCartera[CUI],0))="","No informado",INDEX(tCartera[PMI2027],MATCH("2721892",tCartera[CUI],0))))</f>
        <v>Sin PMI</v>
      </c>
      <c r="N264" s="236" t="str">
        <f>IF(COUNTIF(tCartera[CUI],"2721892")=0,"Sin PMI",IF(INDEX(tCartera[PMI2028],MATCH("2721892",tCartera[CUI],0))="","No informado",INDEX(tCartera[PMI2028],MATCH("2721892",tCartera[CUI],0))))</f>
        <v>Sin PMI</v>
      </c>
      <c r="O264" s="236" t="str">
        <f>IF(COUNTIF(tCartera[CUI],"2721892")=0,"Sin PMI",IF(INDEX(tCartera[PMI2029],MATCH("2721892",tCartera[CUI],0))="","No informado",INDEX(tCartera[PMI2029],MATCH("2721892",tCartera[CUI],0))))</f>
        <v>Sin PMI</v>
      </c>
    </row>
    <row r="265" spans="1:15" ht="51" x14ac:dyDescent="0.2">
      <c r="A265" s="52">
        <f>SUBTOTAL(103,$B$8:B265)+287</f>
        <v>410</v>
      </c>
      <c r="B265" s="69">
        <v>515</v>
      </c>
      <c r="C265" s="82" t="s">
        <v>665</v>
      </c>
      <c r="D265" s="60">
        <f>IF(COUNTIF(tSIAF[Clave],"2719529|515")=0,"",SUMIF(tSIAF[Clave],"2719529|515",tSIAF[PIM]))</f>
        <v>1688098</v>
      </c>
      <c r="E265" s="60">
        <f>IF(COUNTIF(tSIAF[Clave],"2719529|515")=0,"",SUMIF(tSIAF[Clave],"2719529|515",tSIAF[Certificacion]))</f>
        <v>1486603.23</v>
      </c>
      <c r="F265" s="60">
        <f>IF(D265="","",D265-E265)</f>
        <v>201494.77000000002</v>
      </c>
      <c r="G265" s="60">
        <f>IF(COUNTIF(tSIAF[Clave],"2719529|515")=0,"",SUMIF(tSIAF[Clave],"2719529|515",tSIAF[Devengado]))</f>
        <v>0</v>
      </c>
      <c r="H265" s="60">
        <f>IF(D265="","",D265-G265)</f>
        <v>1688098</v>
      </c>
      <c r="I265" s="66">
        <f>IF(D265="","",IF(D265=0,0,G265/D265))</f>
        <v>0</v>
      </c>
      <c r="J265" s="227"/>
      <c r="K265" s="227" t="s">
        <v>2299</v>
      </c>
      <c r="L265" s="236" t="str">
        <f>IF(COUNTIF(tCartera[CUI],"2719529")=0,"Sin PMI",IF(INDEX(tCartera[PMI2026],MATCH("2719529",tCartera[CUI],0))="","No informado",INDEX(tCartera[PMI2026],MATCH("2719529",tCartera[CUI],0))))</f>
        <v>Sin PMI</v>
      </c>
      <c r="M265" s="236" t="str">
        <f>IF(COUNTIF(tCartera[CUI],"2719529")=0,"Sin PMI",IF(INDEX(tCartera[PMI2027],MATCH("2719529",tCartera[CUI],0))="","No informado",INDEX(tCartera[PMI2027],MATCH("2719529",tCartera[CUI],0))))</f>
        <v>Sin PMI</v>
      </c>
      <c r="N265" s="236" t="str">
        <f>IF(COUNTIF(tCartera[CUI],"2719529")=0,"Sin PMI",IF(INDEX(tCartera[PMI2028],MATCH("2719529",tCartera[CUI],0))="","No informado",INDEX(tCartera[PMI2028],MATCH("2719529",tCartera[CUI],0))))</f>
        <v>Sin PMI</v>
      </c>
      <c r="O265" s="236" t="str">
        <f>IF(COUNTIF(tCartera[CUI],"2719529")=0,"Sin PMI",IF(INDEX(tCartera[PMI2029],MATCH("2719529",tCartera[CUI],0))="","No informado",INDEX(tCartera[PMI2029],MATCH("2719529",tCartera[CUI],0))))</f>
        <v>Sin PMI</v>
      </c>
    </row>
    <row r="266" spans="1:15" ht="51" x14ac:dyDescent="0.2">
      <c r="A266" s="52">
        <f>SUBTOTAL(103,$B$8:B266)+287</f>
        <v>411</v>
      </c>
      <c r="B266" s="69">
        <v>509</v>
      </c>
      <c r="C266" s="82" t="s">
        <v>666</v>
      </c>
      <c r="D266" s="60">
        <f>IF(COUNTIF(tSIAF[Clave],"2723359|509")=0,"",SUMIF(tSIAF[Clave],"2723359|509",tSIAF[PIM]))</f>
        <v>680748</v>
      </c>
      <c r="E266" s="60">
        <f>IF(COUNTIF(tSIAF[Clave],"2723359|509")=0,"",SUMIF(tSIAF[Clave],"2723359|509",tSIAF[Certificacion]))</f>
        <v>538302.92000000004</v>
      </c>
      <c r="F266" s="60">
        <f>IF(D266="","",D266-E266)</f>
        <v>142445.07999999996</v>
      </c>
      <c r="G266" s="60">
        <f>IF(COUNTIF(tSIAF[Clave],"2723359|509")=0,"",SUMIF(tSIAF[Clave],"2723359|509",tSIAF[Devengado]))</f>
        <v>0</v>
      </c>
      <c r="H266" s="60">
        <f>IF(D266="","",D266-G266)</f>
        <v>680748</v>
      </c>
      <c r="I266" s="66">
        <f>IF(D266="","",IF(D266=0,0,G266/D266))</f>
        <v>0</v>
      </c>
      <c r="J266" s="227"/>
      <c r="K266" s="227" t="s">
        <v>2299</v>
      </c>
      <c r="L266" s="236" t="str">
        <f>IF(COUNTIF(tCartera[CUI],"2723359")=0,"Sin PMI",IF(INDEX(tCartera[PMI2026],MATCH("2723359",tCartera[CUI],0))="","No informado",INDEX(tCartera[PMI2026],MATCH("2723359",tCartera[CUI],0))))</f>
        <v>Sin PMI</v>
      </c>
      <c r="M266" s="236" t="str">
        <f>IF(COUNTIF(tCartera[CUI],"2723359")=0,"Sin PMI",IF(INDEX(tCartera[PMI2027],MATCH("2723359",tCartera[CUI],0))="","No informado",INDEX(tCartera[PMI2027],MATCH("2723359",tCartera[CUI],0))))</f>
        <v>Sin PMI</v>
      </c>
      <c r="N266" s="236" t="str">
        <f>IF(COUNTIF(tCartera[CUI],"2723359")=0,"Sin PMI",IF(INDEX(tCartera[PMI2028],MATCH("2723359",tCartera[CUI],0))="","No informado",INDEX(tCartera[PMI2028],MATCH("2723359",tCartera[CUI],0))))</f>
        <v>Sin PMI</v>
      </c>
      <c r="O266" s="236" t="str">
        <f>IF(COUNTIF(tCartera[CUI],"2723359")=0,"Sin PMI",IF(INDEX(tCartera[PMI2029],MATCH("2723359",tCartera[CUI],0))="","No informado",INDEX(tCartera[PMI2029],MATCH("2723359",tCartera[CUI],0))))</f>
        <v>Sin PMI</v>
      </c>
    </row>
    <row r="267" spans="1:15" ht="63.75" x14ac:dyDescent="0.2">
      <c r="A267" s="52">
        <f>SUBTOTAL(103,$B$8:B267)+287</f>
        <v>412</v>
      </c>
      <c r="B267" s="69">
        <v>510</v>
      </c>
      <c r="C267" s="82" t="s">
        <v>667</v>
      </c>
      <c r="D267" s="60">
        <f>IF(COUNTIF(tSIAF[Clave],"2721888|510")=0,"",SUMIF(tSIAF[Clave],"2721888|510",tSIAF[PIM]))</f>
        <v>670100</v>
      </c>
      <c r="E267" s="60">
        <f>IF(COUNTIF(tSIAF[Clave],"2721888|510")=0,"",SUMIF(tSIAF[Clave],"2721888|510",tSIAF[Certificacion]))</f>
        <v>532791.97</v>
      </c>
      <c r="F267" s="60">
        <f>IF(D267="","",D267-E267)</f>
        <v>137308.03000000003</v>
      </c>
      <c r="G267" s="60">
        <f>IF(COUNTIF(tSIAF[Clave],"2721888|510")=0,"",SUMIF(tSIAF[Clave],"2721888|510",tSIAF[Devengado]))</f>
        <v>0</v>
      </c>
      <c r="H267" s="60">
        <f>IF(D267="","",D267-G267)</f>
        <v>670100</v>
      </c>
      <c r="I267" s="66">
        <f>IF(D267="","",IF(D267=0,0,G267/D267))</f>
        <v>0</v>
      </c>
      <c r="J267" s="227"/>
      <c r="K267" s="227" t="s">
        <v>2299</v>
      </c>
      <c r="L267" s="236" t="str">
        <f>IF(COUNTIF(tCartera[CUI],"2721888")=0,"Sin PMI",IF(INDEX(tCartera[PMI2026],MATCH("2721888",tCartera[CUI],0))="","No informado",INDEX(tCartera[PMI2026],MATCH("2721888",tCartera[CUI],0))))</f>
        <v>Sin PMI</v>
      </c>
      <c r="M267" s="236" t="str">
        <f>IF(COUNTIF(tCartera[CUI],"2721888")=0,"Sin PMI",IF(INDEX(tCartera[PMI2027],MATCH("2721888",tCartera[CUI],0))="","No informado",INDEX(tCartera[PMI2027],MATCH("2721888",tCartera[CUI],0))))</f>
        <v>Sin PMI</v>
      </c>
      <c r="N267" s="236" t="str">
        <f>IF(COUNTIF(tCartera[CUI],"2721888")=0,"Sin PMI",IF(INDEX(tCartera[PMI2028],MATCH("2721888",tCartera[CUI],0))="","No informado",INDEX(tCartera[PMI2028],MATCH("2721888",tCartera[CUI],0))))</f>
        <v>Sin PMI</v>
      </c>
      <c r="O267" s="236" t="str">
        <f>IF(COUNTIF(tCartera[CUI],"2721888")=0,"Sin PMI",IF(INDEX(tCartera[PMI2029],MATCH("2721888",tCartera[CUI],0))="","No informado",INDEX(tCartera[PMI2029],MATCH("2721888",tCartera[CUI],0))))</f>
        <v>Sin PMI</v>
      </c>
    </row>
    <row r="268" spans="1:15" ht="51" x14ac:dyDescent="0.2">
      <c r="A268" s="52">
        <f>SUBTOTAL(103,$B$8:B268)+287</f>
        <v>413</v>
      </c>
      <c r="B268" s="69">
        <v>511</v>
      </c>
      <c r="C268" s="82" t="s">
        <v>668</v>
      </c>
      <c r="D268" s="60">
        <f>IF(COUNTIF(tSIAF[Clave],"2721886|511")=0,"",SUMIF(tSIAF[Clave],"2721886|511",tSIAF[PIM]))</f>
        <v>388514</v>
      </c>
      <c r="E268" s="60">
        <f>IF(COUNTIF(tSIAF[Clave],"2721886|511")=0,"",SUMIF(tSIAF[Clave],"2721886|511",tSIAF[Certificacion]))</f>
        <v>269223.84000000003</v>
      </c>
      <c r="F268" s="60">
        <f>IF(D268="","",D268-E268)</f>
        <v>119290.15999999997</v>
      </c>
      <c r="G268" s="60">
        <f>IF(COUNTIF(tSIAF[Clave],"2721886|511")=0,"",SUMIF(tSIAF[Clave],"2721886|511",tSIAF[Devengado]))</f>
        <v>0</v>
      </c>
      <c r="H268" s="60">
        <f>IF(D268="","",D268-G268)</f>
        <v>388514</v>
      </c>
      <c r="I268" s="66">
        <f>IF(D268="","",IF(D268=0,0,G268/D268))</f>
        <v>0</v>
      </c>
      <c r="J268" s="227"/>
      <c r="K268" s="227" t="s">
        <v>2299</v>
      </c>
      <c r="L268" s="236" t="str">
        <f>IF(COUNTIF(tCartera[CUI],"2721886")=0,"Sin PMI",IF(INDEX(tCartera[PMI2026],MATCH("2721886",tCartera[CUI],0))="","No informado",INDEX(tCartera[PMI2026],MATCH("2721886",tCartera[CUI],0))))</f>
        <v>Sin PMI</v>
      </c>
      <c r="M268" s="236" t="str">
        <f>IF(COUNTIF(tCartera[CUI],"2721886")=0,"Sin PMI",IF(INDEX(tCartera[PMI2027],MATCH("2721886",tCartera[CUI],0))="","No informado",INDEX(tCartera[PMI2027],MATCH("2721886",tCartera[CUI],0))))</f>
        <v>Sin PMI</v>
      </c>
      <c r="N268" s="236" t="str">
        <f>IF(COUNTIF(tCartera[CUI],"2721886")=0,"Sin PMI",IF(INDEX(tCartera[PMI2028],MATCH("2721886",tCartera[CUI],0))="","No informado",INDEX(tCartera[PMI2028],MATCH("2721886",tCartera[CUI],0))))</f>
        <v>Sin PMI</v>
      </c>
      <c r="O268" s="236" t="str">
        <f>IF(COUNTIF(tCartera[CUI],"2721886")=0,"Sin PMI",IF(INDEX(tCartera[PMI2029],MATCH("2721886",tCartera[CUI],0))="","No informado",INDEX(tCartera[PMI2029],MATCH("2721886",tCartera[CUI],0))))</f>
        <v>Sin PMI</v>
      </c>
    </row>
    <row r="269" spans="1:15" ht="63.75" x14ac:dyDescent="0.2">
      <c r="A269" s="52">
        <f>SUBTOTAL(103,$B$8:B269)+287</f>
        <v>414</v>
      </c>
      <c r="B269" s="69">
        <v>514</v>
      </c>
      <c r="C269" s="82" t="s">
        <v>669</v>
      </c>
      <c r="D269" s="60">
        <f>IF(COUNTIF(tSIAF[Clave],"2721889|514")=0,"",SUMIF(tSIAF[Clave],"2721889|514",tSIAF[PIM]))</f>
        <v>542416</v>
      </c>
      <c r="E269" s="60">
        <f>IF(COUNTIF(tSIAF[Clave],"2721889|514")=0,"",SUMIF(tSIAF[Clave],"2721889|514",tSIAF[Certificacion]))</f>
        <v>401911.51</v>
      </c>
      <c r="F269" s="60">
        <f>IF(D269="","",D269-E269)</f>
        <v>140504.49</v>
      </c>
      <c r="G269" s="60">
        <f>IF(COUNTIF(tSIAF[Clave],"2721889|514")=0,"",SUMIF(tSIAF[Clave],"2721889|514",tSIAF[Devengado]))</f>
        <v>0</v>
      </c>
      <c r="H269" s="60">
        <f>IF(D269="","",D269-G269)</f>
        <v>542416</v>
      </c>
      <c r="I269" s="66">
        <f>IF(D269="","",IF(D269=0,0,G269/D269))</f>
        <v>0</v>
      </c>
      <c r="J269" s="227"/>
      <c r="K269" s="227" t="s">
        <v>2299</v>
      </c>
      <c r="L269" s="236" t="str">
        <f>IF(COUNTIF(tCartera[CUI],"2721889")=0,"Sin PMI",IF(INDEX(tCartera[PMI2026],MATCH("2721889",tCartera[CUI],0))="","No informado",INDEX(tCartera[PMI2026],MATCH("2721889",tCartera[CUI],0))))</f>
        <v>Sin PMI</v>
      </c>
      <c r="M269" s="236" t="str">
        <f>IF(COUNTIF(tCartera[CUI],"2721889")=0,"Sin PMI",IF(INDEX(tCartera[PMI2027],MATCH("2721889",tCartera[CUI],0))="","No informado",INDEX(tCartera[PMI2027],MATCH("2721889",tCartera[CUI],0))))</f>
        <v>Sin PMI</v>
      </c>
      <c r="N269" s="236" t="str">
        <f>IF(COUNTIF(tCartera[CUI],"2721889")=0,"Sin PMI",IF(INDEX(tCartera[PMI2028],MATCH("2721889",tCartera[CUI],0))="","No informado",INDEX(tCartera[PMI2028],MATCH("2721889",tCartera[CUI],0))))</f>
        <v>Sin PMI</v>
      </c>
      <c r="O269" s="236" t="str">
        <f>IF(COUNTIF(tCartera[CUI],"2721889")=0,"Sin PMI",IF(INDEX(tCartera[PMI2029],MATCH("2721889",tCartera[CUI],0))="","No informado",INDEX(tCartera[PMI2029],MATCH("2721889",tCartera[CUI],0))))</f>
        <v>Sin PMI</v>
      </c>
    </row>
    <row r="270" spans="1:15" ht="63.75" x14ac:dyDescent="0.2">
      <c r="A270" s="52">
        <f>SUBTOTAL(103,$B$8:B270)+287</f>
        <v>415</v>
      </c>
      <c r="B270" s="69">
        <v>516</v>
      </c>
      <c r="C270" s="82" t="s">
        <v>670</v>
      </c>
      <c r="D270" s="60">
        <f>IF(COUNTIF(tSIAF[Clave],"2729834|516")=0,"",SUMIF(tSIAF[Clave],"2729834|516",tSIAF[PIM]))</f>
        <v>928545</v>
      </c>
      <c r="E270" s="60">
        <f>IF(COUNTIF(tSIAF[Clave],"2729834|516")=0,"",SUMIF(tSIAF[Clave],"2729834|516",tSIAF[Certificacion]))</f>
        <v>0</v>
      </c>
      <c r="F270" s="60">
        <f>IF(D270="","",D270-E270)</f>
        <v>928545</v>
      </c>
      <c r="G270" s="60">
        <f>IF(COUNTIF(tSIAF[Clave],"2729834|516")=0,"",SUMIF(tSIAF[Clave],"2729834|516",tSIAF[Devengado]))</f>
        <v>0</v>
      </c>
      <c r="H270" s="60">
        <f>IF(D270="","",D270-G270)</f>
        <v>928545</v>
      </c>
      <c r="I270" s="66">
        <f>IF(D270="","",IF(D270=0,0,G270/D270))</f>
        <v>0</v>
      </c>
      <c r="J270" s="227"/>
      <c r="K270" s="227" t="s">
        <v>2299</v>
      </c>
      <c r="L270" s="236" t="str">
        <f>IF(COUNTIF(tCartera[CUI],"2729834")=0,"Sin PMI",IF(INDEX(tCartera[PMI2026],MATCH("2729834",tCartera[CUI],0))="","No informado",INDEX(tCartera[PMI2026],MATCH("2729834",tCartera[CUI],0))))</f>
        <v>Sin PMI</v>
      </c>
      <c r="M270" s="236" t="str">
        <f>IF(COUNTIF(tCartera[CUI],"2729834")=0,"Sin PMI",IF(INDEX(tCartera[PMI2027],MATCH("2729834",tCartera[CUI],0))="","No informado",INDEX(tCartera[PMI2027],MATCH("2729834",tCartera[CUI],0))))</f>
        <v>Sin PMI</v>
      </c>
      <c r="N270" s="236" t="str">
        <f>IF(COUNTIF(tCartera[CUI],"2729834")=0,"Sin PMI",IF(INDEX(tCartera[PMI2028],MATCH("2729834",tCartera[CUI],0))="","No informado",INDEX(tCartera[PMI2028],MATCH("2729834",tCartera[CUI],0))))</f>
        <v>Sin PMI</v>
      </c>
      <c r="O270" s="236" t="str">
        <f>IF(COUNTIF(tCartera[CUI],"2729834")=0,"Sin PMI",IF(INDEX(tCartera[PMI2029],MATCH("2729834",tCartera[CUI],0))="","No informado",INDEX(tCartera[PMI2029],MATCH("2729834",tCartera[CUI],0))))</f>
        <v>Sin PMI</v>
      </c>
    </row>
    <row r="271" spans="1:15" ht="63.75" hidden="1" x14ac:dyDescent="0.2">
      <c r="A271" s="52">
        <f>SUBTOTAL(103,$B$8:B271)+287</f>
        <v>415</v>
      </c>
      <c r="B271" s="69">
        <v>345</v>
      </c>
      <c r="C271" s="82" t="s">
        <v>466</v>
      </c>
      <c r="D271" s="60"/>
      <c r="E271" s="60"/>
      <c r="F271" s="60"/>
      <c r="G271" s="60"/>
      <c r="H271" s="60"/>
      <c r="I271" s="66"/>
      <c r="J271" s="227"/>
      <c r="K271" s="227"/>
      <c r="L271" s="236"/>
      <c r="M271" s="236"/>
      <c r="N271" s="236"/>
      <c r="O271" s="236"/>
    </row>
    <row r="272" spans="1:15" ht="38.25" x14ac:dyDescent="0.2">
      <c r="A272" s="52">
        <f>SUBTOTAL(103,$B$8:B272)+287</f>
        <v>416</v>
      </c>
      <c r="B272" s="69">
        <v>348</v>
      </c>
      <c r="C272" s="82" t="s">
        <v>460</v>
      </c>
      <c r="D272" s="60">
        <f>IF(COUNTIF(tSIAF[Clave],"2693441|348")=0,"",SUMIF(tSIAF[Clave],"2693441|348",tSIAF[PIM]))</f>
        <v>70059</v>
      </c>
      <c r="E272" s="60">
        <f>IF(COUNTIF(tSIAF[Clave],"2693441|348")=0,"",SUMIF(tSIAF[Clave],"2693441|348",tSIAF[Certificacion]))</f>
        <v>70057.899999999994</v>
      </c>
      <c r="F272" s="60">
        <f>IF(D272="","",D272-E272)</f>
        <v>1.1000000000058208</v>
      </c>
      <c r="G272" s="60">
        <f>IF(COUNTIF(tSIAF[Clave],"2693441|348")=0,"",SUMIF(tSIAF[Clave],"2693441|348",tSIAF[Devengado]))</f>
        <v>70029.94</v>
      </c>
      <c r="H272" s="60">
        <f>IF(D272="","",D272-G272)</f>
        <v>29.059999999997672</v>
      </c>
      <c r="I272" s="66">
        <f>IF(D272="","",IF(D272=0,0,G272/D272))</f>
        <v>0.99958520675430707</v>
      </c>
      <c r="J272" s="227"/>
      <c r="K272" s="227" t="s">
        <v>2299</v>
      </c>
      <c r="L272" s="236">
        <f>IF(COUNTIF(tCartera[CUI],"2693441")=0,"Sin PMI",IF(INDEX(tCartera[PMI2026],MATCH("2693441",tCartera[CUI],0))="","No informado",INDEX(tCartera[PMI2026],MATCH("2693441",tCartera[CUI],0))))</f>
        <v>105988</v>
      </c>
      <c r="M272" s="236">
        <f>IF(COUNTIF(tCartera[CUI],"2693441")=0,"Sin PMI",IF(INDEX(tCartera[PMI2027],MATCH("2693441",tCartera[CUI],0))="","No informado",INDEX(tCartera[PMI2027],MATCH("2693441",tCartera[CUI],0))))</f>
        <v>0</v>
      </c>
      <c r="N272" s="236">
        <f>IF(COUNTIF(tCartera[CUI],"2693441")=0,"Sin PMI",IF(INDEX(tCartera[PMI2028],MATCH("2693441",tCartera[CUI],0))="","No informado",INDEX(tCartera[PMI2028],MATCH("2693441",tCartera[CUI],0))))</f>
        <v>35929</v>
      </c>
      <c r="O272" s="236">
        <f>IF(COUNTIF(tCartera[CUI],"2693441")=0,"Sin PMI",IF(INDEX(tCartera[PMI2029],MATCH("2693441",tCartera[CUI],0))="","No informado",INDEX(tCartera[PMI2029],MATCH("2693441",tCartera[CUI],0))))</f>
        <v>0</v>
      </c>
    </row>
    <row r="273" spans="1:15" ht="38.25" x14ac:dyDescent="0.2">
      <c r="A273" s="52">
        <f>SUBTOTAL(103,$B$8:B273)+287</f>
        <v>417</v>
      </c>
      <c r="B273" s="69">
        <v>349</v>
      </c>
      <c r="C273" s="82" t="s">
        <v>459</v>
      </c>
      <c r="D273" s="60">
        <f>IF(COUNTIF(tSIAF[Clave],"2692840|349")=0,"",SUMIF(tSIAF[Clave],"2692840|349",tSIAF[PIM]))</f>
        <v>100785</v>
      </c>
      <c r="E273" s="60">
        <f>IF(COUNTIF(tSIAF[Clave],"2692840|349")=0,"",SUMIF(tSIAF[Clave],"2692840|349",tSIAF[Certificacion]))</f>
        <v>100589.42</v>
      </c>
      <c r="F273" s="60">
        <f>IF(D273="","",D273-E273)</f>
        <v>195.58000000000175</v>
      </c>
      <c r="G273" s="60">
        <f>IF(COUNTIF(tSIAF[Clave],"2692840|349")=0,"",SUMIF(tSIAF[Clave],"2692840|349",tSIAF[Devengado]))</f>
        <v>88974.89</v>
      </c>
      <c r="H273" s="60">
        <f>IF(D273="","",D273-G273)</f>
        <v>11810.11</v>
      </c>
      <c r="I273" s="66">
        <f>IF(D273="","",IF(D273=0,0,G273/D273))</f>
        <v>0.88281877263481667</v>
      </c>
      <c r="J273" s="227"/>
      <c r="K273" s="227" t="s">
        <v>2299</v>
      </c>
      <c r="L273" s="236">
        <f>IF(COUNTIF(tCartera[CUI],"2692840")=0,"Sin PMI",IF(INDEX(tCartera[PMI2026],MATCH("2692840",tCartera[CUI],0))="","No informado",INDEX(tCartera[PMI2026],MATCH("2692840",tCartera[CUI],0))))</f>
        <v>155899</v>
      </c>
      <c r="M273" s="236">
        <f>IF(COUNTIF(tCartera[CUI],"2692840")=0,"Sin PMI",IF(INDEX(tCartera[PMI2027],MATCH("2692840",tCartera[CUI],0))="","No informado",INDEX(tCartera[PMI2027],MATCH("2692840",tCartera[CUI],0))))</f>
        <v>0</v>
      </c>
      <c r="N273" s="236">
        <f>IF(COUNTIF(tCartera[CUI],"2692840")=0,"Sin PMI",IF(INDEX(tCartera[PMI2028],MATCH("2692840",tCartera[CUI],0))="","No informado",INDEX(tCartera[PMI2028],MATCH("2692840",tCartera[CUI],0))))</f>
        <v>55114</v>
      </c>
      <c r="O273" s="236">
        <f>IF(COUNTIF(tCartera[CUI],"2692840")=0,"Sin PMI",IF(INDEX(tCartera[PMI2029],MATCH("2692840",tCartera[CUI],0))="","No informado",INDEX(tCartera[PMI2029],MATCH("2692840",tCartera[CUI],0))))</f>
        <v>0</v>
      </c>
    </row>
    <row r="274" spans="1:15" ht="38.25" x14ac:dyDescent="0.2">
      <c r="A274" s="52">
        <f>SUBTOTAL(103,$B$8:B274)+287</f>
        <v>418</v>
      </c>
      <c r="B274" s="69">
        <v>461</v>
      </c>
      <c r="C274" s="82" t="s">
        <v>489</v>
      </c>
      <c r="D274" s="60">
        <f>IF(COUNTIF(tSIAF[Clave],"2699544|461")=0,"",SUMIF(tSIAF[Clave],"2699544|461",tSIAF[PIM]))</f>
        <v>195079</v>
      </c>
      <c r="E274" s="60">
        <f>IF(COUNTIF(tSIAF[Clave],"2699544|461")=0,"",SUMIF(tSIAF[Clave],"2699544|461",tSIAF[Certificacion]))</f>
        <v>186354</v>
      </c>
      <c r="F274" s="60">
        <f>IF(D274="","",D274-E274)</f>
        <v>8725</v>
      </c>
      <c r="G274" s="60">
        <f>IF(COUNTIF(tSIAF[Clave],"2699544|461")=0,"",SUMIF(tSIAF[Clave],"2699544|461",tSIAF[Devengado]))</f>
        <v>176804.43</v>
      </c>
      <c r="H274" s="60">
        <f>IF(D274="","",D274-G274)</f>
        <v>18274.570000000007</v>
      </c>
      <c r="I274" s="66">
        <f>IF(D274="","",IF(D274=0,0,G274/D274))</f>
        <v>0.9063222079260197</v>
      </c>
      <c r="J274" s="227"/>
      <c r="K274" s="227" t="s">
        <v>2299</v>
      </c>
      <c r="L274" s="236">
        <f>IF(COUNTIF(tCartera[CUI],"2699544")=0,"Sin PMI",IF(INDEX(tCartera[PMI2026],MATCH("2699544",tCartera[CUI],0))="","No informado",INDEX(tCartera[PMI2026],MATCH("2699544",tCartera[CUI],0))))</f>
        <v>195079</v>
      </c>
      <c r="M274" s="236">
        <f>IF(COUNTIF(tCartera[CUI],"2699544")=0,"Sin PMI",IF(INDEX(tCartera[PMI2027],MATCH("2699544",tCartera[CUI],0))="","No informado",INDEX(tCartera[PMI2027],MATCH("2699544",tCartera[CUI],0))))</f>
        <v>23547</v>
      </c>
      <c r="N274" s="236">
        <f>IF(COUNTIF(tCartera[CUI],"2699544")=0,"Sin PMI",IF(INDEX(tCartera[PMI2028],MATCH("2699544",tCartera[CUI],0))="","No informado",INDEX(tCartera[PMI2028],MATCH("2699544",tCartera[CUI],0))))</f>
        <v>1</v>
      </c>
      <c r="O274" s="236">
        <f>IF(COUNTIF(tCartera[CUI],"2699544")=0,"Sin PMI",IF(INDEX(tCartera[PMI2029],MATCH("2699544",tCartera[CUI],0))="","No informado",INDEX(tCartera[PMI2029],MATCH("2699544",tCartera[CUI],0))))</f>
        <v>0</v>
      </c>
    </row>
    <row r="275" spans="1:15" x14ac:dyDescent="0.2">
      <c r="A275" s="150" t="s">
        <v>608</v>
      </c>
      <c r="B275" s="150"/>
      <c r="C275" s="150"/>
      <c r="D275" s="50">
        <f>D276+D277</f>
        <v>11936253</v>
      </c>
      <c r="E275" s="50">
        <f>E276+E277</f>
        <v>10980493.779999999</v>
      </c>
      <c r="F275" s="50">
        <f>D275-E275</f>
        <v>955759.22000000067</v>
      </c>
      <c r="G275" s="50">
        <f>G276+G277</f>
        <v>5861139.5999999996</v>
      </c>
      <c r="H275" s="50">
        <f>D275-G275</f>
        <v>6075113.4000000004</v>
      </c>
      <c r="I275" s="51">
        <f>IF(D275=0,0,G275/D275)</f>
        <v>0.49103681029549218</v>
      </c>
      <c r="J275" s="221"/>
      <c r="K275" s="221"/>
      <c r="L275" s="230"/>
      <c r="M275" s="230"/>
      <c r="N275" s="230"/>
      <c r="O275" s="230"/>
    </row>
    <row r="276" spans="1:15" ht="51" x14ac:dyDescent="0.2">
      <c r="A276" s="52">
        <f>SUBTOTAL(103,$B$8:B276)+287</f>
        <v>419</v>
      </c>
      <c r="B276" s="69">
        <v>3</v>
      </c>
      <c r="C276" s="82" t="s">
        <v>417</v>
      </c>
      <c r="D276" s="60">
        <f>IF(COUNTIF(tSIAF[Clave],"2683535|3")=0,"",SUMIF(tSIAF[Clave],"2683535|3",tSIAF[PIM]))</f>
        <v>6654893</v>
      </c>
      <c r="E276" s="60">
        <f>IF(COUNTIF(tSIAF[Clave],"2683535|3")=0,"",SUMIF(tSIAF[Clave],"2683535|3",tSIAF[Certificacion]))</f>
        <v>6543805.6899999995</v>
      </c>
      <c r="F276" s="60">
        <f>IF(D276="","",D276-E276)</f>
        <v>111087.31000000052</v>
      </c>
      <c r="G276" s="60">
        <f>IF(COUNTIF(tSIAF[Clave],"2683535|3")=0,"",SUMIF(tSIAF[Clave],"2683535|3",tSIAF[Devengado]))</f>
        <v>5720622.9699999997</v>
      </c>
      <c r="H276" s="60">
        <f>IF(D276="","",D276-G276)</f>
        <v>934270.03000000026</v>
      </c>
      <c r="I276" s="66">
        <f>IF(D276="","",IF(D276=0,0,G276/D276))</f>
        <v>0.85961156249995296</v>
      </c>
      <c r="J276" s="227"/>
      <c r="K276" s="227" t="s">
        <v>2299</v>
      </c>
      <c r="L276" s="236">
        <f>IF(COUNTIF(tCartera[CUI],"2683535")=0,"Sin PMI",IF(INDEX(tCartera[PMI2026],MATCH("2683535",tCartera[CUI],0))="","No informado",INDEX(tCartera[PMI2026],MATCH("2683535",tCartera[CUI],0))))</f>
        <v>100000</v>
      </c>
      <c r="M276" s="236">
        <f>IF(COUNTIF(tCartera[CUI],"2683535")=0,"Sin PMI",IF(INDEX(tCartera[PMI2027],MATCH("2683535",tCartera[CUI],0))="","No informado",INDEX(tCartera[PMI2027],MATCH("2683535",tCartera[CUI],0))))</f>
        <v>218816</v>
      </c>
      <c r="N276" s="236">
        <f>IF(COUNTIF(tCartera[CUI],"2683535")=0,"Sin PMI",IF(INDEX(tCartera[PMI2028],MATCH("2683535",tCartera[CUI],0))="","No informado",INDEX(tCartera[PMI2028],MATCH("2683535",tCartera[CUI],0))))</f>
        <v>309853</v>
      </c>
      <c r="O276" s="236">
        <f>IF(COUNTIF(tCartera[CUI],"2683535")=0,"Sin PMI",IF(INDEX(tCartera[PMI2029],MATCH("2683535",tCartera[CUI],0))="","No informado",INDEX(tCartera[PMI2029],MATCH("2683535",tCartera[CUI],0))))</f>
        <v>0</v>
      </c>
    </row>
    <row r="277" spans="1:15" ht="38.25" x14ac:dyDescent="0.2">
      <c r="A277" s="52">
        <f>SUBTOTAL(103,$B$8:B277)+287</f>
        <v>420</v>
      </c>
      <c r="B277" s="69">
        <v>286</v>
      </c>
      <c r="C277" s="82" t="s">
        <v>427</v>
      </c>
      <c r="D277" s="60">
        <f>IF(COUNTIF(tSIAF[Clave],"2685431|286")=0,"",SUMIF(tSIAF[Clave],"2685431|286",tSIAF[PIM]))</f>
        <v>5281360</v>
      </c>
      <c r="E277" s="60">
        <f>IF(COUNTIF(tSIAF[Clave],"2685431|286")=0,"",SUMIF(tSIAF[Clave],"2685431|286",tSIAF[Certificacion]))</f>
        <v>4436688.09</v>
      </c>
      <c r="F277" s="60">
        <f>IF(D277="","",D277-E277)</f>
        <v>844671.91000000015</v>
      </c>
      <c r="G277" s="60">
        <f>IF(COUNTIF(tSIAF[Clave],"2685431|286")=0,"",SUMIF(tSIAF[Clave],"2685431|286",tSIAF[Devengado]))</f>
        <v>140516.63</v>
      </c>
      <c r="H277" s="60">
        <f>IF(D277="","",D277-G277)</f>
        <v>5140843.37</v>
      </c>
      <c r="I277" s="66">
        <f>IF(D277="","",IF(D277=0,0,G277/D277))</f>
        <v>2.6606145008103974E-2</v>
      </c>
      <c r="J277" s="227"/>
      <c r="K277" s="227" t="s">
        <v>2299</v>
      </c>
      <c r="L277" s="236">
        <f>IF(COUNTIF(tCartera[CUI],"2685431")=0,"Sin PMI",IF(INDEX(tCartera[PMI2026],MATCH("2685431",tCartera[CUI],0))="","No informado",INDEX(tCartera[PMI2026],MATCH("2685431",tCartera[CUI],0))))</f>
        <v>5358341</v>
      </c>
      <c r="M277" s="236">
        <f>IF(COUNTIF(tCartera[CUI],"2685431")=0,"Sin PMI",IF(INDEX(tCartera[PMI2027],MATCH("2685431",tCartera[CUI],0))="","No informado",INDEX(tCartera[PMI2027],MATCH("2685431",tCartera[CUI],0))))</f>
        <v>6902686</v>
      </c>
      <c r="N277" s="236">
        <f>IF(COUNTIF(tCartera[CUI],"2685431")=0,"Sin PMI",IF(INDEX(tCartera[PMI2028],MATCH("2685431",tCartera[CUI],0))="","No informado",INDEX(tCartera[PMI2028],MATCH("2685431",tCartera[CUI],0))))</f>
        <v>800000</v>
      </c>
      <c r="O277" s="236">
        <f>IF(COUNTIF(tCartera[CUI],"2685431")=0,"Sin PMI",IF(INDEX(tCartera[PMI2029],MATCH("2685431",tCartera[CUI],0))="","No informado",INDEX(tCartera[PMI2029],MATCH("2685431",tCartera[CUI],0))))</f>
        <v>800000</v>
      </c>
    </row>
    <row r="278" spans="1:15" hidden="1" x14ac:dyDescent="0.2">
      <c r="A278" s="150" t="s">
        <v>611</v>
      </c>
      <c r="B278" s="150"/>
      <c r="C278" s="150"/>
      <c r="D278" s="50">
        <f>D279</f>
        <v>0</v>
      </c>
      <c r="E278" s="50">
        <f>E279</f>
        <v>0</v>
      </c>
      <c r="F278" s="50">
        <f>D278-E278</f>
        <v>0</v>
      </c>
      <c r="G278" s="50">
        <f>G279</f>
        <v>0</v>
      </c>
      <c r="H278" s="50">
        <f>D278-G278</f>
        <v>0</v>
      </c>
      <c r="I278" s="51">
        <f>IF(D278=0,0,G278/D278)</f>
        <v>0</v>
      </c>
      <c r="J278" s="221"/>
      <c r="K278" s="221"/>
      <c r="L278" s="230"/>
      <c r="M278" s="230"/>
      <c r="N278" s="230"/>
      <c r="O278" s="230"/>
    </row>
    <row r="279" spans="1:15" ht="76.5" hidden="1" x14ac:dyDescent="0.2">
      <c r="A279" s="52">
        <f>SUBTOTAL(103,$B$8:B279)+287</f>
        <v>420</v>
      </c>
      <c r="B279" s="69">
        <v>266</v>
      </c>
      <c r="C279" s="82" t="s">
        <v>238</v>
      </c>
      <c r="D279" s="60">
        <f>IF(COUNTIF(tSIAF[Clave],"2608728|266")=0,"",SUMIF(tSIAF[Clave],"2608728|266",tSIAF[PIM]))</f>
        <v>0</v>
      </c>
      <c r="E279" s="60">
        <f>IF(COUNTIF(tSIAF[Clave],"2608728|266")=0,"",SUMIF(tSIAF[Clave],"2608728|266",tSIAF[Certificacion]))</f>
        <v>0</v>
      </c>
      <c r="F279" s="60">
        <f>IF(D279="","",D279-E279)</f>
        <v>0</v>
      </c>
      <c r="G279" s="60">
        <f>IF(COUNTIF(tSIAF[Clave],"2608728|266")=0,"",SUMIF(tSIAF[Clave],"2608728|266",tSIAF[Devengado]))</f>
        <v>0</v>
      </c>
      <c r="H279" s="60">
        <f>IF(D279="","",D279-G279)</f>
        <v>0</v>
      </c>
      <c r="I279" s="66">
        <f>IF(D279="","",IF(D279=0,0,G279/D279))</f>
        <v>0</v>
      </c>
      <c r="J279" s="227"/>
      <c r="K279" s="227" t="s">
        <v>2299</v>
      </c>
      <c r="L279" s="236">
        <f>IF(COUNTIF(tCartera[CUI],"2608728")=0,"Sin PMI",IF(INDEX(tCartera[PMI2026],MATCH("2608728",tCartera[CUI],0))="","No informado",INDEX(tCartera[PMI2026],MATCH("2608728",tCartera[CUI],0))))</f>
        <v>200000</v>
      </c>
      <c r="M279" s="236">
        <f>IF(COUNTIF(tCartera[CUI],"2608728")=0,"Sin PMI",IF(INDEX(tCartera[PMI2027],MATCH("2608728",tCartera[CUI],0))="","No informado",INDEX(tCartera[PMI2027],MATCH("2608728",tCartera[CUI],0))))</f>
        <v>0</v>
      </c>
      <c r="N279" s="236">
        <f>IF(COUNTIF(tCartera[CUI],"2608728")=0,"Sin PMI",IF(INDEX(tCartera[PMI2028],MATCH("2608728",tCartera[CUI],0))="","No informado",INDEX(tCartera[PMI2028],MATCH("2608728",tCartera[CUI],0))))</f>
        <v>0</v>
      </c>
      <c r="O279" s="236">
        <f>IF(COUNTIF(tCartera[CUI],"2608728")=0,"Sin PMI",IF(INDEX(tCartera[PMI2029],MATCH("2608728",tCartera[CUI],0))="","No informado",INDEX(tCartera[PMI2029],MATCH("2608728",tCartera[CUI],0))))</f>
        <v>0</v>
      </c>
    </row>
    <row r="280" spans="1:15" ht="69" hidden="1" x14ac:dyDescent="0.2">
      <c r="A280" s="12">
        <f>SUBTOTAL(103,$B$8:B280)+241</f>
        <v>374</v>
      </c>
      <c r="B280" s="8"/>
      <c r="C280" s="7" t="s">
        <v>197</v>
      </c>
      <c r="D280" s="13"/>
      <c r="E280" s="13"/>
      <c r="F280" s="13"/>
      <c r="G280" s="13"/>
      <c r="H280" s="13"/>
      <c r="I280" s="21"/>
      <c r="J280" s="242"/>
      <c r="K280" s="242"/>
      <c r="L280" s="244"/>
      <c r="M280" s="244"/>
      <c r="N280" s="244"/>
      <c r="O280" s="244"/>
    </row>
    <row r="281" spans="1:15" ht="86.25" hidden="1" x14ac:dyDescent="0.2">
      <c r="A281" s="12">
        <f>SUBTOTAL(103,$B$8:B281)+241</f>
        <v>374</v>
      </c>
      <c r="B281" s="33"/>
      <c r="C281" s="7" t="s">
        <v>119</v>
      </c>
      <c r="D281" s="13"/>
      <c r="E281" s="13"/>
      <c r="F281" s="13"/>
      <c r="G281" s="13"/>
      <c r="H281" s="13"/>
      <c r="I281" s="21"/>
      <c r="J281" s="242"/>
      <c r="K281" s="242"/>
      <c r="L281" s="244"/>
      <c r="M281" s="244"/>
      <c r="N281" s="244"/>
      <c r="O281" s="244"/>
    </row>
    <row r="282" spans="1:15" ht="107.25" hidden="1" customHeight="1" x14ac:dyDescent="0.2">
      <c r="A282" s="12">
        <f>SUBTOTAL(103,$B$8:B282)+241</f>
        <v>374</v>
      </c>
      <c r="B282" s="33"/>
      <c r="C282" s="7" t="s">
        <v>269</v>
      </c>
      <c r="D282" s="13"/>
      <c r="E282" s="13"/>
      <c r="F282" s="13"/>
      <c r="G282" s="13"/>
      <c r="H282" s="13"/>
      <c r="I282" s="21"/>
      <c r="J282" s="242"/>
      <c r="K282" s="242"/>
      <c r="L282" s="244"/>
      <c r="M282" s="244"/>
      <c r="N282" s="244"/>
      <c r="O282" s="244"/>
    </row>
    <row r="283" spans="1:15" ht="144.75" hidden="1" customHeight="1" x14ac:dyDescent="0.2">
      <c r="A283" s="12">
        <f>SUBTOTAL(103,$B$8:B283)+241</f>
        <v>374</v>
      </c>
      <c r="B283" s="34"/>
      <c r="C283" s="5" t="s">
        <v>129</v>
      </c>
      <c r="D283" s="13"/>
      <c r="E283" s="13"/>
      <c r="F283" s="13"/>
      <c r="G283" s="13"/>
      <c r="H283" s="13"/>
      <c r="I283" s="21"/>
      <c r="J283" s="242"/>
      <c r="K283" s="242"/>
      <c r="L283" s="244"/>
      <c r="M283" s="244"/>
      <c r="N283" s="244"/>
      <c r="O283" s="244"/>
    </row>
    <row r="284" spans="1:15" ht="120.75" hidden="1" x14ac:dyDescent="0.2">
      <c r="A284" s="12">
        <f>SUBTOTAL(103,$B$8:B284)+241</f>
        <v>374</v>
      </c>
      <c r="B284" s="8"/>
      <c r="C284" s="7" t="s">
        <v>207</v>
      </c>
      <c r="D284" s="13"/>
      <c r="E284" s="13"/>
      <c r="F284" s="13"/>
      <c r="G284" s="13"/>
      <c r="H284" s="13"/>
      <c r="I284" s="21"/>
      <c r="J284" s="242"/>
      <c r="K284" s="242"/>
      <c r="L284" s="244"/>
      <c r="M284" s="244"/>
      <c r="N284" s="244"/>
      <c r="O284" s="244"/>
    </row>
    <row r="285" spans="1:15" ht="18" hidden="1" x14ac:dyDescent="0.2">
      <c r="A285" s="12">
        <f>SUBTOTAL(103,$B$8:B285)+241</f>
        <v>374</v>
      </c>
      <c r="B285" s="8"/>
      <c r="D285" s="13"/>
      <c r="E285" s="13"/>
      <c r="F285" s="13"/>
      <c r="G285" s="13"/>
      <c r="H285" s="13"/>
      <c r="I285" s="21"/>
      <c r="J285" s="242"/>
      <c r="K285" s="242"/>
      <c r="L285" s="244"/>
      <c r="M285" s="244"/>
      <c r="N285" s="244"/>
      <c r="O285" s="244"/>
    </row>
    <row r="286" spans="1:15" ht="86.25" hidden="1" x14ac:dyDescent="0.2">
      <c r="A286" s="12">
        <f>SUBTOTAL(103,$B$8:B286)+241</f>
        <v>374</v>
      </c>
      <c r="B286" s="33"/>
      <c r="C286" s="7" t="s">
        <v>116</v>
      </c>
      <c r="D286" s="13"/>
      <c r="E286" s="13"/>
      <c r="F286" s="13"/>
      <c r="G286" s="13"/>
      <c r="H286" s="13"/>
      <c r="I286" s="22"/>
      <c r="J286" s="242"/>
      <c r="K286" s="242"/>
      <c r="L286" s="244"/>
      <c r="M286" s="244"/>
      <c r="N286" s="244"/>
      <c r="O286" s="244"/>
    </row>
    <row r="287" spans="1:15" ht="103.5" hidden="1" x14ac:dyDescent="0.2">
      <c r="A287" s="12">
        <f>SUBTOTAL(103,$B$8:B287)+241</f>
        <v>374</v>
      </c>
      <c r="B287" s="33"/>
      <c r="C287" s="7" t="s">
        <v>117</v>
      </c>
      <c r="D287" s="13"/>
      <c r="E287" s="13"/>
      <c r="F287" s="13"/>
      <c r="G287" s="13"/>
      <c r="H287" s="13"/>
      <c r="I287" s="21"/>
      <c r="J287" s="242"/>
      <c r="K287" s="242"/>
      <c r="L287" s="244"/>
      <c r="M287" s="244"/>
      <c r="N287" s="244"/>
      <c r="O287" s="244"/>
    </row>
    <row r="288" spans="1:15" ht="103.5" hidden="1" x14ac:dyDescent="0.2">
      <c r="A288" s="12">
        <f>SUBTOTAL(103,$B$8:B288)+241</f>
        <v>374</v>
      </c>
      <c r="B288" s="33"/>
      <c r="C288" s="7" t="s">
        <v>118</v>
      </c>
      <c r="D288" s="13"/>
      <c r="E288" s="13"/>
      <c r="F288" s="13"/>
      <c r="G288" s="13"/>
      <c r="H288" s="13"/>
      <c r="I288" s="21"/>
      <c r="J288" s="242"/>
      <c r="K288" s="242"/>
      <c r="L288" s="244"/>
      <c r="M288" s="244"/>
      <c r="N288" s="244"/>
      <c r="O288" s="244"/>
    </row>
    <row r="289" spans="1:15" ht="86.25" hidden="1" x14ac:dyDescent="0.2">
      <c r="A289" s="12">
        <f>SUBTOTAL(103,$B$8:B289)+241</f>
        <v>374</v>
      </c>
      <c r="B289" s="8"/>
      <c r="C289" s="7" t="s">
        <v>131</v>
      </c>
      <c r="D289" s="13"/>
      <c r="E289" s="13"/>
      <c r="F289" s="13"/>
      <c r="G289" s="13"/>
      <c r="H289" s="13"/>
      <c r="I289" s="21"/>
      <c r="J289" s="242"/>
      <c r="K289" s="242"/>
      <c r="L289" s="244"/>
      <c r="M289" s="244"/>
      <c r="N289" s="244"/>
      <c r="O289" s="244"/>
    </row>
    <row r="290" spans="1:15" ht="86.25" hidden="1" x14ac:dyDescent="0.2">
      <c r="A290" s="12">
        <f>SUBTOTAL(103,$B$8:B290)+241</f>
        <v>374</v>
      </c>
      <c r="B290" s="8"/>
      <c r="C290" s="7" t="s">
        <v>311</v>
      </c>
      <c r="D290" s="13"/>
      <c r="E290" s="13"/>
      <c r="F290" s="13"/>
      <c r="G290" s="13"/>
      <c r="H290" s="13"/>
      <c r="I290" s="21"/>
      <c r="J290" s="242"/>
      <c r="K290" s="242"/>
      <c r="L290" s="244"/>
      <c r="M290" s="244"/>
      <c r="N290" s="244"/>
      <c r="O290" s="244"/>
    </row>
    <row r="291" spans="1:15" ht="103.5" hidden="1" x14ac:dyDescent="0.2">
      <c r="A291" s="12">
        <f>SUBTOTAL(103,$B$8:B291)+241</f>
        <v>374</v>
      </c>
      <c r="B291" s="8"/>
      <c r="C291" s="7" t="s">
        <v>204</v>
      </c>
      <c r="D291" s="13"/>
      <c r="E291" s="13"/>
      <c r="F291" s="13"/>
      <c r="G291" s="13"/>
      <c r="H291" s="13"/>
      <c r="I291" s="21"/>
      <c r="J291" s="242"/>
      <c r="K291" s="242"/>
      <c r="L291" s="244"/>
      <c r="M291" s="244"/>
      <c r="N291" s="244"/>
      <c r="O291" s="244"/>
    </row>
    <row r="292" spans="1:15" ht="86.25" hidden="1" x14ac:dyDescent="0.2">
      <c r="A292" s="12">
        <f>SUBTOTAL(103,$B$8:B292)+241</f>
        <v>374</v>
      </c>
      <c r="B292" s="8"/>
      <c r="C292" s="7" t="s">
        <v>203</v>
      </c>
      <c r="D292" s="13"/>
      <c r="E292" s="13"/>
      <c r="F292" s="13"/>
      <c r="G292" s="13"/>
      <c r="H292" s="13"/>
      <c r="I292" s="21"/>
      <c r="J292" s="242"/>
      <c r="K292" s="242"/>
      <c r="L292" s="244"/>
      <c r="M292" s="244"/>
      <c r="N292" s="244"/>
      <c r="O292" s="244"/>
    </row>
    <row r="293" spans="1:15" ht="103.5" hidden="1" x14ac:dyDescent="0.2">
      <c r="A293" s="12">
        <f>SUBTOTAL(103,$B$8:B293)+241</f>
        <v>374</v>
      </c>
      <c r="B293" s="8"/>
      <c r="C293" s="7" t="s">
        <v>260</v>
      </c>
      <c r="D293" s="13"/>
      <c r="E293" s="13"/>
      <c r="F293" s="13"/>
      <c r="G293" s="13"/>
      <c r="H293" s="13"/>
      <c r="I293" s="21"/>
      <c r="J293" s="242"/>
      <c r="K293" s="242"/>
      <c r="L293" s="244"/>
      <c r="M293" s="244"/>
      <c r="N293" s="244"/>
      <c r="O293" s="244"/>
    </row>
    <row r="294" spans="1:15" ht="86.25" hidden="1" x14ac:dyDescent="0.2">
      <c r="A294" s="12">
        <f>SUBTOTAL(103,$B$8:B294)+241</f>
        <v>374</v>
      </c>
      <c r="B294" s="8"/>
      <c r="C294" s="7" t="s">
        <v>261</v>
      </c>
      <c r="D294" s="13"/>
      <c r="E294" s="13"/>
      <c r="F294" s="13"/>
      <c r="G294" s="13"/>
      <c r="H294" s="13"/>
      <c r="I294" s="21"/>
      <c r="J294" s="242"/>
      <c r="K294" s="242"/>
      <c r="L294" s="244"/>
      <c r="M294" s="244"/>
      <c r="N294" s="244"/>
      <c r="O294" s="244"/>
    </row>
    <row r="295" spans="1:15" ht="69" hidden="1" x14ac:dyDescent="0.2">
      <c r="A295" s="12">
        <f>SUBTOTAL(103,$B$8:B295)+241</f>
        <v>374</v>
      </c>
      <c r="B295" s="8"/>
      <c r="C295" s="7" t="s">
        <v>458</v>
      </c>
      <c r="D295" s="13"/>
      <c r="E295" s="13"/>
      <c r="F295" s="13"/>
      <c r="G295" s="13"/>
      <c r="H295" s="13"/>
      <c r="I295" s="21"/>
      <c r="J295" s="242"/>
      <c r="K295" s="242"/>
      <c r="L295" s="244"/>
      <c r="M295" s="244"/>
      <c r="N295" s="244"/>
      <c r="O295" s="244"/>
    </row>
    <row r="296" spans="1:15" ht="120.75" hidden="1" x14ac:dyDescent="0.2">
      <c r="A296" s="12">
        <f>SUBTOTAL(103,$B$8:B296)+241</f>
        <v>374</v>
      </c>
      <c r="B296" s="8"/>
      <c r="C296" s="7" t="s">
        <v>464</v>
      </c>
      <c r="D296" s="13"/>
      <c r="E296" s="13"/>
      <c r="F296" s="13"/>
      <c r="G296" s="13"/>
      <c r="H296" s="13"/>
      <c r="I296" s="21"/>
      <c r="J296" s="242"/>
      <c r="K296" s="242"/>
      <c r="L296" s="244"/>
      <c r="M296" s="244"/>
      <c r="N296" s="244"/>
      <c r="O296" s="244"/>
    </row>
    <row r="297" spans="1:15" ht="18" hidden="1" x14ac:dyDescent="0.2">
      <c r="A297" s="12">
        <f>SUBTOTAL(103,$B$8:B297)+241</f>
        <v>374</v>
      </c>
      <c r="B297" s="8"/>
      <c r="D297" s="13"/>
      <c r="E297" s="13"/>
      <c r="F297" s="13"/>
      <c r="G297" s="13"/>
      <c r="H297" s="13"/>
      <c r="I297" s="21"/>
      <c r="J297" s="242"/>
      <c r="K297" s="242"/>
      <c r="L297" s="244"/>
      <c r="M297" s="244"/>
      <c r="N297" s="244"/>
      <c r="O297" s="244"/>
    </row>
    <row r="298" spans="1:15" hidden="1" x14ac:dyDescent="0.2">
      <c r="J298" s="224"/>
      <c r="K298" s="224"/>
      <c r="L298" s="216"/>
      <c r="M298" s="216"/>
      <c r="N298" s="216"/>
      <c r="O298" s="216"/>
    </row>
    <row r="299" spans="1:15" hidden="1" x14ac:dyDescent="0.2">
      <c r="J299" s="224"/>
      <c r="K299" s="224"/>
      <c r="L299" s="216"/>
      <c r="M299" s="216"/>
      <c r="N299" s="216"/>
      <c r="O299" s="216"/>
    </row>
    <row r="300" spans="1:15" x14ac:dyDescent="0.2">
      <c r="A300" s="168" t="s">
        <v>9</v>
      </c>
      <c r="B300" s="169"/>
      <c r="C300" s="170"/>
      <c r="D300" s="67">
        <f>D302+D303+D304+D305+D306+D307+D308+D309+D310+D311</f>
        <v>7151039</v>
      </c>
      <c r="E300" s="67">
        <f>E302+E303+E304+E305+E306+E307+E308+E309+E310+E311</f>
        <v>5777500.9899999993</v>
      </c>
      <c r="F300" s="67">
        <f>D300-E300</f>
        <v>1373538.0100000007</v>
      </c>
      <c r="G300" s="67">
        <f>G302+G303+G304+G305+G306+G307+G308+G309+G310+G311</f>
        <v>5400403.3100000005</v>
      </c>
      <c r="H300" s="67">
        <f>D300-G300</f>
        <v>1750635.6899999995</v>
      </c>
      <c r="I300" s="68">
        <f>IF(D300=0,0,G300/D300)</f>
        <v>0.75519142183394616</v>
      </c>
      <c r="J300" s="220"/>
      <c r="K300" s="220"/>
      <c r="L300" s="246"/>
      <c r="M300" s="246"/>
      <c r="N300" s="246"/>
      <c r="O300" s="246"/>
    </row>
    <row r="301" spans="1:15" ht="34.5" hidden="1" x14ac:dyDescent="0.2">
      <c r="A301" s="4">
        <v>291</v>
      </c>
      <c r="B301" s="6"/>
      <c r="C301" s="7" t="s">
        <v>30</v>
      </c>
      <c r="D301" s="9"/>
      <c r="E301" s="9"/>
      <c r="F301" s="9"/>
      <c r="G301" s="9"/>
      <c r="H301" s="9"/>
      <c r="I301" s="16"/>
      <c r="J301" s="242"/>
      <c r="K301" s="242"/>
      <c r="L301" s="247"/>
      <c r="M301" s="247"/>
      <c r="N301" s="247"/>
      <c r="O301" s="247"/>
    </row>
    <row r="302" spans="1:15" ht="12.75" x14ac:dyDescent="0.2">
      <c r="A302" s="52">
        <f>SUBTOTAL(103,$B$8:B302)+287</f>
        <v>421</v>
      </c>
      <c r="B302" s="76">
        <v>213</v>
      </c>
      <c r="C302" s="82" t="s">
        <v>93</v>
      </c>
      <c r="D302" s="77">
        <f>IF(COUNTIF(tSIAF[Clave],"2001621|213")=0,"",SUMIF(tSIAF[Clave],"2001621|213",tSIAF[PIM]))</f>
        <v>185239</v>
      </c>
      <c r="E302" s="77">
        <f>IF(COUNTIF(tSIAF[Clave],"2001621|213")=0,"",SUMIF(tSIAF[Clave],"2001621|213",tSIAF[Certificacion]))</f>
        <v>0</v>
      </c>
      <c r="F302" s="77">
        <f>IF(D302="","",D302-E302)</f>
        <v>185239</v>
      </c>
      <c r="G302" s="77">
        <f>IF(COUNTIF(tSIAF[Clave],"2001621|213")=0,"",SUMIF(tSIAF[Clave],"2001621|213",tSIAF[Devengado]))</f>
        <v>0</v>
      </c>
      <c r="H302" s="77">
        <f>IF(D302="","",D302-G302)</f>
        <v>185239</v>
      </c>
      <c r="I302" s="78">
        <f>IF(D302="","",IF(D302=0,0,G302/D302))</f>
        <v>0</v>
      </c>
      <c r="J302" s="227"/>
      <c r="K302" s="227" t="s">
        <v>2299</v>
      </c>
      <c r="L302" s="248" t="str">
        <f>IF(COUNTIF(tCartera[CUI],"2001621")=0,"Sin PMI",IF(INDEX(tCartera[PMI2026],MATCH("2001621",tCartera[CUI],0))="","No informado",INDEX(tCartera[PMI2026],MATCH("2001621",tCartera[CUI],0))))</f>
        <v>Sin PMI</v>
      </c>
      <c r="M302" s="248" t="str">
        <f>IF(COUNTIF(tCartera[CUI],"2001621")=0,"Sin PMI",IF(INDEX(tCartera[PMI2027],MATCH("2001621",tCartera[CUI],0))="","No informado",INDEX(tCartera[PMI2027],MATCH("2001621",tCartera[CUI],0))))</f>
        <v>Sin PMI</v>
      </c>
      <c r="N302" s="248" t="str">
        <f>IF(COUNTIF(tCartera[CUI],"2001621")=0,"Sin PMI",IF(INDEX(tCartera[PMI2028],MATCH("2001621",tCartera[CUI],0))="","No informado",INDEX(tCartera[PMI2028],MATCH("2001621",tCartera[CUI],0))))</f>
        <v>Sin PMI</v>
      </c>
      <c r="O302" s="248" t="str">
        <f>IF(COUNTIF(tCartera[CUI],"2001621")=0,"Sin PMI",IF(INDEX(tCartera[PMI2029],MATCH("2001621",tCartera[CUI],0))="","No informado",INDEX(tCartera[PMI2029],MATCH("2001621",tCartera[CUI],0))))</f>
        <v>Sin PMI</v>
      </c>
    </row>
    <row r="303" spans="1:15" ht="12.75" x14ac:dyDescent="0.2">
      <c r="A303" s="52">
        <f>SUBTOTAL(103,$B$8:B303)+287</f>
        <v>422</v>
      </c>
      <c r="B303" s="76">
        <v>214</v>
      </c>
      <c r="C303" s="82" t="s">
        <v>93</v>
      </c>
      <c r="D303" s="77">
        <f>IF(COUNTIF(tSIAF[Clave],"2001621|214")=0,"",SUMIF(tSIAF[Clave],"2001621|214",tSIAF[PIM]))</f>
        <v>39457</v>
      </c>
      <c r="E303" s="77">
        <f>IF(COUNTIF(tSIAF[Clave],"2001621|214")=0,"",SUMIF(tSIAF[Clave],"2001621|214",tSIAF[Certificacion]))</f>
        <v>0</v>
      </c>
      <c r="F303" s="77">
        <f>IF(D303="","",D303-E303)</f>
        <v>39457</v>
      </c>
      <c r="G303" s="77">
        <f>IF(COUNTIF(tSIAF[Clave],"2001621|214")=0,"",SUMIF(tSIAF[Clave],"2001621|214",tSIAF[Devengado]))</f>
        <v>0</v>
      </c>
      <c r="H303" s="77">
        <f>IF(D303="","",D303-G303)</f>
        <v>39457</v>
      </c>
      <c r="I303" s="78">
        <f>IF(D303="","",IF(D303=0,0,G303/D303))</f>
        <v>0</v>
      </c>
      <c r="J303" s="227"/>
      <c r="K303" s="227" t="s">
        <v>2299</v>
      </c>
      <c r="L303" s="248" t="str">
        <f>IF(COUNTIF(tCartera[CUI],"2001621")=0,"Sin PMI",IF(INDEX(tCartera[PMI2026],MATCH("2001621",tCartera[CUI],0))="","No informado",INDEX(tCartera[PMI2026],MATCH("2001621",tCartera[CUI],0))))</f>
        <v>Sin PMI</v>
      </c>
      <c r="M303" s="248" t="str">
        <f>IF(COUNTIF(tCartera[CUI],"2001621")=0,"Sin PMI",IF(INDEX(tCartera[PMI2027],MATCH("2001621",tCartera[CUI],0))="","No informado",INDEX(tCartera[PMI2027],MATCH("2001621",tCartera[CUI],0))))</f>
        <v>Sin PMI</v>
      </c>
      <c r="N303" s="248" t="str">
        <f>IF(COUNTIF(tCartera[CUI],"2001621")=0,"Sin PMI",IF(INDEX(tCartera[PMI2028],MATCH("2001621",tCartera[CUI],0))="","No informado",INDEX(tCartera[PMI2028],MATCH("2001621",tCartera[CUI],0))))</f>
        <v>Sin PMI</v>
      </c>
      <c r="O303" s="248" t="str">
        <f>IF(COUNTIF(tCartera[CUI],"2001621")=0,"Sin PMI",IF(INDEX(tCartera[PMI2029],MATCH("2001621",tCartera[CUI],0))="","No informado",INDEX(tCartera[PMI2029],MATCH("2001621",tCartera[CUI],0))))</f>
        <v>Sin PMI</v>
      </c>
    </row>
    <row r="304" spans="1:15" ht="12.75" hidden="1" x14ac:dyDescent="0.2">
      <c r="A304" s="52">
        <f>SUBTOTAL(103,$B$8:B304)+287</f>
        <v>422</v>
      </c>
      <c r="B304" s="76">
        <v>215</v>
      </c>
      <c r="C304" s="82" t="s">
        <v>93</v>
      </c>
      <c r="D304" s="77">
        <f>IF(COUNTIF(tSIAF[Clave],"2001621|215")=0,"",SUMIF(tSIAF[Clave],"2001621|215",tSIAF[PIM]))</f>
        <v>0</v>
      </c>
      <c r="E304" s="77">
        <f>IF(COUNTIF(tSIAF[Clave],"2001621|215")=0,"",SUMIF(tSIAF[Clave],"2001621|215",tSIAF[Certificacion]))</f>
        <v>0</v>
      </c>
      <c r="F304" s="77">
        <f>IF(D304="","",D304-E304)</f>
        <v>0</v>
      </c>
      <c r="G304" s="77">
        <f>IF(COUNTIF(tSIAF[Clave],"2001621|215")=0,"",SUMIF(tSIAF[Clave],"2001621|215",tSIAF[Devengado]))</f>
        <v>0</v>
      </c>
      <c r="H304" s="77">
        <f>IF(D304="","",D304-G304)</f>
        <v>0</v>
      </c>
      <c r="I304" s="78">
        <f>IF(D304="","",IF(D304=0,0,G304/D304))</f>
        <v>0</v>
      </c>
      <c r="J304" s="227"/>
      <c r="K304" s="227" t="s">
        <v>2299</v>
      </c>
      <c r="L304" s="248" t="str">
        <f>IF(COUNTIF(tCartera[CUI],"2001621")=0,"Sin PMI",IF(INDEX(tCartera[PMI2026],MATCH("2001621",tCartera[CUI],0))="","No informado",INDEX(tCartera[PMI2026],MATCH("2001621",tCartera[CUI],0))))</f>
        <v>Sin PMI</v>
      </c>
      <c r="M304" s="248" t="str">
        <f>IF(COUNTIF(tCartera[CUI],"2001621")=0,"Sin PMI",IF(INDEX(tCartera[PMI2027],MATCH("2001621",tCartera[CUI],0))="","No informado",INDEX(tCartera[PMI2027],MATCH("2001621",tCartera[CUI],0))))</f>
        <v>Sin PMI</v>
      </c>
      <c r="N304" s="248" t="str">
        <f>IF(COUNTIF(tCartera[CUI],"2001621")=0,"Sin PMI",IF(INDEX(tCartera[PMI2028],MATCH("2001621",tCartera[CUI],0))="","No informado",INDEX(tCartera[PMI2028],MATCH("2001621",tCartera[CUI],0))))</f>
        <v>Sin PMI</v>
      </c>
      <c r="O304" s="248" t="str">
        <f>IF(COUNTIF(tCartera[CUI],"2001621")=0,"Sin PMI",IF(INDEX(tCartera[PMI2029],MATCH("2001621",tCartera[CUI],0))="","No informado",INDEX(tCartera[PMI2029],MATCH("2001621",tCartera[CUI],0))))</f>
        <v>Sin PMI</v>
      </c>
    </row>
    <row r="305" spans="1:15" ht="12.75" x14ac:dyDescent="0.2">
      <c r="A305" s="52">
        <f>SUBTOTAL(103,$B$8:B305)+287</f>
        <v>423</v>
      </c>
      <c r="B305" s="76">
        <v>428</v>
      </c>
      <c r="C305" s="82" t="s">
        <v>93</v>
      </c>
      <c r="D305" s="77">
        <f>IF(COUNTIF(tSIAF[Clave],"2001621|428")=0,"",SUMIF(tSIAF[Clave],"2001621|428",tSIAF[PIM]))</f>
        <v>1185238</v>
      </c>
      <c r="E305" s="77">
        <f>IF(COUNTIF(tSIAF[Clave],"2001621|428")=0,"",SUMIF(tSIAF[Clave],"2001621|428",tSIAF[Certificacion]))</f>
        <v>1131681.4099999999</v>
      </c>
      <c r="F305" s="77">
        <f>IF(D305="","",D305-E305)</f>
        <v>53556.590000000084</v>
      </c>
      <c r="G305" s="77">
        <f>IF(COUNTIF(tSIAF[Clave],"2001621|428")=0,"",SUMIF(tSIAF[Clave],"2001621|428",tSIAF[Devengado]))</f>
        <v>1093656.3799999999</v>
      </c>
      <c r="H305" s="77">
        <f>IF(D305="","",D305-G305)</f>
        <v>91581.620000000112</v>
      </c>
      <c r="I305" s="78">
        <f>IF(D305="","",IF(D305=0,0,G305/D305))</f>
        <v>0.9227314514046967</v>
      </c>
      <c r="J305" s="227"/>
      <c r="K305" s="227" t="s">
        <v>2299</v>
      </c>
      <c r="L305" s="248" t="str">
        <f>IF(COUNTIF(tCartera[CUI],"2001621")=0,"Sin PMI",IF(INDEX(tCartera[PMI2026],MATCH("2001621",tCartera[CUI],0))="","No informado",INDEX(tCartera[PMI2026],MATCH("2001621",tCartera[CUI],0))))</f>
        <v>Sin PMI</v>
      </c>
      <c r="M305" s="248" t="str">
        <f>IF(COUNTIF(tCartera[CUI],"2001621")=0,"Sin PMI",IF(INDEX(tCartera[PMI2027],MATCH("2001621",tCartera[CUI],0))="","No informado",INDEX(tCartera[PMI2027],MATCH("2001621",tCartera[CUI],0))))</f>
        <v>Sin PMI</v>
      </c>
      <c r="N305" s="248" t="str">
        <f>IF(COUNTIF(tCartera[CUI],"2001621")=0,"Sin PMI",IF(INDEX(tCartera[PMI2028],MATCH("2001621",tCartera[CUI],0))="","No informado",INDEX(tCartera[PMI2028],MATCH("2001621",tCartera[CUI],0))))</f>
        <v>Sin PMI</v>
      </c>
      <c r="O305" s="248" t="str">
        <f>IF(COUNTIF(tCartera[CUI],"2001621")=0,"Sin PMI",IF(INDEX(tCartera[PMI2029],MATCH("2001621",tCartera[CUI],0))="","No informado",INDEX(tCartera[PMI2029],MATCH("2001621",tCartera[CUI],0))))</f>
        <v>Sin PMI</v>
      </c>
    </row>
    <row r="306" spans="1:15" ht="12.75" x14ac:dyDescent="0.2">
      <c r="A306" s="52">
        <f>SUBTOTAL(103,$B$8:B306)+287</f>
        <v>424</v>
      </c>
      <c r="B306" s="76">
        <v>429</v>
      </c>
      <c r="C306" s="82" t="s">
        <v>93</v>
      </c>
      <c r="D306" s="77">
        <f>IF(COUNTIF(tSIAF[Clave],"2001621|429")=0,"",SUMIF(tSIAF[Clave],"2001621|429",tSIAF[PIM]))</f>
        <v>303086</v>
      </c>
      <c r="E306" s="77">
        <f>IF(COUNTIF(tSIAF[Clave],"2001621|429")=0,"",SUMIF(tSIAF[Clave],"2001621|429",tSIAF[Certificacion]))</f>
        <v>276239.45</v>
      </c>
      <c r="F306" s="77">
        <f>IF(D306="","",D306-E306)</f>
        <v>26846.549999999988</v>
      </c>
      <c r="G306" s="77">
        <f>IF(COUNTIF(tSIAF[Clave],"2001621|429")=0,"",SUMIF(tSIAF[Clave],"2001621|429",tSIAF[Devengado]))</f>
        <v>275941</v>
      </c>
      <c r="H306" s="77">
        <f>IF(D306="","",D306-G306)</f>
        <v>27145</v>
      </c>
      <c r="I306" s="78">
        <f>IF(D306="","",IF(D306=0,0,G306/D306))</f>
        <v>0.91043796150267586</v>
      </c>
      <c r="J306" s="227"/>
      <c r="K306" s="227" t="s">
        <v>2299</v>
      </c>
      <c r="L306" s="248" t="str">
        <f>IF(COUNTIF(tCartera[CUI],"2001621")=0,"Sin PMI",IF(INDEX(tCartera[PMI2026],MATCH("2001621",tCartera[CUI],0))="","No informado",INDEX(tCartera[PMI2026],MATCH("2001621",tCartera[CUI],0))))</f>
        <v>Sin PMI</v>
      </c>
      <c r="M306" s="248" t="str">
        <f>IF(COUNTIF(tCartera[CUI],"2001621")=0,"Sin PMI",IF(INDEX(tCartera[PMI2027],MATCH("2001621",tCartera[CUI],0))="","No informado",INDEX(tCartera[PMI2027],MATCH("2001621",tCartera[CUI],0))))</f>
        <v>Sin PMI</v>
      </c>
      <c r="N306" s="248" t="str">
        <f>IF(COUNTIF(tCartera[CUI],"2001621")=0,"Sin PMI",IF(INDEX(tCartera[PMI2028],MATCH("2001621",tCartera[CUI],0))="","No informado",INDEX(tCartera[PMI2028],MATCH("2001621",tCartera[CUI],0))))</f>
        <v>Sin PMI</v>
      </c>
      <c r="O306" s="248" t="str">
        <f>IF(COUNTIF(tCartera[CUI],"2001621")=0,"Sin PMI",IF(INDEX(tCartera[PMI2029],MATCH("2001621",tCartera[CUI],0))="","No informado",INDEX(tCartera[PMI2029],MATCH("2001621",tCartera[CUI],0))))</f>
        <v>Sin PMI</v>
      </c>
    </row>
    <row r="307" spans="1:15" ht="12.75" x14ac:dyDescent="0.2">
      <c r="A307" s="52">
        <f>SUBTOTAL(103,$B$8:B307)+287</f>
        <v>425</v>
      </c>
      <c r="B307" s="76">
        <v>430</v>
      </c>
      <c r="C307" s="82" t="s">
        <v>93</v>
      </c>
      <c r="D307" s="77">
        <f>IF(COUNTIF(tSIAF[Clave],"2001621|430")=0,"",SUMIF(tSIAF[Clave],"2001621|430",tSIAF[PIM]))</f>
        <v>1857675</v>
      </c>
      <c r="E307" s="77">
        <f>IF(COUNTIF(tSIAF[Clave],"2001621|430")=0,"",SUMIF(tSIAF[Clave],"2001621|430",tSIAF[Certificacion]))</f>
        <v>1434566.03</v>
      </c>
      <c r="F307" s="77">
        <f>IF(D307="","",D307-E307)</f>
        <v>423108.97</v>
      </c>
      <c r="G307" s="77">
        <f>IF(COUNTIF(tSIAF[Clave],"2001621|430")=0,"",SUMIF(tSIAF[Clave],"2001621|430",tSIAF[Devengado]))</f>
        <v>1386835.53</v>
      </c>
      <c r="H307" s="77">
        <f>IF(D307="","",D307-G307)</f>
        <v>470839.47</v>
      </c>
      <c r="I307" s="78">
        <f>IF(D307="","",IF(D307=0,0,G307/D307))</f>
        <v>0.74654367959949941</v>
      </c>
      <c r="J307" s="227"/>
      <c r="K307" s="227" t="s">
        <v>2299</v>
      </c>
      <c r="L307" s="248" t="str">
        <f>IF(COUNTIF(tCartera[CUI],"2001621")=0,"Sin PMI",IF(INDEX(tCartera[PMI2026],MATCH("2001621",tCartera[CUI],0))="","No informado",INDEX(tCartera[PMI2026],MATCH("2001621",tCartera[CUI],0))))</f>
        <v>Sin PMI</v>
      </c>
      <c r="M307" s="248" t="str">
        <f>IF(COUNTIF(tCartera[CUI],"2001621")=0,"Sin PMI",IF(INDEX(tCartera[PMI2027],MATCH("2001621",tCartera[CUI],0))="","No informado",INDEX(tCartera[PMI2027],MATCH("2001621",tCartera[CUI],0))))</f>
        <v>Sin PMI</v>
      </c>
      <c r="N307" s="248" t="str">
        <f>IF(COUNTIF(tCartera[CUI],"2001621")=0,"Sin PMI",IF(INDEX(tCartera[PMI2028],MATCH("2001621",tCartera[CUI],0))="","No informado",INDEX(tCartera[PMI2028],MATCH("2001621",tCartera[CUI],0))))</f>
        <v>Sin PMI</v>
      </c>
      <c r="O307" s="248" t="str">
        <f>IF(COUNTIF(tCartera[CUI],"2001621")=0,"Sin PMI",IF(INDEX(tCartera[PMI2029],MATCH("2001621",tCartera[CUI],0))="","No informado",INDEX(tCartera[PMI2029],MATCH("2001621",tCartera[CUI],0))))</f>
        <v>Sin PMI</v>
      </c>
    </row>
    <row r="308" spans="1:15" ht="12.75" x14ac:dyDescent="0.2">
      <c r="A308" s="52">
        <f>SUBTOTAL(103,$B$8:B308)+287</f>
        <v>426</v>
      </c>
      <c r="B308" s="76">
        <v>431</v>
      </c>
      <c r="C308" s="83" t="s">
        <v>93</v>
      </c>
      <c r="D308" s="77">
        <f>IF(COUNTIF(tSIAF[Clave],"2001621|431")=0,"",SUMIF(tSIAF[Clave],"2001621|431",tSIAF[PIM]))</f>
        <v>969006</v>
      </c>
      <c r="E308" s="77">
        <f>IF(COUNTIF(tSIAF[Clave],"2001621|431")=0,"",SUMIF(tSIAF[Clave],"2001621|431",tSIAF[Certificacion]))</f>
        <v>950663.44</v>
      </c>
      <c r="F308" s="77">
        <f>IF(D308="","",D308-E308)</f>
        <v>18342.560000000056</v>
      </c>
      <c r="G308" s="77">
        <f>IF(COUNTIF(tSIAF[Clave],"2001621|431")=0,"",SUMIF(tSIAF[Clave],"2001621|431",tSIAF[Devengado]))</f>
        <v>931576.35000000009</v>
      </c>
      <c r="H308" s="77">
        <f>IF(D308="","",D308-G308)</f>
        <v>37429.649999999907</v>
      </c>
      <c r="I308" s="78">
        <f>IF(D308="","",IF(D308=0,0,G308/D308))</f>
        <v>0.96137314939226393</v>
      </c>
      <c r="J308" s="227"/>
      <c r="K308" s="227" t="s">
        <v>2299</v>
      </c>
      <c r="L308" s="248" t="str">
        <f>IF(COUNTIF(tCartera[CUI],"2001621")=0,"Sin PMI",IF(INDEX(tCartera[PMI2026],MATCH("2001621",tCartera[CUI],0))="","No informado",INDEX(tCartera[PMI2026],MATCH("2001621",tCartera[CUI],0))))</f>
        <v>Sin PMI</v>
      </c>
      <c r="M308" s="248" t="str">
        <f>IF(COUNTIF(tCartera[CUI],"2001621")=0,"Sin PMI",IF(INDEX(tCartera[PMI2027],MATCH("2001621",tCartera[CUI],0))="","No informado",INDEX(tCartera[PMI2027],MATCH("2001621",tCartera[CUI],0))))</f>
        <v>Sin PMI</v>
      </c>
      <c r="N308" s="248" t="str">
        <f>IF(COUNTIF(tCartera[CUI],"2001621")=0,"Sin PMI",IF(INDEX(tCartera[PMI2028],MATCH("2001621",tCartera[CUI],0))="","No informado",INDEX(tCartera[PMI2028],MATCH("2001621",tCartera[CUI],0))))</f>
        <v>Sin PMI</v>
      </c>
      <c r="O308" s="248" t="str">
        <f>IF(COUNTIF(tCartera[CUI],"2001621")=0,"Sin PMI",IF(INDEX(tCartera[PMI2029],MATCH("2001621",tCartera[CUI],0))="","No informado",INDEX(tCartera[PMI2029],MATCH("2001621",tCartera[CUI],0))))</f>
        <v>Sin PMI</v>
      </c>
    </row>
    <row r="309" spans="1:15" ht="12.75" x14ac:dyDescent="0.2">
      <c r="A309" s="52">
        <f>SUBTOTAL(103,$B$8:B309)+287</f>
        <v>427</v>
      </c>
      <c r="B309" s="76">
        <v>432</v>
      </c>
      <c r="C309" s="82" t="s">
        <v>93</v>
      </c>
      <c r="D309" s="77">
        <f>IF(COUNTIF(tSIAF[Clave],"2001621|432")=0,"",SUMIF(tSIAF[Clave],"2001621|432",tSIAF[PIM]))</f>
        <v>1758508</v>
      </c>
      <c r="E309" s="77">
        <f>IF(COUNTIF(tSIAF[Clave],"2001621|432")=0,"",SUMIF(tSIAF[Clave],"2001621|432",tSIAF[Certificacion]))</f>
        <v>1286418.47</v>
      </c>
      <c r="F309" s="77">
        <f>IF(D309="","",D309-E309)</f>
        <v>472089.53</v>
      </c>
      <c r="G309" s="77">
        <f>IF(COUNTIF(tSIAF[Clave],"2001621|432")=0,"",SUMIF(tSIAF[Clave],"2001621|432",tSIAF[Devengado]))</f>
        <v>1212625.8700000001</v>
      </c>
      <c r="H309" s="77">
        <f>IF(D309="","",D309-G309)</f>
        <v>545882.12999999989</v>
      </c>
      <c r="I309" s="78">
        <f>IF(D309="","",IF(D309=0,0,G309/D309))</f>
        <v>0.68957654443425909</v>
      </c>
      <c r="J309" s="227"/>
      <c r="K309" s="227" t="s">
        <v>2299</v>
      </c>
      <c r="L309" s="248" t="str">
        <f>IF(COUNTIF(tCartera[CUI],"2001621")=0,"Sin PMI",IF(INDEX(tCartera[PMI2026],MATCH("2001621",tCartera[CUI],0))="","No informado",INDEX(tCartera[PMI2026],MATCH("2001621",tCartera[CUI],0))))</f>
        <v>Sin PMI</v>
      </c>
      <c r="M309" s="248" t="str">
        <f>IF(COUNTIF(tCartera[CUI],"2001621")=0,"Sin PMI",IF(INDEX(tCartera[PMI2027],MATCH("2001621",tCartera[CUI],0))="","No informado",INDEX(tCartera[PMI2027],MATCH("2001621",tCartera[CUI],0))))</f>
        <v>Sin PMI</v>
      </c>
      <c r="N309" s="248" t="str">
        <f>IF(COUNTIF(tCartera[CUI],"2001621")=0,"Sin PMI",IF(INDEX(tCartera[PMI2028],MATCH("2001621",tCartera[CUI],0))="","No informado",INDEX(tCartera[PMI2028],MATCH("2001621",tCartera[CUI],0))))</f>
        <v>Sin PMI</v>
      </c>
      <c r="O309" s="248" t="str">
        <f>IF(COUNTIF(tCartera[CUI],"2001621")=0,"Sin PMI",IF(INDEX(tCartera[PMI2029],MATCH("2001621",tCartera[CUI],0))="","No informado",INDEX(tCartera[PMI2029],MATCH("2001621",tCartera[CUI],0))))</f>
        <v>Sin PMI</v>
      </c>
    </row>
    <row r="310" spans="1:15" ht="12.75" x14ac:dyDescent="0.2">
      <c r="A310" s="52">
        <f>SUBTOTAL(103,$B$8:B310)+287</f>
        <v>428</v>
      </c>
      <c r="B310" s="76">
        <v>436</v>
      </c>
      <c r="C310" s="82" t="s">
        <v>93</v>
      </c>
      <c r="D310" s="77">
        <f>IF(COUNTIF(tSIAF[Clave],"2001621|436")=0,"",SUMIF(tSIAF[Clave],"2001621|436",tSIAF[PIM]))</f>
        <v>768405</v>
      </c>
      <c r="E310" s="77">
        <f>IF(COUNTIF(tSIAF[Clave],"2001621|436")=0,"",SUMIF(tSIAF[Clave],"2001621|436",tSIAF[Certificacion]))</f>
        <v>618712.31000000006</v>
      </c>
      <c r="F310" s="77">
        <f>IF(D310="","",D310-E310)</f>
        <v>149692.68999999994</v>
      </c>
      <c r="G310" s="77">
        <f>IF(COUNTIF(tSIAF[Clave],"2001621|436")=0,"",SUMIF(tSIAF[Clave],"2001621|436",tSIAF[Devengado]))</f>
        <v>420548.3</v>
      </c>
      <c r="H310" s="77">
        <f>IF(D310="","",D310-G310)</f>
        <v>347856.7</v>
      </c>
      <c r="I310" s="78">
        <f>IF(D310="","",IF(D310=0,0,G310/D310))</f>
        <v>0.54730031689018155</v>
      </c>
      <c r="J310" s="227"/>
      <c r="K310" s="227" t="s">
        <v>2299</v>
      </c>
      <c r="L310" s="248" t="str">
        <f>IF(COUNTIF(tCartera[CUI],"2001621")=0,"Sin PMI",IF(INDEX(tCartera[PMI2026],MATCH("2001621",tCartera[CUI],0))="","No informado",INDEX(tCartera[PMI2026],MATCH("2001621",tCartera[CUI],0))))</f>
        <v>Sin PMI</v>
      </c>
      <c r="M310" s="248" t="str">
        <f>IF(COUNTIF(tCartera[CUI],"2001621")=0,"Sin PMI",IF(INDEX(tCartera[PMI2027],MATCH("2001621",tCartera[CUI],0))="","No informado",INDEX(tCartera[PMI2027],MATCH("2001621",tCartera[CUI],0))))</f>
        <v>Sin PMI</v>
      </c>
      <c r="N310" s="248" t="str">
        <f>IF(COUNTIF(tCartera[CUI],"2001621")=0,"Sin PMI",IF(INDEX(tCartera[PMI2028],MATCH("2001621",tCartera[CUI],0))="","No informado",INDEX(tCartera[PMI2028],MATCH("2001621",tCartera[CUI],0))))</f>
        <v>Sin PMI</v>
      </c>
      <c r="O310" s="248" t="str">
        <f>IF(COUNTIF(tCartera[CUI],"2001621")=0,"Sin PMI",IF(INDEX(tCartera[PMI2029],MATCH("2001621",tCartera[CUI],0))="","No informado",INDEX(tCartera[PMI2029],MATCH("2001621",tCartera[CUI],0))))</f>
        <v>Sin PMI</v>
      </c>
    </row>
    <row r="311" spans="1:15" ht="12.75" x14ac:dyDescent="0.2">
      <c r="A311" s="52">
        <f>SUBTOTAL(103,$B$8:B311)+287</f>
        <v>429</v>
      </c>
      <c r="B311" s="76">
        <v>481</v>
      </c>
      <c r="C311" s="82" t="s">
        <v>93</v>
      </c>
      <c r="D311" s="77">
        <f>IF(COUNTIF(tSIAF[Clave],"2001621|481")=0,"",SUMIF(tSIAF[Clave],"2001621|481",tSIAF[PIM]))</f>
        <v>84425</v>
      </c>
      <c r="E311" s="77">
        <f>IF(COUNTIF(tSIAF[Clave],"2001621|481")=0,"",SUMIF(tSIAF[Clave],"2001621|481",tSIAF[Certificacion]))</f>
        <v>79219.88</v>
      </c>
      <c r="F311" s="77">
        <f>IF(D311="","",D311-E311)</f>
        <v>5205.1199999999953</v>
      </c>
      <c r="G311" s="77">
        <f>IF(COUNTIF(tSIAF[Clave],"2001621|481")=0,"",SUMIF(tSIAF[Clave],"2001621|481",tSIAF[Devengado]))</f>
        <v>79219.88</v>
      </c>
      <c r="H311" s="77">
        <f>IF(D311="","",D311-G311)</f>
        <v>5205.1199999999953</v>
      </c>
      <c r="I311" s="78">
        <f>IF(D311="","",IF(D311=0,0,G311/D311))</f>
        <v>0.9383462244595796</v>
      </c>
      <c r="J311" s="227"/>
      <c r="K311" s="227" t="s">
        <v>2299</v>
      </c>
      <c r="L311" s="248" t="str">
        <f>IF(COUNTIF(tCartera[CUI],"2001621")=0,"Sin PMI",IF(INDEX(tCartera[PMI2026],MATCH("2001621",tCartera[CUI],0))="","No informado",INDEX(tCartera[PMI2026],MATCH("2001621",tCartera[CUI],0))))</f>
        <v>Sin PMI</v>
      </c>
      <c r="M311" s="248" t="str">
        <f>IF(COUNTIF(tCartera[CUI],"2001621")=0,"Sin PMI",IF(INDEX(tCartera[PMI2027],MATCH("2001621",tCartera[CUI],0))="","No informado",INDEX(tCartera[PMI2027],MATCH("2001621",tCartera[CUI],0))))</f>
        <v>Sin PMI</v>
      </c>
      <c r="N311" s="248" t="str">
        <f>IF(COUNTIF(tCartera[CUI],"2001621")=0,"Sin PMI",IF(INDEX(tCartera[PMI2028],MATCH("2001621",tCartera[CUI],0))="","No informado",INDEX(tCartera[PMI2028],MATCH("2001621",tCartera[CUI],0))))</f>
        <v>Sin PMI</v>
      </c>
      <c r="O311" s="248" t="str">
        <f>IF(COUNTIF(tCartera[CUI],"2001621")=0,"Sin PMI",IF(INDEX(tCartera[PMI2029],MATCH("2001621",tCartera[CUI],0))="","No informado",INDEX(tCartera[PMI2029],MATCH("2001621",tCartera[CUI],0))))</f>
        <v>Sin PMI</v>
      </c>
    </row>
    <row r="312" spans="1:15" ht="18" hidden="1" x14ac:dyDescent="0.2">
      <c r="A312" s="4">
        <f>SUBTOTAL(103,$B$8:B312)+241</f>
        <v>383</v>
      </c>
      <c r="B312" s="35"/>
      <c r="C312" s="41" t="s">
        <v>93</v>
      </c>
      <c r="D312" s="9"/>
      <c r="E312" s="9"/>
      <c r="F312" s="9"/>
      <c r="G312" s="9"/>
      <c r="H312" s="9"/>
      <c r="I312" s="16"/>
      <c r="J312" s="242"/>
      <c r="K312" s="242"/>
      <c r="L312" s="247"/>
      <c r="M312" s="247"/>
      <c r="N312" s="247"/>
      <c r="O312" s="247"/>
    </row>
    <row r="313" spans="1:15" ht="18" hidden="1" x14ac:dyDescent="0.2">
      <c r="A313" s="4">
        <f>SUBTOTAL(103,$B$8:B313)+241</f>
        <v>383</v>
      </c>
      <c r="B313" s="35"/>
      <c r="C313" s="41" t="s">
        <v>93</v>
      </c>
      <c r="D313" s="9"/>
      <c r="E313" s="9"/>
      <c r="F313" s="9"/>
      <c r="G313" s="9"/>
      <c r="H313" s="9"/>
      <c r="I313" s="16"/>
      <c r="J313" s="242"/>
      <c r="K313" s="242"/>
      <c r="L313" s="247"/>
      <c r="M313" s="247"/>
      <c r="N313" s="247"/>
      <c r="O313" s="247"/>
    </row>
    <row r="314" spans="1:15" ht="15.75" x14ac:dyDescent="0.2">
      <c r="A314" s="165" t="s">
        <v>109</v>
      </c>
      <c r="B314" s="166"/>
      <c r="C314" s="167"/>
      <c r="D314" s="79">
        <f>SUM(D8,D9,D10,D11,D13,D14,D16,D17,D19,D20,D21,D22,D23,D24,D25,D26,D27,D28,D29,D30,D31,D32,D33,D34,D35,D36,D37,D38,D39,D40,D41,D42,D43,D44,D45,D46,D47,D48,D49,D50,D51,D52,D53,D54,D55,D56,D57,D58,D59,D60,D61,D62,D63,D64,D65,D66,D67,D68,D69,D70,D71,D72,D73,D74,D75,D76,D77,D78,D79,D80,D81,D82,D84,D85,D86,D87,D89,D90,D91,D92,D93,D94,D95,D194,D195,D196,D198,D200,D201,D202,D203,D204,D205,D206,D221,D222,D223,D226,D230,D235,D236,D237,D238,D239,D240,D241,D242,D243,D244,D245,D246,D247,D248,D249,D250,D251,D252,D253,D254,D255,D256,D257,D258,D259,D260,D261,D263,D264,D265,D266,D267,D268,D269,D270,D272,D273,D274,D276,D277,D279,D302,D303,D304,D305,D306,D307,D308,D309,D310,D311)+D316+'Gerencia de Infraestructura'!D905</f>
        <v>905026984</v>
      </c>
      <c r="E314" s="79">
        <f>SUM(E8,E9,E10,E11,E13,E14,E16,E17,E19,E20,E21,E22,E23,E24,E25,E26,E27,E28,E29,E30,E31,E32,E33,E34,E35,E36,E37,E38,E39,E40,E41,E42,E43,E44,E45,E46,E47,E48,E49,E50,E51,E52,E53,E54,E55,E56,E57,E58,E59,E60,E61,E62,E63,E64,E65,E66,E67,E68,E69,E70,E71,E72,E73,E74,E75,E76,E77,E78,E79,E80,E81,E82,E84,E85,E86,E87,E89,E90,E91,E92,E93,E94,E95,E194,E195,E196,E198,E200,E201,E202,E203,E204,E205,E206,E221,E222,E223,E226,E230,E235,E236,E237,E238,E239,E240,E241,E242,E243,E244,E245,E246,E247,E248,E249,E250,E251,E252,E253,E254,E255,E256,E257,E258,E259,E260,E261,E263,E264,E265,E266,E267,E268,E269,E270,E272,E273,E274,E276,E277,E279,E302,E303,E304,E305,E306,E307,E308,E309,E310,E311)+E316+'Gerencia de Infraestructura'!E905</f>
        <v>843143127.17999959</v>
      </c>
      <c r="F314" s="79">
        <f>D314-E314</f>
        <v>61883856.82000041</v>
      </c>
      <c r="G314" s="79">
        <f>SUM(G8,G9,G10,G11,G13,G14,G16,G17,G19,G20,G21,G22,G23,G24,G25,G26,G27,G28,G29,G30,G31,G32,G33,G34,G35,G36,G37,G38,G39,G40,G41,G42,G43,G44,G45,G46,G47,G48,G49,G50,G51,G52,G53,G54,G55,G56,G57,G58,G59,G60,G61,G62,G63,G64,G65,G66,G67,G68,G69,G70,G71,G72,G73,G74,G75,G76,G77,G78,G79,G80,G81,G82,G84,G85,G86,G87,G89,G90,G91,G92,G93,G94,G95,G194,G195,G196,G198,G200,G201,G202,G203,G204,G205,G206,G221,G222,G223,G226,G230,G235,G236,G237,G238,G239,G240,G241,G242,G243,G244,G245,G246,G247,G248,G249,G250,G251,G252,G253,G254,G255,G256,G257,G258,G259,G260,G261,G263,G264,G265,G266,G267,G268,G269,G270,G272,G273,G274,G276,G277,G279,G302,G303,G304,G305,G306,G307,G308,G309,G310,G311)+G316+'Gerencia de Infraestructura'!G905</f>
        <v>433575772.65000033</v>
      </c>
      <c r="H314" s="79">
        <f>D314-G314</f>
        <v>471451211.34999967</v>
      </c>
      <c r="I314" s="80">
        <f>IF(D314=0,0,G314/D314)</f>
        <v>0.47907496717247089</v>
      </c>
      <c r="J314" s="250"/>
      <c r="K314" s="250"/>
      <c r="L314" s="249"/>
      <c r="M314" s="249"/>
      <c r="N314" s="249"/>
      <c r="O314" s="249"/>
    </row>
    <row r="316" spans="1:15" x14ac:dyDescent="0.2">
      <c r="A316" s="161" t="s">
        <v>2301</v>
      </c>
      <c r="B316" s="162"/>
      <c r="C316" s="163"/>
      <c r="D316" s="48">
        <f>D317+D318+D319+D320+D321+D322</f>
        <v>1026494</v>
      </c>
      <c r="E316" s="48">
        <f>E317+E318+E319+E320+E321+E322</f>
        <v>573620.68999999994</v>
      </c>
      <c r="F316" s="48">
        <f>D316-E316</f>
        <v>452873.31000000006</v>
      </c>
      <c r="G316" s="48">
        <f>G317+G318+G319+G320+G321+G322</f>
        <v>288990.90999999997</v>
      </c>
      <c r="H316" s="48">
        <f>D316-G316</f>
        <v>737503.09000000008</v>
      </c>
      <c r="I316" s="49">
        <f>IF(D316=0,0,G316/D316)</f>
        <v>0.28153200116123422</v>
      </c>
      <c r="J316" s="220"/>
      <c r="K316" s="220"/>
      <c r="L316" s="229"/>
      <c r="M316" s="229"/>
      <c r="N316" s="229"/>
      <c r="O316" s="229"/>
    </row>
    <row r="317" spans="1:15" ht="65.099999999999994" customHeight="1" x14ac:dyDescent="0.2">
      <c r="A317" s="52">
        <v>1</v>
      </c>
      <c r="B317" s="69">
        <v>458</v>
      </c>
      <c r="C317" s="82" t="s">
        <v>2302</v>
      </c>
      <c r="D317" s="60">
        <f>IF(COUNTIF(tSIAF[Clave],"2194989|458")=0,"",SUMIF(tSIAF[Clave],"2194989|458",tSIAF[PIM]))</f>
        <v>133512</v>
      </c>
      <c r="E317" s="60">
        <f>IF(COUNTIF(tSIAF[Clave],"2194989|458")=0,"",SUMIF(tSIAF[Clave],"2194989|458",tSIAF[Certificacion]))</f>
        <v>0</v>
      </c>
      <c r="F317" s="60">
        <f>IF(D317="","",D317-E317)</f>
        <v>133512</v>
      </c>
      <c r="G317" s="60">
        <f>IF(COUNTIF(tSIAF[Clave],"2194989|458")=0,"",SUMIF(tSIAF[Clave],"2194989|458",tSIAF[Devengado]))</f>
        <v>0</v>
      </c>
      <c r="H317" s="60">
        <f>IF(D317="","",D317-G317)</f>
        <v>133512</v>
      </c>
      <c r="I317" s="66">
        <f>IF(D317="","",IF(D317=0,0,G317/D317))</f>
        <v>0</v>
      </c>
      <c r="J317" s="227" t="s">
        <v>2303</v>
      </c>
      <c r="K317" s="227" t="s">
        <v>2299</v>
      </c>
      <c r="L317" s="236" t="str">
        <f>IF(COUNTIF(tCartera[CUI],"2194989")=0,"Sin PMI",IF(INDEX(tCartera[PMI2026],MATCH("2194989",tCartera[CUI],0))="","No informado",INDEX(tCartera[PMI2026],MATCH("2194989",tCartera[CUI],0))))</f>
        <v>Sin PMI</v>
      </c>
      <c r="M317" s="236" t="str">
        <f>IF(COUNTIF(tCartera[CUI],"2194989")=0,"Sin PMI",IF(INDEX(tCartera[PMI2027],MATCH("2194989",tCartera[CUI],0))="","No informado",INDEX(tCartera[PMI2027],MATCH("2194989",tCartera[CUI],0))))</f>
        <v>Sin PMI</v>
      </c>
      <c r="N317" s="236" t="str">
        <f>IF(COUNTIF(tCartera[CUI],"2194989")=0,"Sin PMI",IF(INDEX(tCartera[PMI2028],MATCH("2194989",tCartera[CUI],0))="","No informado",INDEX(tCartera[PMI2028],MATCH("2194989",tCartera[CUI],0))))</f>
        <v>Sin PMI</v>
      </c>
      <c r="O317" s="236" t="str">
        <f>IF(COUNTIF(tCartera[CUI],"2194989")=0,"Sin PMI",IF(INDEX(tCartera[PMI2029],MATCH("2194989",tCartera[CUI],0))="","No informado",INDEX(tCartera[PMI2029],MATCH("2194989",tCartera[CUI],0))))</f>
        <v>Sin PMI</v>
      </c>
    </row>
    <row r="318" spans="1:15" ht="65.099999999999994" customHeight="1" x14ac:dyDescent="0.2">
      <c r="A318" s="52">
        <v>2</v>
      </c>
      <c r="B318" s="69">
        <v>499</v>
      </c>
      <c r="C318" s="82" t="s">
        <v>2304</v>
      </c>
      <c r="D318" s="60">
        <f>IF(COUNTIF(tSIAF[Clave],"2231037|499")=0,"",SUMIF(tSIAF[Clave],"2231037|499",tSIAF[PIM]))</f>
        <v>20166</v>
      </c>
      <c r="E318" s="60">
        <f>IF(COUNTIF(tSIAF[Clave],"2231037|499")=0,"",SUMIF(tSIAF[Clave],"2231037|499",tSIAF[Certificacion]))</f>
        <v>19362</v>
      </c>
      <c r="F318" s="60">
        <f>IF(D318="","",D318-E318)</f>
        <v>804</v>
      </c>
      <c r="G318" s="60">
        <f>IF(COUNTIF(tSIAF[Clave],"2231037|499")=0,"",SUMIF(tSIAF[Clave],"2231037|499",tSIAF[Devengado]))</f>
        <v>18148.25</v>
      </c>
      <c r="H318" s="60">
        <f>IF(D318="","",D318-G318)</f>
        <v>2017.75</v>
      </c>
      <c r="I318" s="66">
        <f>IF(D318="","",IF(D318=0,0,G318/D318))</f>
        <v>0.89994297332143214</v>
      </c>
      <c r="J318" s="227" t="s">
        <v>2303</v>
      </c>
      <c r="K318" s="227" t="s">
        <v>2299</v>
      </c>
      <c r="L318" s="236">
        <f>IF(COUNTIF(tCartera[CUI],"2231037")=0,"Sin PMI",IF(INDEX(tCartera[PMI2026],MATCH("2231037",tCartera[CUI],0))="","No informado",INDEX(tCartera[PMI2026],MATCH("2231037",tCartera[CUI],0))))</f>
        <v>20166</v>
      </c>
      <c r="M318" s="236">
        <f>IF(COUNTIF(tCartera[CUI],"2231037")=0,"Sin PMI",IF(INDEX(tCartera[PMI2027],MATCH("2231037",tCartera[CUI],0))="","No informado",INDEX(tCartera[PMI2027],MATCH("2231037",tCartera[CUI],0))))</f>
        <v>0</v>
      </c>
      <c r="N318" s="236">
        <f>IF(COUNTIF(tCartera[CUI],"2231037")=0,"Sin PMI",IF(INDEX(tCartera[PMI2028],MATCH("2231037",tCartera[CUI],0))="","No informado",INDEX(tCartera[PMI2028],MATCH("2231037",tCartera[CUI],0))))</f>
        <v>0</v>
      </c>
      <c r="O318" s="236">
        <f>IF(COUNTIF(tCartera[CUI],"2231037")=0,"Sin PMI",IF(INDEX(tCartera[PMI2029],MATCH("2231037",tCartera[CUI],0))="","No informado",INDEX(tCartera[PMI2029],MATCH("2231037",tCartera[CUI],0))))</f>
        <v>0</v>
      </c>
    </row>
    <row r="319" spans="1:15" ht="65.099999999999994" customHeight="1" x14ac:dyDescent="0.2">
      <c r="A319" s="52">
        <v>3</v>
      </c>
      <c r="B319" s="69">
        <v>532</v>
      </c>
      <c r="C319" s="82" t="s">
        <v>2305</v>
      </c>
      <c r="D319" s="60">
        <f>IF(COUNTIF(tSIAF[Clave],"2617364|532")=0,"",SUMIF(tSIAF[Clave],"2617364|532",tSIAF[PIM]))</f>
        <v>218556</v>
      </c>
      <c r="E319" s="60">
        <f>IF(COUNTIF(tSIAF[Clave],"2617364|532")=0,"",SUMIF(tSIAF[Clave],"2617364|532",tSIAF[Certificacion]))</f>
        <v>0</v>
      </c>
      <c r="F319" s="60">
        <f>IF(D319="","",D319-E319)</f>
        <v>218556</v>
      </c>
      <c r="G319" s="60">
        <f>IF(COUNTIF(tSIAF[Clave],"2617364|532")=0,"",SUMIF(tSIAF[Clave],"2617364|532",tSIAF[Devengado]))</f>
        <v>0</v>
      </c>
      <c r="H319" s="60">
        <f>IF(D319="","",D319-G319)</f>
        <v>218556</v>
      </c>
      <c r="I319" s="66">
        <f>IF(D319="","",IF(D319=0,0,G319/D319))</f>
        <v>0</v>
      </c>
      <c r="J319" s="227" t="s">
        <v>2303</v>
      </c>
      <c r="K319" s="227" t="s">
        <v>2299</v>
      </c>
      <c r="L319" s="236" t="str">
        <f>IF(COUNTIF(tCartera[CUI],"2617364")=0,"Sin PMI",IF(INDEX(tCartera[PMI2026],MATCH("2617364",tCartera[CUI],0))="","No informado",INDEX(tCartera[PMI2026],MATCH("2617364",tCartera[CUI],0))))</f>
        <v>Sin PMI</v>
      </c>
      <c r="M319" s="236" t="str">
        <f>IF(COUNTIF(tCartera[CUI],"2617364")=0,"Sin PMI",IF(INDEX(tCartera[PMI2027],MATCH("2617364",tCartera[CUI],0))="","No informado",INDEX(tCartera[PMI2027],MATCH("2617364",tCartera[CUI],0))))</f>
        <v>Sin PMI</v>
      </c>
      <c r="N319" s="236" t="str">
        <f>IF(COUNTIF(tCartera[CUI],"2617364")=0,"Sin PMI",IF(INDEX(tCartera[PMI2028],MATCH("2617364",tCartera[CUI],0))="","No informado",INDEX(tCartera[PMI2028],MATCH("2617364",tCartera[CUI],0))))</f>
        <v>Sin PMI</v>
      </c>
      <c r="O319" s="236" t="str">
        <f>IF(COUNTIF(tCartera[CUI],"2617364")=0,"Sin PMI",IF(INDEX(tCartera[PMI2029],MATCH("2617364",tCartera[CUI],0))="","No informado",INDEX(tCartera[PMI2029],MATCH("2617364",tCartera[CUI],0))))</f>
        <v>Sin PMI</v>
      </c>
    </row>
    <row r="320" spans="1:15" ht="65.099999999999994" customHeight="1" x14ac:dyDescent="0.2">
      <c r="A320" s="52">
        <v>4</v>
      </c>
      <c r="B320" s="69">
        <v>284</v>
      </c>
      <c r="C320" s="82" t="s">
        <v>2306</v>
      </c>
      <c r="D320" s="60">
        <f>IF(COUNTIF(tSIAF[Clave],"2662519|284")=0,"",SUMIF(tSIAF[Clave],"2662519|284",tSIAF[PIM]))</f>
        <v>282553</v>
      </c>
      <c r="E320" s="60">
        <f>IF(COUNTIF(tSIAF[Clave],"2662519|284")=0,"",SUMIF(tSIAF[Clave],"2662519|284",tSIAF[Certificacion]))</f>
        <v>282553</v>
      </c>
      <c r="F320" s="60">
        <f>IF(D320="","",D320-E320)</f>
        <v>0</v>
      </c>
      <c r="G320" s="60">
        <f>IF(COUNTIF(tSIAF[Clave],"2662519|284")=0,"",SUMIF(tSIAF[Clave],"2662519|284",tSIAF[Devengado]))</f>
        <v>0</v>
      </c>
      <c r="H320" s="60">
        <f>IF(D320="","",D320-G320)</f>
        <v>282553</v>
      </c>
      <c r="I320" s="66">
        <f>IF(D320="","",IF(D320=0,0,G320/D320))</f>
        <v>0</v>
      </c>
      <c r="J320" s="227" t="s">
        <v>2303</v>
      </c>
      <c r="K320" s="227" t="s">
        <v>2299</v>
      </c>
      <c r="L320" s="236">
        <f>IF(COUNTIF(tCartera[CUI],"2662519")=0,"Sin PMI",IF(INDEX(tCartera[PMI2026],MATCH("2662519",tCartera[CUI],0))="","No informado",INDEX(tCartera[PMI2026],MATCH("2662519",tCartera[CUI],0))))</f>
        <v>50000</v>
      </c>
      <c r="M320" s="236">
        <f>IF(COUNTIF(tCartera[CUI],"2662519")=0,"Sin PMI",IF(INDEX(tCartera[PMI2027],MATCH("2662519",tCartera[CUI],0))="","No informado",INDEX(tCartera[PMI2027],MATCH("2662519",tCartera[CUI],0))))</f>
        <v>0</v>
      </c>
      <c r="N320" s="236">
        <f>IF(COUNTIF(tCartera[CUI],"2662519")=0,"Sin PMI",IF(INDEX(tCartera[PMI2028],MATCH("2662519",tCartera[CUI],0))="","No informado",INDEX(tCartera[PMI2028],MATCH("2662519",tCartera[CUI],0))))</f>
        <v>0</v>
      </c>
      <c r="O320" s="236">
        <f>IF(COUNTIF(tCartera[CUI],"2662519")=0,"Sin PMI",IF(INDEX(tCartera[PMI2029],MATCH("2662519",tCartera[CUI],0))="","No informado",INDEX(tCartera[PMI2029],MATCH("2662519",tCartera[CUI],0))))</f>
        <v>1000000</v>
      </c>
    </row>
    <row r="321" spans="1:15" ht="65.099999999999994" customHeight="1" x14ac:dyDescent="0.2">
      <c r="A321" s="52">
        <v>5</v>
      </c>
      <c r="B321" s="69">
        <v>533</v>
      </c>
      <c r="C321" s="82" t="s">
        <v>2307</v>
      </c>
      <c r="D321" s="60">
        <f>IF(COUNTIF(tSIAF[Clave],"2681141|533")=0,"",SUMIF(tSIAF[Clave],"2681141|533",tSIAF[PIM]))</f>
        <v>100000</v>
      </c>
      <c r="E321" s="60">
        <f>IF(COUNTIF(tSIAF[Clave],"2681141|533")=0,"",SUMIF(tSIAF[Clave],"2681141|533",tSIAF[Certificacion]))</f>
        <v>0</v>
      </c>
      <c r="F321" s="60">
        <f>IF(D321="","",D321-E321)</f>
        <v>100000</v>
      </c>
      <c r="G321" s="60">
        <f>IF(COUNTIF(tSIAF[Clave],"2681141|533")=0,"",SUMIF(tSIAF[Clave],"2681141|533",tSIAF[Devengado]))</f>
        <v>0</v>
      </c>
      <c r="H321" s="60">
        <f>IF(D321="","",D321-G321)</f>
        <v>100000</v>
      </c>
      <c r="I321" s="66">
        <f>IF(D321="","",IF(D321=0,0,G321/D321))</f>
        <v>0</v>
      </c>
      <c r="J321" s="227" t="s">
        <v>2303</v>
      </c>
      <c r="K321" s="227" t="s">
        <v>2299</v>
      </c>
      <c r="L321" s="236">
        <f>IF(COUNTIF(tCartera[CUI],"2681141")=0,"Sin PMI",IF(INDEX(tCartera[PMI2026],MATCH("2681141",tCartera[CUI],0))="","No informado",INDEX(tCartera[PMI2026],MATCH("2681141",tCartera[CUI],0))))</f>
        <v>100000</v>
      </c>
      <c r="M321" s="236">
        <f>IF(COUNTIF(tCartera[CUI],"2681141")=0,"Sin PMI",IF(INDEX(tCartera[PMI2027],MATCH("2681141",tCartera[CUI],0))="","No informado",INDEX(tCartera[PMI2027],MATCH("2681141",tCartera[CUI],0))))</f>
        <v>0</v>
      </c>
      <c r="N321" s="236">
        <f>IF(COUNTIF(tCartera[CUI],"2681141")=0,"Sin PMI",IF(INDEX(tCartera[PMI2028],MATCH("2681141",tCartera[CUI],0))="","No informado",INDEX(tCartera[PMI2028],MATCH("2681141",tCartera[CUI],0))))</f>
        <v>3681052</v>
      </c>
      <c r="O321" s="236">
        <f>IF(COUNTIF(tCartera[CUI],"2681141")=0,"Sin PMI",IF(INDEX(tCartera[PMI2029],MATCH("2681141",tCartera[CUI],0))="","No informado",INDEX(tCartera[PMI2029],MATCH("2681141",tCartera[CUI],0))))</f>
        <v>4156140</v>
      </c>
    </row>
    <row r="322" spans="1:15" ht="65.099999999999994" customHeight="1" x14ac:dyDescent="0.2">
      <c r="A322" s="52">
        <v>6</v>
      </c>
      <c r="B322" s="69">
        <v>345</v>
      </c>
      <c r="C322" s="82" t="s">
        <v>2308</v>
      </c>
      <c r="D322" s="60">
        <f>IF(COUNTIF(tSIAF[Clave],"2699546|345")=0,"",SUMIF(tSIAF[Clave],"2699546|345",tSIAF[PIM]))</f>
        <v>271707</v>
      </c>
      <c r="E322" s="60">
        <f>IF(COUNTIF(tSIAF[Clave],"2699546|345")=0,"",SUMIF(tSIAF[Clave],"2699546|345",tSIAF[Certificacion]))</f>
        <v>271705.69</v>
      </c>
      <c r="F322" s="60">
        <f>IF(D322="","",D322-E322)</f>
        <v>1.3099999999976717</v>
      </c>
      <c r="G322" s="60">
        <f>IF(COUNTIF(tSIAF[Clave],"2699546|345")=0,"",SUMIF(tSIAF[Clave],"2699546|345",tSIAF[Devengado]))</f>
        <v>270842.65999999997</v>
      </c>
      <c r="H322" s="60">
        <f>IF(D322="","",D322-G322)</f>
        <v>864.34000000002561</v>
      </c>
      <c r="I322" s="66">
        <f>IF(D322="","",IF(D322=0,0,G322/D322))</f>
        <v>0.99681885266113857</v>
      </c>
      <c r="J322" s="227" t="s">
        <v>2303</v>
      </c>
      <c r="K322" s="227" t="s">
        <v>2299</v>
      </c>
      <c r="L322" s="236">
        <f>IF(COUNTIF(tCartera[CUI],"2699546")=0,"Sin PMI",IF(INDEX(tCartera[PMI2026],MATCH("2699546",tCartera[CUI],0))="","No informado",INDEX(tCartera[PMI2026],MATCH("2699546",tCartera[CUI],0))))</f>
        <v>267733</v>
      </c>
      <c r="M322" s="236">
        <f>IF(COUNTIF(tCartera[CUI],"2699546")=0,"Sin PMI",IF(INDEX(tCartera[PMI2027],MATCH("2699546",tCartera[CUI],0))="","No informado",INDEX(tCartera[PMI2027],MATCH("2699546",tCartera[CUI],0))))</f>
        <v>20886</v>
      </c>
      <c r="N322" s="236">
        <f>IF(COUNTIF(tCartera[CUI],"2699546")=0,"Sin PMI",IF(INDEX(tCartera[PMI2028],MATCH("2699546",tCartera[CUI],0))="","No informado",INDEX(tCartera[PMI2028],MATCH("2699546",tCartera[CUI],0))))</f>
        <v>0</v>
      </c>
      <c r="O322" s="236">
        <f>IF(COUNTIF(tCartera[CUI],"2699546")=0,"Sin PMI",IF(INDEX(tCartera[PMI2029],MATCH("2699546",tCartera[CUI],0))="","No informado",INDEX(tCartera[PMI2029],MATCH("2699546",tCartera[CUI],0))))</f>
        <v>0</v>
      </c>
    </row>
    <row r="323" spans="1:15" ht="15.75" x14ac:dyDescent="0.2">
      <c r="A323" s="165" t="s">
        <v>2309</v>
      </c>
      <c r="B323" s="166"/>
      <c r="C323" s="167"/>
      <c r="D323" s="79">
        <f>D317+D318+D319+D320+D321+D322</f>
        <v>1026494</v>
      </c>
      <c r="E323" s="79">
        <f>E317+E318+E319+E320+E321+E322</f>
        <v>573620.68999999994</v>
      </c>
      <c r="F323" s="79">
        <f>D323-E323</f>
        <v>452873.31000000006</v>
      </c>
      <c r="G323" s="79">
        <f>G317+G318+G319+G320+G321+G322</f>
        <v>288990.90999999997</v>
      </c>
      <c r="H323" s="79">
        <f>D323-G323</f>
        <v>737503.09000000008</v>
      </c>
      <c r="I323" s="80">
        <f>IF(D323=0,0,G323/D323)</f>
        <v>0.28153200116123422</v>
      </c>
      <c r="J323" s="250"/>
      <c r="K323" s="250"/>
      <c r="L323" s="249"/>
      <c r="M323" s="249"/>
      <c r="N323" s="249"/>
      <c r="O323" s="249"/>
    </row>
  </sheetData>
  <mergeCells count="42">
    <mergeCell ref="O4:O5"/>
    <mergeCell ref="A2:O2"/>
    <mergeCell ref="A323:C323"/>
    <mergeCell ref="J4:J5"/>
    <mergeCell ref="K4:K5"/>
    <mergeCell ref="L4:L5"/>
    <mergeCell ref="M4:M5"/>
    <mergeCell ref="N4:N5"/>
    <mergeCell ref="C1:I1"/>
    <mergeCell ref="A4:A5"/>
    <mergeCell ref="G4:G5"/>
    <mergeCell ref="D4:D5"/>
    <mergeCell ref="C4:C5"/>
    <mergeCell ref="B4:B5"/>
    <mergeCell ref="A217:C217"/>
    <mergeCell ref="A224:C224"/>
    <mergeCell ref="A231:C231"/>
    <mergeCell ref="A300:C300"/>
    <mergeCell ref="A275:C275"/>
    <mergeCell ref="A234:C234"/>
    <mergeCell ref="A314:C314"/>
    <mergeCell ref="A197:C197"/>
    <mergeCell ref="A199:C199"/>
    <mergeCell ref="A12:C12"/>
    <mergeCell ref="A15:C15"/>
    <mergeCell ref="A18:C18"/>
    <mergeCell ref="A83:C83"/>
    <mergeCell ref="A88:C88"/>
    <mergeCell ref="A218:C218"/>
    <mergeCell ref="A193:C193"/>
    <mergeCell ref="A262:C262"/>
    <mergeCell ref="A278:C278"/>
    <mergeCell ref="A225:C225"/>
    <mergeCell ref="A227:C227"/>
    <mergeCell ref="I4:I5"/>
    <mergeCell ref="A192:C192"/>
    <mergeCell ref="A6:C6"/>
    <mergeCell ref="E4:E5"/>
    <mergeCell ref="F4:F5"/>
    <mergeCell ref="H4:H5"/>
    <mergeCell ref="A7:C7"/>
    <mergeCell ref="A316:C316"/>
  </mergeCells>
  <pageMargins left="0.74803149606299213" right="0.74803149606299213" top="0.74803149606299213" bottom="0.74803149606299213" header="0.31496062992125984" footer="0.31496062992125984"/>
  <pageSetup paperSize="9" scale="44" fitToHeight="0" orientation="landscape" r:id="rId1"/>
  <headerFooter>
    <oddFooter>Página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0F40E-6318-4E66-A9D4-FBEEAD6B7128}">
  <sheetPr codeName="Hoja5">
    <pageSetUpPr fitToPage="1"/>
  </sheetPr>
  <dimension ref="A1:O96"/>
  <sheetViews>
    <sheetView topLeftCell="F1" zoomScale="85" zoomScaleNormal="85" workbookViewId="0">
      <selection activeCell="O4" sqref="O4:O96"/>
    </sheetView>
  </sheetViews>
  <sheetFormatPr baseColWidth="10" defaultRowHeight="12.75" x14ac:dyDescent="0.2"/>
  <cols>
    <col min="1" max="1" width="4.140625" bestFit="1" customWidth="1"/>
    <col min="2" max="2" width="6.7109375" bestFit="1" customWidth="1"/>
    <col min="3" max="3" width="41.7109375" customWidth="1"/>
    <col min="4" max="4" width="13.5703125" customWidth="1"/>
    <col min="5" max="5" width="17.7109375" customWidth="1"/>
    <col min="6" max="6" width="12.7109375" customWidth="1"/>
    <col min="7" max="7" width="15.85546875" customWidth="1"/>
    <col min="8" max="8" width="13.5703125" customWidth="1"/>
    <col min="9" max="9" width="9" customWidth="1"/>
    <col min="10" max="10" width="32.7109375" customWidth="1"/>
    <col min="11" max="11" width="29.7109375" customWidth="1"/>
    <col min="12" max="15" width="20.7109375" customWidth="1"/>
  </cols>
  <sheetData>
    <row r="1" spans="1:15" ht="18" x14ac:dyDescent="0.2">
      <c r="A1" s="173" t="s">
        <v>657</v>
      </c>
      <c r="B1" s="173"/>
      <c r="C1" s="173"/>
      <c r="D1" s="173"/>
      <c r="E1" s="173"/>
      <c r="F1" s="173"/>
      <c r="G1" s="173"/>
      <c r="H1" s="173"/>
      <c r="I1" s="173"/>
    </row>
    <row r="2" spans="1:15" ht="57.75" customHeight="1" x14ac:dyDescent="0.25">
      <c r="A2" s="142" t="str">
        <f>"COMPORTAMIENTO DE EJECUCIÓN DE PROYECTOS DE INVERSIÓN PÚBLICA 2026 - U.E. 001 SEDE CENTRAL AL "&amp;TEXT(SIAF!B3,"dd/mm/yyyy")</f>
        <v>COMPORTAMIENTO DE EJECUCIÓN DE PROYECTOS DE INVERSIÓN PÚBLICA 2026 - U.E. 001 SEDE CENTRAL AL 06/10/2026</v>
      </c>
      <c r="B2" s="142"/>
      <c r="C2" s="142"/>
      <c r="D2" s="142"/>
      <c r="E2" s="142"/>
      <c r="F2" s="142"/>
      <c r="G2" s="142"/>
      <c r="H2" s="142"/>
      <c r="I2" s="142"/>
      <c r="J2" s="142"/>
      <c r="K2" s="142"/>
      <c r="L2" s="142"/>
      <c r="M2" s="142"/>
      <c r="N2" s="142"/>
      <c r="O2" s="142"/>
    </row>
    <row r="3" spans="1:15" ht="18" x14ac:dyDescent="0.25">
      <c r="A3" s="1"/>
      <c r="B3" s="3"/>
      <c r="C3" s="11"/>
      <c r="D3" s="2"/>
      <c r="E3" s="2"/>
      <c r="F3" s="2"/>
      <c r="I3" s="19"/>
    </row>
    <row r="4" spans="1:15" ht="29.25" customHeight="1" x14ac:dyDescent="0.2">
      <c r="A4" s="176" t="s">
        <v>3</v>
      </c>
      <c r="B4" s="171" t="s">
        <v>298</v>
      </c>
      <c r="C4" s="171" t="s">
        <v>0</v>
      </c>
      <c r="D4" s="171" t="s">
        <v>639</v>
      </c>
      <c r="E4" s="171" t="s">
        <v>694</v>
      </c>
      <c r="F4" s="171" t="s">
        <v>644</v>
      </c>
      <c r="G4" s="171" t="s">
        <v>641</v>
      </c>
      <c r="H4" s="171" t="s">
        <v>645</v>
      </c>
      <c r="I4" s="174" t="s">
        <v>133</v>
      </c>
      <c r="J4" s="217" t="s">
        <v>2293</v>
      </c>
      <c r="K4" s="217" t="s">
        <v>2294</v>
      </c>
      <c r="L4" s="217" t="s">
        <v>2295</v>
      </c>
      <c r="M4" s="217" t="s">
        <v>2296</v>
      </c>
      <c r="N4" s="217" t="s">
        <v>2297</v>
      </c>
      <c r="O4" s="217" t="s">
        <v>2298</v>
      </c>
    </row>
    <row r="5" spans="1:15" ht="29.25" customHeight="1" x14ac:dyDescent="0.2">
      <c r="A5" s="177"/>
      <c r="B5" s="172"/>
      <c r="C5" s="172"/>
      <c r="D5" s="172"/>
      <c r="E5" s="172"/>
      <c r="F5" s="172"/>
      <c r="G5" s="172"/>
      <c r="H5" s="172"/>
      <c r="I5" s="175"/>
      <c r="J5" s="218"/>
      <c r="K5" s="218"/>
      <c r="L5" s="218"/>
      <c r="M5" s="218"/>
      <c r="N5" s="218"/>
      <c r="O5" s="218"/>
    </row>
    <row r="6" spans="1:15" ht="16.5" x14ac:dyDescent="0.2">
      <c r="A6" s="144" t="s">
        <v>5</v>
      </c>
      <c r="B6" s="144"/>
      <c r="C6" s="144"/>
      <c r="D6" s="48">
        <f>'Gerencias y Oficinas'!D6</f>
        <v>15438088</v>
      </c>
      <c r="E6" s="48">
        <f>'Gerencias y Oficinas'!E6</f>
        <v>13246423.869999999</v>
      </c>
      <c r="F6" s="48">
        <f>'Gerencias y Oficinas'!F6</f>
        <v>2191664.1300000008</v>
      </c>
      <c r="G6" s="48">
        <f>'Gerencias y Oficinas'!G6</f>
        <v>6937956.7899999991</v>
      </c>
      <c r="H6" s="48">
        <f>'Gerencias y Oficinas'!H6</f>
        <v>8500131.2100000009</v>
      </c>
      <c r="I6" s="49">
        <f>'Gerencias y Oficinas'!I6</f>
        <v>0.44940518476122165</v>
      </c>
      <c r="J6" s="255"/>
      <c r="K6" s="255"/>
      <c r="L6" s="229"/>
      <c r="M6" s="229"/>
      <c r="N6" s="229"/>
      <c r="O6" s="229"/>
    </row>
    <row r="7" spans="1:15" ht="16.5" x14ac:dyDescent="0.2">
      <c r="A7" s="150" t="s">
        <v>616</v>
      </c>
      <c r="B7" s="150"/>
      <c r="C7" s="150"/>
      <c r="D7" s="50">
        <f>D8+D9+D10+D11</f>
        <v>3137774</v>
      </c>
      <c r="E7" s="50">
        <f>E8+E9+E10+E11</f>
        <v>2421934.02</v>
      </c>
      <c r="F7" s="50">
        <f>D7-E7</f>
        <v>715839.98</v>
      </c>
      <c r="G7" s="50">
        <f>G8+G9+G10+G11</f>
        <v>1602346.39</v>
      </c>
      <c r="H7" s="50">
        <f>D7-G7</f>
        <v>1535427.61</v>
      </c>
      <c r="I7" s="51">
        <f>IF(D7=0,0,G7/D7)</f>
        <v>0.51066341616700239</v>
      </c>
      <c r="J7" s="256"/>
      <c r="K7" s="256"/>
      <c r="L7" s="230"/>
      <c r="M7" s="230"/>
      <c r="N7" s="230"/>
      <c r="O7" s="230"/>
    </row>
    <row r="8" spans="1:15" s="11" customFormat="1" ht="42" customHeight="1" x14ac:dyDescent="0.2">
      <c r="A8" s="52">
        <f>SUBTOTAL(103,$B$8:B8)</f>
        <v>1</v>
      </c>
      <c r="B8" s="69">
        <v>20</v>
      </c>
      <c r="C8" s="82" t="s">
        <v>139</v>
      </c>
      <c r="D8" s="60">
        <f>IF('Gerencias y Oficinas'!D8="","",'Gerencias y Oficinas'!D8)</f>
        <v>2659376</v>
      </c>
      <c r="E8" s="60">
        <f>IF('Gerencias y Oficinas'!E8="","",'Gerencias y Oficinas'!E8)</f>
        <v>1980094.52</v>
      </c>
      <c r="F8" s="60">
        <f>IF('Gerencias y Oficinas'!F8="","",'Gerencias y Oficinas'!F8)</f>
        <v>679281.48</v>
      </c>
      <c r="G8" s="60">
        <f>IF('Gerencias y Oficinas'!G8="","",'Gerencias y Oficinas'!G8)</f>
        <v>1386716.89</v>
      </c>
      <c r="H8" s="60">
        <f>IF('Gerencias y Oficinas'!H8="","",'Gerencias y Oficinas'!H8)</f>
        <v>1272659.1100000001</v>
      </c>
      <c r="I8" s="66">
        <f>IF('Gerencias y Oficinas'!I8="","",'Gerencias y Oficinas'!I8)</f>
        <v>0.52144446291160029</v>
      </c>
      <c r="J8" s="257" t="str">
        <f>IF('Gerencias y Oficinas'!J8="","",'Gerencias y Oficinas'!J8)</f>
        <v/>
      </c>
      <c r="K8" s="257" t="str">
        <f>IF('Gerencias y Oficinas'!K8="","",'Gerencias y Oficinas'!K8)</f>
        <v>Por completar</v>
      </c>
      <c r="L8" s="236">
        <f>IF('Gerencias y Oficinas'!L8="","",'Gerencias y Oficinas'!L8)</f>
        <v>3659376</v>
      </c>
      <c r="M8" s="236">
        <f>IF('Gerencias y Oficinas'!M8="","",'Gerencias y Oficinas'!M8)</f>
        <v>55933</v>
      </c>
      <c r="N8" s="236">
        <f>IF('Gerencias y Oficinas'!N8="","",'Gerencias y Oficinas'!N8)</f>
        <v>0</v>
      </c>
      <c r="O8" s="236">
        <f>IF('Gerencias y Oficinas'!O8="","",'Gerencias y Oficinas'!O8)</f>
        <v>1953448</v>
      </c>
    </row>
    <row r="9" spans="1:15" s="11" customFormat="1" ht="51" x14ac:dyDescent="0.2">
      <c r="A9" s="52">
        <f>SUBTOTAL(103,$B$8:B9)</f>
        <v>2</v>
      </c>
      <c r="B9" s="69">
        <v>383</v>
      </c>
      <c r="C9" s="82" t="s">
        <v>535</v>
      </c>
      <c r="D9" s="54">
        <f>IF('Gerencias y Oficinas'!D9="","",'Gerencias y Oficinas'!D9)</f>
        <v>159946</v>
      </c>
      <c r="E9" s="54">
        <f>IF('Gerencias y Oficinas'!E9="","",'Gerencias y Oficinas'!E9)</f>
        <v>154011</v>
      </c>
      <c r="F9" s="54">
        <f>IF('Gerencias y Oficinas'!F9="","",'Gerencias y Oficinas'!F9)</f>
        <v>5935</v>
      </c>
      <c r="G9" s="54">
        <f>IF('Gerencias y Oficinas'!G9="","",'Gerencias y Oficinas'!G9)</f>
        <v>60441</v>
      </c>
      <c r="H9" s="54">
        <f>IF('Gerencias y Oficinas'!H9="","",'Gerencias y Oficinas'!H9)</f>
        <v>99505</v>
      </c>
      <c r="I9" s="66">
        <f>IF('Gerencias y Oficinas'!I9="","",'Gerencias y Oficinas'!I9)</f>
        <v>0.37788378577769999</v>
      </c>
      <c r="J9" s="257" t="str">
        <f>IF('Gerencias y Oficinas'!J9="","",'Gerencias y Oficinas'!J9)</f>
        <v/>
      </c>
      <c r="K9" s="257" t="str">
        <f>IF('Gerencias y Oficinas'!K9="","",'Gerencias y Oficinas'!K9)</f>
        <v>Por completar</v>
      </c>
      <c r="L9" s="236" t="str">
        <f>IF('Gerencias y Oficinas'!L9="","",'Gerencias y Oficinas'!L9)</f>
        <v>Sin PMI</v>
      </c>
      <c r="M9" s="236" t="str">
        <f>IF('Gerencias y Oficinas'!M9="","",'Gerencias y Oficinas'!M9)</f>
        <v>Sin PMI</v>
      </c>
      <c r="N9" s="236" t="str">
        <f>IF('Gerencias y Oficinas'!N9="","",'Gerencias y Oficinas'!N9)</f>
        <v>Sin PMI</v>
      </c>
      <c r="O9" s="236" t="str">
        <f>IF('Gerencias y Oficinas'!O9="","",'Gerencias y Oficinas'!O9)</f>
        <v>Sin PMI</v>
      </c>
    </row>
    <row r="10" spans="1:15" s="11" customFormat="1" ht="76.5" x14ac:dyDescent="0.2">
      <c r="A10" s="52">
        <f>SUBTOTAL(103,$B$8:B10)</f>
        <v>3</v>
      </c>
      <c r="B10" s="69">
        <v>475</v>
      </c>
      <c r="C10" s="82" t="s">
        <v>625</v>
      </c>
      <c r="D10" s="54">
        <f>IF('Gerencias y Oficinas'!D10="","",'Gerencias y Oficinas'!D10)</f>
        <v>159560</v>
      </c>
      <c r="E10" s="54">
        <f>IF('Gerencias y Oficinas'!E10="","",'Gerencias y Oficinas'!E10)</f>
        <v>141270</v>
      </c>
      <c r="F10" s="54">
        <f>IF('Gerencias y Oficinas'!F10="","",'Gerencias y Oficinas'!F10)</f>
        <v>18290</v>
      </c>
      <c r="G10" s="54">
        <f>IF('Gerencias y Oficinas'!G10="","",'Gerencias y Oficinas'!G10)</f>
        <v>57830</v>
      </c>
      <c r="H10" s="54">
        <f>IF('Gerencias y Oficinas'!H10="","",'Gerencias y Oficinas'!H10)</f>
        <v>101730</v>
      </c>
      <c r="I10" s="66">
        <f>IF('Gerencias y Oficinas'!I10="","",'Gerencias y Oficinas'!I10)</f>
        <v>0.36243419403359239</v>
      </c>
      <c r="J10" s="257" t="str">
        <f>IF('Gerencias y Oficinas'!J10="","",'Gerencias y Oficinas'!J10)</f>
        <v/>
      </c>
      <c r="K10" s="257" t="str">
        <f>IF('Gerencias y Oficinas'!K10="","",'Gerencias y Oficinas'!K10)</f>
        <v>Por completar</v>
      </c>
      <c r="L10" s="236" t="str">
        <f>IF('Gerencias y Oficinas'!L10="","",'Gerencias y Oficinas'!L10)</f>
        <v>Sin PMI</v>
      </c>
      <c r="M10" s="236" t="str">
        <f>IF('Gerencias y Oficinas'!M10="","",'Gerencias y Oficinas'!M10)</f>
        <v>Sin PMI</v>
      </c>
      <c r="N10" s="236" t="str">
        <f>IF('Gerencias y Oficinas'!N10="","",'Gerencias y Oficinas'!N10)</f>
        <v>Sin PMI</v>
      </c>
      <c r="O10" s="236" t="str">
        <f>IF('Gerencias y Oficinas'!O10="","",'Gerencias y Oficinas'!O10)</f>
        <v>Sin PMI</v>
      </c>
    </row>
    <row r="11" spans="1:15" s="11" customFormat="1" ht="76.5" x14ac:dyDescent="0.2">
      <c r="A11" s="52">
        <f>SUBTOTAL(103,$B$8:B11)</f>
        <v>4</v>
      </c>
      <c r="B11" s="69">
        <v>410</v>
      </c>
      <c r="C11" s="82" t="s">
        <v>562</v>
      </c>
      <c r="D11" s="54">
        <f>IF('Gerencias y Oficinas'!D11="","",'Gerencias y Oficinas'!D11)</f>
        <v>158892</v>
      </c>
      <c r="E11" s="54">
        <f>IF('Gerencias y Oficinas'!E11="","",'Gerencias y Oficinas'!E11)</f>
        <v>146558.5</v>
      </c>
      <c r="F11" s="54">
        <f>IF('Gerencias y Oficinas'!F11="","",'Gerencias y Oficinas'!F11)</f>
        <v>12333.5</v>
      </c>
      <c r="G11" s="54">
        <f>IF('Gerencias y Oficinas'!G11="","",'Gerencias y Oficinas'!G11)</f>
        <v>97358.5</v>
      </c>
      <c r="H11" s="54">
        <f>IF('Gerencias y Oficinas'!H11="","",'Gerencias y Oficinas'!H11)</f>
        <v>61533.5</v>
      </c>
      <c r="I11" s="66">
        <f>IF('Gerencias y Oficinas'!I11="","",'Gerencias y Oficinas'!I11)</f>
        <v>0.6127338066107797</v>
      </c>
      <c r="J11" s="257" t="str">
        <f>IF('Gerencias y Oficinas'!J11="","",'Gerencias y Oficinas'!J11)</f>
        <v/>
      </c>
      <c r="K11" s="257" t="str">
        <f>IF('Gerencias y Oficinas'!K11="","",'Gerencias y Oficinas'!K11)</f>
        <v>Por completar</v>
      </c>
      <c r="L11" s="236" t="str">
        <f>IF('Gerencias y Oficinas'!L11="","",'Gerencias y Oficinas'!L11)</f>
        <v>Sin PMI</v>
      </c>
      <c r="M11" s="236" t="str">
        <f>IF('Gerencias y Oficinas'!M11="","",'Gerencias y Oficinas'!M11)</f>
        <v>Sin PMI</v>
      </c>
      <c r="N11" s="236" t="str">
        <f>IF('Gerencias y Oficinas'!N11="","",'Gerencias y Oficinas'!N11)</f>
        <v>Sin PMI</v>
      </c>
      <c r="O11" s="236" t="str">
        <f>IF('Gerencias y Oficinas'!O11="","",'Gerencias y Oficinas'!O11)</f>
        <v>Sin PMI</v>
      </c>
    </row>
    <row r="12" spans="1:15" ht="16.5" x14ac:dyDescent="0.2">
      <c r="A12" s="150" t="s">
        <v>612</v>
      </c>
      <c r="B12" s="150"/>
      <c r="C12" s="150"/>
      <c r="D12" s="50">
        <f>D13+D14</f>
        <v>243160</v>
      </c>
      <c r="E12" s="50">
        <f>E13+E14</f>
        <v>83160</v>
      </c>
      <c r="F12" s="50">
        <f>D12-E12</f>
        <v>160000</v>
      </c>
      <c r="G12" s="50">
        <f>G13+G14</f>
        <v>83100.399999999994</v>
      </c>
      <c r="H12" s="50">
        <f>D12-G12</f>
        <v>160059.6</v>
      </c>
      <c r="I12" s="51">
        <f>IF(D12=0,0,G12/D12)</f>
        <v>0.34175193288369793</v>
      </c>
      <c r="J12" s="256"/>
      <c r="K12" s="256"/>
      <c r="L12" s="230"/>
      <c r="M12" s="230"/>
      <c r="N12" s="230"/>
      <c r="O12" s="230"/>
    </row>
    <row r="13" spans="1:15" s="11" customFormat="1" ht="76.5" x14ac:dyDescent="0.2">
      <c r="A13" s="52">
        <f>SUBTOTAL(103,$B$8:B13)</f>
        <v>5</v>
      </c>
      <c r="B13" s="69">
        <v>399</v>
      </c>
      <c r="C13" s="82" t="s">
        <v>551</v>
      </c>
      <c r="D13" s="54">
        <f>IF('Gerencias y Oficinas'!D13="","",'Gerencias y Oficinas'!D13)</f>
        <v>160000</v>
      </c>
      <c r="E13" s="54">
        <f>IF('Gerencias y Oficinas'!E13="","",'Gerencias y Oficinas'!E13)</f>
        <v>0</v>
      </c>
      <c r="F13" s="54">
        <f>IF('Gerencias y Oficinas'!F13="","",'Gerencias y Oficinas'!F13)</f>
        <v>160000</v>
      </c>
      <c r="G13" s="54">
        <f>IF('Gerencias y Oficinas'!G13="","",'Gerencias y Oficinas'!G13)</f>
        <v>0</v>
      </c>
      <c r="H13" s="54">
        <f>IF('Gerencias y Oficinas'!H13="","",'Gerencias y Oficinas'!H13)</f>
        <v>160000</v>
      </c>
      <c r="I13" s="66">
        <f>IF('Gerencias y Oficinas'!I13="","",'Gerencias y Oficinas'!I13)</f>
        <v>0</v>
      </c>
      <c r="J13" s="257" t="str">
        <f>IF('Gerencias y Oficinas'!J13="","",'Gerencias y Oficinas'!J13)</f>
        <v/>
      </c>
      <c r="K13" s="257" t="str">
        <f>IF('Gerencias y Oficinas'!K13="","",'Gerencias y Oficinas'!K13)</f>
        <v>Por completar</v>
      </c>
      <c r="L13" s="236" t="str">
        <f>IF('Gerencias y Oficinas'!L13="","",'Gerencias y Oficinas'!L13)</f>
        <v>Sin PMI</v>
      </c>
      <c r="M13" s="236" t="str">
        <f>IF('Gerencias y Oficinas'!M13="","",'Gerencias y Oficinas'!M13)</f>
        <v>Sin PMI</v>
      </c>
      <c r="N13" s="236" t="str">
        <f>IF('Gerencias y Oficinas'!N13="","",'Gerencias y Oficinas'!N13)</f>
        <v>Sin PMI</v>
      </c>
      <c r="O13" s="236" t="str">
        <f>IF('Gerencias y Oficinas'!O13="","",'Gerencias y Oficinas'!O13)</f>
        <v>Sin PMI</v>
      </c>
    </row>
    <row r="14" spans="1:15" s="11" customFormat="1" ht="63.75" x14ac:dyDescent="0.2">
      <c r="A14" s="52">
        <f>SUBTOTAL(103,$B$8:B14)</f>
        <v>6</v>
      </c>
      <c r="B14" s="69">
        <v>373</v>
      </c>
      <c r="C14" s="82" t="s">
        <v>412</v>
      </c>
      <c r="D14" s="54">
        <f>IF('Gerencias y Oficinas'!D14="","",'Gerencias y Oficinas'!D14)</f>
        <v>83160</v>
      </c>
      <c r="E14" s="54">
        <f>IF('Gerencias y Oficinas'!E14="","",'Gerencias y Oficinas'!E14)</f>
        <v>83160</v>
      </c>
      <c r="F14" s="54">
        <f>IF('Gerencias y Oficinas'!F14="","",'Gerencias y Oficinas'!F14)</f>
        <v>0</v>
      </c>
      <c r="G14" s="54">
        <f>IF('Gerencias y Oficinas'!G14="","",'Gerencias y Oficinas'!G14)</f>
        <v>83100.399999999994</v>
      </c>
      <c r="H14" s="54">
        <f>IF('Gerencias y Oficinas'!H14="","",'Gerencias y Oficinas'!H14)</f>
        <v>59.600000000005821</v>
      </c>
      <c r="I14" s="66">
        <f>IF('Gerencias y Oficinas'!I14="","",'Gerencias y Oficinas'!I14)</f>
        <v>0.99928330928330922</v>
      </c>
      <c r="J14" s="257" t="str">
        <f>IF('Gerencias y Oficinas'!J14="","",'Gerencias y Oficinas'!J14)</f>
        <v/>
      </c>
      <c r="K14" s="257" t="str">
        <f>IF('Gerencias y Oficinas'!K14="","",'Gerencias y Oficinas'!K14)</f>
        <v>Por completar</v>
      </c>
      <c r="L14" s="236" t="str">
        <f>IF('Gerencias y Oficinas'!L14="","",'Gerencias y Oficinas'!L14)</f>
        <v>Sin PMI</v>
      </c>
      <c r="M14" s="236" t="str">
        <f>IF('Gerencias y Oficinas'!M14="","",'Gerencias y Oficinas'!M14)</f>
        <v>Sin PMI</v>
      </c>
      <c r="N14" s="236" t="str">
        <f>IF('Gerencias y Oficinas'!N14="","",'Gerencias y Oficinas'!N14)</f>
        <v>Sin PMI</v>
      </c>
      <c r="O14" s="236" t="str">
        <f>IF('Gerencias y Oficinas'!O14="","",'Gerencias y Oficinas'!O14)</f>
        <v>Sin PMI</v>
      </c>
    </row>
    <row r="15" spans="1:15" ht="16.5" x14ac:dyDescent="0.2">
      <c r="A15" s="150" t="s">
        <v>615</v>
      </c>
      <c r="B15" s="150"/>
      <c r="C15" s="150"/>
      <c r="D15" s="50">
        <f>D16+D17</f>
        <v>1098209</v>
      </c>
      <c r="E15" s="50">
        <f>E16+E17</f>
        <v>995606.03</v>
      </c>
      <c r="F15" s="50">
        <f>D15-E15</f>
        <v>102602.96999999997</v>
      </c>
      <c r="G15" s="50">
        <f>G16+G17</f>
        <v>677101.76</v>
      </c>
      <c r="H15" s="50">
        <f>D15-G15</f>
        <v>421107.24</v>
      </c>
      <c r="I15" s="51">
        <f>IF(D15=0,0,G15/D15)</f>
        <v>0.61655091152959041</v>
      </c>
      <c r="J15" s="256"/>
      <c r="K15" s="256"/>
      <c r="L15" s="230"/>
      <c r="M15" s="230"/>
      <c r="N15" s="230"/>
      <c r="O15" s="230"/>
    </row>
    <row r="16" spans="1:15" s="11" customFormat="1" ht="42" customHeight="1" x14ac:dyDescent="0.2">
      <c r="A16" s="52">
        <f>SUBTOTAL(103,$B$8:B16)</f>
        <v>7</v>
      </c>
      <c r="B16" s="69">
        <v>216</v>
      </c>
      <c r="C16" s="82" t="s">
        <v>137</v>
      </c>
      <c r="D16" s="60">
        <f>IF('Gerencias y Oficinas'!D16="","",'Gerencias y Oficinas'!D16)</f>
        <v>928209</v>
      </c>
      <c r="E16" s="60">
        <f>IF('Gerencias y Oficinas'!E16="","",'Gerencias y Oficinas'!E16)</f>
        <v>900951.03</v>
      </c>
      <c r="F16" s="60">
        <f>IF('Gerencias y Oficinas'!F16="","",'Gerencias y Oficinas'!F16)</f>
        <v>27257.969999999972</v>
      </c>
      <c r="G16" s="60">
        <f>IF('Gerencias y Oficinas'!G16="","",'Gerencias y Oficinas'!G16)</f>
        <v>633092.52</v>
      </c>
      <c r="H16" s="60">
        <f>IF('Gerencias y Oficinas'!H16="","",'Gerencias y Oficinas'!H16)</f>
        <v>295116.48</v>
      </c>
      <c r="I16" s="66">
        <f>IF('Gerencias y Oficinas'!I16="","",'Gerencias y Oficinas'!I16)</f>
        <v>0.68205815716072571</v>
      </c>
      <c r="J16" s="257" t="str">
        <f>IF('Gerencias y Oficinas'!J16="","",'Gerencias y Oficinas'!J16)</f>
        <v/>
      </c>
      <c r="K16" s="257" t="str">
        <f>IF('Gerencias y Oficinas'!K16="","",'Gerencias y Oficinas'!K16)</f>
        <v>Por completar</v>
      </c>
      <c r="L16" s="236" t="str">
        <f>IF('Gerencias y Oficinas'!L16="","",'Gerencias y Oficinas'!L16)</f>
        <v>Sin PMI</v>
      </c>
      <c r="M16" s="236" t="str">
        <f>IF('Gerencias y Oficinas'!M16="","",'Gerencias y Oficinas'!M16)</f>
        <v>Sin PMI</v>
      </c>
      <c r="N16" s="236" t="str">
        <f>IF('Gerencias y Oficinas'!N16="","",'Gerencias y Oficinas'!N16)</f>
        <v>Sin PMI</v>
      </c>
      <c r="O16" s="236" t="str">
        <f>IF('Gerencias y Oficinas'!O16="","",'Gerencias y Oficinas'!O16)</f>
        <v>Sin PMI</v>
      </c>
    </row>
    <row r="17" spans="1:15" s="11" customFormat="1" ht="42" customHeight="1" x14ac:dyDescent="0.2">
      <c r="A17" s="52">
        <f>SUBTOTAL(103,$B$8:B17)</f>
        <v>8</v>
      </c>
      <c r="B17" s="69">
        <v>493</v>
      </c>
      <c r="C17" s="82" t="s">
        <v>137</v>
      </c>
      <c r="D17" s="60">
        <f>IF('Gerencias y Oficinas'!D17="","",'Gerencias y Oficinas'!D17)</f>
        <v>170000</v>
      </c>
      <c r="E17" s="60">
        <f>IF('Gerencias y Oficinas'!E17="","",'Gerencias y Oficinas'!E17)</f>
        <v>94655</v>
      </c>
      <c r="F17" s="60">
        <f>IF('Gerencias y Oficinas'!F17="","",'Gerencias y Oficinas'!F17)</f>
        <v>75345</v>
      </c>
      <c r="G17" s="60">
        <f>IF('Gerencias y Oficinas'!G17="","",'Gerencias y Oficinas'!G17)</f>
        <v>44009.24</v>
      </c>
      <c r="H17" s="60">
        <f>IF('Gerencias y Oficinas'!H17="","",'Gerencias y Oficinas'!H17)</f>
        <v>125990.76000000001</v>
      </c>
      <c r="I17" s="66">
        <f>IF('Gerencias y Oficinas'!I17="","",'Gerencias y Oficinas'!I17)</f>
        <v>0.25887788235294118</v>
      </c>
      <c r="J17" s="257" t="str">
        <f>IF('Gerencias y Oficinas'!J17="","",'Gerencias y Oficinas'!J17)</f>
        <v/>
      </c>
      <c r="K17" s="257" t="str">
        <f>IF('Gerencias y Oficinas'!K17="","",'Gerencias y Oficinas'!K17)</f>
        <v>Por completar</v>
      </c>
      <c r="L17" s="236" t="str">
        <f>IF('Gerencias y Oficinas'!L17="","",'Gerencias y Oficinas'!L17)</f>
        <v>Sin PMI</v>
      </c>
      <c r="M17" s="236" t="str">
        <f>IF('Gerencias y Oficinas'!M17="","",'Gerencias y Oficinas'!M17)</f>
        <v>Sin PMI</v>
      </c>
      <c r="N17" s="236" t="str">
        <f>IF('Gerencias y Oficinas'!N17="","",'Gerencias y Oficinas'!N17)</f>
        <v>Sin PMI</v>
      </c>
      <c r="O17" s="236" t="str">
        <f>IF('Gerencias y Oficinas'!O17="","",'Gerencias y Oficinas'!O17)</f>
        <v>Sin PMI</v>
      </c>
    </row>
    <row r="18" spans="1:15" ht="16.5" x14ac:dyDescent="0.2">
      <c r="A18" s="150" t="s">
        <v>613</v>
      </c>
      <c r="B18" s="150"/>
      <c r="C18" s="150"/>
      <c r="D18" s="50">
        <f>D19+D20+D21+D22+D23+D24+D25+D26+D27+D28+D29+D30+D31+D32+D33+D34+D35+D36+D37+D38+D39+D40+D41+D42+D43+D44+D45+D46+D47+D48+D49+D50+D51+D52+D53+D54+D55+D56+D57+D58+D59+D60+D61+D62+D63+D64+D65+D66+D67+D68+D69+D70+D71+D72+D73+D74+D75+D76+D77+D78+D79+D80+D81+D82</f>
        <v>8596003</v>
      </c>
      <c r="E18" s="50">
        <f>E19+E20+E21+E22+E23+E24+E25+E26+E27+E28+E29+E30+E31+E32+E33+E34+E35+E36+E37+E38+E39+E40+E41+E42+E43+E44+E45+E46+E47+E48+E49+E50+E51+E52+E53+E54+E55+E56+E57+E58+E59+E60+E61+E62+E63+E64+E65+E66+E67+E68+E69+E70+E71+E72+E73+E74+E75+E76+E77+E78+E79+E80+E81+E82</f>
        <v>7643005.1499999994</v>
      </c>
      <c r="F18" s="50">
        <f>D18-E18</f>
        <v>952997.85000000056</v>
      </c>
      <c r="G18" s="50">
        <f>G19+G20+G21+G22+G23+G24+G25+G26+G27+G28+G29+G30+G31+G32+G33+G34+G35+G36+G37+G38+G39+G40+G41+G42+G43+G44+G45+G46+G47+G48+G49+G50+G51+G52+G53+G54+G55+G56+G57+G58+G59+G60+G61+G62+G63+G64+G65+G66+G67+G68+G69+G70+G71+G72+G73+G74+G75+G76+G77+G78+G79+G80+G81+G82</f>
        <v>4006476.24</v>
      </c>
      <c r="H18" s="50">
        <f>D18-G18</f>
        <v>4589526.76</v>
      </c>
      <c r="I18" s="51">
        <f>IF(D18=0,0,G18/D18)</f>
        <v>0.46608595180806711</v>
      </c>
      <c r="J18" s="256"/>
      <c r="K18" s="256"/>
      <c r="L18" s="230"/>
      <c r="M18" s="230"/>
      <c r="N18" s="230"/>
      <c r="O18" s="230"/>
    </row>
    <row r="19" spans="1:15" s="11" customFormat="1" ht="51" x14ac:dyDescent="0.2">
      <c r="A19" s="52">
        <f>SUBTOTAL(103,$B$8:B19)</f>
        <v>9</v>
      </c>
      <c r="B19" s="69">
        <v>418</v>
      </c>
      <c r="C19" s="82" t="s">
        <v>570</v>
      </c>
      <c r="D19" s="54">
        <f>IF('Gerencias y Oficinas'!D19="","",'Gerencias y Oficinas'!D19)</f>
        <v>350000</v>
      </c>
      <c r="E19" s="54">
        <f>IF('Gerencias y Oficinas'!E19="","",'Gerencias y Oficinas'!E19)</f>
        <v>334060</v>
      </c>
      <c r="F19" s="54">
        <f>IF('Gerencias y Oficinas'!F19="","",'Gerencias y Oficinas'!F19)</f>
        <v>15940</v>
      </c>
      <c r="G19" s="54">
        <f>IF('Gerencias y Oficinas'!G19="","",'Gerencias y Oficinas'!G19)</f>
        <v>65360</v>
      </c>
      <c r="H19" s="54">
        <f>IF('Gerencias y Oficinas'!H19="","",'Gerencias y Oficinas'!H19)</f>
        <v>284640</v>
      </c>
      <c r="I19" s="66">
        <f>IF('Gerencias y Oficinas'!I19="","",'Gerencias y Oficinas'!I19)</f>
        <v>0.18674285714285715</v>
      </c>
      <c r="J19" s="257" t="str">
        <f>IF('Gerencias y Oficinas'!J19="","",'Gerencias y Oficinas'!J19)</f>
        <v/>
      </c>
      <c r="K19" s="257" t="str">
        <f>IF('Gerencias y Oficinas'!K19="","",'Gerencias y Oficinas'!K19)</f>
        <v>Por completar</v>
      </c>
      <c r="L19" s="236" t="str">
        <f>IF('Gerencias y Oficinas'!L19="","",'Gerencias y Oficinas'!L19)</f>
        <v>Sin PMI</v>
      </c>
      <c r="M19" s="236" t="str">
        <f>IF('Gerencias y Oficinas'!M19="","",'Gerencias y Oficinas'!M19)</f>
        <v>Sin PMI</v>
      </c>
      <c r="N19" s="236" t="str">
        <f>IF('Gerencias y Oficinas'!N19="","",'Gerencias y Oficinas'!N19)</f>
        <v>Sin PMI</v>
      </c>
      <c r="O19" s="236" t="str">
        <f>IF('Gerencias y Oficinas'!O19="","",'Gerencias y Oficinas'!O19)</f>
        <v>Sin PMI</v>
      </c>
    </row>
    <row r="20" spans="1:15" s="11" customFormat="1" ht="42" customHeight="1" x14ac:dyDescent="0.2">
      <c r="A20" s="52">
        <f>SUBTOTAL(103,$B$8:B20)</f>
        <v>10</v>
      </c>
      <c r="B20" s="69">
        <v>424</v>
      </c>
      <c r="C20" s="82" t="s">
        <v>576</v>
      </c>
      <c r="D20" s="54">
        <f>IF('Gerencias y Oficinas'!D20="","",'Gerencias y Oficinas'!D20)</f>
        <v>349950</v>
      </c>
      <c r="E20" s="54">
        <f>IF('Gerencias y Oficinas'!E20="","",'Gerencias y Oficinas'!E20)</f>
        <v>287705</v>
      </c>
      <c r="F20" s="54">
        <f>IF('Gerencias y Oficinas'!F20="","",'Gerencias y Oficinas'!F20)</f>
        <v>62245</v>
      </c>
      <c r="G20" s="54">
        <f>IF('Gerencias y Oficinas'!G20="","",'Gerencias y Oficinas'!G20)</f>
        <v>136062</v>
      </c>
      <c r="H20" s="54">
        <f>IF('Gerencias y Oficinas'!H20="","",'Gerencias y Oficinas'!H20)</f>
        <v>213888</v>
      </c>
      <c r="I20" s="66">
        <f>IF('Gerencias y Oficinas'!I20="","",'Gerencias y Oficinas'!I20)</f>
        <v>0.38880411487355337</v>
      </c>
      <c r="J20" s="257" t="str">
        <f>IF('Gerencias y Oficinas'!J20="","",'Gerencias y Oficinas'!J20)</f>
        <v/>
      </c>
      <c r="K20" s="257" t="str">
        <f>IF('Gerencias y Oficinas'!K20="","",'Gerencias y Oficinas'!K20)</f>
        <v>Por completar</v>
      </c>
      <c r="L20" s="236" t="str">
        <f>IF('Gerencias y Oficinas'!L20="","",'Gerencias y Oficinas'!L20)</f>
        <v>Sin PMI</v>
      </c>
      <c r="M20" s="236" t="str">
        <f>IF('Gerencias y Oficinas'!M20="","",'Gerencias y Oficinas'!M20)</f>
        <v>Sin PMI</v>
      </c>
      <c r="N20" s="236" t="str">
        <f>IF('Gerencias y Oficinas'!N20="","",'Gerencias y Oficinas'!N20)</f>
        <v>Sin PMI</v>
      </c>
      <c r="O20" s="236" t="str">
        <f>IF('Gerencias y Oficinas'!O20="","",'Gerencias y Oficinas'!O20)</f>
        <v>Sin PMI</v>
      </c>
    </row>
    <row r="21" spans="1:15" s="11" customFormat="1" ht="51" x14ac:dyDescent="0.2">
      <c r="A21" s="52">
        <f>SUBTOTAL(103,$B$8:B21)</f>
        <v>11</v>
      </c>
      <c r="B21" s="69">
        <v>413</v>
      </c>
      <c r="C21" s="82" t="s">
        <v>565</v>
      </c>
      <c r="D21" s="54">
        <f>IF('Gerencias y Oficinas'!D21="","",'Gerencias y Oficinas'!D21)</f>
        <v>349899</v>
      </c>
      <c r="E21" s="54">
        <f>IF('Gerencias y Oficinas'!E21="","",'Gerencias y Oficinas'!E21)</f>
        <v>307070</v>
      </c>
      <c r="F21" s="54">
        <f>IF('Gerencias y Oficinas'!F21="","",'Gerencias y Oficinas'!F21)</f>
        <v>42829</v>
      </c>
      <c r="G21" s="54">
        <f>IF('Gerencias y Oficinas'!G21="","",'Gerencias y Oficinas'!G21)</f>
        <v>10500</v>
      </c>
      <c r="H21" s="54">
        <f>IF('Gerencias y Oficinas'!H21="","",'Gerencias y Oficinas'!H21)</f>
        <v>339399</v>
      </c>
      <c r="I21" s="66">
        <f>IF('Gerencias y Oficinas'!I21="","",'Gerencias y Oficinas'!I21)</f>
        <v>3.0008659641782343E-2</v>
      </c>
      <c r="J21" s="257" t="str">
        <f>IF('Gerencias y Oficinas'!J21="","",'Gerencias y Oficinas'!J21)</f>
        <v/>
      </c>
      <c r="K21" s="257" t="str">
        <f>IF('Gerencias y Oficinas'!K21="","",'Gerencias y Oficinas'!K21)</f>
        <v>Por completar</v>
      </c>
      <c r="L21" s="236" t="str">
        <f>IF('Gerencias y Oficinas'!L21="","",'Gerencias y Oficinas'!L21)</f>
        <v>Sin PMI</v>
      </c>
      <c r="M21" s="236" t="str">
        <f>IF('Gerencias y Oficinas'!M21="","",'Gerencias y Oficinas'!M21)</f>
        <v>Sin PMI</v>
      </c>
      <c r="N21" s="236" t="str">
        <f>IF('Gerencias y Oficinas'!N21="","",'Gerencias y Oficinas'!N21)</f>
        <v>Sin PMI</v>
      </c>
      <c r="O21" s="236" t="str">
        <f>IF('Gerencias y Oficinas'!O21="","",'Gerencias y Oficinas'!O21)</f>
        <v>Sin PMI</v>
      </c>
    </row>
    <row r="22" spans="1:15" s="11" customFormat="1" ht="63.75" x14ac:dyDescent="0.2">
      <c r="A22" s="52">
        <f>SUBTOTAL(103,$B$8:B22)</f>
        <v>12</v>
      </c>
      <c r="B22" s="69">
        <v>394</v>
      </c>
      <c r="C22" s="82" t="s">
        <v>546</v>
      </c>
      <c r="D22" s="54">
        <f>IF('Gerencias y Oficinas'!D22="","",'Gerencias y Oficinas'!D22)</f>
        <v>349792</v>
      </c>
      <c r="E22" s="54">
        <f>IF('Gerencias y Oficinas'!E22="","",'Gerencias y Oficinas'!E22)</f>
        <v>321500</v>
      </c>
      <c r="F22" s="54">
        <f>IF('Gerencias y Oficinas'!F22="","",'Gerencias y Oficinas'!F22)</f>
        <v>28292</v>
      </c>
      <c r="G22" s="54">
        <f>IF('Gerencias y Oficinas'!G22="","",'Gerencias y Oficinas'!G22)</f>
        <v>0</v>
      </c>
      <c r="H22" s="54">
        <f>IF('Gerencias y Oficinas'!H22="","",'Gerencias y Oficinas'!H22)</f>
        <v>349792</v>
      </c>
      <c r="I22" s="66">
        <f>IF('Gerencias y Oficinas'!I22="","",'Gerencias y Oficinas'!I22)</f>
        <v>0</v>
      </c>
      <c r="J22" s="257" t="str">
        <f>IF('Gerencias y Oficinas'!J22="","",'Gerencias y Oficinas'!J22)</f>
        <v/>
      </c>
      <c r="K22" s="257" t="str">
        <f>IF('Gerencias y Oficinas'!K22="","",'Gerencias y Oficinas'!K22)</f>
        <v>Por completar</v>
      </c>
      <c r="L22" s="236" t="str">
        <f>IF('Gerencias y Oficinas'!L22="","",'Gerencias y Oficinas'!L22)</f>
        <v>Sin PMI</v>
      </c>
      <c r="M22" s="236" t="str">
        <f>IF('Gerencias y Oficinas'!M22="","",'Gerencias y Oficinas'!M22)</f>
        <v>Sin PMI</v>
      </c>
      <c r="N22" s="236" t="str">
        <f>IF('Gerencias y Oficinas'!N22="","",'Gerencias y Oficinas'!N22)</f>
        <v>Sin PMI</v>
      </c>
      <c r="O22" s="236" t="str">
        <f>IF('Gerencias y Oficinas'!O22="","",'Gerencias y Oficinas'!O22)</f>
        <v>Sin PMI</v>
      </c>
    </row>
    <row r="23" spans="1:15" s="11" customFormat="1" ht="63.75" x14ac:dyDescent="0.2">
      <c r="A23" s="52">
        <f>SUBTOTAL(103,$B$8:B23)</f>
        <v>13</v>
      </c>
      <c r="B23" s="69">
        <v>408</v>
      </c>
      <c r="C23" s="82" t="s">
        <v>560</v>
      </c>
      <c r="D23" s="54">
        <f>IF('Gerencias y Oficinas'!D23="","",'Gerencias y Oficinas'!D23)</f>
        <v>349792</v>
      </c>
      <c r="E23" s="54">
        <f>IF('Gerencias y Oficinas'!E23="","",'Gerencias y Oficinas'!E23)</f>
        <v>329100</v>
      </c>
      <c r="F23" s="54">
        <f>IF('Gerencias y Oficinas'!F23="","",'Gerencias y Oficinas'!F23)</f>
        <v>20692</v>
      </c>
      <c r="G23" s="54">
        <f>IF('Gerencias y Oficinas'!G23="","",'Gerencias y Oficinas'!G23)</f>
        <v>0</v>
      </c>
      <c r="H23" s="54">
        <f>IF('Gerencias y Oficinas'!H23="","",'Gerencias y Oficinas'!H23)</f>
        <v>349792</v>
      </c>
      <c r="I23" s="66">
        <f>IF('Gerencias y Oficinas'!I23="","",'Gerencias y Oficinas'!I23)</f>
        <v>0</v>
      </c>
      <c r="J23" s="257" t="str">
        <f>IF('Gerencias y Oficinas'!J23="","",'Gerencias y Oficinas'!J23)</f>
        <v/>
      </c>
      <c r="K23" s="257" t="str">
        <f>IF('Gerencias y Oficinas'!K23="","",'Gerencias y Oficinas'!K23)</f>
        <v>Por completar</v>
      </c>
      <c r="L23" s="236" t="str">
        <f>IF('Gerencias y Oficinas'!L23="","",'Gerencias y Oficinas'!L23)</f>
        <v>Sin PMI</v>
      </c>
      <c r="M23" s="236" t="str">
        <f>IF('Gerencias y Oficinas'!M23="","",'Gerencias y Oficinas'!M23)</f>
        <v>Sin PMI</v>
      </c>
      <c r="N23" s="236" t="str">
        <f>IF('Gerencias y Oficinas'!N23="","",'Gerencias y Oficinas'!N23)</f>
        <v>Sin PMI</v>
      </c>
      <c r="O23" s="236" t="str">
        <f>IF('Gerencias y Oficinas'!O23="","",'Gerencias y Oficinas'!O23)</f>
        <v>Sin PMI</v>
      </c>
    </row>
    <row r="24" spans="1:15" s="11" customFormat="1" ht="42" customHeight="1" x14ac:dyDescent="0.2">
      <c r="A24" s="52">
        <f>SUBTOTAL(103,$B$8:B24)</f>
        <v>14</v>
      </c>
      <c r="B24" s="69">
        <v>421</v>
      </c>
      <c r="C24" s="82" t="s">
        <v>573</v>
      </c>
      <c r="D24" s="54">
        <f>IF('Gerencias y Oficinas'!D24="","",'Gerencias y Oficinas'!D24)</f>
        <v>346711</v>
      </c>
      <c r="E24" s="54">
        <f>IF('Gerencias y Oficinas'!E24="","",'Gerencias y Oficinas'!E24)</f>
        <v>318955</v>
      </c>
      <c r="F24" s="54">
        <f>IF('Gerencias y Oficinas'!F24="","",'Gerencias y Oficinas'!F24)</f>
        <v>27756</v>
      </c>
      <c r="G24" s="54">
        <f>IF('Gerencias y Oficinas'!G24="","",'Gerencias y Oficinas'!G24)</f>
        <v>112190</v>
      </c>
      <c r="H24" s="54">
        <f>IF('Gerencias y Oficinas'!H24="","",'Gerencias y Oficinas'!H24)</f>
        <v>234521</v>
      </c>
      <c r="I24" s="66">
        <f>IF('Gerencias y Oficinas'!I24="","",'Gerencias y Oficinas'!I24)</f>
        <v>0.32358361863338631</v>
      </c>
      <c r="J24" s="257" t="str">
        <f>IF('Gerencias y Oficinas'!J24="","",'Gerencias y Oficinas'!J24)</f>
        <v/>
      </c>
      <c r="K24" s="257" t="str">
        <f>IF('Gerencias y Oficinas'!K24="","",'Gerencias y Oficinas'!K24)</f>
        <v>Por completar</v>
      </c>
      <c r="L24" s="236" t="str">
        <f>IF('Gerencias y Oficinas'!L24="","",'Gerencias y Oficinas'!L24)</f>
        <v>Sin PMI</v>
      </c>
      <c r="M24" s="236" t="str">
        <f>IF('Gerencias y Oficinas'!M24="","",'Gerencias y Oficinas'!M24)</f>
        <v>Sin PMI</v>
      </c>
      <c r="N24" s="236" t="str">
        <f>IF('Gerencias y Oficinas'!N24="","",'Gerencias y Oficinas'!N24)</f>
        <v>Sin PMI</v>
      </c>
      <c r="O24" s="236" t="str">
        <f>IF('Gerencias y Oficinas'!O24="","",'Gerencias y Oficinas'!O24)</f>
        <v>Sin PMI</v>
      </c>
    </row>
    <row r="25" spans="1:15" s="11" customFormat="1" ht="63.75" x14ac:dyDescent="0.2">
      <c r="A25" s="52">
        <f>SUBTOTAL(103,$B$8:B25)</f>
        <v>15</v>
      </c>
      <c r="B25" s="69">
        <v>387</v>
      </c>
      <c r="C25" s="82" t="s">
        <v>539</v>
      </c>
      <c r="D25" s="54">
        <f>IF('Gerencias y Oficinas'!D25="","",'Gerencias y Oficinas'!D25)</f>
        <v>269980</v>
      </c>
      <c r="E25" s="54">
        <f>IF('Gerencias y Oficinas'!E25="","",'Gerencias y Oficinas'!E25)</f>
        <v>259749</v>
      </c>
      <c r="F25" s="54">
        <f>IF('Gerencias y Oficinas'!F25="","",'Gerencias y Oficinas'!F25)</f>
        <v>10231</v>
      </c>
      <c r="G25" s="54">
        <f>IF('Gerencias y Oficinas'!G25="","",'Gerencias y Oficinas'!G25)</f>
        <v>255066</v>
      </c>
      <c r="H25" s="54">
        <f>IF('Gerencias y Oficinas'!H25="","",'Gerencias y Oficinas'!H25)</f>
        <v>14914</v>
      </c>
      <c r="I25" s="66">
        <f>IF('Gerencias y Oficinas'!I25="","",'Gerencias y Oficinas'!I25)</f>
        <v>0.94475887102748357</v>
      </c>
      <c r="J25" s="257" t="str">
        <f>IF('Gerencias y Oficinas'!J25="","",'Gerencias y Oficinas'!J25)</f>
        <v/>
      </c>
      <c r="K25" s="257" t="str">
        <f>IF('Gerencias y Oficinas'!K25="","",'Gerencias y Oficinas'!K25)</f>
        <v>Por completar</v>
      </c>
      <c r="L25" s="236" t="str">
        <f>IF('Gerencias y Oficinas'!L25="","",'Gerencias y Oficinas'!L25)</f>
        <v>Sin PMI</v>
      </c>
      <c r="M25" s="236" t="str">
        <f>IF('Gerencias y Oficinas'!M25="","",'Gerencias y Oficinas'!M25)</f>
        <v>Sin PMI</v>
      </c>
      <c r="N25" s="236" t="str">
        <f>IF('Gerencias y Oficinas'!N25="","",'Gerencias y Oficinas'!N25)</f>
        <v>Sin PMI</v>
      </c>
      <c r="O25" s="236" t="str">
        <f>IF('Gerencias y Oficinas'!O25="","",'Gerencias y Oficinas'!O25)</f>
        <v>Sin PMI</v>
      </c>
    </row>
    <row r="26" spans="1:15" s="11" customFormat="1" ht="63.75" x14ac:dyDescent="0.2">
      <c r="A26" s="52">
        <f>SUBTOTAL(103,$B$8:B26)</f>
        <v>16</v>
      </c>
      <c r="B26" s="69">
        <v>378</v>
      </c>
      <c r="C26" s="82" t="s">
        <v>426</v>
      </c>
      <c r="D26" s="54">
        <f>IF('Gerencias y Oficinas'!D26="","",'Gerencias y Oficinas'!D26)</f>
        <v>209400</v>
      </c>
      <c r="E26" s="54">
        <f>IF('Gerencias y Oficinas'!E26="","",'Gerencias y Oficinas'!E26)</f>
        <v>176550</v>
      </c>
      <c r="F26" s="54">
        <f>IF('Gerencias y Oficinas'!F26="","",'Gerencias y Oficinas'!F26)</f>
        <v>32850</v>
      </c>
      <c r="G26" s="54">
        <f>IF('Gerencias y Oficinas'!G26="","",'Gerencias y Oficinas'!G26)</f>
        <v>136550</v>
      </c>
      <c r="H26" s="54">
        <f>IF('Gerencias y Oficinas'!H26="","",'Gerencias y Oficinas'!H26)</f>
        <v>72850</v>
      </c>
      <c r="I26" s="66">
        <f>IF('Gerencias y Oficinas'!I26="","",'Gerencias y Oficinas'!I26)</f>
        <v>0.65210124164278893</v>
      </c>
      <c r="J26" s="257" t="str">
        <f>IF('Gerencias y Oficinas'!J26="","",'Gerencias y Oficinas'!J26)</f>
        <v/>
      </c>
      <c r="K26" s="257" t="str">
        <f>IF('Gerencias y Oficinas'!K26="","",'Gerencias y Oficinas'!K26)</f>
        <v>Por completar</v>
      </c>
      <c r="L26" s="236" t="str">
        <f>IF('Gerencias y Oficinas'!L26="","",'Gerencias y Oficinas'!L26)</f>
        <v>Sin PMI</v>
      </c>
      <c r="M26" s="236" t="str">
        <f>IF('Gerencias y Oficinas'!M26="","",'Gerencias y Oficinas'!M26)</f>
        <v>Sin PMI</v>
      </c>
      <c r="N26" s="236" t="str">
        <f>IF('Gerencias y Oficinas'!N26="","",'Gerencias y Oficinas'!N26)</f>
        <v>Sin PMI</v>
      </c>
      <c r="O26" s="236" t="str">
        <f>IF('Gerencias y Oficinas'!O26="","",'Gerencias y Oficinas'!O26)</f>
        <v>Sin PMI</v>
      </c>
    </row>
    <row r="27" spans="1:15" s="11" customFormat="1" ht="63.75" x14ac:dyDescent="0.2">
      <c r="A27" s="52">
        <f>SUBTOTAL(103,$B$8:B27)</f>
        <v>17</v>
      </c>
      <c r="B27" s="69">
        <v>392</v>
      </c>
      <c r="C27" s="82" t="s">
        <v>544</v>
      </c>
      <c r="D27" s="54">
        <f>IF('Gerencias y Oficinas'!D27="","",'Gerencias y Oficinas'!D27)</f>
        <v>160000</v>
      </c>
      <c r="E27" s="54">
        <f>IF('Gerencias y Oficinas'!E27="","",'Gerencias y Oficinas'!E27)</f>
        <v>143401</v>
      </c>
      <c r="F27" s="54">
        <f>IF('Gerencias y Oficinas'!F27="","",'Gerencias y Oficinas'!F27)</f>
        <v>16599</v>
      </c>
      <c r="G27" s="54">
        <f>IF('Gerencias y Oficinas'!G27="","",'Gerencias y Oficinas'!G27)</f>
        <v>143401</v>
      </c>
      <c r="H27" s="54">
        <f>IF('Gerencias y Oficinas'!H27="","",'Gerencias y Oficinas'!H27)</f>
        <v>16599</v>
      </c>
      <c r="I27" s="66">
        <f>IF('Gerencias y Oficinas'!I27="","",'Gerencias y Oficinas'!I27)</f>
        <v>0.89625624999999998</v>
      </c>
      <c r="J27" s="257" t="str">
        <f>IF('Gerencias y Oficinas'!J27="","",'Gerencias y Oficinas'!J27)</f>
        <v/>
      </c>
      <c r="K27" s="257" t="str">
        <f>IF('Gerencias y Oficinas'!K27="","",'Gerencias y Oficinas'!K27)</f>
        <v>Por completar</v>
      </c>
      <c r="L27" s="236" t="str">
        <f>IF('Gerencias y Oficinas'!L27="","",'Gerencias y Oficinas'!L27)</f>
        <v>Sin PMI</v>
      </c>
      <c r="M27" s="236" t="str">
        <f>IF('Gerencias y Oficinas'!M27="","",'Gerencias y Oficinas'!M27)</f>
        <v>Sin PMI</v>
      </c>
      <c r="N27" s="236" t="str">
        <f>IF('Gerencias y Oficinas'!N27="","",'Gerencias y Oficinas'!N27)</f>
        <v>Sin PMI</v>
      </c>
      <c r="O27" s="236" t="str">
        <f>IF('Gerencias y Oficinas'!O27="","",'Gerencias y Oficinas'!O27)</f>
        <v>Sin PMI</v>
      </c>
    </row>
    <row r="28" spans="1:15" s="11" customFormat="1" ht="76.5" x14ac:dyDescent="0.2">
      <c r="A28" s="52">
        <f>SUBTOTAL(103,$B$8:B28)</f>
        <v>18</v>
      </c>
      <c r="B28" s="69">
        <v>393</v>
      </c>
      <c r="C28" s="82" t="s">
        <v>545</v>
      </c>
      <c r="D28" s="54">
        <f>IF('Gerencias y Oficinas'!D28="","",'Gerencias y Oficinas'!D28)</f>
        <v>160000</v>
      </c>
      <c r="E28" s="54">
        <f>IF('Gerencias y Oficinas'!E28="","",'Gerencias y Oficinas'!E28)</f>
        <v>149840</v>
      </c>
      <c r="F28" s="54">
        <f>IF('Gerencias y Oficinas'!F28="","",'Gerencias y Oficinas'!F28)</f>
        <v>10160</v>
      </c>
      <c r="G28" s="54">
        <f>IF('Gerencias y Oficinas'!G28="","",'Gerencias y Oficinas'!G28)</f>
        <v>18740</v>
      </c>
      <c r="H28" s="54">
        <f>IF('Gerencias y Oficinas'!H28="","",'Gerencias y Oficinas'!H28)</f>
        <v>141260</v>
      </c>
      <c r="I28" s="66">
        <f>IF('Gerencias y Oficinas'!I28="","",'Gerencias y Oficinas'!I28)</f>
        <v>0.11712500000000001</v>
      </c>
      <c r="J28" s="257" t="str">
        <f>IF('Gerencias y Oficinas'!J28="","",'Gerencias y Oficinas'!J28)</f>
        <v/>
      </c>
      <c r="K28" s="257" t="str">
        <f>IF('Gerencias y Oficinas'!K28="","",'Gerencias y Oficinas'!K28)</f>
        <v>Por completar</v>
      </c>
      <c r="L28" s="236" t="str">
        <f>IF('Gerencias y Oficinas'!L28="","",'Gerencias y Oficinas'!L28)</f>
        <v>Sin PMI</v>
      </c>
      <c r="M28" s="236" t="str">
        <f>IF('Gerencias y Oficinas'!M28="","",'Gerencias y Oficinas'!M28)</f>
        <v>Sin PMI</v>
      </c>
      <c r="N28" s="236" t="str">
        <f>IF('Gerencias y Oficinas'!N28="","",'Gerencias y Oficinas'!N28)</f>
        <v>Sin PMI</v>
      </c>
      <c r="O28" s="236" t="str">
        <f>IF('Gerencias y Oficinas'!O28="","",'Gerencias y Oficinas'!O28)</f>
        <v>Sin PMI</v>
      </c>
    </row>
    <row r="29" spans="1:15" s="11" customFormat="1" ht="63.75" x14ac:dyDescent="0.2">
      <c r="A29" s="52">
        <f>SUBTOTAL(103,$B$8:B29)</f>
        <v>19</v>
      </c>
      <c r="B29" s="69">
        <v>397</v>
      </c>
      <c r="C29" s="82" t="s">
        <v>549</v>
      </c>
      <c r="D29" s="54">
        <f>IF('Gerencias y Oficinas'!D29="","",'Gerencias y Oficinas'!D29)</f>
        <v>160000</v>
      </c>
      <c r="E29" s="54">
        <f>IF('Gerencias y Oficinas'!E29="","",'Gerencias y Oficinas'!E29)</f>
        <v>148990</v>
      </c>
      <c r="F29" s="54">
        <f>IF('Gerencias y Oficinas'!F29="","",'Gerencias y Oficinas'!F29)</f>
        <v>11010</v>
      </c>
      <c r="G29" s="54">
        <f>IF('Gerencias y Oficinas'!G29="","",'Gerencias y Oficinas'!G29)</f>
        <v>26000</v>
      </c>
      <c r="H29" s="54">
        <f>IF('Gerencias y Oficinas'!H29="","",'Gerencias y Oficinas'!H29)</f>
        <v>134000</v>
      </c>
      <c r="I29" s="66">
        <f>IF('Gerencias y Oficinas'!I29="","",'Gerencias y Oficinas'!I29)</f>
        <v>0.16250000000000001</v>
      </c>
      <c r="J29" s="257" t="str">
        <f>IF('Gerencias y Oficinas'!J29="","",'Gerencias y Oficinas'!J29)</f>
        <v/>
      </c>
      <c r="K29" s="257" t="str">
        <f>IF('Gerencias y Oficinas'!K29="","",'Gerencias y Oficinas'!K29)</f>
        <v>Por completar</v>
      </c>
      <c r="L29" s="236" t="str">
        <f>IF('Gerencias y Oficinas'!L29="","",'Gerencias y Oficinas'!L29)</f>
        <v>Sin PMI</v>
      </c>
      <c r="M29" s="236" t="str">
        <f>IF('Gerencias y Oficinas'!M29="","",'Gerencias y Oficinas'!M29)</f>
        <v>Sin PMI</v>
      </c>
      <c r="N29" s="236" t="str">
        <f>IF('Gerencias y Oficinas'!N29="","",'Gerencias y Oficinas'!N29)</f>
        <v>Sin PMI</v>
      </c>
      <c r="O29" s="236" t="str">
        <f>IF('Gerencias y Oficinas'!O29="","",'Gerencias y Oficinas'!O29)</f>
        <v>Sin PMI</v>
      </c>
    </row>
    <row r="30" spans="1:15" s="11" customFormat="1" ht="63.75" x14ac:dyDescent="0.2">
      <c r="A30" s="52">
        <f>SUBTOTAL(103,$B$8:B30)</f>
        <v>20</v>
      </c>
      <c r="B30" s="69">
        <v>404</v>
      </c>
      <c r="C30" s="82" t="s">
        <v>556</v>
      </c>
      <c r="D30" s="54">
        <f>IF('Gerencias y Oficinas'!D30="","",'Gerencias y Oficinas'!D30)</f>
        <v>160000</v>
      </c>
      <c r="E30" s="54">
        <f>IF('Gerencias y Oficinas'!E30="","",'Gerencias y Oficinas'!E30)</f>
        <v>150870</v>
      </c>
      <c r="F30" s="54">
        <f>IF('Gerencias y Oficinas'!F30="","",'Gerencias y Oficinas'!F30)</f>
        <v>9130</v>
      </c>
      <c r="G30" s="54">
        <f>IF('Gerencias y Oficinas'!G30="","",'Gerencias y Oficinas'!G30)</f>
        <v>45270</v>
      </c>
      <c r="H30" s="54">
        <f>IF('Gerencias y Oficinas'!H30="","",'Gerencias y Oficinas'!H30)</f>
        <v>114730</v>
      </c>
      <c r="I30" s="66">
        <f>IF('Gerencias y Oficinas'!I30="","",'Gerencias y Oficinas'!I30)</f>
        <v>0.28293750000000001</v>
      </c>
      <c r="J30" s="257" t="str">
        <f>IF('Gerencias y Oficinas'!J30="","",'Gerencias y Oficinas'!J30)</f>
        <v/>
      </c>
      <c r="K30" s="257" t="str">
        <f>IF('Gerencias y Oficinas'!K30="","",'Gerencias y Oficinas'!K30)</f>
        <v>Por completar</v>
      </c>
      <c r="L30" s="236" t="str">
        <f>IF('Gerencias y Oficinas'!L30="","",'Gerencias y Oficinas'!L30)</f>
        <v>Sin PMI</v>
      </c>
      <c r="M30" s="236" t="str">
        <f>IF('Gerencias y Oficinas'!M30="","",'Gerencias y Oficinas'!M30)</f>
        <v>Sin PMI</v>
      </c>
      <c r="N30" s="236" t="str">
        <f>IF('Gerencias y Oficinas'!N30="","",'Gerencias y Oficinas'!N30)</f>
        <v>Sin PMI</v>
      </c>
      <c r="O30" s="236" t="str">
        <f>IF('Gerencias y Oficinas'!O30="","",'Gerencias y Oficinas'!O30)</f>
        <v>Sin PMI</v>
      </c>
    </row>
    <row r="31" spans="1:15" s="11" customFormat="1" ht="63.75" x14ac:dyDescent="0.2">
      <c r="A31" s="52">
        <f>SUBTOTAL(103,$B$8:B31)</f>
        <v>21</v>
      </c>
      <c r="B31" s="69">
        <v>407</v>
      </c>
      <c r="C31" s="82" t="s">
        <v>559</v>
      </c>
      <c r="D31" s="54">
        <f>IF('Gerencias y Oficinas'!D31="","",'Gerencias y Oficinas'!D31)</f>
        <v>160000</v>
      </c>
      <c r="E31" s="54">
        <f>IF('Gerencias y Oficinas'!E31="","",'Gerencias y Oficinas'!E31)</f>
        <v>151322</v>
      </c>
      <c r="F31" s="54">
        <f>IF('Gerencias y Oficinas'!F31="","",'Gerencias y Oficinas'!F31)</f>
        <v>8678</v>
      </c>
      <c r="G31" s="54">
        <f>IF('Gerencias y Oficinas'!G31="","",'Gerencias y Oficinas'!G31)</f>
        <v>96322</v>
      </c>
      <c r="H31" s="54">
        <f>IF('Gerencias y Oficinas'!H31="","",'Gerencias y Oficinas'!H31)</f>
        <v>63678</v>
      </c>
      <c r="I31" s="66">
        <f>IF('Gerencias y Oficinas'!I31="","",'Gerencias y Oficinas'!I31)</f>
        <v>0.60201249999999995</v>
      </c>
      <c r="J31" s="257" t="str">
        <f>IF('Gerencias y Oficinas'!J31="","",'Gerencias y Oficinas'!J31)</f>
        <v/>
      </c>
      <c r="K31" s="257" t="str">
        <f>IF('Gerencias y Oficinas'!K31="","",'Gerencias y Oficinas'!K31)</f>
        <v>Por completar</v>
      </c>
      <c r="L31" s="236" t="str">
        <f>IF('Gerencias y Oficinas'!L31="","",'Gerencias y Oficinas'!L31)</f>
        <v>Sin PMI</v>
      </c>
      <c r="M31" s="236" t="str">
        <f>IF('Gerencias y Oficinas'!M31="","",'Gerencias y Oficinas'!M31)</f>
        <v>Sin PMI</v>
      </c>
      <c r="N31" s="236" t="str">
        <f>IF('Gerencias y Oficinas'!N31="","",'Gerencias y Oficinas'!N31)</f>
        <v>Sin PMI</v>
      </c>
      <c r="O31" s="236" t="str">
        <f>IF('Gerencias y Oficinas'!O31="","",'Gerencias y Oficinas'!O31)</f>
        <v>Sin PMI</v>
      </c>
    </row>
    <row r="32" spans="1:15" s="11" customFormat="1" ht="76.5" x14ac:dyDescent="0.2">
      <c r="A32" s="52">
        <f>SUBTOTAL(103,$B$8:B32)</f>
        <v>22</v>
      </c>
      <c r="B32" s="69">
        <v>412</v>
      </c>
      <c r="C32" s="82" t="s">
        <v>564</v>
      </c>
      <c r="D32" s="54">
        <f>IF('Gerencias y Oficinas'!D32="","",'Gerencias y Oficinas'!D32)</f>
        <v>160000</v>
      </c>
      <c r="E32" s="54">
        <f>IF('Gerencias y Oficinas'!E32="","",'Gerencias y Oficinas'!E32)</f>
        <v>145570.62</v>
      </c>
      <c r="F32" s="54">
        <f>IF('Gerencias y Oficinas'!F32="","",'Gerencias y Oficinas'!F32)</f>
        <v>14429.380000000005</v>
      </c>
      <c r="G32" s="54">
        <f>IF('Gerencias y Oficinas'!G32="","",'Gerencias y Oficinas'!G32)</f>
        <v>10545</v>
      </c>
      <c r="H32" s="54">
        <f>IF('Gerencias y Oficinas'!H32="","",'Gerencias y Oficinas'!H32)</f>
        <v>149455</v>
      </c>
      <c r="I32" s="66">
        <f>IF('Gerencias y Oficinas'!I32="","",'Gerencias y Oficinas'!I32)</f>
        <v>6.590625E-2</v>
      </c>
      <c r="J32" s="257" t="str">
        <f>IF('Gerencias y Oficinas'!J32="","",'Gerencias y Oficinas'!J32)</f>
        <v/>
      </c>
      <c r="K32" s="257" t="str">
        <f>IF('Gerencias y Oficinas'!K32="","",'Gerencias y Oficinas'!K32)</f>
        <v>Por completar</v>
      </c>
      <c r="L32" s="236" t="str">
        <f>IF('Gerencias y Oficinas'!L32="","",'Gerencias y Oficinas'!L32)</f>
        <v>Sin PMI</v>
      </c>
      <c r="M32" s="236" t="str">
        <f>IF('Gerencias y Oficinas'!M32="","",'Gerencias y Oficinas'!M32)</f>
        <v>Sin PMI</v>
      </c>
      <c r="N32" s="236" t="str">
        <f>IF('Gerencias y Oficinas'!N32="","",'Gerencias y Oficinas'!N32)</f>
        <v>Sin PMI</v>
      </c>
      <c r="O32" s="236" t="str">
        <f>IF('Gerencias y Oficinas'!O32="","",'Gerencias y Oficinas'!O32)</f>
        <v>Sin PMI</v>
      </c>
    </row>
    <row r="33" spans="1:15" s="11" customFormat="1" ht="63.75" x14ac:dyDescent="0.2">
      <c r="A33" s="52">
        <f>SUBTOTAL(103,$B$8:B33)</f>
        <v>23</v>
      </c>
      <c r="B33" s="69">
        <v>420</v>
      </c>
      <c r="C33" s="82" t="s">
        <v>572</v>
      </c>
      <c r="D33" s="54">
        <f>IF('Gerencias y Oficinas'!D33="","",'Gerencias y Oficinas'!D33)</f>
        <v>160000</v>
      </c>
      <c r="E33" s="54">
        <f>IF('Gerencias y Oficinas'!E33="","",'Gerencias y Oficinas'!E33)</f>
        <v>154450</v>
      </c>
      <c r="F33" s="54">
        <f>IF('Gerencias y Oficinas'!F33="","",'Gerencias y Oficinas'!F33)</f>
        <v>5550</v>
      </c>
      <c r="G33" s="54">
        <f>IF('Gerencias y Oficinas'!G33="","",'Gerencias y Oficinas'!G33)</f>
        <v>129270</v>
      </c>
      <c r="H33" s="54">
        <f>IF('Gerencias y Oficinas'!H33="","",'Gerencias y Oficinas'!H33)</f>
        <v>30730</v>
      </c>
      <c r="I33" s="66">
        <f>IF('Gerencias y Oficinas'!I33="","",'Gerencias y Oficinas'!I33)</f>
        <v>0.80793749999999998</v>
      </c>
      <c r="J33" s="257" t="str">
        <f>IF('Gerencias y Oficinas'!J33="","",'Gerencias y Oficinas'!J33)</f>
        <v/>
      </c>
      <c r="K33" s="257" t="str">
        <f>IF('Gerencias y Oficinas'!K33="","",'Gerencias y Oficinas'!K33)</f>
        <v>Por completar</v>
      </c>
      <c r="L33" s="236" t="str">
        <f>IF('Gerencias y Oficinas'!L33="","",'Gerencias y Oficinas'!L33)</f>
        <v>Sin PMI</v>
      </c>
      <c r="M33" s="236" t="str">
        <f>IF('Gerencias y Oficinas'!M33="","",'Gerencias y Oficinas'!M33)</f>
        <v>Sin PMI</v>
      </c>
      <c r="N33" s="236" t="str">
        <f>IF('Gerencias y Oficinas'!N33="","",'Gerencias y Oficinas'!N33)</f>
        <v>Sin PMI</v>
      </c>
      <c r="O33" s="236" t="str">
        <f>IF('Gerencias y Oficinas'!O33="","",'Gerencias y Oficinas'!O33)</f>
        <v>Sin PMI</v>
      </c>
    </row>
    <row r="34" spans="1:15" s="11" customFormat="1" ht="63.75" x14ac:dyDescent="0.2">
      <c r="A34" s="52">
        <f>SUBTOTAL(103,$B$8:B34)</f>
        <v>24</v>
      </c>
      <c r="B34" s="69">
        <v>423</v>
      </c>
      <c r="C34" s="82" t="s">
        <v>575</v>
      </c>
      <c r="D34" s="54">
        <f>IF('Gerencias y Oficinas'!D34="","",'Gerencias y Oficinas'!D34)</f>
        <v>160000</v>
      </c>
      <c r="E34" s="54">
        <f>IF('Gerencias y Oficinas'!E34="","",'Gerencias y Oficinas'!E34)</f>
        <v>146000</v>
      </c>
      <c r="F34" s="54">
        <f>IF('Gerencias y Oficinas'!F34="","",'Gerencias y Oficinas'!F34)</f>
        <v>14000</v>
      </c>
      <c r="G34" s="54">
        <f>IF('Gerencias y Oficinas'!G34="","",'Gerencias y Oficinas'!G34)</f>
        <v>2000</v>
      </c>
      <c r="H34" s="54">
        <f>IF('Gerencias y Oficinas'!H34="","",'Gerencias y Oficinas'!H34)</f>
        <v>158000</v>
      </c>
      <c r="I34" s="66">
        <f>IF('Gerencias y Oficinas'!I34="","",'Gerencias y Oficinas'!I34)</f>
        <v>1.2500000000000001E-2</v>
      </c>
      <c r="J34" s="257" t="str">
        <f>IF('Gerencias y Oficinas'!J34="","",'Gerencias y Oficinas'!J34)</f>
        <v/>
      </c>
      <c r="K34" s="257" t="str">
        <f>IF('Gerencias y Oficinas'!K34="","",'Gerencias y Oficinas'!K34)</f>
        <v>Por completar</v>
      </c>
      <c r="L34" s="236" t="str">
        <f>IF('Gerencias y Oficinas'!L34="","",'Gerencias y Oficinas'!L34)</f>
        <v>Sin PMI</v>
      </c>
      <c r="M34" s="236" t="str">
        <f>IF('Gerencias y Oficinas'!M34="","",'Gerencias y Oficinas'!M34)</f>
        <v>Sin PMI</v>
      </c>
      <c r="N34" s="236" t="str">
        <f>IF('Gerencias y Oficinas'!N34="","",'Gerencias y Oficinas'!N34)</f>
        <v>Sin PMI</v>
      </c>
      <c r="O34" s="236" t="str">
        <f>IF('Gerencias y Oficinas'!O34="","",'Gerencias y Oficinas'!O34)</f>
        <v>Sin PMI</v>
      </c>
    </row>
    <row r="35" spans="1:15" s="11" customFormat="1" ht="51" x14ac:dyDescent="0.2">
      <c r="A35" s="52">
        <f>SUBTOTAL(103,$B$8:B35)</f>
        <v>25</v>
      </c>
      <c r="B35" s="69">
        <v>425</v>
      </c>
      <c r="C35" s="82" t="s">
        <v>577</v>
      </c>
      <c r="D35" s="54">
        <f>IF('Gerencias y Oficinas'!D35="","",'Gerencias y Oficinas'!D35)</f>
        <v>160000</v>
      </c>
      <c r="E35" s="54">
        <f>IF('Gerencias y Oficinas'!E35="","",'Gerencias y Oficinas'!E35)</f>
        <v>92650</v>
      </c>
      <c r="F35" s="54">
        <f>IF('Gerencias y Oficinas'!F35="","",'Gerencias y Oficinas'!F35)</f>
        <v>67350</v>
      </c>
      <c r="G35" s="54">
        <f>IF('Gerencias y Oficinas'!G35="","",'Gerencias y Oficinas'!G35)</f>
        <v>89300</v>
      </c>
      <c r="H35" s="54">
        <f>IF('Gerencias y Oficinas'!H35="","",'Gerencias y Oficinas'!H35)</f>
        <v>70700</v>
      </c>
      <c r="I35" s="66">
        <f>IF('Gerencias y Oficinas'!I35="","",'Gerencias y Oficinas'!I35)</f>
        <v>0.55812499999999998</v>
      </c>
      <c r="J35" s="257" t="str">
        <f>IF('Gerencias y Oficinas'!J35="","",'Gerencias y Oficinas'!J35)</f>
        <v/>
      </c>
      <c r="K35" s="257" t="str">
        <f>IF('Gerencias y Oficinas'!K35="","",'Gerencias y Oficinas'!K35)</f>
        <v>Por completar</v>
      </c>
      <c r="L35" s="236" t="str">
        <f>IF('Gerencias y Oficinas'!L35="","",'Gerencias y Oficinas'!L35)</f>
        <v>Sin PMI</v>
      </c>
      <c r="M35" s="236" t="str">
        <f>IF('Gerencias y Oficinas'!M35="","",'Gerencias y Oficinas'!M35)</f>
        <v>Sin PMI</v>
      </c>
      <c r="N35" s="236" t="str">
        <f>IF('Gerencias y Oficinas'!N35="","",'Gerencias y Oficinas'!N35)</f>
        <v>Sin PMI</v>
      </c>
      <c r="O35" s="236" t="str">
        <f>IF('Gerencias y Oficinas'!O35="","",'Gerencias y Oficinas'!O35)</f>
        <v>Sin PMI</v>
      </c>
    </row>
    <row r="36" spans="1:15" s="11" customFormat="1" ht="63.75" x14ac:dyDescent="0.2">
      <c r="A36" s="52">
        <f>SUBTOTAL(103,$B$8:B36)</f>
        <v>26</v>
      </c>
      <c r="B36" s="56">
        <v>351</v>
      </c>
      <c r="C36" s="81" t="s">
        <v>235</v>
      </c>
      <c r="D36" s="54">
        <f>IF('Gerencias y Oficinas'!D36="","",'Gerencias y Oficinas'!D36)</f>
        <v>61500</v>
      </c>
      <c r="E36" s="54">
        <f>IF('Gerencias y Oficinas'!E36="","",'Gerencias y Oficinas'!E36)</f>
        <v>59000</v>
      </c>
      <c r="F36" s="54">
        <f>IF('Gerencias y Oficinas'!F36="","",'Gerencias y Oficinas'!F36)</f>
        <v>2500</v>
      </c>
      <c r="G36" s="54">
        <f>IF('Gerencias y Oficinas'!G36="","",'Gerencias y Oficinas'!G36)</f>
        <v>0</v>
      </c>
      <c r="H36" s="54">
        <f>IF('Gerencias y Oficinas'!H36="","",'Gerencias y Oficinas'!H36)</f>
        <v>61500</v>
      </c>
      <c r="I36" s="55">
        <f>IF('Gerencias y Oficinas'!I36="","",'Gerencias y Oficinas'!I36)</f>
        <v>0</v>
      </c>
      <c r="J36" s="258" t="str">
        <f>IF('Gerencias y Oficinas'!J36="","",'Gerencias y Oficinas'!J36)</f>
        <v/>
      </c>
      <c r="K36" s="258" t="str">
        <f>IF('Gerencias y Oficinas'!K36="","",'Gerencias y Oficinas'!K36)</f>
        <v>Por completar</v>
      </c>
      <c r="L36" s="231" t="str">
        <f>IF('Gerencias y Oficinas'!L36="","",'Gerencias y Oficinas'!L36)</f>
        <v>Sin PMI</v>
      </c>
      <c r="M36" s="231" t="str">
        <f>IF('Gerencias y Oficinas'!M36="","",'Gerencias y Oficinas'!M36)</f>
        <v>Sin PMI</v>
      </c>
      <c r="N36" s="231" t="str">
        <f>IF('Gerencias y Oficinas'!N36="","",'Gerencias y Oficinas'!N36)</f>
        <v>Sin PMI</v>
      </c>
      <c r="O36" s="231" t="str">
        <f>IF('Gerencias y Oficinas'!O36="","",'Gerencias y Oficinas'!O36)</f>
        <v>Sin PMI</v>
      </c>
    </row>
    <row r="37" spans="1:15" s="11" customFormat="1" ht="76.5" x14ac:dyDescent="0.2">
      <c r="A37" s="52">
        <f>SUBTOTAL(103,$B$8:B37)</f>
        <v>27</v>
      </c>
      <c r="B37" s="69">
        <v>352</v>
      </c>
      <c r="C37" s="82" t="s">
        <v>236</v>
      </c>
      <c r="D37" s="54">
        <f>IF('Gerencias y Oficinas'!D37="","",'Gerencias y Oficinas'!D37)</f>
        <v>62000</v>
      </c>
      <c r="E37" s="54">
        <f>IF('Gerencias y Oficinas'!E37="","",'Gerencias y Oficinas'!E37)</f>
        <v>61766.67</v>
      </c>
      <c r="F37" s="54">
        <f>IF('Gerencias y Oficinas'!F37="","",'Gerencias y Oficinas'!F37)</f>
        <v>233.33000000000175</v>
      </c>
      <c r="G37" s="54">
        <f>IF('Gerencias y Oficinas'!G37="","",'Gerencias y Oficinas'!G37)</f>
        <v>0</v>
      </c>
      <c r="H37" s="54">
        <f>IF('Gerencias y Oficinas'!H37="","",'Gerencias y Oficinas'!H37)</f>
        <v>62000</v>
      </c>
      <c r="I37" s="66">
        <f>IF('Gerencias y Oficinas'!I37="","",'Gerencias y Oficinas'!I37)</f>
        <v>0</v>
      </c>
      <c r="J37" s="257" t="str">
        <f>IF('Gerencias y Oficinas'!J37="","",'Gerencias y Oficinas'!J37)</f>
        <v/>
      </c>
      <c r="K37" s="257" t="str">
        <f>IF('Gerencias y Oficinas'!K37="","",'Gerencias y Oficinas'!K37)</f>
        <v>Por completar</v>
      </c>
      <c r="L37" s="236" t="str">
        <f>IF('Gerencias y Oficinas'!L37="","",'Gerencias y Oficinas'!L37)</f>
        <v>Sin PMI</v>
      </c>
      <c r="M37" s="236" t="str">
        <f>IF('Gerencias y Oficinas'!M37="","",'Gerencias y Oficinas'!M37)</f>
        <v>Sin PMI</v>
      </c>
      <c r="N37" s="236" t="str">
        <f>IF('Gerencias y Oficinas'!N37="","",'Gerencias y Oficinas'!N37)</f>
        <v>Sin PMI</v>
      </c>
      <c r="O37" s="236" t="str">
        <f>IF('Gerencias y Oficinas'!O37="","",'Gerencias y Oficinas'!O37)</f>
        <v>Sin PMI</v>
      </c>
    </row>
    <row r="38" spans="1:15" s="11" customFormat="1" ht="63.75" x14ac:dyDescent="0.2">
      <c r="A38" s="52">
        <f>SUBTOTAL(103,$B$8:B38)</f>
        <v>28</v>
      </c>
      <c r="B38" s="69">
        <v>353</v>
      </c>
      <c r="C38" s="82" t="s">
        <v>378</v>
      </c>
      <c r="D38" s="54">
        <f>IF('Gerencias y Oficinas'!D38="","",'Gerencias y Oficinas'!D38)</f>
        <v>63755</v>
      </c>
      <c r="E38" s="54">
        <f>IF('Gerencias y Oficinas'!E38="","",'Gerencias y Oficinas'!E38)</f>
        <v>60139.48</v>
      </c>
      <c r="F38" s="54">
        <f>IF('Gerencias y Oficinas'!F38="","",'Gerencias y Oficinas'!F38)</f>
        <v>3615.5199999999968</v>
      </c>
      <c r="G38" s="54">
        <f>IF('Gerencias y Oficinas'!G38="","",'Gerencias y Oficinas'!G38)</f>
        <v>2139.48</v>
      </c>
      <c r="H38" s="54">
        <f>IF('Gerencias y Oficinas'!H38="","",'Gerencias y Oficinas'!H38)</f>
        <v>61615.519999999997</v>
      </c>
      <c r="I38" s="66">
        <f>IF('Gerencias y Oficinas'!I38="","",'Gerencias y Oficinas'!I38)</f>
        <v>3.3557838600894049E-2</v>
      </c>
      <c r="J38" s="257" t="str">
        <f>IF('Gerencias y Oficinas'!J38="","",'Gerencias y Oficinas'!J38)</f>
        <v/>
      </c>
      <c r="K38" s="257" t="str">
        <f>IF('Gerencias y Oficinas'!K38="","",'Gerencias y Oficinas'!K38)</f>
        <v>Por completar</v>
      </c>
      <c r="L38" s="236" t="str">
        <f>IF('Gerencias y Oficinas'!L38="","",'Gerencias y Oficinas'!L38)</f>
        <v>Sin PMI</v>
      </c>
      <c r="M38" s="236" t="str">
        <f>IF('Gerencias y Oficinas'!M38="","",'Gerencias y Oficinas'!M38)</f>
        <v>Sin PMI</v>
      </c>
      <c r="N38" s="236" t="str">
        <f>IF('Gerencias y Oficinas'!N38="","",'Gerencias y Oficinas'!N38)</f>
        <v>Sin PMI</v>
      </c>
      <c r="O38" s="236" t="str">
        <f>IF('Gerencias y Oficinas'!O38="","",'Gerencias y Oficinas'!O38)</f>
        <v>Sin PMI</v>
      </c>
    </row>
    <row r="39" spans="1:15" s="11" customFormat="1" ht="63.75" x14ac:dyDescent="0.2">
      <c r="A39" s="52">
        <f>SUBTOTAL(103,$B$8:B39)</f>
        <v>29</v>
      </c>
      <c r="B39" s="69">
        <v>354</v>
      </c>
      <c r="C39" s="82" t="s">
        <v>382</v>
      </c>
      <c r="D39" s="54">
        <f>IF('Gerencias y Oficinas'!D39="","",'Gerencias y Oficinas'!D39)</f>
        <v>65438</v>
      </c>
      <c r="E39" s="54">
        <f>IF('Gerencias y Oficinas'!E39="","",'Gerencias y Oficinas'!E39)</f>
        <v>59650</v>
      </c>
      <c r="F39" s="54">
        <f>IF('Gerencias y Oficinas'!F39="","",'Gerencias y Oficinas'!F39)</f>
        <v>5788</v>
      </c>
      <c r="G39" s="54">
        <f>IF('Gerencias y Oficinas'!G39="","",'Gerencias y Oficinas'!G39)</f>
        <v>0</v>
      </c>
      <c r="H39" s="54">
        <f>IF('Gerencias y Oficinas'!H39="","",'Gerencias y Oficinas'!H39)</f>
        <v>65438</v>
      </c>
      <c r="I39" s="66">
        <f>IF('Gerencias y Oficinas'!I39="","",'Gerencias y Oficinas'!I39)</f>
        <v>0</v>
      </c>
      <c r="J39" s="257" t="str">
        <f>IF('Gerencias y Oficinas'!J39="","",'Gerencias y Oficinas'!J39)</f>
        <v/>
      </c>
      <c r="K39" s="257" t="str">
        <f>IF('Gerencias y Oficinas'!K39="","",'Gerencias y Oficinas'!K39)</f>
        <v>Por completar</v>
      </c>
      <c r="L39" s="236" t="str">
        <f>IF('Gerencias y Oficinas'!L39="","",'Gerencias y Oficinas'!L39)</f>
        <v>Sin PMI</v>
      </c>
      <c r="M39" s="236" t="str">
        <f>IF('Gerencias y Oficinas'!M39="","",'Gerencias y Oficinas'!M39)</f>
        <v>Sin PMI</v>
      </c>
      <c r="N39" s="236" t="str">
        <f>IF('Gerencias y Oficinas'!N39="","",'Gerencias y Oficinas'!N39)</f>
        <v>Sin PMI</v>
      </c>
      <c r="O39" s="236" t="str">
        <f>IF('Gerencias y Oficinas'!O39="","",'Gerencias y Oficinas'!O39)</f>
        <v>Sin PMI</v>
      </c>
    </row>
    <row r="40" spans="1:15" s="11" customFormat="1" ht="63.75" x14ac:dyDescent="0.2">
      <c r="A40" s="52">
        <f>SUBTOTAL(103,$B$8:B40)</f>
        <v>30</v>
      </c>
      <c r="B40" s="69">
        <v>355</v>
      </c>
      <c r="C40" s="82" t="s">
        <v>386</v>
      </c>
      <c r="D40" s="54">
        <f>IF('Gerencias y Oficinas'!D40="","",'Gerencias y Oficinas'!D40)</f>
        <v>61200</v>
      </c>
      <c r="E40" s="54">
        <f>IF('Gerencias y Oficinas'!E40="","",'Gerencias y Oficinas'!E40)</f>
        <v>59150</v>
      </c>
      <c r="F40" s="54">
        <f>IF('Gerencias y Oficinas'!F40="","",'Gerencias y Oficinas'!F40)</f>
        <v>2050</v>
      </c>
      <c r="G40" s="54">
        <f>IF('Gerencias y Oficinas'!G40="","",'Gerencias y Oficinas'!G40)</f>
        <v>59150</v>
      </c>
      <c r="H40" s="54">
        <f>IF('Gerencias y Oficinas'!H40="","",'Gerencias y Oficinas'!H40)</f>
        <v>2050</v>
      </c>
      <c r="I40" s="66">
        <f>IF('Gerencias y Oficinas'!I40="","",'Gerencias y Oficinas'!I40)</f>
        <v>0.96650326797385622</v>
      </c>
      <c r="J40" s="257" t="str">
        <f>IF('Gerencias y Oficinas'!J40="","",'Gerencias y Oficinas'!J40)</f>
        <v/>
      </c>
      <c r="K40" s="257" t="str">
        <f>IF('Gerencias y Oficinas'!K40="","",'Gerencias y Oficinas'!K40)</f>
        <v>Por completar</v>
      </c>
      <c r="L40" s="236" t="str">
        <f>IF('Gerencias y Oficinas'!L40="","",'Gerencias y Oficinas'!L40)</f>
        <v>Sin PMI</v>
      </c>
      <c r="M40" s="236" t="str">
        <f>IF('Gerencias y Oficinas'!M40="","",'Gerencias y Oficinas'!M40)</f>
        <v>Sin PMI</v>
      </c>
      <c r="N40" s="236" t="str">
        <f>IF('Gerencias y Oficinas'!N40="","",'Gerencias y Oficinas'!N40)</f>
        <v>Sin PMI</v>
      </c>
      <c r="O40" s="236" t="str">
        <f>IF('Gerencias y Oficinas'!O40="","",'Gerencias y Oficinas'!O40)</f>
        <v>Sin PMI</v>
      </c>
    </row>
    <row r="41" spans="1:15" s="11" customFormat="1" ht="63.75" x14ac:dyDescent="0.2">
      <c r="A41" s="52">
        <f>SUBTOTAL(103,$B$8:B41)</f>
        <v>31</v>
      </c>
      <c r="B41" s="69">
        <v>357</v>
      </c>
      <c r="C41" s="82" t="s">
        <v>389</v>
      </c>
      <c r="D41" s="54">
        <f>IF('Gerencias y Oficinas'!D41="","",'Gerencias y Oficinas'!D41)</f>
        <v>2936</v>
      </c>
      <c r="E41" s="54">
        <f>IF('Gerencias y Oficinas'!E41="","",'Gerencias y Oficinas'!E41)</f>
        <v>2936</v>
      </c>
      <c r="F41" s="54">
        <f>IF('Gerencias y Oficinas'!F41="","",'Gerencias y Oficinas'!F41)</f>
        <v>0</v>
      </c>
      <c r="G41" s="54">
        <f>IF('Gerencias y Oficinas'!G41="","",'Gerencias y Oficinas'!G41)</f>
        <v>2936</v>
      </c>
      <c r="H41" s="54">
        <f>IF('Gerencias y Oficinas'!H41="","",'Gerencias y Oficinas'!H41)</f>
        <v>0</v>
      </c>
      <c r="I41" s="66">
        <f>IF('Gerencias y Oficinas'!I41="","",'Gerencias y Oficinas'!I41)</f>
        <v>1</v>
      </c>
      <c r="J41" s="257" t="str">
        <f>IF('Gerencias y Oficinas'!J41="","",'Gerencias y Oficinas'!J41)</f>
        <v/>
      </c>
      <c r="K41" s="257" t="str">
        <f>IF('Gerencias y Oficinas'!K41="","",'Gerencias y Oficinas'!K41)</f>
        <v>Por completar</v>
      </c>
      <c r="L41" s="236" t="str">
        <f>IF('Gerencias y Oficinas'!L41="","",'Gerencias y Oficinas'!L41)</f>
        <v>Sin PMI</v>
      </c>
      <c r="M41" s="236" t="str">
        <f>IF('Gerencias y Oficinas'!M41="","",'Gerencias y Oficinas'!M41)</f>
        <v>Sin PMI</v>
      </c>
      <c r="N41" s="236" t="str">
        <f>IF('Gerencias y Oficinas'!N41="","",'Gerencias y Oficinas'!N41)</f>
        <v>Sin PMI</v>
      </c>
      <c r="O41" s="236" t="str">
        <f>IF('Gerencias y Oficinas'!O41="","",'Gerencias y Oficinas'!O41)</f>
        <v>Sin PMI</v>
      </c>
    </row>
    <row r="42" spans="1:15" s="11" customFormat="1" ht="63.75" x14ac:dyDescent="0.2">
      <c r="A42" s="52">
        <f>SUBTOTAL(103,$B$8:B42)</f>
        <v>32</v>
      </c>
      <c r="B42" s="69">
        <v>358</v>
      </c>
      <c r="C42" s="82" t="s">
        <v>390</v>
      </c>
      <c r="D42" s="54">
        <f>IF('Gerencias y Oficinas'!D42="","",'Gerencias y Oficinas'!D42)</f>
        <v>10692</v>
      </c>
      <c r="E42" s="54">
        <f>IF('Gerencias y Oficinas'!E42="","",'Gerencias y Oficinas'!E42)</f>
        <v>10691.76</v>
      </c>
      <c r="F42" s="54">
        <f>IF('Gerencias y Oficinas'!F42="","",'Gerencias y Oficinas'!F42)</f>
        <v>0.23999999999978172</v>
      </c>
      <c r="G42" s="54">
        <f>IF('Gerencias y Oficinas'!G42="","",'Gerencias y Oficinas'!G42)</f>
        <v>10691.76</v>
      </c>
      <c r="H42" s="54">
        <f>IF('Gerencias y Oficinas'!H42="","",'Gerencias y Oficinas'!H42)</f>
        <v>0.23999999999978172</v>
      </c>
      <c r="I42" s="66">
        <f>IF('Gerencias y Oficinas'!I42="","",'Gerencias y Oficinas'!I42)</f>
        <v>0.99997755331088667</v>
      </c>
      <c r="J42" s="257" t="str">
        <f>IF('Gerencias y Oficinas'!J42="","",'Gerencias y Oficinas'!J42)</f>
        <v/>
      </c>
      <c r="K42" s="257" t="str">
        <f>IF('Gerencias y Oficinas'!K42="","",'Gerencias y Oficinas'!K42)</f>
        <v>Por completar</v>
      </c>
      <c r="L42" s="236" t="str">
        <f>IF('Gerencias y Oficinas'!L42="","",'Gerencias y Oficinas'!L42)</f>
        <v>Sin PMI</v>
      </c>
      <c r="M42" s="236" t="str">
        <f>IF('Gerencias y Oficinas'!M42="","",'Gerencias y Oficinas'!M42)</f>
        <v>Sin PMI</v>
      </c>
      <c r="N42" s="236" t="str">
        <f>IF('Gerencias y Oficinas'!N42="","",'Gerencias y Oficinas'!N42)</f>
        <v>Sin PMI</v>
      </c>
      <c r="O42" s="236" t="str">
        <f>IF('Gerencias y Oficinas'!O42="","",'Gerencias y Oficinas'!O42)</f>
        <v>Sin PMI</v>
      </c>
    </row>
    <row r="43" spans="1:15" s="11" customFormat="1" ht="51" x14ac:dyDescent="0.2">
      <c r="A43" s="52">
        <f>SUBTOTAL(103,$B$8:B43)</f>
        <v>33</v>
      </c>
      <c r="B43" s="69">
        <v>359</v>
      </c>
      <c r="C43" s="82" t="s">
        <v>391</v>
      </c>
      <c r="D43" s="54">
        <f>IF('Gerencias y Oficinas'!D43="","",'Gerencias y Oficinas'!D43)</f>
        <v>7816</v>
      </c>
      <c r="E43" s="54">
        <f>IF('Gerencias y Oficinas'!E43="","",'Gerencias y Oficinas'!E43)</f>
        <v>4500</v>
      </c>
      <c r="F43" s="54">
        <f>IF('Gerencias y Oficinas'!F43="","",'Gerencias y Oficinas'!F43)</f>
        <v>3316</v>
      </c>
      <c r="G43" s="54">
        <f>IF('Gerencias y Oficinas'!G43="","",'Gerencias y Oficinas'!G43)</f>
        <v>3000</v>
      </c>
      <c r="H43" s="54">
        <f>IF('Gerencias y Oficinas'!H43="","",'Gerencias y Oficinas'!H43)</f>
        <v>4816</v>
      </c>
      <c r="I43" s="66">
        <f>IF('Gerencias y Oficinas'!I43="","",'Gerencias y Oficinas'!I43)</f>
        <v>0.38382804503582396</v>
      </c>
      <c r="J43" s="257" t="str">
        <f>IF('Gerencias y Oficinas'!J43="","",'Gerencias y Oficinas'!J43)</f>
        <v/>
      </c>
      <c r="K43" s="257" t="str">
        <f>IF('Gerencias y Oficinas'!K43="","",'Gerencias y Oficinas'!K43)</f>
        <v>Por completar</v>
      </c>
      <c r="L43" s="236" t="str">
        <f>IF('Gerencias y Oficinas'!L43="","",'Gerencias y Oficinas'!L43)</f>
        <v>Sin PMI</v>
      </c>
      <c r="M43" s="236" t="str">
        <f>IF('Gerencias y Oficinas'!M43="","",'Gerencias y Oficinas'!M43)</f>
        <v>Sin PMI</v>
      </c>
      <c r="N43" s="236" t="str">
        <f>IF('Gerencias y Oficinas'!N43="","",'Gerencias y Oficinas'!N43)</f>
        <v>Sin PMI</v>
      </c>
      <c r="O43" s="236" t="str">
        <f>IF('Gerencias y Oficinas'!O43="","",'Gerencias y Oficinas'!O43)</f>
        <v>Sin PMI</v>
      </c>
    </row>
    <row r="44" spans="1:15" s="11" customFormat="1" ht="76.5" x14ac:dyDescent="0.2">
      <c r="A44" s="52">
        <f>SUBTOTAL(103,$B$8:B44)</f>
        <v>34</v>
      </c>
      <c r="B44" s="69">
        <v>360</v>
      </c>
      <c r="C44" s="82" t="s">
        <v>393</v>
      </c>
      <c r="D44" s="54">
        <f>IF('Gerencias y Oficinas'!D44="","",'Gerencias y Oficinas'!D44)</f>
        <v>3546</v>
      </c>
      <c r="E44" s="54">
        <f>IF('Gerencias y Oficinas'!E44="","",'Gerencias y Oficinas'!E44)</f>
        <v>3546</v>
      </c>
      <c r="F44" s="54">
        <f>IF('Gerencias y Oficinas'!F44="","",'Gerencias y Oficinas'!F44)</f>
        <v>0</v>
      </c>
      <c r="G44" s="54">
        <f>IF('Gerencias y Oficinas'!G44="","",'Gerencias y Oficinas'!G44)</f>
        <v>3546</v>
      </c>
      <c r="H44" s="54">
        <f>IF('Gerencias y Oficinas'!H44="","",'Gerencias y Oficinas'!H44)</f>
        <v>0</v>
      </c>
      <c r="I44" s="66">
        <f>IF('Gerencias y Oficinas'!I44="","",'Gerencias y Oficinas'!I44)</f>
        <v>1</v>
      </c>
      <c r="J44" s="257" t="str">
        <f>IF('Gerencias y Oficinas'!J44="","",'Gerencias y Oficinas'!J44)</f>
        <v/>
      </c>
      <c r="K44" s="257" t="str">
        <f>IF('Gerencias y Oficinas'!K44="","",'Gerencias y Oficinas'!K44)</f>
        <v>Por completar</v>
      </c>
      <c r="L44" s="236" t="str">
        <f>IF('Gerencias y Oficinas'!L44="","",'Gerencias y Oficinas'!L44)</f>
        <v>Sin PMI</v>
      </c>
      <c r="M44" s="236" t="str">
        <f>IF('Gerencias y Oficinas'!M44="","",'Gerencias y Oficinas'!M44)</f>
        <v>Sin PMI</v>
      </c>
      <c r="N44" s="236" t="str">
        <f>IF('Gerencias y Oficinas'!N44="","",'Gerencias y Oficinas'!N44)</f>
        <v>Sin PMI</v>
      </c>
      <c r="O44" s="236" t="str">
        <f>IF('Gerencias y Oficinas'!O44="","",'Gerencias y Oficinas'!O44)</f>
        <v>Sin PMI</v>
      </c>
    </row>
    <row r="45" spans="1:15" s="11" customFormat="1" ht="63.75" x14ac:dyDescent="0.2">
      <c r="A45" s="52">
        <f>SUBTOTAL(103,$B$8:B45)</f>
        <v>35</v>
      </c>
      <c r="B45" s="69">
        <v>361</v>
      </c>
      <c r="C45" s="82" t="s">
        <v>394</v>
      </c>
      <c r="D45" s="54">
        <f>IF('Gerencias y Oficinas'!D45="","",'Gerencias y Oficinas'!D45)</f>
        <v>2555</v>
      </c>
      <c r="E45" s="54">
        <f>IF('Gerencias y Oficinas'!E45="","",'Gerencias y Oficinas'!E45)</f>
        <v>2550</v>
      </c>
      <c r="F45" s="54">
        <f>IF('Gerencias y Oficinas'!F45="","",'Gerencias y Oficinas'!F45)</f>
        <v>5</v>
      </c>
      <c r="G45" s="54">
        <f>IF('Gerencias y Oficinas'!G45="","",'Gerencias y Oficinas'!G45)</f>
        <v>2550</v>
      </c>
      <c r="H45" s="54">
        <f>IF('Gerencias y Oficinas'!H45="","",'Gerencias y Oficinas'!H45)</f>
        <v>5</v>
      </c>
      <c r="I45" s="66">
        <f>IF('Gerencias y Oficinas'!I45="","",'Gerencias y Oficinas'!I45)</f>
        <v>0.99804305283757333</v>
      </c>
      <c r="J45" s="257" t="str">
        <f>IF('Gerencias y Oficinas'!J45="","",'Gerencias y Oficinas'!J45)</f>
        <v/>
      </c>
      <c r="K45" s="257" t="str">
        <f>IF('Gerencias y Oficinas'!K45="","",'Gerencias y Oficinas'!K45)</f>
        <v>Por completar</v>
      </c>
      <c r="L45" s="236" t="str">
        <f>IF('Gerencias y Oficinas'!L45="","",'Gerencias y Oficinas'!L45)</f>
        <v>Sin PMI</v>
      </c>
      <c r="M45" s="236" t="str">
        <f>IF('Gerencias y Oficinas'!M45="","",'Gerencias y Oficinas'!M45)</f>
        <v>Sin PMI</v>
      </c>
      <c r="N45" s="236" t="str">
        <f>IF('Gerencias y Oficinas'!N45="","",'Gerencias y Oficinas'!N45)</f>
        <v>Sin PMI</v>
      </c>
      <c r="O45" s="236" t="str">
        <f>IF('Gerencias y Oficinas'!O45="","",'Gerencias y Oficinas'!O45)</f>
        <v>Sin PMI</v>
      </c>
    </row>
    <row r="46" spans="1:15" s="11" customFormat="1" ht="63.75" x14ac:dyDescent="0.2">
      <c r="A46" s="52">
        <f>SUBTOTAL(103,$B$8:B46)</f>
        <v>36</v>
      </c>
      <c r="B46" s="69">
        <v>362</v>
      </c>
      <c r="C46" s="82" t="s">
        <v>397</v>
      </c>
      <c r="D46" s="54">
        <f>IF('Gerencias y Oficinas'!D46="","",'Gerencias y Oficinas'!D46)</f>
        <v>73376</v>
      </c>
      <c r="E46" s="54">
        <f>IF('Gerencias y Oficinas'!E46="","",'Gerencias y Oficinas'!E46)</f>
        <v>69875.75</v>
      </c>
      <c r="F46" s="54">
        <f>IF('Gerencias y Oficinas'!F46="","",'Gerencias y Oficinas'!F46)</f>
        <v>3500.25</v>
      </c>
      <c r="G46" s="54">
        <f>IF('Gerencias y Oficinas'!G46="","",'Gerencias y Oficinas'!G46)</f>
        <v>69875.75</v>
      </c>
      <c r="H46" s="54">
        <f>IF('Gerencias y Oficinas'!H46="","",'Gerencias y Oficinas'!H46)</f>
        <v>3500.25</v>
      </c>
      <c r="I46" s="66">
        <f>IF('Gerencias y Oficinas'!I46="","",'Gerencias y Oficinas'!I46)</f>
        <v>0.95229707261229835</v>
      </c>
      <c r="J46" s="257" t="str">
        <f>IF('Gerencias y Oficinas'!J46="","",'Gerencias y Oficinas'!J46)</f>
        <v/>
      </c>
      <c r="K46" s="257" t="str">
        <f>IF('Gerencias y Oficinas'!K46="","",'Gerencias y Oficinas'!K46)</f>
        <v>Por completar</v>
      </c>
      <c r="L46" s="236" t="str">
        <f>IF('Gerencias y Oficinas'!L46="","",'Gerencias y Oficinas'!L46)</f>
        <v>Sin PMI</v>
      </c>
      <c r="M46" s="236" t="str">
        <f>IF('Gerencias y Oficinas'!M46="","",'Gerencias y Oficinas'!M46)</f>
        <v>Sin PMI</v>
      </c>
      <c r="N46" s="236" t="str">
        <f>IF('Gerencias y Oficinas'!N46="","",'Gerencias y Oficinas'!N46)</f>
        <v>Sin PMI</v>
      </c>
      <c r="O46" s="236" t="str">
        <f>IF('Gerencias y Oficinas'!O46="","",'Gerencias y Oficinas'!O46)</f>
        <v>Sin PMI</v>
      </c>
    </row>
    <row r="47" spans="1:15" s="11" customFormat="1" ht="63.75" x14ac:dyDescent="0.2">
      <c r="A47" s="52">
        <f>SUBTOTAL(103,$B$8:B47)</f>
        <v>37</v>
      </c>
      <c r="B47" s="69">
        <v>363</v>
      </c>
      <c r="C47" s="82" t="s">
        <v>398</v>
      </c>
      <c r="D47" s="54">
        <f>IF('Gerencias y Oficinas'!D47="","",'Gerencias y Oficinas'!D47)</f>
        <v>54964</v>
      </c>
      <c r="E47" s="54">
        <f>IF('Gerencias y Oficinas'!E47="","",'Gerencias y Oficinas'!E47)</f>
        <v>1977.5</v>
      </c>
      <c r="F47" s="54">
        <f>IF('Gerencias y Oficinas'!F47="","",'Gerencias y Oficinas'!F47)</f>
        <v>52986.5</v>
      </c>
      <c r="G47" s="54">
        <f>IF('Gerencias y Oficinas'!G47="","",'Gerencias y Oficinas'!G47)</f>
        <v>1977.5</v>
      </c>
      <c r="H47" s="54">
        <f>IF('Gerencias y Oficinas'!H47="","",'Gerencias y Oficinas'!H47)</f>
        <v>52986.5</v>
      </c>
      <c r="I47" s="66">
        <f>IF('Gerencias y Oficinas'!I47="","",'Gerencias y Oficinas'!I47)</f>
        <v>3.5978094752929193E-2</v>
      </c>
      <c r="J47" s="257" t="str">
        <f>IF('Gerencias y Oficinas'!J47="","",'Gerencias y Oficinas'!J47)</f>
        <v/>
      </c>
      <c r="K47" s="257" t="str">
        <f>IF('Gerencias y Oficinas'!K47="","",'Gerencias y Oficinas'!K47)</f>
        <v>Por completar</v>
      </c>
      <c r="L47" s="236" t="str">
        <f>IF('Gerencias y Oficinas'!L47="","",'Gerencias y Oficinas'!L47)</f>
        <v>Sin PMI</v>
      </c>
      <c r="M47" s="236" t="str">
        <f>IF('Gerencias y Oficinas'!M47="","",'Gerencias y Oficinas'!M47)</f>
        <v>Sin PMI</v>
      </c>
      <c r="N47" s="236" t="str">
        <f>IF('Gerencias y Oficinas'!N47="","",'Gerencias y Oficinas'!N47)</f>
        <v>Sin PMI</v>
      </c>
      <c r="O47" s="236" t="str">
        <f>IF('Gerencias y Oficinas'!O47="","",'Gerencias y Oficinas'!O47)</f>
        <v>Sin PMI</v>
      </c>
    </row>
    <row r="48" spans="1:15" s="11" customFormat="1" ht="63.75" x14ac:dyDescent="0.2">
      <c r="A48" s="52">
        <f>SUBTOTAL(103,$B$8:B48)</f>
        <v>38</v>
      </c>
      <c r="B48" s="69">
        <v>364</v>
      </c>
      <c r="C48" s="82" t="s">
        <v>400</v>
      </c>
      <c r="D48" s="54">
        <f>IF('Gerencias y Oficinas'!D48="","",'Gerencias y Oficinas'!D48)</f>
        <v>73915</v>
      </c>
      <c r="E48" s="54">
        <f>IF('Gerencias y Oficinas'!E48="","",'Gerencias y Oficinas'!E48)</f>
        <v>71560</v>
      </c>
      <c r="F48" s="54">
        <f>IF('Gerencias y Oficinas'!F48="","",'Gerencias y Oficinas'!F48)</f>
        <v>2355</v>
      </c>
      <c r="G48" s="54">
        <f>IF('Gerencias y Oficinas'!G48="","",'Gerencias y Oficinas'!G48)</f>
        <v>69710</v>
      </c>
      <c r="H48" s="54">
        <f>IF('Gerencias y Oficinas'!H48="","",'Gerencias y Oficinas'!H48)</f>
        <v>4205</v>
      </c>
      <c r="I48" s="66">
        <f>IF('Gerencias y Oficinas'!I48="","",'Gerencias y Oficinas'!I48)</f>
        <v>0.94311032943245621</v>
      </c>
      <c r="J48" s="257" t="str">
        <f>IF('Gerencias y Oficinas'!J48="","",'Gerencias y Oficinas'!J48)</f>
        <v/>
      </c>
      <c r="K48" s="257" t="str">
        <f>IF('Gerencias y Oficinas'!K48="","",'Gerencias y Oficinas'!K48)</f>
        <v>Por completar</v>
      </c>
      <c r="L48" s="236" t="str">
        <f>IF('Gerencias y Oficinas'!L48="","",'Gerencias y Oficinas'!L48)</f>
        <v>Sin PMI</v>
      </c>
      <c r="M48" s="236" t="str">
        <f>IF('Gerencias y Oficinas'!M48="","",'Gerencias y Oficinas'!M48)</f>
        <v>Sin PMI</v>
      </c>
      <c r="N48" s="236" t="str">
        <f>IF('Gerencias y Oficinas'!N48="","",'Gerencias y Oficinas'!N48)</f>
        <v>Sin PMI</v>
      </c>
      <c r="O48" s="236" t="str">
        <f>IF('Gerencias y Oficinas'!O48="","",'Gerencias y Oficinas'!O48)</f>
        <v>Sin PMI</v>
      </c>
    </row>
    <row r="49" spans="1:15" s="11" customFormat="1" ht="76.5" x14ac:dyDescent="0.2">
      <c r="A49" s="52">
        <f>SUBTOTAL(103,$B$8:B49)</f>
        <v>39</v>
      </c>
      <c r="B49" s="69">
        <v>365</v>
      </c>
      <c r="C49" s="82" t="s">
        <v>401</v>
      </c>
      <c r="D49" s="54">
        <f>IF('Gerencias y Oficinas'!D49="","",'Gerencias y Oficinas'!D49)</f>
        <v>5098</v>
      </c>
      <c r="E49" s="54">
        <f>IF('Gerencias y Oficinas'!E49="","",'Gerencias y Oficinas'!E49)</f>
        <v>5097</v>
      </c>
      <c r="F49" s="54">
        <f>IF('Gerencias y Oficinas'!F49="","",'Gerencias y Oficinas'!F49)</f>
        <v>1</v>
      </c>
      <c r="G49" s="54">
        <f>IF('Gerencias y Oficinas'!G49="","",'Gerencias y Oficinas'!G49)</f>
        <v>5097</v>
      </c>
      <c r="H49" s="54">
        <f>IF('Gerencias y Oficinas'!H49="","",'Gerencias y Oficinas'!H49)</f>
        <v>1</v>
      </c>
      <c r="I49" s="66">
        <f>IF('Gerencias y Oficinas'!I49="","",'Gerencias y Oficinas'!I49)</f>
        <v>0.99980384464495886</v>
      </c>
      <c r="J49" s="257" t="str">
        <f>IF('Gerencias y Oficinas'!J49="","",'Gerencias y Oficinas'!J49)</f>
        <v/>
      </c>
      <c r="K49" s="257" t="str">
        <f>IF('Gerencias y Oficinas'!K49="","",'Gerencias y Oficinas'!K49)</f>
        <v>Por completar</v>
      </c>
      <c r="L49" s="236" t="str">
        <f>IF('Gerencias y Oficinas'!L49="","",'Gerencias y Oficinas'!L49)</f>
        <v>Sin PMI</v>
      </c>
      <c r="M49" s="236" t="str">
        <f>IF('Gerencias y Oficinas'!M49="","",'Gerencias y Oficinas'!M49)</f>
        <v>Sin PMI</v>
      </c>
      <c r="N49" s="236" t="str">
        <f>IF('Gerencias y Oficinas'!N49="","",'Gerencias y Oficinas'!N49)</f>
        <v>Sin PMI</v>
      </c>
      <c r="O49" s="236" t="str">
        <f>IF('Gerencias y Oficinas'!O49="","",'Gerencias y Oficinas'!O49)</f>
        <v>Sin PMI</v>
      </c>
    </row>
    <row r="50" spans="1:15" s="11" customFormat="1" ht="63.75" x14ac:dyDescent="0.2">
      <c r="A50" s="52">
        <f>SUBTOTAL(103,$B$8:B50)</f>
        <v>40</v>
      </c>
      <c r="B50" s="69">
        <v>366</v>
      </c>
      <c r="C50" s="82" t="s">
        <v>403</v>
      </c>
      <c r="D50" s="54">
        <f>IF('Gerencias y Oficinas'!D50="","",'Gerencias y Oficinas'!D50)</f>
        <v>4800</v>
      </c>
      <c r="E50" s="54">
        <f>IF('Gerencias y Oficinas'!E50="","",'Gerencias y Oficinas'!E50)</f>
        <v>4800</v>
      </c>
      <c r="F50" s="54">
        <f>IF('Gerencias y Oficinas'!F50="","",'Gerencias y Oficinas'!F50)</f>
        <v>0</v>
      </c>
      <c r="G50" s="54">
        <f>IF('Gerencias y Oficinas'!G50="","",'Gerencias y Oficinas'!G50)</f>
        <v>4800</v>
      </c>
      <c r="H50" s="54">
        <f>IF('Gerencias y Oficinas'!H50="","",'Gerencias y Oficinas'!H50)</f>
        <v>0</v>
      </c>
      <c r="I50" s="66">
        <f>IF('Gerencias y Oficinas'!I50="","",'Gerencias y Oficinas'!I50)</f>
        <v>1</v>
      </c>
      <c r="J50" s="257" t="str">
        <f>IF('Gerencias y Oficinas'!J50="","",'Gerencias y Oficinas'!J50)</f>
        <v/>
      </c>
      <c r="K50" s="257" t="str">
        <f>IF('Gerencias y Oficinas'!K50="","",'Gerencias y Oficinas'!K50)</f>
        <v>Por completar</v>
      </c>
      <c r="L50" s="236" t="str">
        <f>IF('Gerencias y Oficinas'!L50="","",'Gerencias y Oficinas'!L50)</f>
        <v>Sin PMI</v>
      </c>
      <c r="M50" s="236" t="str">
        <f>IF('Gerencias y Oficinas'!M50="","",'Gerencias y Oficinas'!M50)</f>
        <v>Sin PMI</v>
      </c>
      <c r="N50" s="236" t="str">
        <f>IF('Gerencias y Oficinas'!N50="","",'Gerencias y Oficinas'!N50)</f>
        <v>Sin PMI</v>
      </c>
      <c r="O50" s="236" t="str">
        <f>IF('Gerencias y Oficinas'!O50="","",'Gerencias y Oficinas'!O50)</f>
        <v>Sin PMI</v>
      </c>
    </row>
    <row r="51" spans="1:15" s="11" customFormat="1" ht="63.75" x14ac:dyDescent="0.2">
      <c r="A51" s="52">
        <f>SUBTOTAL(103,$B$8:B51)</f>
        <v>41</v>
      </c>
      <c r="B51" s="69">
        <v>367</v>
      </c>
      <c r="C51" s="82" t="s">
        <v>404</v>
      </c>
      <c r="D51" s="54">
        <f>IF('Gerencias y Oficinas'!D51="","",'Gerencias y Oficinas'!D51)</f>
        <v>12800</v>
      </c>
      <c r="E51" s="54">
        <f>IF('Gerencias y Oficinas'!E51="","",'Gerencias y Oficinas'!E51)</f>
        <v>12800</v>
      </c>
      <c r="F51" s="54">
        <f>IF('Gerencias y Oficinas'!F51="","",'Gerencias y Oficinas'!F51)</f>
        <v>0</v>
      </c>
      <c r="G51" s="54">
        <f>IF('Gerencias y Oficinas'!G51="","",'Gerencias y Oficinas'!G51)</f>
        <v>12800</v>
      </c>
      <c r="H51" s="54">
        <f>IF('Gerencias y Oficinas'!H51="","",'Gerencias y Oficinas'!H51)</f>
        <v>0</v>
      </c>
      <c r="I51" s="66">
        <f>IF('Gerencias y Oficinas'!I51="","",'Gerencias y Oficinas'!I51)</f>
        <v>1</v>
      </c>
      <c r="J51" s="257" t="str">
        <f>IF('Gerencias y Oficinas'!J51="","",'Gerencias y Oficinas'!J51)</f>
        <v/>
      </c>
      <c r="K51" s="257" t="str">
        <f>IF('Gerencias y Oficinas'!K51="","",'Gerencias y Oficinas'!K51)</f>
        <v>Por completar</v>
      </c>
      <c r="L51" s="236" t="str">
        <f>IF('Gerencias y Oficinas'!L51="","",'Gerencias y Oficinas'!L51)</f>
        <v>Sin PMI</v>
      </c>
      <c r="M51" s="236" t="str">
        <f>IF('Gerencias y Oficinas'!M51="","",'Gerencias y Oficinas'!M51)</f>
        <v>Sin PMI</v>
      </c>
      <c r="N51" s="236" t="str">
        <f>IF('Gerencias y Oficinas'!N51="","",'Gerencias y Oficinas'!N51)</f>
        <v>Sin PMI</v>
      </c>
      <c r="O51" s="236" t="str">
        <f>IF('Gerencias y Oficinas'!O51="","",'Gerencias y Oficinas'!O51)</f>
        <v>Sin PMI</v>
      </c>
    </row>
    <row r="52" spans="1:15" s="11" customFormat="1" ht="63.75" x14ac:dyDescent="0.2">
      <c r="A52" s="52">
        <f>SUBTOTAL(103,$B$8:B52)</f>
        <v>42</v>
      </c>
      <c r="B52" s="69">
        <v>369</v>
      </c>
      <c r="C52" s="82" t="s">
        <v>407</v>
      </c>
      <c r="D52" s="54">
        <f>IF('Gerencias y Oficinas'!D52="","",'Gerencias y Oficinas'!D52)</f>
        <v>57400</v>
      </c>
      <c r="E52" s="54">
        <f>IF('Gerencias y Oficinas'!E52="","",'Gerencias y Oficinas'!E52)</f>
        <v>57400</v>
      </c>
      <c r="F52" s="54">
        <f>IF('Gerencias y Oficinas'!F52="","",'Gerencias y Oficinas'!F52)</f>
        <v>0</v>
      </c>
      <c r="G52" s="54">
        <f>IF('Gerencias y Oficinas'!G52="","",'Gerencias y Oficinas'!G52)</f>
        <v>57400</v>
      </c>
      <c r="H52" s="54">
        <f>IF('Gerencias y Oficinas'!H52="","",'Gerencias y Oficinas'!H52)</f>
        <v>0</v>
      </c>
      <c r="I52" s="66">
        <f>IF('Gerencias y Oficinas'!I52="","",'Gerencias y Oficinas'!I52)</f>
        <v>1</v>
      </c>
      <c r="J52" s="257" t="str">
        <f>IF('Gerencias y Oficinas'!J52="","",'Gerencias y Oficinas'!J52)</f>
        <v/>
      </c>
      <c r="K52" s="257" t="str">
        <f>IF('Gerencias y Oficinas'!K52="","",'Gerencias y Oficinas'!K52)</f>
        <v>Por completar</v>
      </c>
      <c r="L52" s="236" t="str">
        <f>IF('Gerencias y Oficinas'!L52="","",'Gerencias y Oficinas'!L52)</f>
        <v>Sin PMI</v>
      </c>
      <c r="M52" s="236" t="str">
        <f>IF('Gerencias y Oficinas'!M52="","",'Gerencias y Oficinas'!M52)</f>
        <v>Sin PMI</v>
      </c>
      <c r="N52" s="236" t="str">
        <f>IF('Gerencias y Oficinas'!N52="","",'Gerencias y Oficinas'!N52)</f>
        <v>Sin PMI</v>
      </c>
      <c r="O52" s="236" t="str">
        <f>IF('Gerencias y Oficinas'!O52="","",'Gerencias y Oficinas'!O52)</f>
        <v>Sin PMI</v>
      </c>
    </row>
    <row r="53" spans="1:15" s="11" customFormat="1" ht="63.75" x14ac:dyDescent="0.2">
      <c r="A53" s="52">
        <f>SUBTOTAL(103,$B$8:B53)</f>
        <v>43</v>
      </c>
      <c r="B53" s="69">
        <v>370</v>
      </c>
      <c r="C53" s="82" t="s">
        <v>408</v>
      </c>
      <c r="D53" s="54">
        <f>IF('Gerencias y Oficinas'!D53="","",'Gerencias y Oficinas'!D53)</f>
        <v>5898</v>
      </c>
      <c r="E53" s="54">
        <f>IF('Gerencias y Oficinas'!E53="","",'Gerencias y Oficinas'!E53)</f>
        <v>5898</v>
      </c>
      <c r="F53" s="54">
        <f>IF('Gerencias y Oficinas'!F53="","",'Gerencias y Oficinas'!F53)</f>
        <v>0</v>
      </c>
      <c r="G53" s="54">
        <f>IF('Gerencias y Oficinas'!G53="","",'Gerencias y Oficinas'!G53)</f>
        <v>5898</v>
      </c>
      <c r="H53" s="54">
        <f>IF('Gerencias y Oficinas'!H53="","",'Gerencias y Oficinas'!H53)</f>
        <v>0</v>
      </c>
      <c r="I53" s="66">
        <f>IF('Gerencias y Oficinas'!I53="","",'Gerencias y Oficinas'!I53)</f>
        <v>1</v>
      </c>
      <c r="J53" s="257" t="str">
        <f>IF('Gerencias y Oficinas'!J53="","",'Gerencias y Oficinas'!J53)</f>
        <v/>
      </c>
      <c r="K53" s="257" t="str">
        <f>IF('Gerencias y Oficinas'!K53="","",'Gerencias y Oficinas'!K53)</f>
        <v>Por completar</v>
      </c>
      <c r="L53" s="236" t="str">
        <f>IF('Gerencias y Oficinas'!L53="","",'Gerencias y Oficinas'!L53)</f>
        <v>Sin PMI</v>
      </c>
      <c r="M53" s="236" t="str">
        <f>IF('Gerencias y Oficinas'!M53="","",'Gerencias y Oficinas'!M53)</f>
        <v>Sin PMI</v>
      </c>
      <c r="N53" s="236" t="str">
        <f>IF('Gerencias y Oficinas'!N53="","",'Gerencias y Oficinas'!N53)</f>
        <v>Sin PMI</v>
      </c>
      <c r="O53" s="236" t="str">
        <f>IF('Gerencias y Oficinas'!O53="","",'Gerencias y Oficinas'!O53)</f>
        <v>Sin PMI</v>
      </c>
    </row>
    <row r="54" spans="1:15" s="11" customFormat="1" ht="76.5" x14ac:dyDescent="0.2">
      <c r="A54" s="52">
        <f>SUBTOTAL(103,$B$8:B54)</f>
        <v>44</v>
      </c>
      <c r="B54" s="69">
        <v>371</v>
      </c>
      <c r="C54" s="82" t="s">
        <v>409</v>
      </c>
      <c r="D54" s="54">
        <f>IF('Gerencias y Oficinas'!D54="","",'Gerencias y Oficinas'!D54)</f>
        <v>3000</v>
      </c>
      <c r="E54" s="54">
        <f>IF('Gerencias y Oficinas'!E54="","",'Gerencias y Oficinas'!E54)</f>
        <v>3000</v>
      </c>
      <c r="F54" s="54">
        <f>IF('Gerencias y Oficinas'!F54="","",'Gerencias y Oficinas'!F54)</f>
        <v>0</v>
      </c>
      <c r="G54" s="54">
        <f>IF('Gerencias y Oficinas'!G54="","",'Gerencias y Oficinas'!G54)</f>
        <v>3000</v>
      </c>
      <c r="H54" s="54">
        <f>IF('Gerencias y Oficinas'!H54="","",'Gerencias y Oficinas'!H54)</f>
        <v>0</v>
      </c>
      <c r="I54" s="66">
        <f>IF('Gerencias y Oficinas'!I54="","",'Gerencias y Oficinas'!I54)</f>
        <v>1</v>
      </c>
      <c r="J54" s="257" t="str">
        <f>IF('Gerencias y Oficinas'!J54="","",'Gerencias y Oficinas'!J54)</f>
        <v/>
      </c>
      <c r="K54" s="257" t="str">
        <f>IF('Gerencias y Oficinas'!K54="","",'Gerencias y Oficinas'!K54)</f>
        <v>Por completar</v>
      </c>
      <c r="L54" s="236" t="str">
        <f>IF('Gerencias y Oficinas'!L54="","",'Gerencias y Oficinas'!L54)</f>
        <v>Sin PMI</v>
      </c>
      <c r="M54" s="236" t="str">
        <f>IF('Gerencias y Oficinas'!M54="","",'Gerencias y Oficinas'!M54)</f>
        <v>Sin PMI</v>
      </c>
      <c r="N54" s="236" t="str">
        <f>IF('Gerencias y Oficinas'!N54="","",'Gerencias y Oficinas'!N54)</f>
        <v>Sin PMI</v>
      </c>
      <c r="O54" s="236" t="str">
        <f>IF('Gerencias y Oficinas'!O54="","",'Gerencias y Oficinas'!O54)</f>
        <v>Sin PMI</v>
      </c>
    </row>
    <row r="55" spans="1:15" s="11" customFormat="1" ht="63.75" x14ac:dyDescent="0.2">
      <c r="A55" s="52">
        <f>SUBTOTAL(103,$B$8:B55)</f>
        <v>45</v>
      </c>
      <c r="B55" s="69">
        <v>372</v>
      </c>
      <c r="C55" s="82" t="s">
        <v>411</v>
      </c>
      <c r="D55" s="54">
        <f>IF('Gerencias y Oficinas'!D55="","",'Gerencias y Oficinas'!D55)</f>
        <v>87790</v>
      </c>
      <c r="E55" s="54">
        <f>IF('Gerencias y Oficinas'!E55="","",'Gerencias y Oficinas'!E55)</f>
        <v>87438</v>
      </c>
      <c r="F55" s="54">
        <f>IF('Gerencias y Oficinas'!F55="","",'Gerencias y Oficinas'!F55)</f>
        <v>352</v>
      </c>
      <c r="G55" s="54">
        <f>IF('Gerencias y Oficinas'!G55="","",'Gerencias y Oficinas'!G55)</f>
        <v>77990</v>
      </c>
      <c r="H55" s="54">
        <f>IF('Gerencias y Oficinas'!H55="","",'Gerencias y Oficinas'!H55)</f>
        <v>9800</v>
      </c>
      <c r="I55" s="66">
        <f>IF('Gerencias y Oficinas'!I55="","",'Gerencias y Oficinas'!I55)</f>
        <v>0.88836997380111626</v>
      </c>
      <c r="J55" s="257" t="str">
        <f>IF('Gerencias y Oficinas'!J55="","",'Gerencias y Oficinas'!J55)</f>
        <v/>
      </c>
      <c r="K55" s="257" t="str">
        <f>IF('Gerencias y Oficinas'!K55="","",'Gerencias y Oficinas'!K55)</f>
        <v>Por completar</v>
      </c>
      <c r="L55" s="236" t="str">
        <f>IF('Gerencias y Oficinas'!L55="","",'Gerencias y Oficinas'!L55)</f>
        <v>Sin PMI</v>
      </c>
      <c r="M55" s="236" t="str">
        <f>IF('Gerencias y Oficinas'!M55="","",'Gerencias y Oficinas'!M55)</f>
        <v>Sin PMI</v>
      </c>
      <c r="N55" s="236" t="str">
        <f>IF('Gerencias y Oficinas'!N55="","",'Gerencias y Oficinas'!N55)</f>
        <v>Sin PMI</v>
      </c>
      <c r="O55" s="236" t="str">
        <f>IF('Gerencias y Oficinas'!O55="","",'Gerencias y Oficinas'!O55)</f>
        <v>Sin PMI</v>
      </c>
    </row>
    <row r="56" spans="1:15" s="11" customFormat="1" ht="51" x14ac:dyDescent="0.2">
      <c r="A56" s="52">
        <f>SUBTOTAL(103,$B$8:B56)</f>
        <v>46</v>
      </c>
      <c r="B56" s="69">
        <v>376</v>
      </c>
      <c r="C56" s="82" t="s">
        <v>424</v>
      </c>
      <c r="D56" s="54">
        <f>IF('Gerencias y Oficinas'!D56="","",'Gerencias y Oficinas'!D56)</f>
        <v>14715</v>
      </c>
      <c r="E56" s="54">
        <f>IF('Gerencias y Oficinas'!E56="","",'Gerencias y Oficinas'!E56)</f>
        <v>14714</v>
      </c>
      <c r="F56" s="54">
        <f>IF('Gerencias y Oficinas'!F56="","",'Gerencias y Oficinas'!F56)</f>
        <v>1</v>
      </c>
      <c r="G56" s="54">
        <f>IF('Gerencias y Oficinas'!G56="","",'Gerencias y Oficinas'!G56)</f>
        <v>14714</v>
      </c>
      <c r="H56" s="54">
        <f>IF('Gerencias y Oficinas'!H56="","",'Gerencias y Oficinas'!H56)</f>
        <v>1</v>
      </c>
      <c r="I56" s="66">
        <f>IF('Gerencias y Oficinas'!I56="","",'Gerencias y Oficinas'!I56)</f>
        <v>0.99993204213387699</v>
      </c>
      <c r="J56" s="257" t="str">
        <f>IF('Gerencias y Oficinas'!J56="","",'Gerencias y Oficinas'!J56)</f>
        <v/>
      </c>
      <c r="K56" s="257" t="str">
        <f>IF('Gerencias y Oficinas'!K56="","",'Gerencias y Oficinas'!K56)</f>
        <v>Por completar</v>
      </c>
      <c r="L56" s="236" t="str">
        <f>IF('Gerencias y Oficinas'!L56="","",'Gerencias y Oficinas'!L56)</f>
        <v>Sin PMI</v>
      </c>
      <c r="M56" s="236" t="str">
        <f>IF('Gerencias y Oficinas'!M56="","",'Gerencias y Oficinas'!M56)</f>
        <v>Sin PMI</v>
      </c>
      <c r="N56" s="236" t="str">
        <f>IF('Gerencias y Oficinas'!N56="","",'Gerencias y Oficinas'!N56)</f>
        <v>Sin PMI</v>
      </c>
      <c r="O56" s="236" t="str">
        <f>IF('Gerencias y Oficinas'!O56="","",'Gerencias y Oficinas'!O56)</f>
        <v>Sin PMI</v>
      </c>
    </row>
    <row r="57" spans="1:15" s="11" customFormat="1" ht="51" x14ac:dyDescent="0.2">
      <c r="A57" s="52">
        <f>SUBTOTAL(103,$B$8:B57)</f>
        <v>47</v>
      </c>
      <c r="B57" s="69">
        <v>384</v>
      </c>
      <c r="C57" s="82" t="s">
        <v>536</v>
      </c>
      <c r="D57" s="54">
        <f>IF('Gerencias y Oficinas'!D57="","",'Gerencias y Oficinas'!D57)</f>
        <v>159547</v>
      </c>
      <c r="E57" s="54">
        <f>IF('Gerencias y Oficinas'!E57="","",'Gerencias y Oficinas'!E57)</f>
        <v>154167</v>
      </c>
      <c r="F57" s="54">
        <f>IF('Gerencias y Oficinas'!F57="","",'Gerencias y Oficinas'!F57)</f>
        <v>5380</v>
      </c>
      <c r="G57" s="54">
        <f>IF('Gerencias y Oficinas'!G57="","",'Gerencias y Oficinas'!G57)</f>
        <v>116817</v>
      </c>
      <c r="H57" s="54">
        <f>IF('Gerencias y Oficinas'!H57="","",'Gerencias y Oficinas'!H57)</f>
        <v>42730</v>
      </c>
      <c r="I57" s="66">
        <f>IF('Gerencias y Oficinas'!I57="","",'Gerencias y Oficinas'!I57)</f>
        <v>0.73217923245187944</v>
      </c>
      <c r="J57" s="257" t="str">
        <f>IF('Gerencias y Oficinas'!J57="","",'Gerencias y Oficinas'!J57)</f>
        <v/>
      </c>
      <c r="K57" s="257" t="str">
        <f>IF('Gerencias y Oficinas'!K57="","",'Gerencias y Oficinas'!K57)</f>
        <v>Por completar</v>
      </c>
      <c r="L57" s="236" t="str">
        <f>IF('Gerencias y Oficinas'!L57="","",'Gerencias y Oficinas'!L57)</f>
        <v>Sin PMI</v>
      </c>
      <c r="M57" s="236" t="str">
        <f>IF('Gerencias y Oficinas'!M57="","",'Gerencias y Oficinas'!M57)</f>
        <v>Sin PMI</v>
      </c>
      <c r="N57" s="236" t="str">
        <f>IF('Gerencias y Oficinas'!N57="","",'Gerencias y Oficinas'!N57)</f>
        <v>Sin PMI</v>
      </c>
      <c r="O57" s="236" t="str">
        <f>IF('Gerencias y Oficinas'!O57="","",'Gerencias y Oficinas'!O57)</f>
        <v>Sin PMI</v>
      </c>
    </row>
    <row r="58" spans="1:15" s="11" customFormat="1" ht="63.75" x14ac:dyDescent="0.2">
      <c r="A58" s="52">
        <f>SUBTOTAL(103,$B$8:B58)</f>
        <v>48</v>
      </c>
      <c r="B58" s="69">
        <v>385</v>
      </c>
      <c r="C58" s="82" t="s">
        <v>537</v>
      </c>
      <c r="D58" s="54">
        <f>IF('Gerencias y Oficinas'!D58="","",'Gerencias y Oficinas'!D58)</f>
        <v>158642</v>
      </c>
      <c r="E58" s="54">
        <f>IF('Gerencias y Oficinas'!E58="","",'Gerencias y Oficinas'!E58)</f>
        <v>78147.62</v>
      </c>
      <c r="F58" s="54">
        <f>IF('Gerencias y Oficinas'!F58="","",'Gerencias y Oficinas'!F58)</f>
        <v>80494.38</v>
      </c>
      <c r="G58" s="54">
        <f>IF('Gerencias y Oficinas'!G58="","",'Gerencias y Oficinas'!G58)</f>
        <v>0</v>
      </c>
      <c r="H58" s="54">
        <f>IF('Gerencias y Oficinas'!H58="","",'Gerencias y Oficinas'!H58)</f>
        <v>158642</v>
      </c>
      <c r="I58" s="66">
        <f>IF('Gerencias y Oficinas'!I58="","",'Gerencias y Oficinas'!I58)</f>
        <v>0</v>
      </c>
      <c r="J58" s="257" t="str">
        <f>IF('Gerencias y Oficinas'!J58="","",'Gerencias y Oficinas'!J58)</f>
        <v/>
      </c>
      <c r="K58" s="257" t="str">
        <f>IF('Gerencias y Oficinas'!K58="","",'Gerencias y Oficinas'!K58)</f>
        <v>Por completar</v>
      </c>
      <c r="L58" s="236" t="str">
        <f>IF('Gerencias y Oficinas'!L58="","",'Gerencias y Oficinas'!L58)</f>
        <v>Sin PMI</v>
      </c>
      <c r="M58" s="236" t="str">
        <f>IF('Gerencias y Oficinas'!M58="","",'Gerencias y Oficinas'!M58)</f>
        <v>Sin PMI</v>
      </c>
      <c r="N58" s="236" t="str">
        <f>IF('Gerencias y Oficinas'!N58="","",'Gerencias y Oficinas'!N58)</f>
        <v>Sin PMI</v>
      </c>
      <c r="O58" s="236" t="str">
        <f>IF('Gerencias y Oficinas'!O58="","",'Gerencias y Oficinas'!O58)</f>
        <v>Sin PMI</v>
      </c>
    </row>
    <row r="59" spans="1:15" s="11" customFormat="1" ht="51" x14ac:dyDescent="0.2">
      <c r="A59" s="52">
        <f>SUBTOTAL(103,$B$8:B59)</f>
        <v>49</v>
      </c>
      <c r="B59" s="69">
        <v>388</v>
      </c>
      <c r="C59" s="82" t="s">
        <v>540</v>
      </c>
      <c r="D59" s="54">
        <f>IF('Gerencias y Oficinas'!D59="","",'Gerencias y Oficinas'!D59)</f>
        <v>159352</v>
      </c>
      <c r="E59" s="54">
        <f>IF('Gerencias y Oficinas'!E59="","",'Gerencias y Oficinas'!E59)</f>
        <v>154000</v>
      </c>
      <c r="F59" s="54">
        <f>IF('Gerencias y Oficinas'!F59="","",'Gerencias y Oficinas'!F59)</f>
        <v>5352</v>
      </c>
      <c r="G59" s="54">
        <f>IF('Gerencias y Oficinas'!G59="","",'Gerencias y Oficinas'!G59)</f>
        <v>150220</v>
      </c>
      <c r="H59" s="54">
        <f>IF('Gerencias y Oficinas'!H59="","",'Gerencias y Oficinas'!H59)</f>
        <v>9132</v>
      </c>
      <c r="I59" s="66">
        <f>IF('Gerencias y Oficinas'!I59="","",'Gerencias y Oficinas'!I59)</f>
        <v>0.94269290627039515</v>
      </c>
      <c r="J59" s="257" t="str">
        <f>IF('Gerencias y Oficinas'!J59="","",'Gerencias y Oficinas'!J59)</f>
        <v/>
      </c>
      <c r="K59" s="257" t="str">
        <f>IF('Gerencias y Oficinas'!K59="","",'Gerencias y Oficinas'!K59)</f>
        <v>Por completar</v>
      </c>
      <c r="L59" s="236" t="str">
        <f>IF('Gerencias y Oficinas'!L59="","",'Gerencias y Oficinas'!L59)</f>
        <v>Sin PMI</v>
      </c>
      <c r="M59" s="236" t="str">
        <f>IF('Gerencias y Oficinas'!M59="","",'Gerencias y Oficinas'!M59)</f>
        <v>Sin PMI</v>
      </c>
      <c r="N59" s="236" t="str">
        <f>IF('Gerencias y Oficinas'!N59="","",'Gerencias y Oficinas'!N59)</f>
        <v>Sin PMI</v>
      </c>
      <c r="O59" s="236" t="str">
        <f>IF('Gerencias y Oficinas'!O59="","",'Gerencias y Oficinas'!O59)</f>
        <v>Sin PMI</v>
      </c>
    </row>
    <row r="60" spans="1:15" s="11" customFormat="1" ht="63.75" x14ac:dyDescent="0.2">
      <c r="A60" s="52">
        <f>SUBTOTAL(103,$B$8:B60)</f>
        <v>50</v>
      </c>
      <c r="B60" s="69">
        <v>389</v>
      </c>
      <c r="C60" s="82" t="s">
        <v>541</v>
      </c>
      <c r="D60" s="54">
        <f>IF('Gerencias y Oficinas'!D60="","",'Gerencias y Oficinas'!D60)</f>
        <v>159613</v>
      </c>
      <c r="E60" s="54">
        <f>IF('Gerencias y Oficinas'!E60="","",'Gerencias y Oficinas'!E60)</f>
        <v>149133.25</v>
      </c>
      <c r="F60" s="54">
        <f>IF('Gerencias y Oficinas'!F60="","",'Gerencias y Oficinas'!F60)</f>
        <v>10479.75</v>
      </c>
      <c r="G60" s="54">
        <f>IF('Gerencias y Oficinas'!G60="","",'Gerencias y Oficinas'!G60)</f>
        <v>7133.25</v>
      </c>
      <c r="H60" s="54">
        <f>IF('Gerencias y Oficinas'!H60="","",'Gerencias y Oficinas'!H60)</f>
        <v>152479.75</v>
      </c>
      <c r="I60" s="66">
        <f>IF('Gerencias y Oficinas'!I60="","",'Gerencias y Oficinas'!I60)</f>
        <v>4.4690908635261539E-2</v>
      </c>
      <c r="J60" s="257" t="str">
        <f>IF('Gerencias y Oficinas'!J60="","",'Gerencias y Oficinas'!J60)</f>
        <v/>
      </c>
      <c r="K60" s="257" t="str">
        <f>IF('Gerencias y Oficinas'!K60="","",'Gerencias y Oficinas'!K60)</f>
        <v>Por completar</v>
      </c>
      <c r="L60" s="236" t="str">
        <f>IF('Gerencias y Oficinas'!L60="","",'Gerencias y Oficinas'!L60)</f>
        <v>Sin PMI</v>
      </c>
      <c r="M60" s="236" t="str">
        <f>IF('Gerencias y Oficinas'!M60="","",'Gerencias y Oficinas'!M60)</f>
        <v>Sin PMI</v>
      </c>
      <c r="N60" s="236" t="str">
        <f>IF('Gerencias y Oficinas'!N60="","",'Gerencias y Oficinas'!N60)</f>
        <v>Sin PMI</v>
      </c>
      <c r="O60" s="236" t="str">
        <f>IF('Gerencias y Oficinas'!O60="","",'Gerencias y Oficinas'!O60)</f>
        <v>Sin PMI</v>
      </c>
    </row>
    <row r="61" spans="1:15" s="11" customFormat="1" ht="63.75" x14ac:dyDescent="0.2">
      <c r="A61" s="52">
        <f>SUBTOTAL(103,$B$8:B61)</f>
        <v>51</v>
      </c>
      <c r="B61" s="69">
        <v>390</v>
      </c>
      <c r="C61" s="82" t="s">
        <v>542</v>
      </c>
      <c r="D61" s="54">
        <f>IF('Gerencias y Oficinas'!D61="","",'Gerencias y Oficinas'!D61)</f>
        <v>159555</v>
      </c>
      <c r="E61" s="54">
        <f>IF('Gerencias y Oficinas'!E61="","",'Gerencias y Oficinas'!E61)</f>
        <v>132645</v>
      </c>
      <c r="F61" s="54">
        <f>IF('Gerencias y Oficinas'!F61="","",'Gerencias y Oficinas'!F61)</f>
        <v>26910</v>
      </c>
      <c r="G61" s="54">
        <f>IF('Gerencias y Oficinas'!G61="","",'Gerencias y Oficinas'!G61)</f>
        <v>100745</v>
      </c>
      <c r="H61" s="54">
        <f>IF('Gerencias y Oficinas'!H61="","",'Gerencias y Oficinas'!H61)</f>
        <v>58810</v>
      </c>
      <c r="I61" s="66">
        <f>IF('Gerencias y Oficinas'!I61="","",'Gerencias y Oficinas'!I61)</f>
        <v>0.6314123656419417</v>
      </c>
      <c r="J61" s="257" t="str">
        <f>IF('Gerencias y Oficinas'!J61="","",'Gerencias y Oficinas'!J61)</f>
        <v/>
      </c>
      <c r="K61" s="257" t="str">
        <f>IF('Gerencias y Oficinas'!K61="","",'Gerencias y Oficinas'!K61)</f>
        <v>Por completar</v>
      </c>
      <c r="L61" s="236" t="str">
        <f>IF('Gerencias y Oficinas'!L61="","",'Gerencias y Oficinas'!L61)</f>
        <v>Sin PMI</v>
      </c>
      <c r="M61" s="236" t="str">
        <f>IF('Gerencias y Oficinas'!M61="","",'Gerencias y Oficinas'!M61)</f>
        <v>Sin PMI</v>
      </c>
      <c r="N61" s="236" t="str">
        <f>IF('Gerencias y Oficinas'!N61="","",'Gerencias y Oficinas'!N61)</f>
        <v>Sin PMI</v>
      </c>
      <c r="O61" s="236" t="str">
        <f>IF('Gerencias y Oficinas'!O61="","",'Gerencias y Oficinas'!O61)</f>
        <v>Sin PMI</v>
      </c>
    </row>
    <row r="62" spans="1:15" s="11" customFormat="1" ht="63.75" x14ac:dyDescent="0.2">
      <c r="A62" s="52">
        <f>SUBTOTAL(103,$B$8:B62)</f>
        <v>52</v>
      </c>
      <c r="B62" s="69">
        <v>391</v>
      </c>
      <c r="C62" s="82" t="s">
        <v>543</v>
      </c>
      <c r="D62" s="54">
        <f>IF('Gerencias y Oficinas'!D62="","",'Gerencias y Oficinas'!D62)</f>
        <v>154799</v>
      </c>
      <c r="E62" s="54">
        <f>IF('Gerencias y Oficinas'!E62="","",'Gerencias y Oficinas'!E62)</f>
        <v>147492</v>
      </c>
      <c r="F62" s="54">
        <f>IF('Gerencias y Oficinas'!F62="","",'Gerencias y Oficinas'!F62)</f>
        <v>7307</v>
      </c>
      <c r="G62" s="54">
        <f>IF('Gerencias y Oficinas'!G62="","",'Gerencias y Oficinas'!G62)</f>
        <v>143262</v>
      </c>
      <c r="H62" s="54">
        <f>IF('Gerencias y Oficinas'!H62="","",'Gerencias y Oficinas'!H62)</f>
        <v>11537</v>
      </c>
      <c r="I62" s="66">
        <f>IF('Gerencias y Oficinas'!I62="","",'Gerencias y Oficinas'!I62)</f>
        <v>0.92547109477451406</v>
      </c>
      <c r="J62" s="257" t="str">
        <f>IF('Gerencias y Oficinas'!J62="","",'Gerencias y Oficinas'!J62)</f>
        <v/>
      </c>
      <c r="K62" s="257" t="str">
        <f>IF('Gerencias y Oficinas'!K62="","",'Gerencias y Oficinas'!K62)</f>
        <v>Por completar</v>
      </c>
      <c r="L62" s="236" t="str">
        <f>IF('Gerencias y Oficinas'!L62="","",'Gerencias y Oficinas'!L62)</f>
        <v>Sin PMI</v>
      </c>
      <c r="M62" s="236" t="str">
        <f>IF('Gerencias y Oficinas'!M62="","",'Gerencias y Oficinas'!M62)</f>
        <v>Sin PMI</v>
      </c>
      <c r="N62" s="236" t="str">
        <f>IF('Gerencias y Oficinas'!N62="","",'Gerencias y Oficinas'!N62)</f>
        <v>Sin PMI</v>
      </c>
      <c r="O62" s="236" t="str">
        <f>IF('Gerencias y Oficinas'!O62="","",'Gerencias y Oficinas'!O62)</f>
        <v>Sin PMI</v>
      </c>
    </row>
    <row r="63" spans="1:15" s="11" customFormat="1" ht="63.75" x14ac:dyDescent="0.2">
      <c r="A63" s="52">
        <f>SUBTOTAL(103,$B$8:B63)</f>
        <v>53</v>
      </c>
      <c r="B63" s="69">
        <v>395</v>
      </c>
      <c r="C63" s="82" t="s">
        <v>547</v>
      </c>
      <c r="D63" s="54">
        <f>IF('Gerencias y Oficinas'!D63="","",'Gerencias y Oficinas'!D63)</f>
        <v>155278</v>
      </c>
      <c r="E63" s="54">
        <f>IF('Gerencias y Oficinas'!E63="","",'Gerencias y Oficinas'!E63)</f>
        <v>149541</v>
      </c>
      <c r="F63" s="54">
        <f>IF('Gerencias y Oficinas'!F63="","",'Gerencias y Oficinas'!F63)</f>
        <v>5737</v>
      </c>
      <c r="G63" s="54">
        <f>IF('Gerencias y Oficinas'!G63="","",'Gerencias y Oficinas'!G63)</f>
        <v>113190</v>
      </c>
      <c r="H63" s="54">
        <f>IF('Gerencias y Oficinas'!H63="","",'Gerencias y Oficinas'!H63)</f>
        <v>42088</v>
      </c>
      <c r="I63" s="66">
        <f>IF('Gerencias y Oficinas'!I63="","",'Gerencias y Oficinas'!I63)</f>
        <v>0.72895065624235245</v>
      </c>
      <c r="J63" s="257" t="str">
        <f>IF('Gerencias y Oficinas'!J63="","",'Gerencias y Oficinas'!J63)</f>
        <v/>
      </c>
      <c r="K63" s="257" t="str">
        <f>IF('Gerencias y Oficinas'!K63="","",'Gerencias y Oficinas'!K63)</f>
        <v>Por completar</v>
      </c>
      <c r="L63" s="236" t="str">
        <f>IF('Gerencias y Oficinas'!L63="","",'Gerencias y Oficinas'!L63)</f>
        <v>Sin PMI</v>
      </c>
      <c r="M63" s="236" t="str">
        <f>IF('Gerencias y Oficinas'!M63="","",'Gerencias y Oficinas'!M63)</f>
        <v>Sin PMI</v>
      </c>
      <c r="N63" s="236" t="str">
        <f>IF('Gerencias y Oficinas'!N63="","",'Gerencias y Oficinas'!N63)</f>
        <v>Sin PMI</v>
      </c>
      <c r="O63" s="236" t="str">
        <f>IF('Gerencias y Oficinas'!O63="","",'Gerencias y Oficinas'!O63)</f>
        <v>Sin PMI</v>
      </c>
    </row>
    <row r="64" spans="1:15" s="11" customFormat="1" ht="51" x14ac:dyDescent="0.2">
      <c r="A64" s="52">
        <f>SUBTOTAL(103,$B$8:B64)</f>
        <v>54</v>
      </c>
      <c r="B64" s="69">
        <v>396</v>
      </c>
      <c r="C64" s="82" t="s">
        <v>548</v>
      </c>
      <c r="D64" s="54">
        <f>IF('Gerencias y Oficinas'!D64="","",'Gerencias y Oficinas'!D64)</f>
        <v>159890</v>
      </c>
      <c r="E64" s="54">
        <f>IF('Gerencias y Oficinas'!E64="","",'Gerencias y Oficinas'!E64)</f>
        <v>150349</v>
      </c>
      <c r="F64" s="54">
        <f>IF('Gerencias y Oficinas'!F64="","",'Gerencias y Oficinas'!F64)</f>
        <v>9541</v>
      </c>
      <c r="G64" s="54">
        <f>IF('Gerencias y Oficinas'!G64="","",'Gerencias y Oficinas'!G64)</f>
        <v>5349</v>
      </c>
      <c r="H64" s="54">
        <f>IF('Gerencias y Oficinas'!H64="","",'Gerencias y Oficinas'!H64)</f>
        <v>154541</v>
      </c>
      <c r="I64" s="66">
        <f>IF('Gerencias y Oficinas'!I64="","",'Gerencias y Oficinas'!I64)</f>
        <v>3.3454249796735253E-2</v>
      </c>
      <c r="J64" s="257" t="str">
        <f>IF('Gerencias y Oficinas'!J64="","",'Gerencias y Oficinas'!J64)</f>
        <v/>
      </c>
      <c r="K64" s="257" t="str">
        <f>IF('Gerencias y Oficinas'!K64="","",'Gerencias y Oficinas'!K64)</f>
        <v>Por completar</v>
      </c>
      <c r="L64" s="236" t="str">
        <f>IF('Gerencias y Oficinas'!L64="","",'Gerencias y Oficinas'!L64)</f>
        <v>Sin PMI</v>
      </c>
      <c r="M64" s="236" t="str">
        <f>IF('Gerencias y Oficinas'!M64="","",'Gerencias y Oficinas'!M64)</f>
        <v>Sin PMI</v>
      </c>
      <c r="N64" s="236" t="str">
        <f>IF('Gerencias y Oficinas'!N64="","",'Gerencias y Oficinas'!N64)</f>
        <v>Sin PMI</v>
      </c>
      <c r="O64" s="236" t="str">
        <f>IF('Gerencias y Oficinas'!O64="","",'Gerencias y Oficinas'!O64)</f>
        <v>Sin PMI</v>
      </c>
    </row>
    <row r="65" spans="1:15" s="11" customFormat="1" ht="51" x14ac:dyDescent="0.2">
      <c r="A65" s="52">
        <f>SUBTOTAL(103,$B$8:B65)</f>
        <v>55</v>
      </c>
      <c r="B65" s="69">
        <v>398</v>
      </c>
      <c r="C65" s="82" t="s">
        <v>550</v>
      </c>
      <c r="D65" s="54">
        <f>IF('Gerencias y Oficinas'!D65="","",'Gerencias y Oficinas'!D65)</f>
        <v>159321</v>
      </c>
      <c r="E65" s="54">
        <f>IF('Gerencias y Oficinas'!E65="","",'Gerencias y Oficinas'!E65)</f>
        <v>152810</v>
      </c>
      <c r="F65" s="54">
        <f>IF('Gerencias y Oficinas'!F65="","",'Gerencias y Oficinas'!F65)</f>
        <v>6511</v>
      </c>
      <c r="G65" s="54">
        <f>IF('Gerencias y Oficinas'!G65="","",'Gerencias y Oficinas'!G65)</f>
        <v>130010</v>
      </c>
      <c r="H65" s="54">
        <f>IF('Gerencias y Oficinas'!H65="","",'Gerencias y Oficinas'!H65)</f>
        <v>29311</v>
      </c>
      <c r="I65" s="66">
        <f>IF('Gerencias y Oficinas'!I65="","",'Gerencias y Oficinas'!I65)</f>
        <v>0.81602550825063869</v>
      </c>
      <c r="J65" s="257" t="str">
        <f>IF('Gerencias y Oficinas'!J65="","",'Gerencias y Oficinas'!J65)</f>
        <v/>
      </c>
      <c r="K65" s="257" t="str">
        <f>IF('Gerencias y Oficinas'!K65="","",'Gerencias y Oficinas'!K65)</f>
        <v>Por completar</v>
      </c>
      <c r="L65" s="236" t="str">
        <f>IF('Gerencias y Oficinas'!L65="","",'Gerencias y Oficinas'!L65)</f>
        <v>Sin PMI</v>
      </c>
      <c r="M65" s="236" t="str">
        <f>IF('Gerencias y Oficinas'!M65="","",'Gerencias y Oficinas'!M65)</f>
        <v>Sin PMI</v>
      </c>
      <c r="N65" s="236" t="str">
        <f>IF('Gerencias y Oficinas'!N65="","",'Gerencias y Oficinas'!N65)</f>
        <v>Sin PMI</v>
      </c>
      <c r="O65" s="236" t="str">
        <f>IF('Gerencias y Oficinas'!O65="","",'Gerencias y Oficinas'!O65)</f>
        <v>Sin PMI</v>
      </c>
    </row>
    <row r="66" spans="1:15" s="11" customFormat="1" ht="63.75" x14ac:dyDescent="0.2">
      <c r="A66" s="52">
        <f>SUBTOTAL(103,$B$8:B66)</f>
        <v>56</v>
      </c>
      <c r="B66" s="69">
        <v>400</v>
      </c>
      <c r="C66" s="82" t="s">
        <v>552</v>
      </c>
      <c r="D66" s="54">
        <f>IF('Gerencias y Oficinas'!D66="","",'Gerencias y Oficinas'!D66)</f>
        <v>146532</v>
      </c>
      <c r="E66" s="54">
        <f>IF('Gerencias y Oficinas'!E66="","",'Gerencias y Oficinas'!E66)</f>
        <v>140645</v>
      </c>
      <c r="F66" s="54">
        <f>IF('Gerencias y Oficinas'!F66="","",'Gerencias y Oficinas'!F66)</f>
        <v>5887</v>
      </c>
      <c r="G66" s="54">
        <f>IF('Gerencias y Oficinas'!G66="","",'Gerencias y Oficinas'!G66)</f>
        <v>109445</v>
      </c>
      <c r="H66" s="54">
        <f>IF('Gerencias y Oficinas'!H66="","",'Gerencias y Oficinas'!H66)</f>
        <v>37087</v>
      </c>
      <c r="I66" s="66">
        <f>IF('Gerencias y Oficinas'!I66="","",'Gerencias y Oficinas'!I66)</f>
        <v>0.74690170065241723</v>
      </c>
      <c r="J66" s="257" t="str">
        <f>IF('Gerencias y Oficinas'!J66="","",'Gerencias y Oficinas'!J66)</f>
        <v/>
      </c>
      <c r="K66" s="257" t="str">
        <f>IF('Gerencias y Oficinas'!K66="","",'Gerencias y Oficinas'!K66)</f>
        <v>Por completar</v>
      </c>
      <c r="L66" s="236" t="str">
        <f>IF('Gerencias y Oficinas'!L66="","",'Gerencias y Oficinas'!L66)</f>
        <v>Sin PMI</v>
      </c>
      <c r="M66" s="236" t="str">
        <f>IF('Gerencias y Oficinas'!M66="","",'Gerencias y Oficinas'!M66)</f>
        <v>Sin PMI</v>
      </c>
      <c r="N66" s="236" t="str">
        <f>IF('Gerencias y Oficinas'!N66="","",'Gerencias y Oficinas'!N66)</f>
        <v>Sin PMI</v>
      </c>
      <c r="O66" s="236" t="str">
        <f>IF('Gerencias y Oficinas'!O66="","",'Gerencias y Oficinas'!O66)</f>
        <v>Sin PMI</v>
      </c>
    </row>
    <row r="67" spans="1:15" s="11" customFormat="1" ht="76.5" x14ac:dyDescent="0.2">
      <c r="A67" s="52">
        <f>SUBTOTAL(103,$B$8:B67)</f>
        <v>57</v>
      </c>
      <c r="B67" s="69">
        <v>401</v>
      </c>
      <c r="C67" s="82" t="s">
        <v>553</v>
      </c>
      <c r="D67" s="54">
        <f>IF('Gerencias y Oficinas'!D67="","",'Gerencias y Oficinas'!D67)</f>
        <v>155656</v>
      </c>
      <c r="E67" s="54">
        <f>IF('Gerencias y Oficinas'!E67="","",'Gerencias y Oficinas'!E67)</f>
        <v>151053</v>
      </c>
      <c r="F67" s="54">
        <f>IF('Gerencias y Oficinas'!F67="","",'Gerencias y Oficinas'!F67)</f>
        <v>4603</v>
      </c>
      <c r="G67" s="54">
        <f>IF('Gerencias y Oficinas'!G67="","",'Gerencias y Oficinas'!G67)</f>
        <v>0</v>
      </c>
      <c r="H67" s="54">
        <f>IF('Gerencias y Oficinas'!H67="","",'Gerencias y Oficinas'!H67)</f>
        <v>155656</v>
      </c>
      <c r="I67" s="66">
        <f>IF('Gerencias y Oficinas'!I67="","",'Gerencias y Oficinas'!I67)</f>
        <v>0</v>
      </c>
      <c r="J67" s="257" t="str">
        <f>IF('Gerencias y Oficinas'!J67="","",'Gerencias y Oficinas'!J67)</f>
        <v/>
      </c>
      <c r="K67" s="257" t="str">
        <f>IF('Gerencias y Oficinas'!K67="","",'Gerencias y Oficinas'!K67)</f>
        <v>Por completar</v>
      </c>
      <c r="L67" s="236" t="str">
        <f>IF('Gerencias y Oficinas'!L67="","",'Gerencias y Oficinas'!L67)</f>
        <v>Sin PMI</v>
      </c>
      <c r="M67" s="236" t="str">
        <f>IF('Gerencias y Oficinas'!M67="","",'Gerencias y Oficinas'!M67)</f>
        <v>Sin PMI</v>
      </c>
      <c r="N67" s="236" t="str">
        <f>IF('Gerencias y Oficinas'!N67="","",'Gerencias y Oficinas'!N67)</f>
        <v>Sin PMI</v>
      </c>
      <c r="O67" s="236" t="str">
        <f>IF('Gerencias y Oficinas'!O67="","",'Gerencias y Oficinas'!O67)</f>
        <v>Sin PMI</v>
      </c>
    </row>
    <row r="68" spans="1:15" s="11" customFormat="1" ht="51" x14ac:dyDescent="0.2">
      <c r="A68" s="52">
        <f>SUBTOTAL(103,$B$8:B68)</f>
        <v>58</v>
      </c>
      <c r="B68" s="69">
        <v>402</v>
      </c>
      <c r="C68" s="82" t="s">
        <v>554</v>
      </c>
      <c r="D68" s="54">
        <f>IF('Gerencias y Oficinas'!D68="","",'Gerencias y Oficinas'!D68)</f>
        <v>159060</v>
      </c>
      <c r="E68" s="54">
        <f>IF('Gerencias y Oficinas'!E68="","",'Gerencias y Oficinas'!E68)</f>
        <v>151725</v>
      </c>
      <c r="F68" s="54">
        <f>IF('Gerencias y Oficinas'!F68="","",'Gerencias y Oficinas'!F68)</f>
        <v>7335</v>
      </c>
      <c r="G68" s="54">
        <f>IF('Gerencias y Oficinas'!G68="","",'Gerencias y Oficinas'!G68)</f>
        <v>124900</v>
      </c>
      <c r="H68" s="54">
        <f>IF('Gerencias y Oficinas'!H68="","",'Gerencias y Oficinas'!H68)</f>
        <v>34160</v>
      </c>
      <c r="I68" s="66">
        <f>IF('Gerencias y Oficinas'!I68="","",'Gerencias y Oficinas'!I68)</f>
        <v>0.78523827486483089</v>
      </c>
      <c r="J68" s="257" t="str">
        <f>IF('Gerencias y Oficinas'!J68="","",'Gerencias y Oficinas'!J68)</f>
        <v/>
      </c>
      <c r="K68" s="257" t="str">
        <f>IF('Gerencias y Oficinas'!K68="","",'Gerencias y Oficinas'!K68)</f>
        <v>Por completar</v>
      </c>
      <c r="L68" s="236" t="str">
        <f>IF('Gerencias y Oficinas'!L68="","",'Gerencias y Oficinas'!L68)</f>
        <v>Sin PMI</v>
      </c>
      <c r="M68" s="236" t="str">
        <f>IF('Gerencias y Oficinas'!M68="","",'Gerencias y Oficinas'!M68)</f>
        <v>Sin PMI</v>
      </c>
      <c r="N68" s="236" t="str">
        <f>IF('Gerencias y Oficinas'!N68="","",'Gerencias y Oficinas'!N68)</f>
        <v>Sin PMI</v>
      </c>
      <c r="O68" s="236" t="str">
        <f>IF('Gerencias y Oficinas'!O68="","",'Gerencias y Oficinas'!O68)</f>
        <v>Sin PMI</v>
      </c>
    </row>
    <row r="69" spans="1:15" s="11" customFormat="1" ht="51" x14ac:dyDescent="0.2">
      <c r="A69" s="52">
        <f>SUBTOTAL(103,$B$8:B69)</f>
        <v>59</v>
      </c>
      <c r="B69" s="69">
        <v>403</v>
      </c>
      <c r="C69" s="82" t="s">
        <v>555</v>
      </c>
      <c r="D69" s="54">
        <f>IF('Gerencias y Oficinas'!D69="","",'Gerencias y Oficinas'!D69)</f>
        <v>159862</v>
      </c>
      <c r="E69" s="54">
        <f>IF('Gerencias y Oficinas'!E69="","",'Gerencias y Oficinas'!E69)</f>
        <v>86882.5</v>
      </c>
      <c r="F69" s="54">
        <f>IF('Gerencias y Oficinas'!F69="","",'Gerencias y Oficinas'!F69)</f>
        <v>72979.5</v>
      </c>
      <c r="G69" s="54">
        <f>IF('Gerencias y Oficinas'!G69="","",'Gerencias y Oficinas'!G69)</f>
        <v>86872.5</v>
      </c>
      <c r="H69" s="54">
        <f>IF('Gerencias y Oficinas'!H69="","",'Gerencias y Oficinas'!H69)</f>
        <v>72989.5</v>
      </c>
      <c r="I69" s="66">
        <f>IF('Gerencias y Oficinas'!I69="","",'Gerencias y Oficinas'!I69)</f>
        <v>0.54342182632520553</v>
      </c>
      <c r="J69" s="257" t="str">
        <f>IF('Gerencias y Oficinas'!J69="","",'Gerencias y Oficinas'!J69)</f>
        <v/>
      </c>
      <c r="K69" s="257" t="str">
        <f>IF('Gerencias y Oficinas'!K69="","",'Gerencias y Oficinas'!K69)</f>
        <v>Por completar</v>
      </c>
      <c r="L69" s="236" t="str">
        <f>IF('Gerencias y Oficinas'!L69="","",'Gerencias y Oficinas'!L69)</f>
        <v>Sin PMI</v>
      </c>
      <c r="M69" s="236" t="str">
        <f>IF('Gerencias y Oficinas'!M69="","",'Gerencias y Oficinas'!M69)</f>
        <v>Sin PMI</v>
      </c>
      <c r="N69" s="236" t="str">
        <f>IF('Gerencias y Oficinas'!N69="","",'Gerencias y Oficinas'!N69)</f>
        <v>Sin PMI</v>
      </c>
      <c r="O69" s="236" t="str">
        <f>IF('Gerencias y Oficinas'!O69="","",'Gerencias y Oficinas'!O69)</f>
        <v>Sin PMI</v>
      </c>
    </row>
    <row r="70" spans="1:15" s="11" customFormat="1" ht="63.75" x14ac:dyDescent="0.2">
      <c r="A70" s="52">
        <f>SUBTOTAL(103,$B$8:B70)</f>
        <v>60</v>
      </c>
      <c r="B70" s="69">
        <v>405</v>
      </c>
      <c r="C70" s="82" t="s">
        <v>557</v>
      </c>
      <c r="D70" s="54">
        <f>IF('Gerencias y Oficinas'!D70="","",'Gerencias y Oficinas'!D70)</f>
        <v>157300</v>
      </c>
      <c r="E70" s="54">
        <f>IF('Gerencias y Oficinas'!E70="","",'Gerencias y Oficinas'!E70)</f>
        <v>149830</v>
      </c>
      <c r="F70" s="54">
        <f>IF('Gerencias y Oficinas'!F70="","",'Gerencias y Oficinas'!F70)</f>
        <v>7470</v>
      </c>
      <c r="G70" s="54">
        <f>IF('Gerencias y Oficinas'!G70="","",'Gerencias y Oficinas'!G70)</f>
        <v>149790</v>
      </c>
      <c r="H70" s="54">
        <f>IF('Gerencias y Oficinas'!H70="","",'Gerencias y Oficinas'!H70)</f>
        <v>7510</v>
      </c>
      <c r="I70" s="66">
        <f>IF('Gerencias y Oficinas'!I70="","",'Gerencias y Oficinas'!I70)</f>
        <v>0.95225683407501593</v>
      </c>
      <c r="J70" s="257" t="str">
        <f>IF('Gerencias y Oficinas'!J70="","",'Gerencias y Oficinas'!J70)</f>
        <v/>
      </c>
      <c r="K70" s="257" t="str">
        <f>IF('Gerencias y Oficinas'!K70="","",'Gerencias y Oficinas'!K70)</f>
        <v>Por completar</v>
      </c>
      <c r="L70" s="236" t="str">
        <f>IF('Gerencias y Oficinas'!L70="","",'Gerencias y Oficinas'!L70)</f>
        <v>Sin PMI</v>
      </c>
      <c r="M70" s="236" t="str">
        <f>IF('Gerencias y Oficinas'!M70="","",'Gerencias y Oficinas'!M70)</f>
        <v>Sin PMI</v>
      </c>
      <c r="N70" s="236" t="str">
        <f>IF('Gerencias y Oficinas'!N70="","",'Gerencias y Oficinas'!N70)</f>
        <v>Sin PMI</v>
      </c>
      <c r="O70" s="236" t="str">
        <f>IF('Gerencias y Oficinas'!O70="","",'Gerencias y Oficinas'!O70)</f>
        <v>Sin PMI</v>
      </c>
    </row>
    <row r="71" spans="1:15" s="11" customFormat="1" ht="51" x14ac:dyDescent="0.2">
      <c r="A71" s="52">
        <f>SUBTOTAL(103,$B$8:B71)</f>
        <v>61</v>
      </c>
      <c r="B71" s="69">
        <v>406</v>
      </c>
      <c r="C71" s="82" t="s">
        <v>558</v>
      </c>
      <c r="D71" s="54">
        <f>IF('Gerencias y Oficinas'!D71="","",'Gerencias y Oficinas'!D71)</f>
        <v>159720</v>
      </c>
      <c r="E71" s="54">
        <f>IF('Gerencias y Oficinas'!E71="","",'Gerencias y Oficinas'!E71)</f>
        <v>152944</v>
      </c>
      <c r="F71" s="54">
        <f>IF('Gerencias y Oficinas'!F71="","",'Gerencias y Oficinas'!F71)</f>
        <v>6776</v>
      </c>
      <c r="G71" s="54">
        <f>IF('Gerencias y Oficinas'!G71="","",'Gerencias y Oficinas'!G71)</f>
        <v>146395</v>
      </c>
      <c r="H71" s="54">
        <f>IF('Gerencias y Oficinas'!H71="","",'Gerencias y Oficinas'!H71)</f>
        <v>13325</v>
      </c>
      <c r="I71" s="66">
        <f>IF('Gerencias y Oficinas'!I71="","",'Gerencias y Oficinas'!I71)</f>
        <v>0.916572752316554</v>
      </c>
      <c r="J71" s="257" t="str">
        <f>IF('Gerencias y Oficinas'!J71="","",'Gerencias y Oficinas'!J71)</f>
        <v/>
      </c>
      <c r="K71" s="257" t="str">
        <f>IF('Gerencias y Oficinas'!K71="","",'Gerencias y Oficinas'!K71)</f>
        <v>Por completar</v>
      </c>
      <c r="L71" s="236" t="str">
        <f>IF('Gerencias y Oficinas'!L71="","",'Gerencias y Oficinas'!L71)</f>
        <v>Sin PMI</v>
      </c>
      <c r="M71" s="236" t="str">
        <f>IF('Gerencias y Oficinas'!M71="","",'Gerencias y Oficinas'!M71)</f>
        <v>Sin PMI</v>
      </c>
      <c r="N71" s="236" t="str">
        <f>IF('Gerencias y Oficinas'!N71="","",'Gerencias y Oficinas'!N71)</f>
        <v>Sin PMI</v>
      </c>
      <c r="O71" s="236" t="str">
        <f>IF('Gerencias y Oficinas'!O71="","",'Gerencias y Oficinas'!O71)</f>
        <v>Sin PMI</v>
      </c>
    </row>
    <row r="72" spans="1:15" s="11" customFormat="1" ht="51" x14ac:dyDescent="0.2">
      <c r="A72" s="52">
        <f>SUBTOTAL(103,$B$8:B72)</f>
        <v>62</v>
      </c>
      <c r="B72" s="69">
        <v>409</v>
      </c>
      <c r="C72" s="82" t="s">
        <v>561</v>
      </c>
      <c r="D72" s="54">
        <f>IF('Gerencias y Oficinas'!D72="","",'Gerencias y Oficinas'!D72)</f>
        <v>159007</v>
      </c>
      <c r="E72" s="54">
        <f>IF('Gerencias y Oficinas'!E72="","",'Gerencias y Oficinas'!E72)</f>
        <v>49260</v>
      </c>
      <c r="F72" s="54">
        <f>IF('Gerencias y Oficinas'!F72="","",'Gerencias y Oficinas'!F72)</f>
        <v>109747</v>
      </c>
      <c r="G72" s="54">
        <f>IF('Gerencias y Oficinas'!G72="","",'Gerencias y Oficinas'!G72)</f>
        <v>49260</v>
      </c>
      <c r="H72" s="54">
        <f>IF('Gerencias y Oficinas'!H72="","",'Gerencias y Oficinas'!H72)</f>
        <v>109747</v>
      </c>
      <c r="I72" s="66">
        <f>IF('Gerencias y Oficinas'!I72="","",'Gerencias y Oficinas'!I72)</f>
        <v>0.30979768186306261</v>
      </c>
      <c r="J72" s="257" t="str">
        <f>IF('Gerencias y Oficinas'!J72="","",'Gerencias y Oficinas'!J72)</f>
        <v/>
      </c>
      <c r="K72" s="257" t="str">
        <f>IF('Gerencias y Oficinas'!K72="","",'Gerencias y Oficinas'!K72)</f>
        <v>Por completar</v>
      </c>
      <c r="L72" s="236" t="str">
        <f>IF('Gerencias y Oficinas'!L72="","",'Gerencias y Oficinas'!L72)</f>
        <v>Sin PMI</v>
      </c>
      <c r="M72" s="236" t="str">
        <f>IF('Gerencias y Oficinas'!M72="","",'Gerencias y Oficinas'!M72)</f>
        <v>Sin PMI</v>
      </c>
      <c r="N72" s="236" t="str">
        <f>IF('Gerencias y Oficinas'!N72="","",'Gerencias y Oficinas'!N72)</f>
        <v>Sin PMI</v>
      </c>
      <c r="O72" s="236" t="str">
        <f>IF('Gerencias y Oficinas'!O72="","",'Gerencias y Oficinas'!O72)</f>
        <v>Sin PMI</v>
      </c>
    </row>
    <row r="73" spans="1:15" s="11" customFormat="1" ht="63.75" x14ac:dyDescent="0.2">
      <c r="A73" s="52">
        <f>SUBTOTAL(103,$B$8:B73)</f>
        <v>63</v>
      </c>
      <c r="B73" s="69">
        <v>411</v>
      </c>
      <c r="C73" s="82" t="s">
        <v>563</v>
      </c>
      <c r="D73" s="54">
        <f>IF('Gerencias y Oficinas'!D73="","",'Gerencias y Oficinas'!D73)</f>
        <v>159876</v>
      </c>
      <c r="E73" s="54">
        <f>IF('Gerencias y Oficinas'!E73="","",'Gerencias y Oficinas'!E73)</f>
        <v>122810</v>
      </c>
      <c r="F73" s="54">
        <f>IF('Gerencias y Oficinas'!F73="","",'Gerencias y Oficinas'!F73)</f>
        <v>37066</v>
      </c>
      <c r="G73" s="54">
        <f>IF('Gerencias y Oficinas'!G73="","",'Gerencias y Oficinas'!G73)</f>
        <v>113200</v>
      </c>
      <c r="H73" s="54">
        <f>IF('Gerencias y Oficinas'!H73="","",'Gerencias y Oficinas'!H73)</f>
        <v>46676</v>
      </c>
      <c r="I73" s="66">
        <f>IF('Gerencias y Oficinas'!I73="","",'Gerencias y Oficinas'!I73)</f>
        <v>0.70804873777177313</v>
      </c>
      <c r="J73" s="257" t="str">
        <f>IF('Gerencias y Oficinas'!J73="","",'Gerencias y Oficinas'!J73)</f>
        <v/>
      </c>
      <c r="K73" s="257" t="str">
        <f>IF('Gerencias y Oficinas'!K73="","",'Gerencias y Oficinas'!K73)</f>
        <v>Por completar</v>
      </c>
      <c r="L73" s="236" t="str">
        <f>IF('Gerencias y Oficinas'!L73="","",'Gerencias y Oficinas'!L73)</f>
        <v>Sin PMI</v>
      </c>
      <c r="M73" s="236" t="str">
        <f>IF('Gerencias y Oficinas'!M73="","",'Gerencias y Oficinas'!M73)</f>
        <v>Sin PMI</v>
      </c>
      <c r="N73" s="236" t="str">
        <f>IF('Gerencias y Oficinas'!N73="","",'Gerencias y Oficinas'!N73)</f>
        <v>Sin PMI</v>
      </c>
      <c r="O73" s="236" t="str">
        <f>IF('Gerencias y Oficinas'!O73="","",'Gerencias y Oficinas'!O73)</f>
        <v>Sin PMI</v>
      </c>
    </row>
    <row r="74" spans="1:15" s="11" customFormat="1" ht="51" x14ac:dyDescent="0.2">
      <c r="A74" s="52">
        <f>SUBTOTAL(103,$B$8:B74)</f>
        <v>64</v>
      </c>
      <c r="B74" s="69">
        <v>414</v>
      </c>
      <c r="C74" s="82" t="s">
        <v>566</v>
      </c>
      <c r="D74" s="54">
        <f>IF('Gerencias y Oficinas'!D74="","",'Gerencias y Oficinas'!D74)</f>
        <v>158527</v>
      </c>
      <c r="E74" s="54">
        <f>IF('Gerencias y Oficinas'!E74="","",'Gerencias y Oficinas'!E74)</f>
        <v>152744</v>
      </c>
      <c r="F74" s="54">
        <f>IF('Gerencias y Oficinas'!F74="","",'Gerencias y Oficinas'!F74)</f>
        <v>5783</v>
      </c>
      <c r="G74" s="54">
        <f>IF('Gerencias y Oficinas'!G74="","",'Gerencias y Oficinas'!G74)</f>
        <v>146576</v>
      </c>
      <c r="H74" s="54">
        <f>IF('Gerencias y Oficinas'!H74="","",'Gerencias y Oficinas'!H74)</f>
        <v>11951</v>
      </c>
      <c r="I74" s="66">
        <f>IF('Gerencias y Oficinas'!I74="","",'Gerencias y Oficinas'!I74)</f>
        <v>0.92461221116907533</v>
      </c>
      <c r="J74" s="257" t="str">
        <f>IF('Gerencias y Oficinas'!J74="","",'Gerencias y Oficinas'!J74)</f>
        <v/>
      </c>
      <c r="K74" s="257" t="str">
        <f>IF('Gerencias y Oficinas'!K74="","",'Gerencias y Oficinas'!K74)</f>
        <v>Por completar</v>
      </c>
      <c r="L74" s="236" t="str">
        <f>IF('Gerencias y Oficinas'!L74="","",'Gerencias y Oficinas'!L74)</f>
        <v>Sin PMI</v>
      </c>
      <c r="M74" s="236" t="str">
        <f>IF('Gerencias y Oficinas'!M74="","",'Gerencias y Oficinas'!M74)</f>
        <v>Sin PMI</v>
      </c>
      <c r="N74" s="236" t="str">
        <f>IF('Gerencias y Oficinas'!N74="","",'Gerencias y Oficinas'!N74)</f>
        <v>Sin PMI</v>
      </c>
      <c r="O74" s="236" t="str">
        <f>IF('Gerencias y Oficinas'!O74="","",'Gerencias y Oficinas'!O74)</f>
        <v>Sin PMI</v>
      </c>
    </row>
    <row r="75" spans="1:15" s="11" customFormat="1" ht="51" x14ac:dyDescent="0.2">
      <c r="A75" s="52">
        <f>SUBTOTAL(103,$B$8:B75)</f>
        <v>65</v>
      </c>
      <c r="B75" s="69">
        <v>415</v>
      </c>
      <c r="C75" s="82" t="s">
        <v>567</v>
      </c>
      <c r="D75" s="54">
        <f>IF('Gerencias y Oficinas'!D75="","",'Gerencias y Oficinas'!D75)</f>
        <v>158640</v>
      </c>
      <c r="E75" s="54">
        <f>IF('Gerencias y Oficinas'!E75="","",'Gerencias y Oficinas'!E75)</f>
        <v>136115</v>
      </c>
      <c r="F75" s="54">
        <f>IF('Gerencias y Oficinas'!F75="","",'Gerencias y Oficinas'!F75)</f>
        <v>22525</v>
      </c>
      <c r="G75" s="54">
        <f>IF('Gerencias y Oficinas'!G75="","",'Gerencias y Oficinas'!G75)</f>
        <v>43095</v>
      </c>
      <c r="H75" s="54">
        <f>IF('Gerencias y Oficinas'!H75="","",'Gerencias y Oficinas'!H75)</f>
        <v>115545</v>
      </c>
      <c r="I75" s="66">
        <f>IF('Gerencias y Oficinas'!I75="","",'Gerencias y Oficinas'!I75)</f>
        <v>0.27165279878971255</v>
      </c>
      <c r="J75" s="257" t="str">
        <f>IF('Gerencias y Oficinas'!J75="","",'Gerencias y Oficinas'!J75)</f>
        <v/>
      </c>
      <c r="K75" s="257" t="str">
        <f>IF('Gerencias y Oficinas'!K75="","",'Gerencias y Oficinas'!K75)</f>
        <v>Por completar</v>
      </c>
      <c r="L75" s="236" t="str">
        <f>IF('Gerencias y Oficinas'!L75="","",'Gerencias y Oficinas'!L75)</f>
        <v>Sin PMI</v>
      </c>
      <c r="M75" s="236" t="str">
        <f>IF('Gerencias y Oficinas'!M75="","",'Gerencias y Oficinas'!M75)</f>
        <v>Sin PMI</v>
      </c>
      <c r="N75" s="236" t="str">
        <f>IF('Gerencias y Oficinas'!N75="","",'Gerencias y Oficinas'!N75)</f>
        <v>Sin PMI</v>
      </c>
      <c r="O75" s="236" t="str">
        <f>IF('Gerencias y Oficinas'!O75="","",'Gerencias y Oficinas'!O75)</f>
        <v>Sin PMI</v>
      </c>
    </row>
    <row r="76" spans="1:15" s="11" customFormat="1" ht="63.75" x14ac:dyDescent="0.2">
      <c r="A76" s="52">
        <f>SUBTOTAL(103,$B$8:B76)</f>
        <v>66</v>
      </c>
      <c r="B76" s="69">
        <v>416</v>
      </c>
      <c r="C76" s="82" t="s">
        <v>568</v>
      </c>
      <c r="D76" s="54">
        <f>IF('Gerencias y Oficinas'!D76="","",'Gerencias y Oficinas'!D76)</f>
        <v>159041</v>
      </c>
      <c r="E76" s="54">
        <f>IF('Gerencias y Oficinas'!E76="","",'Gerencias y Oficinas'!E76)</f>
        <v>146000</v>
      </c>
      <c r="F76" s="54">
        <f>IF('Gerencias y Oficinas'!F76="","",'Gerencias y Oficinas'!F76)</f>
        <v>13041</v>
      </c>
      <c r="G76" s="54">
        <f>IF('Gerencias y Oficinas'!G76="","",'Gerencias y Oficinas'!G76)</f>
        <v>139000</v>
      </c>
      <c r="H76" s="54">
        <f>IF('Gerencias y Oficinas'!H76="","",'Gerencias y Oficinas'!H76)</f>
        <v>20041</v>
      </c>
      <c r="I76" s="66">
        <f>IF('Gerencias y Oficinas'!I76="","",'Gerencias y Oficinas'!I76)</f>
        <v>0.87398846838236677</v>
      </c>
      <c r="J76" s="257" t="str">
        <f>IF('Gerencias y Oficinas'!J76="","",'Gerencias y Oficinas'!J76)</f>
        <v/>
      </c>
      <c r="K76" s="257" t="str">
        <f>IF('Gerencias y Oficinas'!K76="","",'Gerencias y Oficinas'!K76)</f>
        <v>Por completar</v>
      </c>
      <c r="L76" s="236" t="str">
        <f>IF('Gerencias y Oficinas'!L76="","",'Gerencias y Oficinas'!L76)</f>
        <v>Sin PMI</v>
      </c>
      <c r="M76" s="236" t="str">
        <f>IF('Gerencias y Oficinas'!M76="","",'Gerencias y Oficinas'!M76)</f>
        <v>Sin PMI</v>
      </c>
      <c r="N76" s="236" t="str">
        <f>IF('Gerencias y Oficinas'!N76="","",'Gerencias y Oficinas'!N76)</f>
        <v>Sin PMI</v>
      </c>
      <c r="O76" s="236" t="str">
        <f>IF('Gerencias y Oficinas'!O76="","",'Gerencias y Oficinas'!O76)</f>
        <v>Sin PMI</v>
      </c>
    </row>
    <row r="77" spans="1:15" s="11" customFormat="1" ht="63.75" x14ac:dyDescent="0.2">
      <c r="A77" s="52">
        <f>SUBTOTAL(103,$B$8:B77)</f>
        <v>67</v>
      </c>
      <c r="B77" s="69">
        <v>419</v>
      </c>
      <c r="C77" s="82" t="s">
        <v>571</v>
      </c>
      <c r="D77" s="54">
        <f>IF('Gerencias y Oficinas'!D77="","",'Gerencias y Oficinas'!D77)</f>
        <v>159584</v>
      </c>
      <c r="E77" s="54">
        <f>IF('Gerencias y Oficinas'!E77="","",'Gerencias y Oficinas'!E77)</f>
        <v>152800</v>
      </c>
      <c r="F77" s="54">
        <f>IF('Gerencias y Oficinas'!F77="","",'Gerencias y Oficinas'!F77)</f>
        <v>6784</v>
      </c>
      <c r="G77" s="54">
        <f>IF('Gerencias y Oficinas'!G77="","",'Gerencias y Oficinas'!G77)</f>
        <v>152800</v>
      </c>
      <c r="H77" s="54">
        <f>IF('Gerencias y Oficinas'!H77="","",'Gerencias y Oficinas'!H77)</f>
        <v>6784</v>
      </c>
      <c r="I77" s="66">
        <f>IF('Gerencias y Oficinas'!I77="","",'Gerencias y Oficinas'!I77)</f>
        <v>0.95748947262883499</v>
      </c>
      <c r="J77" s="257" t="str">
        <f>IF('Gerencias y Oficinas'!J77="","",'Gerencias y Oficinas'!J77)</f>
        <v/>
      </c>
      <c r="K77" s="257" t="str">
        <f>IF('Gerencias y Oficinas'!K77="","",'Gerencias y Oficinas'!K77)</f>
        <v>Por completar</v>
      </c>
      <c r="L77" s="236" t="str">
        <f>IF('Gerencias y Oficinas'!L77="","",'Gerencias y Oficinas'!L77)</f>
        <v>Sin PMI</v>
      </c>
      <c r="M77" s="236" t="str">
        <f>IF('Gerencias y Oficinas'!M77="","",'Gerencias y Oficinas'!M77)</f>
        <v>Sin PMI</v>
      </c>
      <c r="N77" s="236" t="str">
        <f>IF('Gerencias y Oficinas'!N77="","",'Gerencias y Oficinas'!N77)</f>
        <v>Sin PMI</v>
      </c>
      <c r="O77" s="236" t="str">
        <f>IF('Gerencias y Oficinas'!O77="","",'Gerencias y Oficinas'!O77)</f>
        <v>Sin PMI</v>
      </c>
    </row>
    <row r="78" spans="1:15" s="11" customFormat="1" ht="51" x14ac:dyDescent="0.2">
      <c r="A78" s="52">
        <f>SUBTOTAL(103,$B$8:B78)</f>
        <v>68</v>
      </c>
      <c r="B78" s="69">
        <v>422</v>
      </c>
      <c r="C78" s="82" t="s">
        <v>574</v>
      </c>
      <c r="D78" s="54">
        <f>IF('Gerencias y Oficinas'!D78="","",'Gerencias y Oficinas'!D78)</f>
        <v>159830</v>
      </c>
      <c r="E78" s="54">
        <f>IF('Gerencias y Oficinas'!E78="","",'Gerencias y Oficinas'!E78)</f>
        <v>152085</v>
      </c>
      <c r="F78" s="54">
        <f>IF('Gerencias y Oficinas'!F78="","",'Gerencias y Oficinas'!F78)</f>
        <v>7745</v>
      </c>
      <c r="G78" s="54">
        <f>IF('Gerencias y Oficinas'!G78="","",'Gerencias y Oficinas'!G78)</f>
        <v>97085</v>
      </c>
      <c r="H78" s="54">
        <f>IF('Gerencias y Oficinas'!H78="","",'Gerencias y Oficinas'!H78)</f>
        <v>62745</v>
      </c>
      <c r="I78" s="66">
        <f>IF('Gerencias y Oficinas'!I78="","",'Gerencias y Oficinas'!I78)</f>
        <v>0.60742664080585618</v>
      </c>
      <c r="J78" s="257" t="str">
        <f>IF('Gerencias y Oficinas'!J78="","",'Gerencias y Oficinas'!J78)</f>
        <v/>
      </c>
      <c r="K78" s="257" t="str">
        <f>IF('Gerencias y Oficinas'!K78="","",'Gerencias y Oficinas'!K78)</f>
        <v>Por completar</v>
      </c>
      <c r="L78" s="236" t="str">
        <f>IF('Gerencias y Oficinas'!L78="","",'Gerencias y Oficinas'!L78)</f>
        <v>Sin PMI</v>
      </c>
      <c r="M78" s="236" t="str">
        <f>IF('Gerencias y Oficinas'!M78="","",'Gerencias y Oficinas'!M78)</f>
        <v>Sin PMI</v>
      </c>
      <c r="N78" s="236" t="str">
        <f>IF('Gerencias y Oficinas'!N78="","",'Gerencias y Oficinas'!N78)</f>
        <v>Sin PMI</v>
      </c>
      <c r="O78" s="236" t="str">
        <f>IF('Gerencias y Oficinas'!O78="","",'Gerencias y Oficinas'!O78)</f>
        <v>Sin PMI</v>
      </c>
    </row>
    <row r="79" spans="1:15" s="11" customFormat="1" ht="51" x14ac:dyDescent="0.2">
      <c r="A79" s="52">
        <f>SUBTOTAL(103,$B$8:B79)</f>
        <v>69</v>
      </c>
      <c r="B79" s="69">
        <v>426</v>
      </c>
      <c r="C79" s="82" t="s">
        <v>578</v>
      </c>
      <c r="D79" s="54">
        <f>IF('Gerencias y Oficinas'!D79="","",'Gerencias y Oficinas'!D79)</f>
        <v>159880</v>
      </c>
      <c r="E79" s="54">
        <f>IF('Gerencias y Oficinas'!E79="","",'Gerencias y Oficinas'!E79)</f>
        <v>154030</v>
      </c>
      <c r="F79" s="54">
        <f>IF('Gerencias y Oficinas'!F79="","",'Gerencias y Oficinas'!F79)</f>
        <v>5850</v>
      </c>
      <c r="G79" s="54">
        <f>IF('Gerencias y Oficinas'!G79="","",'Gerencias y Oficinas'!G79)</f>
        <v>50840</v>
      </c>
      <c r="H79" s="54">
        <f>IF('Gerencias y Oficinas'!H79="","",'Gerencias y Oficinas'!H79)</f>
        <v>109040</v>
      </c>
      <c r="I79" s="66">
        <f>IF('Gerencias y Oficinas'!I79="","",'Gerencias y Oficinas'!I79)</f>
        <v>0.31798849136852642</v>
      </c>
      <c r="J79" s="257" t="str">
        <f>IF('Gerencias y Oficinas'!J79="","",'Gerencias y Oficinas'!J79)</f>
        <v/>
      </c>
      <c r="K79" s="257" t="str">
        <f>IF('Gerencias y Oficinas'!K79="","",'Gerencias y Oficinas'!K79)</f>
        <v>Por completar</v>
      </c>
      <c r="L79" s="236" t="str">
        <f>IF('Gerencias y Oficinas'!L79="","",'Gerencias y Oficinas'!L79)</f>
        <v>Sin PMI</v>
      </c>
      <c r="M79" s="236" t="str">
        <f>IF('Gerencias y Oficinas'!M79="","",'Gerencias y Oficinas'!M79)</f>
        <v>Sin PMI</v>
      </c>
      <c r="N79" s="236" t="str">
        <f>IF('Gerencias y Oficinas'!N79="","",'Gerencias y Oficinas'!N79)</f>
        <v>Sin PMI</v>
      </c>
      <c r="O79" s="236" t="str">
        <f>IF('Gerencias y Oficinas'!O79="","",'Gerencias y Oficinas'!O79)</f>
        <v>Sin PMI</v>
      </c>
    </row>
    <row r="80" spans="1:15" s="11" customFormat="1" ht="51" x14ac:dyDescent="0.2">
      <c r="A80" s="52">
        <f>SUBTOTAL(103,$B$8:B80)</f>
        <v>70</v>
      </c>
      <c r="B80" s="69">
        <v>478</v>
      </c>
      <c r="C80" s="82" t="s">
        <v>626</v>
      </c>
      <c r="D80" s="54">
        <f>IF('Gerencias y Oficinas'!D80="","",'Gerencias y Oficinas'!D80)</f>
        <v>159978</v>
      </c>
      <c r="E80" s="54">
        <f>IF('Gerencias y Oficinas'!E80="","",'Gerencias y Oficinas'!E80)</f>
        <v>153229</v>
      </c>
      <c r="F80" s="54">
        <f>IF('Gerencias y Oficinas'!F80="","",'Gerencias y Oficinas'!F80)</f>
        <v>6749</v>
      </c>
      <c r="G80" s="54">
        <f>IF('Gerencias y Oficinas'!G80="","",'Gerencias y Oficinas'!G80)</f>
        <v>129240</v>
      </c>
      <c r="H80" s="54">
        <f>IF('Gerencias y Oficinas'!H80="","",'Gerencias y Oficinas'!H80)</f>
        <v>30738</v>
      </c>
      <c r="I80" s="66">
        <f>IF('Gerencias y Oficinas'!I80="","",'Gerencias y Oficinas'!I80)</f>
        <v>0.80786108089862352</v>
      </c>
      <c r="J80" s="257" t="str">
        <f>IF('Gerencias y Oficinas'!J80="","",'Gerencias y Oficinas'!J80)</f>
        <v/>
      </c>
      <c r="K80" s="257" t="str">
        <f>IF('Gerencias y Oficinas'!K80="","",'Gerencias y Oficinas'!K80)</f>
        <v>Por completar</v>
      </c>
      <c r="L80" s="236" t="str">
        <f>IF('Gerencias y Oficinas'!L80="","",'Gerencias y Oficinas'!L80)</f>
        <v>Sin PMI</v>
      </c>
      <c r="M80" s="236" t="str">
        <f>IF('Gerencias y Oficinas'!M80="","",'Gerencias y Oficinas'!M80)</f>
        <v>Sin PMI</v>
      </c>
      <c r="N80" s="236" t="str">
        <f>IF('Gerencias y Oficinas'!N80="","",'Gerencias y Oficinas'!N80)</f>
        <v>Sin PMI</v>
      </c>
      <c r="O80" s="236" t="str">
        <f>IF('Gerencias y Oficinas'!O80="","",'Gerencias y Oficinas'!O80)</f>
        <v>Sin PMI</v>
      </c>
    </row>
    <row r="81" spans="1:15" s="11" customFormat="1" ht="63.75" x14ac:dyDescent="0.2">
      <c r="A81" s="52">
        <f>SUBTOTAL(103,$B$8:B81)</f>
        <v>71</v>
      </c>
      <c r="B81" s="69">
        <v>487</v>
      </c>
      <c r="C81" s="82" t="s">
        <v>90</v>
      </c>
      <c r="D81" s="54">
        <f>IF('Gerencias y Oficinas'!D81="","",'Gerencias y Oficinas'!D81)</f>
        <v>44000</v>
      </c>
      <c r="E81" s="54">
        <f>IF('Gerencias y Oficinas'!E81="","",'Gerencias y Oficinas'!E81)</f>
        <v>43500</v>
      </c>
      <c r="F81" s="54">
        <f>IF('Gerencias y Oficinas'!F81="","",'Gerencias y Oficinas'!F81)</f>
        <v>500</v>
      </c>
      <c r="G81" s="54">
        <f>IF('Gerencias y Oficinas'!G81="","",'Gerencias y Oficinas'!G81)</f>
        <v>17400</v>
      </c>
      <c r="H81" s="54">
        <f>IF('Gerencias y Oficinas'!H81="","",'Gerencias y Oficinas'!H81)</f>
        <v>26600</v>
      </c>
      <c r="I81" s="66">
        <f>IF('Gerencias y Oficinas'!I81="","",'Gerencias y Oficinas'!I81)</f>
        <v>0.39545454545454545</v>
      </c>
      <c r="J81" s="257" t="str">
        <f>IF('Gerencias y Oficinas'!J81="","",'Gerencias y Oficinas'!J81)</f>
        <v/>
      </c>
      <c r="K81" s="257" t="str">
        <f>IF('Gerencias y Oficinas'!K81="","",'Gerencias y Oficinas'!K81)</f>
        <v>Por completar</v>
      </c>
      <c r="L81" s="236">
        <f>IF('Gerencias y Oficinas'!L81="","",'Gerencias y Oficinas'!L81)</f>
        <v>44000</v>
      </c>
      <c r="M81" s="236">
        <f>IF('Gerencias y Oficinas'!M81="","",'Gerencias y Oficinas'!M81)</f>
        <v>291221</v>
      </c>
      <c r="N81" s="236">
        <f>IF('Gerencias y Oficinas'!N81="","",'Gerencias y Oficinas'!N81)</f>
        <v>0</v>
      </c>
      <c r="O81" s="236">
        <f>IF('Gerencias y Oficinas'!O81="","",'Gerencias y Oficinas'!O81)</f>
        <v>0</v>
      </c>
    </row>
    <row r="82" spans="1:15" s="11" customFormat="1" ht="63.75" x14ac:dyDescent="0.2">
      <c r="A82" s="52">
        <f>SUBTOTAL(103,$B$8:B82)</f>
        <v>72</v>
      </c>
      <c r="B82" s="69">
        <v>526</v>
      </c>
      <c r="C82" s="82" t="s">
        <v>711</v>
      </c>
      <c r="D82" s="54">
        <f>IF('Gerencias y Oficinas'!D82="","",'Gerencias y Oficinas'!D82)</f>
        <v>2795</v>
      </c>
      <c r="E82" s="54">
        <f>IF('Gerencias y Oficinas'!E82="","",'Gerencias y Oficinas'!E82)</f>
        <v>2795</v>
      </c>
      <c r="F82" s="54">
        <f>IF('Gerencias y Oficinas'!F82="","",'Gerencias y Oficinas'!F82)</f>
        <v>0</v>
      </c>
      <c r="G82" s="54">
        <f>IF('Gerencias y Oficinas'!G82="","",'Gerencias y Oficinas'!G82)</f>
        <v>0</v>
      </c>
      <c r="H82" s="54">
        <f>IF('Gerencias y Oficinas'!H82="","",'Gerencias y Oficinas'!H82)</f>
        <v>2795</v>
      </c>
      <c r="I82" s="66">
        <f>IF('Gerencias y Oficinas'!I82="","",'Gerencias y Oficinas'!I82)</f>
        <v>0</v>
      </c>
      <c r="J82" s="257" t="str">
        <f>IF('Gerencias y Oficinas'!J82="","",'Gerencias y Oficinas'!J82)</f>
        <v/>
      </c>
      <c r="K82" s="257" t="str">
        <f>IF('Gerencias y Oficinas'!K82="","",'Gerencias y Oficinas'!K82)</f>
        <v>Por completar</v>
      </c>
      <c r="L82" s="236" t="str">
        <f>IF('Gerencias y Oficinas'!L82="","",'Gerencias y Oficinas'!L82)</f>
        <v>Sin PMI</v>
      </c>
      <c r="M82" s="236" t="str">
        <f>IF('Gerencias y Oficinas'!M82="","",'Gerencias y Oficinas'!M82)</f>
        <v>Sin PMI</v>
      </c>
      <c r="N82" s="236" t="str">
        <f>IF('Gerencias y Oficinas'!N82="","",'Gerencias y Oficinas'!N82)</f>
        <v>Sin PMI</v>
      </c>
      <c r="O82" s="236" t="str">
        <f>IF('Gerencias y Oficinas'!O82="","",'Gerencias y Oficinas'!O82)</f>
        <v>Sin PMI</v>
      </c>
    </row>
    <row r="83" spans="1:15" ht="16.5" x14ac:dyDescent="0.2">
      <c r="A83" s="150" t="s">
        <v>617</v>
      </c>
      <c r="B83" s="150"/>
      <c r="C83" s="150"/>
      <c r="D83" s="50">
        <f>D84+D85+D86+D87</f>
        <v>1054126</v>
      </c>
      <c r="E83" s="50">
        <f>E84+E85+E86+E87</f>
        <v>893638.67</v>
      </c>
      <c r="F83" s="50">
        <f>D83-E83</f>
        <v>160487.32999999996</v>
      </c>
      <c r="G83" s="50">
        <f>G84+G85+G86+G87</f>
        <v>30322</v>
      </c>
      <c r="H83" s="50">
        <f>D83-G83</f>
        <v>1023804</v>
      </c>
      <c r="I83" s="51">
        <f>IF(D83=0,0,G83/D83)</f>
        <v>2.8765062241136258E-2</v>
      </c>
      <c r="J83" s="256"/>
      <c r="K83" s="256"/>
      <c r="L83" s="230"/>
      <c r="M83" s="230"/>
      <c r="N83" s="230"/>
      <c r="O83" s="230"/>
    </row>
    <row r="84" spans="1:15" s="11" customFormat="1" ht="63.75" x14ac:dyDescent="0.2">
      <c r="A84" s="52">
        <f>SUBTOTAL(103,$B$8:B84)</f>
        <v>73</v>
      </c>
      <c r="B84" s="69">
        <v>368</v>
      </c>
      <c r="C84" s="82" t="s">
        <v>406</v>
      </c>
      <c r="D84" s="54">
        <f>IF('Gerencias y Oficinas'!D84="","",'Gerencias y Oficinas'!D84)</f>
        <v>179500</v>
      </c>
      <c r="E84" s="54">
        <f>IF('Gerencias y Oficinas'!E84="","",'Gerencias y Oficinas'!E84)</f>
        <v>163750</v>
      </c>
      <c r="F84" s="54">
        <f>IF('Gerencias y Oficinas'!F84="","",'Gerencias y Oficinas'!F84)</f>
        <v>15750</v>
      </c>
      <c r="G84" s="54">
        <f>IF('Gerencias y Oficinas'!G84="","",'Gerencias y Oficinas'!G84)</f>
        <v>3750</v>
      </c>
      <c r="H84" s="54">
        <f>IF('Gerencias y Oficinas'!H84="","",'Gerencias y Oficinas'!H84)</f>
        <v>175750</v>
      </c>
      <c r="I84" s="66">
        <f>IF('Gerencias y Oficinas'!I84="","",'Gerencias y Oficinas'!I84)</f>
        <v>2.0891364902506964E-2</v>
      </c>
      <c r="J84" s="257" t="str">
        <f>IF('Gerencias y Oficinas'!J84="","",'Gerencias y Oficinas'!J84)</f>
        <v/>
      </c>
      <c r="K84" s="257" t="str">
        <f>IF('Gerencias y Oficinas'!K84="","",'Gerencias y Oficinas'!K84)</f>
        <v>Por completar</v>
      </c>
      <c r="L84" s="236" t="str">
        <f>IF('Gerencias y Oficinas'!L84="","",'Gerencias y Oficinas'!L84)</f>
        <v>Sin PMI</v>
      </c>
      <c r="M84" s="236" t="str">
        <f>IF('Gerencias y Oficinas'!M84="","",'Gerencias y Oficinas'!M84)</f>
        <v>Sin PMI</v>
      </c>
      <c r="N84" s="236" t="str">
        <f>IF('Gerencias y Oficinas'!N84="","",'Gerencias y Oficinas'!N84)</f>
        <v>Sin PMI</v>
      </c>
      <c r="O84" s="236" t="str">
        <f>IF('Gerencias y Oficinas'!O84="","",'Gerencias y Oficinas'!O84)</f>
        <v>Sin PMI</v>
      </c>
    </row>
    <row r="85" spans="1:15" s="11" customFormat="1" ht="51" x14ac:dyDescent="0.2">
      <c r="A85" s="52">
        <f>SUBTOTAL(103,$B$8:B85)</f>
        <v>74</v>
      </c>
      <c r="B85" s="69">
        <v>375</v>
      </c>
      <c r="C85" s="82" t="s">
        <v>423</v>
      </c>
      <c r="D85" s="54">
        <f>IF('Gerencias y Oficinas'!D85="","",'Gerencias y Oficinas'!D85)</f>
        <v>175166</v>
      </c>
      <c r="E85" s="54">
        <f>IF('Gerencias y Oficinas'!E85="","",'Gerencias y Oficinas'!E85)</f>
        <v>166872</v>
      </c>
      <c r="F85" s="54">
        <f>IF('Gerencias y Oficinas'!F85="","",'Gerencias y Oficinas'!F85)</f>
        <v>8294</v>
      </c>
      <c r="G85" s="54">
        <f>IF('Gerencias y Oficinas'!G85="","",'Gerencias y Oficinas'!G85)</f>
        <v>5872</v>
      </c>
      <c r="H85" s="54">
        <f>IF('Gerencias y Oficinas'!H85="","",'Gerencias y Oficinas'!H85)</f>
        <v>169294</v>
      </c>
      <c r="I85" s="66">
        <f>IF('Gerencias y Oficinas'!I85="","",'Gerencias y Oficinas'!I85)</f>
        <v>3.352248724067456E-2</v>
      </c>
      <c r="J85" s="257" t="str">
        <f>IF('Gerencias y Oficinas'!J85="","",'Gerencias y Oficinas'!J85)</f>
        <v/>
      </c>
      <c r="K85" s="257" t="str">
        <f>IF('Gerencias y Oficinas'!K85="","",'Gerencias y Oficinas'!K85)</f>
        <v>Por completar</v>
      </c>
      <c r="L85" s="236" t="str">
        <f>IF('Gerencias y Oficinas'!L85="","",'Gerencias y Oficinas'!L85)</f>
        <v>Sin PMI</v>
      </c>
      <c r="M85" s="236" t="str">
        <f>IF('Gerencias y Oficinas'!M85="","",'Gerencias y Oficinas'!M85)</f>
        <v>Sin PMI</v>
      </c>
      <c r="N85" s="236" t="str">
        <f>IF('Gerencias y Oficinas'!N85="","",'Gerencias y Oficinas'!N85)</f>
        <v>Sin PMI</v>
      </c>
      <c r="O85" s="236" t="str">
        <f>IF('Gerencias y Oficinas'!O85="","",'Gerencias y Oficinas'!O85)</f>
        <v>Sin PMI</v>
      </c>
    </row>
    <row r="86" spans="1:15" s="11" customFormat="1" ht="63.75" x14ac:dyDescent="0.2">
      <c r="A86" s="52">
        <f>SUBTOTAL(103,$B$8:B86)</f>
        <v>75</v>
      </c>
      <c r="B86" s="69">
        <v>417</v>
      </c>
      <c r="C86" s="82" t="s">
        <v>569</v>
      </c>
      <c r="D86" s="54">
        <f>IF('Gerencias y Oficinas'!D86="","",'Gerencias y Oficinas'!D86)</f>
        <v>349792</v>
      </c>
      <c r="E86" s="54">
        <f>IF('Gerencias y Oficinas'!E86="","",'Gerencias y Oficinas'!E86)</f>
        <v>325833.33</v>
      </c>
      <c r="F86" s="54">
        <f>IF('Gerencias y Oficinas'!F86="","",'Gerencias y Oficinas'!F86)</f>
        <v>23958.669999999984</v>
      </c>
      <c r="G86" s="54">
        <f>IF('Gerencias y Oficinas'!G86="","",'Gerencias y Oficinas'!G86)</f>
        <v>0</v>
      </c>
      <c r="H86" s="54">
        <f>IF('Gerencias y Oficinas'!H86="","",'Gerencias y Oficinas'!H86)</f>
        <v>349792</v>
      </c>
      <c r="I86" s="66">
        <f>IF('Gerencias y Oficinas'!I86="","",'Gerencias y Oficinas'!I86)</f>
        <v>0</v>
      </c>
      <c r="J86" s="257" t="str">
        <f>IF('Gerencias y Oficinas'!J86="","",'Gerencias y Oficinas'!J86)</f>
        <v/>
      </c>
      <c r="K86" s="257" t="str">
        <f>IF('Gerencias y Oficinas'!K86="","",'Gerencias y Oficinas'!K86)</f>
        <v>Por completar</v>
      </c>
      <c r="L86" s="236" t="str">
        <f>IF('Gerencias y Oficinas'!L86="","",'Gerencias y Oficinas'!L86)</f>
        <v>Sin PMI</v>
      </c>
      <c r="M86" s="236" t="str">
        <f>IF('Gerencias y Oficinas'!M86="","",'Gerencias y Oficinas'!M86)</f>
        <v>Sin PMI</v>
      </c>
      <c r="N86" s="236" t="str">
        <f>IF('Gerencias y Oficinas'!N86="","",'Gerencias y Oficinas'!N86)</f>
        <v>Sin PMI</v>
      </c>
      <c r="O86" s="236" t="str">
        <f>IF('Gerencias y Oficinas'!O86="","",'Gerencias y Oficinas'!O86)</f>
        <v>Sin PMI</v>
      </c>
    </row>
    <row r="87" spans="1:15" s="11" customFormat="1" ht="63.75" x14ac:dyDescent="0.2">
      <c r="A87" s="52">
        <f>SUBTOTAL(103,$B$8:B87)</f>
        <v>76</v>
      </c>
      <c r="B87" s="69">
        <v>474</v>
      </c>
      <c r="C87" s="82" t="s">
        <v>627</v>
      </c>
      <c r="D87" s="54">
        <f>IF('Gerencias y Oficinas'!D87="","",'Gerencias y Oficinas'!D87)</f>
        <v>349668</v>
      </c>
      <c r="E87" s="54">
        <f>IF('Gerencias y Oficinas'!E87="","",'Gerencias y Oficinas'!E87)</f>
        <v>237183.34</v>
      </c>
      <c r="F87" s="54">
        <f>IF('Gerencias y Oficinas'!F87="","",'Gerencias y Oficinas'!F87)</f>
        <v>112484.66</v>
      </c>
      <c r="G87" s="54">
        <f>IF('Gerencias y Oficinas'!G87="","",'Gerencias y Oficinas'!G87)</f>
        <v>20700</v>
      </c>
      <c r="H87" s="54">
        <f>IF('Gerencias y Oficinas'!H87="","",'Gerencias y Oficinas'!H87)</f>
        <v>328968</v>
      </c>
      <c r="I87" s="66">
        <f>IF('Gerencias y Oficinas'!I87="","",'Gerencias y Oficinas'!I87)</f>
        <v>5.9199011633892719E-2</v>
      </c>
      <c r="J87" s="257" t="str">
        <f>IF('Gerencias y Oficinas'!J87="","",'Gerencias y Oficinas'!J87)</f>
        <v/>
      </c>
      <c r="K87" s="257" t="str">
        <f>IF('Gerencias y Oficinas'!K87="","",'Gerencias y Oficinas'!K87)</f>
        <v>Por completar</v>
      </c>
      <c r="L87" s="236" t="str">
        <f>IF('Gerencias y Oficinas'!L87="","",'Gerencias y Oficinas'!L87)</f>
        <v>Sin PMI</v>
      </c>
      <c r="M87" s="236" t="str">
        <f>IF('Gerencias y Oficinas'!M87="","",'Gerencias y Oficinas'!M87)</f>
        <v>Sin PMI</v>
      </c>
      <c r="N87" s="236" t="str">
        <f>IF('Gerencias y Oficinas'!N87="","",'Gerencias y Oficinas'!N87)</f>
        <v>Sin PMI</v>
      </c>
      <c r="O87" s="236" t="str">
        <f>IF('Gerencias y Oficinas'!O87="","",'Gerencias y Oficinas'!O87)</f>
        <v>Sin PMI</v>
      </c>
    </row>
    <row r="88" spans="1:15" ht="16.5" x14ac:dyDescent="0.2">
      <c r="A88" s="150" t="s">
        <v>91</v>
      </c>
      <c r="B88" s="150"/>
      <c r="C88" s="150"/>
      <c r="D88" s="50">
        <f>D89+D90+D91+D92+D93+D94+D95</f>
        <v>1308816</v>
      </c>
      <c r="E88" s="50">
        <f>E89+E90+E91+E92+E93+E94+E95</f>
        <v>1209080</v>
      </c>
      <c r="F88" s="50">
        <f>D88-E88</f>
        <v>99736</v>
      </c>
      <c r="G88" s="50">
        <f>G89+G90+G91+G92+G93+G94+G95</f>
        <v>538610</v>
      </c>
      <c r="H88" s="50">
        <f>D88-G88</f>
        <v>770206</v>
      </c>
      <c r="I88" s="51">
        <f>IF(D88=0,0,G88/D88)</f>
        <v>0.41152461461351331</v>
      </c>
      <c r="J88" s="256"/>
      <c r="K88" s="256"/>
      <c r="L88" s="230"/>
      <c r="M88" s="230"/>
      <c r="N88" s="230"/>
      <c r="O88" s="230"/>
    </row>
    <row r="89" spans="1:15" s="11" customFormat="1" ht="63.75" x14ac:dyDescent="0.2">
      <c r="A89" s="52">
        <f>SUBTOTAL(103,$B$8:B89)</f>
        <v>77</v>
      </c>
      <c r="B89" s="69">
        <v>356</v>
      </c>
      <c r="C89" s="82" t="s">
        <v>388</v>
      </c>
      <c r="D89" s="54">
        <f>IF('Gerencias y Oficinas'!D89="","",'Gerencias y Oficinas'!D89)</f>
        <v>5365</v>
      </c>
      <c r="E89" s="54">
        <f>IF('Gerencias y Oficinas'!E89="","",'Gerencias y Oficinas'!E89)</f>
        <v>5364</v>
      </c>
      <c r="F89" s="54">
        <f>IF('Gerencias y Oficinas'!F89="","",'Gerencias y Oficinas'!F89)</f>
        <v>1</v>
      </c>
      <c r="G89" s="54">
        <f>IF('Gerencias y Oficinas'!G89="","",'Gerencias y Oficinas'!G89)</f>
        <v>5364</v>
      </c>
      <c r="H89" s="54">
        <f>IF('Gerencias y Oficinas'!H89="","",'Gerencias y Oficinas'!H89)</f>
        <v>1</v>
      </c>
      <c r="I89" s="66">
        <f>IF('Gerencias y Oficinas'!I89="","",'Gerencias y Oficinas'!I89)</f>
        <v>0.9998136067101584</v>
      </c>
      <c r="J89" s="257" t="str">
        <f>IF('Gerencias y Oficinas'!J89="","",'Gerencias y Oficinas'!J89)</f>
        <v/>
      </c>
      <c r="K89" s="257" t="str">
        <f>IF('Gerencias y Oficinas'!K89="","",'Gerencias y Oficinas'!K89)</f>
        <v>Por completar</v>
      </c>
      <c r="L89" s="236" t="str">
        <f>IF('Gerencias y Oficinas'!L89="","",'Gerencias y Oficinas'!L89)</f>
        <v>Sin PMI</v>
      </c>
      <c r="M89" s="236" t="str">
        <f>IF('Gerencias y Oficinas'!M89="","",'Gerencias y Oficinas'!M89)</f>
        <v>Sin PMI</v>
      </c>
      <c r="N89" s="236" t="str">
        <f>IF('Gerencias y Oficinas'!N89="","",'Gerencias y Oficinas'!N89)</f>
        <v>Sin PMI</v>
      </c>
      <c r="O89" s="236" t="str">
        <f>IF('Gerencias y Oficinas'!O89="","",'Gerencias y Oficinas'!O89)</f>
        <v>Sin PMI</v>
      </c>
    </row>
    <row r="90" spans="1:15" s="11" customFormat="1" ht="51" x14ac:dyDescent="0.2">
      <c r="A90" s="52">
        <f>SUBTOTAL(103,$B$8:B90)</f>
        <v>78</v>
      </c>
      <c r="B90" s="69">
        <v>374</v>
      </c>
      <c r="C90" s="82" t="s">
        <v>422</v>
      </c>
      <c r="D90" s="54">
        <f>IF('Gerencias y Oficinas'!D90="","",'Gerencias y Oficinas'!D90)</f>
        <v>335890</v>
      </c>
      <c r="E90" s="54">
        <f>IF('Gerencias y Oficinas'!E90="","",'Gerencias y Oficinas'!E90)</f>
        <v>314900</v>
      </c>
      <c r="F90" s="54">
        <f>IF('Gerencias y Oficinas'!F90="","",'Gerencias y Oficinas'!F90)</f>
        <v>20990</v>
      </c>
      <c r="G90" s="54">
        <f>IF('Gerencias y Oficinas'!G90="","",'Gerencias y Oficinas'!G90)</f>
        <v>0</v>
      </c>
      <c r="H90" s="54">
        <f>IF('Gerencias y Oficinas'!H90="","",'Gerencias y Oficinas'!H90)</f>
        <v>335890</v>
      </c>
      <c r="I90" s="66">
        <f>IF('Gerencias y Oficinas'!I90="","",'Gerencias y Oficinas'!I90)</f>
        <v>0</v>
      </c>
      <c r="J90" s="257" t="str">
        <f>IF('Gerencias y Oficinas'!J90="","",'Gerencias y Oficinas'!J90)</f>
        <v/>
      </c>
      <c r="K90" s="257" t="str">
        <f>IF('Gerencias y Oficinas'!K90="","",'Gerencias y Oficinas'!K90)</f>
        <v>Por completar</v>
      </c>
      <c r="L90" s="236" t="str">
        <f>IF('Gerencias y Oficinas'!L90="","",'Gerencias y Oficinas'!L90)</f>
        <v>Sin PMI</v>
      </c>
      <c r="M90" s="236" t="str">
        <f>IF('Gerencias y Oficinas'!M90="","",'Gerencias y Oficinas'!M90)</f>
        <v>Sin PMI</v>
      </c>
      <c r="N90" s="236" t="str">
        <f>IF('Gerencias y Oficinas'!N90="","",'Gerencias y Oficinas'!N90)</f>
        <v>Sin PMI</v>
      </c>
      <c r="O90" s="236" t="str">
        <f>IF('Gerencias y Oficinas'!O90="","",'Gerencias y Oficinas'!O90)</f>
        <v>Sin PMI</v>
      </c>
    </row>
    <row r="91" spans="1:15" s="11" customFormat="1" ht="51" x14ac:dyDescent="0.2">
      <c r="A91" s="52">
        <f>SUBTOTAL(103,$B$8:B91)</f>
        <v>79</v>
      </c>
      <c r="B91" s="69">
        <v>377</v>
      </c>
      <c r="C91" s="82" t="s">
        <v>425</v>
      </c>
      <c r="D91" s="54">
        <f>IF('Gerencias y Oficinas'!D91="","",'Gerencias y Oficinas'!D91)</f>
        <v>157066</v>
      </c>
      <c r="E91" s="54">
        <f>IF('Gerencias y Oficinas'!E91="","",'Gerencias y Oficinas'!E91)</f>
        <v>157066</v>
      </c>
      <c r="F91" s="54">
        <f>IF('Gerencias y Oficinas'!F91="","",'Gerencias y Oficinas'!F91)</f>
        <v>0</v>
      </c>
      <c r="G91" s="54">
        <f>IF('Gerencias y Oficinas'!G91="","",'Gerencias y Oficinas'!G91)</f>
        <v>157066</v>
      </c>
      <c r="H91" s="54">
        <f>IF('Gerencias y Oficinas'!H91="","",'Gerencias y Oficinas'!H91)</f>
        <v>0</v>
      </c>
      <c r="I91" s="66">
        <f>IF('Gerencias y Oficinas'!I91="","",'Gerencias y Oficinas'!I91)</f>
        <v>1</v>
      </c>
      <c r="J91" s="257" t="str">
        <f>IF('Gerencias y Oficinas'!J91="","",'Gerencias y Oficinas'!J91)</f>
        <v/>
      </c>
      <c r="K91" s="257" t="str">
        <f>IF('Gerencias y Oficinas'!K91="","",'Gerencias y Oficinas'!K91)</f>
        <v>Por completar</v>
      </c>
      <c r="L91" s="236" t="str">
        <f>IF('Gerencias y Oficinas'!L91="","",'Gerencias y Oficinas'!L91)</f>
        <v>Sin PMI</v>
      </c>
      <c r="M91" s="236" t="str">
        <f>IF('Gerencias y Oficinas'!M91="","",'Gerencias y Oficinas'!M91)</f>
        <v>Sin PMI</v>
      </c>
      <c r="N91" s="236" t="str">
        <f>IF('Gerencias y Oficinas'!N91="","",'Gerencias y Oficinas'!N91)</f>
        <v>Sin PMI</v>
      </c>
      <c r="O91" s="236" t="str">
        <f>IF('Gerencias y Oficinas'!O91="","",'Gerencias y Oficinas'!O91)</f>
        <v>Sin PMI</v>
      </c>
    </row>
    <row r="92" spans="1:15" s="11" customFormat="1" ht="63.75" x14ac:dyDescent="0.2">
      <c r="A92" s="52">
        <f>SUBTOTAL(103,$B$8:B92)</f>
        <v>80</v>
      </c>
      <c r="B92" s="69">
        <v>386</v>
      </c>
      <c r="C92" s="82" t="s">
        <v>538</v>
      </c>
      <c r="D92" s="54">
        <f>IF('Gerencias y Oficinas'!D92="","",'Gerencias y Oficinas'!D92)</f>
        <v>159345</v>
      </c>
      <c r="E92" s="54">
        <f>IF('Gerencias y Oficinas'!E92="","",'Gerencias y Oficinas'!E92)</f>
        <v>150543</v>
      </c>
      <c r="F92" s="54">
        <f>IF('Gerencias y Oficinas'!F92="","",'Gerencias y Oficinas'!F92)</f>
        <v>8802</v>
      </c>
      <c r="G92" s="54">
        <f>IF('Gerencias y Oficinas'!G92="","",'Gerencias y Oficinas'!G92)</f>
        <v>150263</v>
      </c>
      <c r="H92" s="54">
        <f>IF('Gerencias y Oficinas'!H92="","",'Gerencias y Oficinas'!H92)</f>
        <v>9082</v>
      </c>
      <c r="I92" s="66">
        <f>IF('Gerencias y Oficinas'!I92="","",'Gerencias y Oficinas'!I92)</f>
        <v>0.94300417333458852</v>
      </c>
      <c r="J92" s="257" t="str">
        <f>IF('Gerencias y Oficinas'!J92="","",'Gerencias y Oficinas'!J92)</f>
        <v/>
      </c>
      <c r="K92" s="257" t="str">
        <f>IF('Gerencias y Oficinas'!K92="","",'Gerencias y Oficinas'!K92)</f>
        <v>Por completar</v>
      </c>
      <c r="L92" s="236" t="str">
        <f>IF('Gerencias y Oficinas'!L92="","",'Gerencias y Oficinas'!L92)</f>
        <v>Sin PMI</v>
      </c>
      <c r="M92" s="236" t="str">
        <f>IF('Gerencias y Oficinas'!M92="","",'Gerencias y Oficinas'!M92)</f>
        <v>Sin PMI</v>
      </c>
      <c r="N92" s="236" t="str">
        <f>IF('Gerencias y Oficinas'!N92="","",'Gerencias y Oficinas'!N92)</f>
        <v>Sin PMI</v>
      </c>
      <c r="O92" s="236" t="str">
        <f>IF('Gerencias y Oficinas'!O92="","",'Gerencias y Oficinas'!O92)</f>
        <v>Sin PMI</v>
      </c>
    </row>
    <row r="93" spans="1:15" s="11" customFormat="1" ht="63.75" x14ac:dyDescent="0.2">
      <c r="A93" s="52">
        <f>SUBTOTAL(103,$B$8:B93)</f>
        <v>81</v>
      </c>
      <c r="B93" s="69">
        <v>473</v>
      </c>
      <c r="C93" s="82" t="s">
        <v>628</v>
      </c>
      <c r="D93" s="54">
        <f>IF('Gerencias y Oficinas'!D93="","",'Gerencias y Oficinas'!D93)</f>
        <v>160000</v>
      </c>
      <c r="E93" s="54">
        <f>IF('Gerencias y Oficinas'!E93="","",'Gerencias y Oficinas'!E93)</f>
        <v>145797</v>
      </c>
      <c r="F93" s="54">
        <f>IF('Gerencias y Oficinas'!F93="","",'Gerencias y Oficinas'!F93)</f>
        <v>14203</v>
      </c>
      <c r="G93" s="54">
        <f>IF('Gerencias y Oficinas'!G93="","",'Gerencias y Oficinas'!G93)</f>
        <v>139797</v>
      </c>
      <c r="H93" s="54">
        <f>IF('Gerencias y Oficinas'!H93="","",'Gerencias y Oficinas'!H93)</f>
        <v>20203</v>
      </c>
      <c r="I93" s="66">
        <f>IF('Gerencias y Oficinas'!I93="","",'Gerencias y Oficinas'!I93)</f>
        <v>0.87373124999999996</v>
      </c>
      <c r="J93" s="257" t="str">
        <f>IF('Gerencias y Oficinas'!J93="","",'Gerencias y Oficinas'!J93)</f>
        <v/>
      </c>
      <c r="K93" s="257" t="str">
        <f>IF('Gerencias y Oficinas'!K93="","",'Gerencias y Oficinas'!K93)</f>
        <v>Por completar</v>
      </c>
      <c r="L93" s="236" t="str">
        <f>IF('Gerencias y Oficinas'!L93="","",'Gerencias y Oficinas'!L93)</f>
        <v>Sin PMI</v>
      </c>
      <c r="M93" s="236" t="str">
        <f>IF('Gerencias y Oficinas'!M93="","",'Gerencias y Oficinas'!M93)</f>
        <v>Sin PMI</v>
      </c>
      <c r="N93" s="236" t="str">
        <f>IF('Gerencias y Oficinas'!N93="","",'Gerencias y Oficinas'!N93)</f>
        <v>Sin PMI</v>
      </c>
      <c r="O93" s="236" t="str">
        <f>IF('Gerencias y Oficinas'!O93="","",'Gerencias y Oficinas'!O93)</f>
        <v>Sin PMI</v>
      </c>
    </row>
    <row r="94" spans="1:15" s="11" customFormat="1" ht="63.75" x14ac:dyDescent="0.2">
      <c r="A94" s="52">
        <f>SUBTOTAL(103,$B$8:B94)</f>
        <v>82</v>
      </c>
      <c r="B94" s="69">
        <v>476</v>
      </c>
      <c r="C94" s="82" t="s">
        <v>629</v>
      </c>
      <c r="D94" s="54">
        <f>IF('Gerencias y Oficinas'!D94="","",'Gerencias y Oficinas'!D94)</f>
        <v>141150</v>
      </c>
      <c r="E94" s="54">
        <f>IF('Gerencias y Oficinas'!E94="","",'Gerencias y Oficinas'!E94)</f>
        <v>115290</v>
      </c>
      <c r="F94" s="54">
        <f>IF('Gerencias y Oficinas'!F94="","",'Gerencias y Oficinas'!F94)</f>
        <v>25860</v>
      </c>
      <c r="G94" s="54">
        <f>IF('Gerencias y Oficinas'!G94="","",'Gerencias y Oficinas'!G94)</f>
        <v>0</v>
      </c>
      <c r="H94" s="54">
        <f>IF('Gerencias y Oficinas'!H94="","",'Gerencias y Oficinas'!H94)</f>
        <v>141150</v>
      </c>
      <c r="I94" s="66">
        <f>IF('Gerencias y Oficinas'!I94="","",'Gerencias y Oficinas'!I94)</f>
        <v>0</v>
      </c>
      <c r="J94" s="257" t="str">
        <f>IF('Gerencias y Oficinas'!J94="","",'Gerencias y Oficinas'!J94)</f>
        <v/>
      </c>
      <c r="K94" s="257" t="str">
        <f>IF('Gerencias y Oficinas'!K94="","",'Gerencias y Oficinas'!K94)</f>
        <v>Por completar</v>
      </c>
      <c r="L94" s="236" t="str">
        <f>IF('Gerencias y Oficinas'!L94="","",'Gerencias y Oficinas'!L94)</f>
        <v>Sin PMI</v>
      </c>
      <c r="M94" s="236" t="str">
        <f>IF('Gerencias y Oficinas'!M94="","",'Gerencias y Oficinas'!M94)</f>
        <v>Sin PMI</v>
      </c>
      <c r="N94" s="236" t="str">
        <f>IF('Gerencias y Oficinas'!N94="","",'Gerencias y Oficinas'!N94)</f>
        <v>Sin PMI</v>
      </c>
      <c r="O94" s="236" t="str">
        <f>IF('Gerencias y Oficinas'!O94="","",'Gerencias y Oficinas'!O94)</f>
        <v>Sin PMI</v>
      </c>
    </row>
    <row r="95" spans="1:15" s="11" customFormat="1" ht="76.5" x14ac:dyDescent="0.2">
      <c r="A95" s="52">
        <f>SUBTOTAL(103,$B$8:B95)</f>
        <v>83</v>
      </c>
      <c r="B95" s="69">
        <v>477</v>
      </c>
      <c r="C95" s="82" t="s">
        <v>630</v>
      </c>
      <c r="D95" s="54">
        <f>IF('Gerencias y Oficinas'!D95="","",'Gerencias y Oficinas'!D95)</f>
        <v>350000</v>
      </c>
      <c r="E95" s="54">
        <f>IF('Gerencias y Oficinas'!E95="","",'Gerencias y Oficinas'!E95)</f>
        <v>320120</v>
      </c>
      <c r="F95" s="54">
        <f>IF('Gerencias y Oficinas'!F95="","",'Gerencias y Oficinas'!F95)</f>
        <v>29880</v>
      </c>
      <c r="G95" s="54">
        <f>IF('Gerencias y Oficinas'!G95="","",'Gerencias y Oficinas'!G95)</f>
        <v>86120</v>
      </c>
      <c r="H95" s="54">
        <f>IF('Gerencias y Oficinas'!H95="","",'Gerencias y Oficinas'!H95)</f>
        <v>263880</v>
      </c>
      <c r="I95" s="66">
        <f>IF('Gerencias y Oficinas'!I95="","",'Gerencias y Oficinas'!I95)</f>
        <v>0.24605714285714286</v>
      </c>
      <c r="J95" s="257" t="str">
        <f>IF('Gerencias y Oficinas'!J95="","",'Gerencias y Oficinas'!J95)</f>
        <v/>
      </c>
      <c r="K95" s="257" t="str">
        <f>IF('Gerencias y Oficinas'!K95="","",'Gerencias y Oficinas'!K95)</f>
        <v>Por completar</v>
      </c>
      <c r="L95" s="236" t="str">
        <f>IF('Gerencias y Oficinas'!L95="","",'Gerencias y Oficinas'!L95)</f>
        <v>Sin PMI</v>
      </c>
      <c r="M95" s="236" t="str">
        <f>IF('Gerencias y Oficinas'!M95="","",'Gerencias y Oficinas'!M95)</f>
        <v>Sin PMI</v>
      </c>
      <c r="N95" s="236" t="str">
        <f>IF('Gerencias y Oficinas'!N95="","",'Gerencias y Oficinas'!N95)</f>
        <v>Sin PMI</v>
      </c>
      <c r="O95" s="236" t="str">
        <f>IF('Gerencias y Oficinas'!O95="","",'Gerencias y Oficinas'!O95)</f>
        <v>Sin PMI</v>
      </c>
    </row>
    <row r="96" spans="1:15" ht="15.75" x14ac:dyDescent="0.2">
      <c r="A96" s="165" t="s">
        <v>680</v>
      </c>
      <c r="B96" s="166"/>
      <c r="C96" s="166"/>
      <c r="D96" s="94">
        <f>D6</f>
        <v>15438088</v>
      </c>
      <c r="E96" s="94">
        <f>E6</f>
        <v>13246423.869999999</v>
      </c>
      <c r="F96" s="94">
        <f>F6</f>
        <v>2191664.1300000008</v>
      </c>
      <c r="G96" s="94">
        <f>G6</f>
        <v>6937956.7899999991</v>
      </c>
      <c r="H96" s="94">
        <f>H6</f>
        <v>8500131.2100000009</v>
      </c>
      <c r="I96" s="93">
        <f>I6</f>
        <v>0.44940518476122165</v>
      </c>
      <c r="J96" s="259"/>
      <c r="K96" s="259"/>
      <c r="L96" s="251"/>
      <c r="M96" s="251"/>
      <c r="N96" s="251"/>
      <c r="O96" s="251"/>
    </row>
  </sheetData>
  <mergeCells count="25">
    <mergeCell ref="O4:O5"/>
    <mergeCell ref="A2:O2"/>
    <mergeCell ref="J4:J5"/>
    <mergeCell ref="K4:K5"/>
    <mergeCell ref="L4:L5"/>
    <mergeCell ref="M4:M5"/>
    <mergeCell ref="N4:N5"/>
    <mergeCell ref="A96:C96"/>
    <mergeCell ref="I4:I5"/>
    <mergeCell ref="A6:C6"/>
    <mergeCell ref="A7:C7"/>
    <mergeCell ref="A12:C12"/>
    <mergeCell ref="A15:C15"/>
    <mergeCell ref="A18:C18"/>
    <mergeCell ref="A4:A5"/>
    <mergeCell ref="B4:B5"/>
    <mergeCell ref="C4:C5"/>
    <mergeCell ref="D4:D5"/>
    <mergeCell ref="E4:E5"/>
    <mergeCell ref="F4:F5"/>
    <mergeCell ref="G4:G5"/>
    <mergeCell ref="H4:H5"/>
    <mergeCell ref="A83:C83"/>
    <mergeCell ref="A88:C88"/>
    <mergeCell ref="A1:I1"/>
  </mergeCells>
  <pageMargins left="0.70866141732283472" right="0.70866141732283472" top="0.74803149606299213" bottom="0.74803149606299213" header="0.31496062992125984" footer="0.31496062992125984"/>
  <pageSetup paperSize="9" scale="6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23A4B-1C13-439F-9099-3E85D1B86EF2}">
  <sheetPr codeName="Hoja6">
    <pageSetUpPr fitToPage="1"/>
  </sheetPr>
  <dimension ref="A1:O21"/>
  <sheetViews>
    <sheetView topLeftCell="F1" zoomScaleNormal="100" workbookViewId="0">
      <selection activeCell="O4" sqref="O4:O21"/>
    </sheetView>
  </sheetViews>
  <sheetFormatPr baseColWidth="10" defaultRowHeight="12.75" x14ac:dyDescent="0.2"/>
  <cols>
    <col min="1" max="1" width="4" bestFit="1" customWidth="1"/>
    <col min="2" max="2" width="6.28515625" bestFit="1" customWidth="1"/>
    <col min="3" max="3" width="33" customWidth="1"/>
    <col min="4" max="4" width="12.7109375" customWidth="1"/>
    <col min="5" max="5" width="15.85546875" customWidth="1"/>
    <col min="6" max="6" width="10.42578125" customWidth="1"/>
    <col min="7" max="7" width="14.5703125" customWidth="1"/>
    <col min="8" max="8" width="11.5703125" customWidth="1"/>
    <col min="9" max="9" width="8.7109375" customWidth="1"/>
    <col min="10" max="10" width="32.7109375" customWidth="1"/>
    <col min="11" max="11" width="29.7109375" customWidth="1"/>
    <col min="12" max="15" width="20.7109375" customWidth="1"/>
  </cols>
  <sheetData>
    <row r="1" spans="1:15" ht="18" x14ac:dyDescent="0.2">
      <c r="A1" s="173" t="s">
        <v>688</v>
      </c>
      <c r="B1" s="173"/>
      <c r="C1" s="173"/>
      <c r="D1" s="173"/>
      <c r="E1" s="173"/>
      <c r="F1" s="173"/>
      <c r="G1" s="173"/>
      <c r="H1" s="173"/>
      <c r="I1" s="173"/>
    </row>
    <row r="2" spans="1:15" ht="58.5" customHeight="1" x14ac:dyDescent="0.25">
      <c r="A2" s="142" t="str">
        <f>"COMPORTAMIENTO DE EJECUCIÓN DE PROYECTOS DE INVERSIÓN PÚBLICA 2026 - U.E. 001 SEDE CENTRAL AL "&amp;TEXT(SIAF!B3,"dd/mm/yyyy")</f>
        <v>COMPORTAMIENTO DE EJECUCIÓN DE PROYECTOS DE INVERSIÓN PÚBLICA 2026 - U.E. 001 SEDE CENTRAL AL 06/10/2026</v>
      </c>
      <c r="B2" s="142"/>
      <c r="C2" s="142"/>
      <c r="D2" s="142"/>
      <c r="E2" s="142"/>
      <c r="F2" s="142"/>
      <c r="G2" s="142"/>
      <c r="H2" s="142"/>
      <c r="I2" s="142"/>
      <c r="J2" s="142"/>
      <c r="K2" s="142"/>
      <c r="L2" s="142"/>
      <c r="M2" s="142"/>
      <c r="N2" s="142"/>
      <c r="O2" s="142"/>
    </row>
    <row r="3" spans="1:15" ht="18" x14ac:dyDescent="0.25">
      <c r="A3" s="1"/>
      <c r="B3" s="3"/>
      <c r="C3" s="11"/>
      <c r="D3" s="2"/>
      <c r="E3" s="2"/>
      <c r="F3" s="2"/>
      <c r="I3" s="19"/>
    </row>
    <row r="4" spans="1:15" ht="21" customHeight="1" x14ac:dyDescent="0.2">
      <c r="A4" s="176" t="s">
        <v>3</v>
      </c>
      <c r="B4" s="171" t="s">
        <v>298</v>
      </c>
      <c r="C4" s="171" t="s">
        <v>0</v>
      </c>
      <c r="D4" s="171" t="s">
        <v>639</v>
      </c>
      <c r="E4" s="171" t="s">
        <v>694</v>
      </c>
      <c r="F4" s="171" t="s">
        <v>644</v>
      </c>
      <c r="G4" s="171" t="s">
        <v>641</v>
      </c>
      <c r="H4" s="171" t="s">
        <v>645</v>
      </c>
      <c r="I4" s="178" t="s">
        <v>133</v>
      </c>
      <c r="J4" s="217" t="s">
        <v>2293</v>
      </c>
      <c r="K4" s="217" t="s">
        <v>2294</v>
      </c>
      <c r="L4" s="217" t="s">
        <v>2295</v>
      </c>
      <c r="M4" s="217" t="s">
        <v>2296</v>
      </c>
      <c r="N4" s="217" t="s">
        <v>2297</v>
      </c>
      <c r="O4" s="217" t="s">
        <v>2298</v>
      </c>
    </row>
    <row r="5" spans="1:15" ht="21" customHeight="1" x14ac:dyDescent="0.2">
      <c r="A5" s="177"/>
      <c r="B5" s="172"/>
      <c r="C5" s="172"/>
      <c r="D5" s="172"/>
      <c r="E5" s="172"/>
      <c r="F5" s="172"/>
      <c r="G5" s="172"/>
      <c r="H5" s="172"/>
      <c r="I5" s="179"/>
      <c r="J5" s="218"/>
      <c r="K5" s="218"/>
      <c r="L5" s="218"/>
      <c r="M5" s="218"/>
      <c r="N5" s="218"/>
      <c r="O5" s="218"/>
    </row>
    <row r="6" spans="1:15" ht="15" x14ac:dyDescent="0.2">
      <c r="A6" s="182" t="s">
        <v>682</v>
      </c>
      <c r="B6" s="183"/>
      <c r="C6" s="184"/>
      <c r="D6" s="48">
        <f>'Gerencias y Oficinas'!D192</f>
        <v>18155027</v>
      </c>
      <c r="E6" s="48">
        <f>'Gerencias y Oficinas'!E192</f>
        <v>15578094.309999999</v>
      </c>
      <c r="F6" s="48">
        <f>'Gerencias y Oficinas'!F192</f>
        <v>2576932.6900000013</v>
      </c>
      <c r="G6" s="48">
        <f>'Gerencias y Oficinas'!G192</f>
        <v>8757642.459999999</v>
      </c>
      <c r="H6" s="48">
        <f>'Gerencias y Oficinas'!H192</f>
        <v>9397384.540000001</v>
      </c>
      <c r="I6" s="49">
        <f>'Gerencias y Oficinas'!I192</f>
        <v>0.48238113113244058</v>
      </c>
      <c r="J6" s="255"/>
      <c r="K6" s="255"/>
      <c r="L6" s="229"/>
      <c r="M6" s="229"/>
      <c r="N6" s="229"/>
      <c r="O6" s="229"/>
    </row>
    <row r="7" spans="1:15" ht="16.5" x14ac:dyDescent="0.2">
      <c r="A7" s="150" t="s">
        <v>608</v>
      </c>
      <c r="B7" s="150"/>
      <c r="C7" s="150"/>
      <c r="D7" s="50">
        <f>D8+D9+D10</f>
        <v>16120710</v>
      </c>
      <c r="E7" s="50">
        <f>E8+E9+E10</f>
        <v>15413788.109999999</v>
      </c>
      <c r="F7" s="50">
        <f>D7-E7</f>
        <v>706921.8900000006</v>
      </c>
      <c r="G7" s="50">
        <f>G8+G9+G10</f>
        <v>8626797.8200000003</v>
      </c>
      <c r="H7" s="50">
        <f>D7-G7</f>
        <v>7493912.1799999997</v>
      </c>
      <c r="I7" s="51">
        <f>IF(D7=0,0,G7/D7)</f>
        <v>0.53513758513117604</v>
      </c>
      <c r="J7" s="256"/>
      <c r="K7" s="256"/>
      <c r="L7" s="230"/>
      <c r="M7" s="230"/>
      <c r="N7" s="230"/>
      <c r="O7" s="230"/>
    </row>
    <row r="8" spans="1:15" s="11" customFormat="1" ht="89.25" x14ac:dyDescent="0.2">
      <c r="A8" s="52">
        <f>SUBTOTAL(103,$B$8:B8)</f>
        <v>1</v>
      </c>
      <c r="B8" s="69">
        <v>4</v>
      </c>
      <c r="C8" s="82" t="s">
        <v>135</v>
      </c>
      <c r="D8" s="60">
        <f>IF('Gerencias y Oficinas'!D194="","",'Gerencias y Oficinas'!D194)</f>
        <v>10918999</v>
      </c>
      <c r="E8" s="60">
        <f>IF('Gerencias y Oficinas'!E194="","",'Gerencias y Oficinas'!E194)</f>
        <v>10451686.220000001</v>
      </c>
      <c r="F8" s="60">
        <f>IF('Gerencias y Oficinas'!F194="","",'Gerencias y Oficinas'!F194)</f>
        <v>467312.77999999933</v>
      </c>
      <c r="G8" s="60">
        <f>IF('Gerencias y Oficinas'!G194="","",'Gerencias y Oficinas'!G194)</f>
        <v>5853517.8399999999</v>
      </c>
      <c r="H8" s="60">
        <f>IF('Gerencias y Oficinas'!H194="","",'Gerencias y Oficinas'!H194)</f>
        <v>5065481.16</v>
      </c>
      <c r="I8" s="66">
        <f>IF('Gerencias y Oficinas'!I194="","",'Gerencias y Oficinas'!I194)</f>
        <v>0.53608557341199503</v>
      </c>
      <c r="J8" s="257" t="str">
        <f>IF('Gerencias y Oficinas'!J194="","",'Gerencias y Oficinas'!J194)</f>
        <v/>
      </c>
      <c r="K8" s="257" t="str">
        <f>IF('Gerencias y Oficinas'!K194="","",'Gerencias y Oficinas'!K194)</f>
        <v>Por completar</v>
      </c>
      <c r="L8" s="236">
        <f>IF('Gerencias y Oficinas'!L194="","",'Gerencias y Oficinas'!L194)</f>
        <v>10517000</v>
      </c>
      <c r="M8" s="236">
        <f>IF('Gerencias y Oficinas'!M194="","",'Gerencias y Oficinas'!M194)</f>
        <v>7783178</v>
      </c>
      <c r="N8" s="236">
        <f>IF('Gerencias y Oficinas'!N194="","",'Gerencias y Oficinas'!N194)</f>
        <v>1598000</v>
      </c>
      <c r="O8" s="236">
        <f>IF('Gerencias y Oficinas'!O194="","",'Gerencias y Oficinas'!O194)</f>
        <v>2000000</v>
      </c>
    </row>
    <row r="9" spans="1:15" s="11" customFormat="1" ht="102" x14ac:dyDescent="0.2">
      <c r="A9" s="52">
        <f>SUBTOTAL(103,$B$8:B9)</f>
        <v>2</v>
      </c>
      <c r="B9" s="69">
        <v>6</v>
      </c>
      <c r="C9" s="82" t="s">
        <v>364</v>
      </c>
      <c r="D9" s="60">
        <f>IF('Gerencias y Oficinas'!D195="","",'Gerencias y Oficinas'!D195)</f>
        <v>19658</v>
      </c>
      <c r="E9" s="60">
        <f>IF('Gerencias y Oficinas'!E195="","",'Gerencias y Oficinas'!E195)</f>
        <v>3612</v>
      </c>
      <c r="F9" s="60">
        <f>IF('Gerencias y Oficinas'!F195="","",'Gerencias y Oficinas'!F195)</f>
        <v>16046</v>
      </c>
      <c r="G9" s="60">
        <f>IF('Gerencias y Oficinas'!G195="","",'Gerencias y Oficinas'!G195)</f>
        <v>0</v>
      </c>
      <c r="H9" s="60">
        <f>IF('Gerencias y Oficinas'!H195="","",'Gerencias y Oficinas'!H195)</f>
        <v>19658</v>
      </c>
      <c r="I9" s="66">
        <f>IF('Gerencias y Oficinas'!I195="","",'Gerencias y Oficinas'!I195)</f>
        <v>0</v>
      </c>
      <c r="J9" s="257" t="str">
        <f>IF('Gerencias y Oficinas'!J195="","",'Gerencias y Oficinas'!J195)</f>
        <v/>
      </c>
      <c r="K9" s="257" t="str">
        <f>IF('Gerencias y Oficinas'!K195="","",'Gerencias y Oficinas'!K195)</f>
        <v>Por completar</v>
      </c>
      <c r="L9" s="236">
        <f>IF('Gerencias y Oficinas'!L195="","",'Gerencias y Oficinas'!L195)</f>
        <v>200000</v>
      </c>
      <c r="M9" s="236">
        <f>IF('Gerencias y Oficinas'!M195="","",'Gerencias y Oficinas'!M195)</f>
        <v>2915452</v>
      </c>
      <c r="N9" s="236">
        <f>IF('Gerencias y Oficinas'!N195="","",'Gerencias y Oficinas'!N195)</f>
        <v>2124684</v>
      </c>
      <c r="O9" s="236">
        <f>IF('Gerencias y Oficinas'!O195="","",'Gerencias y Oficinas'!O195)</f>
        <v>2000000</v>
      </c>
    </row>
    <row r="10" spans="1:15" s="11" customFormat="1" ht="89.25" x14ac:dyDescent="0.2">
      <c r="A10" s="52">
        <f>SUBTOTAL(103,$B$8:B10)</f>
        <v>3</v>
      </c>
      <c r="B10" s="69">
        <v>303</v>
      </c>
      <c r="C10" s="82" t="s">
        <v>136</v>
      </c>
      <c r="D10" s="60">
        <f>IF('Gerencias y Oficinas'!D196="","",'Gerencias y Oficinas'!D196)</f>
        <v>5182053</v>
      </c>
      <c r="E10" s="60">
        <f>IF('Gerencias y Oficinas'!E196="","",'Gerencias y Oficinas'!E196)</f>
        <v>4958489.8899999997</v>
      </c>
      <c r="F10" s="60">
        <f>IF('Gerencias y Oficinas'!F196="","",'Gerencias y Oficinas'!F196)</f>
        <v>223563.11000000034</v>
      </c>
      <c r="G10" s="60">
        <f>IF('Gerencias y Oficinas'!G196="","",'Gerencias y Oficinas'!G196)</f>
        <v>2773279.98</v>
      </c>
      <c r="H10" s="60">
        <f>IF('Gerencias y Oficinas'!H196="","",'Gerencias y Oficinas'!H196)</f>
        <v>2408773.02</v>
      </c>
      <c r="I10" s="66">
        <f>IF('Gerencias y Oficinas'!I196="","",'Gerencias y Oficinas'!I196)</f>
        <v>0.5351701304482992</v>
      </c>
      <c r="J10" s="257" t="str">
        <f>IF('Gerencias y Oficinas'!J196="","",'Gerencias y Oficinas'!J196)</f>
        <v/>
      </c>
      <c r="K10" s="257" t="str">
        <f>IF('Gerencias y Oficinas'!K196="","",'Gerencias y Oficinas'!K196)</f>
        <v>Por completar</v>
      </c>
      <c r="L10" s="236">
        <f>IF('Gerencias y Oficinas'!L196="","",'Gerencias y Oficinas'!L196)</f>
        <v>409040</v>
      </c>
      <c r="M10" s="236">
        <f>IF('Gerencias y Oficinas'!M196="","",'Gerencias y Oficinas'!M196)</f>
        <v>29865</v>
      </c>
      <c r="N10" s="236">
        <f>IF('Gerencias y Oficinas'!N196="","",'Gerencias y Oficinas'!N196)</f>
        <v>0</v>
      </c>
      <c r="O10" s="236">
        <f>IF('Gerencias y Oficinas'!O196="","",'Gerencias y Oficinas'!O196)</f>
        <v>0</v>
      </c>
    </row>
    <row r="11" spans="1:15" ht="16.5" x14ac:dyDescent="0.2">
      <c r="A11" s="150" t="s">
        <v>613</v>
      </c>
      <c r="B11" s="150"/>
      <c r="C11" s="150"/>
      <c r="D11" s="50">
        <f>D12</f>
        <v>1800000</v>
      </c>
      <c r="E11" s="50">
        <f>E12</f>
        <v>26893</v>
      </c>
      <c r="F11" s="50">
        <f>D11-E11</f>
        <v>1773107</v>
      </c>
      <c r="G11" s="50">
        <f>G12</f>
        <v>26892.69</v>
      </c>
      <c r="H11" s="50">
        <f>D11-G11</f>
        <v>1773107.31</v>
      </c>
      <c r="I11" s="51">
        <f>IF(D11=0,0,G11/D11)</f>
        <v>1.4940383333333333E-2</v>
      </c>
      <c r="J11" s="256"/>
      <c r="K11" s="256"/>
      <c r="L11" s="230"/>
      <c r="M11" s="230"/>
      <c r="N11" s="230"/>
      <c r="O11" s="230"/>
    </row>
    <row r="12" spans="1:15" s="11" customFormat="1" ht="51" x14ac:dyDescent="0.2">
      <c r="A12" s="52">
        <f>SUBTOTAL(103,$B$8:B12)</f>
        <v>4</v>
      </c>
      <c r="B12" s="69">
        <v>5</v>
      </c>
      <c r="C12" s="82" t="s">
        <v>491</v>
      </c>
      <c r="D12" s="60">
        <f>IF('Gerencias y Oficinas'!D198="","",'Gerencias y Oficinas'!D198)</f>
        <v>1800000</v>
      </c>
      <c r="E12" s="60">
        <f>IF('Gerencias y Oficinas'!E198="","",'Gerencias y Oficinas'!E198)</f>
        <v>26893</v>
      </c>
      <c r="F12" s="60">
        <f>IF('Gerencias y Oficinas'!F198="","",'Gerencias y Oficinas'!F198)</f>
        <v>1773107</v>
      </c>
      <c r="G12" s="60">
        <f>IF('Gerencias y Oficinas'!G198="","",'Gerencias y Oficinas'!G198)</f>
        <v>26892.69</v>
      </c>
      <c r="H12" s="60">
        <f>IF('Gerencias y Oficinas'!H198="","",'Gerencias y Oficinas'!H198)</f>
        <v>1773107.31</v>
      </c>
      <c r="I12" s="66">
        <f>IF('Gerencias y Oficinas'!I198="","",'Gerencias y Oficinas'!I198)</f>
        <v>1.4940383333333333E-2</v>
      </c>
      <c r="J12" s="257" t="str">
        <f>IF('Gerencias y Oficinas'!J198="","",'Gerencias y Oficinas'!J198)</f>
        <v/>
      </c>
      <c r="K12" s="257" t="str">
        <f>IF('Gerencias y Oficinas'!K198="","",'Gerencias y Oficinas'!K198)</f>
        <v>Por completar</v>
      </c>
      <c r="L12" s="236">
        <f>IF('Gerencias y Oficinas'!L198="","",'Gerencias y Oficinas'!L198)</f>
        <v>300000</v>
      </c>
      <c r="M12" s="236">
        <f>IF('Gerencias y Oficinas'!M198="","",'Gerencias y Oficinas'!M198)</f>
        <v>4508196</v>
      </c>
      <c r="N12" s="236">
        <f>IF('Gerencias y Oficinas'!N198="","",'Gerencias y Oficinas'!N198)</f>
        <v>5000000</v>
      </c>
      <c r="O12" s="236">
        <f>IF('Gerencias y Oficinas'!O198="","",'Gerencias y Oficinas'!O198)</f>
        <v>1000000</v>
      </c>
    </row>
    <row r="13" spans="1:15" ht="16.5" x14ac:dyDescent="0.2">
      <c r="A13" s="150" t="s">
        <v>614</v>
      </c>
      <c r="B13" s="150"/>
      <c r="C13" s="150"/>
      <c r="D13" s="50">
        <f>D14+D15+D16+D17+D18+D19+D20</f>
        <v>234317</v>
      </c>
      <c r="E13" s="50">
        <f>E14+E15+E16+E17+E18+E19+E20</f>
        <v>137413.20000000001</v>
      </c>
      <c r="F13" s="50">
        <f>D13-E13</f>
        <v>96903.799999999988</v>
      </c>
      <c r="G13" s="50">
        <f>G14+G15+G16+G17+G18+G19+G20</f>
        <v>103951.95000000001</v>
      </c>
      <c r="H13" s="50">
        <f>D13-G13</f>
        <v>130365.04999999999</v>
      </c>
      <c r="I13" s="51">
        <f>IF(D13=0,0,G13/D13)</f>
        <v>0.44363810564320988</v>
      </c>
      <c r="J13" s="256"/>
      <c r="K13" s="256"/>
      <c r="L13" s="230"/>
      <c r="M13" s="230"/>
      <c r="N13" s="230"/>
      <c r="O13" s="230"/>
    </row>
    <row r="14" spans="1:15" s="11" customFormat="1" ht="102" x14ac:dyDescent="0.2">
      <c r="A14" s="52">
        <f>SUBTOTAL(103,$B$8:B14)</f>
        <v>5</v>
      </c>
      <c r="B14" s="53">
        <v>7</v>
      </c>
      <c r="C14" s="81" t="s">
        <v>97</v>
      </c>
      <c r="D14" s="60">
        <f>IF('Gerencias y Oficinas'!D200="","",'Gerencias y Oficinas'!D200)</f>
        <v>32099</v>
      </c>
      <c r="E14" s="60">
        <f>IF('Gerencias y Oficinas'!E200="","",'Gerencias y Oficinas'!E200)</f>
        <v>0</v>
      </c>
      <c r="F14" s="60">
        <f>IF('Gerencias y Oficinas'!F200="","",'Gerencias y Oficinas'!F200)</f>
        <v>32099</v>
      </c>
      <c r="G14" s="60">
        <f>IF('Gerencias y Oficinas'!G200="","",'Gerencias y Oficinas'!G200)</f>
        <v>0</v>
      </c>
      <c r="H14" s="60">
        <f>IF('Gerencias y Oficinas'!H200="","",'Gerencias y Oficinas'!H200)</f>
        <v>32099</v>
      </c>
      <c r="I14" s="66">
        <f>IF('Gerencias y Oficinas'!I200="","",'Gerencias y Oficinas'!I200)</f>
        <v>0</v>
      </c>
      <c r="J14" s="257" t="str">
        <f>IF('Gerencias y Oficinas'!J200="","",'Gerencias y Oficinas'!J200)</f>
        <v/>
      </c>
      <c r="K14" s="257" t="str">
        <f>IF('Gerencias y Oficinas'!K200="","",'Gerencias y Oficinas'!K200)</f>
        <v>Por completar</v>
      </c>
      <c r="L14" s="236">
        <f>IF('Gerencias y Oficinas'!L200="","",'Gerencias y Oficinas'!L200)</f>
        <v>500000</v>
      </c>
      <c r="M14" s="236">
        <f>IF('Gerencias y Oficinas'!M200="","",'Gerencias y Oficinas'!M200)</f>
        <v>0</v>
      </c>
      <c r="N14" s="236">
        <f>IF('Gerencias y Oficinas'!N200="","",'Gerencias y Oficinas'!N200)</f>
        <v>0</v>
      </c>
      <c r="O14" s="236">
        <f>IF('Gerencias y Oficinas'!O200="","",'Gerencias y Oficinas'!O200)</f>
        <v>0</v>
      </c>
    </row>
    <row r="15" spans="1:15" s="11" customFormat="1" ht="89.25" x14ac:dyDescent="0.2">
      <c r="A15" s="52">
        <f>SUBTOTAL(103,$B$8:B15)</f>
        <v>6</v>
      </c>
      <c r="B15" s="69">
        <v>152</v>
      </c>
      <c r="C15" s="82" t="s">
        <v>160</v>
      </c>
      <c r="D15" s="60">
        <f>IF('Gerencias y Oficinas'!D201="","",'Gerencias y Oficinas'!D201)</f>
        <v>30000</v>
      </c>
      <c r="E15" s="60">
        <f>IF('Gerencias y Oficinas'!E201="","",'Gerencias y Oficinas'!E201)</f>
        <v>23434</v>
      </c>
      <c r="F15" s="60">
        <f>IF('Gerencias y Oficinas'!F201="","",'Gerencias y Oficinas'!F201)</f>
        <v>6566</v>
      </c>
      <c r="G15" s="60">
        <f>IF('Gerencias y Oficinas'!G201="","",'Gerencias y Oficinas'!G201)</f>
        <v>13106.35</v>
      </c>
      <c r="H15" s="60">
        <f>IF('Gerencias y Oficinas'!H201="","",'Gerencias y Oficinas'!H201)</f>
        <v>16893.650000000001</v>
      </c>
      <c r="I15" s="66">
        <f>IF('Gerencias y Oficinas'!I201="","",'Gerencias y Oficinas'!I201)</f>
        <v>0.43687833333333337</v>
      </c>
      <c r="J15" s="257" t="str">
        <f>IF('Gerencias y Oficinas'!J201="","",'Gerencias y Oficinas'!J201)</f>
        <v/>
      </c>
      <c r="K15" s="257" t="str">
        <f>IF('Gerencias y Oficinas'!K201="","",'Gerencias y Oficinas'!K201)</f>
        <v>Por completar</v>
      </c>
      <c r="L15" s="236">
        <f>IF('Gerencias y Oficinas'!L201="","",'Gerencias y Oficinas'!L201)</f>
        <v>2080646</v>
      </c>
      <c r="M15" s="236">
        <f>IF('Gerencias y Oficinas'!M201="","",'Gerencias y Oficinas'!M201)</f>
        <v>70728</v>
      </c>
      <c r="N15" s="236">
        <f>IF('Gerencias y Oficinas'!N201="","",'Gerencias y Oficinas'!N201)</f>
        <v>300000</v>
      </c>
      <c r="O15" s="236">
        <f>IF('Gerencias y Oficinas'!O201="","",'Gerencias y Oficinas'!O201)</f>
        <v>300000</v>
      </c>
    </row>
    <row r="16" spans="1:15" s="11" customFormat="1" ht="51" x14ac:dyDescent="0.2">
      <c r="A16" s="52">
        <f>SUBTOTAL(103,$B$8:B16)</f>
        <v>7</v>
      </c>
      <c r="B16" s="69">
        <v>154</v>
      </c>
      <c r="C16" s="82" t="s">
        <v>323</v>
      </c>
      <c r="D16" s="60">
        <f>IF('Gerencias y Oficinas'!D202="","",'Gerencias y Oficinas'!D202)</f>
        <v>90586</v>
      </c>
      <c r="E16" s="60">
        <f>IF('Gerencias y Oficinas'!E202="","",'Gerencias y Oficinas'!E202)</f>
        <v>90435.199999999997</v>
      </c>
      <c r="F16" s="60">
        <f>IF('Gerencias y Oficinas'!F202="","",'Gerencias y Oficinas'!F202)</f>
        <v>150.80000000000291</v>
      </c>
      <c r="G16" s="60">
        <f>IF('Gerencias y Oficinas'!G202="","",'Gerencias y Oficinas'!G202)</f>
        <v>78301.600000000006</v>
      </c>
      <c r="H16" s="60">
        <f>IF('Gerencias y Oficinas'!H202="","",'Gerencias y Oficinas'!H202)</f>
        <v>12284.399999999994</v>
      </c>
      <c r="I16" s="66">
        <f>IF('Gerencias y Oficinas'!I202="","",'Gerencias y Oficinas'!I202)</f>
        <v>0.86438964078334402</v>
      </c>
      <c r="J16" s="257" t="str">
        <f>IF('Gerencias y Oficinas'!J202="","",'Gerencias y Oficinas'!J202)</f>
        <v/>
      </c>
      <c r="K16" s="257" t="str">
        <f>IF('Gerencias y Oficinas'!K202="","",'Gerencias y Oficinas'!K202)</f>
        <v>Por completar</v>
      </c>
      <c r="L16" s="236">
        <f>IF('Gerencias y Oficinas'!L202="","",'Gerencias y Oficinas'!L202)</f>
        <v>100000</v>
      </c>
      <c r="M16" s="236">
        <f>IF('Gerencias y Oficinas'!M202="","",'Gerencias y Oficinas'!M202)</f>
        <v>0</v>
      </c>
      <c r="N16" s="236">
        <f>IF('Gerencias y Oficinas'!N202="","",'Gerencias y Oficinas'!N202)</f>
        <v>2000000</v>
      </c>
      <c r="O16" s="236">
        <f>IF('Gerencias y Oficinas'!O202="","",'Gerencias y Oficinas'!O202)</f>
        <v>2000000</v>
      </c>
    </row>
    <row r="17" spans="1:15" s="11" customFormat="1" ht="42" customHeight="1" x14ac:dyDescent="0.2">
      <c r="A17" s="52">
        <f>SUBTOTAL(103,$B$8:B17)</f>
        <v>8</v>
      </c>
      <c r="B17" s="69">
        <v>250</v>
      </c>
      <c r="C17" s="82" t="s">
        <v>200</v>
      </c>
      <c r="D17" s="60">
        <f>IF('Gerencias y Oficinas'!D203="","",'Gerencias y Oficinas'!D203)</f>
        <v>0</v>
      </c>
      <c r="E17" s="60">
        <f>IF('Gerencias y Oficinas'!E203="","",'Gerencias y Oficinas'!E203)</f>
        <v>0</v>
      </c>
      <c r="F17" s="60">
        <f>IF('Gerencias y Oficinas'!F203="","",'Gerencias y Oficinas'!F203)</f>
        <v>0</v>
      </c>
      <c r="G17" s="60">
        <f>IF('Gerencias y Oficinas'!G203="","",'Gerencias y Oficinas'!G203)</f>
        <v>0</v>
      </c>
      <c r="H17" s="60">
        <f>IF('Gerencias y Oficinas'!H203="","",'Gerencias y Oficinas'!H203)</f>
        <v>0</v>
      </c>
      <c r="I17" s="66">
        <f>IF('Gerencias y Oficinas'!I203="","",'Gerencias y Oficinas'!I203)</f>
        <v>0</v>
      </c>
      <c r="J17" s="257" t="str">
        <f>IF('Gerencias y Oficinas'!J203="","",'Gerencias y Oficinas'!J203)</f>
        <v/>
      </c>
      <c r="K17" s="257" t="str">
        <f>IF('Gerencias y Oficinas'!K203="","",'Gerencias y Oficinas'!K203)</f>
        <v>Por completar</v>
      </c>
      <c r="L17" s="236">
        <f>IF('Gerencias y Oficinas'!L203="","",'Gerencias y Oficinas'!L203)</f>
        <v>800000</v>
      </c>
      <c r="M17" s="236">
        <f>IF('Gerencias y Oficinas'!M203="","",'Gerencias y Oficinas'!M203)</f>
        <v>0</v>
      </c>
      <c r="N17" s="236">
        <f>IF('Gerencias y Oficinas'!N203="","",'Gerencias y Oficinas'!N203)</f>
        <v>0</v>
      </c>
      <c r="O17" s="236">
        <f>IF('Gerencias y Oficinas'!O203="","",'Gerencias y Oficinas'!O203)</f>
        <v>0</v>
      </c>
    </row>
    <row r="18" spans="1:15" s="11" customFormat="1" ht="42" customHeight="1" x14ac:dyDescent="0.2">
      <c r="A18" s="52">
        <f>SUBTOTAL(103,$B$8:B18)</f>
        <v>9</v>
      </c>
      <c r="B18" s="69">
        <v>253</v>
      </c>
      <c r="C18" s="82" t="s">
        <v>201</v>
      </c>
      <c r="D18" s="60">
        <f>IF('Gerencias y Oficinas'!D204="","",'Gerencias y Oficinas'!D204)</f>
        <v>0</v>
      </c>
      <c r="E18" s="60">
        <f>IF('Gerencias y Oficinas'!E204="","",'Gerencias y Oficinas'!E204)</f>
        <v>0</v>
      </c>
      <c r="F18" s="60">
        <f>IF('Gerencias y Oficinas'!F204="","",'Gerencias y Oficinas'!F204)</f>
        <v>0</v>
      </c>
      <c r="G18" s="60">
        <f>IF('Gerencias y Oficinas'!G204="","",'Gerencias y Oficinas'!G204)</f>
        <v>0</v>
      </c>
      <c r="H18" s="60">
        <f>IF('Gerencias y Oficinas'!H204="","",'Gerencias y Oficinas'!H204)</f>
        <v>0</v>
      </c>
      <c r="I18" s="66">
        <f>IF('Gerencias y Oficinas'!I204="","",'Gerencias y Oficinas'!I204)</f>
        <v>0</v>
      </c>
      <c r="J18" s="257" t="str">
        <f>IF('Gerencias y Oficinas'!J204="","",'Gerencias y Oficinas'!J204)</f>
        <v/>
      </c>
      <c r="K18" s="257" t="str">
        <f>IF('Gerencias y Oficinas'!K204="","",'Gerencias y Oficinas'!K204)</f>
        <v>Por completar</v>
      </c>
      <c r="L18" s="236">
        <f>IF('Gerencias y Oficinas'!L204="","",'Gerencias y Oficinas'!L204)</f>
        <v>200000</v>
      </c>
      <c r="M18" s="236">
        <f>IF('Gerencias y Oficinas'!M204="","",'Gerencias y Oficinas'!M204)</f>
        <v>0</v>
      </c>
      <c r="N18" s="236">
        <f>IF('Gerencias y Oficinas'!N204="","",'Gerencias y Oficinas'!N204)</f>
        <v>0</v>
      </c>
      <c r="O18" s="236">
        <f>IF('Gerencias y Oficinas'!O204="","",'Gerencias y Oficinas'!O204)</f>
        <v>0</v>
      </c>
    </row>
    <row r="19" spans="1:15" s="11" customFormat="1" ht="42" customHeight="1" x14ac:dyDescent="0.2">
      <c r="A19" s="52">
        <f>SUBTOTAL(103,$B$8:B19)</f>
        <v>10</v>
      </c>
      <c r="B19" s="69">
        <v>465</v>
      </c>
      <c r="C19" s="82" t="s">
        <v>161</v>
      </c>
      <c r="D19" s="60">
        <f>IF('Gerencias y Oficinas'!D205="","",'Gerencias y Oficinas'!D205)</f>
        <v>70632</v>
      </c>
      <c r="E19" s="60">
        <f>IF('Gerencias y Oficinas'!E205="","",'Gerencias y Oficinas'!E205)</f>
        <v>12544</v>
      </c>
      <c r="F19" s="60">
        <f>IF('Gerencias y Oficinas'!F205="","",'Gerencias y Oficinas'!F205)</f>
        <v>58088</v>
      </c>
      <c r="G19" s="60">
        <f>IF('Gerencias y Oficinas'!G205="","",'Gerencias y Oficinas'!G205)</f>
        <v>12544</v>
      </c>
      <c r="H19" s="60">
        <f>IF('Gerencias y Oficinas'!H205="","",'Gerencias y Oficinas'!H205)</f>
        <v>58088</v>
      </c>
      <c r="I19" s="66">
        <f>IF('Gerencias y Oficinas'!I205="","",'Gerencias y Oficinas'!I205)</f>
        <v>0.17759655680144976</v>
      </c>
      <c r="J19" s="257" t="str">
        <f>IF('Gerencias y Oficinas'!J205="","",'Gerencias y Oficinas'!J205)</f>
        <v/>
      </c>
      <c r="K19" s="257" t="str">
        <f>IF('Gerencias y Oficinas'!K205="","",'Gerencias y Oficinas'!K205)</f>
        <v>Por completar</v>
      </c>
      <c r="L19" s="236">
        <f>IF('Gerencias y Oficinas'!L205="","",'Gerencias y Oficinas'!L205)</f>
        <v>70632</v>
      </c>
      <c r="M19" s="236">
        <f>IF('Gerencias y Oficinas'!M205="","",'Gerencias y Oficinas'!M205)</f>
        <v>0</v>
      </c>
      <c r="N19" s="236">
        <f>IF('Gerencias y Oficinas'!N205="","",'Gerencias y Oficinas'!N205)</f>
        <v>0</v>
      </c>
      <c r="O19" s="236">
        <f>IF('Gerencias y Oficinas'!O205="","",'Gerencias y Oficinas'!O205)</f>
        <v>0</v>
      </c>
    </row>
    <row r="20" spans="1:15" s="11" customFormat="1" ht="51" x14ac:dyDescent="0.2">
      <c r="A20" s="52">
        <f>SUBTOTAL(103,$B$8:B20)</f>
        <v>11</v>
      </c>
      <c r="B20" s="69">
        <v>471</v>
      </c>
      <c r="C20" s="82" t="s">
        <v>634</v>
      </c>
      <c r="D20" s="60">
        <f>IF('Gerencias y Oficinas'!D206="","",'Gerencias y Oficinas'!D206)</f>
        <v>11000</v>
      </c>
      <c r="E20" s="60">
        <f>IF('Gerencias y Oficinas'!E206="","",'Gerencias y Oficinas'!E206)</f>
        <v>11000</v>
      </c>
      <c r="F20" s="60">
        <f>IF('Gerencias y Oficinas'!F206="","",'Gerencias y Oficinas'!F206)</f>
        <v>0</v>
      </c>
      <c r="G20" s="60">
        <f>IF('Gerencias y Oficinas'!G206="","",'Gerencias y Oficinas'!G206)</f>
        <v>0</v>
      </c>
      <c r="H20" s="60">
        <f>IF('Gerencias y Oficinas'!H206="","",'Gerencias y Oficinas'!H206)</f>
        <v>11000</v>
      </c>
      <c r="I20" s="66">
        <f>IF('Gerencias y Oficinas'!I206="","",'Gerencias y Oficinas'!I206)</f>
        <v>0</v>
      </c>
      <c r="J20" s="257" t="str">
        <f>IF('Gerencias y Oficinas'!J206="","",'Gerencias y Oficinas'!J206)</f>
        <v/>
      </c>
      <c r="K20" s="257" t="str">
        <f>IF('Gerencias y Oficinas'!K206="","",'Gerencias y Oficinas'!K206)</f>
        <v>Por completar</v>
      </c>
      <c r="L20" s="236">
        <f>IF('Gerencias y Oficinas'!L206="","",'Gerencias y Oficinas'!L206)</f>
        <v>11000</v>
      </c>
      <c r="M20" s="236">
        <f>IF('Gerencias y Oficinas'!M206="","",'Gerencias y Oficinas'!M206)</f>
        <v>164792</v>
      </c>
      <c r="N20" s="236">
        <f>IF('Gerencias y Oficinas'!N206="","",'Gerencias y Oficinas'!N206)</f>
        <v>9322563</v>
      </c>
      <c r="O20" s="236">
        <f>IF('Gerencias y Oficinas'!O206="","",'Gerencias y Oficinas'!O206)</f>
        <v>9322563</v>
      </c>
    </row>
    <row r="21" spans="1:15" ht="16.5" x14ac:dyDescent="0.2">
      <c r="A21" s="180" t="s">
        <v>681</v>
      </c>
      <c r="B21" s="181"/>
      <c r="C21" s="181"/>
      <c r="D21" s="90">
        <f>D6</f>
        <v>18155027</v>
      </c>
      <c r="E21" s="90">
        <f>E6</f>
        <v>15578094.309999999</v>
      </c>
      <c r="F21" s="90">
        <f>F6</f>
        <v>2576932.6900000013</v>
      </c>
      <c r="G21" s="90">
        <f>G6</f>
        <v>8757642.459999999</v>
      </c>
      <c r="H21" s="90">
        <f>H6</f>
        <v>9397384.540000001</v>
      </c>
      <c r="I21" s="89">
        <f>I6</f>
        <v>0.48238113113244058</v>
      </c>
      <c r="J21" s="260"/>
      <c r="K21" s="260"/>
      <c r="L21" s="252"/>
      <c r="M21" s="252"/>
      <c r="N21" s="252"/>
      <c r="O21" s="252"/>
    </row>
  </sheetData>
  <mergeCells count="22">
    <mergeCell ref="O4:O5"/>
    <mergeCell ref="A2:O2"/>
    <mergeCell ref="J4:J5"/>
    <mergeCell ref="K4:K5"/>
    <mergeCell ref="L4:L5"/>
    <mergeCell ref="M4:M5"/>
    <mergeCell ref="N4:N5"/>
    <mergeCell ref="A21:C21"/>
    <mergeCell ref="A6:C6"/>
    <mergeCell ref="A7:C7"/>
    <mergeCell ref="A11:C11"/>
    <mergeCell ref="A13:C13"/>
    <mergeCell ref="A1:I1"/>
    <mergeCell ref="A4:A5"/>
    <mergeCell ref="B4:B5"/>
    <mergeCell ref="C4:C5"/>
    <mergeCell ref="D4:D5"/>
    <mergeCell ref="E4:E5"/>
    <mergeCell ref="F4:F5"/>
    <mergeCell ref="G4:G5"/>
    <mergeCell ref="H4:H5"/>
    <mergeCell ref="I4:I5"/>
  </mergeCells>
  <pageMargins left="0.70866141732283472" right="0.70866141732283472" top="0.74803149606299213" bottom="0.74803149606299213" header="0.31496062992125984" footer="0.31496062992125984"/>
  <pageSetup paperSize="9" scale="7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84C6-9FA0-408D-9903-671EB4E6A56E}">
  <sheetPr codeName="Hoja7">
    <pageSetUpPr fitToPage="1"/>
  </sheetPr>
  <dimension ref="A1:O11"/>
  <sheetViews>
    <sheetView topLeftCell="G1" zoomScaleNormal="100" workbookViewId="0">
      <selection activeCell="O4" sqref="O4:O11"/>
    </sheetView>
  </sheetViews>
  <sheetFormatPr baseColWidth="10" defaultRowHeight="12.75" x14ac:dyDescent="0.2"/>
  <cols>
    <col min="1" max="1" width="5.140625" bestFit="1" customWidth="1"/>
    <col min="2" max="2" width="6.28515625" bestFit="1" customWidth="1"/>
    <col min="3" max="3" width="24.85546875" customWidth="1"/>
    <col min="4" max="4" width="12.7109375" customWidth="1"/>
    <col min="5" max="5" width="15.5703125" customWidth="1"/>
    <col min="6" max="6" width="13.28515625" customWidth="1"/>
    <col min="7" max="7" width="14" customWidth="1"/>
    <col min="8" max="8" width="13.140625" customWidth="1"/>
    <col min="9" max="9" width="8.7109375" customWidth="1"/>
    <col min="10" max="10" width="32.7109375" customWidth="1"/>
    <col min="11" max="11" width="29.7109375" customWidth="1"/>
    <col min="12" max="15" width="20.7109375" customWidth="1"/>
  </cols>
  <sheetData>
    <row r="1" spans="1:15" ht="18" x14ac:dyDescent="0.2">
      <c r="A1" s="173" t="s">
        <v>689</v>
      </c>
      <c r="B1" s="173"/>
      <c r="C1" s="173"/>
      <c r="D1" s="173"/>
      <c r="E1" s="173"/>
      <c r="F1" s="173"/>
      <c r="G1" s="173"/>
      <c r="H1" s="173"/>
      <c r="I1" s="173"/>
    </row>
    <row r="2" spans="1:15" ht="59.25" customHeight="1" x14ac:dyDescent="0.25">
      <c r="A2" s="142" t="str">
        <f>"COMPORTAMIENTO DE EJECUCIÓN DE PROYECTOS DE INVERSIÓN PÚBLICA 2026 - U.E. 001 SEDE CENTRAL AL "&amp;TEXT(SIAF!B3,"dd/mm/yyyy")</f>
        <v>COMPORTAMIENTO DE EJECUCIÓN DE PROYECTOS DE INVERSIÓN PÚBLICA 2026 - U.E. 001 SEDE CENTRAL AL 06/10/2026</v>
      </c>
      <c r="B2" s="142"/>
      <c r="C2" s="142"/>
      <c r="D2" s="142"/>
      <c r="E2" s="142"/>
      <c r="F2" s="142"/>
      <c r="G2" s="142"/>
      <c r="H2" s="142"/>
      <c r="I2" s="142"/>
      <c r="J2" s="142"/>
      <c r="K2" s="142"/>
      <c r="L2" s="142"/>
      <c r="M2" s="142"/>
      <c r="N2" s="142"/>
      <c r="O2" s="142"/>
    </row>
    <row r="3" spans="1:15" ht="18" x14ac:dyDescent="0.25">
      <c r="A3" s="1"/>
      <c r="B3" s="3"/>
      <c r="C3" s="11"/>
      <c r="D3" s="2"/>
      <c r="E3" s="2"/>
      <c r="F3" s="2"/>
      <c r="I3" s="19"/>
    </row>
    <row r="4" spans="1:15" ht="16.5" customHeight="1" x14ac:dyDescent="0.2">
      <c r="A4" s="176" t="s">
        <v>3</v>
      </c>
      <c r="B4" s="171" t="s">
        <v>298</v>
      </c>
      <c r="C4" s="171" t="s">
        <v>0</v>
      </c>
      <c r="D4" s="187" t="s">
        <v>639</v>
      </c>
      <c r="E4" s="189" t="s">
        <v>694</v>
      </c>
      <c r="F4" s="171" t="s">
        <v>644</v>
      </c>
      <c r="G4" s="171" t="s">
        <v>641</v>
      </c>
      <c r="H4" s="189" t="s">
        <v>645</v>
      </c>
      <c r="I4" s="174" t="s">
        <v>133</v>
      </c>
      <c r="J4" s="217" t="s">
        <v>2293</v>
      </c>
      <c r="K4" s="217" t="s">
        <v>2294</v>
      </c>
      <c r="L4" s="217" t="s">
        <v>2295</v>
      </c>
      <c r="M4" s="217" t="s">
        <v>2296</v>
      </c>
      <c r="N4" s="217" t="s">
        <v>2297</v>
      </c>
      <c r="O4" s="217" t="s">
        <v>2298</v>
      </c>
    </row>
    <row r="5" spans="1:15" ht="16.5" customHeight="1" x14ac:dyDescent="0.2">
      <c r="A5" s="177"/>
      <c r="B5" s="172"/>
      <c r="C5" s="172"/>
      <c r="D5" s="188"/>
      <c r="E5" s="190"/>
      <c r="F5" s="172"/>
      <c r="G5" s="172"/>
      <c r="H5" s="190"/>
      <c r="I5" s="175"/>
      <c r="J5" s="218"/>
      <c r="K5" s="218"/>
      <c r="L5" s="218"/>
      <c r="M5" s="218"/>
      <c r="N5" s="218"/>
      <c r="O5" s="218"/>
    </row>
    <row r="6" spans="1:15" ht="16.5" x14ac:dyDescent="0.2">
      <c r="A6" s="185" t="s">
        <v>6</v>
      </c>
      <c r="B6" s="185"/>
      <c r="C6" s="185"/>
      <c r="D6" s="63">
        <f>'Gerencias y Oficinas'!D217</f>
        <v>13183082</v>
      </c>
      <c r="E6" s="63">
        <f>'Gerencias y Oficinas'!E217</f>
        <v>12706540.85</v>
      </c>
      <c r="F6" s="63">
        <f>'Gerencias y Oficinas'!F217</f>
        <v>476541.15000000037</v>
      </c>
      <c r="G6" s="63">
        <f>'Gerencias y Oficinas'!G217</f>
        <v>3714211.5199999996</v>
      </c>
      <c r="H6" s="63">
        <f>'Gerencias y Oficinas'!H217</f>
        <v>9468870.4800000004</v>
      </c>
      <c r="I6" s="64">
        <f>'Gerencias y Oficinas'!I217</f>
        <v>0.28174075834467233</v>
      </c>
      <c r="J6" s="261"/>
      <c r="K6" s="261"/>
      <c r="L6" s="234"/>
      <c r="M6" s="234"/>
      <c r="N6" s="234"/>
      <c r="O6" s="234"/>
    </row>
    <row r="7" spans="1:15" ht="14.25" x14ac:dyDescent="0.2">
      <c r="A7" s="186" t="s">
        <v>612</v>
      </c>
      <c r="B7" s="186"/>
      <c r="C7" s="186"/>
      <c r="D7" s="50">
        <f>D8+D9+D10</f>
        <v>13183082</v>
      </c>
      <c r="E7" s="50">
        <f>E8+E9+E10</f>
        <v>12706540.85</v>
      </c>
      <c r="F7" s="50">
        <f>D7-E7</f>
        <v>476541.15000000037</v>
      </c>
      <c r="G7" s="50">
        <f>G8+G9+G10</f>
        <v>3714211.5199999996</v>
      </c>
      <c r="H7" s="50">
        <f>D7-G7</f>
        <v>9468870.4800000004</v>
      </c>
      <c r="I7" s="51">
        <f>IF(D7=0,0,G7/D7)</f>
        <v>0.28174075834467233</v>
      </c>
      <c r="J7" s="256"/>
      <c r="K7" s="256"/>
      <c r="L7" s="230"/>
      <c r="M7" s="230"/>
      <c r="N7" s="230"/>
      <c r="O7" s="230"/>
    </row>
    <row r="8" spans="1:15" s="11" customFormat="1" ht="63.75" x14ac:dyDescent="0.2">
      <c r="A8" s="52">
        <f>SUBTOTAL(103,$B$8:B8)</f>
        <v>1</v>
      </c>
      <c r="B8" s="70" t="s">
        <v>503</v>
      </c>
      <c r="C8" s="82" t="s">
        <v>141</v>
      </c>
      <c r="D8" s="60">
        <f>IF('Gerencias y Oficinas'!D221="","",'Gerencias y Oficinas'!D221)</f>
        <v>550560</v>
      </c>
      <c r="E8" s="60">
        <f>IF('Gerencias y Oficinas'!E221="","",'Gerencias y Oficinas'!E221)</f>
        <v>519500</v>
      </c>
      <c r="F8" s="60">
        <f>IF('Gerencias y Oficinas'!F221="","",'Gerencias y Oficinas'!F221)</f>
        <v>31060</v>
      </c>
      <c r="G8" s="60">
        <f>IF('Gerencias y Oficinas'!G221="","",'Gerencias y Oficinas'!G221)</f>
        <v>517920.09</v>
      </c>
      <c r="H8" s="60">
        <f>IF('Gerencias y Oficinas'!H221="","",'Gerencias y Oficinas'!H221)</f>
        <v>32639.909999999974</v>
      </c>
      <c r="I8" s="66">
        <f>IF('Gerencias y Oficinas'!I221="","",'Gerencias y Oficinas'!I221)</f>
        <v>0.94071507192676551</v>
      </c>
      <c r="J8" s="257" t="str">
        <f>IF('Gerencias y Oficinas'!J221="","",'Gerencias y Oficinas'!J221)</f>
        <v/>
      </c>
      <c r="K8" s="257" t="str">
        <f>IF('Gerencias y Oficinas'!K221="","",'Gerencias y Oficinas'!K221)</f>
        <v>Por completar</v>
      </c>
      <c r="L8" s="236">
        <f>IF('Gerencias y Oficinas'!L221="","",'Gerencias y Oficinas'!L221)</f>
        <v>100560</v>
      </c>
      <c r="M8" s="236">
        <f>IF('Gerencias y Oficinas'!M221="","",'Gerencias y Oficinas'!M221)</f>
        <v>93700</v>
      </c>
      <c r="N8" s="236">
        <f>IF('Gerencias y Oficinas'!N221="","",'Gerencias y Oficinas'!N221)</f>
        <v>0</v>
      </c>
      <c r="O8" s="236">
        <f>IF('Gerencias y Oficinas'!O221="","",'Gerencias y Oficinas'!O221)</f>
        <v>0</v>
      </c>
    </row>
    <row r="9" spans="1:15" s="11" customFormat="1" ht="76.5" x14ac:dyDescent="0.2">
      <c r="A9" s="52">
        <f>SUBTOTAL(103,$B$8:B9)</f>
        <v>2</v>
      </c>
      <c r="B9" s="70" t="s">
        <v>504</v>
      </c>
      <c r="C9" s="82" t="s">
        <v>304</v>
      </c>
      <c r="D9" s="60">
        <f>IF('Gerencias y Oficinas'!D222="","",'Gerencias y Oficinas'!D222)</f>
        <v>12532522</v>
      </c>
      <c r="E9" s="60">
        <f>IF('Gerencias y Oficinas'!E222="","",'Gerencias y Oficinas'!E222)</f>
        <v>12187040.85</v>
      </c>
      <c r="F9" s="60">
        <f>IF('Gerencias y Oficinas'!F222="","",'Gerencias y Oficinas'!F222)</f>
        <v>345481.15000000037</v>
      </c>
      <c r="G9" s="60">
        <f>IF('Gerencias y Oficinas'!G222="","",'Gerencias y Oficinas'!G222)</f>
        <v>3196291.4299999997</v>
      </c>
      <c r="H9" s="60">
        <f>IF('Gerencias y Oficinas'!H222="","",'Gerencias y Oficinas'!H222)</f>
        <v>9336230.5700000003</v>
      </c>
      <c r="I9" s="66">
        <f>IF('Gerencias y Oficinas'!I222="","",'Gerencias y Oficinas'!I222)</f>
        <v>0.25503976214843266</v>
      </c>
      <c r="J9" s="257" t="str">
        <f>IF('Gerencias y Oficinas'!J222="","",'Gerencias y Oficinas'!J222)</f>
        <v/>
      </c>
      <c r="K9" s="257" t="str">
        <f>IF('Gerencias y Oficinas'!K222="","",'Gerencias y Oficinas'!K222)</f>
        <v>Por completar</v>
      </c>
      <c r="L9" s="236">
        <f>IF('Gerencias y Oficinas'!L222="","",'Gerencias y Oficinas'!L222)</f>
        <v>1000000</v>
      </c>
      <c r="M9" s="236">
        <f>IF('Gerencias y Oficinas'!M222="","",'Gerencias y Oficinas'!M222)</f>
        <v>4832260</v>
      </c>
      <c r="N9" s="236">
        <f>IF('Gerencias y Oficinas'!N222="","",'Gerencias y Oficinas'!N222)</f>
        <v>1000000</v>
      </c>
      <c r="O9" s="236">
        <f>IF('Gerencias y Oficinas'!O222="","",'Gerencias y Oficinas'!O222)</f>
        <v>1000000</v>
      </c>
    </row>
    <row r="10" spans="1:15" s="11" customFormat="1" ht="89.25" x14ac:dyDescent="0.2">
      <c r="A10" s="52">
        <f>SUBTOTAL(103,$B$8:B10)</f>
        <v>3</v>
      </c>
      <c r="B10" s="70" t="s">
        <v>505</v>
      </c>
      <c r="C10" s="82" t="s">
        <v>416</v>
      </c>
      <c r="D10" s="60">
        <f>IF('Gerencias y Oficinas'!D223="","",'Gerencias y Oficinas'!D223)</f>
        <v>100000</v>
      </c>
      <c r="E10" s="60">
        <f>IF('Gerencias y Oficinas'!E223="","",'Gerencias y Oficinas'!E223)</f>
        <v>0</v>
      </c>
      <c r="F10" s="60">
        <f>IF('Gerencias y Oficinas'!F223="","",'Gerencias y Oficinas'!F223)</f>
        <v>100000</v>
      </c>
      <c r="G10" s="60">
        <f>IF('Gerencias y Oficinas'!G223="","",'Gerencias y Oficinas'!G223)</f>
        <v>0</v>
      </c>
      <c r="H10" s="60">
        <f>IF('Gerencias y Oficinas'!H223="","",'Gerencias y Oficinas'!H223)</f>
        <v>100000</v>
      </c>
      <c r="I10" s="66">
        <f>IF('Gerencias y Oficinas'!I223="","",'Gerencias y Oficinas'!I223)</f>
        <v>0</v>
      </c>
      <c r="J10" s="257" t="str">
        <f>IF('Gerencias y Oficinas'!J223="","",'Gerencias y Oficinas'!J223)</f>
        <v/>
      </c>
      <c r="K10" s="257" t="str">
        <f>IF('Gerencias y Oficinas'!K223="","",'Gerencias y Oficinas'!K223)</f>
        <v>Por completar</v>
      </c>
      <c r="L10" s="236">
        <f>IF('Gerencias y Oficinas'!L223="","",'Gerencias y Oficinas'!L223)</f>
        <v>100000</v>
      </c>
      <c r="M10" s="236">
        <f>IF('Gerencias y Oficinas'!M223="","",'Gerencias y Oficinas'!M223)</f>
        <v>0</v>
      </c>
      <c r="N10" s="236">
        <f>IF('Gerencias y Oficinas'!N223="","",'Gerencias y Oficinas'!N223)</f>
        <v>0</v>
      </c>
      <c r="O10" s="236">
        <f>IF('Gerencias y Oficinas'!O223="","",'Gerencias y Oficinas'!O223)</f>
        <v>0</v>
      </c>
    </row>
    <row r="11" spans="1:15" ht="16.5" x14ac:dyDescent="0.2">
      <c r="A11" s="180" t="s">
        <v>683</v>
      </c>
      <c r="B11" s="181"/>
      <c r="C11" s="181"/>
      <c r="D11" s="92">
        <f>D6</f>
        <v>13183082</v>
      </c>
      <c r="E11" s="92">
        <f>E6</f>
        <v>12706540.85</v>
      </c>
      <c r="F11" s="92">
        <f>F6</f>
        <v>476541.15000000037</v>
      </c>
      <c r="G11" s="92">
        <f>G6</f>
        <v>3714211.5199999996</v>
      </c>
      <c r="H11" s="92">
        <f>H6</f>
        <v>9468870.4800000004</v>
      </c>
      <c r="I11" s="89">
        <f>I6</f>
        <v>0.28174075834467233</v>
      </c>
      <c r="J11" s="260"/>
      <c r="K11" s="260"/>
      <c r="L11" s="252"/>
      <c r="M11" s="252"/>
      <c r="N11" s="252"/>
      <c r="O11" s="252"/>
    </row>
  </sheetData>
  <mergeCells count="20">
    <mergeCell ref="O4:O5"/>
    <mergeCell ref="A2:O2"/>
    <mergeCell ref="J4:J5"/>
    <mergeCell ref="K4:K5"/>
    <mergeCell ref="L4:L5"/>
    <mergeCell ref="M4:M5"/>
    <mergeCell ref="N4:N5"/>
    <mergeCell ref="I4:I5"/>
    <mergeCell ref="A6:C6"/>
    <mergeCell ref="A7:C7"/>
    <mergeCell ref="A11:C11"/>
    <mergeCell ref="A1:I1"/>
    <mergeCell ref="A4:A5"/>
    <mergeCell ref="B4:B5"/>
    <mergeCell ref="C4:C5"/>
    <mergeCell ref="D4:D5"/>
    <mergeCell ref="E4:E5"/>
    <mergeCell ref="F4:F5"/>
    <mergeCell ref="G4:G5"/>
    <mergeCell ref="H4:H5"/>
  </mergeCells>
  <pageMargins left="0.70866141732283472" right="0.70866141732283472" top="0.74803149606299213" bottom="0.74803149606299213" header="0.31496062992125984" footer="0.31496062992125984"/>
  <pageSetup paperSize="9" scale="7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88BD-8E44-4A8B-AEDC-F1803134187F}">
  <sheetPr codeName="Hoja8">
    <pageSetUpPr fitToPage="1"/>
  </sheetPr>
  <dimension ref="A1:O13"/>
  <sheetViews>
    <sheetView topLeftCell="G1" zoomScaleNormal="100" workbookViewId="0">
      <selection activeCell="O4" sqref="O4:O13"/>
    </sheetView>
  </sheetViews>
  <sheetFormatPr baseColWidth="10" defaultRowHeight="12.75" x14ac:dyDescent="0.2"/>
  <cols>
    <col min="1" max="1" width="5.140625" bestFit="1" customWidth="1"/>
    <col min="2" max="2" width="6.28515625" bestFit="1" customWidth="1"/>
    <col min="3" max="3" width="20.85546875" customWidth="1"/>
    <col min="4" max="4" width="14.5703125" customWidth="1"/>
    <col min="5" max="5" width="15.7109375" customWidth="1"/>
    <col min="6" max="8" width="14.5703125" customWidth="1"/>
    <col min="9" max="9" width="8.28515625" customWidth="1"/>
    <col min="10" max="10" width="32.7109375" customWidth="1"/>
    <col min="11" max="11" width="29.7109375" customWidth="1"/>
    <col min="12" max="15" width="20.7109375" customWidth="1"/>
  </cols>
  <sheetData>
    <row r="1" spans="1:15" ht="18" x14ac:dyDescent="0.2">
      <c r="A1" s="173" t="s">
        <v>690</v>
      </c>
      <c r="B1" s="173"/>
      <c r="C1" s="173"/>
      <c r="D1" s="173"/>
      <c r="E1" s="173"/>
      <c r="F1" s="173"/>
      <c r="G1" s="173"/>
      <c r="H1" s="173"/>
      <c r="I1" s="173"/>
    </row>
    <row r="2" spans="1:15" ht="55.5" customHeight="1" x14ac:dyDescent="0.25">
      <c r="A2" s="142" t="str">
        <f>"COMPORTAMIENTO DE EJECUCIÓN DE PROYECTOS DE INVERSIÓN PÚBLICA 2026 - U.E. 001 SEDE CENTRAL AL "&amp;TEXT(SIAF!B3,"dd/mm/yyyy")</f>
        <v>COMPORTAMIENTO DE EJECUCIÓN DE PROYECTOS DE INVERSIÓN PÚBLICA 2026 - U.E. 001 SEDE CENTRAL AL 06/10/2026</v>
      </c>
      <c r="B2" s="142"/>
      <c r="C2" s="142"/>
      <c r="D2" s="142"/>
      <c r="E2" s="142"/>
      <c r="F2" s="142"/>
      <c r="G2" s="142"/>
      <c r="H2" s="142"/>
      <c r="I2" s="142"/>
      <c r="J2" s="142"/>
      <c r="K2" s="142"/>
      <c r="L2" s="142"/>
      <c r="M2" s="142"/>
      <c r="N2" s="142"/>
      <c r="O2" s="142"/>
    </row>
    <row r="3" spans="1:15" ht="18" x14ac:dyDescent="0.25">
      <c r="A3" s="1"/>
      <c r="B3" s="3"/>
      <c r="C3" s="11"/>
      <c r="D3" s="2"/>
      <c r="E3" s="2"/>
      <c r="F3" s="2"/>
      <c r="I3" s="19"/>
    </row>
    <row r="4" spans="1:15" ht="17.25" customHeight="1" x14ac:dyDescent="0.2">
      <c r="A4" s="191" t="s">
        <v>3</v>
      </c>
      <c r="B4" s="189" t="s">
        <v>298</v>
      </c>
      <c r="C4" s="171" t="s">
        <v>0</v>
      </c>
      <c r="D4" s="187" t="s">
        <v>639</v>
      </c>
      <c r="E4" s="189" t="s">
        <v>694</v>
      </c>
      <c r="F4" s="171" t="s">
        <v>644</v>
      </c>
      <c r="G4" s="187" t="s">
        <v>641</v>
      </c>
      <c r="H4" s="187" t="s">
        <v>645</v>
      </c>
      <c r="I4" s="178" t="s">
        <v>133</v>
      </c>
      <c r="J4" s="217" t="s">
        <v>2293</v>
      </c>
      <c r="K4" s="217" t="s">
        <v>2294</v>
      </c>
      <c r="L4" s="217" t="s">
        <v>2295</v>
      </c>
      <c r="M4" s="217" t="s">
        <v>2296</v>
      </c>
      <c r="N4" s="217" t="s">
        <v>2297</v>
      </c>
      <c r="O4" s="217" t="s">
        <v>2298</v>
      </c>
    </row>
    <row r="5" spans="1:15" ht="17.25" customHeight="1" x14ac:dyDescent="0.2">
      <c r="A5" s="192"/>
      <c r="B5" s="190"/>
      <c r="C5" s="172"/>
      <c r="D5" s="188"/>
      <c r="E5" s="190"/>
      <c r="F5" s="172"/>
      <c r="G5" s="188"/>
      <c r="H5" s="188"/>
      <c r="I5" s="179"/>
      <c r="J5" s="218"/>
      <c r="K5" s="218"/>
      <c r="L5" s="218"/>
      <c r="M5" s="218"/>
      <c r="N5" s="218"/>
      <c r="O5" s="218"/>
    </row>
    <row r="6" spans="1:15" ht="36" customHeight="1" x14ac:dyDescent="0.2">
      <c r="A6" s="144" t="s">
        <v>7</v>
      </c>
      <c r="B6" s="144"/>
      <c r="C6" s="144"/>
      <c r="D6" s="48">
        <f>'Gerencias y Oficinas'!D224</f>
        <v>5603985</v>
      </c>
      <c r="E6" s="48">
        <f>'Gerencias y Oficinas'!E224</f>
        <v>5402769.9500000002</v>
      </c>
      <c r="F6" s="48">
        <f>'Gerencias y Oficinas'!F224</f>
        <v>201215.04999999981</v>
      </c>
      <c r="G6" s="48">
        <f>'Gerencias y Oficinas'!G224</f>
        <v>3499541.36</v>
      </c>
      <c r="H6" s="48">
        <f>'Gerencias y Oficinas'!H224</f>
        <v>2104443.64</v>
      </c>
      <c r="I6" s="49">
        <f>'Gerencias y Oficinas'!I224</f>
        <v>0.62447372004029278</v>
      </c>
      <c r="J6" s="255"/>
      <c r="K6" s="255"/>
      <c r="L6" s="229"/>
      <c r="M6" s="229"/>
      <c r="N6" s="229"/>
      <c r="O6" s="229"/>
    </row>
    <row r="7" spans="1:15" ht="16.5" x14ac:dyDescent="0.2">
      <c r="A7" s="150" t="s">
        <v>612</v>
      </c>
      <c r="B7" s="150"/>
      <c r="C7" s="150"/>
      <c r="D7" s="50">
        <f>D8</f>
        <v>1332387</v>
      </c>
      <c r="E7" s="50">
        <f>E8</f>
        <v>1332216.6100000001</v>
      </c>
      <c r="F7" s="50">
        <f>D7-E7</f>
        <v>170.38999999989755</v>
      </c>
      <c r="G7" s="50">
        <f>G8</f>
        <v>1212326</v>
      </c>
      <c r="H7" s="50">
        <f>D7-G7</f>
        <v>120061</v>
      </c>
      <c r="I7" s="51">
        <f>IF(D7=0,0,G7/D7)</f>
        <v>0.9098902946366183</v>
      </c>
      <c r="J7" s="256"/>
      <c r="K7" s="256"/>
      <c r="L7" s="230"/>
      <c r="M7" s="230"/>
      <c r="N7" s="230"/>
      <c r="O7" s="230"/>
    </row>
    <row r="8" spans="1:15" ht="51" x14ac:dyDescent="0.2">
      <c r="A8" s="52">
        <f>SUBTOTAL(103,$B$8:B8)</f>
        <v>1</v>
      </c>
      <c r="B8" s="69">
        <v>218</v>
      </c>
      <c r="C8" s="82" t="s">
        <v>140</v>
      </c>
      <c r="D8" s="60">
        <f>IF('Gerencias y Oficinas'!D226="","",'Gerencias y Oficinas'!D226)</f>
        <v>1332387</v>
      </c>
      <c r="E8" s="60">
        <f>IF('Gerencias y Oficinas'!E226="","",'Gerencias y Oficinas'!E226)</f>
        <v>1332216.6100000001</v>
      </c>
      <c r="F8" s="60">
        <f>IF('Gerencias y Oficinas'!F226="","",'Gerencias y Oficinas'!F226)</f>
        <v>170.38999999989755</v>
      </c>
      <c r="G8" s="60">
        <f>IF('Gerencias y Oficinas'!G226="","",'Gerencias y Oficinas'!G226)</f>
        <v>1212326</v>
      </c>
      <c r="H8" s="60">
        <f>IF('Gerencias y Oficinas'!H226="","",'Gerencias y Oficinas'!H226)</f>
        <v>120061</v>
      </c>
      <c r="I8" s="66">
        <f>IF('Gerencias y Oficinas'!I226="","",'Gerencias y Oficinas'!I226)</f>
        <v>0.9098902946366183</v>
      </c>
      <c r="J8" s="257" t="str">
        <f>IF('Gerencias y Oficinas'!J226="","",'Gerencias y Oficinas'!J226)</f>
        <v/>
      </c>
      <c r="K8" s="257" t="str">
        <f>IF('Gerencias y Oficinas'!K226="","",'Gerencias y Oficinas'!K226)</f>
        <v>Por completar</v>
      </c>
      <c r="L8" s="236">
        <f>IF('Gerencias y Oficinas'!L226="","",'Gerencias y Oficinas'!L226)</f>
        <v>630478</v>
      </c>
      <c r="M8" s="236">
        <f>IF('Gerencias y Oficinas'!M226="","",'Gerencias y Oficinas'!M226)</f>
        <v>188781</v>
      </c>
      <c r="N8" s="236">
        <f>IF('Gerencias y Oficinas'!N226="","",'Gerencias y Oficinas'!N226)</f>
        <v>2845395</v>
      </c>
      <c r="O8" s="236">
        <f>IF('Gerencias y Oficinas'!O226="","",'Gerencias y Oficinas'!O226)</f>
        <v>2772809</v>
      </c>
    </row>
    <row r="9" spans="1:15" ht="16.5" x14ac:dyDescent="0.2">
      <c r="A9" s="150" t="s">
        <v>613</v>
      </c>
      <c r="B9" s="150"/>
      <c r="C9" s="150"/>
      <c r="D9" s="50">
        <f>D12</f>
        <v>4271598</v>
      </c>
      <c r="E9" s="50">
        <f>E12</f>
        <v>4070553.34</v>
      </c>
      <c r="F9" s="50">
        <f>D9-E9</f>
        <v>201044.66000000015</v>
      </c>
      <c r="G9" s="50">
        <f>G12</f>
        <v>2287215.36</v>
      </c>
      <c r="H9" s="50">
        <f>D9-G9</f>
        <v>1984382.6400000001</v>
      </c>
      <c r="I9" s="51">
        <f>IF(D9=0,0,G9/D9)</f>
        <v>0.53544724011950562</v>
      </c>
      <c r="J9" s="256"/>
      <c r="K9" s="256"/>
      <c r="L9" s="230"/>
      <c r="M9" s="230"/>
      <c r="N9" s="230"/>
      <c r="O9" s="230"/>
    </row>
    <row r="10" spans="1:15" ht="141.75" hidden="1" x14ac:dyDescent="0.2">
      <c r="A10" s="12">
        <f>SUBTOTAL(103,$B$8:B10)+241</f>
        <v>242</v>
      </c>
      <c r="B10" s="33"/>
      <c r="C10" s="41" t="s">
        <v>29</v>
      </c>
      <c r="D10" s="13"/>
      <c r="E10" s="13"/>
      <c r="F10" s="13"/>
      <c r="G10" s="13"/>
      <c r="H10" s="13"/>
      <c r="I10" s="21"/>
      <c r="J10" s="262"/>
      <c r="K10" s="262"/>
      <c r="L10" s="244"/>
      <c r="M10" s="244"/>
      <c r="N10" s="244"/>
      <c r="O10" s="244"/>
    </row>
    <row r="11" spans="1:15" ht="63" hidden="1" x14ac:dyDescent="0.2">
      <c r="A11" s="12">
        <f>SUBTOTAL(103,$B$8:B11)+241</f>
        <v>242</v>
      </c>
      <c r="B11" s="33"/>
      <c r="C11" s="41" t="s">
        <v>234</v>
      </c>
      <c r="D11" s="13"/>
      <c r="E11" s="13"/>
      <c r="F11" s="13"/>
      <c r="G11" s="13"/>
      <c r="H11" s="13"/>
      <c r="I11" s="21"/>
      <c r="J11" s="262"/>
      <c r="K11" s="262"/>
      <c r="L11" s="244"/>
      <c r="M11" s="244"/>
      <c r="N11" s="244"/>
      <c r="O11" s="244"/>
    </row>
    <row r="12" spans="1:15" ht="89.25" x14ac:dyDescent="0.2">
      <c r="A12" s="52">
        <f>SUBTOTAL(103,$B$8:B12)</f>
        <v>2</v>
      </c>
      <c r="B12" s="69">
        <v>264</v>
      </c>
      <c r="C12" s="82" t="s">
        <v>365</v>
      </c>
      <c r="D12" s="60">
        <f>IF('Gerencias y Oficinas'!D230="","",'Gerencias y Oficinas'!D230)</f>
        <v>4271598</v>
      </c>
      <c r="E12" s="60">
        <f>IF('Gerencias y Oficinas'!E230="","",'Gerencias y Oficinas'!E230)</f>
        <v>4070553.34</v>
      </c>
      <c r="F12" s="60">
        <f>IF('Gerencias y Oficinas'!F230="","",'Gerencias y Oficinas'!F230)</f>
        <v>201044.66000000015</v>
      </c>
      <c r="G12" s="60">
        <f>IF('Gerencias y Oficinas'!G230="","",'Gerencias y Oficinas'!G230)</f>
        <v>2287215.36</v>
      </c>
      <c r="H12" s="60">
        <f>IF('Gerencias y Oficinas'!H230="","",'Gerencias y Oficinas'!H230)</f>
        <v>1984382.6400000001</v>
      </c>
      <c r="I12" s="66">
        <f>IF('Gerencias y Oficinas'!I230="","",'Gerencias y Oficinas'!I230)</f>
        <v>0.53544724011950562</v>
      </c>
      <c r="J12" s="257" t="str">
        <f>IF('Gerencias y Oficinas'!J230="","",'Gerencias y Oficinas'!J230)</f>
        <v/>
      </c>
      <c r="K12" s="257" t="str">
        <f>IF('Gerencias y Oficinas'!K230="","",'Gerencias y Oficinas'!K230)</f>
        <v>Por completar</v>
      </c>
      <c r="L12" s="236">
        <f>IF('Gerencias y Oficinas'!L230="","",'Gerencias y Oficinas'!L230)</f>
        <v>1500000</v>
      </c>
      <c r="M12" s="236">
        <f>IF('Gerencias y Oficinas'!M230="","",'Gerencias y Oficinas'!M230)</f>
        <v>4950944</v>
      </c>
      <c r="N12" s="236">
        <f>IF('Gerencias y Oficinas'!N230="","",'Gerencias y Oficinas'!N230)</f>
        <v>5144103</v>
      </c>
      <c r="O12" s="236">
        <f>IF('Gerencias y Oficinas'!O230="","",'Gerencias y Oficinas'!O230)</f>
        <v>4718085</v>
      </c>
    </row>
    <row r="13" spans="1:15" ht="16.5" x14ac:dyDescent="0.2">
      <c r="A13" s="180" t="s">
        <v>684</v>
      </c>
      <c r="B13" s="181"/>
      <c r="C13" s="181"/>
      <c r="D13" s="90">
        <f>D6</f>
        <v>5603985</v>
      </c>
      <c r="E13" s="88">
        <f>E6</f>
        <v>5402769.9500000002</v>
      </c>
      <c r="F13" s="92">
        <f>F6</f>
        <v>201215.04999999981</v>
      </c>
      <c r="G13" s="92">
        <f>G6</f>
        <v>3499541.36</v>
      </c>
      <c r="H13" s="92">
        <f>H6</f>
        <v>2104443.64</v>
      </c>
      <c r="I13" s="89">
        <f>I6</f>
        <v>0.62447372004029278</v>
      </c>
      <c r="J13" s="260"/>
      <c r="K13" s="260"/>
      <c r="L13" s="252"/>
      <c r="M13" s="252"/>
      <c r="N13" s="252"/>
      <c r="O13" s="252"/>
    </row>
  </sheetData>
  <mergeCells count="21">
    <mergeCell ref="O4:O5"/>
    <mergeCell ref="A2:O2"/>
    <mergeCell ref="J4:J5"/>
    <mergeCell ref="K4:K5"/>
    <mergeCell ref="L4:L5"/>
    <mergeCell ref="M4:M5"/>
    <mergeCell ref="N4:N5"/>
    <mergeCell ref="A6:C6"/>
    <mergeCell ref="A7:C7"/>
    <mergeCell ref="A9:C9"/>
    <mergeCell ref="A13:C13"/>
    <mergeCell ref="A1:I1"/>
    <mergeCell ref="A4:A5"/>
    <mergeCell ref="B4:B5"/>
    <mergeCell ref="C4:C5"/>
    <mergeCell ref="D4:D5"/>
    <mergeCell ref="E4:E5"/>
    <mergeCell ref="F4:F5"/>
    <mergeCell ref="G4:G5"/>
    <mergeCell ref="H4:H5"/>
    <mergeCell ref="I4:I5"/>
  </mergeCells>
  <pageMargins left="0.70866141732283472" right="0.70866141732283472" top="0.74803149606299213" bottom="0.74803149606299213" header="0.31496062992125984" footer="0.31496062992125984"/>
  <pageSetup paperSize="9" scale="77" fitToHeight="0" orientation="landscape" r:id="rId1"/>
  <colBreaks count="1" manualBreakCount="1">
    <brk id="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B6FD-D79B-4981-B268-3103C01074FE}">
  <sheetPr codeName="Hoja9">
    <pageSetUpPr fitToPage="1"/>
  </sheetPr>
  <dimension ref="A1:O56"/>
  <sheetViews>
    <sheetView topLeftCell="F1" zoomScaleNormal="100" workbookViewId="0">
      <selection activeCell="O4" sqref="O4:O56"/>
    </sheetView>
  </sheetViews>
  <sheetFormatPr baseColWidth="10" defaultRowHeight="12.75" x14ac:dyDescent="0.2"/>
  <cols>
    <col min="1" max="1" width="4.42578125" bestFit="1" customWidth="1"/>
    <col min="2" max="2" width="6.28515625" bestFit="1" customWidth="1"/>
    <col min="3" max="3" width="27.5703125" customWidth="1"/>
    <col min="4" max="4" width="13.28515625" customWidth="1"/>
    <col min="5" max="5" width="15.85546875" customWidth="1"/>
    <col min="6" max="8" width="13.28515625" customWidth="1"/>
    <col min="9" max="9" width="9.28515625" customWidth="1"/>
    <col min="10" max="10" width="32.7109375" customWidth="1"/>
    <col min="11" max="11" width="29.7109375" customWidth="1"/>
    <col min="12" max="15" width="20.7109375" customWidth="1"/>
  </cols>
  <sheetData>
    <row r="1" spans="1:15" ht="18" x14ac:dyDescent="0.2">
      <c r="A1" s="173" t="s">
        <v>691</v>
      </c>
      <c r="B1" s="173"/>
      <c r="C1" s="173"/>
      <c r="D1" s="173"/>
      <c r="E1" s="173"/>
      <c r="F1" s="173"/>
      <c r="G1" s="173"/>
      <c r="H1" s="173"/>
      <c r="I1" s="173"/>
    </row>
    <row r="2" spans="1:15" ht="54.75" customHeight="1" x14ac:dyDescent="0.25">
      <c r="A2" s="142" t="str">
        <f>"COMPORTAMIENTO DE EJECUCIÓN DE PROYECTOS DE INVERSIÓN PÚBLICA 2026 - U.E. 001 SEDE CENTRAL AL "&amp;TEXT(SIAF!B3,"dd/mm/yyyy")</f>
        <v>COMPORTAMIENTO DE EJECUCIÓN DE PROYECTOS DE INVERSIÓN PÚBLICA 2026 - U.E. 001 SEDE CENTRAL AL 06/10/2026</v>
      </c>
      <c r="B2" s="142"/>
      <c r="C2" s="142"/>
      <c r="D2" s="142"/>
      <c r="E2" s="142"/>
      <c r="F2" s="142"/>
      <c r="G2" s="142"/>
      <c r="H2" s="142"/>
      <c r="I2" s="142"/>
      <c r="J2" s="142"/>
      <c r="K2" s="142"/>
      <c r="L2" s="142"/>
      <c r="M2" s="142"/>
      <c r="N2" s="142"/>
      <c r="O2" s="142"/>
    </row>
    <row r="3" spans="1:15" ht="18" x14ac:dyDescent="0.25">
      <c r="A3" s="1"/>
      <c r="B3" s="3"/>
      <c r="C3" s="11"/>
      <c r="D3" s="2"/>
      <c r="E3" s="2"/>
      <c r="F3" s="2"/>
      <c r="I3" s="19"/>
    </row>
    <row r="4" spans="1:15" ht="17.25" customHeight="1" x14ac:dyDescent="0.2">
      <c r="A4" s="191" t="s">
        <v>3</v>
      </c>
      <c r="B4" s="187" t="s">
        <v>298</v>
      </c>
      <c r="C4" s="187" t="s">
        <v>0</v>
      </c>
      <c r="D4" s="189" t="s">
        <v>639</v>
      </c>
      <c r="E4" s="171" t="s">
        <v>694</v>
      </c>
      <c r="F4" s="171" t="s">
        <v>644</v>
      </c>
      <c r="G4" s="171" t="s">
        <v>641</v>
      </c>
      <c r="H4" s="187" t="s">
        <v>645</v>
      </c>
      <c r="I4" s="178" t="s">
        <v>133</v>
      </c>
      <c r="J4" s="217" t="s">
        <v>2293</v>
      </c>
      <c r="K4" s="217" t="s">
        <v>2294</v>
      </c>
      <c r="L4" s="217" t="s">
        <v>2295</v>
      </c>
      <c r="M4" s="217" t="s">
        <v>2296</v>
      </c>
      <c r="N4" s="217" t="s">
        <v>2297</v>
      </c>
      <c r="O4" s="217" t="s">
        <v>2298</v>
      </c>
    </row>
    <row r="5" spans="1:15" ht="17.25" customHeight="1" x14ac:dyDescent="0.2">
      <c r="A5" s="192"/>
      <c r="B5" s="188"/>
      <c r="C5" s="188"/>
      <c r="D5" s="190"/>
      <c r="E5" s="172"/>
      <c r="F5" s="172"/>
      <c r="G5" s="172"/>
      <c r="H5" s="188"/>
      <c r="I5" s="179"/>
      <c r="J5" s="218"/>
      <c r="K5" s="218"/>
      <c r="L5" s="218"/>
      <c r="M5" s="218"/>
      <c r="N5" s="218"/>
      <c r="O5" s="218"/>
    </row>
    <row r="6" spans="1:15" ht="30.75" customHeight="1" x14ac:dyDescent="0.2">
      <c r="A6" s="144" t="s">
        <v>8</v>
      </c>
      <c r="B6" s="144"/>
      <c r="C6" s="144"/>
      <c r="D6" s="48">
        <f>'Gerencias y Oficinas'!D231</f>
        <v>74397967</v>
      </c>
      <c r="E6" s="48">
        <f>'Gerencias y Oficinas'!E231</f>
        <v>67208621.579999998</v>
      </c>
      <c r="F6" s="48">
        <f>'Gerencias y Oficinas'!F231</f>
        <v>7189345.4200000018</v>
      </c>
      <c r="G6" s="48">
        <f>'Gerencias y Oficinas'!G231</f>
        <v>23249589.989999998</v>
      </c>
      <c r="H6" s="48">
        <f>'Gerencias y Oficinas'!H231</f>
        <v>51148377.010000005</v>
      </c>
      <c r="I6" s="49">
        <f>'Gerencias y Oficinas'!I231</f>
        <v>0.31250302834215882</v>
      </c>
      <c r="J6" s="255"/>
      <c r="K6" s="255"/>
      <c r="L6" s="229"/>
      <c r="M6" s="229"/>
      <c r="N6" s="229"/>
      <c r="O6" s="229"/>
    </row>
    <row r="7" spans="1:15" ht="99" hidden="1" x14ac:dyDescent="0.2">
      <c r="A7" s="42">
        <v>271</v>
      </c>
      <c r="B7" s="71"/>
      <c r="C7" s="72" t="s">
        <v>32</v>
      </c>
      <c r="D7" s="73"/>
      <c r="E7" s="73"/>
      <c r="F7" s="73"/>
      <c r="G7" s="73"/>
      <c r="H7" s="73"/>
      <c r="I7" s="74"/>
      <c r="J7" s="263"/>
      <c r="K7" s="263"/>
      <c r="L7" s="245"/>
      <c r="M7" s="245"/>
      <c r="N7" s="245"/>
      <c r="O7" s="245"/>
    </row>
    <row r="8" spans="1:15" ht="99" hidden="1" x14ac:dyDescent="0.2">
      <c r="A8" s="42">
        <f>SUBTOTAL(103,$B$8:B8)+241</f>
        <v>241</v>
      </c>
      <c r="B8" s="75"/>
      <c r="C8" s="72" t="s">
        <v>101</v>
      </c>
      <c r="D8" s="73"/>
      <c r="E8" s="73"/>
      <c r="F8" s="73"/>
      <c r="G8" s="73"/>
      <c r="H8" s="73"/>
      <c r="I8" s="74"/>
      <c r="J8" s="263"/>
      <c r="K8" s="263"/>
      <c r="L8" s="245"/>
      <c r="M8" s="245"/>
      <c r="N8" s="245"/>
      <c r="O8" s="245"/>
    </row>
    <row r="9" spans="1:15" ht="16.5" x14ac:dyDescent="0.2">
      <c r="A9" s="150" t="s">
        <v>609</v>
      </c>
      <c r="B9" s="150"/>
      <c r="C9" s="150"/>
      <c r="D9" s="50">
        <f>D10+D11+D12+D13+D14+D15+D16+D17+D18+D19+D20+D21+D22+D23+D24+D25+D26+D27+D28+D29+D30+D31+D32+D33+D34+D35</f>
        <v>52909418</v>
      </c>
      <c r="E9" s="50">
        <f>E10+E11+E12+E13+E14+E15+E16+E17+E18+E19+E20+E21+E22+E23+E24+E25+E26+E27+E28+E29+E30+E31+E32+E33+E34+E35</f>
        <v>48878434.080000006</v>
      </c>
      <c r="F9" s="50">
        <f>D9-E9</f>
        <v>4030983.9199999943</v>
      </c>
      <c r="G9" s="50">
        <f>G10+G11+G12+G13+G14+G15+G16+G17+G18+G19+G20+G21+G22+G23+G24+G25+G26+G27+G28+G29+G30+G31+G32+G33+G34+G35</f>
        <v>17052641.129999999</v>
      </c>
      <c r="H9" s="50">
        <f>D9-G9</f>
        <v>35856776.870000005</v>
      </c>
      <c r="I9" s="51">
        <f>IF(D9=0,0,G9/D9)</f>
        <v>0.32229878487795877</v>
      </c>
      <c r="J9" s="256"/>
      <c r="K9" s="256"/>
      <c r="L9" s="230"/>
      <c r="M9" s="230"/>
      <c r="N9" s="230"/>
      <c r="O9" s="230"/>
    </row>
    <row r="10" spans="1:15" ht="42" customHeight="1" x14ac:dyDescent="0.2">
      <c r="A10" s="52">
        <f>SUBTOTAL(103,$B$10:B10)</f>
        <v>1</v>
      </c>
      <c r="B10" s="69">
        <v>195</v>
      </c>
      <c r="C10" s="82" t="s">
        <v>527</v>
      </c>
      <c r="D10" s="60">
        <f>IF('Gerencias y Oficinas'!D235="","",'Gerencias y Oficinas'!D235)</f>
        <v>0</v>
      </c>
      <c r="E10" s="60">
        <f>IF('Gerencias y Oficinas'!E235="","",'Gerencias y Oficinas'!E235)</f>
        <v>0</v>
      </c>
      <c r="F10" s="60">
        <f>IF('Gerencias y Oficinas'!F235="","",'Gerencias y Oficinas'!F235)</f>
        <v>0</v>
      </c>
      <c r="G10" s="60">
        <f>IF('Gerencias y Oficinas'!G235="","",'Gerencias y Oficinas'!G235)</f>
        <v>0</v>
      </c>
      <c r="H10" s="60">
        <f>IF('Gerencias y Oficinas'!H235="","",'Gerencias y Oficinas'!H235)</f>
        <v>0</v>
      </c>
      <c r="I10" s="66">
        <f>IF('Gerencias y Oficinas'!I235="","",'Gerencias y Oficinas'!I235)</f>
        <v>0</v>
      </c>
      <c r="J10" s="257" t="str">
        <f>IF('Gerencias y Oficinas'!J235="","",'Gerencias y Oficinas'!J235)</f>
        <v/>
      </c>
      <c r="K10" s="257" t="str">
        <f>IF('Gerencias y Oficinas'!K235="","",'Gerencias y Oficinas'!K235)</f>
        <v>Por completar</v>
      </c>
      <c r="L10" s="236">
        <f>IF('Gerencias y Oficinas'!L235="","",'Gerencias y Oficinas'!L235)</f>
        <v>4098</v>
      </c>
      <c r="M10" s="236">
        <f>IF('Gerencias y Oficinas'!M235="","",'Gerencias y Oficinas'!M235)</f>
        <v>0</v>
      </c>
      <c r="N10" s="236">
        <f>IF('Gerencias y Oficinas'!N235="","",'Gerencias y Oficinas'!N235)</f>
        <v>0</v>
      </c>
      <c r="O10" s="236">
        <f>IF('Gerencias y Oficinas'!O235="","",'Gerencias y Oficinas'!O235)</f>
        <v>0</v>
      </c>
    </row>
    <row r="11" spans="1:15" ht="42" customHeight="1" x14ac:dyDescent="0.2">
      <c r="A11" s="52">
        <f>SUBTOTAL(103,$B$10:B11)</f>
        <v>2</v>
      </c>
      <c r="B11" s="69">
        <v>196</v>
      </c>
      <c r="C11" s="82" t="s">
        <v>528</v>
      </c>
      <c r="D11" s="60">
        <f>IF('Gerencias y Oficinas'!D236="","",'Gerencias y Oficinas'!D236)</f>
        <v>0</v>
      </c>
      <c r="E11" s="60">
        <f>IF('Gerencias y Oficinas'!E236="","",'Gerencias y Oficinas'!E236)</f>
        <v>0</v>
      </c>
      <c r="F11" s="60">
        <f>IF('Gerencias y Oficinas'!F236="","",'Gerencias y Oficinas'!F236)</f>
        <v>0</v>
      </c>
      <c r="G11" s="60">
        <f>IF('Gerencias y Oficinas'!G236="","",'Gerencias y Oficinas'!G236)</f>
        <v>0</v>
      </c>
      <c r="H11" s="60">
        <f>IF('Gerencias y Oficinas'!H236="","",'Gerencias y Oficinas'!H236)</f>
        <v>0</v>
      </c>
      <c r="I11" s="66">
        <f>IF('Gerencias y Oficinas'!I236="","",'Gerencias y Oficinas'!I236)</f>
        <v>0</v>
      </c>
      <c r="J11" s="257" t="str">
        <f>IF('Gerencias y Oficinas'!J236="","",'Gerencias y Oficinas'!J236)</f>
        <v/>
      </c>
      <c r="K11" s="257" t="str">
        <f>IF('Gerencias y Oficinas'!K236="","",'Gerencias y Oficinas'!K236)</f>
        <v>Por completar</v>
      </c>
      <c r="L11" s="236">
        <f>IF('Gerencias y Oficinas'!L236="","",'Gerencias y Oficinas'!L236)</f>
        <v>87917</v>
      </c>
      <c r="M11" s="236">
        <f>IF('Gerencias y Oficinas'!M236="","",'Gerencias y Oficinas'!M236)</f>
        <v>0</v>
      </c>
      <c r="N11" s="236">
        <f>IF('Gerencias y Oficinas'!N236="","",'Gerencias y Oficinas'!N236)</f>
        <v>0</v>
      </c>
      <c r="O11" s="236">
        <f>IF('Gerencias y Oficinas'!O236="","",'Gerencias y Oficinas'!O236)</f>
        <v>0</v>
      </c>
    </row>
    <row r="12" spans="1:15" ht="42" customHeight="1" x14ac:dyDescent="0.2">
      <c r="A12" s="52">
        <f>SUBTOTAL(103,$B$10:B12)</f>
        <v>3</v>
      </c>
      <c r="B12" s="69">
        <v>239</v>
      </c>
      <c r="C12" s="82" t="s">
        <v>371</v>
      </c>
      <c r="D12" s="60">
        <f>IF('Gerencias y Oficinas'!D237="","",'Gerencias y Oficinas'!D237)</f>
        <v>0</v>
      </c>
      <c r="E12" s="60">
        <f>IF('Gerencias y Oficinas'!E237="","",'Gerencias y Oficinas'!E237)</f>
        <v>0</v>
      </c>
      <c r="F12" s="60">
        <f>IF('Gerencias y Oficinas'!F237="","",'Gerencias y Oficinas'!F237)</f>
        <v>0</v>
      </c>
      <c r="G12" s="60">
        <f>IF('Gerencias y Oficinas'!G237="","",'Gerencias y Oficinas'!G237)</f>
        <v>0</v>
      </c>
      <c r="H12" s="60">
        <f>IF('Gerencias y Oficinas'!H237="","",'Gerencias y Oficinas'!H237)</f>
        <v>0</v>
      </c>
      <c r="I12" s="66">
        <f>IF('Gerencias y Oficinas'!I237="","",'Gerencias y Oficinas'!I237)</f>
        <v>0</v>
      </c>
      <c r="J12" s="257" t="str">
        <f>IF('Gerencias y Oficinas'!J237="","",'Gerencias y Oficinas'!J237)</f>
        <v/>
      </c>
      <c r="K12" s="257" t="str">
        <f>IF('Gerencias y Oficinas'!K237="","",'Gerencias y Oficinas'!K237)</f>
        <v>Por completar</v>
      </c>
      <c r="L12" s="236">
        <f>IF('Gerencias y Oficinas'!L237="","",'Gerencias y Oficinas'!L237)</f>
        <v>276105</v>
      </c>
      <c r="M12" s="236">
        <f>IF('Gerencias y Oficinas'!M237="","",'Gerencias y Oficinas'!M237)</f>
        <v>0</v>
      </c>
      <c r="N12" s="236">
        <f>IF('Gerencias y Oficinas'!N237="","",'Gerencias y Oficinas'!N237)</f>
        <v>0</v>
      </c>
      <c r="O12" s="236">
        <f>IF('Gerencias y Oficinas'!O237="","",'Gerencias y Oficinas'!O237)</f>
        <v>0</v>
      </c>
    </row>
    <row r="13" spans="1:15" ht="42" customHeight="1" x14ac:dyDescent="0.2">
      <c r="A13" s="52">
        <f>SUBTOTAL(103,$B$10:B13)</f>
        <v>4</v>
      </c>
      <c r="B13" s="69">
        <v>249</v>
      </c>
      <c r="C13" s="82" t="s">
        <v>128</v>
      </c>
      <c r="D13" s="60">
        <f>IF('Gerencias y Oficinas'!D238="","",'Gerencias y Oficinas'!D238)</f>
        <v>0</v>
      </c>
      <c r="E13" s="60">
        <f>IF('Gerencias y Oficinas'!E238="","",'Gerencias y Oficinas'!E238)</f>
        <v>0</v>
      </c>
      <c r="F13" s="60">
        <f>IF('Gerencias y Oficinas'!F238="","",'Gerencias y Oficinas'!F238)</f>
        <v>0</v>
      </c>
      <c r="G13" s="60">
        <f>IF('Gerencias y Oficinas'!G238="","",'Gerencias y Oficinas'!G238)</f>
        <v>0</v>
      </c>
      <c r="H13" s="60">
        <f>IF('Gerencias y Oficinas'!H238="","",'Gerencias y Oficinas'!H238)</f>
        <v>0</v>
      </c>
      <c r="I13" s="66">
        <f>IF('Gerencias y Oficinas'!I238="","",'Gerencias y Oficinas'!I238)</f>
        <v>0</v>
      </c>
      <c r="J13" s="257" t="str">
        <f>IF('Gerencias y Oficinas'!J238="","",'Gerencias y Oficinas'!J238)</f>
        <v/>
      </c>
      <c r="K13" s="257" t="str">
        <f>IF('Gerencias y Oficinas'!K238="","",'Gerencias y Oficinas'!K238)</f>
        <v>Por completar</v>
      </c>
      <c r="L13" s="236">
        <f>IF('Gerencias y Oficinas'!L238="","",'Gerencias y Oficinas'!L238)</f>
        <v>89896</v>
      </c>
      <c r="M13" s="236">
        <f>IF('Gerencias y Oficinas'!M238="","",'Gerencias y Oficinas'!M238)</f>
        <v>0</v>
      </c>
      <c r="N13" s="236">
        <f>IF('Gerencias y Oficinas'!N238="","",'Gerencias y Oficinas'!N238)</f>
        <v>0</v>
      </c>
      <c r="O13" s="236">
        <f>IF('Gerencias y Oficinas'!O238="","",'Gerencias y Oficinas'!O238)</f>
        <v>0</v>
      </c>
    </row>
    <row r="14" spans="1:15" ht="63.75" x14ac:dyDescent="0.2">
      <c r="A14" s="52">
        <f>SUBTOTAL(103,$B$10:B14)</f>
        <v>5</v>
      </c>
      <c r="B14" s="70" t="s">
        <v>506</v>
      </c>
      <c r="C14" s="82" t="s">
        <v>205</v>
      </c>
      <c r="D14" s="60">
        <f>IF('Gerencias y Oficinas'!D239="","",'Gerencias y Oficinas'!D239)</f>
        <v>2390440</v>
      </c>
      <c r="E14" s="60">
        <f>IF('Gerencias y Oficinas'!E239="","",'Gerencias y Oficinas'!E239)</f>
        <v>2386020</v>
      </c>
      <c r="F14" s="60">
        <f>IF('Gerencias y Oficinas'!F239="","",'Gerencias y Oficinas'!F239)</f>
        <v>4420</v>
      </c>
      <c r="G14" s="60">
        <f>IF('Gerencias y Oficinas'!G239="","",'Gerencias y Oficinas'!G239)</f>
        <v>824976.09</v>
      </c>
      <c r="H14" s="60">
        <f>IF('Gerencias y Oficinas'!H239="","",'Gerencias y Oficinas'!H239)</f>
        <v>1565463.9100000001</v>
      </c>
      <c r="I14" s="66">
        <f>IF('Gerencias y Oficinas'!I239="","",'Gerencias y Oficinas'!I239)</f>
        <v>0.34511474456585395</v>
      </c>
      <c r="J14" s="257" t="str">
        <f>IF('Gerencias y Oficinas'!J239="","",'Gerencias y Oficinas'!J239)</f>
        <v/>
      </c>
      <c r="K14" s="257" t="str">
        <f>IF('Gerencias y Oficinas'!K239="","",'Gerencias y Oficinas'!K239)</f>
        <v>Por completar</v>
      </c>
      <c r="L14" s="236">
        <f>IF('Gerencias y Oficinas'!L239="","",'Gerencias y Oficinas'!L239)</f>
        <v>21175</v>
      </c>
      <c r="M14" s="236">
        <f>IF('Gerencias y Oficinas'!M239="","",'Gerencias y Oficinas'!M239)</f>
        <v>2971</v>
      </c>
      <c r="N14" s="236">
        <f>IF('Gerencias y Oficinas'!N239="","",'Gerencias y Oficinas'!N239)</f>
        <v>1</v>
      </c>
      <c r="O14" s="236">
        <f>IF('Gerencias y Oficinas'!O239="","",'Gerencias y Oficinas'!O239)</f>
        <v>0</v>
      </c>
    </row>
    <row r="15" spans="1:15" ht="76.5" x14ac:dyDescent="0.2">
      <c r="A15" s="52">
        <f>SUBTOTAL(103,$B$10:B15)</f>
        <v>6</v>
      </c>
      <c r="B15" s="58" t="s">
        <v>507</v>
      </c>
      <c r="C15" s="81" t="s">
        <v>206</v>
      </c>
      <c r="D15" s="60">
        <f>IF('Gerencias y Oficinas'!D240="","",'Gerencias y Oficinas'!D240)</f>
        <v>20600</v>
      </c>
      <c r="E15" s="60">
        <f>IF('Gerencias y Oficinas'!E240="","",'Gerencias y Oficinas'!E240)</f>
        <v>20600</v>
      </c>
      <c r="F15" s="60">
        <f>IF('Gerencias y Oficinas'!F240="","",'Gerencias y Oficinas'!F240)</f>
        <v>0</v>
      </c>
      <c r="G15" s="60">
        <f>IF('Gerencias y Oficinas'!G240="","",'Gerencias y Oficinas'!G240)</f>
        <v>17783.599999999999</v>
      </c>
      <c r="H15" s="60">
        <f>IF('Gerencias y Oficinas'!H240="","",'Gerencias y Oficinas'!H240)</f>
        <v>2816.4000000000015</v>
      </c>
      <c r="I15" s="66">
        <f>IF('Gerencias y Oficinas'!I240="","",'Gerencias y Oficinas'!I240)</f>
        <v>0.86328155339805823</v>
      </c>
      <c r="J15" s="257" t="str">
        <f>IF('Gerencias y Oficinas'!J240="","",'Gerencias y Oficinas'!J240)</f>
        <v/>
      </c>
      <c r="K15" s="257" t="str">
        <f>IF('Gerencias y Oficinas'!K240="","",'Gerencias y Oficinas'!K240)</f>
        <v>Por completar</v>
      </c>
      <c r="L15" s="236">
        <f>IF('Gerencias y Oficinas'!L240="","",'Gerencias y Oficinas'!L240)</f>
        <v>40062</v>
      </c>
      <c r="M15" s="236">
        <f>IF('Gerencias y Oficinas'!M240="","",'Gerencias y Oficinas'!M240)</f>
        <v>0</v>
      </c>
      <c r="N15" s="236">
        <f>IF('Gerencias y Oficinas'!N240="","",'Gerencias y Oficinas'!N240)</f>
        <v>0</v>
      </c>
      <c r="O15" s="236">
        <f>IF('Gerencias y Oficinas'!O240="","",'Gerencias y Oficinas'!O240)</f>
        <v>0</v>
      </c>
    </row>
    <row r="16" spans="1:15" ht="102" x14ac:dyDescent="0.2">
      <c r="A16" s="52">
        <f>SUBTOTAL(103,$B$10:B16)</f>
        <v>7</v>
      </c>
      <c r="B16" s="69">
        <v>263</v>
      </c>
      <c r="C16" s="82" t="s">
        <v>303</v>
      </c>
      <c r="D16" s="60">
        <f>IF('Gerencias y Oficinas'!D241="","",'Gerencias y Oficinas'!D241)</f>
        <v>3517960</v>
      </c>
      <c r="E16" s="60">
        <f>IF('Gerencias y Oficinas'!E241="","",'Gerencias y Oficinas'!E241)</f>
        <v>3461030.1</v>
      </c>
      <c r="F16" s="60">
        <f>IF('Gerencias y Oficinas'!F241="","",'Gerencias y Oficinas'!F241)</f>
        <v>56929.899999999907</v>
      </c>
      <c r="G16" s="60">
        <f>IF('Gerencias y Oficinas'!G241="","",'Gerencias y Oficinas'!G241)</f>
        <v>2179648.5099999998</v>
      </c>
      <c r="H16" s="60">
        <f>IF('Gerencias y Oficinas'!H241="","",'Gerencias y Oficinas'!H241)</f>
        <v>1338311.4900000002</v>
      </c>
      <c r="I16" s="66">
        <f>IF('Gerencias y Oficinas'!I241="","",'Gerencias y Oficinas'!I241)</f>
        <v>0.61957739997043737</v>
      </c>
      <c r="J16" s="257" t="str">
        <f>IF('Gerencias y Oficinas'!J241="","",'Gerencias y Oficinas'!J241)</f>
        <v/>
      </c>
      <c r="K16" s="257" t="str">
        <f>IF('Gerencias y Oficinas'!K241="","",'Gerencias y Oficinas'!K241)</f>
        <v>Por completar</v>
      </c>
      <c r="L16" s="236">
        <f>IF('Gerencias y Oficinas'!L241="","",'Gerencias y Oficinas'!L241)</f>
        <v>2000000</v>
      </c>
      <c r="M16" s="236">
        <f>IF('Gerencias y Oficinas'!M241="","",'Gerencias y Oficinas'!M241)</f>
        <v>64020</v>
      </c>
      <c r="N16" s="236">
        <f>IF('Gerencias y Oficinas'!N241="","",'Gerencias y Oficinas'!N241)</f>
        <v>1401972</v>
      </c>
      <c r="O16" s="236">
        <f>IF('Gerencias y Oficinas'!O241="","",'Gerencias y Oficinas'!O241)</f>
        <v>495265</v>
      </c>
    </row>
    <row r="17" spans="1:15" ht="114.75" x14ac:dyDescent="0.2">
      <c r="A17" s="52">
        <f>SUBTOTAL(103,$B$10:B17)</f>
        <v>8</v>
      </c>
      <c r="B17" s="69">
        <v>281</v>
      </c>
      <c r="C17" s="82" t="s">
        <v>310</v>
      </c>
      <c r="D17" s="60">
        <f>IF('Gerencias y Oficinas'!D242="","",'Gerencias y Oficinas'!D242)</f>
        <v>2170829</v>
      </c>
      <c r="E17" s="60">
        <f>IF('Gerencias y Oficinas'!E242="","",'Gerencias y Oficinas'!E242)</f>
        <v>2170829</v>
      </c>
      <c r="F17" s="60">
        <f>IF('Gerencias y Oficinas'!F242="","",'Gerencias y Oficinas'!F242)</f>
        <v>0</v>
      </c>
      <c r="G17" s="60">
        <f>IF('Gerencias y Oficinas'!G242="","",'Gerencias y Oficinas'!G242)</f>
        <v>147448.29999999999</v>
      </c>
      <c r="H17" s="60">
        <f>IF('Gerencias y Oficinas'!H242="","",'Gerencias y Oficinas'!H242)</f>
        <v>2023380.7</v>
      </c>
      <c r="I17" s="66">
        <f>IF('Gerencias y Oficinas'!I242="","",'Gerencias y Oficinas'!I242)</f>
        <v>6.7922577043148025E-2</v>
      </c>
      <c r="J17" s="257" t="str">
        <f>IF('Gerencias y Oficinas'!J242="","",'Gerencias y Oficinas'!J242)</f>
        <v/>
      </c>
      <c r="K17" s="257" t="str">
        <f>IF('Gerencias y Oficinas'!K242="","",'Gerencias y Oficinas'!K242)</f>
        <v>Por completar</v>
      </c>
      <c r="L17" s="236">
        <f>IF('Gerencias y Oficinas'!L242="","",'Gerencias y Oficinas'!L242)</f>
        <v>2421000</v>
      </c>
      <c r="M17" s="236">
        <f>IF('Gerencias y Oficinas'!M242="","",'Gerencias y Oficinas'!M242)</f>
        <v>2508625</v>
      </c>
      <c r="N17" s="236">
        <f>IF('Gerencias y Oficinas'!N242="","",'Gerencias y Oficinas'!N242)</f>
        <v>546908</v>
      </c>
      <c r="O17" s="236">
        <f>IF('Gerencias y Oficinas'!O242="","",'Gerencias y Oficinas'!O242)</f>
        <v>170650</v>
      </c>
    </row>
    <row r="18" spans="1:15" ht="63.75" x14ac:dyDescent="0.2">
      <c r="A18" s="52">
        <f>SUBTOTAL(103,$B$10:B18)</f>
        <v>9</v>
      </c>
      <c r="B18" s="69">
        <v>285</v>
      </c>
      <c r="C18" s="82" t="s">
        <v>419</v>
      </c>
      <c r="D18" s="60">
        <f>IF('Gerencias y Oficinas'!D243="","",'Gerencias y Oficinas'!D243)</f>
        <v>31336</v>
      </c>
      <c r="E18" s="60">
        <f>IF('Gerencias y Oficinas'!E243="","",'Gerencias y Oficinas'!E243)</f>
        <v>0</v>
      </c>
      <c r="F18" s="60">
        <f>IF('Gerencias y Oficinas'!F243="","",'Gerencias y Oficinas'!F243)</f>
        <v>31336</v>
      </c>
      <c r="G18" s="60">
        <f>IF('Gerencias y Oficinas'!G243="","",'Gerencias y Oficinas'!G243)</f>
        <v>0</v>
      </c>
      <c r="H18" s="60">
        <f>IF('Gerencias y Oficinas'!H243="","",'Gerencias y Oficinas'!H243)</f>
        <v>31336</v>
      </c>
      <c r="I18" s="66">
        <f>IF('Gerencias y Oficinas'!I243="","",'Gerencias y Oficinas'!I243)</f>
        <v>0</v>
      </c>
      <c r="J18" s="257" t="str">
        <f>IF('Gerencias y Oficinas'!J243="","",'Gerencias y Oficinas'!J243)</f>
        <v/>
      </c>
      <c r="K18" s="257" t="str">
        <f>IF('Gerencias y Oficinas'!K243="","",'Gerencias y Oficinas'!K243)</f>
        <v>Por completar</v>
      </c>
      <c r="L18" s="236">
        <f>IF('Gerencias y Oficinas'!L243="","",'Gerencias y Oficinas'!L243)</f>
        <v>513444</v>
      </c>
      <c r="M18" s="236">
        <f>IF('Gerencias y Oficinas'!M243="","",'Gerencias y Oficinas'!M243)</f>
        <v>0</v>
      </c>
      <c r="N18" s="236">
        <f>IF('Gerencias y Oficinas'!N243="","",'Gerencias y Oficinas'!N243)</f>
        <v>0</v>
      </c>
      <c r="O18" s="236">
        <f>IF('Gerencias y Oficinas'!O243="","",'Gerencias y Oficinas'!O243)</f>
        <v>0</v>
      </c>
    </row>
    <row r="19" spans="1:15" ht="102" x14ac:dyDescent="0.2">
      <c r="A19" s="52">
        <f>SUBTOTAL(103,$B$10:B19)</f>
        <v>10</v>
      </c>
      <c r="B19" s="69">
        <v>287</v>
      </c>
      <c r="C19" s="82" t="s">
        <v>431</v>
      </c>
      <c r="D19" s="60">
        <f>IF('Gerencias y Oficinas'!D244="","",'Gerencias y Oficinas'!D244)</f>
        <v>1263865</v>
      </c>
      <c r="E19" s="60">
        <f>IF('Gerencias y Oficinas'!E244="","",'Gerencias y Oficinas'!E244)</f>
        <v>1181167.94</v>
      </c>
      <c r="F19" s="60">
        <f>IF('Gerencias y Oficinas'!F244="","",'Gerencias y Oficinas'!F244)</f>
        <v>82697.060000000056</v>
      </c>
      <c r="G19" s="60">
        <f>IF('Gerencias y Oficinas'!G244="","",'Gerencias y Oficinas'!G244)</f>
        <v>146441.28</v>
      </c>
      <c r="H19" s="60">
        <f>IF('Gerencias y Oficinas'!H244="","",'Gerencias y Oficinas'!H244)</f>
        <v>1117423.72</v>
      </c>
      <c r="I19" s="66">
        <f>IF('Gerencias y Oficinas'!I244="","",'Gerencias y Oficinas'!I244)</f>
        <v>0.11586781816095865</v>
      </c>
      <c r="J19" s="257" t="str">
        <f>IF('Gerencias y Oficinas'!J244="","",'Gerencias y Oficinas'!J244)</f>
        <v/>
      </c>
      <c r="K19" s="257" t="str">
        <f>IF('Gerencias y Oficinas'!K244="","",'Gerencias y Oficinas'!K244)</f>
        <v>Por completar</v>
      </c>
      <c r="L19" s="236">
        <f>IF('Gerencias y Oficinas'!L244="","",'Gerencias y Oficinas'!L244)</f>
        <v>894000</v>
      </c>
      <c r="M19" s="236">
        <f>IF('Gerencias y Oficinas'!M244="","",'Gerencias y Oficinas'!M244)</f>
        <v>0</v>
      </c>
      <c r="N19" s="236">
        <f>IF('Gerencias y Oficinas'!N244="","",'Gerencias y Oficinas'!N244)</f>
        <v>825648</v>
      </c>
      <c r="O19" s="236">
        <f>IF('Gerencias y Oficinas'!O244="","",'Gerencias y Oficinas'!O244)</f>
        <v>825648</v>
      </c>
    </row>
    <row r="20" spans="1:15" ht="127.5" x14ac:dyDescent="0.2">
      <c r="A20" s="52">
        <f>SUBTOTAL(103,$B$10:B20)</f>
        <v>11</v>
      </c>
      <c r="B20" s="69">
        <v>313</v>
      </c>
      <c r="C20" s="82" t="s">
        <v>472</v>
      </c>
      <c r="D20" s="60">
        <f>IF('Gerencias y Oficinas'!D245="","",'Gerencias y Oficinas'!D245)</f>
        <v>8483998</v>
      </c>
      <c r="E20" s="60">
        <f>IF('Gerencias y Oficinas'!E245="","",'Gerencias y Oficinas'!E245)</f>
        <v>8474782.3099999987</v>
      </c>
      <c r="F20" s="60">
        <f>IF('Gerencias y Oficinas'!F245="","",'Gerencias y Oficinas'!F245)</f>
        <v>9215.6900000013411</v>
      </c>
      <c r="G20" s="60">
        <f>IF('Gerencias y Oficinas'!G245="","",'Gerencias y Oficinas'!G245)</f>
        <v>5322446.09</v>
      </c>
      <c r="H20" s="60">
        <f>IF('Gerencias y Oficinas'!H245="","",'Gerencias y Oficinas'!H245)</f>
        <v>3161551.91</v>
      </c>
      <c r="I20" s="66">
        <f>IF('Gerencias y Oficinas'!I245="","",'Gerencias y Oficinas'!I245)</f>
        <v>0.627351172171422</v>
      </c>
      <c r="J20" s="257" t="str">
        <f>IF('Gerencias y Oficinas'!J245="","",'Gerencias y Oficinas'!J245)</f>
        <v/>
      </c>
      <c r="K20" s="257" t="str">
        <f>IF('Gerencias y Oficinas'!K245="","",'Gerencias y Oficinas'!K245)</f>
        <v>Por completar</v>
      </c>
      <c r="L20" s="236">
        <f>IF('Gerencias y Oficinas'!L245="","",'Gerencias y Oficinas'!L245)</f>
        <v>2578971</v>
      </c>
      <c r="M20" s="236">
        <f>IF('Gerencias y Oficinas'!M245="","",'Gerencias y Oficinas'!M245)</f>
        <v>22487</v>
      </c>
      <c r="N20" s="236">
        <f>IF('Gerencias y Oficinas'!N245="","",'Gerencias y Oficinas'!N245)</f>
        <v>500000</v>
      </c>
      <c r="O20" s="236">
        <f>IF('Gerencias y Oficinas'!O245="","",'Gerencias y Oficinas'!O245)</f>
        <v>500000</v>
      </c>
    </row>
    <row r="21" spans="1:15" ht="114.75" x14ac:dyDescent="0.2">
      <c r="A21" s="52">
        <f>SUBTOTAL(103,$B$10:B21)</f>
        <v>12</v>
      </c>
      <c r="B21" s="69">
        <v>314</v>
      </c>
      <c r="C21" s="82" t="s">
        <v>208</v>
      </c>
      <c r="D21" s="60">
        <f>IF('Gerencias y Oficinas'!D246="","",'Gerencias y Oficinas'!D246)</f>
        <v>4219373</v>
      </c>
      <c r="E21" s="60">
        <f>IF('Gerencias y Oficinas'!E246="","",'Gerencias y Oficinas'!E246)</f>
        <v>4183621.03</v>
      </c>
      <c r="F21" s="60">
        <f>IF('Gerencias y Oficinas'!F246="","",'Gerencias y Oficinas'!F246)</f>
        <v>35751.970000000205</v>
      </c>
      <c r="G21" s="60">
        <f>IF('Gerencias y Oficinas'!G246="","",'Gerencias y Oficinas'!G246)</f>
        <v>3829328.08</v>
      </c>
      <c r="H21" s="60">
        <f>IF('Gerencias y Oficinas'!H246="","",'Gerencias y Oficinas'!H246)</f>
        <v>390044.91999999993</v>
      </c>
      <c r="I21" s="66">
        <f>IF('Gerencias y Oficinas'!I246="","",'Gerencias y Oficinas'!I246)</f>
        <v>0.90755855905604932</v>
      </c>
      <c r="J21" s="257" t="str">
        <f>IF('Gerencias y Oficinas'!J246="","",'Gerencias y Oficinas'!J246)</f>
        <v/>
      </c>
      <c r="K21" s="257" t="str">
        <f>IF('Gerencias y Oficinas'!K246="","",'Gerencias y Oficinas'!K246)</f>
        <v>Por completar</v>
      </c>
      <c r="L21" s="236">
        <f>IF('Gerencias y Oficinas'!L246="","",'Gerencias y Oficinas'!L246)</f>
        <v>3305500</v>
      </c>
      <c r="M21" s="236">
        <f>IF('Gerencias y Oficinas'!M246="","",'Gerencias y Oficinas'!M246)</f>
        <v>177809</v>
      </c>
      <c r="N21" s="236">
        <f>IF('Gerencias y Oficinas'!N246="","",'Gerencias y Oficinas'!N246)</f>
        <v>150483</v>
      </c>
      <c r="O21" s="236">
        <f>IF('Gerencias y Oficinas'!O246="","",'Gerencias y Oficinas'!O246)</f>
        <v>0</v>
      </c>
    </row>
    <row r="22" spans="1:15" ht="114.75" x14ac:dyDescent="0.2">
      <c r="A22" s="52">
        <f>SUBTOTAL(103,$B$10:B22)</f>
        <v>13</v>
      </c>
      <c r="B22" s="69">
        <v>343</v>
      </c>
      <c r="C22" s="82" t="s">
        <v>467</v>
      </c>
      <c r="D22" s="60">
        <f>IF('Gerencias y Oficinas'!D247="","",'Gerencias y Oficinas'!D247)</f>
        <v>13926334</v>
      </c>
      <c r="E22" s="60">
        <f>IF('Gerencias y Oficinas'!E247="","",'Gerencias y Oficinas'!E247)</f>
        <v>13763618.01</v>
      </c>
      <c r="F22" s="60">
        <f>IF('Gerencias y Oficinas'!F247="","",'Gerencias y Oficinas'!F247)</f>
        <v>162715.99000000022</v>
      </c>
      <c r="G22" s="60">
        <f>IF('Gerencias y Oficinas'!G247="","",'Gerencias y Oficinas'!G247)</f>
        <v>182925.48</v>
      </c>
      <c r="H22" s="60">
        <f>IF('Gerencias y Oficinas'!H247="","",'Gerencias y Oficinas'!H247)</f>
        <v>13743408.52</v>
      </c>
      <c r="I22" s="66">
        <f>IF('Gerencias y Oficinas'!I247="","",'Gerencias y Oficinas'!I247)</f>
        <v>1.3135221372688606E-2</v>
      </c>
      <c r="J22" s="257" t="str">
        <f>IF('Gerencias y Oficinas'!J247="","",'Gerencias y Oficinas'!J247)</f>
        <v/>
      </c>
      <c r="K22" s="257" t="str">
        <f>IF('Gerencias y Oficinas'!K247="","",'Gerencias y Oficinas'!K247)</f>
        <v>Por completar</v>
      </c>
      <c r="L22" s="236">
        <f>IF('Gerencias y Oficinas'!L247="","",'Gerencias y Oficinas'!L247)</f>
        <v>923830</v>
      </c>
      <c r="M22" s="236">
        <f>IF('Gerencias y Oficinas'!M247="","",'Gerencias y Oficinas'!M247)</f>
        <v>1124828</v>
      </c>
      <c r="N22" s="236">
        <f>IF('Gerencias y Oficinas'!N247="","",'Gerencias y Oficinas'!N247)</f>
        <v>450000</v>
      </c>
      <c r="O22" s="236">
        <f>IF('Gerencias y Oficinas'!O247="","",'Gerencias y Oficinas'!O247)</f>
        <v>450000</v>
      </c>
    </row>
    <row r="23" spans="1:15" ht="51" x14ac:dyDescent="0.2">
      <c r="A23" s="52">
        <f>SUBTOTAL(103,$B$10:B23)</f>
        <v>14</v>
      </c>
      <c r="B23" s="69">
        <v>344</v>
      </c>
      <c r="C23" s="82" t="s">
        <v>418</v>
      </c>
      <c r="D23" s="60">
        <f>IF('Gerencias y Oficinas'!D248="","",'Gerencias y Oficinas'!D248)</f>
        <v>1175365</v>
      </c>
      <c r="E23" s="60">
        <f>IF('Gerencias y Oficinas'!E248="","",'Gerencias y Oficinas'!E248)</f>
        <v>285679.94</v>
      </c>
      <c r="F23" s="60">
        <f>IF('Gerencias y Oficinas'!F248="","",'Gerencias y Oficinas'!F248)</f>
        <v>889685.06</v>
      </c>
      <c r="G23" s="60">
        <f>IF('Gerencias y Oficinas'!G248="","",'Gerencias y Oficinas'!G248)</f>
        <v>278011.28000000003</v>
      </c>
      <c r="H23" s="60">
        <f>IF('Gerencias y Oficinas'!H248="","",'Gerencias y Oficinas'!H248)</f>
        <v>897353.72</v>
      </c>
      <c r="I23" s="66">
        <f>IF('Gerencias y Oficinas'!I248="","",'Gerencias y Oficinas'!I248)</f>
        <v>0.23653186882372712</v>
      </c>
      <c r="J23" s="257" t="str">
        <f>IF('Gerencias y Oficinas'!J248="","",'Gerencias y Oficinas'!J248)</f>
        <v/>
      </c>
      <c r="K23" s="257" t="str">
        <f>IF('Gerencias y Oficinas'!K248="","",'Gerencias y Oficinas'!K248)</f>
        <v>Por completar</v>
      </c>
      <c r="L23" s="236">
        <f>IF('Gerencias y Oficinas'!L248="","",'Gerencias y Oficinas'!L248)</f>
        <v>300000</v>
      </c>
      <c r="M23" s="236">
        <f>IF('Gerencias y Oficinas'!M248="","",'Gerencias y Oficinas'!M248)</f>
        <v>163232</v>
      </c>
      <c r="N23" s="236">
        <f>IF('Gerencias y Oficinas'!N248="","",'Gerencias y Oficinas'!N248)</f>
        <v>0</v>
      </c>
      <c r="O23" s="236">
        <f>IF('Gerencias y Oficinas'!O248="","",'Gerencias y Oficinas'!O248)</f>
        <v>0</v>
      </c>
    </row>
    <row r="24" spans="1:15" ht="89.25" x14ac:dyDescent="0.2">
      <c r="A24" s="52">
        <f>SUBTOTAL(103,$B$10:B24)</f>
        <v>15</v>
      </c>
      <c r="B24" s="69">
        <v>346</v>
      </c>
      <c r="C24" s="82" t="s">
        <v>209</v>
      </c>
      <c r="D24" s="60">
        <f>IF('Gerencias y Oficinas'!D249="","",'Gerencias y Oficinas'!D249)</f>
        <v>392605</v>
      </c>
      <c r="E24" s="60">
        <f>IF('Gerencias y Oficinas'!E249="","",'Gerencias y Oficinas'!E249)</f>
        <v>337020.28</v>
      </c>
      <c r="F24" s="60">
        <f>IF('Gerencias y Oficinas'!F249="","",'Gerencias y Oficinas'!F249)</f>
        <v>55584.719999999972</v>
      </c>
      <c r="G24" s="60">
        <f>IF('Gerencias y Oficinas'!G249="","",'Gerencias y Oficinas'!G249)</f>
        <v>298073.84999999998</v>
      </c>
      <c r="H24" s="60">
        <f>IF('Gerencias y Oficinas'!H249="","",'Gerencias y Oficinas'!H249)</f>
        <v>94531.150000000023</v>
      </c>
      <c r="I24" s="66">
        <f>IF('Gerencias y Oficinas'!I249="","",'Gerencias y Oficinas'!I249)</f>
        <v>0.75922071802447744</v>
      </c>
      <c r="J24" s="257" t="str">
        <f>IF('Gerencias y Oficinas'!J249="","",'Gerencias y Oficinas'!J249)</f>
        <v/>
      </c>
      <c r="K24" s="257" t="str">
        <f>IF('Gerencias y Oficinas'!K249="","",'Gerencias y Oficinas'!K249)</f>
        <v>Por completar</v>
      </c>
      <c r="L24" s="236">
        <f>IF('Gerencias y Oficinas'!L249="","",'Gerencias y Oficinas'!L249)</f>
        <v>587684</v>
      </c>
      <c r="M24" s="236">
        <f>IF('Gerencias y Oficinas'!M249="","",'Gerencias y Oficinas'!M249)</f>
        <v>31681</v>
      </c>
      <c r="N24" s="236">
        <f>IF('Gerencias y Oficinas'!N249="","",'Gerencias y Oficinas'!N249)</f>
        <v>755677</v>
      </c>
      <c r="O24" s="236">
        <f>IF('Gerencias y Oficinas'!O249="","",'Gerencias y Oficinas'!O249)</f>
        <v>0</v>
      </c>
    </row>
    <row r="25" spans="1:15" ht="114.75" x14ac:dyDescent="0.2">
      <c r="A25" s="52">
        <f>SUBTOTAL(103,$B$10:B25)</f>
        <v>16</v>
      </c>
      <c r="B25" s="69">
        <v>379</v>
      </c>
      <c r="C25" s="82" t="s">
        <v>468</v>
      </c>
      <c r="D25" s="60">
        <f>IF('Gerencias y Oficinas'!D250="","",'Gerencias y Oficinas'!D250)</f>
        <v>167074</v>
      </c>
      <c r="E25" s="60">
        <f>IF('Gerencias y Oficinas'!E250="","",'Gerencias y Oficinas'!E250)</f>
        <v>63765.14</v>
      </c>
      <c r="F25" s="60">
        <f>IF('Gerencias y Oficinas'!F250="","",'Gerencias y Oficinas'!F250)</f>
        <v>103308.86</v>
      </c>
      <c r="G25" s="60">
        <f>IF('Gerencias y Oficinas'!G250="","",'Gerencias y Oficinas'!G250)</f>
        <v>62264.09</v>
      </c>
      <c r="H25" s="60">
        <f>IF('Gerencias y Oficinas'!H250="","",'Gerencias y Oficinas'!H250)</f>
        <v>104809.91</v>
      </c>
      <c r="I25" s="66">
        <f>IF('Gerencias y Oficinas'!I250="","",'Gerencias y Oficinas'!I250)</f>
        <v>0.37267372541508553</v>
      </c>
      <c r="J25" s="257" t="str">
        <f>IF('Gerencias y Oficinas'!J250="","",'Gerencias y Oficinas'!J250)</f>
        <v/>
      </c>
      <c r="K25" s="257" t="str">
        <f>IF('Gerencias y Oficinas'!K250="","",'Gerencias y Oficinas'!K250)</f>
        <v>Por completar</v>
      </c>
      <c r="L25" s="236">
        <f>IF('Gerencias y Oficinas'!L250="","",'Gerencias y Oficinas'!L250)</f>
        <v>295210</v>
      </c>
      <c r="M25" s="236">
        <f>IF('Gerencias y Oficinas'!M250="","",'Gerencias y Oficinas'!M250)</f>
        <v>0</v>
      </c>
      <c r="N25" s="236">
        <f>IF('Gerencias y Oficinas'!N250="","",'Gerencias y Oficinas'!N250)</f>
        <v>1200001</v>
      </c>
      <c r="O25" s="236">
        <f>IF('Gerencias y Oficinas'!O250="","",'Gerencias y Oficinas'!O250)</f>
        <v>1200001</v>
      </c>
    </row>
    <row r="26" spans="1:15" ht="114.75" x14ac:dyDescent="0.2">
      <c r="A26" s="52">
        <f>SUBTOTAL(103,$B$10:B26)</f>
        <v>17</v>
      </c>
      <c r="B26" s="69">
        <v>380</v>
      </c>
      <c r="C26" s="82" t="s">
        <v>466</v>
      </c>
      <c r="D26" s="60">
        <f>IF('Gerencias y Oficinas'!D251="","",'Gerencias y Oficinas'!D251)</f>
        <v>2967206</v>
      </c>
      <c r="E26" s="60">
        <f>IF('Gerencias y Oficinas'!E251="","",'Gerencias y Oficinas'!E251)</f>
        <v>2958279.03</v>
      </c>
      <c r="F26" s="60">
        <f>IF('Gerencias y Oficinas'!F251="","",'Gerencias y Oficinas'!F251)</f>
        <v>8926.9700000002049</v>
      </c>
      <c r="G26" s="60">
        <f>IF('Gerencias y Oficinas'!G251="","",'Gerencias y Oficinas'!G251)</f>
        <v>886710.64</v>
      </c>
      <c r="H26" s="60">
        <f>IF('Gerencias y Oficinas'!H251="","",'Gerencias y Oficinas'!H251)</f>
        <v>2080495.3599999999</v>
      </c>
      <c r="I26" s="66">
        <f>IF('Gerencias y Oficinas'!I251="","",'Gerencias y Oficinas'!I251)</f>
        <v>0.29883689908958122</v>
      </c>
      <c r="J26" s="257" t="str">
        <f>IF('Gerencias y Oficinas'!J251="","",'Gerencias y Oficinas'!J251)</f>
        <v/>
      </c>
      <c r="K26" s="257" t="str">
        <f>IF('Gerencias y Oficinas'!K251="","",'Gerencias y Oficinas'!K251)</f>
        <v>Por completar</v>
      </c>
      <c r="L26" s="236">
        <f>IF('Gerencias y Oficinas'!L251="","",'Gerencias y Oficinas'!L251)</f>
        <v>309908</v>
      </c>
      <c r="M26" s="236">
        <f>IF('Gerencias y Oficinas'!M251="","",'Gerencias y Oficinas'!M251)</f>
        <v>29240</v>
      </c>
      <c r="N26" s="236">
        <f>IF('Gerencias y Oficinas'!N251="","",'Gerencias y Oficinas'!N251)</f>
        <v>1302067</v>
      </c>
      <c r="O26" s="236">
        <f>IF('Gerencias y Oficinas'!O251="","",'Gerencias y Oficinas'!O251)</f>
        <v>604135</v>
      </c>
    </row>
    <row r="27" spans="1:15" ht="76.5" x14ac:dyDescent="0.2">
      <c r="A27" s="52">
        <f>SUBTOTAL(103,$B$10:B27)</f>
        <v>18</v>
      </c>
      <c r="B27" s="69">
        <v>382</v>
      </c>
      <c r="C27" s="82" t="s">
        <v>497</v>
      </c>
      <c r="D27" s="60">
        <f>IF('Gerencias y Oficinas'!D252="","",'Gerencias y Oficinas'!D252)</f>
        <v>2040218</v>
      </c>
      <c r="E27" s="60">
        <f>IF('Gerencias y Oficinas'!E252="","",'Gerencias y Oficinas'!E252)</f>
        <v>2014066.28</v>
      </c>
      <c r="F27" s="60">
        <f>IF('Gerencias y Oficinas'!F252="","",'Gerencias y Oficinas'!F252)</f>
        <v>26151.719999999972</v>
      </c>
      <c r="G27" s="60">
        <f>IF('Gerencias y Oficinas'!G252="","",'Gerencias y Oficinas'!G252)</f>
        <v>153737.13</v>
      </c>
      <c r="H27" s="60">
        <f>IF('Gerencias y Oficinas'!H252="","",'Gerencias y Oficinas'!H252)</f>
        <v>1886480.87</v>
      </c>
      <c r="I27" s="66">
        <f>IF('Gerencias y Oficinas'!I252="","",'Gerencias y Oficinas'!I252)</f>
        <v>7.53532857763239E-2</v>
      </c>
      <c r="J27" s="257" t="str">
        <f>IF('Gerencias y Oficinas'!J252="","",'Gerencias y Oficinas'!J252)</f>
        <v/>
      </c>
      <c r="K27" s="257" t="str">
        <f>IF('Gerencias y Oficinas'!K252="","",'Gerencias y Oficinas'!K252)</f>
        <v>Por completar</v>
      </c>
      <c r="L27" s="236">
        <f>IF('Gerencias y Oficinas'!L252="","",'Gerencias y Oficinas'!L252)</f>
        <v>40218</v>
      </c>
      <c r="M27" s="236">
        <f>IF('Gerencias y Oficinas'!M252="","",'Gerencias y Oficinas'!M252)</f>
        <v>3757795</v>
      </c>
      <c r="N27" s="236">
        <f>IF('Gerencias y Oficinas'!N252="","",'Gerencias y Oficinas'!N252)</f>
        <v>698171</v>
      </c>
      <c r="O27" s="236">
        <f>IF('Gerencias y Oficinas'!O252="","",'Gerencias y Oficinas'!O252)</f>
        <v>0</v>
      </c>
    </row>
    <row r="28" spans="1:15" ht="89.25" x14ac:dyDescent="0.2">
      <c r="A28" s="52">
        <f>SUBTOTAL(103,$B$10:B28)</f>
        <v>19</v>
      </c>
      <c r="B28" s="69">
        <v>437</v>
      </c>
      <c r="C28" s="82" t="s">
        <v>465</v>
      </c>
      <c r="D28" s="60">
        <f>IF('Gerencias y Oficinas'!D253="","",'Gerencias y Oficinas'!D253)</f>
        <v>3974680</v>
      </c>
      <c r="E28" s="60">
        <f>IF('Gerencias y Oficinas'!E253="","",'Gerencias y Oficinas'!E253)</f>
        <v>3830379.2</v>
      </c>
      <c r="F28" s="60">
        <f>IF('Gerencias y Oficinas'!F253="","",'Gerencias y Oficinas'!F253)</f>
        <v>144300.79999999981</v>
      </c>
      <c r="G28" s="60">
        <f>IF('Gerencias y Oficinas'!G253="","",'Gerencias y Oficinas'!G253)</f>
        <v>141890.09</v>
      </c>
      <c r="H28" s="60">
        <f>IF('Gerencias y Oficinas'!H253="","",'Gerencias y Oficinas'!H253)</f>
        <v>3832789.91</v>
      </c>
      <c r="I28" s="66">
        <f>IF('Gerencias y Oficinas'!I253="","",'Gerencias y Oficinas'!I253)</f>
        <v>3.5698493966809908E-2</v>
      </c>
      <c r="J28" s="257" t="str">
        <f>IF('Gerencias y Oficinas'!J253="","",'Gerencias y Oficinas'!J253)</f>
        <v/>
      </c>
      <c r="K28" s="257" t="str">
        <f>IF('Gerencias y Oficinas'!K253="","",'Gerencias y Oficinas'!K253)</f>
        <v>Por completar</v>
      </c>
      <c r="L28" s="236">
        <f>IF('Gerencias y Oficinas'!L253="","",'Gerencias y Oficinas'!L253)</f>
        <v>2900000</v>
      </c>
      <c r="M28" s="236">
        <f>IF('Gerencias y Oficinas'!M253="","",'Gerencias y Oficinas'!M253)</f>
        <v>66882</v>
      </c>
      <c r="N28" s="236">
        <f>IF('Gerencias y Oficinas'!N253="","",'Gerencias y Oficinas'!N253)</f>
        <v>1</v>
      </c>
      <c r="O28" s="236">
        <f>IF('Gerencias y Oficinas'!O253="","",'Gerencias y Oficinas'!O253)</f>
        <v>0</v>
      </c>
    </row>
    <row r="29" spans="1:15" ht="114.75" x14ac:dyDescent="0.2">
      <c r="A29" s="52">
        <f>SUBTOTAL(103,$B$10:B29)</f>
        <v>20</v>
      </c>
      <c r="B29" s="69">
        <v>454</v>
      </c>
      <c r="C29" s="82" t="s">
        <v>581</v>
      </c>
      <c r="D29" s="60">
        <f>IF('Gerencias y Oficinas'!D254="","",'Gerencias y Oficinas'!D254)</f>
        <v>80738</v>
      </c>
      <c r="E29" s="60">
        <f>IF('Gerencias y Oficinas'!E254="","",'Gerencias y Oficinas'!E254)</f>
        <v>0</v>
      </c>
      <c r="F29" s="60">
        <f>IF('Gerencias y Oficinas'!F254="","",'Gerencias y Oficinas'!F254)</f>
        <v>80738</v>
      </c>
      <c r="G29" s="60">
        <f>IF('Gerencias y Oficinas'!G254="","",'Gerencias y Oficinas'!G254)</f>
        <v>0</v>
      </c>
      <c r="H29" s="60">
        <f>IF('Gerencias y Oficinas'!H254="","",'Gerencias y Oficinas'!H254)</f>
        <v>80738</v>
      </c>
      <c r="I29" s="66">
        <f>IF('Gerencias y Oficinas'!I254="","",'Gerencias y Oficinas'!I254)</f>
        <v>0</v>
      </c>
      <c r="J29" s="257" t="str">
        <f>IF('Gerencias y Oficinas'!J254="","",'Gerencias y Oficinas'!J254)</f>
        <v/>
      </c>
      <c r="K29" s="257" t="str">
        <f>IF('Gerencias y Oficinas'!K254="","",'Gerencias y Oficinas'!K254)</f>
        <v>Por completar</v>
      </c>
      <c r="L29" s="236" t="str">
        <f>IF('Gerencias y Oficinas'!L254="","",'Gerencias y Oficinas'!L254)</f>
        <v>Sin PMI</v>
      </c>
      <c r="M29" s="236" t="str">
        <f>IF('Gerencias y Oficinas'!M254="","",'Gerencias y Oficinas'!M254)</f>
        <v>Sin PMI</v>
      </c>
      <c r="N29" s="236" t="str">
        <f>IF('Gerencias y Oficinas'!N254="","",'Gerencias y Oficinas'!N254)</f>
        <v>Sin PMI</v>
      </c>
      <c r="O29" s="236" t="str">
        <f>IF('Gerencias y Oficinas'!O254="","",'Gerencias y Oficinas'!O254)</f>
        <v>Sin PMI</v>
      </c>
    </row>
    <row r="30" spans="1:15" ht="114.75" x14ac:dyDescent="0.2">
      <c r="A30" s="52">
        <f>SUBTOTAL(103,$B$10:B30)</f>
        <v>21</v>
      </c>
      <c r="B30" s="69">
        <v>462</v>
      </c>
      <c r="C30" s="82" t="s">
        <v>620</v>
      </c>
      <c r="D30" s="60">
        <f>IF('Gerencias y Oficinas'!D255="","",'Gerencias y Oficinas'!D255)</f>
        <v>5872577</v>
      </c>
      <c r="E30" s="60">
        <f>IF('Gerencias y Oficinas'!E255="","",'Gerencias y Oficinas'!E255)</f>
        <v>3724247.8200000003</v>
      </c>
      <c r="F30" s="60">
        <f>IF('Gerencias y Oficinas'!F255="","",'Gerencias y Oficinas'!F255)</f>
        <v>2148329.1799999997</v>
      </c>
      <c r="G30" s="60">
        <f>IF('Gerencias y Oficinas'!G255="","",'Gerencias y Oficinas'!G255)</f>
        <v>2558179.3000000003</v>
      </c>
      <c r="H30" s="60">
        <f>IF('Gerencias y Oficinas'!H255="","",'Gerencias y Oficinas'!H255)</f>
        <v>3314397.6999999997</v>
      </c>
      <c r="I30" s="66">
        <f>IF('Gerencias y Oficinas'!I255="","",'Gerencias y Oficinas'!I255)</f>
        <v>0.43561443298231767</v>
      </c>
      <c r="J30" s="257" t="str">
        <f>IF('Gerencias y Oficinas'!J255="","",'Gerencias y Oficinas'!J255)</f>
        <v/>
      </c>
      <c r="K30" s="257" t="str">
        <f>IF('Gerencias y Oficinas'!K255="","",'Gerencias y Oficinas'!K255)</f>
        <v>Por completar</v>
      </c>
      <c r="L30" s="236">
        <f>IF('Gerencias y Oficinas'!L255="","",'Gerencias y Oficinas'!L255)</f>
        <v>2421000</v>
      </c>
      <c r="M30" s="236">
        <f>IF('Gerencias y Oficinas'!M255="","",'Gerencias y Oficinas'!M255)</f>
        <v>2508625</v>
      </c>
      <c r="N30" s="236">
        <f>IF('Gerencias y Oficinas'!N255="","",'Gerencias y Oficinas'!N255)</f>
        <v>546908</v>
      </c>
      <c r="O30" s="236">
        <f>IF('Gerencias y Oficinas'!O255="","",'Gerencias y Oficinas'!O255)</f>
        <v>170650</v>
      </c>
    </row>
    <row r="31" spans="1:15" ht="76.5" x14ac:dyDescent="0.2">
      <c r="A31" s="52">
        <f>SUBTOTAL(103,$B$10:B31)</f>
        <v>22</v>
      </c>
      <c r="B31" s="69">
        <v>482</v>
      </c>
      <c r="C31" s="82" t="s">
        <v>637</v>
      </c>
      <c r="D31" s="60">
        <f>IF('Gerencias y Oficinas'!D256="","",'Gerencias y Oficinas'!D256)</f>
        <v>13758</v>
      </c>
      <c r="E31" s="60">
        <f>IF('Gerencias y Oficinas'!E256="","",'Gerencias y Oficinas'!E256)</f>
        <v>13758</v>
      </c>
      <c r="F31" s="60">
        <f>IF('Gerencias y Oficinas'!F256="","",'Gerencias y Oficinas'!F256)</f>
        <v>0</v>
      </c>
      <c r="G31" s="60">
        <f>IF('Gerencias y Oficinas'!G256="","",'Gerencias y Oficinas'!G256)</f>
        <v>13212.64</v>
      </c>
      <c r="H31" s="60">
        <f>IF('Gerencias y Oficinas'!H256="","",'Gerencias y Oficinas'!H256)</f>
        <v>545.36000000000058</v>
      </c>
      <c r="I31" s="66">
        <f>IF('Gerencias y Oficinas'!I256="","",'Gerencias y Oficinas'!I256)</f>
        <v>0.96036051751708096</v>
      </c>
      <c r="J31" s="257" t="str">
        <f>IF('Gerencias y Oficinas'!J256="","",'Gerencias y Oficinas'!J256)</f>
        <v/>
      </c>
      <c r="K31" s="257" t="str">
        <f>IF('Gerencias y Oficinas'!K256="","",'Gerencias y Oficinas'!K256)</f>
        <v>Por completar</v>
      </c>
      <c r="L31" s="236">
        <f>IF('Gerencias y Oficinas'!L256="","",'Gerencias y Oficinas'!L256)</f>
        <v>27014</v>
      </c>
      <c r="M31" s="236">
        <f>IF('Gerencias y Oficinas'!M256="","",'Gerencias y Oficinas'!M256)</f>
        <v>0</v>
      </c>
      <c r="N31" s="236">
        <f>IF('Gerencias y Oficinas'!N256="","",'Gerencias y Oficinas'!N256)</f>
        <v>0</v>
      </c>
      <c r="O31" s="236">
        <f>IF('Gerencias y Oficinas'!O256="","",'Gerencias y Oficinas'!O256)</f>
        <v>0</v>
      </c>
    </row>
    <row r="32" spans="1:15" ht="63.75" x14ac:dyDescent="0.2">
      <c r="A32" s="52">
        <f>SUBTOTAL(103,$B$10:B32)</f>
        <v>23</v>
      </c>
      <c r="B32" s="69">
        <v>485</v>
      </c>
      <c r="C32" s="82" t="s">
        <v>270</v>
      </c>
      <c r="D32" s="60">
        <f>IF('Gerencias y Oficinas'!D257="","",'Gerencias y Oficinas'!D257)</f>
        <v>10277</v>
      </c>
      <c r="E32" s="60">
        <f>IF('Gerencias y Oficinas'!E257="","",'Gerencias y Oficinas'!E257)</f>
        <v>9570</v>
      </c>
      <c r="F32" s="60">
        <f>IF('Gerencias y Oficinas'!F257="","",'Gerencias y Oficinas'!F257)</f>
        <v>707</v>
      </c>
      <c r="G32" s="60">
        <f>IF('Gerencias y Oficinas'!G257="","",'Gerencias y Oficinas'!G257)</f>
        <v>9564.68</v>
      </c>
      <c r="H32" s="60">
        <f>IF('Gerencias y Oficinas'!H257="","",'Gerencias y Oficinas'!H257)</f>
        <v>712.31999999999971</v>
      </c>
      <c r="I32" s="66">
        <f>IF('Gerencias y Oficinas'!I257="","",'Gerencias y Oficinas'!I257)</f>
        <v>0.93068794395251531</v>
      </c>
      <c r="J32" s="257" t="str">
        <f>IF('Gerencias y Oficinas'!J257="","",'Gerencias y Oficinas'!J257)</f>
        <v/>
      </c>
      <c r="K32" s="257" t="str">
        <f>IF('Gerencias y Oficinas'!K257="","",'Gerencias y Oficinas'!K257)</f>
        <v>Por completar</v>
      </c>
      <c r="L32" s="236">
        <f>IF('Gerencias y Oficinas'!L257="","",'Gerencias y Oficinas'!L257)</f>
        <v>10277</v>
      </c>
      <c r="M32" s="236">
        <f>IF('Gerencias y Oficinas'!M257="","",'Gerencias y Oficinas'!M257)</f>
        <v>27636</v>
      </c>
      <c r="N32" s="236">
        <f>IF('Gerencias y Oficinas'!N257="","",'Gerencias y Oficinas'!N257)</f>
        <v>0</v>
      </c>
      <c r="O32" s="236">
        <f>IF('Gerencias y Oficinas'!O257="","",'Gerencias y Oficinas'!O257)</f>
        <v>0</v>
      </c>
    </row>
    <row r="33" spans="1:15" ht="63.75" x14ac:dyDescent="0.2">
      <c r="A33" s="52">
        <f>SUBTOTAL(103,$B$10:B33)</f>
        <v>24</v>
      </c>
      <c r="B33" s="69">
        <v>494</v>
      </c>
      <c r="C33" s="82" t="s">
        <v>651</v>
      </c>
      <c r="D33" s="60">
        <f>IF('Gerencias y Oficinas'!D258="","",'Gerencias y Oficinas'!D258)</f>
        <v>114255</v>
      </c>
      <c r="E33" s="60">
        <f>IF('Gerencias y Oficinas'!E258="","",'Gerencias y Oficinas'!E258)</f>
        <v>0</v>
      </c>
      <c r="F33" s="60">
        <f>IF('Gerencias y Oficinas'!F258="","",'Gerencias y Oficinas'!F258)</f>
        <v>114255</v>
      </c>
      <c r="G33" s="60">
        <f>IF('Gerencias y Oficinas'!G258="","",'Gerencias y Oficinas'!G258)</f>
        <v>0</v>
      </c>
      <c r="H33" s="60">
        <f>IF('Gerencias y Oficinas'!H258="","",'Gerencias y Oficinas'!H258)</f>
        <v>114255</v>
      </c>
      <c r="I33" s="66">
        <f>IF('Gerencias y Oficinas'!I258="","",'Gerencias y Oficinas'!I258)</f>
        <v>0</v>
      </c>
      <c r="J33" s="257" t="str">
        <f>IF('Gerencias y Oficinas'!J258="","",'Gerencias y Oficinas'!J258)</f>
        <v/>
      </c>
      <c r="K33" s="257" t="str">
        <f>IF('Gerencias y Oficinas'!K258="","",'Gerencias y Oficinas'!K258)</f>
        <v>Por completar</v>
      </c>
      <c r="L33" s="236" t="str">
        <f>IF('Gerencias y Oficinas'!L258="","",'Gerencias y Oficinas'!L258)</f>
        <v>Sin PMI</v>
      </c>
      <c r="M33" s="236" t="str">
        <f>IF('Gerencias y Oficinas'!M258="","",'Gerencias y Oficinas'!M258)</f>
        <v>Sin PMI</v>
      </c>
      <c r="N33" s="236" t="str">
        <f>IF('Gerencias y Oficinas'!N258="","",'Gerencias y Oficinas'!N258)</f>
        <v>Sin PMI</v>
      </c>
      <c r="O33" s="236" t="str">
        <f>IF('Gerencias y Oficinas'!O258="","",'Gerencias y Oficinas'!O258)</f>
        <v>Sin PMI</v>
      </c>
    </row>
    <row r="34" spans="1:15" ht="114.75" x14ac:dyDescent="0.2">
      <c r="A34" s="52">
        <f>SUBTOTAL(103,$B$10:B34)</f>
        <v>25</v>
      </c>
      <c r="B34" s="69">
        <v>497</v>
      </c>
      <c r="C34" s="82" t="s">
        <v>655</v>
      </c>
      <c r="D34" s="60">
        <f>IF('Gerencias y Oficinas'!D259="","",'Gerencias y Oficinas'!D259)</f>
        <v>36445</v>
      </c>
      <c r="E34" s="60">
        <f>IF('Gerencias y Oficinas'!E259="","",'Gerencias y Oficinas'!E259)</f>
        <v>0</v>
      </c>
      <c r="F34" s="60">
        <f>IF('Gerencias y Oficinas'!F259="","",'Gerencias y Oficinas'!F259)</f>
        <v>36445</v>
      </c>
      <c r="G34" s="60">
        <f>IF('Gerencias y Oficinas'!G259="","",'Gerencias y Oficinas'!G259)</f>
        <v>0</v>
      </c>
      <c r="H34" s="60">
        <f>IF('Gerencias y Oficinas'!H259="","",'Gerencias y Oficinas'!H259)</f>
        <v>36445</v>
      </c>
      <c r="I34" s="66">
        <f>IF('Gerencias y Oficinas'!I259="","",'Gerencias y Oficinas'!I259)</f>
        <v>0</v>
      </c>
      <c r="J34" s="257" t="str">
        <f>IF('Gerencias y Oficinas'!J259="","",'Gerencias y Oficinas'!J259)</f>
        <v/>
      </c>
      <c r="K34" s="257" t="str">
        <f>IF('Gerencias y Oficinas'!K259="","",'Gerencias y Oficinas'!K259)</f>
        <v>Por completar</v>
      </c>
      <c r="L34" s="236" t="str">
        <f>IF('Gerencias y Oficinas'!L259="","",'Gerencias y Oficinas'!L259)</f>
        <v>Sin PMI</v>
      </c>
      <c r="M34" s="236" t="str">
        <f>IF('Gerencias y Oficinas'!M259="","",'Gerencias y Oficinas'!M259)</f>
        <v>Sin PMI</v>
      </c>
      <c r="N34" s="236" t="str">
        <f>IF('Gerencias y Oficinas'!N259="","",'Gerencias y Oficinas'!N259)</f>
        <v>Sin PMI</v>
      </c>
      <c r="O34" s="236" t="str">
        <f>IF('Gerencias y Oficinas'!O259="","",'Gerencias y Oficinas'!O259)</f>
        <v>Sin PMI</v>
      </c>
    </row>
    <row r="35" spans="1:15" ht="114.75" x14ac:dyDescent="0.2">
      <c r="A35" s="52">
        <f>SUBTOTAL(103,$B$10:B35)</f>
        <v>26</v>
      </c>
      <c r="B35" s="69">
        <v>498</v>
      </c>
      <c r="C35" s="82" t="s">
        <v>656</v>
      </c>
      <c r="D35" s="60">
        <f>IF('Gerencias y Oficinas'!D260="","",'Gerencias y Oficinas'!D260)</f>
        <v>39485</v>
      </c>
      <c r="E35" s="60">
        <f>IF('Gerencias y Oficinas'!E260="","",'Gerencias y Oficinas'!E260)</f>
        <v>0</v>
      </c>
      <c r="F35" s="60">
        <f>IF('Gerencias y Oficinas'!F260="","",'Gerencias y Oficinas'!F260)</f>
        <v>39485</v>
      </c>
      <c r="G35" s="60">
        <f>IF('Gerencias y Oficinas'!G260="","",'Gerencias y Oficinas'!G260)</f>
        <v>0</v>
      </c>
      <c r="H35" s="60">
        <f>IF('Gerencias y Oficinas'!H260="","",'Gerencias y Oficinas'!H260)</f>
        <v>39485</v>
      </c>
      <c r="I35" s="66">
        <f>IF('Gerencias y Oficinas'!I260="","",'Gerencias y Oficinas'!I260)</f>
        <v>0</v>
      </c>
      <c r="J35" s="257" t="str">
        <f>IF('Gerencias y Oficinas'!J260="","",'Gerencias y Oficinas'!J260)</f>
        <v/>
      </c>
      <c r="K35" s="257" t="str">
        <f>IF('Gerencias y Oficinas'!K260="","",'Gerencias y Oficinas'!K260)</f>
        <v>Por completar</v>
      </c>
      <c r="L35" s="236" t="str">
        <f>IF('Gerencias y Oficinas'!L260="","",'Gerencias y Oficinas'!L260)</f>
        <v>Sin PMI</v>
      </c>
      <c r="M35" s="236" t="str">
        <f>IF('Gerencias y Oficinas'!M260="","",'Gerencias y Oficinas'!M260)</f>
        <v>Sin PMI</v>
      </c>
      <c r="N35" s="236" t="str">
        <f>IF('Gerencias y Oficinas'!N260="","",'Gerencias y Oficinas'!N260)</f>
        <v>Sin PMI</v>
      </c>
      <c r="O35" s="236" t="str">
        <f>IF('Gerencias y Oficinas'!O260="","",'Gerencias y Oficinas'!O260)</f>
        <v>Sin PMI</v>
      </c>
    </row>
    <row r="36" spans="1:15" ht="16.5" x14ac:dyDescent="0.2">
      <c r="A36" s="150" t="s">
        <v>610</v>
      </c>
      <c r="B36" s="150"/>
      <c r="C36" s="150"/>
      <c r="D36" s="50">
        <f>D37+D38+D39+D40+D41+D42+D43+D44+D46+D47+D48</f>
        <v>9526686</v>
      </c>
      <c r="E36" s="50">
        <f>E37+E38+E39+E40+E41+E42+E43+E44+E46+E47+E48</f>
        <v>7349693.7199999997</v>
      </c>
      <c r="F36" s="50">
        <f>D36-E36</f>
        <v>2176992.2800000003</v>
      </c>
      <c r="G36" s="50">
        <f>G37+G38+G39+G40+G41+G42+G43+G44+G46+G47+G48</f>
        <v>335809.26</v>
      </c>
      <c r="H36" s="50">
        <f>D36-G36</f>
        <v>9190876.7400000002</v>
      </c>
      <c r="I36" s="51">
        <f>IF(D36=0,0,G36/D36)</f>
        <v>3.5249325946084507E-2</v>
      </c>
      <c r="J36" s="256"/>
      <c r="K36" s="256"/>
      <c r="L36" s="230"/>
      <c r="M36" s="230"/>
      <c r="N36" s="230"/>
      <c r="O36" s="230"/>
    </row>
    <row r="37" spans="1:15" ht="114.75" x14ac:dyDescent="0.2">
      <c r="A37" s="52">
        <f>SUBTOTAL(103,$B$10:B37)</f>
        <v>27</v>
      </c>
      <c r="B37" s="69">
        <v>512</v>
      </c>
      <c r="C37" s="82" t="s">
        <v>663</v>
      </c>
      <c r="D37" s="60">
        <f>IF('Gerencias y Oficinas'!D263="","",'Gerencias y Oficinas'!D263)</f>
        <v>3254770</v>
      </c>
      <c r="E37" s="60">
        <f>IF('Gerencias y Oficinas'!E263="","",'Gerencias y Oficinas'!E263)</f>
        <v>2925559.55</v>
      </c>
      <c r="F37" s="60">
        <f>IF('Gerencias y Oficinas'!F263="","",'Gerencias y Oficinas'!F263)</f>
        <v>329210.45000000019</v>
      </c>
      <c r="G37" s="60">
        <f>IF('Gerencias y Oficinas'!G263="","",'Gerencias y Oficinas'!G263)</f>
        <v>0</v>
      </c>
      <c r="H37" s="60">
        <f>IF('Gerencias y Oficinas'!H263="","",'Gerencias y Oficinas'!H263)</f>
        <v>3254770</v>
      </c>
      <c r="I37" s="66">
        <f>IF('Gerencias y Oficinas'!I263="","",'Gerencias y Oficinas'!I263)</f>
        <v>0</v>
      </c>
      <c r="J37" s="257" t="str">
        <f>IF('Gerencias y Oficinas'!J263="","",'Gerencias y Oficinas'!J263)</f>
        <v/>
      </c>
      <c r="K37" s="257" t="str">
        <f>IF('Gerencias y Oficinas'!K263="","",'Gerencias y Oficinas'!K263)</f>
        <v>Por completar</v>
      </c>
      <c r="L37" s="236" t="str">
        <f>IF('Gerencias y Oficinas'!L263="","",'Gerencias y Oficinas'!L263)</f>
        <v>Sin PMI</v>
      </c>
      <c r="M37" s="236" t="str">
        <f>IF('Gerencias y Oficinas'!M263="","",'Gerencias y Oficinas'!M263)</f>
        <v>Sin PMI</v>
      </c>
      <c r="N37" s="236" t="str">
        <f>IF('Gerencias y Oficinas'!N263="","",'Gerencias y Oficinas'!N263)</f>
        <v>Sin PMI</v>
      </c>
      <c r="O37" s="236" t="str">
        <f>IF('Gerencias y Oficinas'!O263="","",'Gerencias y Oficinas'!O263)</f>
        <v>Sin PMI</v>
      </c>
    </row>
    <row r="38" spans="1:15" ht="114.75" x14ac:dyDescent="0.2">
      <c r="A38" s="52">
        <f>SUBTOTAL(103,$B$10:B38)</f>
        <v>28</v>
      </c>
      <c r="B38" s="69">
        <v>513</v>
      </c>
      <c r="C38" s="82" t="s">
        <v>664</v>
      </c>
      <c r="D38" s="60">
        <f>IF('Gerencias y Oficinas'!D264="","",'Gerencias y Oficinas'!D264)</f>
        <v>1007572</v>
      </c>
      <c r="E38" s="60">
        <f>IF('Gerencias y Oficinas'!E264="","",'Gerencias y Oficinas'!E264)</f>
        <v>838299.38</v>
      </c>
      <c r="F38" s="60">
        <f>IF('Gerencias y Oficinas'!F264="","",'Gerencias y Oficinas'!F264)</f>
        <v>169272.62</v>
      </c>
      <c r="G38" s="60">
        <f>IF('Gerencias y Oficinas'!G264="","",'Gerencias y Oficinas'!G264)</f>
        <v>0</v>
      </c>
      <c r="H38" s="60">
        <f>IF('Gerencias y Oficinas'!H264="","",'Gerencias y Oficinas'!H264)</f>
        <v>1007572</v>
      </c>
      <c r="I38" s="66">
        <f>IF('Gerencias y Oficinas'!I264="","",'Gerencias y Oficinas'!I264)</f>
        <v>0</v>
      </c>
      <c r="J38" s="257" t="str">
        <f>IF('Gerencias y Oficinas'!J264="","",'Gerencias y Oficinas'!J264)</f>
        <v/>
      </c>
      <c r="K38" s="257" t="str">
        <f>IF('Gerencias y Oficinas'!K264="","",'Gerencias y Oficinas'!K264)</f>
        <v>Por completar</v>
      </c>
      <c r="L38" s="236" t="str">
        <f>IF('Gerencias y Oficinas'!L264="","",'Gerencias y Oficinas'!L264)</f>
        <v>Sin PMI</v>
      </c>
      <c r="M38" s="236" t="str">
        <f>IF('Gerencias y Oficinas'!M264="","",'Gerencias y Oficinas'!M264)</f>
        <v>Sin PMI</v>
      </c>
      <c r="N38" s="236" t="str">
        <f>IF('Gerencias y Oficinas'!N264="","",'Gerencias y Oficinas'!N264)</f>
        <v>Sin PMI</v>
      </c>
      <c r="O38" s="236" t="str">
        <f>IF('Gerencias y Oficinas'!O264="","",'Gerencias y Oficinas'!O264)</f>
        <v>Sin PMI</v>
      </c>
    </row>
    <row r="39" spans="1:15" ht="102" x14ac:dyDescent="0.2">
      <c r="A39" s="52">
        <f>SUBTOTAL(103,$B$10:B39)</f>
        <v>29</v>
      </c>
      <c r="B39" s="69">
        <v>515</v>
      </c>
      <c r="C39" s="82" t="s">
        <v>665</v>
      </c>
      <c r="D39" s="60">
        <f>IF('Gerencias y Oficinas'!D265="","",'Gerencias y Oficinas'!D265)</f>
        <v>1688098</v>
      </c>
      <c r="E39" s="60">
        <f>IF('Gerencias y Oficinas'!E265="","",'Gerencias y Oficinas'!E265)</f>
        <v>1486603.23</v>
      </c>
      <c r="F39" s="60">
        <f>IF('Gerencias y Oficinas'!F265="","",'Gerencias y Oficinas'!F265)</f>
        <v>201494.77000000002</v>
      </c>
      <c r="G39" s="60">
        <f>IF('Gerencias y Oficinas'!G265="","",'Gerencias y Oficinas'!G265)</f>
        <v>0</v>
      </c>
      <c r="H39" s="60">
        <f>IF('Gerencias y Oficinas'!H265="","",'Gerencias y Oficinas'!H265)</f>
        <v>1688098</v>
      </c>
      <c r="I39" s="66">
        <f>IF('Gerencias y Oficinas'!I265="","",'Gerencias y Oficinas'!I265)</f>
        <v>0</v>
      </c>
      <c r="J39" s="257" t="str">
        <f>IF('Gerencias y Oficinas'!J265="","",'Gerencias y Oficinas'!J265)</f>
        <v/>
      </c>
      <c r="K39" s="257" t="str">
        <f>IF('Gerencias y Oficinas'!K265="","",'Gerencias y Oficinas'!K265)</f>
        <v>Por completar</v>
      </c>
      <c r="L39" s="236" t="str">
        <f>IF('Gerencias y Oficinas'!L265="","",'Gerencias y Oficinas'!L265)</f>
        <v>Sin PMI</v>
      </c>
      <c r="M39" s="236" t="str">
        <f>IF('Gerencias y Oficinas'!M265="","",'Gerencias y Oficinas'!M265)</f>
        <v>Sin PMI</v>
      </c>
      <c r="N39" s="236" t="str">
        <f>IF('Gerencias y Oficinas'!N265="","",'Gerencias y Oficinas'!N265)</f>
        <v>Sin PMI</v>
      </c>
      <c r="O39" s="236" t="str">
        <f>IF('Gerencias y Oficinas'!O265="","",'Gerencias y Oficinas'!O265)</f>
        <v>Sin PMI</v>
      </c>
    </row>
    <row r="40" spans="1:15" ht="76.5" x14ac:dyDescent="0.2">
      <c r="A40" s="52">
        <f>SUBTOTAL(103,$B$10:B40)</f>
        <v>30</v>
      </c>
      <c r="B40" s="69">
        <v>509</v>
      </c>
      <c r="C40" s="82" t="s">
        <v>666</v>
      </c>
      <c r="D40" s="60">
        <f>IF('Gerencias y Oficinas'!D266="","",'Gerencias y Oficinas'!D266)</f>
        <v>680748</v>
      </c>
      <c r="E40" s="60">
        <f>IF('Gerencias y Oficinas'!E266="","",'Gerencias y Oficinas'!E266)</f>
        <v>538302.92000000004</v>
      </c>
      <c r="F40" s="60">
        <f>IF('Gerencias y Oficinas'!F266="","",'Gerencias y Oficinas'!F266)</f>
        <v>142445.07999999996</v>
      </c>
      <c r="G40" s="60">
        <f>IF('Gerencias y Oficinas'!G266="","",'Gerencias y Oficinas'!G266)</f>
        <v>0</v>
      </c>
      <c r="H40" s="60">
        <f>IF('Gerencias y Oficinas'!H266="","",'Gerencias y Oficinas'!H266)</f>
        <v>680748</v>
      </c>
      <c r="I40" s="66">
        <f>IF('Gerencias y Oficinas'!I266="","",'Gerencias y Oficinas'!I266)</f>
        <v>0</v>
      </c>
      <c r="J40" s="257" t="str">
        <f>IF('Gerencias y Oficinas'!J266="","",'Gerencias y Oficinas'!J266)</f>
        <v/>
      </c>
      <c r="K40" s="257" t="str">
        <f>IF('Gerencias y Oficinas'!K266="","",'Gerencias y Oficinas'!K266)</f>
        <v>Por completar</v>
      </c>
      <c r="L40" s="236" t="str">
        <f>IF('Gerencias y Oficinas'!L266="","",'Gerencias y Oficinas'!L266)</f>
        <v>Sin PMI</v>
      </c>
      <c r="M40" s="236" t="str">
        <f>IF('Gerencias y Oficinas'!M266="","",'Gerencias y Oficinas'!M266)</f>
        <v>Sin PMI</v>
      </c>
      <c r="N40" s="236" t="str">
        <f>IF('Gerencias y Oficinas'!N266="","",'Gerencias y Oficinas'!N266)</f>
        <v>Sin PMI</v>
      </c>
      <c r="O40" s="236" t="str">
        <f>IF('Gerencias y Oficinas'!O266="","",'Gerencias y Oficinas'!O266)</f>
        <v>Sin PMI</v>
      </c>
    </row>
    <row r="41" spans="1:15" ht="102" x14ac:dyDescent="0.2">
      <c r="A41" s="52">
        <f>SUBTOTAL(103,$B$10:B41)</f>
        <v>31</v>
      </c>
      <c r="B41" s="69">
        <v>510</v>
      </c>
      <c r="C41" s="82" t="s">
        <v>667</v>
      </c>
      <c r="D41" s="60">
        <f>IF('Gerencias y Oficinas'!D267="","",'Gerencias y Oficinas'!D267)</f>
        <v>670100</v>
      </c>
      <c r="E41" s="60">
        <f>IF('Gerencias y Oficinas'!E267="","",'Gerencias y Oficinas'!E267)</f>
        <v>532791.97</v>
      </c>
      <c r="F41" s="60">
        <f>IF('Gerencias y Oficinas'!F267="","",'Gerencias y Oficinas'!F267)</f>
        <v>137308.03000000003</v>
      </c>
      <c r="G41" s="60">
        <f>IF('Gerencias y Oficinas'!G267="","",'Gerencias y Oficinas'!G267)</f>
        <v>0</v>
      </c>
      <c r="H41" s="60">
        <f>IF('Gerencias y Oficinas'!H267="","",'Gerencias y Oficinas'!H267)</f>
        <v>670100</v>
      </c>
      <c r="I41" s="66">
        <f>IF('Gerencias y Oficinas'!I267="","",'Gerencias y Oficinas'!I267)</f>
        <v>0</v>
      </c>
      <c r="J41" s="257" t="str">
        <f>IF('Gerencias y Oficinas'!J267="","",'Gerencias y Oficinas'!J267)</f>
        <v/>
      </c>
      <c r="K41" s="257" t="str">
        <f>IF('Gerencias y Oficinas'!K267="","",'Gerencias y Oficinas'!K267)</f>
        <v>Por completar</v>
      </c>
      <c r="L41" s="236" t="str">
        <f>IF('Gerencias y Oficinas'!L267="","",'Gerencias y Oficinas'!L267)</f>
        <v>Sin PMI</v>
      </c>
      <c r="M41" s="236" t="str">
        <f>IF('Gerencias y Oficinas'!M267="","",'Gerencias y Oficinas'!M267)</f>
        <v>Sin PMI</v>
      </c>
      <c r="N41" s="236" t="str">
        <f>IF('Gerencias y Oficinas'!N267="","",'Gerencias y Oficinas'!N267)</f>
        <v>Sin PMI</v>
      </c>
      <c r="O41" s="236" t="str">
        <f>IF('Gerencias y Oficinas'!O267="","",'Gerencias y Oficinas'!O267)</f>
        <v>Sin PMI</v>
      </c>
    </row>
    <row r="42" spans="1:15" ht="76.5" x14ac:dyDescent="0.2">
      <c r="A42" s="52">
        <f>SUBTOTAL(103,$B$10:B42)</f>
        <v>32</v>
      </c>
      <c r="B42" s="69">
        <v>511</v>
      </c>
      <c r="C42" s="82" t="s">
        <v>668</v>
      </c>
      <c r="D42" s="60">
        <f>IF('Gerencias y Oficinas'!D268="","",'Gerencias y Oficinas'!D268)</f>
        <v>388514</v>
      </c>
      <c r="E42" s="60">
        <f>IF('Gerencias y Oficinas'!E268="","",'Gerencias y Oficinas'!E268)</f>
        <v>269223.84000000003</v>
      </c>
      <c r="F42" s="60">
        <f>IF('Gerencias y Oficinas'!F268="","",'Gerencias y Oficinas'!F268)</f>
        <v>119290.15999999997</v>
      </c>
      <c r="G42" s="60">
        <f>IF('Gerencias y Oficinas'!G268="","",'Gerencias y Oficinas'!G268)</f>
        <v>0</v>
      </c>
      <c r="H42" s="60">
        <f>IF('Gerencias y Oficinas'!H268="","",'Gerencias y Oficinas'!H268)</f>
        <v>388514</v>
      </c>
      <c r="I42" s="66">
        <f>IF('Gerencias y Oficinas'!I268="","",'Gerencias y Oficinas'!I268)</f>
        <v>0</v>
      </c>
      <c r="J42" s="257" t="str">
        <f>IF('Gerencias y Oficinas'!J268="","",'Gerencias y Oficinas'!J268)</f>
        <v/>
      </c>
      <c r="K42" s="257" t="str">
        <f>IF('Gerencias y Oficinas'!K268="","",'Gerencias y Oficinas'!K268)</f>
        <v>Por completar</v>
      </c>
      <c r="L42" s="236" t="str">
        <f>IF('Gerencias y Oficinas'!L268="","",'Gerencias y Oficinas'!L268)</f>
        <v>Sin PMI</v>
      </c>
      <c r="M42" s="236" t="str">
        <f>IF('Gerencias y Oficinas'!M268="","",'Gerencias y Oficinas'!M268)</f>
        <v>Sin PMI</v>
      </c>
      <c r="N42" s="236" t="str">
        <f>IF('Gerencias y Oficinas'!N268="","",'Gerencias y Oficinas'!N268)</f>
        <v>Sin PMI</v>
      </c>
      <c r="O42" s="236" t="str">
        <f>IF('Gerencias y Oficinas'!O268="","",'Gerencias y Oficinas'!O268)</f>
        <v>Sin PMI</v>
      </c>
    </row>
    <row r="43" spans="1:15" ht="102" x14ac:dyDescent="0.2">
      <c r="A43" s="52">
        <f>SUBTOTAL(103,$B$10:B43)</f>
        <v>33</v>
      </c>
      <c r="B43" s="69">
        <v>514</v>
      </c>
      <c r="C43" s="82" t="s">
        <v>669</v>
      </c>
      <c r="D43" s="60">
        <f>IF('Gerencias y Oficinas'!D269="","",'Gerencias y Oficinas'!D269)</f>
        <v>542416</v>
      </c>
      <c r="E43" s="60">
        <f>IF('Gerencias y Oficinas'!E269="","",'Gerencias y Oficinas'!E269)</f>
        <v>401911.51</v>
      </c>
      <c r="F43" s="60">
        <f>IF('Gerencias y Oficinas'!F269="","",'Gerencias y Oficinas'!F269)</f>
        <v>140504.49</v>
      </c>
      <c r="G43" s="60">
        <f>IF('Gerencias y Oficinas'!G269="","",'Gerencias y Oficinas'!G269)</f>
        <v>0</v>
      </c>
      <c r="H43" s="60">
        <f>IF('Gerencias y Oficinas'!H269="","",'Gerencias y Oficinas'!H269)</f>
        <v>542416</v>
      </c>
      <c r="I43" s="66">
        <f>IF('Gerencias y Oficinas'!I269="","",'Gerencias y Oficinas'!I269)</f>
        <v>0</v>
      </c>
      <c r="J43" s="257" t="str">
        <f>IF('Gerencias y Oficinas'!J269="","",'Gerencias y Oficinas'!J269)</f>
        <v/>
      </c>
      <c r="K43" s="257" t="str">
        <f>IF('Gerencias y Oficinas'!K269="","",'Gerencias y Oficinas'!K269)</f>
        <v>Por completar</v>
      </c>
      <c r="L43" s="236" t="str">
        <f>IF('Gerencias y Oficinas'!L269="","",'Gerencias y Oficinas'!L269)</f>
        <v>Sin PMI</v>
      </c>
      <c r="M43" s="236" t="str">
        <f>IF('Gerencias y Oficinas'!M269="","",'Gerencias y Oficinas'!M269)</f>
        <v>Sin PMI</v>
      </c>
      <c r="N43" s="236" t="str">
        <f>IF('Gerencias y Oficinas'!N269="","",'Gerencias y Oficinas'!N269)</f>
        <v>Sin PMI</v>
      </c>
      <c r="O43" s="236" t="str">
        <f>IF('Gerencias y Oficinas'!O269="","",'Gerencias y Oficinas'!O269)</f>
        <v>Sin PMI</v>
      </c>
    </row>
    <row r="44" spans="1:15" ht="102" x14ac:dyDescent="0.2">
      <c r="A44" s="52">
        <f>SUBTOTAL(103,$B$10:B44)</f>
        <v>34</v>
      </c>
      <c r="B44" s="69">
        <v>516</v>
      </c>
      <c r="C44" s="82" t="s">
        <v>670</v>
      </c>
      <c r="D44" s="60">
        <f>IF('Gerencias y Oficinas'!D270="","",'Gerencias y Oficinas'!D270)</f>
        <v>928545</v>
      </c>
      <c r="E44" s="60">
        <f>IF('Gerencias y Oficinas'!E270="","",'Gerencias y Oficinas'!E270)</f>
        <v>0</v>
      </c>
      <c r="F44" s="60">
        <f>IF('Gerencias y Oficinas'!F270="","",'Gerencias y Oficinas'!F270)</f>
        <v>928545</v>
      </c>
      <c r="G44" s="60">
        <f>IF('Gerencias y Oficinas'!G270="","",'Gerencias y Oficinas'!G270)</f>
        <v>0</v>
      </c>
      <c r="H44" s="60">
        <f>IF('Gerencias y Oficinas'!H270="","",'Gerencias y Oficinas'!H270)</f>
        <v>928545</v>
      </c>
      <c r="I44" s="66">
        <f>IF('Gerencias y Oficinas'!I270="","",'Gerencias y Oficinas'!I270)</f>
        <v>0</v>
      </c>
      <c r="J44" s="257" t="str">
        <f>IF('Gerencias y Oficinas'!J270="","",'Gerencias y Oficinas'!J270)</f>
        <v/>
      </c>
      <c r="K44" s="257" t="str">
        <f>IF('Gerencias y Oficinas'!K270="","",'Gerencias y Oficinas'!K270)</f>
        <v>Por completar</v>
      </c>
      <c r="L44" s="236" t="str">
        <f>IF('Gerencias y Oficinas'!L270="","",'Gerencias y Oficinas'!L270)</f>
        <v>Sin PMI</v>
      </c>
      <c r="M44" s="236" t="str">
        <f>IF('Gerencias y Oficinas'!M270="","",'Gerencias y Oficinas'!M270)</f>
        <v>Sin PMI</v>
      </c>
      <c r="N44" s="236" t="str">
        <f>IF('Gerencias y Oficinas'!N270="","",'Gerencias y Oficinas'!N270)</f>
        <v>Sin PMI</v>
      </c>
      <c r="O44" s="236" t="str">
        <f>IF('Gerencias y Oficinas'!O270="","",'Gerencias y Oficinas'!O270)</f>
        <v>Sin PMI</v>
      </c>
    </row>
    <row r="45" spans="1:15" ht="114.75" hidden="1" x14ac:dyDescent="0.2">
      <c r="A45" s="52">
        <f>SUBTOTAL(103,$B$10:B45)</f>
        <v>34</v>
      </c>
      <c r="B45" s="69">
        <v>345</v>
      </c>
      <c r="C45" s="82" t="s">
        <v>466</v>
      </c>
      <c r="D45" s="60"/>
      <c r="E45" s="60"/>
      <c r="F45" s="60"/>
      <c r="G45" s="60"/>
      <c r="H45" s="60"/>
      <c r="I45" s="66"/>
      <c r="J45" s="257"/>
      <c r="K45" s="257"/>
      <c r="L45" s="236"/>
      <c r="M45" s="236"/>
      <c r="N45" s="236"/>
      <c r="O45" s="236"/>
    </row>
    <row r="46" spans="1:15" ht="63.75" x14ac:dyDescent="0.2">
      <c r="A46" s="52">
        <f>SUBTOTAL(103,$B$10:B46)</f>
        <v>35</v>
      </c>
      <c r="B46" s="69">
        <v>348</v>
      </c>
      <c r="C46" s="82" t="s">
        <v>460</v>
      </c>
      <c r="D46" s="60">
        <f>IF('Gerencias y Oficinas'!D272="","",'Gerencias y Oficinas'!D272)</f>
        <v>70059</v>
      </c>
      <c r="E46" s="60">
        <f>IF('Gerencias y Oficinas'!E272="","",'Gerencias y Oficinas'!E272)</f>
        <v>70057.899999999994</v>
      </c>
      <c r="F46" s="60">
        <f>IF('Gerencias y Oficinas'!F272="","",'Gerencias y Oficinas'!F272)</f>
        <v>1.1000000000058208</v>
      </c>
      <c r="G46" s="60">
        <f>IF('Gerencias y Oficinas'!G272="","",'Gerencias y Oficinas'!G272)</f>
        <v>70029.94</v>
      </c>
      <c r="H46" s="60">
        <f>IF('Gerencias y Oficinas'!H272="","",'Gerencias y Oficinas'!H272)</f>
        <v>29.059999999997672</v>
      </c>
      <c r="I46" s="66">
        <f>IF('Gerencias y Oficinas'!I272="","",'Gerencias y Oficinas'!I272)</f>
        <v>0.99958520675430707</v>
      </c>
      <c r="J46" s="257" t="str">
        <f>IF('Gerencias y Oficinas'!J272="","",'Gerencias y Oficinas'!J272)</f>
        <v/>
      </c>
      <c r="K46" s="257" t="str">
        <f>IF('Gerencias y Oficinas'!K272="","",'Gerencias y Oficinas'!K272)</f>
        <v>Por completar</v>
      </c>
      <c r="L46" s="236">
        <f>IF('Gerencias y Oficinas'!L272="","",'Gerencias y Oficinas'!L272)</f>
        <v>105988</v>
      </c>
      <c r="M46" s="236">
        <f>IF('Gerencias y Oficinas'!M272="","",'Gerencias y Oficinas'!M272)</f>
        <v>0</v>
      </c>
      <c r="N46" s="236">
        <f>IF('Gerencias y Oficinas'!N272="","",'Gerencias y Oficinas'!N272)</f>
        <v>35929</v>
      </c>
      <c r="O46" s="236">
        <f>IF('Gerencias y Oficinas'!O272="","",'Gerencias y Oficinas'!O272)</f>
        <v>0</v>
      </c>
    </row>
    <row r="47" spans="1:15" ht="63.75" x14ac:dyDescent="0.2">
      <c r="A47" s="52">
        <f>SUBTOTAL(103,$B$10:B47)</f>
        <v>36</v>
      </c>
      <c r="B47" s="69">
        <v>349</v>
      </c>
      <c r="C47" s="82" t="s">
        <v>459</v>
      </c>
      <c r="D47" s="60">
        <f>IF('Gerencias y Oficinas'!D273="","",'Gerencias y Oficinas'!D273)</f>
        <v>100785</v>
      </c>
      <c r="E47" s="60">
        <f>IF('Gerencias y Oficinas'!E273="","",'Gerencias y Oficinas'!E273)</f>
        <v>100589.42</v>
      </c>
      <c r="F47" s="60">
        <f>IF('Gerencias y Oficinas'!F273="","",'Gerencias y Oficinas'!F273)</f>
        <v>195.58000000000175</v>
      </c>
      <c r="G47" s="60">
        <f>IF('Gerencias y Oficinas'!G273="","",'Gerencias y Oficinas'!G273)</f>
        <v>88974.89</v>
      </c>
      <c r="H47" s="60">
        <f>IF('Gerencias y Oficinas'!H273="","",'Gerencias y Oficinas'!H273)</f>
        <v>11810.11</v>
      </c>
      <c r="I47" s="66">
        <f>IF('Gerencias y Oficinas'!I273="","",'Gerencias y Oficinas'!I273)</f>
        <v>0.88281877263481667</v>
      </c>
      <c r="J47" s="257" t="str">
        <f>IF('Gerencias y Oficinas'!J273="","",'Gerencias y Oficinas'!J273)</f>
        <v/>
      </c>
      <c r="K47" s="257" t="str">
        <f>IF('Gerencias y Oficinas'!K273="","",'Gerencias y Oficinas'!K273)</f>
        <v>Por completar</v>
      </c>
      <c r="L47" s="236">
        <f>IF('Gerencias y Oficinas'!L273="","",'Gerencias y Oficinas'!L273)</f>
        <v>155899</v>
      </c>
      <c r="M47" s="236">
        <f>IF('Gerencias y Oficinas'!M273="","",'Gerencias y Oficinas'!M273)</f>
        <v>0</v>
      </c>
      <c r="N47" s="236">
        <f>IF('Gerencias y Oficinas'!N273="","",'Gerencias y Oficinas'!N273)</f>
        <v>55114</v>
      </c>
      <c r="O47" s="236">
        <f>IF('Gerencias y Oficinas'!O273="","",'Gerencias y Oficinas'!O273)</f>
        <v>0</v>
      </c>
    </row>
    <row r="48" spans="1:15" ht="63.75" x14ac:dyDescent="0.2">
      <c r="A48" s="52">
        <f>SUBTOTAL(103,$B$10:B48)</f>
        <v>37</v>
      </c>
      <c r="B48" s="69">
        <v>461</v>
      </c>
      <c r="C48" s="82" t="s">
        <v>489</v>
      </c>
      <c r="D48" s="60">
        <f>IF('Gerencias y Oficinas'!D274="","",'Gerencias y Oficinas'!D274)</f>
        <v>195079</v>
      </c>
      <c r="E48" s="60">
        <f>IF('Gerencias y Oficinas'!E274="","",'Gerencias y Oficinas'!E274)</f>
        <v>186354</v>
      </c>
      <c r="F48" s="60">
        <f>IF('Gerencias y Oficinas'!F274="","",'Gerencias y Oficinas'!F274)</f>
        <v>8725</v>
      </c>
      <c r="G48" s="60">
        <f>IF('Gerencias y Oficinas'!G274="","",'Gerencias y Oficinas'!G274)</f>
        <v>176804.43</v>
      </c>
      <c r="H48" s="60">
        <f>IF('Gerencias y Oficinas'!H274="","",'Gerencias y Oficinas'!H274)</f>
        <v>18274.570000000007</v>
      </c>
      <c r="I48" s="66">
        <f>IF('Gerencias y Oficinas'!I274="","",'Gerencias y Oficinas'!I274)</f>
        <v>0.9063222079260197</v>
      </c>
      <c r="J48" s="257" t="str">
        <f>IF('Gerencias y Oficinas'!J274="","",'Gerencias y Oficinas'!J274)</f>
        <v/>
      </c>
      <c r="K48" s="257" t="str">
        <f>IF('Gerencias y Oficinas'!K274="","",'Gerencias y Oficinas'!K274)</f>
        <v>Por completar</v>
      </c>
      <c r="L48" s="236">
        <f>IF('Gerencias y Oficinas'!L274="","",'Gerencias y Oficinas'!L274)</f>
        <v>195079</v>
      </c>
      <c r="M48" s="236">
        <f>IF('Gerencias y Oficinas'!M274="","",'Gerencias y Oficinas'!M274)</f>
        <v>23547</v>
      </c>
      <c r="N48" s="236">
        <f>IF('Gerencias y Oficinas'!N274="","",'Gerencias y Oficinas'!N274)</f>
        <v>1</v>
      </c>
      <c r="O48" s="236">
        <f>IF('Gerencias y Oficinas'!O274="","",'Gerencias y Oficinas'!O274)</f>
        <v>0</v>
      </c>
    </row>
    <row r="49" spans="1:15" ht="16.5" x14ac:dyDescent="0.2">
      <c r="A49" s="150" t="s">
        <v>608</v>
      </c>
      <c r="B49" s="150"/>
      <c r="C49" s="150"/>
      <c r="D49" s="50">
        <f>D50+D51+D52</f>
        <v>11961863</v>
      </c>
      <c r="E49" s="50">
        <f>E50+E51+E52</f>
        <v>10980493.779999999</v>
      </c>
      <c r="F49" s="50">
        <f>D49-E49</f>
        <v>981369.22000000067</v>
      </c>
      <c r="G49" s="50">
        <f>G50+G51+G52</f>
        <v>5861139.5999999996</v>
      </c>
      <c r="H49" s="50">
        <f>D49-G49</f>
        <v>6100723.4000000004</v>
      </c>
      <c r="I49" s="51">
        <f>IF(D49=0,0,G49/D49)</f>
        <v>0.48998551479815472</v>
      </c>
      <c r="J49" s="256"/>
      <c r="K49" s="256"/>
      <c r="L49" s="230"/>
      <c r="M49" s="230"/>
      <c r="N49" s="230"/>
      <c r="O49" s="230"/>
    </row>
    <row r="50" spans="1:15" ht="89.25" x14ac:dyDescent="0.2">
      <c r="A50" s="52">
        <f>SUBTOTAL(103,$B$10:B50)</f>
        <v>38</v>
      </c>
      <c r="B50" s="69">
        <v>3</v>
      </c>
      <c r="C50" s="82" t="s">
        <v>417</v>
      </c>
      <c r="D50" s="60">
        <f>IF('Gerencias y Oficinas'!D276="","",'Gerencias y Oficinas'!D276)</f>
        <v>6654893</v>
      </c>
      <c r="E50" s="60">
        <f>IF('Gerencias y Oficinas'!E276="","",'Gerencias y Oficinas'!E276)</f>
        <v>6543805.6899999995</v>
      </c>
      <c r="F50" s="60">
        <f>IF('Gerencias y Oficinas'!F276="","",'Gerencias y Oficinas'!F276)</f>
        <v>111087.31000000052</v>
      </c>
      <c r="G50" s="60">
        <f>IF('Gerencias y Oficinas'!G276="","",'Gerencias y Oficinas'!G276)</f>
        <v>5720622.9699999997</v>
      </c>
      <c r="H50" s="60">
        <f>IF('Gerencias y Oficinas'!H276="","",'Gerencias y Oficinas'!H276)</f>
        <v>934270.03000000026</v>
      </c>
      <c r="I50" s="66">
        <f>IF('Gerencias y Oficinas'!I276="","",'Gerencias y Oficinas'!I276)</f>
        <v>0.85961156249995296</v>
      </c>
      <c r="J50" s="257" t="str">
        <f>IF('Gerencias y Oficinas'!J276="","",'Gerencias y Oficinas'!J276)</f>
        <v/>
      </c>
      <c r="K50" s="257" t="str">
        <f>IF('Gerencias y Oficinas'!K276="","",'Gerencias y Oficinas'!K276)</f>
        <v>Por completar</v>
      </c>
      <c r="L50" s="236">
        <f>IF('Gerencias y Oficinas'!L276="","",'Gerencias y Oficinas'!L276)</f>
        <v>100000</v>
      </c>
      <c r="M50" s="236">
        <f>IF('Gerencias y Oficinas'!M276="","",'Gerencias y Oficinas'!M276)</f>
        <v>218816</v>
      </c>
      <c r="N50" s="236">
        <f>IF('Gerencias y Oficinas'!N276="","",'Gerencias y Oficinas'!N276)</f>
        <v>309853</v>
      </c>
      <c r="O50" s="236">
        <f>IF('Gerencias y Oficinas'!O276="","",'Gerencias y Oficinas'!O276)</f>
        <v>0</v>
      </c>
    </row>
    <row r="51" spans="1:15" ht="63.75" x14ac:dyDescent="0.2">
      <c r="A51" s="52">
        <f>SUBTOTAL(103,$B$10:B51)</f>
        <v>39</v>
      </c>
      <c r="B51" s="69">
        <v>286</v>
      </c>
      <c r="C51" s="82" t="s">
        <v>427</v>
      </c>
      <c r="D51" s="60">
        <f>IF('Gerencias y Oficinas'!D277="","",'Gerencias y Oficinas'!D277)</f>
        <v>5281360</v>
      </c>
      <c r="E51" s="60">
        <f>IF('Gerencias y Oficinas'!E277="","",'Gerencias y Oficinas'!E277)</f>
        <v>4436688.09</v>
      </c>
      <c r="F51" s="60">
        <f>IF('Gerencias y Oficinas'!F277="","",'Gerencias y Oficinas'!F277)</f>
        <v>844671.91000000015</v>
      </c>
      <c r="G51" s="60">
        <f>IF('Gerencias y Oficinas'!G277="","",'Gerencias y Oficinas'!G277)</f>
        <v>140516.63</v>
      </c>
      <c r="H51" s="60">
        <f>IF('Gerencias y Oficinas'!H277="","",'Gerencias y Oficinas'!H277)</f>
        <v>5140843.37</v>
      </c>
      <c r="I51" s="66">
        <f>IF('Gerencias y Oficinas'!I277="","",'Gerencias y Oficinas'!I277)</f>
        <v>2.6606145008103974E-2</v>
      </c>
      <c r="J51" s="257" t="str">
        <f>IF('Gerencias y Oficinas'!J277="","",'Gerencias y Oficinas'!J277)</f>
        <v/>
      </c>
      <c r="K51" s="257" t="str">
        <f>IF('Gerencias y Oficinas'!K277="","",'Gerencias y Oficinas'!K277)</f>
        <v>Por completar</v>
      </c>
      <c r="L51" s="236">
        <f>IF('Gerencias y Oficinas'!L277="","",'Gerencias y Oficinas'!L277)</f>
        <v>5358341</v>
      </c>
      <c r="M51" s="236">
        <f>IF('Gerencias y Oficinas'!M277="","",'Gerencias y Oficinas'!M277)</f>
        <v>6902686</v>
      </c>
      <c r="N51" s="236">
        <f>IF('Gerencias y Oficinas'!N277="","",'Gerencias y Oficinas'!N277)</f>
        <v>800000</v>
      </c>
      <c r="O51" s="236">
        <f>IF('Gerencias y Oficinas'!O277="","",'Gerencias y Oficinas'!O277)</f>
        <v>800000</v>
      </c>
    </row>
    <row r="52" spans="1:15" ht="76.5" x14ac:dyDescent="0.2">
      <c r="A52" s="52">
        <f>SUBTOTAL(103,$B$10:B52)</f>
        <v>40</v>
      </c>
      <c r="B52" s="69">
        <v>524</v>
      </c>
      <c r="C52" s="82" t="s">
        <v>679</v>
      </c>
      <c r="D52" s="60">
        <f>IF('Gerencias y Oficinas'!D261="","",'Gerencias y Oficinas'!D261)</f>
        <v>25610</v>
      </c>
      <c r="E52" s="60">
        <f>IF('Gerencias y Oficinas'!E261="","",'Gerencias y Oficinas'!E261)</f>
        <v>0</v>
      </c>
      <c r="F52" s="60">
        <f>IF('Gerencias y Oficinas'!F261="","",'Gerencias y Oficinas'!F261)</f>
        <v>25610</v>
      </c>
      <c r="G52" s="60">
        <f>IF('Gerencias y Oficinas'!G261="","",'Gerencias y Oficinas'!G261)</f>
        <v>0</v>
      </c>
      <c r="H52" s="60">
        <f>IF('Gerencias y Oficinas'!H261="","",'Gerencias y Oficinas'!H261)</f>
        <v>25610</v>
      </c>
      <c r="I52" s="66">
        <f>IF('Gerencias y Oficinas'!I261="","",'Gerencias y Oficinas'!I261)</f>
        <v>0</v>
      </c>
      <c r="J52" s="257" t="str">
        <f>IF('Gerencias y Oficinas'!J261="","",'Gerencias y Oficinas'!J261)</f>
        <v/>
      </c>
      <c r="K52" s="257" t="str">
        <f>IF('Gerencias y Oficinas'!K261="","",'Gerencias y Oficinas'!K261)</f>
        <v>Por completar</v>
      </c>
      <c r="L52" s="236" t="str">
        <f>IF('Gerencias y Oficinas'!L261="","",'Gerencias y Oficinas'!L261)</f>
        <v>Sin PMI</v>
      </c>
      <c r="M52" s="236" t="str">
        <f>IF('Gerencias y Oficinas'!M261="","",'Gerencias y Oficinas'!M261)</f>
        <v>Sin PMI</v>
      </c>
      <c r="N52" s="236" t="str">
        <f>IF('Gerencias y Oficinas'!N261="","",'Gerencias y Oficinas'!N261)</f>
        <v>Sin PMI</v>
      </c>
      <c r="O52" s="236" t="str">
        <f>IF('Gerencias y Oficinas'!O261="","",'Gerencias y Oficinas'!O261)</f>
        <v>Sin PMI</v>
      </c>
    </row>
    <row r="53" spans="1:15" ht="16.5" hidden="1" x14ac:dyDescent="0.2">
      <c r="A53" s="150" t="s">
        <v>611</v>
      </c>
      <c r="B53" s="150"/>
      <c r="C53" s="150"/>
      <c r="D53" s="50">
        <f>D54</f>
        <v>0</v>
      </c>
      <c r="E53" s="50">
        <f>E54</f>
        <v>0</v>
      </c>
      <c r="F53" s="50">
        <f>D53-E53</f>
        <v>0</v>
      </c>
      <c r="G53" s="50">
        <f>G54</f>
        <v>0</v>
      </c>
      <c r="H53" s="50">
        <f>D53-G53</f>
        <v>0</v>
      </c>
      <c r="I53" s="51">
        <f>IF(D53=0,0,G53/D53)</f>
        <v>0</v>
      </c>
      <c r="J53" s="256"/>
      <c r="K53" s="256"/>
      <c r="L53" s="230"/>
      <c r="M53" s="230"/>
      <c r="N53" s="230"/>
      <c r="O53" s="230"/>
    </row>
    <row r="54" spans="1:15" ht="42" customHeight="1" x14ac:dyDescent="0.2">
      <c r="A54" s="52">
        <f>SUBTOTAL(103,$B$10:B54)</f>
        <v>41</v>
      </c>
      <c r="B54" s="69">
        <v>266</v>
      </c>
      <c r="C54" s="82" t="s">
        <v>238</v>
      </c>
      <c r="D54" s="60">
        <f>IF('Gerencias y Oficinas'!D279="","",'Gerencias y Oficinas'!D279)</f>
        <v>0</v>
      </c>
      <c r="E54" s="60">
        <f>IF('Gerencias y Oficinas'!E279="","",'Gerencias y Oficinas'!E279)</f>
        <v>0</v>
      </c>
      <c r="F54" s="60">
        <f>IF('Gerencias y Oficinas'!F279="","",'Gerencias y Oficinas'!F279)</f>
        <v>0</v>
      </c>
      <c r="G54" s="60">
        <f>IF('Gerencias y Oficinas'!G279="","",'Gerencias y Oficinas'!G279)</f>
        <v>0</v>
      </c>
      <c r="H54" s="60">
        <f>IF('Gerencias y Oficinas'!H279="","",'Gerencias y Oficinas'!H279)</f>
        <v>0</v>
      </c>
      <c r="I54" s="66">
        <f>IF('Gerencias y Oficinas'!I279="","",'Gerencias y Oficinas'!I279)</f>
        <v>0</v>
      </c>
      <c r="J54" s="257" t="str">
        <f>IF('Gerencias y Oficinas'!J279="","",'Gerencias y Oficinas'!J279)</f>
        <v/>
      </c>
      <c r="K54" s="257" t="str">
        <f>IF('Gerencias y Oficinas'!K279="","",'Gerencias y Oficinas'!K279)</f>
        <v>Por completar</v>
      </c>
      <c r="L54" s="236">
        <f>IF('Gerencias y Oficinas'!L279="","",'Gerencias y Oficinas'!L279)</f>
        <v>200000</v>
      </c>
      <c r="M54" s="236">
        <f>IF('Gerencias y Oficinas'!M279="","",'Gerencias y Oficinas'!M279)</f>
        <v>0</v>
      </c>
      <c r="N54" s="236">
        <f>IF('Gerencias y Oficinas'!N279="","",'Gerencias y Oficinas'!N279)</f>
        <v>0</v>
      </c>
      <c r="O54" s="236">
        <f>IF('Gerencias y Oficinas'!O279="","",'Gerencias y Oficinas'!O279)</f>
        <v>0</v>
      </c>
    </row>
    <row r="55" spans="1:15" hidden="1" x14ac:dyDescent="0.2">
      <c r="A55" s="121"/>
      <c r="B55" s="122"/>
      <c r="C55" s="123"/>
      <c r="D55" s="124"/>
      <c r="E55" s="124"/>
      <c r="F55" s="124"/>
      <c r="G55" s="124"/>
      <c r="H55" s="124"/>
      <c r="I55" s="125"/>
      <c r="J55" s="264"/>
      <c r="K55" s="264"/>
      <c r="L55" s="253"/>
      <c r="M55" s="253"/>
      <c r="N55" s="253"/>
      <c r="O55" s="253"/>
    </row>
    <row r="56" spans="1:15" ht="16.5" x14ac:dyDescent="0.2">
      <c r="A56" s="180" t="s">
        <v>685</v>
      </c>
      <c r="B56" s="181"/>
      <c r="C56" s="181"/>
      <c r="D56" s="90">
        <f>D6</f>
        <v>74397967</v>
      </c>
      <c r="E56" s="91">
        <f>E6</f>
        <v>67208621.579999998</v>
      </c>
      <c r="F56" s="91">
        <f>F6</f>
        <v>7189345.4200000018</v>
      </c>
      <c r="G56" s="88">
        <f>G6</f>
        <v>23249589.989999998</v>
      </c>
      <c r="H56" s="90">
        <f>H6</f>
        <v>51148377.010000005</v>
      </c>
      <c r="I56" s="89">
        <f>I6</f>
        <v>0.31250302834215882</v>
      </c>
      <c r="J56" s="260"/>
      <c r="K56" s="260"/>
      <c r="L56" s="252"/>
      <c r="M56" s="252"/>
      <c r="N56" s="252"/>
      <c r="O56" s="252"/>
    </row>
  </sheetData>
  <mergeCells count="23">
    <mergeCell ref="O4:O5"/>
    <mergeCell ref="A2:O2"/>
    <mergeCell ref="J4:J5"/>
    <mergeCell ref="K4:K5"/>
    <mergeCell ref="L4:L5"/>
    <mergeCell ref="M4:M5"/>
    <mergeCell ref="N4:N5"/>
    <mergeCell ref="A56:C56"/>
    <mergeCell ref="I4:I5"/>
    <mergeCell ref="A6:C6"/>
    <mergeCell ref="A9:C9"/>
    <mergeCell ref="A36:C36"/>
    <mergeCell ref="A49:C49"/>
    <mergeCell ref="A53:C53"/>
    <mergeCell ref="A1:I1"/>
    <mergeCell ref="A4:A5"/>
    <mergeCell ref="B4:B5"/>
    <mergeCell ref="C4:C5"/>
    <mergeCell ref="D4:D5"/>
    <mergeCell ref="E4:E5"/>
    <mergeCell ref="F4:F5"/>
    <mergeCell ref="G4:G5"/>
    <mergeCell ref="H4:H5"/>
  </mergeCells>
  <pageMargins left="0.70866141732283472" right="0.70866141732283472" top="0.74803149606299213" bottom="0.74803149606299213" header="0.31496062992125984" footer="0.31496062992125984"/>
  <pageSetup paperSize="9" scale="7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220C-5B8F-4233-8851-F5746DA0CB0E}">
  <sheetPr codeName="Hoja10">
    <pageSetUpPr fitToPage="1"/>
  </sheetPr>
  <dimension ref="A1:O18"/>
  <sheetViews>
    <sheetView topLeftCell="F1" zoomScaleNormal="100" workbookViewId="0">
      <selection activeCell="O4" sqref="O4:O18"/>
    </sheetView>
  </sheetViews>
  <sheetFormatPr baseColWidth="10" defaultRowHeight="12.75" x14ac:dyDescent="0.2"/>
  <cols>
    <col min="1" max="1" width="5.140625" bestFit="1" customWidth="1"/>
    <col min="2" max="2" width="6.28515625" bestFit="1" customWidth="1"/>
    <col min="3" max="3" width="26" customWidth="1"/>
    <col min="4" max="8" width="15.5703125" customWidth="1"/>
    <col min="9" max="9" width="8.7109375" customWidth="1"/>
    <col min="10" max="10" width="32.7109375" customWidth="1"/>
    <col min="11" max="11" width="29.7109375" customWidth="1"/>
    <col min="12" max="15" width="20.7109375" customWidth="1"/>
  </cols>
  <sheetData>
    <row r="1" spans="1:15" ht="18" x14ac:dyDescent="0.2">
      <c r="A1" s="173" t="s">
        <v>692</v>
      </c>
      <c r="B1" s="173"/>
      <c r="C1" s="173"/>
      <c r="D1" s="173"/>
      <c r="E1" s="173"/>
      <c r="F1" s="173"/>
      <c r="G1" s="173"/>
      <c r="H1" s="173"/>
      <c r="I1" s="173"/>
    </row>
    <row r="2" spans="1:15" ht="55.5" customHeight="1" x14ac:dyDescent="0.25">
      <c r="A2" s="142" t="str">
        <f>"COMPORTAMIENTO DE EJECUCIÓN DE PROYECTOS DE INVERSIÓN PÚBLICA 2026 - U.E. 001 SEDE CENTRAL AL "&amp;TEXT(SIAF!B3,"dd/mm/yyyy")</f>
        <v>COMPORTAMIENTO DE EJECUCIÓN DE PROYECTOS DE INVERSIÓN PÚBLICA 2026 - U.E. 001 SEDE CENTRAL AL 06/10/2026</v>
      </c>
      <c r="B2" s="142"/>
      <c r="C2" s="142"/>
      <c r="D2" s="142"/>
      <c r="E2" s="142"/>
      <c r="F2" s="142"/>
      <c r="G2" s="142"/>
      <c r="H2" s="142"/>
      <c r="I2" s="142"/>
      <c r="J2" s="142"/>
      <c r="K2" s="142"/>
      <c r="L2" s="142"/>
      <c r="M2" s="142"/>
      <c r="N2" s="142"/>
      <c r="O2" s="142"/>
    </row>
    <row r="3" spans="1:15" ht="18" x14ac:dyDescent="0.25">
      <c r="A3" s="1"/>
      <c r="B3" s="3"/>
      <c r="C3" s="11"/>
      <c r="D3" s="2"/>
      <c r="E3" s="2"/>
      <c r="F3" s="2"/>
      <c r="I3" s="19"/>
    </row>
    <row r="4" spans="1:15" ht="18.75" customHeight="1" x14ac:dyDescent="0.2">
      <c r="A4" s="176" t="s">
        <v>3</v>
      </c>
      <c r="B4" s="193" t="s">
        <v>298</v>
      </c>
      <c r="C4" s="193" t="s">
        <v>0</v>
      </c>
      <c r="D4" s="195" t="s">
        <v>639</v>
      </c>
      <c r="E4" s="197" t="s">
        <v>694</v>
      </c>
      <c r="F4" s="189" t="s">
        <v>644</v>
      </c>
      <c r="G4" s="199" t="s">
        <v>641</v>
      </c>
      <c r="H4" s="193" t="s">
        <v>645</v>
      </c>
      <c r="I4" s="178" t="s">
        <v>133</v>
      </c>
      <c r="J4" s="217" t="s">
        <v>2293</v>
      </c>
      <c r="K4" s="217" t="s">
        <v>2294</v>
      </c>
      <c r="L4" s="217" t="s">
        <v>2295</v>
      </c>
      <c r="M4" s="217" t="s">
        <v>2296</v>
      </c>
      <c r="N4" s="217" t="s">
        <v>2297</v>
      </c>
      <c r="O4" s="217" t="s">
        <v>2298</v>
      </c>
    </row>
    <row r="5" spans="1:15" ht="18.75" customHeight="1" x14ac:dyDescent="0.2">
      <c r="A5" s="177"/>
      <c r="B5" s="194"/>
      <c r="C5" s="194"/>
      <c r="D5" s="196"/>
      <c r="E5" s="198"/>
      <c r="F5" s="190"/>
      <c r="G5" s="200"/>
      <c r="H5" s="194"/>
      <c r="I5" s="179"/>
      <c r="J5" s="218"/>
      <c r="K5" s="218"/>
      <c r="L5" s="218"/>
      <c r="M5" s="218"/>
      <c r="N5" s="218"/>
      <c r="O5" s="218"/>
    </row>
    <row r="6" spans="1:15" ht="16.5" x14ac:dyDescent="0.2">
      <c r="A6" s="168" t="s">
        <v>9</v>
      </c>
      <c r="B6" s="169"/>
      <c r="C6" s="170"/>
      <c r="D6" s="67">
        <f>'Gerencias y Oficinas'!D300</f>
        <v>7151039</v>
      </c>
      <c r="E6" s="67">
        <f>'Gerencias y Oficinas'!E300</f>
        <v>5777500.9899999993</v>
      </c>
      <c r="F6" s="67">
        <f>'Gerencias y Oficinas'!F300</f>
        <v>1373538.0100000007</v>
      </c>
      <c r="G6" s="67">
        <f>'Gerencias y Oficinas'!G300</f>
        <v>5400403.3100000005</v>
      </c>
      <c r="H6" s="67">
        <f>'Gerencias y Oficinas'!H300</f>
        <v>1750635.6899999995</v>
      </c>
      <c r="I6" s="68">
        <f>'Gerencias y Oficinas'!I300</f>
        <v>0.75519142183394616</v>
      </c>
      <c r="J6" s="255"/>
      <c r="K6" s="255"/>
      <c r="L6" s="246"/>
      <c r="M6" s="246"/>
      <c r="N6" s="246"/>
      <c r="O6" s="246"/>
    </row>
    <row r="7" spans="1:15" ht="51.75" hidden="1" x14ac:dyDescent="0.2">
      <c r="A7" s="4">
        <v>291</v>
      </c>
      <c r="B7" s="6"/>
      <c r="C7" s="7" t="s">
        <v>30</v>
      </c>
      <c r="D7" s="9"/>
      <c r="E7" s="9"/>
      <c r="F7" s="9"/>
      <c r="G7" s="9"/>
      <c r="H7" s="9"/>
      <c r="I7" s="16"/>
      <c r="J7" s="262"/>
      <c r="K7" s="262"/>
      <c r="L7" s="247"/>
      <c r="M7" s="247"/>
      <c r="N7" s="247"/>
      <c r="O7" s="247"/>
    </row>
    <row r="8" spans="1:15" ht="42" customHeight="1" x14ac:dyDescent="0.2">
      <c r="A8" s="52">
        <f>SUBTOTAL(103,$B$8:B8)</f>
        <v>1</v>
      </c>
      <c r="B8" s="76">
        <v>213</v>
      </c>
      <c r="C8" s="82" t="s">
        <v>93</v>
      </c>
      <c r="D8" s="77">
        <f>IF('Gerencias y Oficinas'!D302="","",'Gerencias y Oficinas'!D302)</f>
        <v>185239</v>
      </c>
      <c r="E8" s="77">
        <f>IF('Gerencias y Oficinas'!E302="","",'Gerencias y Oficinas'!E302)</f>
        <v>0</v>
      </c>
      <c r="F8" s="77">
        <f>IF('Gerencias y Oficinas'!F302="","",'Gerencias y Oficinas'!F302)</f>
        <v>185239</v>
      </c>
      <c r="G8" s="77">
        <f>IF('Gerencias y Oficinas'!G302="","",'Gerencias y Oficinas'!G302)</f>
        <v>0</v>
      </c>
      <c r="H8" s="77">
        <f>IF('Gerencias y Oficinas'!H302="","",'Gerencias y Oficinas'!H302)</f>
        <v>185239</v>
      </c>
      <c r="I8" s="78">
        <f>IF('Gerencias y Oficinas'!I302="","",'Gerencias y Oficinas'!I302)</f>
        <v>0</v>
      </c>
      <c r="J8" s="257" t="str">
        <f>IF('Gerencias y Oficinas'!J302="","",'Gerencias y Oficinas'!J302)</f>
        <v/>
      </c>
      <c r="K8" s="257" t="str">
        <f>IF('Gerencias y Oficinas'!K302="","",'Gerencias y Oficinas'!K302)</f>
        <v>Por completar</v>
      </c>
      <c r="L8" s="248" t="str">
        <f>IF('Gerencias y Oficinas'!L302="","",'Gerencias y Oficinas'!L302)</f>
        <v>Sin PMI</v>
      </c>
      <c r="M8" s="248" t="str">
        <f>IF('Gerencias y Oficinas'!M302="","",'Gerencias y Oficinas'!M302)</f>
        <v>Sin PMI</v>
      </c>
      <c r="N8" s="248" t="str">
        <f>IF('Gerencias y Oficinas'!N302="","",'Gerencias y Oficinas'!N302)</f>
        <v>Sin PMI</v>
      </c>
      <c r="O8" s="248" t="str">
        <f>IF('Gerencias y Oficinas'!O302="","",'Gerencias y Oficinas'!O302)</f>
        <v>Sin PMI</v>
      </c>
    </row>
    <row r="9" spans="1:15" ht="42" customHeight="1" x14ac:dyDescent="0.2">
      <c r="A9" s="52">
        <f>SUBTOTAL(103,$B$8:B9)</f>
        <v>2</v>
      </c>
      <c r="B9" s="76">
        <v>214</v>
      </c>
      <c r="C9" s="82" t="s">
        <v>93</v>
      </c>
      <c r="D9" s="77">
        <f>IF('Gerencias y Oficinas'!D303="","",'Gerencias y Oficinas'!D303)</f>
        <v>39457</v>
      </c>
      <c r="E9" s="77">
        <f>IF('Gerencias y Oficinas'!E303="","",'Gerencias y Oficinas'!E303)</f>
        <v>0</v>
      </c>
      <c r="F9" s="77">
        <f>IF('Gerencias y Oficinas'!F303="","",'Gerencias y Oficinas'!F303)</f>
        <v>39457</v>
      </c>
      <c r="G9" s="77">
        <f>IF('Gerencias y Oficinas'!G303="","",'Gerencias y Oficinas'!G303)</f>
        <v>0</v>
      </c>
      <c r="H9" s="77">
        <f>IF('Gerencias y Oficinas'!H303="","",'Gerencias y Oficinas'!H303)</f>
        <v>39457</v>
      </c>
      <c r="I9" s="78">
        <f>IF('Gerencias y Oficinas'!I303="","",'Gerencias y Oficinas'!I303)</f>
        <v>0</v>
      </c>
      <c r="J9" s="257" t="str">
        <f>IF('Gerencias y Oficinas'!J303="","",'Gerencias y Oficinas'!J303)</f>
        <v/>
      </c>
      <c r="K9" s="257" t="str">
        <f>IF('Gerencias y Oficinas'!K303="","",'Gerencias y Oficinas'!K303)</f>
        <v>Por completar</v>
      </c>
      <c r="L9" s="248" t="str">
        <f>IF('Gerencias y Oficinas'!L303="","",'Gerencias y Oficinas'!L303)</f>
        <v>Sin PMI</v>
      </c>
      <c r="M9" s="248" t="str">
        <f>IF('Gerencias y Oficinas'!M303="","",'Gerencias y Oficinas'!M303)</f>
        <v>Sin PMI</v>
      </c>
      <c r="N9" s="248" t="str">
        <f>IF('Gerencias y Oficinas'!N303="","",'Gerencias y Oficinas'!N303)</f>
        <v>Sin PMI</v>
      </c>
      <c r="O9" s="248" t="str">
        <f>IF('Gerencias y Oficinas'!O303="","",'Gerencias y Oficinas'!O303)</f>
        <v>Sin PMI</v>
      </c>
    </row>
    <row r="10" spans="1:15" ht="42" customHeight="1" x14ac:dyDescent="0.2">
      <c r="A10" s="52">
        <f>SUBTOTAL(103,$B$8:B10)</f>
        <v>3</v>
      </c>
      <c r="B10" s="76">
        <v>215</v>
      </c>
      <c r="C10" s="82" t="s">
        <v>93</v>
      </c>
      <c r="D10" s="77">
        <f>IF('Gerencias y Oficinas'!D304="","",'Gerencias y Oficinas'!D304)</f>
        <v>0</v>
      </c>
      <c r="E10" s="77">
        <f>IF('Gerencias y Oficinas'!E304="","",'Gerencias y Oficinas'!E304)</f>
        <v>0</v>
      </c>
      <c r="F10" s="77">
        <f>IF('Gerencias y Oficinas'!F304="","",'Gerencias y Oficinas'!F304)</f>
        <v>0</v>
      </c>
      <c r="G10" s="77">
        <f>IF('Gerencias y Oficinas'!G304="","",'Gerencias y Oficinas'!G304)</f>
        <v>0</v>
      </c>
      <c r="H10" s="77">
        <f>IF('Gerencias y Oficinas'!H304="","",'Gerencias y Oficinas'!H304)</f>
        <v>0</v>
      </c>
      <c r="I10" s="78">
        <f>IF('Gerencias y Oficinas'!I304="","",'Gerencias y Oficinas'!I304)</f>
        <v>0</v>
      </c>
      <c r="J10" s="257" t="str">
        <f>IF('Gerencias y Oficinas'!J304="","",'Gerencias y Oficinas'!J304)</f>
        <v/>
      </c>
      <c r="K10" s="257" t="str">
        <f>IF('Gerencias y Oficinas'!K304="","",'Gerencias y Oficinas'!K304)</f>
        <v>Por completar</v>
      </c>
      <c r="L10" s="248" t="str">
        <f>IF('Gerencias y Oficinas'!L304="","",'Gerencias y Oficinas'!L304)</f>
        <v>Sin PMI</v>
      </c>
      <c r="M10" s="248" t="str">
        <f>IF('Gerencias y Oficinas'!M304="","",'Gerencias y Oficinas'!M304)</f>
        <v>Sin PMI</v>
      </c>
      <c r="N10" s="248" t="str">
        <f>IF('Gerencias y Oficinas'!N304="","",'Gerencias y Oficinas'!N304)</f>
        <v>Sin PMI</v>
      </c>
      <c r="O10" s="248" t="str">
        <f>IF('Gerencias y Oficinas'!O304="","",'Gerencias y Oficinas'!O304)</f>
        <v>Sin PMI</v>
      </c>
    </row>
    <row r="11" spans="1:15" ht="42" customHeight="1" x14ac:dyDescent="0.2">
      <c r="A11" s="52">
        <f>SUBTOTAL(103,$B$8:B11)</f>
        <v>4</v>
      </c>
      <c r="B11" s="76">
        <v>428</v>
      </c>
      <c r="C11" s="82" t="s">
        <v>93</v>
      </c>
      <c r="D11" s="77">
        <f>IF('Gerencias y Oficinas'!D305="","",'Gerencias y Oficinas'!D305)</f>
        <v>1185238</v>
      </c>
      <c r="E11" s="77">
        <f>IF('Gerencias y Oficinas'!E305="","",'Gerencias y Oficinas'!E305)</f>
        <v>1131681.4099999999</v>
      </c>
      <c r="F11" s="77">
        <f>IF('Gerencias y Oficinas'!F305="","",'Gerencias y Oficinas'!F305)</f>
        <v>53556.590000000084</v>
      </c>
      <c r="G11" s="77">
        <f>IF('Gerencias y Oficinas'!G305="","",'Gerencias y Oficinas'!G305)</f>
        <v>1093656.3799999999</v>
      </c>
      <c r="H11" s="77">
        <f>IF('Gerencias y Oficinas'!H305="","",'Gerencias y Oficinas'!H305)</f>
        <v>91581.620000000112</v>
      </c>
      <c r="I11" s="78">
        <f>IF('Gerencias y Oficinas'!I305="","",'Gerencias y Oficinas'!I305)</f>
        <v>0.9227314514046967</v>
      </c>
      <c r="J11" s="257" t="str">
        <f>IF('Gerencias y Oficinas'!J305="","",'Gerencias y Oficinas'!J305)</f>
        <v/>
      </c>
      <c r="K11" s="257" t="str">
        <f>IF('Gerencias y Oficinas'!K305="","",'Gerencias y Oficinas'!K305)</f>
        <v>Por completar</v>
      </c>
      <c r="L11" s="248" t="str">
        <f>IF('Gerencias y Oficinas'!L305="","",'Gerencias y Oficinas'!L305)</f>
        <v>Sin PMI</v>
      </c>
      <c r="M11" s="248" t="str">
        <f>IF('Gerencias y Oficinas'!M305="","",'Gerencias y Oficinas'!M305)</f>
        <v>Sin PMI</v>
      </c>
      <c r="N11" s="248" t="str">
        <f>IF('Gerencias y Oficinas'!N305="","",'Gerencias y Oficinas'!N305)</f>
        <v>Sin PMI</v>
      </c>
      <c r="O11" s="248" t="str">
        <f>IF('Gerencias y Oficinas'!O305="","",'Gerencias y Oficinas'!O305)</f>
        <v>Sin PMI</v>
      </c>
    </row>
    <row r="12" spans="1:15" ht="42" customHeight="1" x14ac:dyDescent="0.2">
      <c r="A12" s="52">
        <f>SUBTOTAL(103,$B$8:B12)</f>
        <v>5</v>
      </c>
      <c r="B12" s="76">
        <v>429</v>
      </c>
      <c r="C12" s="82" t="s">
        <v>93</v>
      </c>
      <c r="D12" s="77">
        <f>IF('Gerencias y Oficinas'!D306="","",'Gerencias y Oficinas'!D306)</f>
        <v>303086</v>
      </c>
      <c r="E12" s="77">
        <f>IF('Gerencias y Oficinas'!E306="","",'Gerencias y Oficinas'!E306)</f>
        <v>276239.45</v>
      </c>
      <c r="F12" s="77">
        <f>IF('Gerencias y Oficinas'!F306="","",'Gerencias y Oficinas'!F306)</f>
        <v>26846.549999999988</v>
      </c>
      <c r="G12" s="77">
        <f>IF('Gerencias y Oficinas'!G306="","",'Gerencias y Oficinas'!G306)</f>
        <v>275941</v>
      </c>
      <c r="H12" s="77">
        <f>IF('Gerencias y Oficinas'!H306="","",'Gerencias y Oficinas'!H306)</f>
        <v>27145</v>
      </c>
      <c r="I12" s="78">
        <f>IF('Gerencias y Oficinas'!I306="","",'Gerencias y Oficinas'!I306)</f>
        <v>0.91043796150267586</v>
      </c>
      <c r="J12" s="257" t="str">
        <f>IF('Gerencias y Oficinas'!J306="","",'Gerencias y Oficinas'!J306)</f>
        <v/>
      </c>
      <c r="K12" s="257" t="str">
        <f>IF('Gerencias y Oficinas'!K306="","",'Gerencias y Oficinas'!K306)</f>
        <v>Por completar</v>
      </c>
      <c r="L12" s="248" t="str">
        <f>IF('Gerencias y Oficinas'!L306="","",'Gerencias y Oficinas'!L306)</f>
        <v>Sin PMI</v>
      </c>
      <c r="M12" s="248" t="str">
        <f>IF('Gerencias y Oficinas'!M306="","",'Gerencias y Oficinas'!M306)</f>
        <v>Sin PMI</v>
      </c>
      <c r="N12" s="248" t="str">
        <f>IF('Gerencias y Oficinas'!N306="","",'Gerencias y Oficinas'!N306)</f>
        <v>Sin PMI</v>
      </c>
      <c r="O12" s="248" t="str">
        <f>IF('Gerencias y Oficinas'!O306="","",'Gerencias y Oficinas'!O306)</f>
        <v>Sin PMI</v>
      </c>
    </row>
    <row r="13" spans="1:15" ht="42" customHeight="1" x14ac:dyDescent="0.2">
      <c r="A13" s="52">
        <f>SUBTOTAL(103,$B$8:B13)</f>
        <v>6</v>
      </c>
      <c r="B13" s="76">
        <v>430</v>
      </c>
      <c r="C13" s="82" t="s">
        <v>93</v>
      </c>
      <c r="D13" s="77">
        <f>IF('Gerencias y Oficinas'!D307="","",'Gerencias y Oficinas'!D307)</f>
        <v>1857675</v>
      </c>
      <c r="E13" s="77">
        <f>IF('Gerencias y Oficinas'!E307="","",'Gerencias y Oficinas'!E307)</f>
        <v>1434566.03</v>
      </c>
      <c r="F13" s="77">
        <f>IF('Gerencias y Oficinas'!F307="","",'Gerencias y Oficinas'!F307)</f>
        <v>423108.97</v>
      </c>
      <c r="G13" s="77">
        <f>IF('Gerencias y Oficinas'!G307="","",'Gerencias y Oficinas'!G307)</f>
        <v>1386835.53</v>
      </c>
      <c r="H13" s="77">
        <f>IF('Gerencias y Oficinas'!H307="","",'Gerencias y Oficinas'!H307)</f>
        <v>470839.47</v>
      </c>
      <c r="I13" s="78">
        <f>IF('Gerencias y Oficinas'!I307="","",'Gerencias y Oficinas'!I307)</f>
        <v>0.74654367959949941</v>
      </c>
      <c r="J13" s="257" t="str">
        <f>IF('Gerencias y Oficinas'!J307="","",'Gerencias y Oficinas'!J307)</f>
        <v/>
      </c>
      <c r="K13" s="257" t="str">
        <f>IF('Gerencias y Oficinas'!K307="","",'Gerencias y Oficinas'!K307)</f>
        <v>Por completar</v>
      </c>
      <c r="L13" s="248" t="str">
        <f>IF('Gerencias y Oficinas'!L307="","",'Gerencias y Oficinas'!L307)</f>
        <v>Sin PMI</v>
      </c>
      <c r="M13" s="248" t="str">
        <f>IF('Gerencias y Oficinas'!M307="","",'Gerencias y Oficinas'!M307)</f>
        <v>Sin PMI</v>
      </c>
      <c r="N13" s="248" t="str">
        <f>IF('Gerencias y Oficinas'!N307="","",'Gerencias y Oficinas'!N307)</f>
        <v>Sin PMI</v>
      </c>
      <c r="O13" s="248" t="str">
        <f>IF('Gerencias y Oficinas'!O307="","",'Gerencias y Oficinas'!O307)</f>
        <v>Sin PMI</v>
      </c>
    </row>
    <row r="14" spans="1:15" ht="42" customHeight="1" x14ac:dyDescent="0.2">
      <c r="A14" s="52">
        <f>SUBTOTAL(103,$B$8:B14)</f>
        <v>7</v>
      </c>
      <c r="B14" s="76">
        <v>431</v>
      </c>
      <c r="C14" s="83" t="s">
        <v>93</v>
      </c>
      <c r="D14" s="77">
        <f>IF('Gerencias y Oficinas'!D308="","",'Gerencias y Oficinas'!D308)</f>
        <v>969006</v>
      </c>
      <c r="E14" s="77">
        <f>IF('Gerencias y Oficinas'!E308="","",'Gerencias y Oficinas'!E308)</f>
        <v>950663.44</v>
      </c>
      <c r="F14" s="77">
        <f>IF('Gerencias y Oficinas'!F308="","",'Gerencias y Oficinas'!F308)</f>
        <v>18342.560000000056</v>
      </c>
      <c r="G14" s="77">
        <f>IF('Gerencias y Oficinas'!G308="","",'Gerencias y Oficinas'!G308)</f>
        <v>931576.35000000009</v>
      </c>
      <c r="H14" s="77">
        <f>IF('Gerencias y Oficinas'!H308="","",'Gerencias y Oficinas'!H308)</f>
        <v>37429.649999999907</v>
      </c>
      <c r="I14" s="78">
        <f>IF('Gerencias y Oficinas'!I308="","",'Gerencias y Oficinas'!I308)</f>
        <v>0.96137314939226393</v>
      </c>
      <c r="J14" s="257" t="str">
        <f>IF('Gerencias y Oficinas'!J308="","",'Gerencias y Oficinas'!J308)</f>
        <v/>
      </c>
      <c r="K14" s="257" t="str">
        <f>IF('Gerencias y Oficinas'!K308="","",'Gerencias y Oficinas'!K308)</f>
        <v>Por completar</v>
      </c>
      <c r="L14" s="248" t="str">
        <f>IF('Gerencias y Oficinas'!L308="","",'Gerencias y Oficinas'!L308)</f>
        <v>Sin PMI</v>
      </c>
      <c r="M14" s="248" t="str">
        <f>IF('Gerencias y Oficinas'!M308="","",'Gerencias y Oficinas'!M308)</f>
        <v>Sin PMI</v>
      </c>
      <c r="N14" s="248" t="str">
        <f>IF('Gerencias y Oficinas'!N308="","",'Gerencias y Oficinas'!N308)</f>
        <v>Sin PMI</v>
      </c>
      <c r="O14" s="248" t="str">
        <f>IF('Gerencias y Oficinas'!O308="","",'Gerencias y Oficinas'!O308)</f>
        <v>Sin PMI</v>
      </c>
    </row>
    <row r="15" spans="1:15" ht="42" customHeight="1" x14ac:dyDescent="0.2">
      <c r="A15" s="52">
        <f>SUBTOTAL(103,$B$8:B15)</f>
        <v>8</v>
      </c>
      <c r="B15" s="76">
        <v>432</v>
      </c>
      <c r="C15" s="82" t="s">
        <v>93</v>
      </c>
      <c r="D15" s="77">
        <f>IF('Gerencias y Oficinas'!D309="","",'Gerencias y Oficinas'!D309)</f>
        <v>1758508</v>
      </c>
      <c r="E15" s="77">
        <f>IF('Gerencias y Oficinas'!E309="","",'Gerencias y Oficinas'!E309)</f>
        <v>1286418.47</v>
      </c>
      <c r="F15" s="77">
        <f>IF('Gerencias y Oficinas'!F309="","",'Gerencias y Oficinas'!F309)</f>
        <v>472089.53</v>
      </c>
      <c r="G15" s="77">
        <f>IF('Gerencias y Oficinas'!G309="","",'Gerencias y Oficinas'!G309)</f>
        <v>1212625.8700000001</v>
      </c>
      <c r="H15" s="77">
        <f>IF('Gerencias y Oficinas'!H309="","",'Gerencias y Oficinas'!H309)</f>
        <v>545882.12999999989</v>
      </c>
      <c r="I15" s="78">
        <f>IF('Gerencias y Oficinas'!I309="","",'Gerencias y Oficinas'!I309)</f>
        <v>0.68957654443425909</v>
      </c>
      <c r="J15" s="257" t="str">
        <f>IF('Gerencias y Oficinas'!J309="","",'Gerencias y Oficinas'!J309)</f>
        <v/>
      </c>
      <c r="K15" s="257" t="str">
        <f>IF('Gerencias y Oficinas'!K309="","",'Gerencias y Oficinas'!K309)</f>
        <v>Por completar</v>
      </c>
      <c r="L15" s="248" t="str">
        <f>IF('Gerencias y Oficinas'!L309="","",'Gerencias y Oficinas'!L309)</f>
        <v>Sin PMI</v>
      </c>
      <c r="M15" s="248" t="str">
        <f>IF('Gerencias y Oficinas'!M309="","",'Gerencias y Oficinas'!M309)</f>
        <v>Sin PMI</v>
      </c>
      <c r="N15" s="248" t="str">
        <f>IF('Gerencias y Oficinas'!N309="","",'Gerencias y Oficinas'!N309)</f>
        <v>Sin PMI</v>
      </c>
      <c r="O15" s="248" t="str">
        <f>IF('Gerencias y Oficinas'!O309="","",'Gerencias y Oficinas'!O309)</f>
        <v>Sin PMI</v>
      </c>
    </row>
    <row r="16" spans="1:15" ht="42" customHeight="1" x14ac:dyDescent="0.2">
      <c r="A16" s="52">
        <f>SUBTOTAL(103,$B$8:B16)</f>
        <v>9</v>
      </c>
      <c r="B16" s="76">
        <v>436</v>
      </c>
      <c r="C16" s="82" t="s">
        <v>93</v>
      </c>
      <c r="D16" s="77">
        <f>IF('Gerencias y Oficinas'!D310="","",'Gerencias y Oficinas'!D310)</f>
        <v>768405</v>
      </c>
      <c r="E16" s="77">
        <f>IF('Gerencias y Oficinas'!E310="","",'Gerencias y Oficinas'!E310)</f>
        <v>618712.31000000006</v>
      </c>
      <c r="F16" s="77">
        <f>IF('Gerencias y Oficinas'!F310="","",'Gerencias y Oficinas'!F310)</f>
        <v>149692.68999999994</v>
      </c>
      <c r="G16" s="77">
        <f>IF('Gerencias y Oficinas'!G310="","",'Gerencias y Oficinas'!G310)</f>
        <v>420548.3</v>
      </c>
      <c r="H16" s="77">
        <f>IF('Gerencias y Oficinas'!H310="","",'Gerencias y Oficinas'!H310)</f>
        <v>347856.7</v>
      </c>
      <c r="I16" s="78">
        <f>IF('Gerencias y Oficinas'!I310="","",'Gerencias y Oficinas'!I310)</f>
        <v>0.54730031689018155</v>
      </c>
      <c r="J16" s="257" t="str">
        <f>IF('Gerencias y Oficinas'!J310="","",'Gerencias y Oficinas'!J310)</f>
        <v/>
      </c>
      <c r="K16" s="257" t="str">
        <f>IF('Gerencias y Oficinas'!K310="","",'Gerencias y Oficinas'!K310)</f>
        <v>Por completar</v>
      </c>
      <c r="L16" s="248" t="str">
        <f>IF('Gerencias y Oficinas'!L310="","",'Gerencias y Oficinas'!L310)</f>
        <v>Sin PMI</v>
      </c>
      <c r="M16" s="248" t="str">
        <f>IF('Gerencias y Oficinas'!M310="","",'Gerencias y Oficinas'!M310)</f>
        <v>Sin PMI</v>
      </c>
      <c r="N16" s="248" t="str">
        <f>IF('Gerencias y Oficinas'!N310="","",'Gerencias y Oficinas'!N310)</f>
        <v>Sin PMI</v>
      </c>
      <c r="O16" s="248" t="str">
        <f>IF('Gerencias y Oficinas'!O310="","",'Gerencias y Oficinas'!O310)</f>
        <v>Sin PMI</v>
      </c>
    </row>
    <row r="17" spans="1:15" ht="42" customHeight="1" x14ac:dyDescent="0.2">
      <c r="A17" s="52">
        <f>SUBTOTAL(103,$B$8:B17)</f>
        <v>10</v>
      </c>
      <c r="B17" s="76">
        <v>481</v>
      </c>
      <c r="C17" s="82" t="s">
        <v>93</v>
      </c>
      <c r="D17" s="77">
        <f>IF('Gerencias y Oficinas'!D311="","",'Gerencias y Oficinas'!D311)</f>
        <v>84425</v>
      </c>
      <c r="E17" s="77">
        <f>IF('Gerencias y Oficinas'!E311="","",'Gerencias y Oficinas'!E311)</f>
        <v>79219.88</v>
      </c>
      <c r="F17" s="77">
        <f>IF('Gerencias y Oficinas'!F311="","",'Gerencias y Oficinas'!F311)</f>
        <v>5205.1199999999953</v>
      </c>
      <c r="G17" s="77">
        <f>IF('Gerencias y Oficinas'!G311="","",'Gerencias y Oficinas'!G311)</f>
        <v>79219.88</v>
      </c>
      <c r="H17" s="77">
        <f>IF('Gerencias y Oficinas'!H311="","",'Gerencias y Oficinas'!H311)</f>
        <v>5205.1199999999953</v>
      </c>
      <c r="I17" s="78">
        <f>IF('Gerencias y Oficinas'!I311="","",'Gerencias y Oficinas'!I311)</f>
        <v>0.9383462244595796</v>
      </c>
      <c r="J17" s="257" t="str">
        <f>IF('Gerencias y Oficinas'!J311="","",'Gerencias y Oficinas'!J311)</f>
        <v/>
      </c>
      <c r="K17" s="257" t="str">
        <f>IF('Gerencias y Oficinas'!K311="","",'Gerencias y Oficinas'!K311)</f>
        <v>Por completar</v>
      </c>
      <c r="L17" s="248" t="str">
        <f>IF('Gerencias y Oficinas'!L311="","",'Gerencias y Oficinas'!L311)</f>
        <v>Sin PMI</v>
      </c>
      <c r="M17" s="248" t="str">
        <f>IF('Gerencias y Oficinas'!M311="","",'Gerencias y Oficinas'!M311)</f>
        <v>Sin PMI</v>
      </c>
      <c r="N17" s="248" t="str">
        <f>IF('Gerencias y Oficinas'!N311="","",'Gerencias y Oficinas'!N311)</f>
        <v>Sin PMI</v>
      </c>
      <c r="O17" s="248" t="str">
        <f>IF('Gerencias y Oficinas'!O311="","",'Gerencias y Oficinas'!O311)</f>
        <v>Sin PMI</v>
      </c>
    </row>
    <row r="18" spans="1:15" ht="16.5" x14ac:dyDescent="0.2">
      <c r="A18" s="180" t="s">
        <v>686</v>
      </c>
      <c r="B18" s="181"/>
      <c r="C18" s="181"/>
      <c r="D18" s="87">
        <f>D6</f>
        <v>7151039</v>
      </c>
      <c r="E18" s="86">
        <f>E6</f>
        <v>5777500.9899999993</v>
      </c>
      <c r="F18" s="88">
        <f>F6</f>
        <v>1373538.0100000007</v>
      </c>
      <c r="G18" s="87">
        <f>G6</f>
        <v>5400403.3100000005</v>
      </c>
      <c r="H18" s="86">
        <f>H6</f>
        <v>1750635.6899999995</v>
      </c>
      <c r="I18" s="85">
        <f>I6</f>
        <v>0.75519142183394616</v>
      </c>
      <c r="J18" s="265"/>
      <c r="K18" s="265"/>
      <c r="L18" s="254"/>
      <c r="M18" s="254"/>
      <c r="N18" s="254"/>
      <c r="O18" s="254"/>
    </row>
  </sheetData>
  <mergeCells count="19">
    <mergeCell ref="O4:O5"/>
    <mergeCell ref="A2:O2"/>
    <mergeCell ref="J4:J5"/>
    <mergeCell ref="K4:K5"/>
    <mergeCell ref="L4:L5"/>
    <mergeCell ref="M4:M5"/>
    <mergeCell ref="N4:N5"/>
    <mergeCell ref="I4:I5"/>
    <mergeCell ref="A6:C6"/>
    <mergeCell ref="A18:C18"/>
    <mergeCell ref="A1:I1"/>
    <mergeCell ref="A4:A5"/>
    <mergeCell ref="B4:B5"/>
    <mergeCell ref="C4:C5"/>
    <mergeCell ref="D4:D5"/>
    <mergeCell ref="E4:E5"/>
    <mergeCell ref="F4:F5"/>
    <mergeCell ref="G4:G5"/>
    <mergeCell ref="H4:H5"/>
  </mergeCells>
  <pageMargins left="0.70866141732283472" right="0.70866141732283472" top="0.74803149606299213" bottom="0.74803149606299213" header="0.31496062992125984" footer="0.31496062992125984"/>
  <pageSetup paperSize="9" scale="71"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F9BF-3515-455A-9768-6B753AB4772A}">
  <sheetPr codeName="Hoja11"/>
  <dimension ref="A1:L22"/>
  <sheetViews>
    <sheetView topLeftCell="A9" zoomScaleNormal="100" workbookViewId="0">
      <selection activeCell="A15" sqref="A15:XFD15"/>
    </sheetView>
  </sheetViews>
  <sheetFormatPr baseColWidth="10" defaultRowHeight="12.75" x14ac:dyDescent="0.2"/>
  <cols>
    <col min="1" max="1" width="3.42578125" customWidth="1"/>
    <col min="4" max="4" width="8" customWidth="1"/>
    <col min="5" max="5" width="14" bestFit="1" customWidth="1"/>
    <col min="6" max="6" width="15.7109375" customWidth="1"/>
    <col min="7" max="7" width="13.140625" customWidth="1"/>
    <col min="8" max="8" width="13.5703125" customWidth="1"/>
    <col min="9" max="9" width="13.85546875" customWidth="1"/>
    <col min="10" max="10" width="8.28515625" customWidth="1"/>
    <col min="11" max="11" width="13" customWidth="1"/>
  </cols>
  <sheetData>
    <row r="1" spans="1:12" ht="18" x14ac:dyDescent="0.2">
      <c r="A1" s="173"/>
      <c r="B1" s="173"/>
      <c r="C1" s="173"/>
      <c r="D1" s="173"/>
      <c r="E1" s="173"/>
      <c r="F1" s="173"/>
      <c r="G1" s="173"/>
      <c r="H1" s="173"/>
      <c r="I1" s="173"/>
      <c r="J1" s="173"/>
      <c r="K1" s="173"/>
      <c r="L1" s="173"/>
    </row>
    <row r="2" spans="1:12" ht="18" x14ac:dyDescent="0.2">
      <c r="A2" s="173" t="s">
        <v>708</v>
      </c>
      <c r="B2" s="173"/>
      <c r="C2" s="173"/>
      <c r="D2" s="173"/>
      <c r="E2" s="173"/>
      <c r="F2" s="173"/>
      <c r="G2" s="173"/>
      <c r="H2" s="173"/>
      <c r="I2" s="173"/>
      <c r="J2" s="173"/>
      <c r="K2" s="173"/>
      <c r="L2" s="173"/>
    </row>
    <row r="3" spans="1:12" ht="42" customHeight="1" x14ac:dyDescent="0.25">
      <c r="A3" s="142" t="s">
        <v>707</v>
      </c>
      <c r="B3" s="142"/>
      <c r="C3" s="142"/>
      <c r="D3" s="142"/>
      <c r="E3" s="142"/>
      <c r="F3" s="142"/>
      <c r="G3" s="142"/>
      <c r="H3" s="142"/>
      <c r="I3" s="142"/>
      <c r="J3" s="142"/>
      <c r="K3" s="142"/>
      <c r="L3" s="142"/>
    </row>
    <row r="4" spans="1:12" ht="18" x14ac:dyDescent="0.25">
      <c r="A4" s="1"/>
      <c r="B4" s="3"/>
      <c r="C4" s="3"/>
      <c r="D4" s="11"/>
      <c r="E4" s="2"/>
      <c r="F4" s="2"/>
      <c r="G4" s="2"/>
      <c r="J4" s="96"/>
    </row>
    <row r="5" spans="1:12" ht="27.95" customHeight="1" thickBot="1" x14ac:dyDescent="0.25">
      <c r="A5" s="97" t="s">
        <v>696</v>
      </c>
      <c r="B5" s="3"/>
      <c r="C5" s="3"/>
      <c r="D5" s="11"/>
      <c r="E5" s="2"/>
      <c r="F5" s="2"/>
      <c r="G5" s="2"/>
      <c r="L5" s="268" t="str">
        <f>"AL "&amp;TEXT(SIAF!B3,"dd/mm/yyyy")</f>
        <v>AL 06/10/2026</v>
      </c>
    </row>
    <row r="6" spans="1:12" ht="29.25" customHeight="1" x14ac:dyDescent="0.2">
      <c r="A6" s="213" t="s">
        <v>3</v>
      </c>
      <c r="B6" s="210" t="s">
        <v>695</v>
      </c>
      <c r="C6" s="210"/>
      <c r="D6" s="210"/>
      <c r="E6" s="210" t="s">
        <v>639</v>
      </c>
      <c r="F6" s="210" t="s">
        <v>694</v>
      </c>
      <c r="G6" s="210" t="s">
        <v>644</v>
      </c>
      <c r="H6" s="210" t="s">
        <v>641</v>
      </c>
      <c r="I6" s="210" t="s">
        <v>645</v>
      </c>
      <c r="J6" s="207" t="s">
        <v>705</v>
      </c>
      <c r="K6" s="201" t="s">
        <v>706</v>
      </c>
      <c r="L6" s="201" t="s">
        <v>709</v>
      </c>
    </row>
    <row r="7" spans="1:12" ht="29.25" customHeight="1" thickBot="1" x14ac:dyDescent="0.25">
      <c r="A7" s="214"/>
      <c r="B7" s="211"/>
      <c r="C7" s="211"/>
      <c r="D7" s="211"/>
      <c r="E7" s="211"/>
      <c r="F7" s="211"/>
      <c r="G7" s="211"/>
      <c r="H7" s="211"/>
      <c r="I7" s="211"/>
      <c r="J7" s="208"/>
      <c r="K7" s="202"/>
      <c r="L7" s="202"/>
    </row>
    <row r="8" spans="1:12" ht="16.5" x14ac:dyDescent="0.2">
      <c r="A8" s="107">
        <v>1</v>
      </c>
      <c r="B8" s="209" t="s">
        <v>699</v>
      </c>
      <c r="C8" s="209"/>
      <c r="D8" s="209"/>
      <c r="E8" s="108">
        <f>'Gerencia de Infraestructura'!D905</f>
        <v>770071302</v>
      </c>
      <c r="F8" s="108">
        <f>'Gerencia de Infraestructura'!E905</f>
        <v>722649554.93999958</v>
      </c>
      <c r="G8" s="108">
        <f>'Gerencia de Infraestructura'!F905</f>
        <v>47421747.06000042</v>
      </c>
      <c r="H8" s="108">
        <f>'Gerencia de Infraestructura'!G905</f>
        <v>381727436.3100003</v>
      </c>
      <c r="I8" s="108">
        <f>'Gerencia de Infraestructura'!H905</f>
        <v>388343865.6899997</v>
      </c>
      <c r="J8" s="109">
        <f>IF(E8=0,0,H8/E8)</f>
        <v>0.49570401509391698</v>
      </c>
      <c r="K8" s="109">
        <f>IF(E8=0,0,G8/E8)</f>
        <v>6.1580982094565084E-2</v>
      </c>
      <c r="L8" s="109">
        <f>IF(E8=0,0,I8/E8)</f>
        <v>0.50429598490608307</v>
      </c>
    </row>
    <row r="9" spans="1:12" ht="15.75" x14ac:dyDescent="0.2">
      <c r="A9" s="99">
        <v>2</v>
      </c>
      <c r="B9" s="212" t="s">
        <v>698</v>
      </c>
      <c r="C9" s="212"/>
      <c r="D9" s="212"/>
      <c r="E9" s="100">
        <f>GRDE!D96</f>
        <v>15438088</v>
      </c>
      <c r="F9" s="100">
        <f>GRDE!E96</f>
        <v>13246423.869999999</v>
      </c>
      <c r="G9" s="100">
        <f>GRDE!F96</f>
        <v>2191664.1300000008</v>
      </c>
      <c r="H9" s="100">
        <f>GRDE!G96</f>
        <v>6937956.7899999991</v>
      </c>
      <c r="I9" s="100">
        <f>GRDE!H96</f>
        <v>8500131.2100000009</v>
      </c>
      <c r="J9" s="98">
        <f>IF(E9=0,0,H9/E9)</f>
        <v>0.44940518476122165</v>
      </c>
      <c r="K9" s="98">
        <f>IF(E9=0,0,G9/E9)</f>
        <v>0.14196473876816876</v>
      </c>
      <c r="L9" s="109">
        <f>IF(E9=0,0,I9/E9)</f>
        <v>0.55059481523877829</v>
      </c>
    </row>
    <row r="10" spans="1:12" ht="16.5" x14ac:dyDescent="0.2">
      <c r="A10" s="99">
        <v>3</v>
      </c>
      <c r="B10" s="203" t="s">
        <v>700</v>
      </c>
      <c r="C10" s="203"/>
      <c r="D10" s="203"/>
      <c r="E10" s="100">
        <f>GRRNyDA!D21</f>
        <v>18155027</v>
      </c>
      <c r="F10" s="100">
        <f>GRRNyDA!E21</f>
        <v>15578094.309999999</v>
      </c>
      <c r="G10" s="100">
        <f>GRRNyDA!F21</f>
        <v>2576932.6900000013</v>
      </c>
      <c r="H10" s="100">
        <f>GRRNyDA!G21</f>
        <v>8757642.459999999</v>
      </c>
      <c r="I10" s="100">
        <f>GRRNyDA!H21</f>
        <v>9397384.540000001</v>
      </c>
      <c r="J10" s="98">
        <f>IF(E10=0,0,H10/E10)</f>
        <v>0.48238113113244058</v>
      </c>
      <c r="K10" s="98">
        <f>IF(E10=0,0,G10/E10)</f>
        <v>0.14194044933119634</v>
      </c>
      <c r="L10" s="109">
        <f>IF(E10=0,0,I10/E10)</f>
        <v>0.51761886886755948</v>
      </c>
    </row>
    <row r="11" spans="1:12" ht="16.5" x14ac:dyDescent="0.2">
      <c r="A11" s="99">
        <v>4</v>
      </c>
      <c r="B11" s="203" t="s">
        <v>701</v>
      </c>
      <c r="C11" s="203"/>
      <c r="D11" s="203"/>
      <c r="E11" s="100">
        <f>PETT!D11</f>
        <v>13183082</v>
      </c>
      <c r="F11" s="100">
        <f>PETT!E11</f>
        <v>12706540.85</v>
      </c>
      <c r="G11" s="100">
        <f>PETT!F11</f>
        <v>476541.15000000037</v>
      </c>
      <c r="H11" s="100">
        <f>PETT!G11</f>
        <v>3714211.5199999996</v>
      </c>
      <c r="I11" s="100">
        <f>PETT!H11</f>
        <v>9468870.4800000004</v>
      </c>
      <c r="J11" s="98">
        <f>IF(E11=0,0,H11/E11)</f>
        <v>0.28174075834467233</v>
      </c>
      <c r="K11" s="98">
        <f>IF(E11=0,0,G11/E11)</f>
        <v>3.6147931872076676E-2</v>
      </c>
      <c r="L11" s="109">
        <f>IF(E11=0,0,I11/E11)</f>
        <v>0.71825924165532762</v>
      </c>
    </row>
    <row r="12" spans="1:12" ht="16.5" x14ac:dyDescent="0.2">
      <c r="A12" s="99">
        <v>5</v>
      </c>
      <c r="B12" s="203" t="s">
        <v>702</v>
      </c>
      <c r="C12" s="203"/>
      <c r="D12" s="203"/>
      <c r="E12" s="100">
        <f>PECSA!D13</f>
        <v>5603985</v>
      </c>
      <c r="F12" s="100">
        <f>PECSA!E13</f>
        <v>5402769.9500000002</v>
      </c>
      <c r="G12" s="100">
        <f>PECSA!F13</f>
        <v>201215.04999999981</v>
      </c>
      <c r="H12" s="100">
        <f>PECSA!G13</f>
        <v>3499541.36</v>
      </c>
      <c r="I12" s="100">
        <f>PECSA!H13</f>
        <v>2104443.64</v>
      </c>
      <c r="J12" s="98">
        <f>IF(E12=0,0,H12/E12)</f>
        <v>0.62447372004029278</v>
      </c>
      <c r="K12" s="98">
        <f>IF(E12=0,0,G12/E12)</f>
        <v>3.5905708170168159E-2</v>
      </c>
      <c r="L12" s="109">
        <f>IF(E12=0,0,I12/E12)</f>
        <v>0.37552627995970728</v>
      </c>
    </row>
    <row r="13" spans="1:12" ht="16.5" x14ac:dyDescent="0.2">
      <c r="A13" s="99">
        <v>6</v>
      </c>
      <c r="B13" s="203" t="s">
        <v>703</v>
      </c>
      <c r="C13" s="203"/>
      <c r="D13" s="203"/>
      <c r="E13" s="100">
        <f>DS!D56</f>
        <v>74397967</v>
      </c>
      <c r="F13" s="100">
        <f>DS!E56</f>
        <v>67208621.579999998</v>
      </c>
      <c r="G13" s="100">
        <f>DS!F56</f>
        <v>7189345.4200000018</v>
      </c>
      <c r="H13" s="100">
        <f>DS!G56</f>
        <v>23249589.989999998</v>
      </c>
      <c r="I13" s="100">
        <f>DS!H56</f>
        <v>51148377.010000005</v>
      </c>
      <c r="J13" s="98">
        <f>IF(E13=0,0,H13/E13)</f>
        <v>0.31250302834215882</v>
      </c>
      <c r="K13" s="98">
        <f>IF(E13=0,0,G13/E13)</f>
        <v>9.6633627367801622E-2</v>
      </c>
      <c r="L13" s="109">
        <f>IF(E13=0,0,I13/E13)</f>
        <v>0.68749697165784118</v>
      </c>
    </row>
    <row r="14" spans="1:12" ht="16.5" x14ac:dyDescent="0.2">
      <c r="A14" s="101">
        <v>7</v>
      </c>
      <c r="B14" s="204" t="s">
        <v>704</v>
      </c>
      <c r="C14" s="204"/>
      <c r="D14" s="204"/>
      <c r="E14" s="102">
        <f>DEPI!D18</f>
        <v>7151039</v>
      </c>
      <c r="F14" s="102">
        <f>DEPI!E18</f>
        <v>5777500.9899999993</v>
      </c>
      <c r="G14" s="102">
        <f>DEPI!F18</f>
        <v>1373538.0100000007</v>
      </c>
      <c r="H14" s="102">
        <f>DEPI!G18</f>
        <v>5400403.3100000005</v>
      </c>
      <c r="I14" s="102">
        <f>DEPI!H18</f>
        <v>1750635.6899999995</v>
      </c>
      <c r="J14" s="103">
        <f>IF(E14=0,0,H14/E14)</f>
        <v>0.75519142183394616</v>
      </c>
      <c r="K14" s="103">
        <f>IF(E14=0,0,G14/E14)</f>
        <v>0.19207530681905116</v>
      </c>
      <c r="L14" s="109">
        <f>IF(E14=0,0,I14/E14)</f>
        <v>0.24480857816605384</v>
      </c>
    </row>
    <row r="15" spans="1:12" ht="17.25" thickBot="1" x14ac:dyDescent="0.25">
      <c r="A15" s="101">
        <v>8</v>
      </c>
      <c r="B15" s="204" t="s">
        <v>2310</v>
      </c>
      <c r="C15" s="204"/>
      <c r="D15" s="204"/>
      <c r="E15" s="102">
        <f>'Gerencias y Oficinas'!D316</f>
        <v>1026494</v>
      </c>
      <c r="F15" s="102">
        <f>'Gerencias y Oficinas'!E316</f>
        <v>573620.68999999994</v>
      </c>
      <c r="G15" s="102">
        <f>'Gerencias y Oficinas'!F316</f>
        <v>452873.31000000006</v>
      </c>
      <c r="H15" s="102">
        <f>'Gerencias y Oficinas'!G316</f>
        <v>288990.90999999997</v>
      </c>
      <c r="I15" s="102">
        <f>'Gerencias y Oficinas'!H316</f>
        <v>737503.09000000008</v>
      </c>
      <c r="J15" s="103">
        <f>IF(E15=0,0,H15/E15)</f>
        <v>0.28153200116123422</v>
      </c>
      <c r="K15" s="103">
        <f>IF(E15=0,0,G15/E15)</f>
        <v>0.44118456610559831</v>
      </c>
      <c r="L15" s="109">
        <f>IF(E15=0,0,I15/E15)</f>
        <v>0.71846799883876578</v>
      </c>
    </row>
    <row r="16" spans="1:12" ht="15.75" thickBot="1" x14ac:dyDescent="0.3">
      <c r="A16" s="205" t="s">
        <v>697</v>
      </c>
      <c r="B16" s="206"/>
      <c r="C16" s="206"/>
      <c r="D16" s="206"/>
      <c r="E16" s="104">
        <f>SUM(E8:E15)</f>
        <v>905026984</v>
      </c>
      <c r="F16" s="104">
        <f>SUM(F8:F15)</f>
        <v>843143127.17999971</v>
      </c>
      <c r="G16" s="104">
        <f>SUM(G8:G15)</f>
        <v>61883856.820000425</v>
      </c>
      <c r="H16" s="104">
        <f>SUM(H8:H15)</f>
        <v>433575772.65000033</v>
      </c>
      <c r="I16" s="104">
        <f>SUM(I8:I15)</f>
        <v>471451211.34999967</v>
      </c>
      <c r="J16" s="105">
        <f>IF(E16=0,0,H16/E16)</f>
        <v>0.47907496717247089</v>
      </c>
      <c r="K16" s="106">
        <f>IF(E16=0,0,G16/E16)</f>
        <v>6.8377913492135636E-2</v>
      </c>
      <c r="L16" s="106">
        <f>IF(E16=0,0,I16/E16)</f>
        <v>0.52092503282752911</v>
      </c>
    </row>
    <row r="18" spans="1:12" x14ac:dyDescent="0.2">
      <c r="A18" s="266" t="str">
        <f>IF(AND(ABS(E16-SUM(tSIAF[PIM]))&lt;0.02,ABS(F16-SUM(tSIAF[Certificacion]))&lt;0.02,ABS(H16-SUM(tSIAF[Devengado]))&lt;0.02),"Control: los importes concilian con el reporte SIAF de Sede Central.","REVISAR: hay metas nuevas, ausentes o diferencias respecto al SIAF.")</f>
        <v>Control: los importes concilian con el reporte SIAF de Sede Central.</v>
      </c>
      <c r="B18" s="266"/>
      <c r="C18" s="266"/>
      <c r="D18" s="266"/>
      <c r="E18" s="266"/>
      <c r="F18" s="266"/>
      <c r="G18" s="266"/>
      <c r="H18" s="266"/>
      <c r="I18" s="266"/>
      <c r="J18" s="266"/>
      <c r="K18" s="266"/>
      <c r="L18" s="266"/>
    </row>
    <row r="19" spans="1:12" ht="30" customHeight="1" x14ac:dyDescent="0.2">
      <c r="A19" s="267" t="s">
        <v>2311</v>
      </c>
      <c r="B19" s="267"/>
      <c r="C19" s="267"/>
      <c r="D19" s="267"/>
      <c r="E19" s="267"/>
      <c r="F19" s="267"/>
      <c r="G19" s="267"/>
      <c r="H19" s="267"/>
      <c r="I19" s="267"/>
      <c r="J19" s="267"/>
      <c r="K19" s="267"/>
      <c r="L19" s="267"/>
    </row>
    <row r="20" spans="1:12" ht="30" customHeight="1" x14ac:dyDescent="0.2">
      <c r="A20" s="267" t="s">
        <v>2312</v>
      </c>
      <c r="B20" s="267"/>
      <c r="C20" s="267"/>
      <c r="D20" s="267"/>
      <c r="E20" s="267"/>
      <c r="F20" s="267"/>
      <c r="G20" s="267"/>
      <c r="H20" s="267"/>
      <c r="I20" s="267"/>
      <c r="J20" s="267"/>
      <c r="K20" s="267"/>
      <c r="L20" s="267"/>
    </row>
    <row r="21" spans="1:12" ht="30" customHeight="1" x14ac:dyDescent="0.2">
      <c r="A21" s="267" t="s">
        <v>2313</v>
      </c>
      <c r="B21" s="267"/>
      <c r="C21" s="267"/>
      <c r="D21" s="267"/>
      <c r="E21" s="267"/>
      <c r="F21" s="267"/>
      <c r="G21" s="267"/>
      <c r="H21" s="267"/>
      <c r="I21" s="267"/>
      <c r="J21" s="267"/>
      <c r="K21" s="267"/>
      <c r="L21" s="267"/>
    </row>
    <row r="22" spans="1:12" ht="30" customHeight="1" x14ac:dyDescent="0.2">
      <c r="A22" s="267" t="s">
        <v>2314</v>
      </c>
      <c r="B22" s="267"/>
      <c r="C22" s="267"/>
      <c r="D22" s="267"/>
      <c r="E22" s="267"/>
      <c r="F22" s="267"/>
      <c r="G22" s="267"/>
      <c r="H22" s="267"/>
      <c r="I22" s="267"/>
      <c r="J22" s="267"/>
      <c r="K22" s="267"/>
      <c r="L22" s="267"/>
    </row>
  </sheetData>
  <mergeCells count="27">
    <mergeCell ref="A22:L22"/>
    <mergeCell ref="B15:D15"/>
    <mergeCell ref="A18:L18"/>
    <mergeCell ref="A19:L19"/>
    <mergeCell ref="A20:L20"/>
    <mergeCell ref="A21:L21"/>
    <mergeCell ref="B13:D13"/>
    <mergeCell ref="B14:D14"/>
    <mergeCell ref="A16:D16"/>
    <mergeCell ref="K6:K7"/>
    <mergeCell ref="J6:J7"/>
    <mergeCell ref="B8:D8"/>
    <mergeCell ref="B6:D7"/>
    <mergeCell ref="B9:D9"/>
    <mergeCell ref="B10:D10"/>
    <mergeCell ref="B11:D11"/>
    <mergeCell ref="A6:A7"/>
    <mergeCell ref="E6:E7"/>
    <mergeCell ref="F6:F7"/>
    <mergeCell ref="G6:G7"/>
    <mergeCell ref="H6:H7"/>
    <mergeCell ref="I6:I7"/>
    <mergeCell ref="L6:L7"/>
    <mergeCell ref="A1:L1"/>
    <mergeCell ref="A2:L2"/>
    <mergeCell ref="A3:L3"/>
    <mergeCell ref="B12:D12"/>
  </mergeCells>
  <pageMargins left="0.7" right="0.7" top="0.75" bottom="0.75" header="0.3" footer="0.3"/>
  <pageSetup paperSize="9" scale="6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153D-294D-431A-82A4-42B744E036B5}">
  <dimension ref="A1:F442"/>
  <sheetViews>
    <sheetView workbookViewId="0"/>
  </sheetViews>
  <sheetFormatPr baseColWidth="10" defaultRowHeight="12.75" x14ac:dyDescent="0.2"/>
  <cols>
    <col min="1" max="1" width="65.7109375" customWidth="1"/>
    <col min="2" max="2" width="45.7109375" customWidth="1"/>
    <col min="3" max="6" width="22.7109375" customWidth="1"/>
  </cols>
  <sheetData>
    <row r="1" spans="1:6" x14ac:dyDescent="0.2">
      <c r="A1" t="s">
        <v>723</v>
      </c>
      <c r="B1" t="s">
        <v>724</v>
      </c>
    </row>
    <row r="2" spans="1:6" x14ac:dyDescent="0.2">
      <c r="A2" t="s">
        <v>725</v>
      </c>
      <c r="B2" t="s">
        <v>726</v>
      </c>
    </row>
    <row r="3" spans="1:6" x14ac:dyDescent="0.2">
      <c r="A3" t="s">
        <v>727</v>
      </c>
      <c r="B3" s="215">
        <v>46301</v>
      </c>
    </row>
    <row r="6" spans="1:6" x14ac:dyDescent="0.2">
      <c r="A6" t="s">
        <v>729</v>
      </c>
      <c r="B6" t="s">
        <v>730</v>
      </c>
      <c r="C6" t="s">
        <v>731</v>
      </c>
      <c r="D6" t="s">
        <v>299</v>
      </c>
      <c r="E6" t="s">
        <v>732</v>
      </c>
      <c r="F6" t="s">
        <v>733</v>
      </c>
    </row>
    <row r="7" spans="1:6" x14ac:dyDescent="0.2">
      <c r="A7" s="216" t="s">
        <v>734</v>
      </c>
      <c r="B7" s="216" t="s">
        <v>735</v>
      </c>
      <c r="C7" s="216" t="s">
        <v>736</v>
      </c>
      <c r="D7" s="216">
        <v>0</v>
      </c>
      <c r="E7" s="216">
        <v>0</v>
      </c>
      <c r="F7" s="216">
        <v>0</v>
      </c>
    </row>
    <row r="8" spans="1:6" x14ac:dyDescent="0.2">
      <c r="A8" s="216" t="s">
        <v>737</v>
      </c>
      <c r="B8" s="216" t="s">
        <v>738</v>
      </c>
      <c r="C8" s="216" t="s">
        <v>739</v>
      </c>
      <c r="D8" s="216">
        <v>0</v>
      </c>
      <c r="E8" s="216">
        <v>0</v>
      </c>
      <c r="F8" s="216">
        <v>0</v>
      </c>
    </row>
    <row r="9" spans="1:6" x14ac:dyDescent="0.2">
      <c r="A9" s="216" t="s">
        <v>740</v>
      </c>
      <c r="B9" s="216" t="s">
        <v>741</v>
      </c>
      <c r="C9" s="216" t="s">
        <v>742</v>
      </c>
      <c r="D9" s="216">
        <v>844818</v>
      </c>
      <c r="E9" s="216">
        <v>75387.03</v>
      </c>
      <c r="F9" s="216">
        <v>75387.03</v>
      </c>
    </row>
    <row r="10" spans="1:6" x14ac:dyDescent="0.2">
      <c r="A10" s="216" t="s">
        <v>743</v>
      </c>
      <c r="B10" s="216" t="s">
        <v>744</v>
      </c>
      <c r="C10" s="216" t="s">
        <v>745</v>
      </c>
      <c r="D10" s="216">
        <v>56150305</v>
      </c>
      <c r="E10" s="216">
        <v>56150304.020000003</v>
      </c>
      <c r="F10" s="216">
        <v>29724123.719999999</v>
      </c>
    </row>
    <row r="11" spans="1:6" x14ac:dyDescent="0.2">
      <c r="A11" s="216" t="s">
        <v>746</v>
      </c>
      <c r="B11" s="216" t="s">
        <v>747</v>
      </c>
      <c r="C11" s="216" t="s">
        <v>500</v>
      </c>
      <c r="D11" s="216">
        <v>53759397</v>
      </c>
      <c r="E11" s="216">
        <v>53759396.899999999</v>
      </c>
      <c r="F11" s="216">
        <v>261343.05</v>
      </c>
    </row>
    <row r="12" spans="1:6" x14ac:dyDescent="0.2">
      <c r="A12" s="216" t="s">
        <v>748</v>
      </c>
      <c r="B12" s="216" t="s">
        <v>749</v>
      </c>
      <c r="C12" s="216" t="s">
        <v>750</v>
      </c>
      <c r="D12" s="216">
        <v>11203165</v>
      </c>
      <c r="E12" s="216">
        <v>10889668.59</v>
      </c>
      <c r="F12" s="216">
        <v>6395813.3399999999</v>
      </c>
    </row>
    <row r="13" spans="1:6" x14ac:dyDescent="0.2">
      <c r="A13" s="216" t="s">
        <v>751</v>
      </c>
      <c r="B13" s="216" t="s">
        <v>752</v>
      </c>
      <c r="C13" s="216" t="s">
        <v>753</v>
      </c>
      <c r="D13" s="216">
        <v>369217</v>
      </c>
      <c r="E13" s="216">
        <v>140000</v>
      </c>
      <c r="F13" s="216">
        <v>140000</v>
      </c>
    </row>
    <row r="14" spans="1:6" x14ac:dyDescent="0.2">
      <c r="A14" s="216" t="s">
        <v>754</v>
      </c>
      <c r="B14" s="216" t="s">
        <v>755</v>
      </c>
      <c r="C14" s="216" t="s">
        <v>756</v>
      </c>
      <c r="D14" s="216">
        <v>563376</v>
      </c>
      <c r="E14" s="216">
        <v>563376</v>
      </c>
      <c r="F14" s="216">
        <v>65074.96</v>
      </c>
    </row>
    <row r="15" spans="1:6" x14ac:dyDescent="0.2">
      <c r="A15" s="216" t="s">
        <v>757</v>
      </c>
      <c r="B15" s="216" t="s">
        <v>758</v>
      </c>
      <c r="C15" s="216" t="s">
        <v>759</v>
      </c>
      <c r="D15" s="216">
        <v>22276780</v>
      </c>
      <c r="E15" s="216">
        <v>17912911.210000001</v>
      </c>
      <c r="F15" s="216">
        <v>15417466.049999999</v>
      </c>
    </row>
    <row r="16" spans="1:6" x14ac:dyDescent="0.2">
      <c r="A16" s="216" t="s">
        <v>760</v>
      </c>
      <c r="B16" s="216" t="s">
        <v>761</v>
      </c>
      <c r="C16" s="216" t="s">
        <v>762</v>
      </c>
      <c r="D16" s="216">
        <v>4927527</v>
      </c>
      <c r="E16" s="216">
        <v>4223260.6899999995</v>
      </c>
      <c r="F16" s="216">
        <v>1725644.14</v>
      </c>
    </row>
    <row r="17" spans="1:6" x14ac:dyDescent="0.2">
      <c r="A17" s="216" t="s">
        <v>763</v>
      </c>
      <c r="B17" s="216" t="s">
        <v>764</v>
      </c>
      <c r="C17" s="216" t="s">
        <v>765</v>
      </c>
      <c r="D17" s="216">
        <v>17241964</v>
      </c>
      <c r="E17" s="216">
        <v>17144704.560000002</v>
      </c>
      <c r="F17" s="216">
        <v>11639796.34</v>
      </c>
    </row>
    <row r="18" spans="1:6" x14ac:dyDescent="0.2">
      <c r="A18" s="216" t="s">
        <v>766</v>
      </c>
      <c r="B18" s="216" t="s">
        <v>767</v>
      </c>
      <c r="C18" s="216" t="s">
        <v>768</v>
      </c>
      <c r="D18" s="216">
        <v>9037622</v>
      </c>
      <c r="E18" s="216">
        <v>8236997.0899999999</v>
      </c>
      <c r="F18" s="216">
        <v>5290297.7</v>
      </c>
    </row>
    <row r="19" spans="1:6" x14ac:dyDescent="0.2">
      <c r="A19" s="216" t="s">
        <v>769</v>
      </c>
      <c r="B19" s="216" t="s">
        <v>770</v>
      </c>
      <c r="C19" s="216" t="s">
        <v>771</v>
      </c>
      <c r="D19" s="216">
        <v>11412366</v>
      </c>
      <c r="E19" s="216">
        <v>10878205.23</v>
      </c>
      <c r="F19" s="216">
        <v>6860678.4199999999</v>
      </c>
    </row>
    <row r="20" spans="1:6" x14ac:dyDescent="0.2">
      <c r="A20" s="216" t="s">
        <v>772</v>
      </c>
      <c r="B20" s="216" t="s">
        <v>773</v>
      </c>
      <c r="C20" s="216" t="s">
        <v>774</v>
      </c>
      <c r="D20" s="216">
        <v>15380884</v>
      </c>
      <c r="E20" s="216">
        <v>14270657.16</v>
      </c>
      <c r="F20" s="216">
        <v>9463521.4600000009</v>
      </c>
    </row>
    <row r="21" spans="1:6" x14ac:dyDescent="0.2">
      <c r="A21" s="216" t="s">
        <v>775</v>
      </c>
      <c r="B21" s="216" t="s">
        <v>776</v>
      </c>
      <c r="C21" s="216" t="s">
        <v>777</v>
      </c>
      <c r="D21" s="216">
        <v>1861270</v>
      </c>
      <c r="E21" s="216">
        <v>1466941.41</v>
      </c>
      <c r="F21" s="216">
        <v>1164545.3700000001</v>
      </c>
    </row>
    <row r="22" spans="1:6" x14ac:dyDescent="0.2">
      <c r="A22" s="216" t="s">
        <v>778</v>
      </c>
      <c r="B22" s="216" t="s">
        <v>779</v>
      </c>
      <c r="C22" s="216" t="s">
        <v>780</v>
      </c>
      <c r="D22" s="216">
        <v>3866926</v>
      </c>
      <c r="E22" s="216">
        <v>2225809.46</v>
      </c>
      <c r="F22" s="216">
        <v>1977904.63</v>
      </c>
    </row>
    <row r="23" spans="1:6" x14ac:dyDescent="0.2">
      <c r="A23" s="216" t="s">
        <v>781</v>
      </c>
      <c r="B23" s="216" t="s">
        <v>782</v>
      </c>
      <c r="C23" s="216" t="s">
        <v>783</v>
      </c>
      <c r="D23" s="216">
        <v>3318026</v>
      </c>
      <c r="E23" s="216">
        <v>3154441.57</v>
      </c>
      <c r="F23" s="216">
        <v>2243366.71</v>
      </c>
    </row>
    <row r="24" spans="1:6" x14ac:dyDescent="0.2">
      <c r="A24" s="216" t="s">
        <v>784</v>
      </c>
      <c r="B24" s="216" t="s">
        <v>785</v>
      </c>
      <c r="C24" s="216" t="s">
        <v>786</v>
      </c>
      <c r="D24" s="216">
        <v>18753537</v>
      </c>
      <c r="E24" s="216">
        <v>18471517.02</v>
      </c>
      <c r="F24" s="216">
        <v>17212318.050000001</v>
      </c>
    </row>
    <row r="25" spans="1:6" x14ac:dyDescent="0.2">
      <c r="A25" s="216" t="s">
        <v>787</v>
      </c>
      <c r="B25" s="216" t="s">
        <v>788</v>
      </c>
      <c r="C25" s="216" t="s">
        <v>789</v>
      </c>
      <c r="D25" s="216">
        <v>10399190</v>
      </c>
      <c r="E25" s="216">
        <v>9609876</v>
      </c>
      <c r="F25" s="216">
        <v>0</v>
      </c>
    </row>
    <row r="26" spans="1:6" x14ac:dyDescent="0.2">
      <c r="A26" s="216" t="s">
        <v>790</v>
      </c>
      <c r="B26" s="216" t="s">
        <v>791</v>
      </c>
      <c r="C26" s="216" t="s">
        <v>792</v>
      </c>
      <c r="D26" s="216">
        <v>17484286</v>
      </c>
      <c r="E26" s="216">
        <v>17380462.93</v>
      </c>
      <c r="F26" s="216">
        <v>15761867.260000002</v>
      </c>
    </row>
    <row r="27" spans="1:6" x14ac:dyDescent="0.2">
      <c r="A27" s="216" t="s">
        <v>793</v>
      </c>
      <c r="B27" s="216" t="s">
        <v>794</v>
      </c>
      <c r="C27" s="216" t="s">
        <v>795</v>
      </c>
      <c r="D27" s="216">
        <v>7374992</v>
      </c>
      <c r="E27" s="216">
        <v>7374802</v>
      </c>
      <c r="F27" s="216">
        <v>0</v>
      </c>
    </row>
    <row r="28" spans="1:6" x14ac:dyDescent="0.2">
      <c r="A28" s="216" t="s">
        <v>796</v>
      </c>
      <c r="B28" s="216" t="s">
        <v>797</v>
      </c>
      <c r="C28" s="216" t="s">
        <v>798</v>
      </c>
      <c r="D28" s="216">
        <v>6688287</v>
      </c>
      <c r="E28" s="216">
        <v>6156914.2300000004</v>
      </c>
      <c r="F28" s="216">
        <v>3692512.7</v>
      </c>
    </row>
    <row r="29" spans="1:6" x14ac:dyDescent="0.2">
      <c r="A29" s="216" t="s">
        <v>799</v>
      </c>
      <c r="B29" s="216" t="s">
        <v>800</v>
      </c>
      <c r="C29" s="216" t="s">
        <v>801</v>
      </c>
      <c r="D29" s="216">
        <v>9666000</v>
      </c>
      <c r="E29" s="216">
        <v>9191703.8300000001</v>
      </c>
      <c r="F29" s="216">
        <v>5594991.0599999996</v>
      </c>
    </row>
    <row r="30" spans="1:6" x14ac:dyDescent="0.2">
      <c r="A30" s="216" t="s">
        <v>802</v>
      </c>
      <c r="B30" s="216" t="s">
        <v>803</v>
      </c>
      <c r="C30" s="216" t="s">
        <v>804</v>
      </c>
      <c r="D30" s="216">
        <v>7609099</v>
      </c>
      <c r="E30" s="216">
        <v>7595390.8799999999</v>
      </c>
      <c r="F30" s="216">
        <v>7570246.3900000006</v>
      </c>
    </row>
    <row r="31" spans="1:6" x14ac:dyDescent="0.2">
      <c r="A31" s="216" t="s">
        <v>805</v>
      </c>
      <c r="B31" s="216" t="s">
        <v>806</v>
      </c>
      <c r="C31" s="216" t="s">
        <v>807</v>
      </c>
      <c r="D31" s="216">
        <v>1750696</v>
      </c>
      <c r="E31" s="216">
        <v>1750696</v>
      </c>
      <c r="F31" s="216">
        <v>0</v>
      </c>
    </row>
    <row r="32" spans="1:6" x14ac:dyDescent="0.2">
      <c r="A32" s="216" t="s">
        <v>808</v>
      </c>
      <c r="B32" s="216" t="s">
        <v>809</v>
      </c>
      <c r="C32" s="216" t="s">
        <v>810</v>
      </c>
      <c r="D32" s="216">
        <v>3517960</v>
      </c>
      <c r="E32" s="216">
        <v>3461030.1</v>
      </c>
      <c r="F32" s="216">
        <v>2179648.5099999998</v>
      </c>
    </row>
    <row r="33" spans="1:6" x14ac:dyDescent="0.2">
      <c r="A33" s="216" t="s">
        <v>811</v>
      </c>
      <c r="B33" s="216" t="s">
        <v>812</v>
      </c>
      <c r="C33" s="216" t="s">
        <v>813</v>
      </c>
      <c r="D33" s="216">
        <v>5281360</v>
      </c>
      <c r="E33" s="216">
        <v>4436688.09</v>
      </c>
      <c r="F33" s="216">
        <v>140516.63</v>
      </c>
    </row>
    <row r="34" spans="1:6" x14ac:dyDescent="0.2">
      <c r="A34" s="216" t="s">
        <v>814</v>
      </c>
      <c r="B34" s="216" t="s">
        <v>815</v>
      </c>
      <c r="C34" s="216" t="s">
        <v>816</v>
      </c>
      <c r="D34" s="216">
        <v>1263865</v>
      </c>
      <c r="E34" s="216">
        <v>1181167.94</v>
      </c>
      <c r="F34" s="216">
        <v>146441.28</v>
      </c>
    </row>
    <row r="35" spans="1:6" x14ac:dyDescent="0.2">
      <c r="A35" s="216" t="s">
        <v>817</v>
      </c>
      <c r="B35" s="216" t="s">
        <v>818</v>
      </c>
      <c r="C35" s="216" t="s">
        <v>819</v>
      </c>
      <c r="D35" s="216">
        <v>5182053</v>
      </c>
      <c r="E35" s="216">
        <v>4958489.8899999997</v>
      </c>
      <c r="F35" s="216">
        <v>2773279.98</v>
      </c>
    </row>
    <row r="36" spans="1:6" x14ac:dyDescent="0.2">
      <c r="A36" s="216" t="s">
        <v>820</v>
      </c>
      <c r="B36" s="216" t="s">
        <v>821</v>
      </c>
      <c r="C36" s="216" t="s">
        <v>822</v>
      </c>
      <c r="D36" s="216">
        <v>3853164</v>
      </c>
      <c r="E36" s="216">
        <v>3701445.63</v>
      </c>
      <c r="F36" s="216">
        <v>3036070.05</v>
      </c>
    </row>
    <row r="37" spans="1:6" x14ac:dyDescent="0.2">
      <c r="A37" s="216" t="s">
        <v>823</v>
      </c>
      <c r="B37" s="216" t="s">
        <v>824</v>
      </c>
      <c r="C37" s="216" t="s">
        <v>825</v>
      </c>
      <c r="D37" s="216">
        <v>4219373</v>
      </c>
      <c r="E37" s="216">
        <v>4183621.03</v>
      </c>
      <c r="F37" s="216">
        <v>3829328.08</v>
      </c>
    </row>
    <row r="38" spans="1:6" x14ac:dyDescent="0.2">
      <c r="A38" s="216" t="s">
        <v>826</v>
      </c>
      <c r="B38" s="216" t="s">
        <v>827</v>
      </c>
      <c r="C38" s="216" t="s">
        <v>828</v>
      </c>
      <c r="D38" s="216">
        <v>13926334</v>
      </c>
      <c r="E38" s="216">
        <v>13763618.01</v>
      </c>
      <c r="F38" s="216">
        <v>182925.48</v>
      </c>
    </row>
    <row r="39" spans="1:6" x14ac:dyDescent="0.2">
      <c r="A39" s="216" t="s">
        <v>829</v>
      </c>
      <c r="B39" s="216" t="s">
        <v>830</v>
      </c>
      <c r="C39" s="216" t="s">
        <v>831</v>
      </c>
      <c r="D39" s="216">
        <v>5872577</v>
      </c>
      <c r="E39" s="216">
        <v>3724247.8200000003</v>
      </c>
      <c r="F39" s="216">
        <v>2558179.3000000003</v>
      </c>
    </row>
    <row r="40" spans="1:6" x14ac:dyDescent="0.2">
      <c r="A40" s="216" t="s">
        <v>832</v>
      </c>
      <c r="B40" s="216" t="s">
        <v>833</v>
      </c>
      <c r="C40" s="216" t="s">
        <v>834</v>
      </c>
      <c r="D40" s="216">
        <v>680748</v>
      </c>
      <c r="E40" s="216">
        <v>538302.92000000004</v>
      </c>
      <c r="F40" s="216">
        <v>0</v>
      </c>
    </row>
    <row r="41" spans="1:6" x14ac:dyDescent="0.2">
      <c r="A41" s="216" t="s">
        <v>835</v>
      </c>
      <c r="B41" s="216" t="s">
        <v>836</v>
      </c>
      <c r="C41" s="216" t="s">
        <v>837</v>
      </c>
      <c r="D41" s="216">
        <v>670100</v>
      </c>
      <c r="E41" s="216">
        <v>532791.97</v>
      </c>
      <c r="F41" s="216">
        <v>0</v>
      </c>
    </row>
    <row r="42" spans="1:6" x14ac:dyDescent="0.2">
      <c r="A42" s="216" t="s">
        <v>838</v>
      </c>
      <c r="B42" s="216" t="s">
        <v>839</v>
      </c>
      <c r="C42" s="216" t="s">
        <v>840</v>
      </c>
      <c r="D42" s="216">
        <v>388514</v>
      </c>
      <c r="E42" s="216">
        <v>269223.84000000003</v>
      </c>
      <c r="F42" s="216">
        <v>0</v>
      </c>
    </row>
    <row r="43" spans="1:6" x14ac:dyDescent="0.2">
      <c r="A43" s="216" t="s">
        <v>841</v>
      </c>
      <c r="B43" s="216" t="s">
        <v>842</v>
      </c>
      <c r="C43" s="216" t="s">
        <v>843</v>
      </c>
      <c r="D43" s="216">
        <v>3254770</v>
      </c>
      <c r="E43" s="216">
        <v>2925559.55</v>
      </c>
      <c r="F43" s="216">
        <v>0</v>
      </c>
    </row>
    <row r="44" spans="1:6" x14ac:dyDescent="0.2">
      <c r="A44" s="216" t="s">
        <v>844</v>
      </c>
      <c r="B44" s="216" t="s">
        <v>845</v>
      </c>
      <c r="C44" s="216" t="s">
        <v>846</v>
      </c>
      <c r="D44" s="216">
        <v>1007572</v>
      </c>
      <c r="E44" s="216">
        <v>838299.38</v>
      </c>
      <c r="F44" s="216">
        <v>0</v>
      </c>
    </row>
    <row r="45" spans="1:6" x14ac:dyDescent="0.2">
      <c r="A45" s="216" t="s">
        <v>847</v>
      </c>
      <c r="B45" s="216" t="s">
        <v>848</v>
      </c>
      <c r="C45" s="216" t="s">
        <v>849</v>
      </c>
      <c r="D45" s="216">
        <v>542416</v>
      </c>
      <c r="E45" s="216">
        <v>401911.51</v>
      </c>
      <c r="F45" s="216">
        <v>0</v>
      </c>
    </row>
    <row r="46" spans="1:6" x14ac:dyDescent="0.2">
      <c r="A46" s="216" t="s">
        <v>850</v>
      </c>
      <c r="B46" s="216" t="s">
        <v>851</v>
      </c>
      <c r="C46" s="216" t="s">
        <v>852</v>
      </c>
      <c r="D46" s="216">
        <v>1688098</v>
      </c>
      <c r="E46" s="216">
        <v>1486603.23</v>
      </c>
      <c r="F46" s="216">
        <v>0</v>
      </c>
    </row>
    <row r="47" spans="1:6" x14ac:dyDescent="0.2">
      <c r="A47" s="216" t="s">
        <v>853</v>
      </c>
      <c r="B47" s="216" t="s">
        <v>854</v>
      </c>
      <c r="C47" s="216" t="s">
        <v>855</v>
      </c>
      <c r="D47" s="216">
        <v>928545</v>
      </c>
      <c r="E47" s="216">
        <v>0</v>
      </c>
      <c r="F47" s="216">
        <v>0</v>
      </c>
    </row>
    <row r="48" spans="1:6" x14ac:dyDescent="0.2">
      <c r="A48" s="216" t="s">
        <v>856</v>
      </c>
      <c r="B48" s="216" t="s">
        <v>857</v>
      </c>
      <c r="C48" s="216" t="s">
        <v>858</v>
      </c>
      <c r="D48" s="216">
        <v>2394005</v>
      </c>
      <c r="E48" s="216">
        <v>0</v>
      </c>
      <c r="F48" s="216">
        <v>0</v>
      </c>
    </row>
    <row r="49" spans="1:6" x14ac:dyDescent="0.2">
      <c r="A49" s="216" t="s">
        <v>859</v>
      </c>
      <c r="B49" s="216" t="s">
        <v>860</v>
      </c>
      <c r="C49" s="216" t="s">
        <v>861</v>
      </c>
      <c r="D49" s="216">
        <v>167354</v>
      </c>
      <c r="E49" s="216">
        <v>149951.29999999999</v>
      </c>
      <c r="F49" s="216">
        <v>102781.21</v>
      </c>
    </row>
    <row r="50" spans="1:6" x14ac:dyDescent="0.2">
      <c r="A50" s="216" t="s">
        <v>862</v>
      </c>
      <c r="B50" s="216" t="s">
        <v>863</v>
      </c>
      <c r="C50" s="216" t="s">
        <v>864</v>
      </c>
      <c r="D50" s="216">
        <v>4068561</v>
      </c>
      <c r="E50" s="216">
        <v>4043454.41</v>
      </c>
      <c r="F50" s="216">
        <v>4043454.41</v>
      </c>
    </row>
    <row r="51" spans="1:6" x14ac:dyDescent="0.2">
      <c r="A51" s="216" t="s">
        <v>865</v>
      </c>
      <c r="B51" s="216" t="s">
        <v>866</v>
      </c>
      <c r="C51" s="216" t="s">
        <v>867</v>
      </c>
      <c r="D51" s="216">
        <v>6654893</v>
      </c>
      <c r="E51" s="216">
        <v>6543805.6899999995</v>
      </c>
      <c r="F51" s="216">
        <v>5720622.9699999997</v>
      </c>
    </row>
    <row r="52" spans="1:6" x14ac:dyDescent="0.2">
      <c r="A52" s="216" t="s">
        <v>868</v>
      </c>
      <c r="B52" s="216" t="s">
        <v>869</v>
      </c>
      <c r="C52" s="216" t="s">
        <v>870</v>
      </c>
      <c r="D52" s="216">
        <v>10918999</v>
      </c>
      <c r="E52" s="216">
        <v>10451686.220000001</v>
      </c>
      <c r="F52" s="216">
        <v>5853517.8399999999</v>
      </c>
    </row>
    <row r="53" spans="1:6" x14ac:dyDescent="0.2">
      <c r="A53" s="216" t="s">
        <v>871</v>
      </c>
      <c r="B53" s="216" t="s">
        <v>872</v>
      </c>
      <c r="C53" s="216" t="s">
        <v>873</v>
      </c>
      <c r="D53" s="216">
        <v>1800000</v>
      </c>
      <c r="E53" s="216">
        <v>26893</v>
      </c>
      <c r="F53" s="216">
        <v>26892.69</v>
      </c>
    </row>
    <row r="54" spans="1:6" x14ac:dyDescent="0.2">
      <c r="A54" s="216" t="s">
        <v>874</v>
      </c>
      <c r="B54" s="216" t="s">
        <v>875</v>
      </c>
      <c r="C54" s="216" t="s">
        <v>876</v>
      </c>
      <c r="D54" s="216">
        <v>19658</v>
      </c>
      <c r="E54" s="216">
        <v>3612</v>
      </c>
      <c r="F54" s="216">
        <v>0</v>
      </c>
    </row>
    <row r="55" spans="1:6" x14ac:dyDescent="0.2">
      <c r="A55" s="216" t="s">
        <v>877</v>
      </c>
      <c r="B55" s="216" t="s">
        <v>878</v>
      </c>
      <c r="C55" s="216" t="s">
        <v>879</v>
      </c>
      <c r="D55" s="216">
        <v>32099</v>
      </c>
      <c r="E55" s="216">
        <v>0</v>
      </c>
      <c r="F55" s="216">
        <v>0</v>
      </c>
    </row>
    <row r="56" spans="1:6" x14ac:dyDescent="0.2">
      <c r="A56" s="216" t="s">
        <v>880</v>
      </c>
      <c r="B56" s="216" t="s">
        <v>881</v>
      </c>
      <c r="C56" s="216" t="s">
        <v>882</v>
      </c>
      <c r="D56" s="216">
        <v>2659376</v>
      </c>
      <c r="E56" s="216">
        <v>1980094.52</v>
      </c>
      <c r="F56" s="216">
        <v>1386716.89</v>
      </c>
    </row>
    <row r="57" spans="1:6" x14ac:dyDescent="0.2">
      <c r="A57" s="216" t="s">
        <v>883</v>
      </c>
      <c r="B57" s="216" t="s">
        <v>884</v>
      </c>
      <c r="C57" s="216" t="s">
        <v>885</v>
      </c>
      <c r="D57" s="216">
        <v>0</v>
      </c>
      <c r="E57" s="216">
        <v>0</v>
      </c>
      <c r="F57" s="216">
        <v>0</v>
      </c>
    </row>
    <row r="58" spans="1:6" x14ac:dyDescent="0.2">
      <c r="A58" s="216" t="s">
        <v>886</v>
      </c>
      <c r="B58" s="216" t="s">
        <v>887</v>
      </c>
      <c r="C58" s="216" t="s">
        <v>888</v>
      </c>
      <c r="D58" s="216">
        <v>77590</v>
      </c>
      <c r="E58" s="216">
        <v>76159.179999999993</v>
      </c>
      <c r="F58" s="216">
        <v>76159.179999999993</v>
      </c>
    </row>
    <row r="59" spans="1:6" x14ac:dyDescent="0.2">
      <c r="A59" s="216" t="s">
        <v>889</v>
      </c>
      <c r="B59" s="216" t="s">
        <v>890</v>
      </c>
      <c r="C59" s="216" t="s">
        <v>501</v>
      </c>
      <c r="D59" s="216">
        <v>4291327</v>
      </c>
      <c r="E59" s="216">
        <v>4093667.05</v>
      </c>
      <c r="F59" s="216">
        <v>3891386.79</v>
      </c>
    </row>
    <row r="60" spans="1:6" x14ac:dyDescent="0.2">
      <c r="A60" s="216" t="s">
        <v>891</v>
      </c>
      <c r="B60" s="216" t="s">
        <v>892</v>
      </c>
      <c r="C60" s="216" t="s">
        <v>893</v>
      </c>
      <c r="D60" s="216">
        <v>855386</v>
      </c>
      <c r="E60" s="216">
        <v>725859.11</v>
      </c>
      <c r="F60" s="216">
        <v>715665.61</v>
      </c>
    </row>
    <row r="61" spans="1:6" x14ac:dyDescent="0.2">
      <c r="A61" s="216" t="s">
        <v>894</v>
      </c>
      <c r="B61" s="216" t="s">
        <v>895</v>
      </c>
      <c r="C61" s="216" t="s">
        <v>896</v>
      </c>
      <c r="D61" s="216">
        <v>4026127</v>
      </c>
      <c r="E61" s="216">
        <v>3933834.94</v>
      </c>
      <c r="F61" s="216">
        <v>1387806.25</v>
      </c>
    </row>
    <row r="62" spans="1:6" x14ac:dyDescent="0.2">
      <c r="A62" s="216" t="s">
        <v>897</v>
      </c>
      <c r="B62" s="216" t="s">
        <v>898</v>
      </c>
      <c r="C62" s="216" t="s">
        <v>899</v>
      </c>
      <c r="D62" s="216">
        <v>2079431</v>
      </c>
      <c r="E62" s="216">
        <v>1994037.46</v>
      </c>
      <c r="F62" s="216">
        <v>1946470.94</v>
      </c>
    </row>
    <row r="63" spans="1:6" x14ac:dyDescent="0.2">
      <c r="A63" s="216" t="s">
        <v>900</v>
      </c>
      <c r="B63" s="216" t="s">
        <v>901</v>
      </c>
      <c r="C63" s="216" t="s">
        <v>902</v>
      </c>
      <c r="D63" s="216">
        <v>19795501</v>
      </c>
      <c r="E63" s="216">
        <v>19793411.719999999</v>
      </c>
      <c r="F63" s="216">
        <v>14545766.24</v>
      </c>
    </row>
    <row r="64" spans="1:6" x14ac:dyDescent="0.2">
      <c r="A64" s="216" t="s">
        <v>903</v>
      </c>
      <c r="B64" s="216" t="s">
        <v>904</v>
      </c>
      <c r="C64" s="216" t="s">
        <v>905</v>
      </c>
      <c r="D64" s="216">
        <v>100000</v>
      </c>
      <c r="E64" s="216">
        <v>85000</v>
      </c>
      <c r="F64" s="216">
        <v>58662.71</v>
      </c>
    </row>
    <row r="65" spans="1:6" x14ac:dyDescent="0.2">
      <c r="A65" s="216" t="s">
        <v>906</v>
      </c>
      <c r="B65" s="216" t="s">
        <v>907</v>
      </c>
      <c r="C65" s="216" t="s">
        <v>908</v>
      </c>
      <c r="D65" s="216">
        <v>18692228</v>
      </c>
      <c r="E65" s="216">
        <v>18634477.359999999</v>
      </c>
      <c r="F65" s="216">
        <v>4987667.55</v>
      </c>
    </row>
    <row r="66" spans="1:6" x14ac:dyDescent="0.2">
      <c r="A66" s="216" t="s">
        <v>909</v>
      </c>
      <c r="B66" s="216" t="s">
        <v>910</v>
      </c>
      <c r="C66" s="216" t="s">
        <v>911</v>
      </c>
      <c r="D66" s="216">
        <v>21914154</v>
      </c>
      <c r="E66" s="216">
        <v>21776068.059999999</v>
      </c>
      <c r="F66" s="216">
        <v>15564867.439999999</v>
      </c>
    </row>
    <row r="67" spans="1:6" x14ac:dyDescent="0.2">
      <c r="A67" s="216" t="s">
        <v>912</v>
      </c>
      <c r="B67" s="216" t="s">
        <v>913</v>
      </c>
      <c r="C67" s="216" t="s">
        <v>914</v>
      </c>
      <c r="D67" s="216">
        <v>4802506</v>
      </c>
      <c r="E67" s="216">
        <v>4376181.62</v>
      </c>
      <c r="F67" s="216">
        <v>3250907.82</v>
      </c>
    </row>
    <row r="68" spans="1:6" x14ac:dyDescent="0.2">
      <c r="A68" s="216" t="s">
        <v>915</v>
      </c>
      <c r="B68" s="216" t="s">
        <v>916</v>
      </c>
      <c r="C68" s="216" t="s">
        <v>917</v>
      </c>
      <c r="D68" s="216">
        <v>50132</v>
      </c>
      <c r="E68" s="216">
        <v>47450.05</v>
      </c>
      <c r="F68" s="216">
        <v>47450.05</v>
      </c>
    </row>
    <row r="69" spans="1:6" x14ac:dyDescent="0.2">
      <c r="A69" s="216" t="s">
        <v>918</v>
      </c>
      <c r="B69" s="216" t="s">
        <v>919</v>
      </c>
      <c r="C69" s="216" t="s">
        <v>920</v>
      </c>
      <c r="D69" s="216">
        <v>0</v>
      </c>
      <c r="E69" s="216">
        <v>0</v>
      </c>
      <c r="F69" s="216">
        <v>0</v>
      </c>
    </row>
    <row r="70" spans="1:6" x14ac:dyDescent="0.2">
      <c r="A70" s="216" t="s">
        <v>921</v>
      </c>
      <c r="B70" s="216" t="s">
        <v>922</v>
      </c>
      <c r="C70" s="216" t="s">
        <v>923</v>
      </c>
      <c r="D70" s="216">
        <v>6765264</v>
      </c>
      <c r="E70" s="216">
        <v>6659441.1900000004</v>
      </c>
      <c r="F70" s="216">
        <v>4177875.53</v>
      </c>
    </row>
    <row r="71" spans="1:6" x14ac:dyDescent="0.2">
      <c r="A71" s="216" t="s">
        <v>924</v>
      </c>
      <c r="B71" s="216" t="s">
        <v>925</v>
      </c>
      <c r="C71" s="216" t="s">
        <v>926</v>
      </c>
      <c r="D71" s="216">
        <v>58259</v>
      </c>
      <c r="E71" s="216">
        <v>58259</v>
      </c>
      <c r="F71" s="216">
        <v>50730.47</v>
      </c>
    </row>
    <row r="72" spans="1:6" x14ac:dyDescent="0.2">
      <c r="A72" s="216" t="s">
        <v>927</v>
      </c>
      <c r="B72" s="216" t="s">
        <v>928</v>
      </c>
      <c r="C72" s="216" t="s">
        <v>929</v>
      </c>
      <c r="D72" s="216">
        <v>5799805</v>
      </c>
      <c r="E72" s="216">
        <v>5459070.2999999998</v>
      </c>
      <c r="F72" s="216">
        <v>3888315.88</v>
      </c>
    </row>
    <row r="73" spans="1:6" x14ac:dyDescent="0.2">
      <c r="A73" s="216" t="s">
        <v>930</v>
      </c>
      <c r="B73" s="216" t="s">
        <v>931</v>
      </c>
      <c r="C73" s="216" t="s">
        <v>300</v>
      </c>
      <c r="D73" s="216">
        <v>100000</v>
      </c>
      <c r="E73" s="216">
        <v>100000</v>
      </c>
      <c r="F73" s="216">
        <v>45460.23</v>
      </c>
    </row>
    <row r="74" spans="1:6" x14ac:dyDescent="0.2">
      <c r="A74" s="216" t="s">
        <v>932</v>
      </c>
      <c r="B74" s="216" t="s">
        <v>933</v>
      </c>
      <c r="C74" s="216" t="s">
        <v>934</v>
      </c>
      <c r="D74" s="216">
        <v>100000</v>
      </c>
      <c r="E74" s="216">
        <v>98580</v>
      </c>
      <c r="F74" s="216">
        <v>83195.399999999994</v>
      </c>
    </row>
    <row r="75" spans="1:6" x14ac:dyDescent="0.2">
      <c r="A75" s="216" t="s">
        <v>935</v>
      </c>
      <c r="B75" s="216" t="s">
        <v>936</v>
      </c>
      <c r="C75" s="216" t="s">
        <v>937</v>
      </c>
      <c r="D75" s="216">
        <v>3656326</v>
      </c>
      <c r="E75" s="216">
        <v>3383177.1</v>
      </c>
      <c r="F75" s="216">
        <v>2126125.38</v>
      </c>
    </row>
    <row r="76" spans="1:6" x14ac:dyDescent="0.2">
      <c r="A76" s="216" t="s">
        <v>938</v>
      </c>
      <c r="B76" s="216" t="s">
        <v>939</v>
      </c>
      <c r="C76" s="216" t="s">
        <v>940</v>
      </c>
      <c r="D76" s="216">
        <v>0</v>
      </c>
      <c r="E76" s="216">
        <v>0</v>
      </c>
      <c r="F76" s="216">
        <v>0</v>
      </c>
    </row>
    <row r="77" spans="1:6" x14ac:dyDescent="0.2">
      <c r="A77" s="216" t="s">
        <v>941</v>
      </c>
      <c r="B77" s="216" t="s">
        <v>942</v>
      </c>
      <c r="C77" s="216" t="s">
        <v>943</v>
      </c>
      <c r="D77" s="216">
        <v>304829</v>
      </c>
      <c r="E77" s="216">
        <v>0</v>
      </c>
      <c r="F77" s="216">
        <v>0</v>
      </c>
    </row>
    <row r="78" spans="1:6" x14ac:dyDescent="0.2">
      <c r="A78" s="216" t="s">
        <v>944</v>
      </c>
      <c r="B78" s="216" t="s">
        <v>945</v>
      </c>
      <c r="C78" s="216" t="s">
        <v>946</v>
      </c>
      <c r="D78" s="216">
        <v>500172</v>
      </c>
      <c r="E78" s="216">
        <v>0</v>
      </c>
      <c r="F78" s="216">
        <v>0</v>
      </c>
    </row>
    <row r="79" spans="1:6" x14ac:dyDescent="0.2">
      <c r="A79" s="216" t="s">
        <v>947</v>
      </c>
      <c r="B79" s="216" t="s">
        <v>948</v>
      </c>
      <c r="C79" s="216" t="s">
        <v>949</v>
      </c>
      <c r="D79" s="216">
        <v>310000</v>
      </c>
      <c r="E79" s="216">
        <v>310000</v>
      </c>
      <c r="F79" s="216">
        <v>240998.16</v>
      </c>
    </row>
    <row r="80" spans="1:6" x14ac:dyDescent="0.2">
      <c r="A80" s="216" t="s">
        <v>950</v>
      </c>
      <c r="B80" s="216" t="s">
        <v>951</v>
      </c>
      <c r="C80" s="216" t="s">
        <v>952</v>
      </c>
      <c r="D80" s="216">
        <v>100000</v>
      </c>
      <c r="E80" s="216">
        <v>98287</v>
      </c>
      <c r="F80" s="216">
        <v>19750.310000000001</v>
      </c>
    </row>
    <row r="81" spans="1:6" x14ac:dyDescent="0.2">
      <c r="A81" s="216" t="s">
        <v>953</v>
      </c>
      <c r="B81" s="216" t="s">
        <v>954</v>
      </c>
      <c r="C81" s="216" t="s">
        <v>955</v>
      </c>
      <c r="D81" s="216">
        <v>400214</v>
      </c>
      <c r="E81" s="216">
        <v>400214</v>
      </c>
      <c r="F81" s="216">
        <v>330372.18</v>
      </c>
    </row>
    <row r="82" spans="1:6" x14ac:dyDescent="0.2">
      <c r="A82" s="216" t="s">
        <v>956</v>
      </c>
      <c r="B82" s="216" t="s">
        <v>957</v>
      </c>
      <c r="C82" s="216" t="s">
        <v>958</v>
      </c>
      <c r="D82" s="216">
        <v>0</v>
      </c>
      <c r="E82" s="216">
        <v>0</v>
      </c>
      <c r="F82" s="216">
        <v>0</v>
      </c>
    </row>
    <row r="83" spans="1:6" x14ac:dyDescent="0.2">
      <c r="A83" s="216" t="s">
        <v>959</v>
      </c>
      <c r="B83" s="216" t="s">
        <v>960</v>
      </c>
      <c r="C83" s="216" t="s">
        <v>961</v>
      </c>
      <c r="D83" s="216">
        <v>126982</v>
      </c>
      <c r="E83" s="216">
        <v>126982</v>
      </c>
      <c r="F83" s="216">
        <v>120317.21</v>
      </c>
    </row>
    <row r="84" spans="1:6" x14ac:dyDescent="0.2">
      <c r="A84" s="216" t="s">
        <v>962</v>
      </c>
      <c r="B84" s="216" t="s">
        <v>963</v>
      </c>
      <c r="C84" s="216" t="s">
        <v>964</v>
      </c>
      <c r="D84" s="216">
        <v>0</v>
      </c>
      <c r="E84" s="216">
        <v>0</v>
      </c>
      <c r="F84" s="216">
        <v>0</v>
      </c>
    </row>
    <row r="85" spans="1:6" x14ac:dyDescent="0.2">
      <c r="A85" s="216" t="s">
        <v>965</v>
      </c>
      <c r="B85" s="216" t="s">
        <v>966</v>
      </c>
      <c r="C85" s="216" t="s">
        <v>967</v>
      </c>
      <c r="D85" s="216">
        <v>112244</v>
      </c>
      <c r="E85" s="216">
        <v>112243.56</v>
      </c>
      <c r="F85" s="216">
        <v>78030.97</v>
      </c>
    </row>
    <row r="86" spans="1:6" x14ac:dyDescent="0.2">
      <c r="A86" s="216" t="s">
        <v>968</v>
      </c>
      <c r="B86" s="216" t="s">
        <v>969</v>
      </c>
      <c r="C86" s="216" t="s">
        <v>970</v>
      </c>
      <c r="D86" s="216">
        <v>164979</v>
      </c>
      <c r="E86" s="216">
        <v>164976.5</v>
      </c>
      <c r="F86" s="216">
        <v>152477.04</v>
      </c>
    </row>
    <row r="87" spans="1:6" x14ac:dyDescent="0.2">
      <c r="A87" s="216" t="s">
        <v>971</v>
      </c>
      <c r="B87" s="216" t="s">
        <v>972</v>
      </c>
      <c r="C87" s="216" t="s">
        <v>973</v>
      </c>
      <c r="D87" s="216">
        <v>99897</v>
      </c>
      <c r="E87" s="216">
        <v>99879.63</v>
      </c>
      <c r="F87" s="216">
        <v>91645.05</v>
      </c>
    </row>
    <row r="88" spans="1:6" x14ac:dyDescent="0.2">
      <c r="A88" s="216" t="s">
        <v>974</v>
      </c>
      <c r="B88" s="216" t="s">
        <v>975</v>
      </c>
      <c r="C88" s="216" t="s">
        <v>976</v>
      </c>
      <c r="D88" s="216">
        <v>332000</v>
      </c>
      <c r="E88" s="216">
        <v>332000</v>
      </c>
      <c r="F88" s="216">
        <v>165235.17000000001</v>
      </c>
    </row>
    <row r="89" spans="1:6" x14ac:dyDescent="0.2">
      <c r="A89" s="216" t="s">
        <v>977</v>
      </c>
      <c r="B89" s="216" t="s">
        <v>978</v>
      </c>
      <c r="C89" s="216" t="s">
        <v>979</v>
      </c>
      <c r="D89" s="216">
        <v>0</v>
      </c>
      <c r="E89" s="216">
        <v>0</v>
      </c>
      <c r="F89" s="216">
        <v>0</v>
      </c>
    </row>
    <row r="90" spans="1:6" x14ac:dyDescent="0.2">
      <c r="A90" s="216" t="s">
        <v>980</v>
      </c>
      <c r="B90" s="216" t="s">
        <v>981</v>
      </c>
      <c r="C90" s="216" t="s">
        <v>503</v>
      </c>
      <c r="D90" s="216">
        <v>550560</v>
      </c>
      <c r="E90" s="216">
        <v>519500</v>
      </c>
      <c r="F90" s="216">
        <v>517920.09</v>
      </c>
    </row>
    <row r="91" spans="1:6" x14ac:dyDescent="0.2">
      <c r="A91" s="216" t="s">
        <v>982</v>
      </c>
      <c r="B91" s="216" t="s">
        <v>983</v>
      </c>
      <c r="C91" s="216" t="s">
        <v>504</v>
      </c>
      <c r="D91" s="216">
        <v>12532522</v>
      </c>
      <c r="E91" s="216">
        <v>12187040.85</v>
      </c>
      <c r="F91" s="216">
        <v>3196291.4299999997</v>
      </c>
    </row>
    <row r="92" spans="1:6" x14ac:dyDescent="0.2">
      <c r="A92" s="216" t="s">
        <v>984</v>
      </c>
      <c r="B92" s="216" t="s">
        <v>985</v>
      </c>
      <c r="C92" s="216" t="s">
        <v>505</v>
      </c>
      <c r="D92" s="216">
        <v>100000</v>
      </c>
      <c r="E92" s="216">
        <v>0</v>
      </c>
      <c r="F92" s="216">
        <v>0</v>
      </c>
    </row>
    <row r="93" spans="1:6" x14ac:dyDescent="0.2">
      <c r="A93" s="216" t="s">
        <v>986</v>
      </c>
      <c r="B93" s="216" t="s">
        <v>987</v>
      </c>
      <c r="C93" s="216" t="s">
        <v>988</v>
      </c>
      <c r="D93" s="216">
        <v>1180793</v>
      </c>
      <c r="E93" s="216">
        <v>1110291.73</v>
      </c>
      <c r="F93" s="216">
        <v>1081390.27</v>
      </c>
    </row>
    <row r="94" spans="1:6" x14ac:dyDescent="0.2">
      <c r="A94" s="216" t="s">
        <v>989</v>
      </c>
      <c r="B94" s="216" t="s">
        <v>990</v>
      </c>
      <c r="C94" s="216" t="s">
        <v>991</v>
      </c>
      <c r="D94" s="216">
        <v>5921783</v>
      </c>
      <c r="E94" s="216">
        <v>5612635.5199999996</v>
      </c>
      <c r="F94" s="216">
        <v>1271806.72</v>
      </c>
    </row>
    <row r="95" spans="1:6" x14ac:dyDescent="0.2">
      <c r="A95" s="216" t="s">
        <v>992</v>
      </c>
      <c r="B95" s="216" t="s">
        <v>993</v>
      </c>
      <c r="C95" s="216" t="s">
        <v>994</v>
      </c>
      <c r="D95" s="216">
        <v>6912542</v>
      </c>
      <c r="E95" s="216">
        <v>6855594.0599999996</v>
      </c>
      <c r="F95" s="216">
        <v>4377038.8600000003</v>
      </c>
    </row>
    <row r="96" spans="1:6" x14ac:dyDescent="0.2">
      <c r="A96" s="216" t="s">
        <v>995</v>
      </c>
      <c r="B96" s="216" t="s">
        <v>996</v>
      </c>
      <c r="C96" s="216" t="s">
        <v>997</v>
      </c>
      <c r="D96" s="216">
        <v>2038388</v>
      </c>
      <c r="E96" s="216">
        <v>2031210.5</v>
      </c>
      <c r="F96" s="216">
        <v>1711781.12</v>
      </c>
    </row>
    <row r="97" spans="1:6" x14ac:dyDescent="0.2">
      <c r="A97" s="216" t="s">
        <v>998</v>
      </c>
      <c r="B97" s="216" t="s">
        <v>999</v>
      </c>
      <c r="C97" s="216" t="s">
        <v>1000</v>
      </c>
      <c r="D97" s="216">
        <v>3796481</v>
      </c>
      <c r="E97" s="216">
        <v>3705791.48</v>
      </c>
      <c r="F97" s="216">
        <v>1897532.92</v>
      </c>
    </row>
    <row r="98" spans="1:6" x14ac:dyDescent="0.2">
      <c r="A98" s="216" t="s">
        <v>1001</v>
      </c>
      <c r="B98" s="216" t="s">
        <v>1002</v>
      </c>
      <c r="C98" s="216" t="s">
        <v>1003</v>
      </c>
      <c r="D98" s="216">
        <v>2575916</v>
      </c>
      <c r="E98" s="216">
        <v>2503779</v>
      </c>
      <c r="F98" s="216">
        <v>23527.19</v>
      </c>
    </row>
    <row r="99" spans="1:6" x14ac:dyDescent="0.2">
      <c r="A99" s="216" t="s">
        <v>1004</v>
      </c>
      <c r="B99" s="216" t="s">
        <v>1005</v>
      </c>
      <c r="C99" s="216" t="s">
        <v>1006</v>
      </c>
      <c r="D99" s="216">
        <v>48882</v>
      </c>
      <c r="E99" s="216">
        <v>30000</v>
      </c>
      <c r="F99" s="216">
        <v>0</v>
      </c>
    </row>
    <row r="100" spans="1:6" x14ac:dyDescent="0.2">
      <c r="A100" s="216" t="s">
        <v>1007</v>
      </c>
      <c r="B100" s="216" t="s">
        <v>1008</v>
      </c>
      <c r="C100" s="216" t="s">
        <v>1009</v>
      </c>
      <c r="D100" s="216">
        <v>1075076</v>
      </c>
      <c r="E100" s="216">
        <v>1062250</v>
      </c>
      <c r="F100" s="216">
        <v>20822.47</v>
      </c>
    </row>
    <row r="101" spans="1:6" x14ac:dyDescent="0.2">
      <c r="A101" s="216" t="s">
        <v>1010</v>
      </c>
      <c r="B101" s="216" t="s">
        <v>1011</v>
      </c>
      <c r="C101" s="216" t="s">
        <v>1012</v>
      </c>
      <c r="D101" s="216">
        <v>25425</v>
      </c>
      <c r="E101" s="216">
        <v>0</v>
      </c>
      <c r="F101" s="216">
        <v>0</v>
      </c>
    </row>
    <row r="102" spans="1:6" x14ac:dyDescent="0.2">
      <c r="A102" s="216" t="s">
        <v>1013</v>
      </c>
      <c r="B102" s="216" t="s">
        <v>1014</v>
      </c>
      <c r="C102" s="216" t="s">
        <v>1015</v>
      </c>
      <c r="D102" s="216">
        <v>2054253</v>
      </c>
      <c r="E102" s="216">
        <v>1854253</v>
      </c>
      <c r="F102" s="216">
        <v>0</v>
      </c>
    </row>
    <row r="103" spans="1:6" x14ac:dyDescent="0.2">
      <c r="A103" s="216" t="s">
        <v>1016</v>
      </c>
      <c r="B103" s="216" t="s">
        <v>1017</v>
      </c>
      <c r="C103" s="216" t="s">
        <v>1018</v>
      </c>
      <c r="D103" s="216">
        <v>2167000</v>
      </c>
      <c r="E103" s="216">
        <v>1860545</v>
      </c>
      <c r="F103" s="216">
        <v>33059.94</v>
      </c>
    </row>
    <row r="104" spans="1:6" x14ac:dyDescent="0.2">
      <c r="A104" s="216" t="s">
        <v>1019</v>
      </c>
      <c r="B104" s="216" t="s">
        <v>1020</v>
      </c>
      <c r="C104" s="216" t="s">
        <v>1021</v>
      </c>
      <c r="D104" s="216">
        <v>4474004</v>
      </c>
      <c r="E104" s="216">
        <v>4473905</v>
      </c>
      <c r="F104" s="216">
        <v>0</v>
      </c>
    </row>
    <row r="105" spans="1:6" x14ac:dyDescent="0.2">
      <c r="A105" s="216" t="s">
        <v>1022</v>
      </c>
      <c r="B105" s="216" t="s">
        <v>1023</v>
      </c>
      <c r="C105" s="216" t="s">
        <v>1024</v>
      </c>
      <c r="D105" s="216">
        <v>50000</v>
      </c>
      <c r="E105" s="216">
        <v>50000</v>
      </c>
      <c r="F105" s="216">
        <v>47967.16</v>
      </c>
    </row>
    <row r="106" spans="1:6" x14ac:dyDescent="0.2">
      <c r="A106" s="216" t="s">
        <v>1025</v>
      </c>
      <c r="B106" s="216" t="s">
        <v>1026</v>
      </c>
      <c r="C106" s="216" t="s">
        <v>1027</v>
      </c>
      <c r="D106" s="216">
        <v>100000</v>
      </c>
      <c r="E106" s="216">
        <v>50000</v>
      </c>
      <c r="F106" s="216">
        <v>0</v>
      </c>
    </row>
    <row r="107" spans="1:6" x14ac:dyDescent="0.2">
      <c r="A107" s="216" t="s">
        <v>1028</v>
      </c>
      <c r="B107" s="216" t="s">
        <v>1029</v>
      </c>
      <c r="C107" s="216" t="s">
        <v>1030</v>
      </c>
      <c r="D107" s="216">
        <v>408761</v>
      </c>
      <c r="E107" s="216">
        <v>356083</v>
      </c>
      <c r="F107" s="216">
        <v>242446.26</v>
      </c>
    </row>
    <row r="108" spans="1:6" x14ac:dyDescent="0.2">
      <c r="A108" s="216" t="s">
        <v>1031</v>
      </c>
      <c r="B108" s="216" t="s">
        <v>1032</v>
      </c>
      <c r="C108" s="216" t="s">
        <v>1033</v>
      </c>
      <c r="D108" s="216">
        <v>61203</v>
      </c>
      <c r="E108" s="216">
        <v>0</v>
      </c>
      <c r="F108" s="216">
        <v>0</v>
      </c>
    </row>
    <row r="109" spans="1:6" x14ac:dyDescent="0.2">
      <c r="A109" s="216" t="s">
        <v>1034</v>
      </c>
      <c r="B109" s="216" t="s">
        <v>1035</v>
      </c>
      <c r="C109" s="216" t="s">
        <v>1036</v>
      </c>
      <c r="D109" s="216">
        <v>1122559</v>
      </c>
      <c r="E109" s="216">
        <v>1117871.05</v>
      </c>
      <c r="F109" s="216">
        <v>1042098.56</v>
      </c>
    </row>
    <row r="110" spans="1:6" x14ac:dyDescent="0.2">
      <c r="A110" s="216" t="s">
        <v>1037</v>
      </c>
      <c r="B110" s="216" t="s">
        <v>1038</v>
      </c>
      <c r="C110" s="216" t="s">
        <v>1039</v>
      </c>
      <c r="D110" s="216">
        <v>0</v>
      </c>
      <c r="E110" s="216">
        <v>0</v>
      </c>
      <c r="F110" s="216">
        <v>0</v>
      </c>
    </row>
    <row r="111" spans="1:6" x14ac:dyDescent="0.2">
      <c r="A111" s="216" t="s">
        <v>1040</v>
      </c>
      <c r="B111" s="216" t="s">
        <v>1041</v>
      </c>
      <c r="C111" s="216" t="s">
        <v>1042</v>
      </c>
      <c r="D111" s="216">
        <v>0</v>
      </c>
      <c r="E111" s="216">
        <v>0</v>
      </c>
      <c r="F111" s="216">
        <v>0</v>
      </c>
    </row>
    <row r="112" spans="1:6" x14ac:dyDescent="0.2">
      <c r="A112" s="216" t="s">
        <v>1043</v>
      </c>
      <c r="B112" s="216" t="s">
        <v>1044</v>
      </c>
      <c r="C112" s="216" t="s">
        <v>1045</v>
      </c>
      <c r="D112" s="216">
        <v>459851</v>
      </c>
      <c r="E112" s="216">
        <v>344060.18</v>
      </c>
      <c r="F112" s="216">
        <v>300345.76</v>
      </c>
    </row>
    <row r="113" spans="1:6" x14ac:dyDescent="0.2">
      <c r="A113" s="216" t="s">
        <v>1046</v>
      </c>
      <c r="B113" s="216" t="s">
        <v>1047</v>
      </c>
      <c r="C113" s="216" t="s">
        <v>1048</v>
      </c>
      <c r="D113" s="216">
        <v>350198</v>
      </c>
      <c r="E113" s="216">
        <v>287570</v>
      </c>
      <c r="F113" s="216">
        <v>252136.73</v>
      </c>
    </row>
    <row r="114" spans="1:6" x14ac:dyDescent="0.2">
      <c r="A114" s="216" t="s">
        <v>1049</v>
      </c>
      <c r="B114" s="216" t="s">
        <v>1050</v>
      </c>
      <c r="C114" s="216" t="s">
        <v>1051</v>
      </c>
      <c r="D114" s="216">
        <v>0</v>
      </c>
      <c r="E114" s="216">
        <v>0</v>
      </c>
      <c r="F114" s="216">
        <v>0</v>
      </c>
    </row>
    <row r="115" spans="1:6" x14ac:dyDescent="0.2">
      <c r="A115" s="216" t="s">
        <v>1052</v>
      </c>
      <c r="B115" s="216" t="s">
        <v>1053</v>
      </c>
      <c r="C115" s="216" t="s">
        <v>1054</v>
      </c>
      <c r="D115" s="216">
        <v>67139</v>
      </c>
      <c r="E115" s="216">
        <v>0</v>
      </c>
      <c r="F115" s="216">
        <v>0</v>
      </c>
    </row>
    <row r="116" spans="1:6" x14ac:dyDescent="0.2">
      <c r="A116" s="216" t="s">
        <v>1055</v>
      </c>
      <c r="B116" s="216" t="s">
        <v>1056</v>
      </c>
      <c r="C116" s="216" t="s">
        <v>1057</v>
      </c>
      <c r="D116" s="216">
        <v>18401182</v>
      </c>
      <c r="E116" s="216">
        <v>17764557.93</v>
      </c>
      <c r="F116" s="216">
        <v>15484259.859999999</v>
      </c>
    </row>
    <row r="117" spans="1:6" x14ac:dyDescent="0.2">
      <c r="A117" s="216" t="s">
        <v>1058</v>
      </c>
      <c r="B117" s="216" t="s">
        <v>1059</v>
      </c>
      <c r="C117" s="216" t="s">
        <v>1060</v>
      </c>
      <c r="D117" s="216">
        <v>91759</v>
      </c>
      <c r="E117" s="216">
        <v>91758.5</v>
      </c>
      <c r="F117" s="216">
        <v>82094.58</v>
      </c>
    </row>
    <row r="118" spans="1:6" x14ac:dyDescent="0.2">
      <c r="A118" s="216" t="s">
        <v>1061</v>
      </c>
      <c r="B118" s="216" t="s">
        <v>1062</v>
      </c>
      <c r="C118" s="216" t="s">
        <v>1063</v>
      </c>
      <c r="D118" s="216">
        <v>0</v>
      </c>
      <c r="E118" s="216">
        <v>0</v>
      </c>
      <c r="F118" s="216">
        <v>0</v>
      </c>
    </row>
    <row r="119" spans="1:6" x14ac:dyDescent="0.2">
      <c r="A119" s="216" t="s">
        <v>1064</v>
      </c>
      <c r="B119" s="216" t="s">
        <v>1065</v>
      </c>
      <c r="C119" s="216" t="s">
        <v>1066</v>
      </c>
      <c r="D119" s="216">
        <v>10002053</v>
      </c>
      <c r="E119" s="216">
        <v>9636351.4800000004</v>
      </c>
      <c r="F119" s="216">
        <v>5473965.0599999996</v>
      </c>
    </row>
    <row r="120" spans="1:6" x14ac:dyDescent="0.2">
      <c r="A120" s="216" t="s">
        <v>1067</v>
      </c>
      <c r="B120" s="216" t="s">
        <v>1068</v>
      </c>
      <c r="C120" s="216" t="s">
        <v>1069</v>
      </c>
      <c r="D120" s="216">
        <v>2394023</v>
      </c>
      <c r="E120" s="216">
        <v>2316938.79</v>
      </c>
      <c r="F120" s="216">
        <v>1138698.8400000001</v>
      </c>
    </row>
    <row r="121" spans="1:6" x14ac:dyDescent="0.2">
      <c r="A121" s="216" t="s">
        <v>1070</v>
      </c>
      <c r="B121" s="216" t="s">
        <v>1071</v>
      </c>
      <c r="C121" s="216" t="s">
        <v>1072</v>
      </c>
      <c r="D121" s="216">
        <v>0</v>
      </c>
      <c r="E121" s="216">
        <v>0</v>
      </c>
      <c r="F121" s="216">
        <v>0</v>
      </c>
    </row>
    <row r="122" spans="1:6" x14ac:dyDescent="0.2">
      <c r="A122" s="216" t="s">
        <v>1073</v>
      </c>
      <c r="B122" s="216" t="s">
        <v>1074</v>
      </c>
      <c r="C122" s="216" t="s">
        <v>1075</v>
      </c>
      <c r="D122" s="216">
        <v>0</v>
      </c>
      <c r="E122" s="216">
        <v>0</v>
      </c>
      <c r="F122" s="216">
        <v>0</v>
      </c>
    </row>
    <row r="123" spans="1:6" x14ac:dyDescent="0.2">
      <c r="A123" s="216" t="s">
        <v>1076</v>
      </c>
      <c r="B123" s="216" t="s">
        <v>1077</v>
      </c>
      <c r="C123" s="216" t="s">
        <v>1078</v>
      </c>
      <c r="D123" s="216">
        <v>14991498</v>
      </c>
      <c r="E123" s="216">
        <v>14685002.969999999</v>
      </c>
      <c r="F123" s="216">
        <v>11502166.710000001</v>
      </c>
    </row>
    <row r="124" spans="1:6" x14ac:dyDescent="0.2">
      <c r="A124" s="216" t="s">
        <v>1079</v>
      </c>
      <c r="B124" s="216" t="s">
        <v>1080</v>
      </c>
      <c r="C124" s="216" t="s">
        <v>1081</v>
      </c>
      <c r="D124" s="216">
        <v>167638</v>
      </c>
      <c r="E124" s="216">
        <v>167637.03</v>
      </c>
      <c r="F124" s="216">
        <v>124800.07</v>
      </c>
    </row>
    <row r="125" spans="1:6" x14ac:dyDescent="0.2">
      <c r="A125" s="216" t="s">
        <v>1082</v>
      </c>
      <c r="B125" s="216" t="s">
        <v>1083</v>
      </c>
      <c r="C125" s="216" t="s">
        <v>1084</v>
      </c>
      <c r="D125" s="216">
        <v>7751873</v>
      </c>
      <c r="E125" s="216">
        <v>7482027.3700000001</v>
      </c>
      <c r="F125" s="216">
        <v>5292812.7699999996</v>
      </c>
    </row>
    <row r="126" spans="1:6" x14ac:dyDescent="0.2">
      <c r="A126" s="216" t="s">
        <v>1085</v>
      </c>
      <c r="B126" s="216" t="s">
        <v>1086</v>
      </c>
      <c r="C126" s="216" t="s">
        <v>1087</v>
      </c>
      <c r="D126" s="216">
        <v>5270087</v>
      </c>
      <c r="E126" s="216">
        <v>5222084.29</v>
      </c>
      <c r="F126" s="216">
        <v>5220159.29</v>
      </c>
    </row>
    <row r="127" spans="1:6" x14ac:dyDescent="0.2">
      <c r="A127" s="216" t="s">
        <v>1088</v>
      </c>
      <c r="B127" s="216" t="s">
        <v>1089</v>
      </c>
      <c r="C127" s="216" t="s">
        <v>1090</v>
      </c>
      <c r="D127" s="216">
        <v>22224878</v>
      </c>
      <c r="E127" s="216">
        <v>21946068.199999999</v>
      </c>
      <c r="F127" s="216">
        <v>7073509.5599999996</v>
      </c>
    </row>
    <row r="128" spans="1:6" x14ac:dyDescent="0.2">
      <c r="A128" s="216" t="s">
        <v>1091</v>
      </c>
      <c r="B128" s="216" t="s">
        <v>1092</v>
      </c>
      <c r="C128" s="216" t="s">
        <v>1093</v>
      </c>
      <c r="D128" s="216">
        <v>0</v>
      </c>
      <c r="E128" s="216">
        <v>0</v>
      </c>
      <c r="F128" s="216">
        <v>0</v>
      </c>
    </row>
    <row r="129" spans="1:6" x14ac:dyDescent="0.2">
      <c r="A129" s="216" t="s">
        <v>1094</v>
      </c>
      <c r="B129" s="216" t="s">
        <v>1095</v>
      </c>
      <c r="C129" s="216" t="s">
        <v>624</v>
      </c>
      <c r="D129" s="216">
        <v>3978899</v>
      </c>
      <c r="E129" s="216">
        <v>3978899</v>
      </c>
      <c r="F129" s="216">
        <v>0</v>
      </c>
    </row>
    <row r="130" spans="1:6" x14ac:dyDescent="0.2">
      <c r="A130" s="216" t="s">
        <v>1096</v>
      </c>
      <c r="B130" s="216" t="s">
        <v>1097</v>
      </c>
      <c r="C130" s="216" t="s">
        <v>1098</v>
      </c>
      <c r="D130" s="216">
        <v>23143575</v>
      </c>
      <c r="E130" s="216">
        <v>22275710.84</v>
      </c>
      <c r="F130" s="216">
        <v>12059018.399999999</v>
      </c>
    </row>
    <row r="131" spans="1:6" x14ac:dyDescent="0.2">
      <c r="A131" s="216" t="s">
        <v>1099</v>
      </c>
      <c r="B131" s="216" t="s">
        <v>1100</v>
      </c>
      <c r="C131" s="216" t="s">
        <v>1101</v>
      </c>
      <c r="D131" s="216">
        <v>0</v>
      </c>
      <c r="E131" s="216">
        <v>0</v>
      </c>
      <c r="F131" s="216">
        <v>0</v>
      </c>
    </row>
    <row r="132" spans="1:6" x14ac:dyDescent="0.2">
      <c r="A132" s="216" t="s">
        <v>1102</v>
      </c>
      <c r="B132" s="216" t="s">
        <v>1103</v>
      </c>
      <c r="C132" s="216" t="s">
        <v>1104</v>
      </c>
      <c r="D132" s="216">
        <v>3297813</v>
      </c>
      <c r="E132" s="216">
        <v>3286650.45</v>
      </c>
      <c r="F132" s="216">
        <v>3269277.28</v>
      </c>
    </row>
    <row r="133" spans="1:6" x14ac:dyDescent="0.2">
      <c r="A133" s="216" t="s">
        <v>1105</v>
      </c>
      <c r="B133" s="216" t="s">
        <v>1106</v>
      </c>
      <c r="C133" s="216" t="s">
        <v>1107</v>
      </c>
      <c r="D133" s="216">
        <v>104124</v>
      </c>
      <c r="E133" s="216">
        <v>48234.879999999997</v>
      </c>
      <c r="F133" s="216">
        <v>48234.879999999997</v>
      </c>
    </row>
    <row r="134" spans="1:6" x14ac:dyDescent="0.2">
      <c r="A134" s="216" t="s">
        <v>1108</v>
      </c>
      <c r="B134" s="216" t="s">
        <v>1109</v>
      </c>
      <c r="C134" s="216" t="s">
        <v>1110</v>
      </c>
      <c r="D134" s="216">
        <v>936343</v>
      </c>
      <c r="E134" s="216">
        <v>868354.77</v>
      </c>
      <c r="F134" s="216">
        <v>868354.72</v>
      </c>
    </row>
    <row r="135" spans="1:6" x14ac:dyDescent="0.2">
      <c r="A135" s="216" t="s">
        <v>1111</v>
      </c>
      <c r="B135" s="216" t="s">
        <v>1112</v>
      </c>
      <c r="C135" s="216" t="s">
        <v>1113</v>
      </c>
      <c r="D135" s="216">
        <v>100000</v>
      </c>
      <c r="E135" s="216">
        <v>20000</v>
      </c>
      <c r="F135" s="216">
        <v>13772.3</v>
      </c>
    </row>
    <row r="136" spans="1:6" x14ac:dyDescent="0.2">
      <c r="A136" s="216" t="s">
        <v>1114</v>
      </c>
      <c r="B136" s="216" t="s">
        <v>1115</v>
      </c>
      <c r="C136" s="216" t="s">
        <v>1116</v>
      </c>
      <c r="D136" s="216">
        <v>6736048</v>
      </c>
      <c r="E136" s="216">
        <v>6652871.21</v>
      </c>
      <c r="F136" s="216">
        <v>3336854.35</v>
      </c>
    </row>
    <row r="137" spans="1:6" x14ac:dyDescent="0.2">
      <c r="A137" s="216" t="s">
        <v>1117</v>
      </c>
      <c r="B137" s="216" t="s">
        <v>1118</v>
      </c>
      <c r="C137" s="216" t="s">
        <v>1119</v>
      </c>
      <c r="D137" s="216">
        <v>391951</v>
      </c>
      <c r="E137" s="216">
        <v>130000</v>
      </c>
      <c r="F137" s="216">
        <v>0</v>
      </c>
    </row>
    <row r="138" spans="1:6" x14ac:dyDescent="0.2">
      <c r="A138" s="216" t="s">
        <v>1120</v>
      </c>
      <c r="B138" s="216" t="s">
        <v>1121</v>
      </c>
      <c r="C138" s="216" t="s">
        <v>1122</v>
      </c>
      <c r="D138" s="216">
        <v>0</v>
      </c>
      <c r="E138" s="216">
        <v>0</v>
      </c>
      <c r="F138" s="216">
        <v>0</v>
      </c>
    </row>
    <row r="139" spans="1:6" x14ac:dyDescent="0.2">
      <c r="A139" s="216" t="s">
        <v>1123</v>
      </c>
      <c r="B139" s="216" t="s">
        <v>1124</v>
      </c>
      <c r="C139" s="216" t="s">
        <v>1125</v>
      </c>
      <c r="D139" s="216">
        <v>6770858</v>
      </c>
      <c r="E139" s="216">
        <v>6051014.29</v>
      </c>
      <c r="F139" s="216">
        <v>3961148.72</v>
      </c>
    </row>
    <row r="140" spans="1:6" x14ac:dyDescent="0.2">
      <c r="A140" s="216" t="s">
        <v>1126</v>
      </c>
      <c r="B140" s="216" t="s">
        <v>1127</v>
      </c>
      <c r="C140" s="216" t="s">
        <v>1128</v>
      </c>
      <c r="D140" s="216">
        <v>171047</v>
      </c>
      <c r="E140" s="216">
        <v>170547</v>
      </c>
      <c r="F140" s="216">
        <v>142342.18</v>
      </c>
    </row>
    <row r="141" spans="1:6" x14ac:dyDescent="0.2">
      <c r="A141" s="216" t="s">
        <v>1129</v>
      </c>
      <c r="B141" s="216" t="s">
        <v>1130</v>
      </c>
      <c r="C141" s="216" t="s">
        <v>1131</v>
      </c>
      <c r="D141" s="216">
        <v>2308286</v>
      </c>
      <c r="E141" s="216">
        <v>0</v>
      </c>
      <c r="F141" s="216">
        <v>0</v>
      </c>
    </row>
    <row r="142" spans="1:6" x14ac:dyDescent="0.2">
      <c r="A142" s="216" t="s">
        <v>1132</v>
      </c>
      <c r="B142" s="216" t="s">
        <v>1133</v>
      </c>
      <c r="C142" s="216" t="s">
        <v>1134</v>
      </c>
      <c r="D142" s="216">
        <v>840279</v>
      </c>
      <c r="E142" s="216">
        <v>668334</v>
      </c>
      <c r="F142" s="216">
        <v>535432.86</v>
      </c>
    </row>
    <row r="143" spans="1:6" x14ac:dyDescent="0.2">
      <c r="A143" s="216" t="s">
        <v>1135</v>
      </c>
      <c r="B143" s="216" t="s">
        <v>1136</v>
      </c>
      <c r="C143" s="216" t="s">
        <v>1137</v>
      </c>
      <c r="D143" s="216">
        <v>674368</v>
      </c>
      <c r="E143" s="216">
        <v>173868</v>
      </c>
      <c r="F143" s="216">
        <v>97687.86</v>
      </c>
    </row>
    <row r="144" spans="1:6" x14ac:dyDescent="0.2">
      <c r="A144" s="216" t="s">
        <v>1138</v>
      </c>
      <c r="B144" s="216" t="s">
        <v>1139</v>
      </c>
      <c r="C144" s="216" t="s">
        <v>1140</v>
      </c>
      <c r="D144" s="216">
        <v>520686</v>
      </c>
      <c r="E144" s="216">
        <v>519936</v>
      </c>
      <c r="F144" s="216">
        <v>468290.95</v>
      </c>
    </row>
    <row r="145" spans="1:6" x14ac:dyDescent="0.2">
      <c r="A145" s="216" t="s">
        <v>1141</v>
      </c>
      <c r="B145" s="216" t="s">
        <v>1142</v>
      </c>
      <c r="C145" s="216" t="s">
        <v>1143</v>
      </c>
      <c r="D145" s="216">
        <v>321536</v>
      </c>
      <c r="E145" s="216">
        <v>319536</v>
      </c>
      <c r="F145" s="216">
        <v>219666.12</v>
      </c>
    </row>
    <row r="146" spans="1:6" x14ac:dyDescent="0.2">
      <c r="A146" s="216" t="s">
        <v>1144</v>
      </c>
      <c r="B146" s="216" t="s">
        <v>1145</v>
      </c>
      <c r="C146" s="216" t="s">
        <v>1146</v>
      </c>
      <c r="D146" s="216">
        <v>4106961</v>
      </c>
      <c r="E146" s="216">
        <v>3355560.21</v>
      </c>
      <c r="F146" s="216">
        <v>1831598.54</v>
      </c>
    </row>
    <row r="147" spans="1:6" x14ac:dyDescent="0.2">
      <c r="A147" s="216" t="s">
        <v>1147</v>
      </c>
      <c r="B147" s="216" t="s">
        <v>1148</v>
      </c>
      <c r="C147" s="216" t="s">
        <v>1149</v>
      </c>
      <c r="D147" s="216">
        <v>230847</v>
      </c>
      <c r="E147" s="216">
        <v>230597</v>
      </c>
      <c r="F147" s="216">
        <v>178545.33</v>
      </c>
    </row>
    <row r="148" spans="1:6" x14ac:dyDescent="0.2">
      <c r="A148" s="216" t="s">
        <v>1150</v>
      </c>
      <c r="B148" s="216" t="s">
        <v>1151</v>
      </c>
      <c r="C148" s="216" t="s">
        <v>1152</v>
      </c>
      <c r="D148" s="216">
        <v>349206</v>
      </c>
      <c r="E148" s="216">
        <v>349206</v>
      </c>
      <c r="F148" s="216">
        <v>281441.09999999998</v>
      </c>
    </row>
    <row r="149" spans="1:6" x14ac:dyDescent="0.2">
      <c r="A149" s="216" t="s">
        <v>1153</v>
      </c>
      <c r="B149" s="216" t="s">
        <v>1154</v>
      </c>
      <c r="C149" s="216" t="s">
        <v>1155</v>
      </c>
      <c r="D149" s="216">
        <v>239379</v>
      </c>
      <c r="E149" s="216">
        <v>211500</v>
      </c>
      <c r="F149" s="216">
        <v>95146.6</v>
      </c>
    </row>
    <row r="150" spans="1:6" x14ac:dyDescent="0.2">
      <c r="A150" s="216" t="s">
        <v>1156</v>
      </c>
      <c r="B150" s="216" t="s">
        <v>1157</v>
      </c>
      <c r="C150" s="216" t="s">
        <v>1158</v>
      </c>
      <c r="D150" s="216">
        <v>118786</v>
      </c>
      <c r="E150" s="216">
        <v>112400</v>
      </c>
      <c r="F150" s="216">
        <v>76261.179999999993</v>
      </c>
    </row>
    <row r="151" spans="1:6" x14ac:dyDescent="0.2">
      <c r="A151" s="216" t="s">
        <v>1159</v>
      </c>
      <c r="B151" s="216" t="s">
        <v>1160</v>
      </c>
      <c r="C151" s="216" t="s">
        <v>1161</v>
      </c>
      <c r="D151" s="216">
        <v>141416</v>
      </c>
      <c r="E151" s="216">
        <v>130450</v>
      </c>
      <c r="F151" s="216">
        <v>91615.61</v>
      </c>
    </row>
    <row r="152" spans="1:6" x14ac:dyDescent="0.2">
      <c r="A152" s="216" t="s">
        <v>1162</v>
      </c>
      <c r="B152" s="216" t="s">
        <v>1163</v>
      </c>
      <c r="C152" s="216" t="s">
        <v>1164</v>
      </c>
      <c r="D152" s="216">
        <v>230550</v>
      </c>
      <c r="E152" s="216">
        <v>189499</v>
      </c>
      <c r="F152" s="216">
        <v>146384.23000000001</v>
      </c>
    </row>
    <row r="153" spans="1:6" x14ac:dyDescent="0.2">
      <c r="A153" s="216" t="s">
        <v>1165</v>
      </c>
      <c r="B153" s="216" t="s">
        <v>1166</v>
      </c>
      <c r="C153" s="216" t="s">
        <v>1167</v>
      </c>
      <c r="D153" s="216">
        <v>490000</v>
      </c>
      <c r="E153" s="216">
        <v>490000</v>
      </c>
      <c r="F153" s="216">
        <v>369844.42</v>
      </c>
    </row>
    <row r="154" spans="1:6" x14ac:dyDescent="0.2">
      <c r="A154" s="216" t="s">
        <v>1168</v>
      </c>
      <c r="B154" s="216" t="s">
        <v>1169</v>
      </c>
      <c r="C154" s="216" t="s">
        <v>1170</v>
      </c>
      <c r="D154" s="216">
        <v>0</v>
      </c>
      <c r="E154" s="216">
        <v>0</v>
      </c>
      <c r="F154" s="216">
        <v>0</v>
      </c>
    </row>
    <row r="155" spans="1:6" x14ac:dyDescent="0.2">
      <c r="A155" s="216" t="s">
        <v>1171</v>
      </c>
      <c r="B155" s="216" t="s">
        <v>1172</v>
      </c>
      <c r="C155" s="216" t="s">
        <v>1173</v>
      </c>
      <c r="D155" s="216">
        <v>601668</v>
      </c>
      <c r="E155" s="216">
        <v>584518</v>
      </c>
      <c r="F155" s="216">
        <v>242760.63</v>
      </c>
    </row>
    <row r="156" spans="1:6" x14ac:dyDescent="0.2">
      <c r="A156" s="216" t="s">
        <v>1174</v>
      </c>
      <c r="B156" s="216" t="s">
        <v>1175</v>
      </c>
      <c r="C156" s="216" t="s">
        <v>1176</v>
      </c>
      <c r="D156" s="216">
        <v>870779</v>
      </c>
      <c r="E156" s="216">
        <v>870779</v>
      </c>
      <c r="F156" s="216">
        <v>391730.07</v>
      </c>
    </row>
    <row r="157" spans="1:6" x14ac:dyDescent="0.2">
      <c r="A157" s="216" t="s">
        <v>1177</v>
      </c>
      <c r="B157" s="216" t="s">
        <v>1178</v>
      </c>
      <c r="C157" s="216" t="s">
        <v>1179</v>
      </c>
      <c r="D157" s="216">
        <v>101523</v>
      </c>
      <c r="E157" s="216">
        <v>99920.24</v>
      </c>
      <c r="F157" s="216">
        <v>99920.24</v>
      </c>
    </row>
    <row r="158" spans="1:6" x14ac:dyDescent="0.2">
      <c r="A158" s="216" t="s">
        <v>1180</v>
      </c>
      <c r="B158" s="216" t="s">
        <v>1181</v>
      </c>
      <c r="C158" s="216" t="s">
        <v>1182</v>
      </c>
      <c r="D158" s="216">
        <v>0</v>
      </c>
      <c r="E158" s="216">
        <v>0</v>
      </c>
      <c r="F158" s="216">
        <v>0</v>
      </c>
    </row>
    <row r="159" spans="1:6" x14ac:dyDescent="0.2">
      <c r="A159" s="216" t="s">
        <v>1183</v>
      </c>
      <c r="B159" s="216" t="s">
        <v>1184</v>
      </c>
      <c r="C159" s="216" t="s">
        <v>1185</v>
      </c>
      <c r="D159" s="216">
        <v>300000</v>
      </c>
      <c r="E159" s="216">
        <v>300000</v>
      </c>
      <c r="F159" s="216">
        <v>0</v>
      </c>
    </row>
    <row r="160" spans="1:6" x14ac:dyDescent="0.2">
      <c r="A160" s="216" t="s">
        <v>1186</v>
      </c>
      <c r="B160" s="216" t="s">
        <v>1187</v>
      </c>
      <c r="C160" s="216" t="s">
        <v>1188</v>
      </c>
      <c r="D160" s="216">
        <v>330710</v>
      </c>
      <c r="E160" s="216">
        <v>282398.95</v>
      </c>
      <c r="F160" s="216">
        <v>191886.54</v>
      </c>
    </row>
    <row r="161" spans="1:6" x14ac:dyDescent="0.2">
      <c r="A161" s="216" t="s">
        <v>1189</v>
      </c>
      <c r="B161" s="216" t="s">
        <v>1190</v>
      </c>
      <c r="C161" s="216" t="s">
        <v>1191</v>
      </c>
      <c r="D161" s="216">
        <v>50000</v>
      </c>
      <c r="E161" s="216">
        <v>49980</v>
      </c>
      <c r="F161" s="216">
        <v>49974.77</v>
      </c>
    </row>
    <row r="162" spans="1:6" x14ac:dyDescent="0.2">
      <c r="A162" s="216" t="s">
        <v>1192</v>
      </c>
      <c r="B162" s="216" t="s">
        <v>1193</v>
      </c>
      <c r="C162" s="216" t="s">
        <v>1194</v>
      </c>
      <c r="D162" s="216">
        <v>278409</v>
      </c>
      <c r="E162" s="216">
        <v>278409</v>
      </c>
      <c r="F162" s="216">
        <v>202805.9</v>
      </c>
    </row>
    <row r="163" spans="1:6" x14ac:dyDescent="0.2">
      <c r="A163" s="216" t="s">
        <v>1195</v>
      </c>
      <c r="B163" s="216" t="s">
        <v>1196</v>
      </c>
      <c r="C163" s="216" t="s">
        <v>1197</v>
      </c>
      <c r="D163" s="216">
        <v>390297</v>
      </c>
      <c r="E163" s="216">
        <v>389428.6</v>
      </c>
      <c r="F163" s="216">
        <v>251034.11</v>
      </c>
    </row>
    <row r="164" spans="1:6" x14ac:dyDescent="0.2">
      <c r="A164" s="216" t="s">
        <v>1198</v>
      </c>
      <c r="B164" s="216" t="s">
        <v>1199</v>
      </c>
      <c r="C164" s="216" t="s">
        <v>1200</v>
      </c>
      <c r="D164" s="216">
        <v>159651</v>
      </c>
      <c r="E164" s="216">
        <v>151653</v>
      </c>
      <c r="F164" s="216">
        <v>12000</v>
      </c>
    </row>
    <row r="165" spans="1:6" x14ac:dyDescent="0.2">
      <c r="A165" s="216" t="s">
        <v>1201</v>
      </c>
      <c r="B165" s="216" t="s">
        <v>1202</v>
      </c>
      <c r="C165" s="216" t="s">
        <v>1203</v>
      </c>
      <c r="D165" s="216">
        <v>703231</v>
      </c>
      <c r="E165" s="216">
        <v>681293</v>
      </c>
      <c r="F165" s="216">
        <v>575338.63</v>
      </c>
    </row>
    <row r="166" spans="1:6" x14ac:dyDescent="0.2">
      <c r="A166" s="216" t="s">
        <v>1204</v>
      </c>
      <c r="B166" s="216" t="s">
        <v>1205</v>
      </c>
      <c r="C166" s="216" t="s">
        <v>1206</v>
      </c>
      <c r="D166" s="216">
        <v>0</v>
      </c>
      <c r="E166" s="216">
        <v>0</v>
      </c>
      <c r="F166" s="216">
        <v>0</v>
      </c>
    </row>
    <row r="167" spans="1:6" x14ac:dyDescent="0.2">
      <c r="A167" s="216" t="s">
        <v>1207</v>
      </c>
      <c r="B167" s="216" t="s">
        <v>1208</v>
      </c>
      <c r="C167" s="216" t="s">
        <v>1209</v>
      </c>
      <c r="D167" s="216">
        <v>275790</v>
      </c>
      <c r="E167" s="216">
        <v>274001.90000000002</v>
      </c>
      <c r="F167" s="216">
        <v>155654.04999999999</v>
      </c>
    </row>
    <row r="168" spans="1:6" x14ac:dyDescent="0.2">
      <c r="A168" s="216" t="s">
        <v>1210</v>
      </c>
      <c r="B168" s="216" t="s">
        <v>1211</v>
      </c>
      <c r="C168" s="216" t="s">
        <v>1212</v>
      </c>
      <c r="D168" s="216">
        <v>255799</v>
      </c>
      <c r="E168" s="216">
        <v>195378.5</v>
      </c>
      <c r="F168" s="216">
        <v>138575.17000000001</v>
      </c>
    </row>
    <row r="169" spans="1:6" x14ac:dyDescent="0.2">
      <c r="A169" s="216" t="s">
        <v>1213</v>
      </c>
      <c r="B169" s="216" t="s">
        <v>1214</v>
      </c>
      <c r="C169" s="216" t="s">
        <v>1215</v>
      </c>
      <c r="D169" s="216">
        <v>222962</v>
      </c>
      <c r="E169" s="216">
        <v>193349.5</v>
      </c>
      <c r="F169" s="216">
        <v>193266.31</v>
      </c>
    </row>
    <row r="170" spans="1:6" x14ac:dyDescent="0.2">
      <c r="A170" s="216" t="s">
        <v>1216</v>
      </c>
      <c r="B170" s="216" t="s">
        <v>1217</v>
      </c>
      <c r="C170" s="216" t="s">
        <v>1218</v>
      </c>
      <c r="D170" s="216">
        <v>30000</v>
      </c>
      <c r="E170" s="216">
        <v>23434</v>
      </c>
      <c r="F170" s="216">
        <v>13106.35</v>
      </c>
    </row>
    <row r="171" spans="1:6" x14ac:dyDescent="0.2">
      <c r="A171" s="216" t="s">
        <v>1219</v>
      </c>
      <c r="B171" s="216" t="s">
        <v>1220</v>
      </c>
      <c r="C171" s="216" t="s">
        <v>1221</v>
      </c>
      <c r="D171" s="216">
        <v>100000</v>
      </c>
      <c r="E171" s="216">
        <v>0</v>
      </c>
      <c r="F171" s="216">
        <v>0</v>
      </c>
    </row>
    <row r="172" spans="1:6" x14ac:dyDescent="0.2">
      <c r="A172" s="216" t="s">
        <v>1222</v>
      </c>
      <c r="B172" s="216" t="s">
        <v>1223</v>
      </c>
      <c r="C172" s="216" t="s">
        <v>1224</v>
      </c>
      <c r="D172" s="216">
        <v>90586</v>
      </c>
      <c r="E172" s="216">
        <v>90435.199999999997</v>
      </c>
      <c r="F172" s="216">
        <v>78301.600000000006</v>
      </c>
    </row>
    <row r="173" spans="1:6" x14ac:dyDescent="0.2">
      <c r="A173" s="216" t="s">
        <v>1225</v>
      </c>
      <c r="B173" s="216" t="s">
        <v>1226</v>
      </c>
      <c r="C173" s="216" t="s">
        <v>1227</v>
      </c>
      <c r="D173" s="216">
        <v>261704</v>
      </c>
      <c r="E173" s="216">
        <v>261704</v>
      </c>
      <c r="F173" s="216">
        <v>134683.19</v>
      </c>
    </row>
    <row r="174" spans="1:6" x14ac:dyDescent="0.2">
      <c r="A174" s="216" t="s">
        <v>1228</v>
      </c>
      <c r="B174" s="216" t="s">
        <v>1229</v>
      </c>
      <c r="C174" s="216" t="s">
        <v>1230</v>
      </c>
      <c r="D174" s="216">
        <v>1479604</v>
      </c>
      <c r="E174" s="216">
        <v>1473924.03</v>
      </c>
      <c r="F174" s="216">
        <v>7416.86</v>
      </c>
    </row>
    <row r="175" spans="1:6" x14ac:dyDescent="0.2">
      <c r="A175" s="216" t="s">
        <v>1231</v>
      </c>
      <c r="B175" s="216" t="s">
        <v>1232</v>
      </c>
      <c r="C175" s="216" t="s">
        <v>1233</v>
      </c>
      <c r="D175" s="216">
        <v>5089845</v>
      </c>
      <c r="E175" s="216">
        <v>5089845</v>
      </c>
      <c r="F175" s="216">
        <v>1952934.61</v>
      </c>
    </row>
    <row r="176" spans="1:6" x14ac:dyDescent="0.2">
      <c r="A176" s="216" t="s">
        <v>1234</v>
      </c>
      <c r="B176" s="216" t="s">
        <v>1235</v>
      </c>
      <c r="C176" s="216" t="s">
        <v>1236</v>
      </c>
      <c r="D176" s="216">
        <v>4863</v>
      </c>
      <c r="E176" s="216">
        <v>4863</v>
      </c>
      <c r="F176" s="216">
        <v>0</v>
      </c>
    </row>
    <row r="177" spans="1:6" x14ac:dyDescent="0.2">
      <c r="A177" s="216" t="s">
        <v>1237</v>
      </c>
      <c r="B177" s="216" t="s">
        <v>1238</v>
      </c>
      <c r="C177" s="216" t="s">
        <v>1239</v>
      </c>
      <c r="D177" s="216">
        <v>5931027</v>
      </c>
      <c r="E177" s="216">
        <v>5660459</v>
      </c>
      <c r="F177" s="216">
        <v>1327663.78</v>
      </c>
    </row>
    <row r="178" spans="1:6" x14ac:dyDescent="0.2">
      <c r="A178" s="216" t="s">
        <v>1240</v>
      </c>
      <c r="B178" s="216" t="s">
        <v>1241</v>
      </c>
      <c r="C178" s="216" t="s">
        <v>1242</v>
      </c>
      <c r="D178" s="216">
        <v>9222405</v>
      </c>
      <c r="E178" s="216">
        <v>9003232.5299999993</v>
      </c>
      <c r="F178" s="216">
        <v>5421356.6100000003</v>
      </c>
    </row>
    <row r="179" spans="1:6" x14ac:dyDescent="0.2">
      <c r="A179" s="216" t="s">
        <v>1243</v>
      </c>
      <c r="B179" s="216" t="s">
        <v>1244</v>
      </c>
      <c r="C179" s="216" t="s">
        <v>1245</v>
      </c>
      <c r="D179" s="216">
        <v>5194033</v>
      </c>
      <c r="E179" s="216">
        <v>5106124.7699999996</v>
      </c>
      <c r="F179" s="216">
        <v>1941765.29</v>
      </c>
    </row>
    <row r="180" spans="1:6" x14ac:dyDescent="0.2">
      <c r="A180" s="216" t="s">
        <v>1246</v>
      </c>
      <c r="B180" s="216" t="s">
        <v>1247</v>
      </c>
      <c r="C180" s="216" t="s">
        <v>1248</v>
      </c>
      <c r="D180" s="216">
        <v>178134</v>
      </c>
      <c r="E180" s="216">
        <v>178134</v>
      </c>
      <c r="F180" s="216">
        <v>122423.54</v>
      </c>
    </row>
    <row r="181" spans="1:6" x14ac:dyDescent="0.2">
      <c r="A181" s="216" t="s">
        <v>1249</v>
      </c>
      <c r="B181" s="216" t="s">
        <v>1250</v>
      </c>
      <c r="C181" s="216" t="s">
        <v>1251</v>
      </c>
      <c r="D181" s="216">
        <v>220481</v>
      </c>
      <c r="E181" s="216">
        <v>194522</v>
      </c>
      <c r="F181" s="216">
        <v>80473.119999999995</v>
      </c>
    </row>
    <row r="182" spans="1:6" x14ac:dyDescent="0.2">
      <c r="A182" s="216" t="s">
        <v>1252</v>
      </c>
      <c r="B182" s="216" t="s">
        <v>1253</v>
      </c>
      <c r="C182" s="216" t="s">
        <v>1254</v>
      </c>
      <c r="D182" s="216">
        <v>57442</v>
      </c>
      <c r="E182" s="216">
        <v>57136.9</v>
      </c>
      <c r="F182" s="216">
        <v>54415.03</v>
      </c>
    </row>
    <row r="183" spans="1:6" x14ac:dyDescent="0.2">
      <c r="A183" s="216" t="s">
        <v>1255</v>
      </c>
      <c r="B183" s="216" t="s">
        <v>1256</v>
      </c>
      <c r="C183" s="216" t="s">
        <v>1257</v>
      </c>
      <c r="D183" s="216">
        <v>0</v>
      </c>
      <c r="E183" s="216">
        <v>0</v>
      </c>
      <c r="F183" s="216">
        <v>0</v>
      </c>
    </row>
    <row r="184" spans="1:6" x14ac:dyDescent="0.2">
      <c r="A184" s="216" t="s">
        <v>1258</v>
      </c>
      <c r="B184" s="216" t="s">
        <v>1259</v>
      </c>
      <c r="C184" s="216" t="s">
        <v>1260</v>
      </c>
      <c r="D184" s="216">
        <v>565870</v>
      </c>
      <c r="E184" s="216">
        <v>502948.57</v>
      </c>
      <c r="F184" s="216">
        <v>446229.16</v>
      </c>
    </row>
    <row r="185" spans="1:6" x14ac:dyDescent="0.2">
      <c r="A185" s="216" t="s">
        <v>1261</v>
      </c>
      <c r="B185" s="216" t="s">
        <v>1262</v>
      </c>
      <c r="C185" s="216" t="s">
        <v>1263</v>
      </c>
      <c r="D185" s="216">
        <v>728529</v>
      </c>
      <c r="E185" s="216">
        <v>0</v>
      </c>
      <c r="F185" s="216">
        <v>0</v>
      </c>
    </row>
    <row r="186" spans="1:6" x14ac:dyDescent="0.2">
      <c r="A186" s="216" t="s">
        <v>1264</v>
      </c>
      <c r="B186" s="216" t="s">
        <v>1265</v>
      </c>
      <c r="C186" s="216" t="s">
        <v>1266</v>
      </c>
      <c r="D186" s="216">
        <v>0</v>
      </c>
      <c r="E186" s="216">
        <v>0</v>
      </c>
      <c r="F186" s="216">
        <v>0</v>
      </c>
    </row>
    <row r="187" spans="1:6" x14ac:dyDescent="0.2">
      <c r="A187" s="216" t="s">
        <v>1267</v>
      </c>
      <c r="B187" s="216" t="s">
        <v>1268</v>
      </c>
      <c r="C187" s="216" t="s">
        <v>1269</v>
      </c>
      <c r="D187" s="216">
        <v>118539</v>
      </c>
      <c r="E187" s="216">
        <v>70562.13</v>
      </c>
      <c r="F187" s="216">
        <v>70562.13</v>
      </c>
    </row>
    <row r="188" spans="1:6" x14ac:dyDescent="0.2">
      <c r="A188" s="216" t="s">
        <v>1270</v>
      </c>
      <c r="B188" s="216" t="s">
        <v>1271</v>
      </c>
      <c r="C188" s="216" t="s">
        <v>1272</v>
      </c>
      <c r="D188" s="216">
        <v>0</v>
      </c>
      <c r="E188" s="216">
        <v>0</v>
      </c>
      <c r="F188" s="216">
        <v>0</v>
      </c>
    </row>
    <row r="189" spans="1:6" x14ac:dyDescent="0.2">
      <c r="A189" s="216" t="s">
        <v>1273</v>
      </c>
      <c r="B189" s="216" t="s">
        <v>1274</v>
      </c>
      <c r="C189" s="216" t="s">
        <v>1275</v>
      </c>
      <c r="D189" s="216">
        <v>2342684</v>
      </c>
      <c r="E189" s="216">
        <v>2159343.33</v>
      </c>
      <c r="F189" s="216">
        <v>1123789.3500000001</v>
      </c>
    </row>
    <row r="190" spans="1:6" x14ac:dyDescent="0.2">
      <c r="A190" s="216" t="s">
        <v>1276</v>
      </c>
      <c r="B190" s="216" t="s">
        <v>1277</v>
      </c>
      <c r="C190" s="216" t="s">
        <v>1278</v>
      </c>
      <c r="D190" s="216">
        <v>41720</v>
      </c>
      <c r="E190" s="216">
        <v>31883.37</v>
      </c>
      <c r="F190" s="216">
        <v>31883.37</v>
      </c>
    </row>
    <row r="191" spans="1:6" x14ac:dyDescent="0.2">
      <c r="A191" s="216" t="s">
        <v>1279</v>
      </c>
      <c r="B191" s="216" t="s">
        <v>1280</v>
      </c>
      <c r="C191" s="216" t="s">
        <v>1281</v>
      </c>
      <c r="D191" s="216">
        <v>0</v>
      </c>
      <c r="E191" s="216">
        <v>0</v>
      </c>
      <c r="F191" s="216">
        <v>0</v>
      </c>
    </row>
    <row r="192" spans="1:6" x14ac:dyDescent="0.2">
      <c r="A192" s="216" t="s">
        <v>1282</v>
      </c>
      <c r="B192" s="216" t="s">
        <v>1283</v>
      </c>
      <c r="C192" s="216" t="s">
        <v>1284</v>
      </c>
      <c r="D192" s="216">
        <v>29298</v>
      </c>
      <c r="E192" s="216">
        <v>29298</v>
      </c>
      <c r="F192" s="216">
        <v>0</v>
      </c>
    </row>
    <row r="193" spans="1:6" x14ac:dyDescent="0.2">
      <c r="A193" s="216" t="s">
        <v>1285</v>
      </c>
      <c r="B193" s="216" t="s">
        <v>1286</v>
      </c>
      <c r="C193" s="216" t="s">
        <v>1287</v>
      </c>
      <c r="D193" s="216">
        <v>80000</v>
      </c>
      <c r="E193" s="216">
        <v>55480</v>
      </c>
      <c r="F193" s="216">
        <v>33156.76</v>
      </c>
    </row>
    <row r="194" spans="1:6" x14ac:dyDescent="0.2">
      <c r="A194" s="216" t="s">
        <v>1288</v>
      </c>
      <c r="B194" s="216" t="s">
        <v>1289</v>
      </c>
      <c r="C194" s="216" t="s">
        <v>1290</v>
      </c>
      <c r="D194" s="216">
        <v>0</v>
      </c>
      <c r="E194" s="216">
        <v>0</v>
      </c>
      <c r="F194" s="216">
        <v>0</v>
      </c>
    </row>
    <row r="195" spans="1:6" x14ac:dyDescent="0.2">
      <c r="A195" s="216" t="s">
        <v>1291</v>
      </c>
      <c r="B195" s="216" t="s">
        <v>1292</v>
      </c>
      <c r="C195" s="216" t="s">
        <v>1293</v>
      </c>
      <c r="D195" s="216">
        <v>209495</v>
      </c>
      <c r="E195" s="216">
        <v>209495</v>
      </c>
      <c r="F195" s="216">
        <v>98043.32</v>
      </c>
    </row>
    <row r="196" spans="1:6" x14ac:dyDescent="0.2">
      <c r="A196" s="216" t="s">
        <v>1294</v>
      </c>
      <c r="B196" s="216" t="s">
        <v>1295</v>
      </c>
      <c r="C196" s="216" t="s">
        <v>1296</v>
      </c>
      <c r="D196" s="216">
        <v>400000</v>
      </c>
      <c r="E196" s="216">
        <v>0</v>
      </c>
      <c r="F196" s="216">
        <v>0</v>
      </c>
    </row>
    <row r="197" spans="1:6" x14ac:dyDescent="0.2">
      <c r="A197" s="216" t="s">
        <v>1297</v>
      </c>
      <c r="B197" s="216" t="s">
        <v>1298</v>
      </c>
      <c r="C197" s="216" t="s">
        <v>1299</v>
      </c>
      <c r="D197" s="216">
        <v>704972</v>
      </c>
      <c r="E197" s="216">
        <v>309066</v>
      </c>
      <c r="F197" s="216">
        <v>15770.09</v>
      </c>
    </row>
    <row r="198" spans="1:6" x14ac:dyDescent="0.2">
      <c r="A198" s="216" t="s">
        <v>1300</v>
      </c>
      <c r="B198" s="216" t="s">
        <v>1301</v>
      </c>
      <c r="C198" s="216" t="s">
        <v>1302</v>
      </c>
      <c r="D198" s="216">
        <v>1142346</v>
      </c>
      <c r="E198" s="216">
        <v>911210.56</v>
      </c>
      <c r="F198" s="216">
        <v>18478.900000000001</v>
      </c>
    </row>
    <row r="199" spans="1:6" x14ac:dyDescent="0.2">
      <c r="A199" s="216" t="s">
        <v>1303</v>
      </c>
      <c r="B199" s="216" t="s">
        <v>1304</v>
      </c>
      <c r="C199" s="216" t="s">
        <v>1305</v>
      </c>
      <c r="D199" s="216">
        <v>179528</v>
      </c>
      <c r="E199" s="216">
        <v>178381</v>
      </c>
      <c r="F199" s="216">
        <v>136766.03</v>
      </c>
    </row>
    <row r="200" spans="1:6" x14ac:dyDescent="0.2">
      <c r="A200" s="216" t="s">
        <v>1306</v>
      </c>
      <c r="B200" s="216" t="s">
        <v>1307</v>
      </c>
      <c r="C200" s="216" t="s">
        <v>1308</v>
      </c>
      <c r="D200" s="216">
        <v>0</v>
      </c>
      <c r="E200" s="216">
        <v>0</v>
      </c>
      <c r="F200" s="216">
        <v>0</v>
      </c>
    </row>
    <row r="201" spans="1:6" x14ac:dyDescent="0.2">
      <c r="A201" s="216" t="s">
        <v>1309</v>
      </c>
      <c r="B201" s="216" t="s">
        <v>1310</v>
      </c>
      <c r="C201" s="216" t="s">
        <v>1311</v>
      </c>
      <c r="D201" s="216">
        <v>33556</v>
      </c>
      <c r="E201" s="216">
        <v>33489.5</v>
      </c>
      <c r="F201" s="216">
        <v>28428.44</v>
      </c>
    </row>
    <row r="202" spans="1:6" x14ac:dyDescent="0.2">
      <c r="A202" s="216" t="s">
        <v>1312</v>
      </c>
      <c r="B202" s="216" t="s">
        <v>1313</v>
      </c>
      <c r="C202" s="216" t="s">
        <v>1314</v>
      </c>
      <c r="D202" s="216">
        <v>0</v>
      </c>
      <c r="E202" s="216">
        <v>0</v>
      </c>
      <c r="F202" s="216">
        <v>0</v>
      </c>
    </row>
    <row r="203" spans="1:6" x14ac:dyDescent="0.2">
      <c r="A203" s="216" t="s">
        <v>1315</v>
      </c>
      <c r="B203" s="216" t="s">
        <v>1316</v>
      </c>
      <c r="C203" s="216" t="s">
        <v>1317</v>
      </c>
      <c r="D203" s="216">
        <v>0</v>
      </c>
      <c r="E203" s="216">
        <v>0</v>
      </c>
      <c r="F203" s="216">
        <v>0</v>
      </c>
    </row>
    <row r="204" spans="1:6" x14ac:dyDescent="0.2">
      <c r="A204" s="216" t="s">
        <v>1318</v>
      </c>
      <c r="B204" s="216" t="s">
        <v>1319</v>
      </c>
      <c r="C204" s="216" t="s">
        <v>1320</v>
      </c>
      <c r="D204" s="216">
        <v>2361641</v>
      </c>
      <c r="E204" s="216">
        <v>1509241.36</v>
      </c>
      <c r="F204" s="216">
        <v>1059463.81</v>
      </c>
    </row>
    <row r="205" spans="1:6" x14ac:dyDescent="0.2">
      <c r="A205" s="216" t="s">
        <v>1321</v>
      </c>
      <c r="B205" s="216" t="s">
        <v>1322</v>
      </c>
      <c r="C205" s="216" t="s">
        <v>1323</v>
      </c>
      <c r="D205" s="216">
        <v>53010</v>
      </c>
      <c r="E205" s="216">
        <v>24506.97</v>
      </c>
      <c r="F205" s="216">
        <v>24506.97</v>
      </c>
    </row>
    <row r="206" spans="1:6" x14ac:dyDescent="0.2">
      <c r="A206" s="216" t="s">
        <v>1324</v>
      </c>
      <c r="B206" s="216" t="s">
        <v>1325</v>
      </c>
      <c r="C206" s="216" t="s">
        <v>1326</v>
      </c>
      <c r="D206" s="216">
        <v>106670</v>
      </c>
      <c r="E206" s="216">
        <v>106670</v>
      </c>
      <c r="F206" s="216">
        <v>96622.29</v>
      </c>
    </row>
    <row r="207" spans="1:6" x14ac:dyDescent="0.2">
      <c r="A207" s="216" t="s">
        <v>1327</v>
      </c>
      <c r="B207" s="216" t="s">
        <v>1328</v>
      </c>
      <c r="C207" s="216" t="s">
        <v>1329</v>
      </c>
      <c r="D207" s="216">
        <v>306148</v>
      </c>
      <c r="E207" s="216">
        <v>306148</v>
      </c>
      <c r="F207" s="216">
        <v>268544.09999999998</v>
      </c>
    </row>
    <row r="208" spans="1:6" x14ac:dyDescent="0.2">
      <c r="A208" s="216" t="s">
        <v>1330</v>
      </c>
      <c r="B208" s="216" t="s">
        <v>1331</v>
      </c>
      <c r="C208" s="216" t="s">
        <v>1332</v>
      </c>
      <c r="D208" s="216">
        <v>40486</v>
      </c>
      <c r="E208" s="216">
        <v>40486</v>
      </c>
      <c r="F208" s="216">
        <v>25380.63</v>
      </c>
    </row>
    <row r="209" spans="1:6" x14ac:dyDescent="0.2">
      <c r="A209" s="216" t="s">
        <v>1333</v>
      </c>
      <c r="B209" s="216" t="s">
        <v>1334</v>
      </c>
      <c r="C209" s="216" t="s">
        <v>1335</v>
      </c>
      <c r="D209" s="216">
        <v>159574</v>
      </c>
      <c r="E209" s="216">
        <v>125168.92</v>
      </c>
      <c r="F209" s="216">
        <v>80461.59</v>
      </c>
    </row>
    <row r="210" spans="1:6" x14ac:dyDescent="0.2">
      <c r="A210" s="216" t="s">
        <v>1336</v>
      </c>
      <c r="B210" s="216" t="s">
        <v>1337</v>
      </c>
      <c r="C210" s="216" t="s">
        <v>1338</v>
      </c>
      <c r="D210" s="216">
        <v>50467</v>
      </c>
      <c r="E210" s="216">
        <v>50466.81</v>
      </c>
      <c r="F210" s="216">
        <v>48902.8</v>
      </c>
    </row>
    <row r="211" spans="1:6" x14ac:dyDescent="0.2">
      <c r="A211" s="216" t="s">
        <v>1339</v>
      </c>
      <c r="B211" s="216" t="s">
        <v>1340</v>
      </c>
      <c r="C211" s="216" t="s">
        <v>1341</v>
      </c>
      <c r="D211" s="216">
        <v>0</v>
      </c>
      <c r="E211" s="216">
        <v>0</v>
      </c>
      <c r="F211" s="216">
        <v>0</v>
      </c>
    </row>
    <row r="212" spans="1:6" x14ac:dyDescent="0.2">
      <c r="A212" s="216" t="s">
        <v>1342</v>
      </c>
      <c r="B212" s="216" t="s">
        <v>1343</v>
      </c>
      <c r="C212" s="216" t="s">
        <v>1344</v>
      </c>
      <c r="D212" s="216">
        <v>0</v>
      </c>
      <c r="E212" s="216">
        <v>0</v>
      </c>
      <c r="F212" s="216">
        <v>0</v>
      </c>
    </row>
    <row r="213" spans="1:6" x14ac:dyDescent="0.2">
      <c r="A213" s="216" t="s">
        <v>1345</v>
      </c>
      <c r="B213" s="216" t="s">
        <v>1346</v>
      </c>
      <c r="C213" s="216" t="s">
        <v>1347</v>
      </c>
      <c r="D213" s="216">
        <v>185239</v>
      </c>
      <c r="E213" s="216">
        <v>0</v>
      </c>
      <c r="F213" s="216">
        <v>0</v>
      </c>
    </row>
    <row r="214" spans="1:6" x14ac:dyDescent="0.2">
      <c r="A214" s="216" t="s">
        <v>1348</v>
      </c>
      <c r="B214" s="216" t="s">
        <v>1346</v>
      </c>
      <c r="C214" s="216" t="s">
        <v>1349</v>
      </c>
      <c r="D214" s="216">
        <v>39457</v>
      </c>
      <c r="E214" s="216">
        <v>0</v>
      </c>
      <c r="F214" s="216">
        <v>0</v>
      </c>
    </row>
    <row r="215" spans="1:6" x14ac:dyDescent="0.2">
      <c r="A215" s="216" t="s">
        <v>1350</v>
      </c>
      <c r="B215" s="216" t="s">
        <v>1351</v>
      </c>
      <c r="C215" s="216" t="s">
        <v>1352</v>
      </c>
      <c r="D215" s="216">
        <v>928209</v>
      </c>
      <c r="E215" s="216">
        <v>900951.03</v>
      </c>
      <c r="F215" s="216">
        <v>633092.52</v>
      </c>
    </row>
    <row r="216" spans="1:6" x14ac:dyDescent="0.2">
      <c r="A216" s="216" t="s">
        <v>1353</v>
      </c>
      <c r="B216" s="216" t="s">
        <v>1354</v>
      </c>
      <c r="C216" s="216" t="s">
        <v>1355</v>
      </c>
      <c r="D216" s="216">
        <v>5810277</v>
      </c>
      <c r="E216" s="216">
        <v>5204423.5999999996</v>
      </c>
      <c r="F216" s="216">
        <v>1157372.6000000001</v>
      </c>
    </row>
    <row r="217" spans="1:6" x14ac:dyDescent="0.2">
      <c r="A217" s="216" t="s">
        <v>1356</v>
      </c>
      <c r="B217" s="216" t="s">
        <v>1357</v>
      </c>
      <c r="C217" s="216" t="s">
        <v>1358</v>
      </c>
      <c r="D217" s="216">
        <v>1332387</v>
      </c>
      <c r="E217" s="216">
        <v>1332216.6100000001</v>
      </c>
      <c r="F217" s="216">
        <v>1212326</v>
      </c>
    </row>
    <row r="218" spans="1:6" x14ac:dyDescent="0.2">
      <c r="A218" s="216" t="s">
        <v>1359</v>
      </c>
      <c r="B218" s="216" t="s">
        <v>1360</v>
      </c>
      <c r="C218" s="216" t="s">
        <v>502</v>
      </c>
      <c r="D218" s="216">
        <v>407088</v>
      </c>
      <c r="E218" s="216">
        <v>327566</v>
      </c>
      <c r="F218" s="216">
        <v>287714.38</v>
      </c>
    </row>
    <row r="219" spans="1:6" x14ac:dyDescent="0.2">
      <c r="A219" s="216" t="s">
        <v>1361</v>
      </c>
      <c r="B219" s="216" t="s">
        <v>1362</v>
      </c>
      <c r="C219" s="216" t="s">
        <v>1363</v>
      </c>
      <c r="D219" s="216">
        <v>10519577</v>
      </c>
      <c r="E219" s="216">
        <v>10386241.220000001</v>
      </c>
      <c r="F219" s="216">
        <v>7596372.6799999997</v>
      </c>
    </row>
    <row r="220" spans="1:6" x14ac:dyDescent="0.2">
      <c r="A220" s="216" t="s">
        <v>1364</v>
      </c>
      <c r="B220" s="216" t="s">
        <v>1365</v>
      </c>
      <c r="C220" s="216" t="s">
        <v>1366</v>
      </c>
      <c r="D220" s="216">
        <v>10208307</v>
      </c>
      <c r="E220" s="216">
        <v>9968469.6199999992</v>
      </c>
      <c r="F220" s="216">
        <v>6440724.4800000004</v>
      </c>
    </row>
    <row r="221" spans="1:6" x14ac:dyDescent="0.2">
      <c r="A221" s="216" t="s">
        <v>1367</v>
      </c>
      <c r="B221" s="216" t="s">
        <v>1368</v>
      </c>
      <c r="C221" s="216" t="s">
        <v>1369</v>
      </c>
      <c r="D221" s="216">
        <v>46429</v>
      </c>
      <c r="E221" s="216">
        <v>0</v>
      </c>
      <c r="F221" s="216">
        <v>0</v>
      </c>
    </row>
    <row r="222" spans="1:6" x14ac:dyDescent="0.2">
      <c r="A222" s="216" t="s">
        <v>1370</v>
      </c>
      <c r="B222" s="216" t="s">
        <v>1371</v>
      </c>
      <c r="C222" s="216" t="s">
        <v>1372</v>
      </c>
      <c r="D222" s="216">
        <v>6997430</v>
      </c>
      <c r="E222" s="216">
        <v>6787158.8099999996</v>
      </c>
      <c r="F222" s="216">
        <v>2630352.42</v>
      </c>
    </row>
    <row r="223" spans="1:6" x14ac:dyDescent="0.2">
      <c r="A223" s="216" t="s">
        <v>1373</v>
      </c>
      <c r="B223" s="216" t="s">
        <v>1374</v>
      </c>
      <c r="C223" s="216" t="s">
        <v>1375</v>
      </c>
      <c r="D223" s="216">
        <v>17354707</v>
      </c>
      <c r="E223" s="216">
        <v>17083718.420000002</v>
      </c>
      <c r="F223" s="216">
        <v>8610007.6500000004</v>
      </c>
    </row>
    <row r="224" spans="1:6" x14ac:dyDescent="0.2">
      <c r="A224" s="216" t="s">
        <v>1376</v>
      </c>
      <c r="B224" s="216" t="s">
        <v>1377</v>
      </c>
      <c r="C224" s="216" t="s">
        <v>1378</v>
      </c>
      <c r="D224" s="216">
        <v>0</v>
      </c>
      <c r="E224" s="216">
        <v>0</v>
      </c>
      <c r="F224" s="216">
        <v>0</v>
      </c>
    </row>
    <row r="225" spans="1:6" x14ac:dyDescent="0.2">
      <c r="A225" s="216" t="s">
        <v>1379</v>
      </c>
      <c r="B225" s="216" t="s">
        <v>1380</v>
      </c>
      <c r="C225" s="216" t="s">
        <v>1381</v>
      </c>
      <c r="D225" s="216">
        <v>0</v>
      </c>
      <c r="E225" s="216">
        <v>0</v>
      </c>
      <c r="F225" s="216">
        <v>0</v>
      </c>
    </row>
    <row r="226" spans="1:6" x14ac:dyDescent="0.2">
      <c r="A226" s="216" t="s">
        <v>1382</v>
      </c>
      <c r="B226" s="216" t="s">
        <v>1383</v>
      </c>
      <c r="C226" s="216" t="s">
        <v>1384</v>
      </c>
      <c r="D226" s="216">
        <v>0</v>
      </c>
      <c r="E226" s="216">
        <v>0</v>
      </c>
      <c r="F226" s="216">
        <v>0</v>
      </c>
    </row>
    <row r="227" spans="1:6" x14ac:dyDescent="0.2">
      <c r="A227" s="216" t="s">
        <v>1385</v>
      </c>
      <c r="B227" s="216" t="s">
        <v>1386</v>
      </c>
      <c r="C227" s="216" t="s">
        <v>582</v>
      </c>
      <c r="D227" s="216">
        <v>966193</v>
      </c>
      <c r="E227" s="216">
        <v>746819.06</v>
      </c>
      <c r="F227" s="216">
        <v>6257.4</v>
      </c>
    </row>
    <row r="228" spans="1:6" x14ac:dyDescent="0.2">
      <c r="A228" s="216" t="s">
        <v>1387</v>
      </c>
      <c r="B228" s="216" t="s">
        <v>1388</v>
      </c>
      <c r="C228" s="216" t="s">
        <v>1389</v>
      </c>
      <c r="D228" s="216">
        <v>0</v>
      </c>
      <c r="E228" s="216">
        <v>0</v>
      </c>
      <c r="F228" s="216">
        <v>0</v>
      </c>
    </row>
    <row r="229" spans="1:6" x14ac:dyDescent="0.2">
      <c r="A229" s="216" t="s">
        <v>1390</v>
      </c>
      <c r="B229" s="216" t="s">
        <v>1391</v>
      </c>
      <c r="C229" s="216" t="s">
        <v>1392</v>
      </c>
      <c r="D229" s="216">
        <v>0</v>
      </c>
      <c r="E229" s="216">
        <v>0</v>
      </c>
      <c r="F229" s="216">
        <v>0</v>
      </c>
    </row>
    <row r="230" spans="1:6" x14ac:dyDescent="0.2">
      <c r="A230" s="216" t="s">
        <v>1393</v>
      </c>
      <c r="B230" s="216" t="s">
        <v>1394</v>
      </c>
      <c r="C230" s="216" t="s">
        <v>1395</v>
      </c>
      <c r="D230" s="216">
        <v>184669</v>
      </c>
      <c r="E230" s="216">
        <v>184669</v>
      </c>
      <c r="F230" s="216">
        <v>0</v>
      </c>
    </row>
    <row r="231" spans="1:6" x14ac:dyDescent="0.2">
      <c r="A231" s="216" t="s">
        <v>1396</v>
      </c>
      <c r="B231" s="216" t="s">
        <v>1397</v>
      </c>
      <c r="C231" s="216" t="s">
        <v>1398</v>
      </c>
      <c r="D231" s="216">
        <v>0</v>
      </c>
      <c r="E231" s="216">
        <v>0</v>
      </c>
      <c r="F231" s="216">
        <v>0</v>
      </c>
    </row>
    <row r="232" spans="1:6" x14ac:dyDescent="0.2">
      <c r="A232" s="216" t="s">
        <v>1399</v>
      </c>
      <c r="B232" s="216" t="s">
        <v>1400</v>
      </c>
      <c r="C232" s="216" t="s">
        <v>1401</v>
      </c>
      <c r="D232" s="216">
        <v>8766661</v>
      </c>
      <c r="E232" s="216">
        <v>8493624.3699999992</v>
      </c>
      <c r="F232" s="216">
        <v>3843826.37</v>
      </c>
    </row>
    <row r="233" spans="1:6" x14ac:dyDescent="0.2">
      <c r="A233" s="216" t="s">
        <v>1402</v>
      </c>
      <c r="B233" s="216" t="s">
        <v>1403</v>
      </c>
      <c r="C233" s="216" t="s">
        <v>1404</v>
      </c>
      <c r="D233" s="216">
        <v>8256172</v>
      </c>
      <c r="E233" s="216">
        <v>7527846.9100000001</v>
      </c>
      <c r="F233" s="216">
        <v>4485721.8099999996</v>
      </c>
    </row>
    <row r="234" spans="1:6" x14ac:dyDescent="0.2">
      <c r="A234" s="216" t="s">
        <v>1405</v>
      </c>
      <c r="B234" s="216" t="s">
        <v>1406</v>
      </c>
      <c r="C234" s="216" t="s">
        <v>1407</v>
      </c>
      <c r="D234" s="216">
        <v>0</v>
      </c>
      <c r="E234" s="216">
        <v>0</v>
      </c>
      <c r="F234" s="216">
        <v>0</v>
      </c>
    </row>
    <row r="235" spans="1:6" x14ac:dyDescent="0.2">
      <c r="A235" s="216" t="s">
        <v>1408</v>
      </c>
      <c r="B235" s="216" t="s">
        <v>1409</v>
      </c>
      <c r="C235" s="216" t="s">
        <v>1410</v>
      </c>
      <c r="D235" s="216">
        <v>200000</v>
      </c>
      <c r="E235" s="216">
        <v>50000</v>
      </c>
      <c r="F235" s="216">
        <v>0</v>
      </c>
    </row>
    <row r="236" spans="1:6" x14ac:dyDescent="0.2">
      <c r="A236" s="216" t="s">
        <v>1411</v>
      </c>
      <c r="B236" s="216" t="s">
        <v>1412</v>
      </c>
      <c r="C236" s="216" t="s">
        <v>1413</v>
      </c>
      <c r="D236" s="216">
        <v>2000000</v>
      </c>
      <c r="E236" s="216">
        <v>2000000</v>
      </c>
      <c r="F236" s="216">
        <v>0</v>
      </c>
    </row>
    <row r="237" spans="1:6" x14ac:dyDescent="0.2">
      <c r="A237" s="216" t="s">
        <v>1414</v>
      </c>
      <c r="B237" s="216" t="s">
        <v>1415</v>
      </c>
      <c r="C237" s="216" t="s">
        <v>1416</v>
      </c>
      <c r="D237" s="216">
        <v>0</v>
      </c>
      <c r="E237" s="216">
        <v>0</v>
      </c>
      <c r="F237" s="216">
        <v>0</v>
      </c>
    </row>
    <row r="238" spans="1:6" x14ac:dyDescent="0.2">
      <c r="A238" s="216" t="s">
        <v>1417</v>
      </c>
      <c r="B238" s="216" t="s">
        <v>1418</v>
      </c>
      <c r="C238" s="216" t="s">
        <v>1419</v>
      </c>
      <c r="D238" s="216">
        <v>0</v>
      </c>
      <c r="E238" s="216">
        <v>0</v>
      </c>
      <c r="F238" s="216">
        <v>0</v>
      </c>
    </row>
    <row r="239" spans="1:6" x14ac:dyDescent="0.2">
      <c r="A239" s="216" t="s">
        <v>1420</v>
      </c>
      <c r="B239" s="216" t="s">
        <v>1421</v>
      </c>
      <c r="C239" s="216" t="s">
        <v>1422</v>
      </c>
      <c r="D239" s="216">
        <v>654662</v>
      </c>
      <c r="E239" s="216">
        <v>654662</v>
      </c>
      <c r="F239" s="216">
        <v>0</v>
      </c>
    </row>
    <row r="240" spans="1:6" x14ac:dyDescent="0.2">
      <c r="A240" s="216" t="s">
        <v>1423</v>
      </c>
      <c r="B240" s="216" t="s">
        <v>1424</v>
      </c>
      <c r="C240" s="216" t="s">
        <v>1425</v>
      </c>
      <c r="D240" s="216">
        <v>2047936</v>
      </c>
      <c r="E240" s="216">
        <v>377863</v>
      </c>
      <c r="F240" s="216">
        <v>318047.53000000003</v>
      </c>
    </row>
    <row r="241" spans="1:6" x14ac:dyDescent="0.2">
      <c r="A241" s="216" t="s">
        <v>1426</v>
      </c>
      <c r="B241" s="216" t="s">
        <v>1427</v>
      </c>
      <c r="C241" s="216" t="s">
        <v>1428</v>
      </c>
      <c r="D241" s="216">
        <v>0</v>
      </c>
      <c r="E241" s="216">
        <v>0</v>
      </c>
      <c r="F241" s="216">
        <v>0</v>
      </c>
    </row>
    <row r="242" spans="1:6" x14ac:dyDescent="0.2">
      <c r="A242" s="216" t="s">
        <v>1429</v>
      </c>
      <c r="B242" s="216" t="s">
        <v>1430</v>
      </c>
      <c r="C242" s="216" t="s">
        <v>506</v>
      </c>
      <c r="D242" s="216">
        <v>2390440</v>
      </c>
      <c r="E242" s="216">
        <v>2386020</v>
      </c>
      <c r="F242" s="216">
        <v>824976.09</v>
      </c>
    </row>
    <row r="243" spans="1:6" x14ac:dyDescent="0.2">
      <c r="A243" s="216" t="s">
        <v>1431</v>
      </c>
      <c r="B243" s="216" t="s">
        <v>1432</v>
      </c>
      <c r="C243" s="216" t="s">
        <v>507</v>
      </c>
      <c r="D243" s="216">
        <v>20600</v>
      </c>
      <c r="E243" s="216">
        <v>20600</v>
      </c>
      <c r="F243" s="216">
        <v>17783.599999999999</v>
      </c>
    </row>
    <row r="244" spans="1:6" x14ac:dyDescent="0.2">
      <c r="A244" s="216" t="s">
        <v>1433</v>
      </c>
      <c r="B244" s="216" t="s">
        <v>1434</v>
      </c>
      <c r="C244" s="216" t="s">
        <v>1435</v>
      </c>
      <c r="D244" s="216">
        <v>82568</v>
      </c>
      <c r="E244" s="216">
        <v>82568</v>
      </c>
      <c r="F244" s="216">
        <v>57743.81</v>
      </c>
    </row>
    <row r="245" spans="1:6" x14ac:dyDescent="0.2">
      <c r="A245" s="216" t="s">
        <v>1436</v>
      </c>
      <c r="B245" s="216" t="s">
        <v>1437</v>
      </c>
      <c r="C245" s="216" t="s">
        <v>1438</v>
      </c>
      <c r="D245" s="216">
        <v>100000</v>
      </c>
      <c r="E245" s="216">
        <v>100000</v>
      </c>
      <c r="F245" s="216">
        <v>85262.53</v>
      </c>
    </row>
    <row r="246" spans="1:6" x14ac:dyDescent="0.2">
      <c r="A246" s="216" t="s">
        <v>1439</v>
      </c>
      <c r="B246" s="216" t="s">
        <v>1440</v>
      </c>
      <c r="C246" s="216" t="s">
        <v>1441</v>
      </c>
      <c r="D246" s="216">
        <v>0</v>
      </c>
      <c r="E246" s="216">
        <v>0</v>
      </c>
      <c r="F246" s="216">
        <v>0</v>
      </c>
    </row>
    <row r="247" spans="1:6" x14ac:dyDescent="0.2">
      <c r="A247" s="216" t="s">
        <v>1442</v>
      </c>
      <c r="B247" s="216" t="s">
        <v>1443</v>
      </c>
      <c r="C247" s="216" t="s">
        <v>1444</v>
      </c>
      <c r="D247" s="216">
        <v>290270</v>
      </c>
      <c r="E247" s="216">
        <v>100000</v>
      </c>
      <c r="F247" s="216">
        <v>0</v>
      </c>
    </row>
    <row r="248" spans="1:6" x14ac:dyDescent="0.2">
      <c r="A248" s="216" t="s">
        <v>1445</v>
      </c>
      <c r="B248" s="216" t="s">
        <v>1446</v>
      </c>
      <c r="C248" s="216" t="s">
        <v>1447</v>
      </c>
      <c r="D248" s="216">
        <v>154665</v>
      </c>
      <c r="E248" s="216">
        <v>154665</v>
      </c>
      <c r="F248" s="216">
        <v>154066.76999999999</v>
      </c>
    </row>
    <row r="249" spans="1:6" x14ac:dyDescent="0.2">
      <c r="A249" s="216" t="s">
        <v>1448</v>
      </c>
      <c r="B249" s="216" t="s">
        <v>1449</v>
      </c>
      <c r="C249" s="216" t="s">
        <v>1450</v>
      </c>
      <c r="D249" s="216">
        <v>4271598</v>
      </c>
      <c r="E249" s="216">
        <v>4070553.34</v>
      </c>
      <c r="F249" s="216">
        <v>2287215.36</v>
      </c>
    </row>
    <row r="250" spans="1:6" x14ac:dyDescent="0.2">
      <c r="A250" s="216" t="s">
        <v>1451</v>
      </c>
      <c r="B250" s="216" t="s">
        <v>1452</v>
      </c>
      <c r="C250" s="216" t="s">
        <v>1453</v>
      </c>
      <c r="D250" s="216">
        <v>0</v>
      </c>
      <c r="E250" s="216">
        <v>0</v>
      </c>
      <c r="F250" s="216">
        <v>0</v>
      </c>
    </row>
    <row r="251" spans="1:6" x14ac:dyDescent="0.2">
      <c r="A251" s="216" t="s">
        <v>1454</v>
      </c>
      <c r="B251" s="216" t="s">
        <v>1455</v>
      </c>
      <c r="C251" s="216" t="s">
        <v>1456</v>
      </c>
      <c r="D251" s="216">
        <v>0</v>
      </c>
      <c r="E251" s="216">
        <v>0</v>
      </c>
      <c r="F251" s="216">
        <v>0</v>
      </c>
    </row>
    <row r="252" spans="1:6" x14ac:dyDescent="0.2">
      <c r="A252" s="216" t="s">
        <v>1457</v>
      </c>
      <c r="B252" s="216" t="s">
        <v>1458</v>
      </c>
      <c r="C252" s="216" t="s">
        <v>1459</v>
      </c>
      <c r="D252" s="216">
        <v>656461</v>
      </c>
      <c r="E252" s="216">
        <v>656461</v>
      </c>
      <c r="F252" s="216">
        <v>0</v>
      </c>
    </row>
    <row r="253" spans="1:6" x14ac:dyDescent="0.2">
      <c r="A253" s="216" t="s">
        <v>1460</v>
      </c>
      <c r="B253" s="216" t="s">
        <v>1461</v>
      </c>
      <c r="C253" s="216" t="s">
        <v>1462</v>
      </c>
      <c r="D253" s="216">
        <v>606461</v>
      </c>
      <c r="E253" s="216">
        <v>606460.53</v>
      </c>
      <c r="F253" s="216">
        <v>0</v>
      </c>
    </row>
    <row r="254" spans="1:6" x14ac:dyDescent="0.2">
      <c r="A254" s="216" t="s">
        <v>1463</v>
      </c>
      <c r="B254" s="216" t="s">
        <v>1464</v>
      </c>
      <c r="C254" s="216" t="s">
        <v>1465</v>
      </c>
      <c r="D254" s="216">
        <v>0</v>
      </c>
      <c r="E254" s="216">
        <v>0</v>
      </c>
      <c r="F254" s="216">
        <v>0</v>
      </c>
    </row>
    <row r="255" spans="1:6" x14ac:dyDescent="0.2">
      <c r="A255" s="216" t="s">
        <v>1466</v>
      </c>
      <c r="B255" s="216" t="s">
        <v>1467</v>
      </c>
      <c r="C255" s="216" t="s">
        <v>1468</v>
      </c>
      <c r="D255" s="216">
        <v>1349649</v>
      </c>
      <c r="E255" s="216">
        <v>0</v>
      </c>
      <c r="F255" s="216">
        <v>0</v>
      </c>
    </row>
    <row r="256" spans="1:6" x14ac:dyDescent="0.2">
      <c r="A256" s="216" t="s">
        <v>1469</v>
      </c>
      <c r="B256" s="216" t="s">
        <v>1470</v>
      </c>
      <c r="C256" s="216" t="s">
        <v>1471</v>
      </c>
      <c r="D256" s="216">
        <v>50000</v>
      </c>
      <c r="E256" s="216">
        <v>50000</v>
      </c>
      <c r="F256" s="216">
        <v>47929.33</v>
      </c>
    </row>
    <row r="257" spans="1:6" x14ac:dyDescent="0.2">
      <c r="A257" s="216" t="s">
        <v>1472</v>
      </c>
      <c r="B257" s="216" t="s">
        <v>1473</v>
      </c>
      <c r="C257" s="216" t="s">
        <v>1474</v>
      </c>
      <c r="D257" s="216">
        <v>0</v>
      </c>
      <c r="E257" s="216">
        <v>0</v>
      </c>
      <c r="F257" s="216">
        <v>0</v>
      </c>
    </row>
    <row r="258" spans="1:6" x14ac:dyDescent="0.2">
      <c r="A258" s="216" t="s">
        <v>1475</v>
      </c>
      <c r="B258" s="216" t="s">
        <v>1476</v>
      </c>
      <c r="C258" s="216" t="s">
        <v>1477</v>
      </c>
      <c r="D258" s="216">
        <v>82042</v>
      </c>
      <c r="E258" s="216">
        <v>73137.02</v>
      </c>
      <c r="F258" s="216">
        <v>48346.77</v>
      </c>
    </row>
    <row r="259" spans="1:6" x14ac:dyDescent="0.2">
      <c r="A259" s="216" t="s">
        <v>1478</v>
      </c>
      <c r="B259" s="216" t="s">
        <v>1479</v>
      </c>
      <c r="C259" s="216" t="s">
        <v>1480</v>
      </c>
      <c r="D259" s="216">
        <v>0</v>
      </c>
      <c r="E259" s="216">
        <v>0</v>
      </c>
      <c r="F259" s="216">
        <v>0</v>
      </c>
    </row>
    <row r="260" spans="1:6" x14ac:dyDescent="0.2">
      <c r="A260" s="216" t="s">
        <v>1481</v>
      </c>
      <c r="B260" s="216" t="s">
        <v>1482</v>
      </c>
      <c r="C260" s="216" t="s">
        <v>1483</v>
      </c>
      <c r="D260" s="216">
        <v>72190</v>
      </c>
      <c r="E260" s="216">
        <v>62384.34</v>
      </c>
      <c r="F260" s="216">
        <v>59404.06</v>
      </c>
    </row>
    <row r="261" spans="1:6" x14ac:dyDescent="0.2">
      <c r="A261" s="216" t="s">
        <v>1484</v>
      </c>
      <c r="B261" s="216" t="s">
        <v>1485</v>
      </c>
      <c r="C261" s="216" t="s">
        <v>1486</v>
      </c>
      <c r="D261" s="216">
        <v>69837</v>
      </c>
      <c r="E261" s="216">
        <v>50000</v>
      </c>
      <c r="F261" s="216">
        <v>24166.33</v>
      </c>
    </row>
    <row r="262" spans="1:6" x14ac:dyDescent="0.2">
      <c r="A262" s="216" t="s">
        <v>1487</v>
      </c>
      <c r="B262" s="216" t="s">
        <v>1488</v>
      </c>
      <c r="C262" s="216" t="s">
        <v>1489</v>
      </c>
      <c r="D262" s="216">
        <v>50000</v>
      </c>
      <c r="E262" s="216">
        <v>50000</v>
      </c>
      <c r="F262" s="216">
        <v>48541.71</v>
      </c>
    </row>
    <row r="263" spans="1:6" x14ac:dyDescent="0.2">
      <c r="A263" s="216" t="s">
        <v>1490</v>
      </c>
      <c r="B263" s="216" t="s">
        <v>1491</v>
      </c>
      <c r="C263" s="216" t="s">
        <v>1492</v>
      </c>
      <c r="D263" s="216">
        <v>304060</v>
      </c>
      <c r="E263" s="216">
        <v>291997.5</v>
      </c>
      <c r="F263" s="216">
        <v>267446.90999999997</v>
      </c>
    </row>
    <row r="264" spans="1:6" x14ac:dyDescent="0.2">
      <c r="A264" s="216" t="s">
        <v>1493</v>
      </c>
      <c r="B264" s="216" t="s">
        <v>1494</v>
      </c>
      <c r="C264" s="216" t="s">
        <v>1495</v>
      </c>
      <c r="D264" s="216">
        <v>0</v>
      </c>
      <c r="E264" s="216">
        <v>0</v>
      </c>
      <c r="F264" s="216">
        <v>0</v>
      </c>
    </row>
    <row r="265" spans="1:6" x14ac:dyDescent="0.2">
      <c r="A265" s="216" t="s">
        <v>1496</v>
      </c>
      <c r="B265" s="216" t="s">
        <v>1497</v>
      </c>
      <c r="C265" s="216" t="s">
        <v>1498</v>
      </c>
      <c r="D265" s="216">
        <v>0</v>
      </c>
      <c r="E265" s="216">
        <v>0</v>
      </c>
      <c r="F265" s="216">
        <v>0</v>
      </c>
    </row>
    <row r="266" spans="1:6" x14ac:dyDescent="0.2">
      <c r="A266" s="216" t="s">
        <v>1499</v>
      </c>
      <c r="B266" s="216" t="s">
        <v>830</v>
      </c>
      <c r="C266" s="216" t="s">
        <v>1500</v>
      </c>
      <c r="D266" s="216">
        <v>2170829</v>
      </c>
      <c r="E266" s="216">
        <v>2170829</v>
      </c>
      <c r="F266" s="216">
        <v>147448.29999999999</v>
      </c>
    </row>
    <row r="267" spans="1:6" x14ac:dyDescent="0.2">
      <c r="A267" s="216" t="s">
        <v>1501</v>
      </c>
      <c r="B267" s="216" t="s">
        <v>1502</v>
      </c>
      <c r="C267" s="216" t="s">
        <v>583</v>
      </c>
      <c r="D267" s="216">
        <v>1382457</v>
      </c>
      <c r="E267" s="216">
        <v>1382455.8</v>
      </c>
      <c r="F267" s="216">
        <v>215371.16</v>
      </c>
    </row>
    <row r="268" spans="1:6" x14ac:dyDescent="0.2">
      <c r="A268" s="216" t="s">
        <v>1503</v>
      </c>
      <c r="B268" s="216" t="s">
        <v>1504</v>
      </c>
      <c r="C268" s="216" t="s">
        <v>1505</v>
      </c>
      <c r="D268" s="216">
        <v>340317</v>
      </c>
      <c r="E268" s="216">
        <v>335271.5</v>
      </c>
      <c r="F268" s="216">
        <v>228699.2</v>
      </c>
    </row>
    <row r="269" spans="1:6" x14ac:dyDescent="0.2">
      <c r="A269" s="216" t="s">
        <v>1506</v>
      </c>
      <c r="B269" s="216" t="s">
        <v>1507</v>
      </c>
      <c r="C269" s="216" t="s">
        <v>1508</v>
      </c>
      <c r="D269" s="216">
        <v>282553</v>
      </c>
      <c r="E269" s="216">
        <v>282553</v>
      </c>
      <c r="F269" s="216">
        <v>0</v>
      </c>
    </row>
    <row r="270" spans="1:6" x14ac:dyDescent="0.2">
      <c r="A270" s="216" t="s">
        <v>1509</v>
      </c>
      <c r="B270" s="216" t="s">
        <v>1510</v>
      </c>
      <c r="C270" s="216" t="s">
        <v>1511</v>
      </c>
      <c r="D270" s="216">
        <v>31336</v>
      </c>
      <c r="E270" s="216">
        <v>0</v>
      </c>
      <c r="F270" s="216">
        <v>0</v>
      </c>
    </row>
    <row r="271" spans="1:6" x14ac:dyDescent="0.2">
      <c r="A271" s="216" t="s">
        <v>1512</v>
      </c>
      <c r="B271" s="216" t="s">
        <v>1513</v>
      </c>
      <c r="C271" s="216" t="s">
        <v>1514</v>
      </c>
      <c r="D271" s="216">
        <v>412686</v>
      </c>
      <c r="E271" s="216">
        <v>364067</v>
      </c>
      <c r="F271" s="216">
        <v>189727.76</v>
      </c>
    </row>
    <row r="272" spans="1:6" x14ac:dyDescent="0.2">
      <c r="A272" s="216" t="s">
        <v>1515</v>
      </c>
      <c r="B272" s="216" t="s">
        <v>1516</v>
      </c>
      <c r="C272" s="216" t="s">
        <v>1517</v>
      </c>
      <c r="D272" s="216">
        <v>1272735</v>
      </c>
      <c r="E272" s="216">
        <v>1253656.8600000001</v>
      </c>
      <c r="F272" s="216">
        <v>1181486.1499999999</v>
      </c>
    </row>
    <row r="273" spans="1:6" x14ac:dyDescent="0.2">
      <c r="A273" s="216" t="s">
        <v>1518</v>
      </c>
      <c r="B273" s="216" t="s">
        <v>1519</v>
      </c>
      <c r="C273" s="216" t="s">
        <v>1520</v>
      </c>
      <c r="D273" s="216">
        <v>400000</v>
      </c>
      <c r="E273" s="216">
        <v>400000</v>
      </c>
      <c r="F273" s="216">
        <v>285245.05</v>
      </c>
    </row>
    <row r="274" spans="1:6" x14ac:dyDescent="0.2">
      <c r="A274" s="216" t="s">
        <v>1521</v>
      </c>
      <c r="B274" s="216" t="s">
        <v>1522</v>
      </c>
      <c r="C274" s="216" t="s">
        <v>1523</v>
      </c>
      <c r="D274" s="216">
        <v>386035</v>
      </c>
      <c r="E274" s="216">
        <v>365592.91</v>
      </c>
      <c r="F274" s="216">
        <v>246262.9</v>
      </c>
    </row>
    <row r="275" spans="1:6" x14ac:dyDescent="0.2">
      <c r="A275" s="216" t="s">
        <v>1524</v>
      </c>
      <c r="B275" s="216" t="s">
        <v>913</v>
      </c>
      <c r="C275" s="216" t="s">
        <v>1525</v>
      </c>
      <c r="D275" s="216">
        <v>4992699</v>
      </c>
      <c r="E275" s="216">
        <v>4276945.21</v>
      </c>
      <c r="F275" s="216">
        <v>3252598.59</v>
      </c>
    </row>
    <row r="276" spans="1:6" x14ac:dyDescent="0.2">
      <c r="A276" s="216" t="s">
        <v>1526</v>
      </c>
      <c r="B276" s="216" t="s">
        <v>1527</v>
      </c>
      <c r="C276" s="216" t="s">
        <v>1528</v>
      </c>
      <c r="D276" s="216">
        <v>8483998</v>
      </c>
      <c r="E276" s="216">
        <v>8474782.3099999987</v>
      </c>
      <c r="F276" s="216">
        <v>5322446.09</v>
      </c>
    </row>
    <row r="277" spans="1:6" x14ac:dyDescent="0.2">
      <c r="A277" s="216" t="s">
        <v>1529</v>
      </c>
      <c r="B277" s="216" t="s">
        <v>1530</v>
      </c>
      <c r="C277" s="216" t="s">
        <v>529</v>
      </c>
      <c r="D277" s="216">
        <v>1425006</v>
      </c>
      <c r="E277" s="216">
        <v>1239788.8999999999</v>
      </c>
      <c r="F277" s="216">
        <v>1170436.98</v>
      </c>
    </row>
    <row r="278" spans="1:6" x14ac:dyDescent="0.2">
      <c r="A278" s="216" t="s">
        <v>1531</v>
      </c>
      <c r="B278" s="216" t="s">
        <v>1532</v>
      </c>
      <c r="C278" s="216" t="s">
        <v>1533</v>
      </c>
      <c r="D278" s="216">
        <v>350000</v>
      </c>
      <c r="E278" s="216">
        <v>350000</v>
      </c>
      <c r="F278" s="216">
        <v>163264.48000000001</v>
      </c>
    </row>
    <row r="279" spans="1:6" x14ac:dyDescent="0.2">
      <c r="A279" s="216" t="s">
        <v>1534</v>
      </c>
      <c r="B279" s="216" t="s">
        <v>1535</v>
      </c>
      <c r="C279" s="216" t="s">
        <v>1536</v>
      </c>
      <c r="D279" s="216">
        <v>81646</v>
      </c>
      <c r="E279" s="216">
        <v>0</v>
      </c>
      <c r="F279" s="216">
        <v>0</v>
      </c>
    </row>
    <row r="280" spans="1:6" x14ac:dyDescent="0.2">
      <c r="A280" s="216" t="s">
        <v>1537</v>
      </c>
      <c r="B280" s="216" t="s">
        <v>1538</v>
      </c>
      <c r="C280" s="216" t="s">
        <v>1539</v>
      </c>
      <c r="D280" s="216">
        <v>292573</v>
      </c>
      <c r="E280" s="216">
        <v>0</v>
      </c>
      <c r="F280" s="216">
        <v>0</v>
      </c>
    </row>
    <row r="281" spans="1:6" x14ac:dyDescent="0.2">
      <c r="A281" s="216" t="s">
        <v>1540</v>
      </c>
      <c r="B281" s="216" t="s">
        <v>1541</v>
      </c>
      <c r="C281" s="216" t="s">
        <v>1542</v>
      </c>
      <c r="D281" s="216">
        <v>645412</v>
      </c>
      <c r="E281" s="216">
        <v>615249.5</v>
      </c>
      <c r="F281" s="216">
        <v>558544.31000000006</v>
      </c>
    </row>
    <row r="282" spans="1:6" x14ac:dyDescent="0.2">
      <c r="A282" s="216" t="s">
        <v>1543</v>
      </c>
      <c r="B282" s="216" t="s">
        <v>1544</v>
      </c>
      <c r="C282" s="216" t="s">
        <v>1545</v>
      </c>
      <c r="D282" s="216">
        <v>45161</v>
      </c>
      <c r="E282" s="216">
        <v>45161</v>
      </c>
      <c r="F282" s="216">
        <v>30772.66</v>
      </c>
    </row>
    <row r="283" spans="1:6" x14ac:dyDescent="0.2">
      <c r="A283" s="216" t="s">
        <v>1546</v>
      </c>
      <c r="B283" s="216" t="s">
        <v>987</v>
      </c>
      <c r="C283" s="216" t="s">
        <v>1547</v>
      </c>
      <c r="D283" s="216">
        <v>325721</v>
      </c>
      <c r="E283" s="216">
        <v>325721</v>
      </c>
      <c r="F283" s="216">
        <v>159147.06</v>
      </c>
    </row>
    <row r="284" spans="1:6" x14ac:dyDescent="0.2">
      <c r="A284" s="216" t="s">
        <v>1548</v>
      </c>
      <c r="B284" s="216" t="s">
        <v>1549</v>
      </c>
      <c r="C284" s="216" t="s">
        <v>1550</v>
      </c>
      <c r="D284" s="216">
        <v>58627</v>
      </c>
      <c r="E284" s="216">
        <v>0</v>
      </c>
      <c r="F284" s="216">
        <v>0</v>
      </c>
    </row>
    <row r="285" spans="1:6" x14ac:dyDescent="0.2">
      <c r="A285" s="216" t="s">
        <v>1551</v>
      </c>
      <c r="B285" s="216" t="s">
        <v>1044</v>
      </c>
      <c r="C285" s="216" t="s">
        <v>1552</v>
      </c>
      <c r="D285" s="216">
        <v>1308901</v>
      </c>
      <c r="E285" s="216">
        <v>1298673.22</v>
      </c>
      <c r="F285" s="216">
        <v>8087.22</v>
      </c>
    </row>
    <row r="286" spans="1:6" x14ac:dyDescent="0.2">
      <c r="A286" s="216" t="s">
        <v>1553</v>
      </c>
      <c r="B286" s="216" t="s">
        <v>1554</v>
      </c>
      <c r="C286" s="216" t="s">
        <v>1555</v>
      </c>
      <c r="D286" s="216">
        <v>18371</v>
      </c>
      <c r="E286" s="216">
        <v>0</v>
      </c>
      <c r="F286" s="216">
        <v>0</v>
      </c>
    </row>
    <row r="287" spans="1:6" x14ac:dyDescent="0.2">
      <c r="A287" s="216" t="s">
        <v>1556</v>
      </c>
      <c r="B287" s="216" t="s">
        <v>1557</v>
      </c>
      <c r="C287" s="216" t="s">
        <v>1558</v>
      </c>
      <c r="D287" s="216">
        <v>225183</v>
      </c>
      <c r="E287" s="216">
        <v>180000</v>
      </c>
      <c r="F287" s="216">
        <v>179898.4</v>
      </c>
    </row>
    <row r="288" spans="1:6" x14ac:dyDescent="0.2">
      <c r="A288" s="216" t="s">
        <v>1559</v>
      </c>
      <c r="B288" s="216" t="s">
        <v>1560</v>
      </c>
      <c r="C288" s="216" t="s">
        <v>1561</v>
      </c>
      <c r="D288" s="216">
        <v>680000</v>
      </c>
      <c r="E288" s="216">
        <v>676480</v>
      </c>
      <c r="F288" s="216">
        <v>463894.66</v>
      </c>
    </row>
    <row r="289" spans="1:6" x14ac:dyDescent="0.2">
      <c r="A289" s="216" t="s">
        <v>1562</v>
      </c>
      <c r="B289" s="216" t="s">
        <v>1563</v>
      </c>
      <c r="C289" s="216" t="s">
        <v>1564</v>
      </c>
      <c r="D289" s="216">
        <v>519111</v>
      </c>
      <c r="E289" s="216">
        <v>519111</v>
      </c>
      <c r="F289" s="216">
        <v>211182.68</v>
      </c>
    </row>
    <row r="290" spans="1:6" x14ac:dyDescent="0.2">
      <c r="A290" s="216" t="s">
        <v>1565</v>
      </c>
      <c r="B290" s="216" t="s">
        <v>1566</v>
      </c>
      <c r="C290" s="216" t="s">
        <v>1567</v>
      </c>
      <c r="D290" s="216">
        <v>206971</v>
      </c>
      <c r="E290" s="216">
        <v>206970.5</v>
      </c>
      <c r="F290" s="216">
        <v>110370.29</v>
      </c>
    </row>
    <row r="291" spans="1:6" x14ac:dyDescent="0.2">
      <c r="A291" s="216" t="s">
        <v>1568</v>
      </c>
      <c r="B291" s="216" t="s">
        <v>1569</v>
      </c>
      <c r="C291" s="216" t="s">
        <v>1570</v>
      </c>
      <c r="D291" s="216">
        <v>220496</v>
      </c>
      <c r="E291" s="216">
        <v>220392</v>
      </c>
      <c r="F291" s="216">
        <v>174510.41</v>
      </c>
    </row>
    <row r="292" spans="1:6" x14ac:dyDescent="0.2">
      <c r="A292" s="216" t="s">
        <v>1571</v>
      </c>
      <c r="B292" s="216" t="s">
        <v>1572</v>
      </c>
      <c r="C292" s="216" t="s">
        <v>1573</v>
      </c>
      <c r="D292" s="216">
        <v>129991</v>
      </c>
      <c r="E292" s="216">
        <v>129991</v>
      </c>
      <c r="F292" s="216">
        <v>129329.12</v>
      </c>
    </row>
    <row r="293" spans="1:6" x14ac:dyDescent="0.2">
      <c r="A293" s="216" t="s">
        <v>1574</v>
      </c>
      <c r="B293" s="216" t="s">
        <v>1575</v>
      </c>
      <c r="C293" s="216" t="s">
        <v>1576</v>
      </c>
      <c r="D293" s="216">
        <v>919876</v>
      </c>
      <c r="E293" s="216">
        <v>340967.6</v>
      </c>
      <c r="F293" s="216">
        <v>7840.91</v>
      </c>
    </row>
    <row r="294" spans="1:6" x14ac:dyDescent="0.2">
      <c r="A294" s="216" t="s">
        <v>1577</v>
      </c>
      <c r="B294" s="216" t="s">
        <v>1578</v>
      </c>
      <c r="C294" s="216" t="s">
        <v>1579</v>
      </c>
      <c r="D294" s="216">
        <v>24413</v>
      </c>
      <c r="E294" s="216">
        <v>23994.5</v>
      </c>
      <c r="F294" s="216">
        <v>19205.73</v>
      </c>
    </row>
    <row r="295" spans="1:6" x14ac:dyDescent="0.2">
      <c r="A295" s="216" t="s">
        <v>1580</v>
      </c>
      <c r="B295" s="216" t="s">
        <v>1581</v>
      </c>
      <c r="C295" s="216" t="s">
        <v>1582</v>
      </c>
      <c r="D295" s="216">
        <v>500000</v>
      </c>
      <c r="E295" s="216">
        <v>0</v>
      </c>
      <c r="F295" s="216">
        <v>0</v>
      </c>
    </row>
    <row r="296" spans="1:6" x14ac:dyDescent="0.2">
      <c r="A296" s="216" t="s">
        <v>1583</v>
      </c>
      <c r="B296" s="216" t="s">
        <v>1584</v>
      </c>
      <c r="C296" s="216" t="s">
        <v>1585</v>
      </c>
      <c r="D296" s="216">
        <v>123816</v>
      </c>
      <c r="E296" s="216">
        <v>123816</v>
      </c>
      <c r="F296" s="216">
        <v>113941.65</v>
      </c>
    </row>
    <row r="297" spans="1:6" x14ac:dyDescent="0.2">
      <c r="A297" s="216" t="s">
        <v>1586</v>
      </c>
      <c r="B297" s="216" t="s">
        <v>1587</v>
      </c>
      <c r="C297" s="216" t="s">
        <v>1588</v>
      </c>
      <c r="D297" s="216">
        <v>654463</v>
      </c>
      <c r="E297" s="216">
        <v>639329.5</v>
      </c>
      <c r="F297" s="216">
        <v>548829.68999999994</v>
      </c>
    </row>
    <row r="298" spans="1:6" x14ac:dyDescent="0.2">
      <c r="A298" s="216" t="s">
        <v>1589</v>
      </c>
      <c r="B298" s="216" t="s">
        <v>1590</v>
      </c>
      <c r="C298" s="216" t="s">
        <v>1591</v>
      </c>
      <c r="D298" s="216">
        <v>1175365</v>
      </c>
      <c r="E298" s="216">
        <v>285679.94</v>
      </c>
      <c r="F298" s="216">
        <v>278011.28000000003</v>
      </c>
    </row>
    <row r="299" spans="1:6" x14ac:dyDescent="0.2">
      <c r="A299" s="216" t="s">
        <v>1592</v>
      </c>
      <c r="B299" s="216" t="s">
        <v>1593</v>
      </c>
      <c r="C299" s="216" t="s">
        <v>1594</v>
      </c>
      <c r="D299" s="216">
        <v>271707</v>
      </c>
      <c r="E299" s="216">
        <v>271705.69</v>
      </c>
      <c r="F299" s="216">
        <v>270842.65999999997</v>
      </c>
    </row>
    <row r="300" spans="1:6" x14ac:dyDescent="0.2">
      <c r="A300" s="216" t="s">
        <v>1595</v>
      </c>
      <c r="B300" s="216" t="s">
        <v>1596</v>
      </c>
      <c r="C300" s="216" t="s">
        <v>1597</v>
      </c>
      <c r="D300" s="216">
        <v>392605</v>
      </c>
      <c r="E300" s="216">
        <v>337020.28</v>
      </c>
      <c r="F300" s="216">
        <v>298073.84999999998</v>
      </c>
    </row>
    <row r="301" spans="1:6" x14ac:dyDescent="0.2">
      <c r="A301" s="216" t="s">
        <v>1598</v>
      </c>
      <c r="B301" s="216" t="s">
        <v>1044</v>
      </c>
      <c r="C301" s="216" t="s">
        <v>1599</v>
      </c>
      <c r="D301" s="216">
        <v>100000</v>
      </c>
      <c r="E301" s="216">
        <v>0</v>
      </c>
      <c r="F301" s="216">
        <v>0</v>
      </c>
    </row>
    <row r="302" spans="1:6" x14ac:dyDescent="0.2">
      <c r="A302" s="216" t="s">
        <v>1600</v>
      </c>
      <c r="B302" s="216" t="s">
        <v>1601</v>
      </c>
      <c r="C302" s="216" t="s">
        <v>1602</v>
      </c>
      <c r="D302" s="216">
        <v>70059</v>
      </c>
      <c r="E302" s="216">
        <v>70057.899999999994</v>
      </c>
      <c r="F302" s="216">
        <v>70029.94</v>
      </c>
    </row>
    <row r="303" spans="1:6" x14ac:dyDescent="0.2">
      <c r="A303" s="216" t="s">
        <v>1603</v>
      </c>
      <c r="B303" s="216" t="s">
        <v>1604</v>
      </c>
      <c r="C303" s="216" t="s">
        <v>1605</v>
      </c>
      <c r="D303" s="216">
        <v>100785</v>
      </c>
      <c r="E303" s="216">
        <v>100589.42</v>
      </c>
      <c r="F303" s="216">
        <v>88974.89</v>
      </c>
    </row>
    <row r="304" spans="1:6" x14ac:dyDescent="0.2">
      <c r="A304" s="216" t="s">
        <v>1606</v>
      </c>
      <c r="B304" s="216" t="s">
        <v>1607</v>
      </c>
      <c r="C304" s="216" t="s">
        <v>1608</v>
      </c>
      <c r="D304" s="216">
        <v>61500</v>
      </c>
      <c r="E304" s="216">
        <v>59000</v>
      </c>
      <c r="F304" s="216">
        <v>0</v>
      </c>
    </row>
    <row r="305" spans="1:6" x14ac:dyDescent="0.2">
      <c r="A305" s="216" t="s">
        <v>1609</v>
      </c>
      <c r="B305" s="216" t="s">
        <v>1610</v>
      </c>
      <c r="C305" s="216" t="s">
        <v>1611</v>
      </c>
      <c r="D305" s="216">
        <v>62000</v>
      </c>
      <c r="E305" s="216">
        <v>61766.67</v>
      </c>
      <c r="F305" s="216">
        <v>0</v>
      </c>
    </row>
    <row r="306" spans="1:6" x14ac:dyDescent="0.2">
      <c r="A306" s="216" t="s">
        <v>1612</v>
      </c>
      <c r="B306" s="216" t="s">
        <v>1613</v>
      </c>
      <c r="C306" s="216" t="s">
        <v>1614</v>
      </c>
      <c r="D306" s="216">
        <v>63755</v>
      </c>
      <c r="E306" s="216">
        <v>60139.48</v>
      </c>
      <c r="F306" s="216">
        <v>2139.48</v>
      </c>
    </row>
    <row r="307" spans="1:6" x14ac:dyDescent="0.2">
      <c r="A307" s="216" t="s">
        <v>1615</v>
      </c>
      <c r="B307" s="216" t="s">
        <v>1616</v>
      </c>
      <c r="C307" s="216" t="s">
        <v>1617</v>
      </c>
      <c r="D307" s="216">
        <v>65438</v>
      </c>
      <c r="E307" s="216">
        <v>59650</v>
      </c>
      <c r="F307" s="216">
        <v>0</v>
      </c>
    </row>
    <row r="308" spans="1:6" x14ac:dyDescent="0.2">
      <c r="A308" s="216" t="s">
        <v>1618</v>
      </c>
      <c r="B308" s="216" t="s">
        <v>1619</v>
      </c>
      <c r="C308" s="216" t="s">
        <v>1620</v>
      </c>
      <c r="D308" s="216">
        <v>61200</v>
      </c>
      <c r="E308" s="216">
        <v>59150</v>
      </c>
      <c r="F308" s="216">
        <v>59150</v>
      </c>
    </row>
    <row r="309" spans="1:6" x14ac:dyDescent="0.2">
      <c r="A309" s="216" t="s">
        <v>1621</v>
      </c>
      <c r="B309" s="216" t="s">
        <v>1622</v>
      </c>
      <c r="C309" s="216" t="s">
        <v>1623</v>
      </c>
      <c r="D309" s="216">
        <v>5365</v>
      </c>
      <c r="E309" s="216">
        <v>5364</v>
      </c>
      <c r="F309" s="216">
        <v>5364</v>
      </c>
    </row>
    <row r="310" spans="1:6" x14ac:dyDescent="0.2">
      <c r="A310" s="216" t="s">
        <v>1624</v>
      </c>
      <c r="B310" s="216" t="s">
        <v>1625</v>
      </c>
      <c r="C310" s="216" t="s">
        <v>1626</v>
      </c>
      <c r="D310" s="216">
        <v>2936</v>
      </c>
      <c r="E310" s="216">
        <v>2936</v>
      </c>
      <c r="F310" s="216">
        <v>2936</v>
      </c>
    </row>
    <row r="311" spans="1:6" x14ac:dyDescent="0.2">
      <c r="A311" s="216" t="s">
        <v>1627</v>
      </c>
      <c r="B311" s="216" t="s">
        <v>1628</v>
      </c>
      <c r="C311" s="216" t="s">
        <v>1629</v>
      </c>
      <c r="D311" s="216">
        <v>10692</v>
      </c>
      <c r="E311" s="216">
        <v>10691.76</v>
      </c>
      <c r="F311" s="216">
        <v>10691.76</v>
      </c>
    </row>
    <row r="312" spans="1:6" x14ac:dyDescent="0.2">
      <c r="A312" s="216" t="s">
        <v>1630</v>
      </c>
      <c r="B312" s="216" t="s">
        <v>1631</v>
      </c>
      <c r="C312" s="216" t="s">
        <v>1632</v>
      </c>
      <c r="D312" s="216">
        <v>7816</v>
      </c>
      <c r="E312" s="216">
        <v>4500</v>
      </c>
      <c r="F312" s="216">
        <v>3000</v>
      </c>
    </row>
    <row r="313" spans="1:6" x14ac:dyDescent="0.2">
      <c r="A313" s="216" t="s">
        <v>1633</v>
      </c>
      <c r="B313" s="216" t="s">
        <v>1634</v>
      </c>
      <c r="C313" s="216" t="s">
        <v>1635</v>
      </c>
      <c r="D313" s="216">
        <v>3546</v>
      </c>
      <c r="E313" s="216">
        <v>3546</v>
      </c>
      <c r="F313" s="216">
        <v>3546</v>
      </c>
    </row>
    <row r="314" spans="1:6" x14ac:dyDescent="0.2">
      <c r="A314" s="216" t="s">
        <v>1636</v>
      </c>
      <c r="B314" s="216" t="s">
        <v>1637</v>
      </c>
      <c r="C314" s="216" t="s">
        <v>1638</v>
      </c>
      <c r="D314" s="216">
        <v>2555</v>
      </c>
      <c r="E314" s="216">
        <v>2550</v>
      </c>
      <c r="F314" s="216">
        <v>2550</v>
      </c>
    </row>
    <row r="315" spans="1:6" x14ac:dyDescent="0.2">
      <c r="A315" s="216" t="s">
        <v>1639</v>
      </c>
      <c r="B315" s="216" t="s">
        <v>1640</v>
      </c>
      <c r="C315" s="216" t="s">
        <v>1641</v>
      </c>
      <c r="D315" s="216">
        <v>73376</v>
      </c>
      <c r="E315" s="216">
        <v>69875.75</v>
      </c>
      <c r="F315" s="216">
        <v>69875.75</v>
      </c>
    </row>
    <row r="316" spans="1:6" x14ac:dyDescent="0.2">
      <c r="A316" s="216" t="s">
        <v>1642</v>
      </c>
      <c r="B316" s="216" t="s">
        <v>1643</v>
      </c>
      <c r="C316" s="216" t="s">
        <v>1644</v>
      </c>
      <c r="D316" s="216">
        <v>54964</v>
      </c>
      <c r="E316" s="216">
        <v>1977.5</v>
      </c>
      <c r="F316" s="216">
        <v>1977.5</v>
      </c>
    </row>
    <row r="317" spans="1:6" x14ac:dyDescent="0.2">
      <c r="A317" s="216" t="s">
        <v>1645</v>
      </c>
      <c r="B317" s="216" t="s">
        <v>1646</v>
      </c>
      <c r="C317" s="216" t="s">
        <v>1647</v>
      </c>
      <c r="D317" s="216">
        <v>73915</v>
      </c>
      <c r="E317" s="216">
        <v>71560</v>
      </c>
      <c r="F317" s="216">
        <v>69710</v>
      </c>
    </row>
    <row r="318" spans="1:6" x14ac:dyDescent="0.2">
      <c r="A318" s="216" t="s">
        <v>1648</v>
      </c>
      <c r="B318" s="216" t="s">
        <v>1649</v>
      </c>
      <c r="C318" s="216" t="s">
        <v>1650</v>
      </c>
      <c r="D318" s="216">
        <v>5098</v>
      </c>
      <c r="E318" s="216">
        <v>5097</v>
      </c>
      <c r="F318" s="216">
        <v>5097</v>
      </c>
    </row>
    <row r="319" spans="1:6" x14ac:dyDescent="0.2">
      <c r="A319" s="216" t="s">
        <v>1651</v>
      </c>
      <c r="B319" s="216" t="s">
        <v>1652</v>
      </c>
      <c r="C319" s="216" t="s">
        <v>1653</v>
      </c>
      <c r="D319" s="216">
        <v>4800</v>
      </c>
      <c r="E319" s="216">
        <v>4800</v>
      </c>
      <c r="F319" s="216">
        <v>4800</v>
      </c>
    </row>
    <row r="320" spans="1:6" x14ac:dyDescent="0.2">
      <c r="A320" s="216" t="s">
        <v>1654</v>
      </c>
      <c r="B320" s="216" t="s">
        <v>1655</v>
      </c>
      <c r="C320" s="216" t="s">
        <v>1656</v>
      </c>
      <c r="D320" s="216">
        <v>12800</v>
      </c>
      <c r="E320" s="216">
        <v>12800</v>
      </c>
      <c r="F320" s="216">
        <v>12800</v>
      </c>
    </row>
    <row r="321" spans="1:6" x14ac:dyDescent="0.2">
      <c r="A321" s="216" t="s">
        <v>1657</v>
      </c>
      <c r="B321" s="216" t="s">
        <v>1658</v>
      </c>
      <c r="C321" s="216" t="s">
        <v>1659</v>
      </c>
      <c r="D321" s="216">
        <v>179500</v>
      </c>
      <c r="E321" s="216">
        <v>163750</v>
      </c>
      <c r="F321" s="216">
        <v>3750</v>
      </c>
    </row>
    <row r="322" spans="1:6" x14ac:dyDescent="0.2">
      <c r="A322" s="216" t="s">
        <v>1660</v>
      </c>
      <c r="B322" s="216" t="s">
        <v>1661</v>
      </c>
      <c r="C322" s="216" t="s">
        <v>1662</v>
      </c>
      <c r="D322" s="216">
        <v>57400</v>
      </c>
      <c r="E322" s="216">
        <v>57400</v>
      </c>
      <c r="F322" s="216">
        <v>57400</v>
      </c>
    </row>
    <row r="323" spans="1:6" x14ac:dyDescent="0.2">
      <c r="A323" s="216" t="s">
        <v>1663</v>
      </c>
      <c r="B323" s="216" t="s">
        <v>1664</v>
      </c>
      <c r="C323" s="216" t="s">
        <v>1665</v>
      </c>
      <c r="D323" s="216">
        <v>5898</v>
      </c>
      <c r="E323" s="216">
        <v>5898</v>
      </c>
      <c r="F323" s="216">
        <v>5898</v>
      </c>
    </row>
    <row r="324" spans="1:6" x14ac:dyDescent="0.2">
      <c r="A324" s="216" t="s">
        <v>1666</v>
      </c>
      <c r="B324" s="216" t="s">
        <v>1667</v>
      </c>
      <c r="C324" s="216" t="s">
        <v>1668</v>
      </c>
      <c r="D324" s="216">
        <v>3000</v>
      </c>
      <c r="E324" s="216">
        <v>3000</v>
      </c>
      <c r="F324" s="216">
        <v>3000</v>
      </c>
    </row>
    <row r="325" spans="1:6" x14ac:dyDescent="0.2">
      <c r="A325" s="216" t="s">
        <v>1669</v>
      </c>
      <c r="B325" s="216" t="s">
        <v>1670</v>
      </c>
      <c r="C325" s="216" t="s">
        <v>1671</v>
      </c>
      <c r="D325" s="216">
        <v>87790</v>
      </c>
      <c r="E325" s="216">
        <v>87438</v>
      </c>
      <c r="F325" s="216">
        <v>77990</v>
      </c>
    </row>
    <row r="326" spans="1:6" x14ac:dyDescent="0.2">
      <c r="A326" s="216" t="s">
        <v>1672</v>
      </c>
      <c r="B326" s="216" t="s">
        <v>1673</v>
      </c>
      <c r="C326" s="216" t="s">
        <v>1674</v>
      </c>
      <c r="D326" s="216">
        <v>83160</v>
      </c>
      <c r="E326" s="216">
        <v>83160</v>
      </c>
      <c r="F326" s="216">
        <v>83100.399999999994</v>
      </c>
    </row>
    <row r="327" spans="1:6" x14ac:dyDescent="0.2">
      <c r="A327" s="216" t="s">
        <v>1675</v>
      </c>
      <c r="B327" s="216" t="s">
        <v>1676</v>
      </c>
      <c r="C327" s="216" t="s">
        <v>1677</v>
      </c>
      <c r="D327" s="216">
        <v>335890</v>
      </c>
      <c r="E327" s="216">
        <v>314900</v>
      </c>
      <c r="F327" s="216">
        <v>0</v>
      </c>
    </row>
    <row r="328" spans="1:6" x14ac:dyDescent="0.2">
      <c r="A328" s="216" t="s">
        <v>1678</v>
      </c>
      <c r="B328" s="216" t="s">
        <v>1679</v>
      </c>
      <c r="C328" s="216" t="s">
        <v>1680</v>
      </c>
      <c r="D328" s="216">
        <v>175166</v>
      </c>
      <c r="E328" s="216">
        <v>166872</v>
      </c>
      <c r="F328" s="216">
        <v>5872</v>
      </c>
    </row>
    <row r="329" spans="1:6" x14ac:dyDescent="0.2">
      <c r="A329" s="216" t="s">
        <v>1681</v>
      </c>
      <c r="B329" s="216" t="s">
        <v>1682</v>
      </c>
      <c r="C329" s="216" t="s">
        <v>1683</v>
      </c>
      <c r="D329" s="216">
        <v>14715</v>
      </c>
      <c r="E329" s="216">
        <v>14714</v>
      </c>
      <c r="F329" s="216">
        <v>14714</v>
      </c>
    </row>
    <row r="330" spans="1:6" x14ac:dyDescent="0.2">
      <c r="A330" s="216" t="s">
        <v>1684</v>
      </c>
      <c r="B330" s="216" t="s">
        <v>1685</v>
      </c>
      <c r="C330" s="216" t="s">
        <v>1686</v>
      </c>
      <c r="D330" s="216">
        <v>157066</v>
      </c>
      <c r="E330" s="216">
        <v>157066</v>
      </c>
      <c r="F330" s="216">
        <v>157066</v>
      </c>
    </row>
    <row r="331" spans="1:6" x14ac:dyDescent="0.2">
      <c r="A331" s="216" t="s">
        <v>1687</v>
      </c>
      <c r="B331" s="216" t="s">
        <v>1688</v>
      </c>
      <c r="C331" s="216" t="s">
        <v>1689</v>
      </c>
      <c r="D331" s="216">
        <v>209400</v>
      </c>
      <c r="E331" s="216">
        <v>176550</v>
      </c>
      <c r="F331" s="216">
        <v>136550</v>
      </c>
    </row>
    <row r="332" spans="1:6" x14ac:dyDescent="0.2">
      <c r="A332" s="216" t="s">
        <v>1690</v>
      </c>
      <c r="B332" s="216" t="s">
        <v>1691</v>
      </c>
      <c r="C332" s="216" t="s">
        <v>1692</v>
      </c>
      <c r="D332" s="216">
        <v>167074</v>
      </c>
      <c r="E332" s="216">
        <v>63765.14</v>
      </c>
      <c r="F332" s="216">
        <v>62264.09</v>
      </c>
    </row>
    <row r="333" spans="1:6" x14ac:dyDescent="0.2">
      <c r="A333" s="216" t="s">
        <v>1693</v>
      </c>
      <c r="B333" s="216" t="s">
        <v>1694</v>
      </c>
      <c r="C333" s="216" t="s">
        <v>1695</v>
      </c>
      <c r="D333" s="216">
        <v>2967206</v>
      </c>
      <c r="E333" s="216">
        <v>2958279.03</v>
      </c>
      <c r="F333" s="216">
        <v>886710.64</v>
      </c>
    </row>
    <row r="334" spans="1:6" x14ac:dyDescent="0.2">
      <c r="A334" s="216" t="s">
        <v>1696</v>
      </c>
      <c r="B334" s="216" t="s">
        <v>1697</v>
      </c>
      <c r="C334" s="216" t="s">
        <v>1698</v>
      </c>
      <c r="D334" s="216">
        <v>2040218</v>
      </c>
      <c r="E334" s="216">
        <v>2014066.28</v>
      </c>
      <c r="F334" s="216">
        <v>153737.13</v>
      </c>
    </row>
    <row r="335" spans="1:6" x14ac:dyDescent="0.2">
      <c r="A335" s="216" t="s">
        <v>1699</v>
      </c>
      <c r="B335" s="216" t="s">
        <v>1700</v>
      </c>
      <c r="C335" s="216" t="s">
        <v>1701</v>
      </c>
      <c r="D335" s="216">
        <v>159946</v>
      </c>
      <c r="E335" s="216">
        <v>154011</v>
      </c>
      <c r="F335" s="216">
        <v>60441</v>
      </c>
    </row>
    <row r="336" spans="1:6" x14ac:dyDescent="0.2">
      <c r="A336" s="216" t="s">
        <v>1702</v>
      </c>
      <c r="B336" s="216" t="s">
        <v>1703</v>
      </c>
      <c r="C336" s="216" t="s">
        <v>1704</v>
      </c>
      <c r="D336" s="216">
        <v>159547</v>
      </c>
      <c r="E336" s="216">
        <v>154167</v>
      </c>
      <c r="F336" s="216">
        <v>116817</v>
      </c>
    </row>
    <row r="337" spans="1:6" x14ac:dyDescent="0.2">
      <c r="A337" s="216" t="s">
        <v>1705</v>
      </c>
      <c r="B337" s="216" t="s">
        <v>1706</v>
      </c>
      <c r="C337" s="216" t="s">
        <v>1707</v>
      </c>
      <c r="D337" s="216">
        <v>158642</v>
      </c>
      <c r="E337" s="216">
        <v>78147.62</v>
      </c>
      <c r="F337" s="216">
        <v>0</v>
      </c>
    </row>
    <row r="338" spans="1:6" x14ac:dyDescent="0.2">
      <c r="A338" s="216" t="s">
        <v>1708</v>
      </c>
      <c r="B338" s="216" t="s">
        <v>1709</v>
      </c>
      <c r="C338" s="216" t="s">
        <v>1710</v>
      </c>
      <c r="D338" s="216">
        <v>159345</v>
      </c>
      <c r="E338" s="216">
        <v>150543</v>
      </c>
      <c r="F338" s="216">
        <v>150263</v>
      </c>
    </row>
    <row r="339" spans="1:6" x14ac:dyDescent="0.2">
      <c r="A339" s="216" t="s">
        <v>1711</v>
      </c>
      <c r="B339" s="216" t="s">
        <v>1712</v>
      </c>
      <c r="C339" s="216" t="s">
        <v>1713</v>
      </c>
      <c r="D339" s="216">
        <v>269980</v>
      </c>
      <c r="E339" s="216">
        <v>259749</v>
      </c>
      <c r="F339" s="216">
        <v>255066</v>
      </c>
    </row>
    <row r="340" spans="1:6" x14ac:dyDescent="0.2">
      <c r="A340" s="216" t="s">
        <v>1714</v>
      </c>
      <c r="B340" s="216" t="s">
        <v>1715</v>
      </c>
      <c r="C340" s="216" t="s">
        <v>1716</v>
      </c>
      <c r="D340" s="216">
        <v>159352</v>
      </c>
      <c r="E340" s="216">
        <v>154000</v>
      </c>
      <c r="F340" s="216">
        <v>150220</v>
      </c>
    </row>
    <row r="341" spans="1:6" x14ac:dyDescent="0.2">
      <c r="A341" s="216" t="s">
        <v>1717</v>
      </c>
      <c r="B341" s="216" t="s">
        <v>1718</v>
      </c>
      <c r="C341" s="216" t="s">
        <v>1719</v>
      </c>
      <c r="D341" s="216">
        <v>159613</v>
      </c>
      <c r="E341" s="216">
        <v>149133.25</v>
      </c>
      <c r="F341" s="216">
        <v>7133.25</v>
      </c>
    </row>
    <row r="342" spans="1:6" x14ac:dyDescent="0.2">
      <c r="A342" s="216" t="s">
        <v>1720</v>
      </c>
      <c r="B342" s="216" t="s">
        <v>1721</v>
      </c>
      <c r="C342" s="216" t="s">
        <v>1722</v>
      </c>
      <c r="D342" s="216">
        <v>159555</v>
      </c>
      <c r="E342" s="216">
        <v>132645</v>
      </c>
      <c r="F342" s="216">
        <v>100745</v>
      </c>
    </row>
    <row r="343" spans="1:6" x14ac:dyDescent="0.2">
      <c r="A343" s="216" t="s">
        <v>1723</v>
      </c>
      <c r="B343" s="216" t="s">
        <v>1724</v>
      </c>
      <c r="C343" s="216" t="s">
        <v>1725</v>
      </c>
      <c r="D343" s="216">
        <v>154799</v>
      </c>
      <c r="E343" s="216">
        <v>147492</v>
      </c>
      <c r="F343" s="216">
        <v>143262</v>
      </c>
    </row>
    <row r="344" spans="1:6" x14ac:dyDescent="0.2">
      <c r="A344" s="216" t="s">
        <v>1726</v>
      </c>
      <c r="B344" s="216" t="s">
        <v>1727</v>
      </c>
      <c r="C344" s="216" t="s">
        <v>1728</v>
      </c>
      <c r="D344" s="216">
        <v>160000</v>
      </c>
      <c r="E344" s="216">
        <v>143401</v>
      </c>
      <c r="F344" s="216">
        <v>143401</v>
      </c>
    </row>
    <row r="345" spans="1:6" x14ac:dyDescent="0.2">
      <c r="A345" s="216" t="s">
        <v>1729</v>
      </c>
      <c r="B345" s="216" t="s">
        <v>1730</v>
      </c>
      <c r="C345" s="216" t="s">
        <v>1731</v>
      </c>
      <c r="D345" s="216">
        <v>160000</v>
      </c>
      <c r="E345" s="216">
        <v>149840</v>
      </c>
      <c r="F345" s="216">
        <v>18740</v>
      </c>
    </row>
    <row r="346" spans="1:6" x14ac:dyDescent="0.2">
      <c r="A346" s="216" t="s">
        <v>1732</v>
      </c>
      <c r="B346" s="216" t="s">
        <v>1733</v>
      </c>
      <c r="C346" s="216" t="s">
        <v>1734</v>
      </c>
      <c r="D346" s="216">
        <v>349792</v>
      </c>
      <c r="E346" s="216">
        <v>321500</v>
      </c>
      <c r="F346" s="216">
        <v>0</v>
      </c>
    </row>
    <row r="347" spans="1:6" x14ac:dyDescent="0.2">
      <c r="A347" s="216" t="s">
        <v>1735</v>
      </c>
      <c r="B347" s="216" t="s">
        <v>1736</v>
      </c>
      <c r="C347" s="216" t="s">
        <v>1737</v>
      </c>
      <c r="D347" s="216">
        <v>155278</v>
      </c>
      <c r="E347" s="216">
        <v>149541</v>
      </c>
      <c r="F347" s="216">
        <v>113190</v>
      </c>
    </row>
    <row r="348" spans="1:6" x14ac:dyDescent="0.2">
      <c r="A348" s="216" t="s">
        <v>1738</v>
      </c>
      <c r="B348" s="216" t="s">
        <v>1739</v>
      </c>
      <c r="C348" s="216" t="s">
        <v>1740</v>
      </c>
      <c r="D348" s="216">
        <v>159890</v>
      </c>
      <c r="E348" s="216">
        <v>150349</v>
      </c>
      <c r="F348" s="216">
        <v>5349</v>
      </c>
    </row>
    <row r="349" spans="1:6" x14ac:dyDescent="0.2">
      <c r="A349" s="216" t="s">
        <v>1741</v>
      </c>
      <c r="B349" s="216" t="s">
        <v>1742</v>
      </c>
      <c r="C349" s="216" t="s">
        <v>1743</v>
      </c>
      <c r="D349" s="216">
        <v>160000</v>
      </c>
      <c r="E349" s="216">
        <v>148990</v>
      </c>
      <c r="F349" s="216">
        <v>26000</v>
      </c>
    </row>
    <row r="350" spans="1:6" x14ac:dyDescent="0.2">
      <c r="A350" s="216" t="s">
        <v>1744</v>
      </c>
      <c r="B350" s="216" t="s">
        <v>1745</v>
      </c>
      <c r="C350" s="216" t="s">
        <v>1746</v>
      </c>
      <c r="D350" s="216">
        <v>159321</v>
      </c>
      <c r="E350" s="216">
        <v>152810</v>
      </c>
      <c r="F350" s="216">
        <v>130010</v>
      </c>
    </row>
    <row r="351" spans="1:6" x14ac:dyDescent="0.2">
      <c r="A351" s="216" t="s">
        <v>1747</v>
      </c>
      <c r="B351" s="216" t="s">
        <v>1748</v>
      </c>
      <c r="C351" s="216" t="s">
        <v>1749</v>
      </c>
      <c r="D351" s="216">
        <v>160000</v>
      </c>
      <c r="E351" s="216">
        <v>0</v>
      </c>
      <c r="F351" s="216">
        <v>0</v>
      </c>
    </row>
    <row r="352" spans="1:6" x14ac:dyDescent="0.2">
      <c r="A352" s="216" t="s">
        <v>1750</v>
      </c>
      <c r="B352" s="216" t="s">
        <v>1751</v>
      </c>
      <c r="C352" s="216" t="s">
        <v>1752</v>
      </c>
      <c r="D352" s="216">
        <v>146532</v>
      </c>
      <c r="E352" s="216">
        <v>140645</v>
      </c>
      <c r="F352" s="216">
        <v>109445</v>
      </c>
    </row>
    <row r="353" spans="1:6" x14ac:dyDescent="0.2">
      <c r="A353" s="216" t="s">
        <v>1753</v>
      </c>
      <c r="B353" s="216" t="s">
        <v>1754</v>
      </c>
      <c r="C353" s="216" t="s">
        <v>1755</v>
      </c>
      <c r="D353" s="216">
        <v>155656</v>
      </c>
      <c r="E353" s="216">
        <v>151053</v>
      </c>
      <c r="F353" s="216">
        <v>0</v>
      </c>
    </row>
    <row r="354" spans="1:6" x14ac:dyDescent="0.2">
      <c r="A354" s="216" t="s">
        <v>1756</v>
      </c>
      <c r="B354" s="216" t="s">
        <v>1757</v>
      </c>
      <c r="C354" s="216" t="s">
        <v>1758</v>
      </c>
      <c r="D354" s="216">
        <v>159060</v>
      </c>
      <c r="E354" s="216">
        <v>151725</v>
      </c>
      <c r="F354" s="216">
        <v>124900</v>
      </c>
    </row>
    <row r="355" spans="1:6" x14ac:dyDescent="0.2">
      <c r="A355" s="216" t="s">
        <v>1759</v>
      </c>
      <c r="B355" s="216" t="s">
        <v>1760</v>
      </c>
      <c r="C355" s="216" t="s">
        <v>1761</v>
      </c>
      <c r="D355" s="216">
        <v>159862</v>
      </c>
      <c r="E355" s="216">
        <v>86882.5</v>
      </c>
      <c r="F355" s="216">
        <v>86872.5</v>
      </c>
    </row>
    <row r="356" spans="1:6" x14ac:dyDescent="0.2">
      <c r="A356" s="216" t="s">
        <v>1762</v>
      </c>
      <c r="B356" s="216" t="s">
        <v>1763</v>
      </c>
      <c r="C356" s="216" t="s">
        <v>1764</v>
      </c>
      <c r="D356" s="216">
        <v>160000</v>
      </c>
      <c r="E356" s="216">
        <v>150870</v>
      </c>
      <c r="F356" s="216">
        <v>45270</v>
      </c>
    </row>
    <row r="357" spans="1:6" x14ac:dyDescent="0.2">
      <c r="A357" s="216" t="s">
        <v>1765</v>
      </c>
      <c r="B357" s="216" t="s">
        <v>1766</v>
      </c>
      <c r="C357" s="216" t="s">
        <v>1767</v>
      </c>
      <c r="D357" s="216">
        <v>157300</v>
      </c>
      <c r="E357" s="216">
        <v>149830</v>
      </c>
      <c r="F357" s="216">
        <v>149790</v>
      </c>
    </row>
    <row r="358" spans="1:6" x14ac:dyDescent="0.2">
      <c r="A358" s="216" t="s">
        <v>1768</v>
      </c>
      <c r="B358" s="216" t="s">
        <v>1769</v>
      </c>
      <c r="C358" s="216" t="s">
        <v>1770</v>
      </c>
      <c r="D358" s="216">
        <v>159720</v>
      </c>
      <c r="E358" s="216">
        <v>152944</v>
      </c>
      <c r="F358" s="216">
        <v>146395</v>
      </c>
    </row>
    <row r="359" spans="1:6" x14ac:dyDescent="0.2">
      <c r="A359" s="216" t="s">
        <v>1771</v>
      </c>
      <c r="B359" s="216" t="s">
        <v>1772</v>
      </c>
      <c r="C359" s="216" t="s">
        <v>1773</v>
      </c>
      <c r="D359" s="216">
        <v>160000</v>
      </c>
      <c r="E359" s="216">
        <v>151322</v>
      </c>
      <c r="F359" s="216">
        <v>96322</v>
      </c>
    </row>
    <row r="360" spans="1:6" x14ac:dyDescent="0.2">
      <c r="A360" s="216" t="s">
        <v>1774</v>
      </c>
      <c r="B360" s="216" t="s">
        <v>1775</v>
      </c>
      <c r="C360" s="216" t="s">
        <v>1776</v>
      </c>
      <c r="D360" s="216">
        <v>349792</v>
      </c>
      <c r="E360" s="216">
        <v>329100</v>
      </c>
      <c r="F360" s="216">
        <v>0</v>
      </c>
    </row>
    <row r="361" spans="1:6" x14ac:dyDescent="0.2">
      <c r="A361" s="216" t="s">
        <v>1777</v>
      </c>
      <c r="B361" s="216" t="s">
        <v>1778</v>
      </c>
      <c r="C361" s="216" t="s">
        <v>1779</v>
      </c>
      <c r="D361" s="216">
        <v>159007</v>
      </c>
      <c r="E361" s="216">
        <v>49260</v>
      </c>
      <c r="F361" s="216">
        <v>49260</v>
      </c>
    </row>
    <row r="362" spans="1:6" x14ac:dyDescent="0.2">
      <c r="A362" s="216" t="s">
        <v>1780</v>
      </c>
      <c r="B362" s="216" t="s">
        <v>1781</v>
      </c>
      <c r="C362" s="216" t="s">
        <v>1782</v>
      </c>
      <c r="D362" s="216">
        <v>158892</v>
      </c>
      <c r="E362" s="216">
        <v>146558.5</v>
      </c>
      <c r="F362" s="216">
        <v>97358.5</v>
      </c>
    </row>
    <row r="363" spans="1:6" x14ac:dyDescent="0.2">
      <c r="A363" s="216" t="s">
        <v>1783</v>
      </c>
      <c r="B363" s="216" t="s">
        <v>1784</v>
      </c>
      <c r="C363" s="216" t="s">
        <v>1785</v>
      </c>
      <c r="D363" s="216">
        <v>159876</v>
      </c>
      <c r="E363" s="216">
        <v>122810</v>
      </c>
      <c r="F363" s="216">
        <v>113200</v>
      </c>
    </row>
    <row r="364" spans="1:6" x14ac:dyDescent="0.2">
      <c r="A364" s="216" t="s">
        <v>1786</v>
      </c>
      <c r="B364" s="216" t="s">
        <v>1787</v>
      </c>
      <c r="C364" s="216" t="s">
        <v>1788</v>
      </c>
      <c r="D364" s="216">
        <v>160000</v>
      </c>
      <c r="E364" s="216">
        <v>145570.62</v>
      </c>
      <c r="F364" s="216">
        <v>10545</v>
      </c>
    </row>
    <row r="365" spans="1:6" x14ac:dyDescent="0.2">
      <c r="A365" s="216" t="s">
        <v>1789</v>
      </c>
      <c r="B365" s="216" t="s">
        <v>1790</v>
      </c>
      <c r="C365" s="216" t="s">
        <v>1791</v>
      </c>
      <c r="D365" s="216">
        <v>349899</v>
      </c>
      <c r="E365" s="216">
        <v>307070</v>
      </c>
      <c r="F365" s="216">
        <v>10500</v>
      </c>
    </row>
    <row r="366" spans="1:6" x14ac:dyDescent="0.2">
      <c r="A366" s="216" t="s">
        <v>1792</v>
      </c>
      <c r="B366" s="216" t="s">
        <v>1793</v>
      </c>
      <c r="C366" s="216" t="s">
        <v>1794</v>
      </c>
      <c r="D366" s="216">
        <v>158527</v>
      </c>
      <c r="E366" s="216">
        <v>152744</v>
      </c>
      <c r="F366" s="216">
        <v>146576</v>
      </c>
    </row>
    <row r="367" spans="1:6" x14ac:dyDescent="0.2">
      <c r="A367" s="216" t="s">
        <v>1795</v>
      </c>
      <c r="B367" s="216" t="s">
        <v>1796</v>
      </c>
      <c r="C367" s="216" t="s">
        <v>1797</v>
      </c>
      <c r="D367" s="216">
        <v>158640</v>
      </c>
      <c r="E367" s="216">
        <v>136115</v>
      </c>
      <c r="F367" s="216">
        <v>43095</v>
      </c>
    </row>
    <row r="368" spans="1:6" x14ac:dyDescent="0.2">
      <c r="A368" s="216" t="s">
        <v>1798</v>
      </c>
      <c r="B368" s="216" t="s">
        <v>1799</v>
      </c>
      <c r="C368" s="216" t="s">
        <v>1800</v>
      </c>
      <c r="D368" s="216">
        <v>159041</v>
      </c>
      <c r="E368" s="216">
        <v>146000</v>
      </c>
      <c r="F368" s="216">
        <v>139000</v>
      </c>
    </row>
    <row r="369" spans="1:6" x14ac:dyDescent="0.2">
      <c r="A369" s="216" t="s">
        <v>1801</v>
      </c>
      <c r="B369" s="216" t="s">
        <v>1802</v>
      </c>
      <c r="C369" s="216" t="s">
        <v>1803</v>
      </c>
      <c r="D369" s="216">
        <v>349792</v>
      </c>
      <c r="E369" s="216">
        <v>325833.33</v>
      </c>
      <c r="F369" s="216">
        <v>0</v>
      </c>
    </row>
    <row r="370" spans="1:6" x14ac:dyDescent="0.2">
      <c r="A370" s="216" t="s">
        <v>1804</v>
      </c>
      <c r="B370" s="216" t="s">
        <v>1805</v>
      </c>
      <c r="C370" s="216" t="s">
        <v>1806</v>
      </c>
      <c r="D370" s="216">
        <v>350000</v>
      </c>
      <c r="E370" s="216">
        <v>334060</v>
      </c>
      <c r="F370" s="216">
        <v>65360</v>
      </c>
    </row>
    <row r="371" spans="1:6" x14ac:dyDescent="0.2">
      <c r="A371" s="216" t="s">
        <v>1807</v>
      </c>
      <c r="B371" s="216" t="s">
        <v>1808</v>
      </c>
      <c r="C371" s="216" t="s">
        <v>1809</v>
      </c>
      <c r="D371" s="216">
        <v>159584</v>
      </c>
      <c r="E371" s="216">
        <v>152800</v>
      </c>
      <c r="F371" s="216">
        <v>152800</v>
      </c>
    </row>
    <row r="372" spans="1:6" x14ac:dyDescent="0.2">
      <c r="A372" s="216" t="s">
        <v>1810</v>
      </c>
      <c r="B372" s="216" t="s">
        <v>1811</v>
      </c>
      <c r="C372" s="216" t="s">
        <v>1812</v>
      </c>
      <c r="D372" s="216">
        <v>160000</v>
      </c>
      <c r="E372" s="216">
        <v>154450</v>
      </c>
      <c r="F372" s="216">
        <v>129270</v>
      </c>
    </row>
    <row r="373" spans="1:6" x14ac:dyDescent="0.2">
      <c r="A373" s="216" t="s">
        <v>1813</v>
      </c>
      <c r="B373" s="216" t="s">
        <v>1814</v>
      </c>
      <c r="C373" s="216" t="s">
        <v>1815</v>
      </c>
      <c r="D373" s="216">
        <v>346711</v>
      </c>
      <c r="E373" s="216">
        <v>318955</v>
      </c>
      <c r="F373" s="216">
        <v>112190</v>
      </c>
    </row>
    <row r="374" spans="1:6" x14ac:dyDescent="0.2">
      <c r="A374" s="216" t="s">
        <v>1816</v>
      </c>
      <c r="B374" s="216" t="s">
        <v>1817</v>
      </c>
      <c r="C374" s="216" t="s">
        <v>1818</v>
      </c>
      <c r="D374" s="216">
        <v>159830</v>
      </c>
      <c r="E374" s="216">
        <v>152085</v>
      </c>
      <c r="F374" s="216">
        <v>97085</v>
      </c>
    </row>
    <row r="375" spans="1:6" x14ac:dyDescent="0.2">
      <c r="A375" s="216" t="s">
        <v>1819</v>
      </c>
      <c r="B375" s="216" t="s">
        <v>1820</v>
      </c>
      <c r="C375" s="216" t="s">
        <v>1821</v>
      </c>
      <c r="D375" s="216">
        <v>160000</v>
      </c>
      <c r="E375" s="216">
        <v>146000</v>
      </c>
      <c r="F375" s="216">
        <v>2000</v>
      </c>
    </row>
    <row r="376" spans="1:6" x14ac:dyDescent="0.2">
      <c r="A376" s="216" t="s">
        <v>1822</v>
      </c>
      <c r="B376" s="216" t="s">
        <v>1823</v>
      </c>
      <c r="C376" s="216" t="s">
        <v>1824</v>
      </c>
      <c r="D376" s="216">
        <v>349950</v>
      </c>
      <c r="E376" s="216">
        <v>287705</v>
      </c>
      <c r="F376" s="216">
        <v>136062</v>
      </c>
    </row>
    <row r="377" spans="1:6" x14ac:dyDescent="0.2">
      <c r="A377" s="216" t="s">
        <v>1825</v>
      </c>
      <c r="B377" s="216" t="s">
        <v>1826</v>
      </c>
      <c r="C377" s="216" t="s">
        <v>1827</v>
      </c>
      <c r="D377" s="216">
        <v>160000</v>
      </c>
      <c r="E377" s="216">
        <v>92650</v>
      </c>
      <c r="F377" s="216">
        <v>89300</v>
      </c>
    </row>
    <row r="378" spans="1:6" x14ac:dyDescent="0.2">
      <c r="A378" s="216" t="s">
        <v>1828</v>
      </c>
      <c r="B378" s="216" t="s">
        <v>1829</v>
      </c>
      <c r="C378" s="216" t="s">
        <v>1830</v>
      </c>
      <c r="D378" s="216">
        <v>159880</v>
      </c>
      <c r="E378" s="216">
        <v>154030</v>
      </c>
      <c r="F378" s="216">
        <v>50840</v>
      </c>
    </row>
    <row r="379" spans="1:6" x14ac:dyDescent="0.2">
      <c r="A379" s="216" t="s">
        <v>1831</v>
      </c>
      <c r="B379" s="216" t="s">
        <v>1346</v>
      </c>
      <c r="C379" s="216" t="s">
        <v>1832</v>
      </c>
      <c r="D379" s="216">
        <v>1185238</v>
      </c>
      <c r="E379" s="216">
        <v>1131681.4099999999</v>
      </c>
      <c r="F379" s="216">
        <v>1093656.3799999999</v>
      </c>
    </row>
    <row r="380" spans="1:6" x14ac:dyDescent="0.2">
      <c r="A380" s="216" t="s">
        <v>1833</v>
      </c>
      <c r="B380" s="216" t="s">
        <v>1346</v>
      </c>
      <c r="C380" s="216" t="s">
        <v>1834</v>
      </c>
      <c r="D380" s="216">
        <v>303086</v>
      </c>
      <c r="E380" s="216">
        <v>276239.45</v>
      </c>
      <c r="F380" s="216">
        <v>275941</v>
      </c>
    </row>
    <row r="381" spans="1:6" x14ac:dyDescent="0.2">
      <c r="A381" s="216" t="s">
        <v>1835</v>
      </c>
      <c r="B381" s="216" t="s">
        <v>1346</v>
      </c>
      <c r="C381" s="216" t="s">
        <v>1836</v>
      </c>
      <c r="D381" s="216">
        <v>1857675</v>
      </c>
      <c r="E381" s="216">
        <v>1434566.03</v>
      </c>
      <c r="F381" s="216">
        <v>1386835.53</v>
      </c>
    </row>
    <row r="382" spans="1:6" x14ac:dyDescent="0.2">
      <c r="A382" s="216" t="s">
        <v>1837</v>
      </c>
      <c r="B382" s="216" t="s">
        <v>1346</v>
      </c>
      <c r="C382" s="216" t="s">
        <v>1838</v>
      </c>
      <c r="D382" s="216">
        <v>969006</v>
      </c>
      <c r="E382" s="216">
        <v>950663.44</v>
      </c>
      <c r="F382" s="216">
        <v>931576.35000000009</v>
      </c>
    </row>
    <row r="383" spans="1:6" x14ac:dyDescent="0.2">
      <c r="A383" s="216" t="s">
        <v>1839</v>
      </c>
      <c r="B383" s="216" t="s">
        <v>1346</v>
      </c>
      <c r="C383" s="216" t="s">
        <v>1840</v>
      </c>
      <c r="D383" s="216">
        <v>1758508</v>
      </c>
      <c r="E383" s="216">
        <v>1286418.47</v>
      </c>
      <c r="F383" s="216">
        <v>1212625.8700000001</v>
      </c>
    </row>
    <row r="384" spans="1:6" x14ac:dyDescent="0.2">
      <c r="A384" s="216" t="s">
        <v>1841</v>
      </c>
      <c r="B384" s="216" t="s">
        <v>1842</v>
      </c>
      <c r="C384" s="216" t="s">
        <v>1843</v>
      </c>
      <c r="D384" s="216">
        <v>105000</v>
      </c>
      <c r="E384" s="216">
        <v>44312.3</v>
      </c>
      <c r="F384" s="216">
        <v>39935.870000000003</v>
      </c>
    </row>
    <row r="385" spans="1:6" x14ac:dyDescent="0.2">
      <c r="A385" s="216" t="s">
        <v>1844</v>
      </c>
      <c r="B385" s="216" t="s">
        <v>1845</v>
      </c>
      <c r="C385" s="216" t="s">
        <v>579</v>
      </c>
      <c r="D385" s="216">
        <v>41519761</v>
      </c>
      <c r="E385" s="216">
        <v>39201248.730000004</v>
      </c>
      <c r="F385" s="216">
        <v>10652959.619999999</v>
      </c>
    </row>
    <row r="386" spans="1:6" x14ac:dyDescent="0.2">
      <c r="A386" s="216" t="s">
        <v>1846</v>
      </c>
      <c r="B386" s="216" t="s">
        <v>1346</v>
      </c>
      <c r="C386" s="216" t="s">
        <v>1847</v>
      </c>
      <c r="D386" s="216">
        <v>768405</v>
      </c>
      <c r="E386" s="216">
        <v>618712.31000000006</v>
      </c>
      <c r="F386" s="216">
        <v>420548.3</v>
      </c>
    </row>
    <row r="387" spans="1:6" x14ac:dyDescent="0.2">
      <c r="A387" s="216" t="s">
        <v>1848</v>
      </c>
      <c r="B387" s="216" t="s">
        <v>1849</v>
      </c>
      <c r="C387" s="216" t="s">
        <v>1850</v>
      </c>
      <c r="D387" s="216">
        <v>3974680</v>
      </c>
      <c r="E387" s="216">
        <v>3830379.2</v>
      </c>
      <c r="F387" s="216">
        <v>141890.09</v>
      </c>
    </row>
    <row r="388" spans="1:6" x14ac:dyDescent="0.2">
      <c r="A388" s="216" t="s">
        <v>1851</v>
      </c>
      <c r="B388" s="216" t="s">
        <v>1852</v>
      </c>
      <c r="C388" s="216" t="s">
        <v>1853</v>
      </c>
      <c r="D388" s="216">
        <v>17714</v>
      </c>
      <c r="E388" s="216">
        <v>14228.68</v>
      </c>
      <c r="F388" s="216">
        <v>9749.7999999999993</v>
      </c>
    </row>
    <row r="389" spans="1:6" x14ac:dyDescent="0.2">
      <c r="A389" s="216" t="s">
        <v>1854</v>
      </c>
      <c r="B389" s="216" t="s">
        <v>1855</v>
      </c>
      <c r="C389" s="216" t="s">
        <v>1856</v>
      </c>
      <c r="D389" s="216">
        <v>80738</v>
      </c>
      <c r="E389" s="216">
        <v>0</v>
      </c>
      <c r="F389" s="216">
        <v>0</v>
      </c>
    </row>
    <row r="390" spans="1:6" x14ac:dyDescent="0.2">
      <c r="A390" s="216" t="s">
        <v>1857</v>
      </c>
      <c r="B390" s="216" t="s">
        <v>1858</v>
      </c>
      <c r="C390" s="216" t="s">
        <v>604</v>
      </c>
      <c r="D390" s="216">
        <v>4265759</v>
      </c>
      <c r="E390" s="216">
        <v>3847052.94</v>
      </c>
      <c r="F390" s="216">
        <v>2741829.61</v>
      </c>
    </row>
    <row r="391" spans="1:6" x14ac:dyDescent="0.2">
      <c r="A391" s="216" t="s">
        <v>1859</v>
      </c>
      <c r="B391" s="216" t="s">
        <v>1860</v>
      </c>
      <c r="C391" s="216" t="s">
        <v>1861</v>
      </c>
      <c r="D391" s="216">
        <v>99230</v>
      </c>
      <c r="E391" s="216">
        <v>99007.59</v>
      </c>
      <c r="F391" s="216">
        <v>96198.77</v>
      </c>
    </row>
    <row r="392" spans="1:6" x14ac:dyDescent="0.2">
      <c r="A392" s="216" t="s">
        <v>1862</v>
      </c>
      <c r="B392" s="216" t="s">
        <v>1863</v>
      </c>
      <c r="C392" s="216" t="s">
        <v>1864</v>
      </c>
      <c r="D392" s="216">
        <v>28752</v>
      </c>
      <c r="E392" s="216">
        <v>28751.599999999999</v>
      </c>
      <c r="F392" s="216">
        <v>28751.599999999999</v>
      </c>
    </row>
    <row r="393" spans="1:6" x14ac:dyDescent="0.2">
      <c r="A393" s="216" t="s">
        <v>1865</v>
      </c>
      <c r="B393" s="216" t="s">
        <v>1866</v>
      </c>
      <c r="C393" s="216" t="s">
        <v>1867</v>
      </c>
      <c r="D393" s="216">
        <v>133512</v>
      </c>
      <c r="E393" s="216">
        <v>0</v>
      </c>
      <c r="F393" s="216">
        <v>0</v>
      </c>
    </row>
    <row r="394" spans="1:6" x14ac:dyDescent="0.2">
      <c r="A394" s="216" t="s">
        <v>1868</v>
      </c>
      <c r="B394" s="216" t="s">
        <v>1869</v>
      </c>
      <c r="C394" s="216" t="s">
        <v>1870</v>
      </c>
      <c r="D394" s="216">
        <v>621845</v>
      </c>
      <c r="E394" s="216">
        <v>621845</v>
      </c>
      <c r="F394" s="216">
        <v>396842.78</v>
      </c>
    </row>
    <row r="395" spans="1:6" x14ac:dyDescent="0.2">
      <c r="A395" s="216" t="s">
        <v>1871</v>
      </c>
      <c r="B395" s="216" t="s">
        <v>1872</v>
      </c>
      <c r="C395" s="216" t="s">
        <v>605</v>
      </c>
      <c r="D395" s="216">
        <v>4437995</v>
      </c>
      <c r="E395" s="216">
        <v>3573868.86</v>
      </c>
      <c r="F395" s="216">
        <v>2493396.69</v>
      </c>
    </row>
    <row r="396" spans="1:6" x14ac:dyDescent="0.2">
      <c r="A396" s="216" t="s">
        <v>1873</v>
      </c>
      <c r="B396" s="216" t="s">
        <v>1874</v>
      </c>
      <c r="C396" s="216" t="s">
        <v>1875</v>
      </c>
      <c r="D396" s="216">
        <v>195079</v>
      </c>
      <c r="E396" s="216">
        <v>186354</v>
      </c>
      <c r="F396" s="216">
        <v>176804.43</v>
      </c>
    </row>
    <row r="397" spans="1:6" x14ac:dyDescent="0.2">
      <c r="A397" s="216" t="s">
        <v>1876</v>
      </c>
      <c r="B397" s="216" t="s">
        <v>1877</v>
      </c>
      <c r="C397" s="216" t="s">
        <v>1878</v>
      </c>
      <c r="D397" s="216">
        <v>1827737</v>
      </c>
      <c r="E397" s="216">
        <v>1014425.98</v>
      </c>
      <c r="F397" s="216">
        <v>13810.34</v>
      </c>
    </row>
    <row r="398" spans="1:6" x14ac:dyDescent="0.2">
      <c r="A398" s="216" t="s">
        <v>1879</v>
      </c>
      <c r="B398" s="216" t="s">
        <v>1880</v>
      </c>
      <c r="C398" s="216" t="s">
        <v>1881</v>
      </c>
      <c r="D398" s="216">
        <v>40621</v>
      </c>
      <c r="E398" s="216">
        <v>28914.400000000001</v>
      </c>
      <c r="F398" s="216">
        <v>27953.93</v>
      </c>
    </row>
    <row r="399" spans="1:6" x14ac:dyDescent="0.2">
      <c r="A399" s="216" t="s">
        <v>1882</v>
      </c>
      <c r="B399" s="216" t="s">
        <v>1883</v>
      </c>
      <c r="C399" s="216" t="s">
        <v>1884</v>
      </c>
      <c r="D399" s="216">
        <v>70632</v>
      </c>
      <c r="E399" s="216">
        <v>12544</v>
      </c>
      <c r="F399" s="216">
        <v>12544</v>
      </c>
    </row>
    <row r="400" spans="1:6" x14ac:dyDescent="0.2">
      <c r="A400" s="216" t="s">
        <v>1885</v>
      </c>
      <c r="B400" s="216" t="s">
        <v>1886</v>
      </c>
      <c r="C400" s="216" t="s">
        <v>632</v>
      </c>
      <c r="D400" s="216">
        <v>11000</v>
      </c>
      <c r="E400" s="216">
        <v>11000</v>
      </c>
      <c r="F400" s="216">
        <v>0</v>
      </c>
    </row>
    <row r="401" spans="1:6" x14ac:dyDescent="0.2">
      <c r="A401" s="216" t="s">
        <v>1887</v>
      </c>
      <c r="B401" s="216" t="s">
        <v>1888</v>
      </c>
      <c r="C401" s="216" t="s">
        <v>1889</v>
      </c>
      <c r="D401" s="216">
        <v>11000</v>
      </c>
      <c r="E401" s="216">
        <v>11000</v>
      </c>
      <c r="F401" s="216">
        <v>0</v>
      </c>
    </row>
    <row r="402" spans="1:6" x14ac:dyDescent="0.2">
      <c r="A402" s="216" t="s">
        <v>1890</v>
      </c>
      <c r="B402" s="216" t="s">
        <v>1891</v>
      </c>
      <c r="C402" s="216" t="s">
        <v>1892</v>
      </c>
      <c r="D402" s="216">
        <v>160000</v>
      </c>
      <c r="E402" s="216">
        <v>145797</v>
      </c>
      <c r="F402" s="216">
        <v>139797</v>
      </c>
    </row>
    <row r="403" spans="1:6" x14ac:dyDescent="0.2">
      <c r="A403" s="216" t="s">
        <v>1893</v>
      </c>
      <c r="B403" s="216" t="s">
        <v>1894</v>
      </c>
      <c r="C403" s="216" t="s">
        <v>1895</v>
      </c>
      <c r="D403" s="216">
        <v>349668</v>
      </c>
      <c r="E403" s="216">
        <v>237183.34</v>
      </c>
      <c r="F403" s="216">
        <v>20700</v>
      </c>
    </row>
    <row r="404" spans="1:6" x14ac:dyDescent="0.2">
      <c r="A404" s="216" t="s">
        <v>1896</v>
      </c>
      <c r="B404" s="216" t="s">
        <v>1897</v>
      </c>
      <c r="C404" s="216" t="s">
        <v>1898</v>
      </c>
      <c r="D404" s="216">
        <v>159560</v>
      </c>
      <c r="E404" s="216">
        <v>141270</v>
      </c>
      <c r="F404" s="216">
        <v>57830</v>
      </c>
    </row>
    <row r="405" spans="1:6" x14ac:dyDescent="0.2">
      <c r="A405" s="216" t="s">
        <v>1899</v>
      </c>
      <c r="B405" s="216" t="s">
        <v>1900</v>
      </c>
      <c r="C405" s="216" t="s">
        <v>1901</v>
      </c>
      <c r="D405" s="216">
        <v>141150</v>
      </c>
      <c r="E405" s="216">
        <v>115290</v>
      </c>
      <c r="F405" s="216">
        <v>0</v>
      </c>
    </row>
    <row r="406" spans="1:6" x14ac:dyDescent="0.2">
      <c r="A406" s="216" t="s">
        <v>1902</v>
      </c>
      <c r="B406" s="216" t="s">
        <v>1903</v>
      </c>
      <c r="C406" s="216" t="s">
        <v>1904</v>
      </c>
      <c r="D406" s="216">
        <v>350000</v>
      </c>
      <c r="E406" s="216">
        <v>320120</v>
      </c>
      <c r="F406" s="216">
        <v>86120</v>
      </c>
    </row>
    <row r="407" spans="1:6" x14ac:dyDescent="0.2">
      <c r="A407" s="216" t="s">
        <v>1905</v>
      </c>
      <c r="B407" s="216" t="s">
        <v>1906</v>
      </c>
      <c r="C407" s="216" t="s">
        <v>1907</v>
      </c>
      <c r="D407" s="216">
        <v>159978</v>
      </c>
      <c r="E407" s="216">
        <v>153229</v>
      </c>
      <c r="F407" s="216">
        <v>129240</v>
      </c>
    </row>
    <row r="408" spans="1:6" x14ac:dyDescent="0.2">
      <c r="A408" s="216" t="s">
        <v>1908</v>
      </c>
      <c r="B408" s="216" t="s">
        <v>1909</v>
      </c>
      <c r="C408" s="216" t="s">
        <v>1910</v>
      </c>
      <c r="D408" s="216">
        <v>492669</v>
      </c>
      <c r="E408" s="216">
        <v>464894</v>
      </c>
      <c r="F408" s="216">
        <v>211662.5</v>
      </c>
    </row>
    <row r="409" spans="1:6" x14ac:dyDescent="0.2">
      <c r="A409" s="216" t="s">
        <v>1911</v>
      </c>
      <c r="B409" s="216" t="s">
        <v>1912</v>
      </c>
      <c r="C409" s="216" t="s">
        <v>1913</v>
      </c>
      <c r="D409" s="216">
        <v>677644</v>
      </c>
      <c r="E409" s="216">
        <v>607692.88</v>
      </c>
      <c r="F409" s="216">
        <v>131223.38</v>
      </c>
    </row>
    <row r="410" spans="1:6" x14ac:dyDescent="0.2">
      <c r="A410" s="216" t="s">
        <v>1914</v>
      </c>
      <c r="B410" s="216" t="s">
        <v>1346</v>
      </c>
      <c r="C410" s="216" t="s">
        <v>1915</v>
      </c>
      <c r="D410" s="216">
        <v>84425</v>
      </c>
      <c r="E410" s="216">
        <v>79219.88</v>
      </c>
      <c r="F410" s="216">
        <v>79219.88</v>
      </c>
    </row>
    <row r="411" spans="1:6" x14ac:dyDescent="0.2">
      <c r="A411" s="216" t="s">
        <v>1916</v>
      </c>
      <c r="B411" s="216" t="s">
        <v>1917</v>
      </c>
      <c r="C411" s="216" t="s">
        <v>1918</v>
      </c>
      <c r="D411" s="216">
        <v>13758</v>
      </c>
      <c r="E411" s="216">
        <v>13758</v>
      </c>
      <c r="F411" s="216">
        <v>13212.64</v>
      </c>
    </row>
    <row r="412" spans="1:6" x14ac:dyDescent="0.2">
      <c r="A412" s="216" t="s">
        <v>1919</v>
      </c>
      <c r="B412" s="216" t="s">
        <v>1920</v>
      </c>
      <c r="C412" s="216" t="s">
        <v>1921</v>
      </c>
      <c r="D412" s="216">
        <v>23560</v>
      </c>
      <c r="E412" s="216">
        <v>22650</v>
      </c>
      <c r="F412" s="216">
        <v>14282.09</v>
      </c>
    </row>
    <row r="413" spans="1:6" x14ac:dyDescent="0.2">
      <c r="A413" s="216" t="s">
        <v>1922</v>
      </c>
      <c r="B413" s="216" t="s">
        <v>1923</v>
      </c>
      <c r="C413" s="216" t="s">
        <v>1924</v>
      </c>
      <c r="D413" s="216">
        <v>10277</v>
      </c>
      <c r="E413" s="216">
        <v>9570</v>
      </c>
      <c r="F413" s="216">
        <v>9564.68</v>
      </c>
    </row>
    <row r="414" spans="1:6" x14ac:dyDescent="0.2">
      <c r="A414" s="216" t="s">
        <v>1925</v>
      </c>
      <c r="B414" s="216" t="s">
        <v>1926</v>
      </c>
      <c r="C414" s="216" t="s">
        <v>1927</v>
      </c>
      <c r="D414" s="216">
        <v>44000</v>
      </c>
      <c r="E414" s="216">
        <v>43500</v>
      </c>
      <c r="F414" s="216">
        <v>17400</v>
      </c>
    </row>
    <row r="415" spans="1:6" x14ac:dyDescent="0.2">
      <c r="A415" s="216" t="s">
        <v>1928</v>
      </c>
      <c r="B415" s="216" t="s">
        <v>892</v>
      </c>
      <c r="C415" s="216" t="s">
        <v>1929</v>
      </c>
      <c r="D415" s="216">
        <v>25000</v>
      </c>
      <c r="E415" s="216">
        <v>0</v>
      </c>
      <c r="F415" s="216">
        <v>0</v>
      </c>
    </row>
    <row r="416" spans="1:6" x14ac:dyDescent="0.2">
      <c r="A416" s="216" t="s">
        <v>1930</v>
      </c>
      <c r="B416" s="216" t="s">
        <v>892</v>
      </c>
      <c r="C416" s="216" t="s">
        <v>1931</v>
      </c>
      <c r="D416" s="216">
        <v>28700</v>
      </c>
      <c r="E416" s="216">
        <v>0</v>
      </c>
      <c r="F416" s="216">
        <v>0</v>
      </c>
    </row>
    <row r="417" spans="1:6" x14ac:dyDescent="0.2">
      <c r="A417" s="216" t="s">
        <v>1932</v>
      </c>
      <c r="B417" s="216" t="s">
        <v>1933</v>
      </c>
      <c r="C417" s="216" t="s">
        <v>1934</v>
      </c>
      <c r="D417" s="216">
        <v>100021</v>
      </c>
      <c r="E417" s="216">
        <v>59652</v>
      </c>
      <c r="F417" s="216">
        <v>48247.51</v>
      </c>
    </row>
    <row r="418" spans="1:6" x14ac:dyDescent="0.2">
      <c r="A418" s="216" t="s">
        <v>1935</v>
      </c>
      <c r="B418" s="216" t="s">
        <v>1936</v>
      </c>
      <c r="C418" s="216" t="s">
        <v>1937</v>
      </c>
      <c r="D418" s="216">
        <v>784869</v>
      </c>
      <c r="E418" s="216">
        <v>784869</v>
      </c>
      <c r="F418" s="216">
        <v>631813.71</v>
      </c>
    </row>
    <row r="419" spans="1:6" x14ac:dyDescent="0.2">
      <c r="A419" s="216" t="s">
        <v>1938</v>
      </c>
      <c r="B419" s="216" t="s">
        <v>1351</v>
      </c>
      <c r="C419" s="216" t="s">
        <v>1939</v>
      </c>
      <c r="D419" s="216">
        <v>170000</v>
      </c>
      <c r="E419" s="216">
        <v>94655</v>
      </c>
      <c r="F419" s="216">
        <v>44009.24</v>
      </c>
    </row>
    <row r="420" spans="1:6" x14ac:dyDescent="0.2">
      <c r="A420" s="216" t="s">
        <v>1940</v>
      </c>
      <c r="B420" s="216" t="s">
        <v>1941</v>
      </c>
      <c r="C420" s="216" t="s">
        <v>1942</v>
      </c>
      <c r="D420" s="216">
        <v>114255</v>
      </c>
      <c r="E420" s="216">
        <v>0</v>
      </c>
      <c r="F420" s="216">
        <v>0</v>
      </c>
    </row>
    <row r="421" spans="1:6" x14ac:dyDescent="0.2">
      <c r="A421" s="216" t="s">
        <v>1943</v>
      </c>
      <c r="B421" s="216" t="s">
        <v>1944</v>
      </c>
      <c r="C421" s="216" t="s">
        <v>1945</v>
      </c>
      <c r="D421" s="216">
        <v>373203</v>
      </c>
      <c r="E421" s="216">
        <v>199545</v>
      </c>
      <c r="F421" s="216">
        <v>127534.07</v>
      </c>
    </row>
    <row r="422" spans="1:6" x14ac:dyDescent="0.2">
      <c r="A422" s="216" t="s">
        <v>1946</v>
      </c>
      <c r="B422" s="216" t="s">
        <v>1947</v>
      </c>
      <c r="C422" s="216" t="s">
        <v>1948</v>
      </c>
      <c r="D422" s="216">
        <v>192812</v>
      </c>
      <c r="E422" s="216">
        <v>180485</v>
      </c>
      <c r="F422" s="216">
        <v>176515.68</v>
      </c>
    </row>
    <row r="423" spans="1:6" x14ac:dyDescent="0.2">
      <c r="A423" s="216" t="s">
        <v>1949</v>
      </c>
      <c r="B423" s="216" t="s">
        <v>1950</v>
      </c>
      <c r="C423" s="216" t="s">
        <v>1951</v>
      </c>
      <c r="D423" s="216">
        <v>36445</v>
      </c>
      <c r="E423" s="216">
        <v>0</v>
      </c>
      <c r="F423" s="216">
        <v>0</v>
      </c>
    </row>
    <row r="424" spans="1:6" x14ac:dyDescent="0.2">
      <c r="A424" s="216" t="s">
        <v>1952</v>
      </c>
      <c r="B424" s="216" t="s">
        <v>1953</v>
      </c>
      <c r="C424" s="216" t="s">
        <v>1954</v>
      </c>
      <c r="D424" s="216">
        <v>39485</v>
      </c>
      <c r="E424" s="216">
        <v>0</v>
      </c>
      <c r="F424" s="216">
        <v>0</v>
      </c>
    </row>
    <row r="425" spans="1:6" x14ac:dyDescent="0.2">
      <c r="A425" s="216" t="s">
        <v>1955</v>
      </c>
      <c r="B425" s="216" t="s">
        <v>1956</v>
      </c>
      <c r="C425" s="216" t="s">
        <v>1957</v>
      </c>
      <c r="D425" s="216">
        <v>20166</v>
      </c>
      <c r="E425" s="216">
        <v>19362</v>
      </c>
      <c r="F425" s="216">
        <v>18148.25</v>
      </c>
    </row>
    <row r="426" spans="1:6" x14ac:dyDescent="0.2">
      <c r="A426" s="216" t="s">
        <v>1958</v>
      </c>
      <c r="B426" s="216" t="s">
        <v>1959</v>
      </c>
      <c r="C426" s="216" t="s">
        <v>1960</v>
      </c>
      <c r="D426" s="216">
        <v>287709</v>
      </c>
      <c r="E426" s="216">
        <v>287709</v>
      </c>
      <c r="F426" s="216">
        <v>108740.53</v>
      </c>
    </row>
    <row r="427" spans="1:6" x14ac:dyDescent="0.2">
      <c r="A427" s="216" t="s">
        <v>1961</v>
      </c>
      <c r="B427" s="216" t="s">
        <v>1962</v>
      </c>
      <c r="C427" s="216" t="s">
        <v>1963</v>
      </c>
      <c r="D427" s="216">
        <v>140000</v>
      </c>
      <c r="E427" s="216">
        <v>140000</v>
      </c>
      <c r="F427" s="216">
        <v>131428.18</v>
      </c>
    </row>
    <row r="428" spans="1:6" x14ac:dyDescent="0.2">
      <c r="A428" s="216" t="s">
        <v>1964</v>
      </c>
      <c r="B428" s="216" t="s">
        <v>1965</v>
      </c>
      <c r="C428" s="216" t="s">
        <v>1966</v>
      </c>
      <c r="D428" s="216">
        <v>900000</v>
      </c>
      <c r="E428" s="216">
        <v>855389.64</v>
      </c>
      <c r="F428" s="216">
        <v>187642.38</v>
      </c>
    </row>
    <row r="429" spans="1:6" x14ac:dyDescent="0.2">
      <c r="A429" s="216" t="s">
        <v>1967</v>
      </c>
      <c r="B429" s="216" t="s">
        <v>1968</v>
      </c>
      <c r="C429" s="216" t="s">
        <v>1969</v>
      </c>
      <c r="D429" s="216">
        <v>1038097</v>
      </c>
      <c r="E429" s="216">
        <v>1038097</v>
      </c>
      <c r="F429" s="216">
        <v>0</v>
      </c>
    </row>
    <row r="430" spans="1:6" x14ac:dyDescent="0.2">
      <c r="A430" s="216" t="s">
        <v>1970</v>
      </c>
      <c r="B430" s="216" t="s">
        <v>1115</v>
      </c>
      <c r="C430" s="216" t="s">
        <v>1971</v>
      </c>
      <c r="D430" s="216">
        <v>94054</v>
      </c>
      <c r="E430" s="216">
        <v>94054</v>
      </c>
      <c r="F430" s="216">
        <v>60075.86</v>
      </c>
    </row>
    <row r="431" spans="1:6" x14ac:dyDescent="0.2">
      <c r="A431" s="216" t="s">
        <v>1972</v>
      </c>
      <c r="B431" s="216" t="s">
        <v>1973</v>
      </c>
      <c r="C431" s="216" t="s">
        <v>1974</v>
      </c>
      <c r="D431" s="216">
        <v>200000</v>
      </c>
      <c r="E431" s="216">
        <v>200000</v>
      </c>
      <c r="F431" s="216">
        <v>0</v>
      </c>
    </row>
    <row r="432" spans="1:6" x14ac:dyDescent="0.2">
      <c r="A432" s="216" t="s">
        <v>1975</v>
      </c>
      <c r="B432" s="216" t="s">
        <v>1976</v>
      </c>
      <c r="C432" s="216" t="s">
        <v>1977</v>
      </c>
      <c r="D432" s="216">
        <v>200000</v>
      </c>
      <c r="E432" s="216">
        <v>200000</v>
      </c>
      <c r="F432" s="216">
        <v>30838.26</v>
      </c>
    </row>
    <row r="433" spans="1:6" x14ac:dyDescent="0.2">
      <c r="A433" s="216" t="s">
        <v>1978</v>
      </c>
      <c r="B433" s="216" t="s">
        <v>1979</v>
      </c>
      <c r="C433" s="216" t="s">
        <v>1980</v>
      </c>
      <c r="D433" s="216">
        <v>40572</v>
      </c>
      <c r="E433" s="216">
        <v>0</v>
      </c>
      <c r="F433" s="216">
        <v>0</v>
      </c>
    </row>
    <row r="434" spans="1:6" x14ac:dyDescent="0.2">
      <c r="A434" s="216" t="s">
        <v>1981</v>
      </c>
      <c r="B434" s="216" t="s">
        <v>1982</v>
      </c>
      <c r="C434" s="216" t="s">
        <v>1983</v>
      </c>
      <c r="D434" s="216">
        <v>75291</v>
      </c>
      <c r="E434" s="216">
        <v>0</v>
      </c>
      <c r="F434" s="216">
        <v>0</v>
      </c>
    </row>
    <row r="435" spans="1:6" x14ac:dyDescent="0.2">
      <c r="A435" s="216" t="s">
        <v>1984</v>
      </c>
      <c r="B435" s="216" t="s">
        <v>1985</v>
      </c>
      <c r="C435" s="216" t="s">
        <v>1986</v>
      </c>
      <c r="D435" s="216">
        <v>25610</v>
      </c>
      <c r="E435" s="216">
        <v>0</v>
      </c>
      <c r="F435" s="216">
        <v>0</v>
      </c>
    </row>
    <row r="436" spans="1:6" x14ac:dyDescent="0.2">
      <c r="A436" s="216" t="s">
        <v>1987</v>
      </c>
      <c r="B436" s="216" t="s">
        <v>1988</v>
      </c>
      <c r="C436" s="216" t="s">
        <v>1989</v>
      </c>
      <c r="D436" s="216">
        <v>2795</v>
      </c>
      <c r="E436" s="216">
        <v>2795</v>
      </c>
      <c r="F436" s="216">
        <v>0</v>
      </c>
    </row>
    <row r="437" spans="1:6" x14ac:dyDescent="0.2">
      <c r="A437" s="216" t="s">
        <v>1990</v>
      </c>
      <c r="B437" s="216" t="s">
        <v>1991</v>
      </c>
      <c r="C437" s="216" t="s">
        <v>1992</v>
      </c>
      <c r="D437" s="216">
        <v>218556</v>
      </c>
      <c r="E437" s="216">
        <v>0</v>
      </c>
      <c r="F437" s="216">
        <v>0</v>
      </c>
    </row>
    <row r="438" spans="1:6" x14ac:dyDescent="0.2">
      <c r="A438" s="216" t="s">
        <v>1993</v>
      </c>
      <c r="B438" s="216" t="s">
        <v>1994</v>
      </c>
      <c r="C438" s="216" t="s">
        <v>1995</v>
      </c>
      <c r="D438" s="216">
        <v>1202934</v>
      </c>
      <c r="E438" s="216">
        <v>1151623.79</v>
      </c>
      <c r="F438" s="216">
        <v>1105100.42</v>
      </c>
    </row>
    <row r="439" spans="1:6" x14ac:dyDescent="0.2">
      <c r="A439" s="216" t="s">
        <v>1996</v>
      </c>
      <c r="B439" s="216" t="s">
        <v>1346</v>
      </c>
      <c r="C439" s="216" t="s">
        <v>1997</v>
      </c>
      <c r="D439" s="216">
        <v>0</v>
      </c>
      <c r="E439" s="216">
        <v>0</v>
      </c>
      <c r="F439" s="216">
        <v>0</v>
      </c>
    </row>
    <row r="440" spans="1:6" x14ac:dyDescent="0.2">
      <c r="A440" s="216" t="s">
        <v>1998</v>
      </c>
      <c r="B440" s="216" t="s">
        <v>1999</v>
      </c>
      <c r="C440" s="216" t="s">
        <v>2000</v>
      </c>
      <c r="D440" s="216">
        <v>1376515</v>
      </c>
      <c r="E440" s="216">
        <v>0</v>
      </c>
      <c r="F440" s="216">
        <v>0</v>
      </c>
    </row>
    <row r="441" spans="1:6" x14ac:dyDescent="0.2">
      <c r="A441" s="216" t="s">
        <v>2001</v>
      </c>
      <c r="B441" s="216" t="s">
        <v>2002</v>
      </c>
      <c r="C441" s="216" t="s">
        <v>2003</v>
      </c>
      <c r="D441" s="216">
        <v>150000</v>
      </c>
      <c r="E441" s="216">
        <v>150000</v>
      </c>
      <c r="F441" s="216">
        <v>0</v>
      </c>
    </row>
    <row r="442" spans="1:6" x14ac:dyDescent="0.2">
      <c r="A442" s="216" t="s">
        <v>2004</v>
      </c>
      <c r="B442" s="216" t="s">
        <v>2005</v>
      </c>
      <c r="C442" s="216" t="s">
        <v>2006</v>
      </c>
      <c r="D442" s="216">
        <v>100000</v>
      </c>
      <c r="E442" s="216">
        <v>0</v>
      </c>
      <c r="F442" s="216">
        <v>0</v>
      </c>
    </row>
  </sheetData>
  <phoneticPr fontId="13" type="noConversion"/>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E02D-5E35-421F-835D-1A28D893B7AE}">
  <dimension ref="A1:F287"/>
  <sheetViews>
    <sheetView workbookViewId="0"/>
  </sheetViews>
  <sheetFormatPr baseColWidth="10" defaultRowHeight="12.75" x14ac:dyDescent="0.2"/>
  <cols>
    <col min="1" max="1" width="65.7109375" customWidth="1"/>
    <col min="2" max="2" width="45.7109375" customWidth="1"/>
    <col min="3" max="6" width="22.7109375" customWidth="1"/>
  </cols>
  <sheetData>
    <row r="1" spans="1:6" x14ac:dyDescent="0.2">
      <c r="A1" t="s">
        <v>723</v>
      </c>
      <c r="B1" t="s">
        <v>724</v>
      </c>
    </row>
    <row r="2" spans="1:6" x14ac:dyDescent="0.2">
      <c r="A2" t="s">
        <v>728</v>
      </c>
      <c r="B2" t="s">
        <v>726</v>
      </c>
    </row>
    <row r="3" spans="1:6" x14ac:dyDescent="0.2">
      <c r="A3" t="s">
        <v>727</v>
      </c>
      <c r="B3" s="215">
        <v>46301</v>
      </c>
    </row>
    <row r="6" spans="1:6" x14ac:dyDescent="0.2">
      <c r="A6" t="s">
        <v>730</v>
      </c>
      <c r="B6" t="s">
        <v>2007</v>
      </c>
      <c r="C6" t="s">
        <v>2008</v>
      </c>
      <c r="D6" t="s">
        <v>2009</v>
      </c>
      <c r="E6" t="s">
        <v>2010</v>
      </c>
      <c r="F6" t="s">
        <v>2011</v>
      </c>
    </row>
    <row r="7" spans="1:6" x14ac:dyDescent="0.2">
      <c r="A7" s="216" t="s">
        <v>1596</v>
      </c>
      <c r="B7" s="216" t="s">
        <v>2012</v>
      </c>
      <c r="C7" s="216">
        <v>587684</v>
      </c>
      <c r="D7" s="216">
        <v>31681</v>
      </c>
      <c r="E7" s="216">
        <v>755677</v>
      </c>
      <c r="F7" s="216">
        <v>0</v>
      </c>
    </row>
    <row r="8" spans="1:6" x14ac:dyDescent="0.2">
      <c r="A8" s="216" t="s">
        <v>735</v>
      </c>
      <c r="B8" s="216" t="s">
        <v>2013</v>
      </c>
      <c r="C8" s="216">
        <v>144908</v>
      </c>
      <c r="D8" s="216">
        <v>229001</v>
      </c>
      <c r="E8" s="216">
        <v>0</v>
      </c>
      <c r="F8" s="216">
        <v>0</v>
      </c>
    </row>
    <row r="9" spans="1:6" x14ac:dyDescent="0.2">
      <c r="A9" s="216" t="s">
        <v>1343</v>
      </c>
      <c r="B9" s="216" t="s">
        <v>2014</v>
      </c>
      <c r="C9" s="216">
        <v>87917</v>
      </c>
      <c r="D9" s="216">
        <v>0</v>
      </c>
      <c r="E9" s="216">
        <v>0</v>
      </c>
      <c r="F9" s="216">
        <v>0</v>
      </c>
    </row>
    <row r="10" spans="1:6" x14ac:dyDescent="0.2">
      <c r="A10" s="216" t="s">
        <v>741</v>
      </c>
      <c r="B10" s="216" t="s">
        <v>2015</v>
      </c>
      <c r="C10" s="216">
        <v>1050000</v>
      </c>
      <c r="D10" s="216">
        <v>50000</v>
      </c>
      <c r="E10" s="216">
        <v>1054806</v>
      </c>
      <c r="F10" s="216">
        <v>0</v>
      </c>
    </row>
    <row r="11" spans="1:6" x14ac:dyDescent="0.2">
      <c r="A11" s="216" t="s">
        <v>1340</v>
      </c>
      <c r="B11" s="216" t="s">
        <v>2016</v>
      </c>
      <c r="C11" s="216">
        <v>4098</v>
      </c>
      <c r="D11" s="216">
        <v>0</v>
      </c>
      <c r="E11" s="216">
        <v>0</v>
      </c>
      <c r="F11" s="216">
        <v>0</v>
      </c>
    </row>
    <row r="12" spans="1:6" x14ac:dyDescent="0.2">
      <c r="A12" s="216" t="s">
        <v>1256</v>
      </c>
      <c r="B12" s="216" t="s">
        <v>2017</v>
      </c>
      <c r="C12" s="216">
        <v>675842</v>
      </c>
      <c r="D12" s="216">
        <v>110000</v>
      </c>
      <c r="E12" s="216">
        <v>0</v>
      </c>
      <c r="F12" s="216">
        <v>0</v>
      </c>
    </row>
    <row r="13" spans="1:6" x14ac:dyDescent="0.2">
      <c r="A13" s="216" t="s">
        <v>749</v>
      </c>
      <c r="B13" s="216" t="s">
        <v>2018</v>
      </c>
      <c r="C13" s="216">
        <v>4902849</v>
      </c>
      <c r="D13" s="216">
        <v>60001</v>
      </c>
      <c r="E13" s="216">
        <v>2722594</v>
      </c>
      <c r="F13" s="216">
        <v>0</v>
      </c>
    </row>
    <row r="14" spans="1:6" x14ac:dyDescent="0.2">
      <c r="A14" s="216" t="s">
        <v>869</v>
      </c>
      <c r="B14" s="216" t="s">
        <v>2019</v>
      </c>
      <c r="C14" s="216">
        <v>10517000</v>
      </c>
      <c r="D14" s="216">
        <v>7783178</v>
      </c>
      <c r="E14" s="216">
        <v>1598000</v>
      </c>
      <c r="F14" s="216">
        <v>2000000</v>
      </c>
    </row>
    <row r="15" spans="1:6" x14ac:dyDescent="0.2">
      <c r="A15" s="216" t="s">
        <v>818</v>
      </c>
      <c r="B15" s="216" t="s">
        <v>2020</v>
      </c>
      <c r="C15" s="216">
        <v>409040</v>
      </c>
      <c r="D15" s="216">
        <v>29865</v>
      </c>
      <c r="E15" s="216">
        <v>0</v>
      </c>
      <c r="F15" s="216">
        <v>0</v>
      </c>
    </row>
    <row r="16" spans="1:6" x14ac:dyDescent="0.2">
      <c r="A16" s="216" t="s">
        <v>755</v>
      </c>
      <c r="B16" s="216" t="s">
        <v>2021</v>
      </c>
      <c r="C16" s="216">
        <v>350000</v>
      </c>
      <c r="D16" s="216">
        <v>7563584</v>
      </c>
      <c r="E16" s="216">
        <v>500000</v>
      </c>
      <c r="F16" s="216">
        <v>700000</v>
      </c>
    </row>
    <row r="17" spans="1:6" x14ac:dyDescent="0.2">
      <c r="A17" s="216" t="s">
        <v>1415</v>
      </c>
      <c r="B17" s="216" t="s">
        <v>2022</v>
      </c>
      <c r="C17" s="216">
        <v>89896</v>
      </c>
      <c r="D17" s="216">
        <v>0</v>
      </c>
      <c r="E17" s="216">
        <v>0</v>
      </c>
      <c r="F17" s="216">
        <v>0</v>
      </c>
    </row>
    <row r="18" spans="1:6" x14ac:dyDescent="0.2">
      <c r="A18" s="216" t="s">
        <v>758</v>
      </c>
      <c r="B18" s="216" t="s">
        <v>2023</v>
      </c>
      <c r="C18" s="216">
        <v>15800000</v>
      </c>
      <c r="D18" s="216">
        <v>14789542</v>
      </c>
      <c r="E18" s="216">
        <v>15918407</v>
      </c>
      <c r="F18" s="216">
        <v>10295229</v>
      </c>
    </row>
    <row r="19" spans="1:6" x14ac:dyDescent="0.2">
      <c r="A19" s="216" t="s">
        <v>1432</v>
      </c>
      <c r="B19" s="216" t="s">
        <v>2024</v>
      </c>
      <c r="C19" s="216">
        <v>40062</v>
      </c>
      <c r="D19" s="216">
        <v>0</v>
      </c>
      <c r="E19" s="216">
        <v>0</v>
      </c>
      <c r="F19" s="216">
        <v>0</v>
      </c>
    </row>
    <row r="20" spans="1:6" x14ac:dyDescent="0.2">
      <c r="A20" s="216" t="s">
        <v>761</v>
      </c>
      <c r="B20" s="216" t="s">
        <v>2025</v>
      </c>
      <c r="C20" s="216">
        <v>2000000</v>
      </c>
      <c r="D20" s="216">
        <v>8000000</v>
      </c>
      <c r="E20" s="216">
        <v>9133500</v>
      </c>
      <c r="F20" s="216">
        <v>8629252</v>
      </c>
    </row>
    <row r="21" spans="1:6" x14ac:dyDescent="0.2">
      <c r="A21" s="216" t="s">
        <v>764</v>
      </c>
      <c r="B21" s="216" t="s">
        <v>2026</v>
      </c>
      <c r="C21" s="216">
        <v>8016014</v>
      </c>
      <c r="D21" s="216">
        <v>10000000</v>
      </c>
      <c r="E21" s="216">
        <v>1057112</v>
      </c>
      <c r="F21" s="216">
        <v>2541629</v>
      </c>
    </row>
    <row r="22" spans="1:6" x14ac:dyDescent="0.2">
      <c r="A22" s="216" t="s">
        <v>767</v>
      </c>
      <c r="B22" s="216" t="s">
        <v>2027</v>
      </c>
      <c r="C22" s="216">
        <v>2500000</v>
      </c>
      <c r="D22" s="216">
        <v>6578987</v>
      </c>
      <c r="E22" s="216">
        <v>6552040</v>
      </c>
      <c r="F22" s="216">
        <v>2921013</v>
      </c>
    </row>
    <row r="23" spans="1:6" x14ac:dyDescent="0.2">
      <c r="A23" s="216" t="s">
        <v>892</v>
      </c>
      <c r="B23" s="216" t="s">
        <v>2028</v>
      </c>
      <c r="C23" s="216">
        <v>539829</v>
      </c>
      <c r="D23" s="216">
        <v>504509</v>
      </c>
      <c r="E23" s="216">
        <v>0</v>
      </c>
      <c r="F23" s="216">
        <v>0</v>
      </c>
    </row>
    <row r="24" spans="1:6" x14ac:dyDescent="0.2">
      <c r="A24" s="216" t="s">
        <v>770</v>
      </c>
      <c r="B24" s="216" t="s">
        <v>2029</v>
      </c>
      <c r="C24" s="216">
        <v>2800000</v>
      </c>
      <c r="D24" s="216">
        <v>10234564</v>
      </c>
      <c r="E24" s="216">
        <v>6182303</v>
      </c>
      <c r="F24" s="216">
        <v>9563936</v>
      </c>
    </row>
    <row r="25" spans="1:6" x14ac:dyDescent="0.2">
      <c r="A25" s="216" t="s">
        <v>1430</v>
      </c>
      <c r="B25" s="216" t="s">
        <v>2030</v>
      </c>
      <c r="C25" s="216">
        <v>21175</v>
      </c>
      <c r="D25" s="216">
        <v>2971</v>
      </c>
      <c r="E25" s="216">
        <v>1</v>
      </c>
      <c r="F25" s="216">
        <v>0</v>
      </c>
    </row>
    <row r="26" spans="1:6" x14ac:dyDescent="0.2">
      <c r="A26" s="216" t="s">
        <v>773</v>
      </c>
      <c r="B26" s="216" t="s">
        <v>2031</v>
      </c>
      <c r="C26" s="216">
        <v>6000000</v>
      </c>
      <c r="D26" s="216">
        <v>3456765</v>
      </c>
      <c r="E26" s="216">
        <v>1108030</v>
      </c>
      <c r="F26" s="216">
        <v>0</v>
      </c>
    </row>
    <row r="27" spans="1:6" x14ac:dyDescent="0.2">
      <c r="A27" s="216" t="s">
        <v>809</v>
      </c>
      <c r="B27" s="216" t="s">
        <v>2032</v>
      </c>
      <c r="C27" s="216">
        <v>2000000</v>
      </c>
      <c r="D27" s="216">
        <v>64020</v>
      </c>
      <c r="E27" s="216">
        <v>1401972</v>
      </c>
      <c r="F27" s="216">
        <v>495265</v>
      </c>
    </row>
    <row r="28" spans="1:6" x14ac:dyDescent="0.2">
      <c r="A28" s="216" t="s">
        <v>776</v>
      </c>
      <c r="B28" s="216" t="s">
        <v>2033</v>
      </c>
      <c r="C28" s="216">
        <v>1410000</v>
      </c>
      <c r="D28" s="216">
        <v>833474</v>
      </c>
      <c r="E28" s="216">
        <v>0</v>
      </c>
      <c r="F28" s="216">
        <v>0</v>
      </c>
    </row>
    <row r="29" spans="1:6" x14ac:dyDescent="0.2">
      <c r="A29" s="216" t="s">
        <v>1842</v>
      </c>
      <c r="B29" s="216" t="s">
        <v>2034</v>
      </c>
      <c r="C29" s="216">
        <v>105000</v>
      </c>
      <c r="D29" s="216">
        <v>0</v>
      </c>
      <c r="E29" s="216">
        <v>0</v>
      </c>
      <c r="F29" s="216">
        <v>0</v>
      </c>
    </row>
    <row r="30" spans="1:6" x14ac:dyDescent="0.2">
      <c r="A30" s="216" t="s">
        <v>779</v>
      </c>
      <c r="B30" s="216" t="s">
        <v>2035</v>
      </c>
      <c r="C30" s="216">
        <v>200000</v>
      </c>
      <c r="D30" s="216">
        <v>0</v>
      </c>
      <c r="E30" s="216">
        <v>522166</v>
      </c>
      <c r="F30" s="216">
        <v>0</v>
      </c>
    </row>
    <row r="31" spans="1:6" x14ac:dyDescent="0.2">
      <c r="A31" s="216" t="s">
        <v>1849</v>
      </c>
      <c r="B31" s="216" t="s">
        <v>2036</v>
      </c>
      <c r="C31" s="216">
        <v>2900000</v>
      </c>
      <c r="D31" s="216">
        <v>66882</v>
      </c>
      <c r="E31" s="216">
        <v>1</v>
      </c>
      <c r="F31" s="216">
        <v>0</v>
      </c>
    </row>
    <row r="32" spans="1:6" x14ac:dyDescent="0.2">
      <c r="A32" s="216" t="s">
        <v>782</v>
      </c>
      <c r="B32" s="216" t="s">
        <v>2037</v>
      </c>
      <c r="C32" s="216">
        <v>821892</v>
      </c>
      <c r="D32" s="216">
        <v>47336</v>
      </c>
      <c r="E32" s="216">
        <v>0</v>
      </c>
      <c r="F32" s="216">
        <v>0</v>
      </c>
    </row>
    <row r="33" spans="1:6" x14ac:dyDescent="0.2">
      <c r="A33" s="216" t="s">
        <v>1604</v>
      </c>
      <c r="B33" s="216" t="s">
        <v>2038</v>
      </c>
      <c r="C33" s="216">
        <v>155899</v>
      </c>
      <c r="D33" s="216">
        <v>0</v>
      </c>
      <c r="E33" s="216">
        <v>55114</v>
      </c>
      <c r="F33" s="216">
        <v>0</v>
      </c>
    </row>
    <row r="34" spans="1:6" x14ac:dyDescent="0.2">
      <c r="A34" s="216" t="s">
        <v>785</v>
      </c>
      <c r="B34" s="216" t="s">
        <v>2039</v>
      </c>
      <c r="C34" s="216">
        <v>12200258</v>
      </c>
      <c r="D34" s="216">
        <v>14587856</v>
      </c>
      <c r="E34" s="216">
        <v>16487882</v>
      </c>
      <c r="F34" s="216">
        <v>20726909</v>
      </c>
    </row>
    <row r="35" spans="1:6" x14ac:dyDescent="0.2">
      <c r="A35" s="216" t="s">
        <v>1268</v>
      </c>
      <c r="B35" s="216" t="s">
        <v>2040</v>
      </c>
      <c r="C35" s="216">
        <v>159740</v>
      </c>
      <c r="D35" s="216">
        <v>0</v>
      </c>
      <c r="E35" s="216">
        <v>0</v>
      </c>
      <c r="F35" s="216">
        <v>0</v>
      </c>
    </row>
    <row r="36" spans="1:6" x14ac:dyDescent="0.2">
      <c r="A36" s="216" t="s">
        <v>788</v>
      </c>
      <c r="B36" s="216" t="s">
        <v>2041</v>
      </c>
      <c r="C36" s="216">
        <v>8282615</v>
      </c>
      <c r="D36" s="216">
        <v>10255200</v>
      </c>
      <c r="E36" s="216">
        <v>10389972</v>
      </c>
      <c r="F36" s="216">
        <v>10574977</v>
      </c>
    </row>
    <row r="37" spans="1:6" x14ac:dyDescent="0.2">
      <c r="A37" s="216" t="s">
        <v>827</v>
      </c>
      <c r="B37" s="216" t="s">
        <v>2042</v>
      </c>
      <c r="C37" s="216">
        <v>923830</v>
      </c>
      <c r="D37" s="216">
        <v>1124828</v>
      </c>
      <c r="E37" s="216">
        <v>450000</v>
      </c>
      <c r="F37" s="216">
        <v>450000</v>
      </c>
    </row>
    <row r="38" spans="1:6" x14ac:dyDescent="0.2">
      <c r="A38" s="216" t="s">
        <v>791</v>
      </c>
      <c r="B38" s="216" t="s">
        <v>2043</v>
      </c>
      <c r="C38" s="216">
        <v>12000000</v>
      </c>
      <c r="D38" s="216">
        <v>14587598</v>
      </c>
      <c r="E38" s="216">
        <v>26545222</v>
      </c>
      <c r="F38" s="216">
        <v>3405517</v>
      </c>
    </row>
    <row r="39" spans="1:6" x14ac:dyDescent="0.2">
      <c r="A39" s="216" t="s">
        <v>1852</v>
      </c>
      <c r="B39" s="216" t="s">
        <v>2044</v>
      </c>
      <c r="C39" s="216">
        <v>13915</v>
      </c>
      <c r="D39" s="216">
        <v>0</v>
      </c>
      <c r="E39" s="216">
        <v>0</v>
      </c>
      <c r="F39" s="216">
        <v>0</v>
      </c>
    </row>
    <row r="40" spans="1:6" x14ac:dyDescent="0.2">
      <c r="A40" s="216" t="s">
        <v>794</v>
      </c>
      <c r="B40" s="216" t="s">
        <v>2045</v>
      </c>
      <c r="C40" s="216">
        <v>8000000</v>
      </c>
      <c r="D40" s="216">
        <v>8258658</v>
      </c>
      <c r="E40" s="216">
        <v>10741348</v>
      </c>
      <c r="F40" s="216">
        <v>1075057</v>
      </c>
    </row>
    <row r="41" spans="1:6" x14ac:dyDescent="0.2">
      <c r="A41" s="216" t="s">
        <v>1527</v>
      </c>
      <c r="B41" s="216" t="s">
        <v>2046</v>
      </c>
      <c r="C41" s="216">
        <v>2578971</v>
      </c>
      <c r="D41" s="216">
        <v>22487</v>
      </c>
      <c r="E41" s="216">
        <v>500000</v>
      </c>
      <c r="F41" s="216">
        <v>500000</v>
      </c>
    </row>
    <row r="42" spans="1:6" x14ac:dyDescent="0.2">
      <c r="A42" s="216" t="s">
        <v>797</v>
      </c>
      <c r="B42" s="216" t="s">
        <v>2047</v>
      </c>
      <c r="C42" s="216">
        <v>2822702</v>
      </c>
      <c r="D42" s="216">
        <v>65844</v>
      </c>
      <c r="E42" s="216">
        <v>0</v>
      </c>
      <c r="F42" s="216">
        <v>0</v>
      </c>
    </row>
    <row r="43" spans="1:6" x14ac:dyDescent="0.2">
      <c r="A43" s="216" t="s">
        <v>800</v>
      </c>
      <c r="B43" s="216" t="s">
        <v>2048</v>
      </c>
      <c r="C43" s="216">
        <v>7546000</v>
      </c>
      <c r="D43" s="216">
        <v>1410563</v>
      </c>
      <c r="E43" s="216">
        <v>1509243</v>
      </c>
      <c r="F43" s="216">
        <v>0</v>
      </c>
    </row>
    <row r="44" spans="1:6" x14ac:dyDescent="0.2">
      <c r="A44" s="216" t="s">
        <v>1397</v>
      </c>
      <c r="B44" s="216" t="s">
        <v>2049</v>
      </c>
      <c r="C44" s="216">
        <v>276105</v>
      </c>
      <c r="D44" s="216">
        <v>0</v>
      </c>
      <c r="E44" s="216">
        <v>0</v>
      </c>
      <c r="F44" s="216">
        <v>0</v>
      </c>
    </row>
    <row r="45" spans="1:6" x14ac:dyDescent="0.2">
      <c r="A45" s="216" t="s">
        <v>803</v>
      </c>
      <c r="B45" s="216" t="s">
        <v>2050</v>
      </c>
      <c r="C45" s="216">
        <v>6185000</v>
      </c>
      <c r="D45" s="216">
        <v>1000000</v>
      </c>
      <c r="E45" s="216">
        <v>0</v>
      </c>
      <c r="F45" s="216">
        <v>1000000</v>
      </c>
    </row>
    <row r="46" spans="1:6" x14ac:dyDescent="0.2">
      <c r="A46" s="216" t="s">
        <v>806</v>
      </c>
      <c r="B46" s="216" t="s">
        <v>2051</v>
      </c>
      <c r="C46" s="216">
        <v>4083424</v>
      </c>
      <c r="D46" s="216">
        <v>8803099</v>
      </c>
      <c r="E46" s="216">
        <v>5321398</v>
      </c>
      <c r="F46" s="216">
        <v>0</v>
      </c>
    </row>
    <row r="47" spans="1:6" x14ac:dyDescent="0.2">
      <c r="A47" s="216" t="s">
        <v>1593</v>
      </c>
      <c r="B47" s="216" t="s">
        <v>2052</v>
      </c>
      <c r="C47" s="216">
        <v>267733</v>
      </c>
      <c r="D47" s="216">
        <v>20886</v>
      </c>
      <c r="E47" s="216">
        <v>0</v>
      </c>
      <c r="F47" s="216">
        <v>0</v>
      </c>
    </row>
    <row r="48" spans="1:6" x14ac:dyDescent="0.2">
      <c r="A48" s="216" t="s">
        <v>812</v>
      </c>
      <c r="B48" s="216" t="s">
        <v>2053</v>
      </c>
      <c r="C48" s="216">
        <v>5358341</v>
      </c>
      <c r="D48" s="216">
        <v>6902686</v>
      </c>
      <c r="E48" s="216">
        <v>800000</v>
      </c>
      <c r="F48" s="216">
        <v>800000</v>
      </c>
    </row>
    <row r="49" spans="1:6" x14ac:dyDescent="0.2">
      <c r="A49" s="216" t="s">
        <v>1697</v>
      </c>
      <c r="B49" s="216" t="s">
        <v>2054</v>
      </c>
      <c r="C49" s="216">
        <v>40218</v>
      </c>
      <c r="D49" s="216">
        <v>3757795</v>
      </c>
      <c r="E49" s="216">
        <v>698171</v>
      </c>
      <c r="F49" s="216">
        <v>0</v>
      </c>
    </row>
    <row r="50" spans="1:6" x14ac:dyDescent="0.2">
      <c r="A50" s="216" t="s">
        <v>815</v>
      </c>
      <c r="B50" s="216" t="s">
        <v>2055</v>
      </c>
      <c r="C50" s="216">
        <v>894000</v>
      </c>
      <c r="D50" s="216">
        <v>0</v>
      </c>
      <c r="E50" s="216">
        <v>825648</v>
      </c>
      <c r="F50" s="216">
        <v>825648</v>
      </c>
    </row>
    <row r="51" spans="1:6" x14ac:dyDescent="0.2">
      <c r="A51" s="216" t="s">
        <v>1691</v>
      </c>
      <c r="B51" s="216" t="s">
        <v>2056</v>
      </c>
      <c r="C51" s="216">
        <v>295210</v>
      </c>
      <c r="D51" s="216">
        <v>0</v>
      </c>
      <c r="E51" s="216">
        <v>1200001</v>
      </c>
      <c r="F51" s="216">
        <v>1200001</v>
      </c>
    </row>
    <row r="52" spans="1:6" x14ac:dyDescent="0.2">
      <c r="A52" s="216" t="s">
        <v>1400</v>
      </c>
      <c r="B52" s="216" t="s">
        <v>2057</v>
      </c>
      <c r="C52" s="216">
        <v>22181694</v>
      </c>
      <c r="D52" s="216">
        <v>12443559</v>
      </c>
      <c r="E52" s="216">
        <v>23194677</v>
      </c>
      <c r="F52" s="216">
        <v>529157</v>
      </c>
    </row>
    <row r="53" spans="1:6" x14ac:dyDescent="0.2">
      <c r="A53" s="216" t="s">
        <v>824</v>
      </c>
      <c r="B53" s="216" t="s">
        <v>2058</v>
      </c>
      <c r="C53" s="216">
        <v>3305500</v>
      </c>
      <c r="D53" s="216">
        <v>177809</v>
      </c>
      <c r="E53" s="216">
        <v>150483</v>
      </c>
      <c r="F53" s="216">
        <v>0</v>
      </c>
    </row>
    <row r="54" spans="1:6" x14ac:dyDescent="0.2">
      <c r="A54" s="216" t="s">
        <v>863</v>
      </c>
      <c r="B54" s="216" t="s">
        <v>2059</v>
      </c>
      <c r="C54" s="216">
        <v>100000</v>
      </c>
      <c r="D54" s="216">
        <v>0</v>
      </c>
      <c r="E54" s="216">
        <v>0</v>
      </c>
      <c r="F54" s="216">
        <v>900000</v>
      </c>
    </row>
    <row r="55" spans="1:6" x14ac:dyDescent="0.2">
      <c r="A55" s="216" t="s">
        <v>830</v>
      </c>
      <c r="B55" s="216" t="s">
        <v>2060</v>
      </c>
      <c r="C55" s="216">
        <v>2421000</v>
      </c>
      <c r="D55" s="216">
        <v>2508625</v>
      </c>
      <c r="E55" s="216">
        <v>546908</v>
      </c>
      <c r="F55" s="216">
        <v>170650</v>
      </c>
    </row>
    <row r="56" spans="1:6" x14ac:dyDescent="0.2">
      <c r="A56" s="216" t="s">
        <v>1590</v>
      </c>
      <c r="B56" s="216" t="s">
        <v>2061</v>
      </c>
      <c r="C56" s="216">
        <v>300000</v>
      </c>
      <c r="D56" s="216">
        <v>163232</v>
      </c>
      <c r="E56" s="216">
        <v>0</v>
      </c>
      <c r="F56" s="216">
        <v>0</v>
      </c>
    </row>
    <row r="57" spans="1:6" x14ac:dyDescent="0.2">
      <c r="A57" s="216" t="s">
        <v>1274</v>
      </c>
      <c r="B57" s="216" t="s">
        <v>2062</v>
      </c>
      <c r="C57" s="216">
        <v>800000</v>
      </c>
      <c r="D57" s="216">
        <v>26969</v>
      </c>
      <c r="E57" s="216">
        <v>0</v>
      </c>
      <c r="F57" s="216">
        <v>0</v>
      </c>
    </row>
    <row r="58" spans="1:6" x14ac:dyDescent="0.2">
      <c r="A58" s="216" t="s">
        <v>1032</v>
      </c>
      <c r="B58" s="216" t="s">
        <v>2063</v>
      </c>
      <c r="C58" s="216">
        <v>61203</v>
      </c>
      <c r="D58" s="216">
        <v>0</v>
      </c>
      <c r="E58" s="216">
        <v>0</v>
      </c>
      <c r="F58" s="216">
        <v>0</v>
      </c>
    </row>
    <row r="59" spans="1:6" x14ac:dyDescent="0.2">
      <c r="A59" s="216" t="s">
        <v>887</v>
      </c>
      <c r="B59" s="216" t="s">
        <v>2064</v>
      </c>
      <c r="C59" s="216">
        <v>357505</v>
      </c>
      <c r="D59" s="216">
        <v>0</v>
      </c>
      <c r="E59" s="216">
        <v>0</v>
      </c>
      <c r="F59" s="216">
        <v>344884</v>
      </c>
    </row>
    <row r="60" spans="1:6" x14ac:dyDescent="0.2">
      <c r="A60" s="216" t="s">
        <v>1516</v>
      </c>
      <c r="B60" s="216" t="s">
        <v>2065</v>
      </c>
      <c r="C60" s="216">
        <v>1216856</v>
      </c>
      <c r="D60" s="216">
        <v>370264</v>
      </c>
      <c r="E60" s="216">
        <v>0</v>
      </c>
      <c r="F60" s="216">
        <v>0</v>
      </c>
    </row>
    <row r="61" spans="1:6" x14ac:dyDescent="0.2">
      <c r="A61" s="216" t="s">
        <v>898</v>
      </c>
      <c r="B61" s="216" t="s">
        <v>2066</v>
      </c>
      <c r="C61" s="216">
        <v>298669</v>
      </c>
      <c r="D61" s="216">
        <v>349669</v>
      </c>
      <c r="E61" s="216">
        <v>84977</v>
      </c>
      <c r="F61" s="216">
        <v>0</v>
      </c>
    </row>
    <row r="62" spans="1:6" x14ac:dyDescent="0.2">
      <c r="A62" s="216" t="s">
        <v>1530</v>
      </c>
      <c r="B62" s="216" t="s">
        <v>2067</v>
      </c>
      <c r="C62" s="216">
        <v>1122019</v>
      </c>
      <c r="D62" s="216">
        <v>0</v>
      </c>
      <c r="E62" s="216">
        <v>32869</v>
      </c>
      <c r="F62" s="216">
        <v>0</v>
      </c>
    </row>
    <row r="63" spans="1:6" x14ac:dyDescent="0.2">
      <c r="A63" s="216" t="s">
        <v>860</v>
      </c>
      <c r="B63" s="216" t="s">
        <v>2068</v>
      </c>
      <c r="C63" s="216">
        <v>12460540</v>
      </c>
      <c r="D63" s="216">
        <v>5731000</v>
      </c>
      <c r="E63" s="216">
        <v>5000000</v>
      </c>
      <c r="F63" s="216">
        <v>5000000</v>
      </c>
    </row>
    <row r="64" spans="1:6" x14ac:dyDescent="0.2">
      <c r="A64" s="216" t="s">
        <v>916</v>
      </c>
      <c r="B64" s="216" t="s">
        <v>2069</v>
      </c>
      <c r="C64" s="216">
        <v>175369</v>
      </c>
      <c r="D64" s="216">
        <v>79091</v>
      </c>
      <c r="E64" s="216">
        <v>583672</v>
      </c>
      <c r="F64" s="216">
        <v>0</v>
      </c>
    </row>
    <row r="65" spans="1:6" x14ac:dyDescent="0.2">
      <c r="A65" s="216" t="s">
        <v>1601</v>
      </c>
      <c r="B65" s="216" t="s">
        <v>2070</v>
      </c>
      <c r="C65" s="216">
        <v>105988</v>
      </c>
      <c r="D65" s="216">
        <v>0</v>
      </c>
      <c r="E65" s="216">
        <v>35929</v>
      </c>
      <c r="F65" s="216">
        <v>0</v>
      </c>
    </row>
    <row r="66" spans="1:6" x14ac:dyDescent="0.2">
      <c r="A66" s="216" t="s">
        <v>866</v>
      </c>
      <c r="B66" s="216" t="s">
        <v>2071</v>
      </c>
      <c r="C66" s="216">
        <v>100000</v>
      </c>
      <c r="D66" s="216">
        <v>218816</v>
      </c>
      <c r="E66" s="216">
        <v>309853</v>
      </c>
      <c r="F66" s="216">
        <v>0</v>
      </c>
    </row>
    <row r="67" spans="1:6" x14ac:dyDescent="0.2">
      <c r="A67" s="216" t="s">
        <v>1365</v>
      </c>
      <c r="B67" s="216" t="s">
        <v>2072</v>
      </c>
      <c r="C67" s="216">
        <v>5597990</v>
      </c>
      <c r="D67" s="216">
        <v>1254673</v>
      </c>
      <c r="E67" s="216">
        <v>2493351</v>
      </c>
      <c r="F67" s="216">
        <v>0</v>
      </c>
    </row>
    <row r="68" spans="1:6" x14ac:dyDescent="0.2">
      <c r="A68" s="216" t="s">
        <v>872</v>
      </c>
      <c r="B68" s="216" t="s">
        <v>2073</v>
      </c>
      <c r="C68" s="216">
        <v>300000</v>
      </c>
      <c r="D68" s="216">
        <v>4508196</v>
      </c>
      <c r="E68" s="216">
        <v>5000000</v>
      </c>
      <c r="F68" s="216">
        <v>1000000</v>
      </c>
    </row>
    <row r="69" spans="1:6" x14ac:dyDescent="0.2">
      <c r="A69" s="216" t="s">
        <v>875</v>
      </c>
      <c r="B69" s="216" t="s">
        <v>2074</v>
      </c>
      <c r="C69" s="216">
        <v>200000</v>
      </c>
      <c r="D69" s="216">
        <v>2915452</v>
      </c>
      <c r="E69" s="216">
        <v>2124684</v>
      </c>
      <c r="F69" s="216">
        <v>2000000</v>
      </c>
    </row>
    <row r="70" spans="1:6" x14ac:dyDescent="0.2">
      <c r="A70" s="216" t="s">
        <v>1241</v>
      </c>
      <c r="B70" s="216" t="s">
        <v>2075</v>
      </c>
      <c r="C70" s="216">
        <v>2595053</v>
      </c>
      <c r="D70" s="216">
        <v>255676</v>
      </c>
      <c r="E70" s="216">
        <v>1817178</v>
      </c>
      <c r="F70" s="216">
        <v>0</v>
      </c>
    </row>
    <row r="71" spans="1:6" x14ac:dyDescent="0.2">
      <c r="A71" s="216" t="s">
        <v>878</v>
      </c>
      <c r="B71" s="216" t="s">
        <v>2076</v>
      </c>
      <c r="C71" s="216">
        <v>500000</v>
      </c>
      <c r="D71" s="216">
        <v>0</v>
      </c>
      <c r="E71" s="216">
        <v>0</v>
      </c>
      <c r="F71" s="216">
        <v>0</v>
      </c>
    </row>
    <row r="72" spans="1:6" x14ac:dyDescent="0.2">
      <c r="A72" s="216" t="s">
        <v>881</v>
      </c>
      <c r="B72" s="216" t="s">
        <v>2077</v>
      </c>
      <c r="C72" s="216">
        <v>3659376</v>
      </c>
      <c r="D72" s="216">
        <v>55933</v>
      </c>
      <c r="E72" s="216">
        <v>0</v>
      </c>
      <c r="F72" s="216">
        <v>1953448</v>
      </c>
    </row>
    <row r="73" spans="1:6" x14ac:dyDescent="0.2">
      <c r="A73" s="216" t="s">
        <v>1362</v>
      </c>
      <c r="B73" s="216" t="s">
        <v>2078</v>
      </c>
      <c r="C73" s="216">
        <v>2546207</v>
      </c>
      <c r="D73" s="216">
        <v>638376</v>
      </c>
      <c r="E73" s="216">
        <v>2568939</v>
      </c>
      <c r="F73" s="216">
        <v>0</v>
      </c>
    </row>
    <row r="74" spans="1:6" x14ac:dyDescent="0.2">
      <c r="A74" s="216" t="s">
        <v>884</v>
      </c>
      <c r="B74" s="216" t="s">
        <v>2079</v>
      </c>
      <c r="C74" s="216">
        <v>1792000</v>
      </c>
      <c r="D74" s="216">
        <v>0</v>
      </c>
      <c r="E74" s="216">
        <v>0</v>
      </c>
      <c r="F74" s="216">
        <v>0</v>
      </c>
    </row>
    <row r="75" spans="1:6" x14ac:dyDescent="0.2">
      <c r="A75" s="216" t="s">
        <v>1071</v>
      </c>
      <c r="B75" s="216" t="s">
        <v>2080</v>
      </c>
      <c r="C75" s="216">
        <v>7946662</v>
      </c>
      <c r="D75" s="216">
        <v>0</v>
      </c>
      <c r="E75" s="216">
        <v>0</v>
      </c>
      <c r="F75" s="216">
        <v>0</v>
      </c>
    </row>
    <row r="76" spans="1:6" x14ac:dyDescent="0.2">
      <c r="A76" s="216" t="s">
        <v>895</v>
      </c>
      <c r="B76" s="216" t="s">
        <v>2081</v>
      </c>
      <c r="C76" s="216">
        <v>2120577</v>
      </c>
      <c r="D76" s="216">
        <v>5094106</v>
      </c>
      <c r="E76" s="216">
        <v>4994536</v>
      </c>
      <c r="F76" s="216">
        <v>0</v>
      </c>
    </row>
    <row r="77" spans="1:6" x14ac:dyDescent="0.2">
      <c r="A77" s="216" t="s">
        <v>999</v>
      </c>
      <c r="B77" s="216" t="s">
        <v>2082</v>
      </c>
      <c r="C77" s="216">
        <v>3796481</v>
      </c>
      <c r="D77" s="216">
        <v>1394507</v>
      </c>
      <c r="E77" s="216">
        <v>0</v>
      </c>
      <c r="F77" s="216">
        <v>0</v>
      </c>
    </row>
    <row r="78" spans="1:6" x14ac:dyDescent="0.2">
      <c r="A78" s="216" t="s">
        <v>901</v>
      </c>
      <c r="B78" s="216" t="s">
        <v>2083</v>
      </c>
      <c r="C78" s="216">
        <v>9609000</v>
      </c>
      <c r="D78" s="216">
        <v>897867</v>
      </c>
      <c r="E78" s="216">
        <v>6124874</v>
      </c>
      <c r="F78" s="216">
        <v>0</v>
      </c>
    </row>
    <row r="79" spans="1:6" x14ac:dyDescent="0.2">
      <c r="A79" s="216" t="s">
        <v>904</v>
      </c>
      <c r="B79" s="216" t="s">
        <v>2084</v>
      </c>
      <c r="C79" s="216">
        <v>100000</v>
      </c>
      <c r="D79" s="216">
        <v>1000000</v>
      </c>
      <c r="E79" s="216">
        <v>0</v>
      </c>
      <c r="F79" s="216">
        <v>0</v>
      </c>
    </row>
    <row r="80" spans="1:6" x14ac:dyDescent="0.2">
      <c r="A80" s="216" t="s">
        <v>990</v>
      </c>
      <c r="B80" s="216" t="s">
        <v>2085</v>
      </c>
      <c r="C80" s="216">
        <v>1139986</v>
      </c>
      <c r="D80" s="216">
        <v>500000</v>
      </c>
      <c r="E80" s="216">
        <v>3220643</v>
      </c>
      <c r="F80" s="216">
        <v>0</v>
      </c>
    </row>
    <row r="81" spans="1:6" x14ac:dyDescent="0.2">
      <c r="A81" s="216" t="s">
        <v>907</v>
      </c>
      <c r="B81" s="216" t="s">
        <v>2086</v>
      </c>
      <c r="C81" s="216">
        <v>12431185</v>
      </c>
      <c r="D81" s="216">
        <v>4843790</v>
      </c>
      <c r="E81" s="216">
        <v>2910115</v>
      </c>
      <c r="F81" s="216">
        <v>0</v>
      </c>
    </row>
    <row r="82" spans="1:6" x14ac:dyDescent="0.2">
      <c r="A82" s="216" t="s">
        <v>1354</v>
      </c>
      <c r="B82" s="216" t="s">
        <v>2087</v>
      </c>
      <c r="C82" s="216">
        <v>6269000</v>
      </c>
      <c r="D82" s="216">
        <v>1345765</v>
      </c>
      <c r="E82" s="216">
        <v>5566267</v>
      </c>
      <c r="F82" s="216">
        <v>0</v>
      </c>
    </row>
    <row r="83" spans="1:6" x14ac:dyDescent="0.2">
      <c r="A83" s="216" t="s">
        <v>910</v>
      </c>
      <c r="B83" s="216" t="s">
        <v>2088</v>
      </c>
      <c r="C83" s="216">
        <v>11955231</v>
      </c>
      <c r="D83" s="216">
        <v>2500000</v>
      </c>
      <c r="E83" s="216">
        <v>3884089</v>
      </c>
      <c r="F83" s="216">
        <v>0</v>
      </c>
    </row>
    <row r="84" spans="1:6" x14ac:dyDescent="0.2">
      <c r="A84" s="216" t="s">
        <v>913</v>
      </c>
      <c r="B84" s="216" t="s">
        <v>2089</v>
      </c>
      <c r="C84" s="216">
        <v>3770000</v>
      </c>
      <c r="D84" s="216">
        <v>876556</v>
      </c>
      <c r="E84" s="216">
        <v>4649244</v>
      </c>
      <c r="F84" s="216">
        <v>7795363</v>
      </c>
    </row>
    <row r="85" spans="1:6" x14ac:dyDescent="0.2">
      <c r="A85" s="216" t="s">
        <v>1380</v>
      </c>
      <c r="B85" s="216" t="s">
        <v>2090</v>
      </c>
      <c r="C85" s="216">
        <v>154969</v>
      </c>
      <c r="D85" s="216">
        <v>0</v>
      </c>
      <c r="E85" s="216">
        <v>0</v>
      </c>
      <c r="F85" s="216">
        <v>0</v>
      </c>
    </row>
    <row r="86" spans="1:6" x14ac:dyDescent="0.2">
      <c r="A86" s="216" t="s">
        <v>919</v>
      </c>
      <c r="B86" s="216" t="s">
        <v>2091</v>
      </c>
      <c r="C86" s="216">
        <v>500000</v>
      </c>
      <c r="D86" s="216">
        <v>0</v>
      </c>
      <c r="E86" s="216">
        <v>0</v>
      </c>
      <c r="F86" s="216">
        <v>0</v>
      </c>
    </row>
    <row r="87" spans="1:6" x14ac:dyDescent="0.2">
      <c r="A87" s="216" t="s">
        <v>1357</v>
      </c>
      <c r="B87" s="216" t="s">
        <v>2092</v>
      </c>
      <c r="C87" s="216">
        <v>630478</v>
      </c>
      <c r="D87" s="216">
        <v>188781</v>
      </c>
      <c r="E87" s="216">
        <v>2845395</v>
      </c>
      <c r="F87" s="216">
        <v>2772809</v>
      </c>
    </row>
    <row r="88" spans="1:6" x14ac:dyDescent="0.2">
      <c r="A88" s="216" t="s">
        <v>925</v>
      </c>
      <c r="B88" s="216" t="s">
        <v>2093</v>
      </c>
      <c r="C88" s="216">
        <v>3860273</v>
      </c>
      <c r="D88" s="216">
        <v>7764202</v>
      </c>
      <c r="E88" s="216">
        <v>0</v>
      </c>
      <c r="F88" s="216">
        <v>500000</v>
      </c>
    </row>
    <row r="89" spans="1:6" x14ac:dyDescent="0.2">
      <c r="A89" s="216" t="s">
        <v>1056</v>
      </c>
      <c r="B89" s="216" t="s">
        <v>2094</v>
      </c>
      <c r="C89" s="216">
        <v>9922902</v>
      </c>
      <c r="D89" s="216">
        <v>180000</v>
      </c>
      <c r="E89" s="216">
        <v>0</v>
      </c>
      <c r="F89" s="216">
        <v>0</v>
      </c>
    </row>
    <row r="90" spans="1:6" x14ac:dyDescent="0.2">
      <c r="A90" s="216" t="s">
        <v>1106</v>
      </c>
      <c r="B90" s="216" t="s">
        <v>2095</v>
      </c>
      <c r="C90" s="216">
        <v>228677</v>
      </c>
      <c r="D90" s="216">
        <v>0</v>
      </c>
      <c r="E90" s="216">
        <v>0</v>
      </c>
      <c r="F90" s="216">
        <v>865181</v>
      </c>
    </row>
    <row r="91" spans="1:6" x14ac:dyDescent="0.2">
      <c r="A91" s="216" t="s">
        <v>931</v>
      </c>
      <c r="B91" s="216" t="s">
        <v>2096</v>
      </c>
      <c r="C91" s="216">
        <v>1800000</v>
      </c>
      <c r="D91" s="216">
        <v>1234564</v>
      </c>
      <c r="E91" s="216">
        <v>0</v>
      </c>
      <c r="F91" s="216">
        <v>680854</v>
      </c>
    </row>
    <row r="92" spans="1:6" x14ac:dyDescent="0.2">
      <c r="A92" s="216" t="s">
        <v>1080</v>
      </c>
      <c r="B92" s="216" t="s">
        <v>2097</v>
      </c>
      <c r="C92" s="216">
        <v>1200000</v>
      </c>
      <c r="D92" s="216">
        <v>2500000</v>
      </c>
      <c r="E92" s="216">
        <v>2882362</v>
      </c>
      <c r="F92" s="216">
        <v>1526602</v>
      </c>
    </row>
    <row r="93" spans="1:6" x14ac:dyDescent="0.2">
      <c r="A93" s="216" t="s">
        <v>933</v>
      </c>
      <c r="B93" s="216" t="s">
        <v>2098</v>
      </c>
      <c r="C93" s="216">
        <v>100000</v>
      </c>
      <c r="D93" s="216">
        <v>2565482</v>
      </c>
      <c r="E93" s="216">
        <v>0</v>
      </c>
      <c r="F93" s="216">
        <v>534518</v>
      </c>
    </row>
    <row r="94" spans="1:6" x14ac:dyDescent="0.2">
      <c r="A94" s="216" t="s">
        <v>1115</v>
      </c>
      <c r="B94" s="216" t="s">
        <v>2099</v>
      </c>
      <c r="C94" s="216">
        <v>800000</v>
      </c>
      <c r="D94" s="216">
        <v>12057170</v>
      </c>
      <c r="E94" s="216">
        <v>6000000</v>
      </c>
      <c r="F94" s="216">
        <v>7375100</v>
      </c>
    </row>
    <row r="95" spans="1:6" x14ac:dyDescent="0.2">
      <c r="A95" s="216" t="s">
        <v>936</v>
      </c>
      <c r="B95" s="216" t="s">
        <v>2100</v>
      </c>
      <c r="C95" s="216">
        <v>2278000</v>
      </c>
      <c r="D95" s="216">
        <v>1683936</v>
      </c>
      <c r="E95" s="216">
        <v>1459275</v>
      </c>
      <c r="F95" s="216">
        <v>0</v>
      </c>
    </row>
    <row r="96" spans="1:6" x14ac:dyDescent="0.2">
      <c r="A96" s="216" t="s">
        <v>1077</v>
      </c>
      <c r="B96" s="216" t="s">
        <v>2101</v>
      </c>
      <c r="C96" s="216">
        <v>12491498</v>
      </c>
      <c r="D96" s="216">
        <v>632388</v>
      </c>
      <c r="E96" s="216">
        <v>41870</v>
      </c>
      <c r="F96" s="216">
        <v>0</v>
      </c>
    </row>
    <row r="97" spans="1:6" x14ac:dyDescent="0.2">
      <c r="A97" s="216" t="s">
        <v>939</v>
      </c>
      <c r="B97" s="216" t="s">
        <v>2102</v>
      </c>
      <c r="C97" s="216">
        <v>100000</v>
      </c>
      <c r="D97" s="216">
        <v>1234564</v>
      </c>
      <c r="E97" s="216">
        <v>0</v>
      </c>
      <c r="F97" s="216">
        <v>3335545</v>
      </c>
    </row>
    <row r="98" spans="1:6" x14ac:dyDescent="0.2">
      <c r="A98" s="216" t="s">
        <v>942</v>
      </c>
      <c r="B98" s="216" t="s">
        <v>2103</v>
      </c>
      <c r="C98" s="216">
        <v>100000</v>
      </c>
      <c r="D98" s="216">
        <v>0</v>
      </c>
      <c r="E98" s="216">
        <v>0</v>
      </c>
      <c r="F98" s="216">
        <v>4317457</v>
      </c>
    </row>
    <row r="99" spans="1:6" x14ac:dyDescent="0.2">
      <c r="A99" s="216" t="s">
        <v>1103</v>
      </c>
      <c r="B99" s="216" t="s">
        <v>2104</v>
      </c>
      <c r="C99" s="216">
        <v>5406629</v>
      </c>
      <c r="D99" s="216">
        <v>0</v>
      </c>
      <c r="E99" s="216">
        <v>304959</v>
      </c>
      <c r="F99" s="216">
        <v>0</v>
      </c>
    </row>
    <row r="100" spans="1:6" x14ac:dyDescent="0.2">
      <c r="A100" s="216" t="s">
        <v>945</v>
      </c>
      <c r="B100" s="216" t="s">
        <v>2105</v>
      </c>
      <c r="C100" s="216">
        <v>700000</v>
      </c>
      <c r="D100" s="216">
        <v>1243456</v>
      </c>
      <c r="E100" s="216">
        <v>0</v>
      </c>
      <c r="F100" s="216">
        <v>2984900</v>
      </c>
    </row>
    <row r="101" spans="1:6" x14ac:dyDescent="0.2">
      <c r="A101" s="216" t="s">
        <v>1277</v>
      </c>
      <c r="B101" s="216" t="s">
        <v>2106</v>
      </c>
      <c r="C101" s="216">
        <v>120201</v>
      </c>
      <c r="D101" s="216">
        <v>0</v>
      </c>
      <c r="E101" s="216">
        <v>0</v>
      </c>
      <c r="F101" s="216">
        <v>0</v>
      </c>
    </row>
    <row r="102" spans="1:6" x14ac:dyDescent="0.2">
      <c r="A102" s="216" t="s">
        <v>948</v>
      </c>
      <c r="B102" s="216" t="s">
        <v>2107</v>
      </c>
      <c r="C102" s="216">
        <v>50000</v>
      </c>
      <c r="D102" s="216">
        <v>0</v>
      </c>
      <c r="E102" s="216">
        <v>0</v>
      </c>
      <c r="F102" s="216">
        <v>1000000</v>
      </c>
    </row>
    <row r="103" spans="1:6" x14ac:dyDescent="0.2">
      <c r="A103" s="216" t="s">
        <v>951</v>
      </c>
      <c r="B103" s="216" t="s">
        <v>2108</v>
      </c>
      <c r="C103" s="216">
        <v>100000</v>
      </c>
      <c r="D103" s="216">
        <v>254875</v>
      </c>
      <c r="E103" s="216">
        <v>0</v>
      </c>
      <c r="F103" s="216">
        <v>500000</v>
      </c>
    </row>
    <row r="104" spans="1:6" x14ac:dyDescent="0.2">
      <c r="A104" s="216" t="s">
        <v>1097</v>
      </c>
      <c r="B104" s="216" t="s">
        <v>2109</v>
      </c>
      <c r="C104" s="216">
        <v>15500800</v>
      </c>
      <c r="D104" s="216">
        <v>4458489</v>
      </c>
      <c r="E104" s="216">
        <v>450011</v>
      </c>
      <c r="F104" s="216">
        <v>0</v>
      </c>
    </row>
    <row r="105" spans="1:6" x14ac:dyDescent="0.2">
      <c r="A105" s="216" t="s">
        <v>954</v>
      </c>
      <c r="B105" s="216" t="s">
        <v>2110</v>
      </c>
      <c r="C105" s="216">
        <v>50000</v>
      </c>
      <c r="D105" s="216">
        <v>0</v>
      </c>
      <c r="E105" s="216">
        <v>0</v>
      </c>
      <c r="F105" s="216">
        <v>1299636</v>
      </c>
    </row>
    <row r="106" spans="1:6" x14ac:dyDescent="0.2">
      <c r="A106" s="216" t="s">
        <v>1065</v>
      </c>
      <c r="B106" s="216" t="s">
        <v>2111</v>
      </c>
      <c r="C106" s="216">
        <v>4289351</v>
      </c>
      <c r="D106" s="216">
        <v>500000</v>
      </c>
      <c r="E106" s="216">
        <v>109570</v>
      </c>
      <c r="F106" s="216">
        <v>0</v>
      </c>
    </row>
    <row r="107" spans="1:6" x14ac:dyDescent="0.2">
      <c r="A107" s="216" t="s">
        <v>957</v>
      </c>
      <c r="B107" s="216" t="s">
        <v>2112</v>
      </c>
      <c r="C107" s="216">
        <v>50000</v>
      </c>
      <c r="D107" s="216">
        <v>0</v>
      </c>
      <c r="E107" s="216">
        <v>0</v>
      </c>
      <c r="F107" s="216">
        <v>300000</v>
      </c>
    </row>
    <row r="108" spans="1:6" x14ac:dyDescent="0.2">
      <c r="A108" s="216" t="s">
        <v>1059</v>
      </c>
      <c r="B108" s="216" t="s">
        <v>2113</v>
      </c>
      <c r="C108" s="216">
        <v>774665</v>
      </c>
      <c r="D108" s="216">
        <v>0</v>
      </c>
      <c r="E108" s="216">
        <v>707599</v>
      </c>
      <c r="F108" s="216">
        <v>0</v>
      </c>
    </row>
    <row r="109" spans="1:6" x14ac:dyDescent="0.2">
      <c r="A109" s="216" t="s">
        <v>960</v>
      </c>
      <c r="B109" s="216" t="s">
        <v>2114</v>
      </c>
      <c r="C109" s="216">
        <v>50000</v>
      </c>
      <c r="D109" s="216">
        <v>251478</v>
      </c>
      <c r="E109" s="216">
        <v>0</v>
      </c>
      <c r="F109" s="216">
        <v>300000</v>
      </c>
    </row>
    <row r="110" spans="1:6" x14ac:dyDescent="0.2">
      <c r="A110" s="216" t="s">
        <v>963</v>
      </c>
      <c r="B110" s="216" t="s">
        <v>2115</v>
      </c>
      <c r="C110" s="216">
        <v>50000</v>
      </c>
      <c r="D110" s="216">
        <v>0</v>
      </c>
      <c r="E110" s="216">
        <v>0</v>
      </c>
      <c r="F110" s="216">
        <v>150000</v>
      </c>
    </row>
    <row r="111" spans="1:6" x14ac:dyDescent="0.2">
      <c r="A111" s="216" t="s">
        <v>1068</v>
      </c>
      <c r="B111" s="216" t="s">
        <v>2116</v>
      </c>
      <c r="C111" s="216">
        <v>3545977</v>
      </c>
      <c r="D111" s="216">
        <v>1000000</v>
      </c>
      <c r="E111" s="216">
        <v>3651450</v>
      </c>
      <c r="F111" s="216">
        <v>1489826</v>
      </c>
    </row>
    <row r="112" spans="1:6" x14ac:dyDescent="0.2">
      <c r="A112" s="216" t="s">
        <v>966</v>
      </c>
      <c r="B112" s="216" t="s">
        <v>2117</v>
      </c>
      <c r="C112" s="216">
        <v>50000</v>
      </c>
      <c r="D112" s="216">
        <v>3985654</v>
      </c>
      <c r="E112" s="216">
        <v>0</v>
      </c>
      <c r="F112" s="216">
        <v>500000</v>
      </c>
    </row>
    <row r="113" spans="1:6" x14ac:dyDescent="0.2">
      <c r="A113" s="216" t="s">
        <v>969</v>
      </c>
      <c r="B113" s="216" t="s">
        <v>2118</v>
      </c>
      <c r="C113" s="216">
        <v>50000</v>
      </c>
      <c r="D113" s="216">
        <v>2375675</v>
      </c>
      <c r="E113" s="216">
        <v>0</v>
      </c>
      <c r="F113" s="216">
        <v>0</v>
      </c>
    </row>
    <row r="114" spans="1:6" x14ac:dyDescent="0.2">
      <c r="A114" s="216" t="s">
        <v>1038</v>
      </c>
      <c r="B114" s="216" t="s">
        <v>2119</v>
      </c>
      <c r="C114" s="216">
        <v>7600000</v>
      </c>
      <c r="D114" s="216">
        <v>413080</v>
      </c>
      <c r="E114" s="216">
        <v>1413086</v>
      </c>
      <c r="F114" s="216">
        <v>5797708</v>
      </c>
    </row>
    <row r="115" spans="1:6" x14ac:dyDescent="0.2">
      <c r="A115" s="216" t="s">
        <v>972</v>
      </c>
      <c r="B115" s="216" t="s">
        <v>2120</v>
      </c>
      <c r="C115" s="216">
        <v>50000</v>
      </c>
      <c r="D115" s="216">
        <v>1278678</v>
      </c>
      <c r="E115" s="216">
        <v>0</v>
      </c>
      <c r="F115" s="216">
        <v>1000000</v>
      </c>
    </row>
    <row r="116" spans="1:6" x14ac:dyDescent="0.2">
      <c r="A116" s="216" t="s">
        <v>1041</v>
      </c>
      <c r="B116" s="216" t="s">
        <v>2121</v>
      </c>
      <c r="C116" s="216">
        <v>3778561</v>
      </c>
      <c r="D116" s="216">
        <v>0</v>
      </c>
      <c r="E116" s="216">
        <v>0</v>
      </c>
      <c r="F116" s="216">
        <v>1047863</v>
      </c>
    </row>
    <row r="117" spans="1:6" x14ac:dyDescent="0.2">
      <c r="A117" s="216" t="s">
        <v>975</v>
      </c>
      <c r="B117" s="216" t="s">
        <v>2122</v>
      </c>
      <c r="C117" s="216">
        <v>50000</v>
      </c>
      <c r="D117" s="216">
        <v>0</v>
      </c>
      <c r="E117" s="216">
        <v>0</v>
      </c>
      <c r="F117" s="216">
        <v>50000</v>
      </c>
    </row>
    <row r="118" spans="1:6" x14ac:dyDescent="0.2">
      <c r="A118" s="216" t="s">
        <v>1053</v>
      </c>
      <c r="B118" s="216" t="s">
        <v>2123</v>
      </c>
      <c r="C118" s="216">
        <v>1732548</v>
      </c>
      <c r="D118" s="216">
        <v>0</v>
      </c>
      <c r="E118" s="216">
        <v>2325267</v>
      </c>
      <c r="F118" s="216">
        <v>0</v>
      </c>
    </row>
    <row r="119" spans="1:6" x14ac:dyDescent="0.2">
      <c r="A119" s="216" t="s">
        <v>978</v>
      </c>
      <c r="B119" s="216" t="s">
        <v>2124</v>
      </c>
      <c r="C119" s="216">
        <v>50000</v>
      </c>
      <c r="D119" s="216">
        <v>0</v>
      </c>
      <c r="E119" s="216">
        <v>0</v>
      </c>
      <c r="F119" s="216">
        <v>2500000</v>
      </c>
    </row>
    <row r="120" spans="1:6" x14ac:dyDescent="0.2">
      <c r="A120" s="216" t="s">
        <v>981</v>
      </c>
      <c r="B120" s="216" t="s">
        <v>2125</v>
      </c>
      <c r="C120" s="216">
        <v>100560</v>
      </c>
      <c r="D120" s="216">
        <v>93700</v>
      </c>
      <c r="E120" s="216">
        <v>0</v>
      </c>
      <c r="F120" s="216">
        <v>0</v>
      </c>
    </row>
    <row r="121" spans="1:6" x14ac:dyDescent="0.2">
      <c r="A121" s="216" t="s">
        <v>983</v>
      </c>
      <c r="B121" s="216" t="s">
        <v>2126</v>
      </c>
      <c r="C121" s="216">
        <v>1000000</v>
      </c>
      <c r="D121" s="216">
        <v>4832260</v>
      </c>
      <c r="E121" s="216">
        <v>1000000</v>
      </c>
      <c r="F121" s="216">
        <v>1000000</v>
      </c>
    </row>
    <row r="122" spans="1:6" x14ac:dyDescent="0.2">
      <c r="A122" s="216" t="s">
        <v>985</v>
      </c>
      <c r="B122" s="216" t="s">
        <v>2127</v>
      </c>
      <c r="C122" s="216">
        <v>100000</v>
      </c>
      <c r="D122" s="216">
        <v>0</v>
      </c>
      <c r="E122" s="216">
        <v>0</v>
      </c>
      <c r="F122" s="216">
        <v>0</v>
      </c>
    </row>
    <row r="123" spans="1:6" x14ac:dyDescent="0.2">
      <c r="A123" s="216" t="s">
        <v>1424</v>
      </c>
      <c r="B123" s="216" t="s">
        <v>2128</v>
      </c>
      <c r="C123" s="216">
        <v>327863</v>
      </c>
      <c r="D123" s="216">
        <v>1876545</v>
      </c>
      <c r="E123" s="216">
        <v>0</v>
      </c>
      <c r="F123" s="216">
        <v>0</v>
      </c>
    </row>
    <row r="124" spans="1:6" x14ac:dyDescent="0.2">
      <c r="A124" s="216" t="s">
        <v>987</v>
      </c>
      <c r="B124" s="216" t="s">
        <v>2129</v>
      </c>
      <c r="C124" s="216">
        <v>11675669</v>
      </c>
      <c r="D124" s="216">
        <v>6000000</v>
      </c>
      <c r="E124" s="216">
        <v>6503691</v>
      </c>
      <c r="F124" s="216">
        <v>7526858</v>
      </c>
    </row>
    <row r="125" spans="1:6" x14ac:dyDescent="0.2">
      <c r="A125" s="216" t="s">
        <v>993</v>
      </c>
      <c r="B125" s="216" t="s">
        <v>2130</v>
      </c>
      <c r="C125" s="216">
        <v>3160785</v>
      </c>
      <c r="D125" s="216">
        <v>5000000</v>
      </c>
      <c r="E125" s="216">
        <v>0</v>
      </c>
      <c r="F125" s="216">
        <v>1000000</v>
      </c>
    </row>
    <row r="126" spans="1:6" x14ac:dyDescent="0.2">
      <c r="A126" s="216" t="s">
        <v>1319</v>
      </c>
      <c r="B126" s="216" t="s">
        <v>2131</v>
      </c>
      <c r="C126" s="216">
        <v>100000</v>
      </c>
      <c r="D126" s="216">
        <v>45539</v>
      </c>
      <c r="E126" s="216">
        <v>0</v>
      </c>
      <c r="F126" s="216">
        <v>0</v>
      </c>
    </row>
    <row r="127" spans="1:6" x14ac:dyDescent="0.2">
      <c r="A127" s="216" t="s">
        <v>996</v>
      </c>
      <c r="B127" s="216" t="s">
        <v>2132</v>
      </c>
      <c r="C127" s="216">
        <v>2028388</v>
      </c>
      <c r="D127" s="216">
        <v>2258011</v>
      </c>
      <c r="E127" s="216">
        <v>0</v>
      </c>
      <c r="F127" s="216">
        <v>0</v>
      </c>
    </row>
    <row r="128" spans="1:6" x14ac:dyDescent="0.2">
      <c r="A128" s="216" t="s">
        <v>1017</v>
      </c>
      <c r="B128" s="216" t="s">
        <v>2133</v>
      </c>
      <c r="C128" s="216">
        <v>2000000</v>
      </c>
      <c r="D128" s="216">
        <v>1547463</v>
      </c>
      <c r="E128" s="216">
        <v>0</v>
      </c>
      <c r="F128" s="216">
        <v>0</v>
      </c>
    </row>
    <row r="129" spans="1:6" x14ac:dyDescent="0.2">
      <c r="A129" s="216" t="s">
        <v>1002</v>
      </c>
      <c r="B129" s="216" t="s">
        <v>2134</v>
      </c>
      <c r="C129" s="216">
        <v>2575916</v>
      </c>
      <c r="D129" s="216">
        <v>2345678</v>
      </c>
      <c r="E129" s="216">
        <v>1558799</v>
      </c>
      <c r="F129" s="216">
        <v>0</v>
      </c>
    </row>
    <row r="130" spans="1:6" x14ac:dyDescent="0.2">
      <c r="A130" s="216" t="s">
        <v>1005</v>
      </c>
      <c r="B130" s="216" t="s">
        <v>2135</v>
      </c>
      <c r="C130" s="216">
        <v>1515300</v>
      </c>
      <c r="D130" s="216">
        <v>2254875</v>
      </c>
      <c r="E130" s="216">
        <v>0</v>
      </c>
      <c r="F130" s="216">
        <v>541142</v>
      </c>
    </row>
    <row r="131" spans="1:6" x14ac:dyDescent="0.2">
      <c r="A131" s="216" t="s">
        <v>1008</v>
      </c>
      <c r="B131" s="216" t="s">
        <v>2136</v>
      </c>
      <c r="C131" s="216">
        <v>1062638</v>
      </c>
      <c r="D131" s="216">
        <v>245874</v>
      </c>
      <c r="E131" s="216">
        <v>0</v>
      </c>
      <c r="F131" s="216">
        <v>0</v>
      </c>
    </row>
    <row r="132" spans="1:6" x14ac:dyDescent="0.2">
      <c r="A132" s="216" t="s">
        <v>1360</v>
      </c>
      <c r="B132" s="216" t="s">
        <v>2137</v>
      </c>
      <c r="C132" s="216">
        <v>1199085</v>
      </c>
      <c r="D132" s="216">
        <v>5128392</v>
      </c>
      <c r="E132" s="216">
        <v>53288</v>
      </c>
      <c r="F132" s="216">
        <v>0</v>
      </c>
    </row>
    <row r="133" spans="1:6" x14ac:dyDescent="0.2">
      <c r="A133" s="216" t="s">
        <v>1011</v>
      </c>
      <c r="B133" s="216" t="s">
        <v>2138</v>
      </c>
      <c r="C133" s="216">
        <v>1893433</v>
      </c>
      <c r="D133" s="216">
        <v>354254</v>
      </c>
      <c r="E133" s="216">
        <v>0</v>
      </c>
      <c r="F133" s="216">
        <v>3069242</v>
      </c>
    </row>
    <row r="134" spans="1:6" x14ac:dyDescent="0.2">
      <c r="A134" s="216" t="s">
        <v>1014</v>
      </c>
      <c r="B134" s="216" t="s">
        <v>2139</v>
      </c>
      <c r="C134" s="216">
        <v>2054253</v>
      </c>
      <c r="D134" s="216">
        <v>2546789</v>
      </c>
      <c r="E134" s="216">
        <v>0</v>
      </c>
      <c r="F134" s="216">
        <v>0</v>
      </c>
    </row>
    <row r="135" spans="1:6" x14ac:dyDescent="0.2">
      <c r="A135" s="216" t="s">
        <v>1271</v>
      </c>
      <c r="B135" s="216" t="s">
        <v>2140</v>
      </c>
      <c r="C135" s="216">
        <v>100000</v>
      </c>
      <c r="D135" s="216">
        <v>0</v>
      </c>
      <c r="E135" s="216">
        <v>0</v>
      </c>
      <c r="F135" s="216">
        <v>0</v>
      </c>
    </row>
    <row r="136" spans="1:6" x14ac:dyDescent="0.2">
      <c r="A136" s="216" t="s">
        <v>1298</v>
      </c>
      <c r="B136" s="216" t="s">
        <v>2141</v>
      </c>
      <c r="C136" s="216">
        <v>100000</v>
      </c>
      <c r="D136" s="216">
        <v>0</v>
      </c>
      <c r="E136" s="216">
        <v>921923</v>
      </c>
      <c r="F136" s="216">
        <v>0</v>
      </c>
    </row>
    <row r="137" spans="1:6" x14ac:dyDescent="0.2">
      <c r="A137" s="216" t="s">
        <v>1020</v>
      </c>
      <c r="B137" s="216" t="s">
        <v>2142</v>
      </c>
      <c r="C137" s="216">
        <v>1556258</v>
      </c>
      <c r="D137" s="216">
        <v>2054256</v>
      </c>
      <c r="E137" s="216">
        <v>0</v>
      </c>
      <c r="F137" s="216">
        <v>994904</v>
      </c>
    </row>
    <row r="138" spans="1:6" x14ac:dyDescent="0.2">
      <c r="A138" s="216" t="s">
        <v>1280</v>
      </c>
      <c r="B138" s="216" t="s">
        <v>2143</v>
      </c>
      <c r="C138" s="216">
        <v>60000</v>
      </c>
      <c r="D138" s="216">
        <v>0</v>
      </c>
      <c r="E138" s="216">
        <v>0</v>
      </c>
      <c r="F138" s="216">
        <v>0</v>
      </c>
    </row>
    <row r="139" spans="1:6" x14ac:dyDescent="0.2">
      <c r="A139" s="216" t="s">
        <v>1023</v>
      </c>
      <c r="B139" s="216" t="s">
        <v>2144</v>
      </c>
      <c r="C139" s="216">
        <v>50000</v>
      </c>
      <c r="D139" s="216">
        <v>254857</v>
      </c>
      <c r="E139" s="216">
        <v>0</v>
      </c>
      <c r="F139" s="216">
        <v>1000000</v>
      </c>
    </row>
    <row r="140" spans="1:6" x14ac:dyDescent="0.2">
      <c r="A140" s="216" t="s">
        <v>1026</v>
      </c>
      <c r="B140" s="216" t="s">
        <v>2145</v>
      </c>
      <c r="C140" s="216">
        <v>100000</v>
      </c>
      <c r="D140" s="216">
        <v>567456</v>
      </c>
      <c r="E140" s="216">
        <v>15577911</v>
      </c>
      <c r="F140" s="216">
        <v>23141649</v>
      </c>
    </row>
    <row r="141" spans="1:6" x14ac:dyDescent="0.2">
      <c r="A141" s="216" t="s">
        <v>1029</v>
      </c>
      <c r="B141" s="216" t="s">
        <v>2146</v>
      </c>
      <c r="C141" s="216">
        <v>2981000</v>
      </c>
      <c r="D141" s="216">
        <v>2654845</v>
      </c>
      <c r="E141" s="216">
        <v>0</v>
      </c>
      <c r="F141" s="216">
        <v>1000000</v>
      </c>
    </row>
    <row r="142" spans="1:6" x14ac:dyDescent="0.2">
      <c r="A142" s="216" t="s">
        <v>1035</v>
      </c>
      <c r="B142" s="216" t="s">
        <v>2147</v>
      </c>
      <c r="C142" s="216">
        <v>1404195</v>
      </c>
      <c r="D142" s="216">
        <v>324567</v>
      </c>
      <c r="E142" s="216">
        <v>0</v>
      </c>
      <c r="F142" s="216">
        <v>936265</v>
      </c>
    </row>
    <row r="143" spans="1:6" x14ac:dyDescent="0.2">
      <c r="A143" s="216" t="s">
        <v>1374</v>
      </c>
      <c r="B143" s="216" t="s">
        <v>2148</v>
      </c>
      <c r="C143" s="216">
        <v>12500000</v>
      </c>
      <c r="D143" s="216">
        <v>4806839</v>
      </c>
      <c r="E143" s="216">
        <v>753613</v>
      </c>
      <c r="F143" s="216">
        <v>0</v>
      </c>
    </row>
    <row r="144" spans="1:6" x14ac:dyDescent="0.2">
      <c r="A144" s="216" t="s">
        <v>1244</v>
      </c>
      <c r="B144" s="216" t="s">
        <v>2149</v>
      </c>
      <c r="C144" s="216">
        <v>5194033</v>
      </c>
      <c r="D144" s="216">
        <v>6569076</v>
      </c>
      <c r="E144" s="216">
        <v>1</v>
      </c>
      <c r="F144" s="216">
        <v>0</v>
      </c>
    </row>
    <row r="145" spans="1:6" x14ac:dyDescent="0.2">
      <c r="A145" s="216" t="s">
        <v>1044</v>
      </c>
      <c r="B145" s="216" t="s">
        <v>2150</v>
      </c>
      <c r="C145" s="216">
        <v>4800690</v>
      </c>
      <c r="D145" s="216">
        <v>4000000</v>
      </c>
      <c r="E145" s="216">
        <v>14883202</v>
      </c>
      <c r="F145" s="216">
        <v>19038629</v>
      </c>
    </row>
    <row r="146" spans="1:6" x14ac:dyDescent="0.2">
      <c r="A146" s="216" t="s">
        <v>1047</v>
      </c>
      <c r="B146" s="216" t="s">
        <v>2151</v>
      </c>
      <c r="C146" s="216">
        <v>100000</v>
      </c>
      <c r="D146" s="216">
        <v>0</v>
      </c>
      <c r="E146" s="216">
        <v>0</v>
      </c>
      <c r="F146" s="216">
        <v>0</v>
      </c>
    </row>
    <row r="147" spans="1:6" x14ac:dyDescent="0.2">
      <c r="A147" s="216" t="s">
        <v>1050</v>
      </c>
      <c r="B147" s="216" t="s">
        <v>2152</v>
      </c>
      <c r="C147" s="216">
        <v>100000</v>
      </c>
      <c r="D147" s="216">
        <v>0</v>
      </c>
      <c r="E147" s="216">
        <v>0</v>
      </c>
      <c r="F147" s="216">
        <v>0</v>
      </c>
    </row>
    <row r="148" spans="1:6" x14ac:dyDescent="0.2">
      <c r="A148" s="216" t="s">
        <v>1403</v>
      </c>
      <c r="B148" s="216" t="s">
        <v>2153</v>
      </c>
      <c r="C148" s="216">
        <v>9468125</v>
      </c>
      <c r="D148" s="216">
        <v>933429</v>
      </c>
      <c r="E148" s="216">
        <v>6042788</v>
      </c>
      <c r="F148" s="216">
        <v>2500000</v>
      </c>
    </row>
    <row r="149" spans="1:6" x14ac:dyDescent="0.2">
      <c r="A149" s="216" t="s">
        <v>1062</v>
      </c>
      <c r="B149" s="216" t="s">
        <v>2154</v>
      </c>
      <c r="C149" s="216">
        <v>1023926</v>
      </c>
      <c r="D149" s="216">
        <v>0</v>
      </c>
      <c r="E149" s="216">
        <v>0</v>
      </c>
      <c r="F149" s="216">
        <v>0</v>
      </c>
    </row>
    <row r="150" spans="1:6" x14ac:dyDescent="0.2">
      <c r="A150" s="216" t="s">
        <v>1371</v>
      </c>
      <c r="B150" s="216" t="s">
        <v>2155</v>
      </c>
      <c r="C150" s="216">
        <v>8000000</v>
      </c>
      <c r="D150" s="216">
        <v>10256256</v>
      </c>
      <c r="E150" s="216">
        <v>15069544</v>
      </c>
      <c r="F150" s="216">
        <v>4478827</v>
      </c>
    </row>
    <row r="151" spans="1:6" x14ac:dyDescent="0.2">
      <c r="A151" s="216" t="s">
        <v>1388</v>
      </c>
      <c r="B151" s="216" t="s">
        <v>2156</v>
      </c>
      <c r="C151" s="216">
        <v>12571000</v>
      </c>
      <c r="D151" s="216">
        <v>5987564</v>
      </c>
      <c r="E151" s="216">
        <v>16094501</v>
      </c>
      <c r="F151" s="216">
        <v>22576094</v>
      </c>
    </row>
    <row r="152" spans="1:6" x14ac:dyDescent="0.2">
      <c r="A152" s="216" t="s">
        <v>1301</v>
      </c>
      <c r="B152" s="216" t="s">
        <v>2157</v>
      </c>
      <c r="C152" s="216">
        <v>100000</v>
      </c>
      <c r="D152" s="216">
        <v>0</v>
      </c>
      <c r="E152" s="216">
        <v>959009</v>
      </c>
      <c r="F152" s="216">
        <v>0</v>
      </c>
    </row>
    <row r="153" spans="1:6" x14ac:dyDescent="0.2">
      <c r="A153" s="216" t="s">
        <v>1238</v>
      </c>
      <c r="B153" s="216" t="s">
        <v>2158</v>
      </c>
      <c r="C153" s="216">
        <v>2769903</v>
      </c>
      <c r="D153" s="216">
        <v>8258956</v>
      </c>
      <c r="E153" s="216">
        <v>6230701</v>
      </c>
      <c r="F153" s="216">
        <v>366030</v>
      </c>
    </row>
    <row r="154" spans="1:6" x14ac:dyDescent="0.2">
      <c r="A154" s="216" t="s">
        <v>1092</v>
      </c>
      <c r="B154" s="216" t="s">
        <v>2159</v>
      </c>
      <c r="C154" s="216">
        <v>800000</v>
      </c>
      <c r="D154" s="216">
        <v>2345478</v>
      </c>
      <c r="E154" s="216">
        <v>9005306</v>
      </c>
      <c r="F154" s="216">
        <v>19493721</v>
      </c>
    </row>
    <row r="155" spans="1:6" x14ac:dyDescent="0.2">
      <c r="A155" s="216" t="s">
        <v>1095</v>
      </c>
      <c r="B155" s="216" t="s">
        <v>2160</v>
      </c>
      <c r="C155" s="216">
        <v>4000000</v>
      </c>
      <c r="D155" s="216">
        <v>8256356</v>
      </c>
      <c r="E155" s="216">
        <v>4200001</v>
      </c>
      <c r="F155" s="216">
        <v>103192</v>
      </c>
    </row>
    <row r="156" spans="1:6" x14ac:dyDescent="0.2">
      <c r="A156" s="216" t="s">
        <v>1100</v>
      </c>
      <c r="B156" s="216" t="s">
        <v>2161</v>
      </c>
      <c r="C156" s="216">
        <v>2800000</v>
      </c>
      <c r="D156" s="216">
        <v>0</v>
      </c>
      <c r="E156" s="216">
        <v>0</v>
      </c>
      <c r="F156" s="216">
        <v>0</v>
      </c>
    </row>
    <row r="157" spans="1:6" x14ac:dyDescent="0.2">
      <c r="A157" s="216" t="s">
        <v>1112</v>
      </c>
      <c r="B157" s="216" t="s">
        <v>2162</v>
      </c>
      <c r="C157" s="216">
        <v>100000</v>
      </c>
      <c r="D157" s="216">
        <v>452541</v>
      </c>
      <c r="E157" s="216">
        <v>0</v>
      </c>
      <c r="F157" s="216">
        <v>1000000</v>
      </c>
    </row>
    <row r="158" spans="1:6" x14ac:dyDescent="0.2">
      <c r="A158" s="216" t="s">
        <v>1118</v>
      </c>
      <c r="B158" s="216" t="s">
        <v>2163</v>
      </c>
      <c r="C158" s="216">
        <v>850000</v>
      </c>
      <c r="D158" s="216">
        <v>454257</v>
      </c>
      <c r="E158" s="216">
        <v>0</v>
      </c>
      <c r="F158" s="216">
        <v>1000000</v>
      </c>
    </row>
    <row r="159" spans="1:6" x14ac:dyDescent="0.2">
      <c r="A159" s="216" t="s">
        <v>1510</v>
      </c>
      <c r="B159" s="216" t="s">
        <v>2164</v>
      </c>
      <c r="C159" s="216">
        <v>513444</v>
      </c>
      <c r="D159" s="216">
        <v>0</v>
      </c>
      <c r="E159" s="216">
        <v>0</v>
      </c>
      <c r="F159" s="216">
        <v>0</v>
      </c>
    </row>
    <row r="160" spans="1:6" x14ac:dyDescent="0.2">
      <c r="A160" s="216" t="s">
        <v>1121</v>
      </c>
      <c r="B160" s="216" t="s">
        <v>2165</v>
      </c>
      <c r="C160" s="216">
        <v>800000</v>
      </c>
      <c r="D160" s="216">
        <v>0</v>
      </c>
      <c r="E160" s="216">
        <v>0</v>
      </c>
      <c r="F160" s="216">
        <v>0</v>
      </c>
    </row>
    <row r="161" spans="1:6" x14ac:dyDescent="0.2">
      <c r="A161" s="216" t="s">
        <v>1391</v>
      </c>
      <c r="B161" s="216" t="s">
        <v>2166</v>
      </c>
      <c r="C161" s="216">
        <v>250000</v>
      </c>
      <c r="D161" s="216">
        <v>0</v>
      </c>
      <c r="E161" s="216">
        <v>0</v>
      </c>
      <c r="F161" s="216">
        <v>0</v>
      </c>
    </row>
    <row r="162" spans="1:6" x14ac:dyDescent="0.2">
      <c r="A162" s="216" t="s">
        <v>1127</v>
      </c>
      <c r="B162" s="216" t="s">
        <v>2167</v>
      </c>
      <c r="C162" s="216">
        <v>800000</v>
      </c>
      <c r="D162" s="216">
        <v>7856258</v>
      </c>
      <c r="E162" s="216">
        <v>0</v>
      </c>
      <c r="F162" s="216">
        <v>3000000</v>
      </c>
    </row>
    <row r="163" spans="1:6" x14ac:dyDescent="0.2">
      <c r="A163" s="216" t="s">
        <v>1443</v>
      </c>
      <c r="B163" s="216" t="s">
        <v>2168</v>
      </c>
      <c r="C163" s="216">
        <v>100000</v>
      </c>
      <c r="D163" s="216">
        <v>2089685</v>
      </c>
      <c r="E163" s="216">
        <v>3000000</v>
      </c>
      <c r="F163" s="216">
        <v>11639950</v>
      </c>
    </row>
    <row r="164" spans="1:6" x14ac:dyDescent="0.2">
      <c r="A164" s="216" t="s">
        <v>1130</v>
      </c>
      <c r="B164" s="216" t="s">
        <v>2169</v>
      </c>
      <c r="C164" s="216">
        <v>800000</v>
      </c>
      <c r="D164" s="216">
        <v>10345657</v>
      </c>
      <c r="E164" s="216">
        <v>0</v>
      </c>
      <c r="F164" s="216">
        <v>10973904</v>
      </c>
    </row>
    <row r="165" spans="1:6" x14ac:dyDescent="0.2">
      <c r="A165" s="216" t="s">
        <v>1694</v>
      </c>
      <c r="B165" s="216" t="s">
        <v>2170</v>
      </c>
      <c r="C165" s="216">
        <v>309908</v>
      </c>
      <c r="D165" s="216">
        <v>29240</v>
      </c>
      <c r="E165" s="216">
        <v>1302067</v>
      </c>
      <c r="F165" s="216">
        <v>604135</v>
      </c>
    </row>
    <row r="166" spans="1:6" x14ac:dyDescent="0.2">
      <c r="A166" s="216" t="s">
        <v>1133</v>
      </c>
      <c r="B166" s="216" t="s">
        <v>2171</v>
      </c>
      <c r="C166" s="216">
        <v>800000</v>
      </c>
      <c r="D166" s="216">
        <v>5485623</v>
      </c>
      <c r="E166" s="216">
        <v>0</v>
      </c>
      <c r="F166" s="216">
        <v>1000000</v>
      </c>
    </row>
    <row r="167" spans="1:6" x14ac:dyDescent="0.2">
      <c r="A167" s="216" t="s">
        <v>1136</v>
      </c>
      <c r="B167" s="216" t="s">
        <v>2172</v>
      </c>
      <c r="C167" s="216">
        <v>800000</v>
      </c>
      <c r="D167" s="216">
        <v>8574875</v>
      </c>
      <c r="E167" s="216">
        <v>0</v>
      </c>
      <c r="F167" s="216">
        <v>1000000</v>
      </c>
    </row>
    <row r="168" spans="1:6" x14ac:dyDescent="0.2">
      <c r="A168" s="216" t="s">
        <v>1139</v>
      </c>
      <c r="B168" s="216" t="s">
        <v>2173</v>
      </c>
      <c r="C168" s="216">
        <v>800000</v>
      </c>
      <c r="D168" s="216">
        <v>5500000</v>
      </c>
      <c r="E168" s="216">
        <v>0</v>
      </c>
      <c r="F168" s="216">
        <v>1000000</v>
      </c>
    </row>
    <row r="169" spans="1:6" x14ac:dyDescent="0.2">
      <c r="A169" s="216" t="s">
        <v>1142</v>
      </c>
      <c r="B169" s="216" t="s">
        <v>2174</v>
      </c>
      <c r="C169" s="216">
        <v>157636</v>
      </c>
      <c r="D169" s="216">
        <v>12958615</v>
      </c>
      <c r="E169" s="216">
        <v>0</v>
      </c>
      <c r="F169" s="216">
        <v>6000000</v>
      </c>
    </row>
    <row r="170" spans="1:6" x14ac:dyDescent="0.2">
      <c r="A170" s="216" t="s">
        <v>1148</v>
      </c>
      <c r="B170" s="216" t="s">
        <v>2175</v>
      </c>
      <c r="C170" s="216">
        <v>800000</v>
      </c>
      <c r="D170" s="216">
        <v>0</v>
      </c>
      <c r="E170" s="216">
        <v>0</v>
      </c>
      <c r="F170" s="216">
        <v>1000000</v>
      </c>
    </row>
    <row r="171" spans="1:6" x14ac:dyDescent="0.2">
      <c r="A171" s="216" t="s">
        <v>1151</v>
      </c>
      <c r="B171" s="216" t="s">
        <v>2176</v>
      </c>
      <c r="C171" s="216">
        <v>800000</v>
      </c>
      <c r="D171" s="216">
        <v>354785</v>
      </c>
      <c r="E171" s="216">
        <v>0</v>
      </c>
      <c r="F171" s="216">
        <v>500000</v>
      </c>
    </row>
    <row r="172" spans="1:6" x14ac:dyDescent="0.2">
      <c r="A172" s="216" t="s">
        <v>1154</v>
      </c>
      <c r="B172" s="216" t="s">
        <v>2177</v>
      </c>
      <c r="C172" s="216">
        <v>500000</v>
      </c>
      <c r="D172" s="216">
        <v>251485</v>
      </c>
      <c r="E172" s="216">
        <v>0</v>
      </c>
      <c r="F172" s="216">
        <v>960621</v>
      </c>
    </row>
    <row r="173" spans="1:6" x14ac:dyDescent="0.2">
      <c r="A173" s="216" t="s">
        <v>1157</v>
      </c>
      <c r="B173" s="216" t="s">
        <v>2178</v>
      </c>
      <c r="C173" s="216">
        <v>800000</v>
      </c>
      <c r="D173" s="216">
        <v>854254</v>
      </c>
      <c r="E173" s="216">
        <v>0</v>
      </c>
      <c r="F173" s="216">
        <v>1000000</v>
      </c>
    </row>
    <row r="174" spans="1:6" x14ac:dyDescent="0.2">
      <c r="A174" s="216" t="s">
        <v>1160</v>
      </c>
      <c r="B174" s="216" t="s">
        <v>2179</v>
      </c>
      <c r="C174" s="216">
        <v>583691</v>
      </c>
      <c r="D174" s="216">
        <v>7526548</v>
      </c>
      <c r="E174" s="216">
        <v>0</v>
      </c>
      <c r="F174" s="216">
        <v>0</v>
      </c>
    </row>
    <row r="175" spans="1:6" x14ac:dyDescent="0.2">
      <c r="A175" s="216" t="s">
        <v>1163</v>
      </c>
      <c r="B175" s="216" t="s">
        <v>2180</v>
      </c>
      <c r="C175" s="216">
        <v>800000</v>
      </c>
      <c r="D175" s="216">
        <v>0</v>
      </c>
      <c r="E175" s="216">
        <v>0</v>
      </c>
      <c r="F175" s="216">
        <v>1000000</v>
      </c>
    </row>
    <row r="176" spans="1:6" x14ac:dyDescent="0.2">
      <c r="A176" s="216" t="s">
        <v>1449</v>
      </c>
      <c r="B176" s="216" t="s">
        <v>2181</v>
      </c>
      <c r="C176" s="216">
        <v>1500000</v>
      </c>
      <c r="D176" s="216">
        <v>4950944</v>
      </c>
      <c r="E176" s="216">
        <v>5144103</v>
      </c>
      <c r="F176" s="216">
        <v>4718085</v>
      </c>
    </row>
    <row r="177" spans="1:6" x14ac:dyDescent="0.2">
      <c r="A177" s="216" t="s">
        <v>1166</v>
      </c>
      <c r="B177" s="216" t="s">
        <v>2182</v>
      </c>
      <c r="C177" s="216">
        <v>50000</v>
      </c>
      <c r="D177" s="216">
        <v>0</v>
      </c>
      <c r="E177" s="216">
        <v>0</v>
      </c>
      <c r="F177" s="216">
        <v>0</v>
      </c>
    </row>
    <row r="178" spans="1:6" x14ac:dyDescent="0.2">
      <c r="A178" s="216" t="s">
        <v>1455</v>
      </c>
      <c r="B178" s="216" t="s">
        <v>2183</v>
      </c>
      <c r="C178" s="216">
        <v>200000</v>
      </c>
      <c r="D178" s="216">
        <v>0</v>
      </c>
      <c r="E178" s="216">
        <v>0</v>
      </c>
      <c r="F178" s="216">
        <v>0</v>
      </c>
    </row>
    <row r="179" spans="1:6" x14ac:dyDescent="0.2">
      <c r="A179" s="216" t="s">
        <v>1169</v>
      </c>
      <c r="B179" s="216" t="s">
        <v>2184</v>
      </c>
      <c r="C179" s="216">
        <v>67202</v>
      </c>
      <c r="D179" s="216">
        <v>0</v>
      </c>
      <c r="E179" s="216">
        <v>5000000</v>
      </c>
      <c r="F179" s="216">
        <v>0</v>
      </c>
    </row>
    <row r="180" spans="1:6" x14ac:dyDescent="0.2">
      <c r="A180" s="216" t="s">
        <v>1172</v>
      </c>
      <c r="B180" s="216" t="s">
        <v>2185</v>
      </c>
      <c r="C180" s="216">
        <v>50000</v>
      </c>
      <c r="D180" s="216">
        <v>348574</v>
      </c>
      <c r="E180" s="216">
        <v>0</v>
      </c>
      <c r="F180" s="216">
        <v>800000</v>
      </c>
    </row>
    <row r="181" spans="1:6" x14ac:dyDescent="0.2">
      <c r="A181" s="216" t="s">
        <v>1175</v>
      </c>
      <c r="B181" s="216" t="s">
        <v>2186</v>
      </c>
      <c r="C181" s="216">
        <v>50000</v>
      </c>
      <c r="D181" s="216">
        <v>0</v>
      </c>
      <c r="E181" s="216">
        <v>0</v>
      </c>
      <c r="F181" s="216">
        <v>1000000</v>
      </c>
    </row>
    <row r="182" spans="1:6" x14ac:dyDescent="0.2">
      <c r="A182" s="216" t="s">
        <v>1178</v>
      </c>
      <c r="B182" s="216" t="s">
        <v>2187</v>
      </c>
      <c r="C182" s="216">
        <v>50000</v>
      </c>
      <c r="D182" s="216">
        <v>2859865</v>
      </c>
      <c r="E182" s="216">
        <v>0</v>
      </c>
      <c r="F182" s="216">
        <v>2881732</v>
      </c>
    </row>
    <row r="183" spans="1:6" x14ac:dyDescent="0.2">
      <c r="A183" s="216" t="s">
        <v>1217</v>
      </c>
      <c r="B183" s="216" t="s">
        <v>2188</v>
      </c>
      <c r="C183" s="216">
        <v>2080646</v>
      </c>
      <c r="D183" s="216">
        <v>70728</v>
      </c>
      <c r="E183" s="216">
        <v>300000</v>
      </c>
      <c r="F183" s="216">
        <v>300000</v>
      </c>
    </row>
    <row r="184" spans="1:6" x14ac:dyDescent="0.2">
      <c r="A184" s="216" t="s">
        <v>1181</v>
      </c>
      <c r="B184" s="216" t="s">
        <v>2189</v>
      </c>
      <c r="C184" s="216">
        <v>800000</v>
      </c>
      <c r="D184" s="216">
        <v>0</v>
      </c>
      <c r="E184" s="216">
        <v>0</v>
      </c>
      <c r="F184" s="216">
        <v>2500000</v>
      </c>
    </row>
    <row r="185" spans="1:6" x14ac:dyDescent="0.2">
      <c r="A185" s="216" t="s">
        <v>1184</v>
      </c>
      <c r="B185" s="216" t="s">
        <v>2190</v>
      </c>
      <c r="C185" s="216">
        <v>50000</v>
      </c>
      <c r="D185" s="216">
        <v>200000</v>
      </c>
      <c r="E185" s="216">
        <v>0</v>
      </c>
      <c r="F185" s="216">
        <v>2000000</v>
      </c>
    </row>
    <row r="186" spans="1:6" x14ac:dyDescent="0.2">
      <c r="A186" s="216" t="s">
        <v>1187</v>
      </c>
      <c r="B186" s="216" t="s">
        <v>2191</v>
      </c>
      <c r="C186" s="216">
        <v>50000</v>
      </c>
      <c r="D186" s="216">
        <v>358745</v>
      </c>
      <c r="E186" s="216">
        <v>0</v>
      </c>
      <c r="F186" s="216">
        <v>200000</v>
      </c>
    </row>
    <row r="187" spans="1:6" x14ac:dyDescent="0.2">
      <c r="A187" s="216" t="s">
        <v>1190</v>
      </c>
      <c r="B187" s="216" t="s">
        <v>2192</v>
      </c>
      <c r="C187" s="216">
        <v>50000</v>
      </c>
      <c r="D187" s="216">
        <v>1143284</v>
      </c>
      <c r="E187" s="216">
        <v>37381</v>
      </c>
      <c r="F187" s="216">
        <v>0</v>
      </c>
    </row>
    <row r="188" spans="1:6" x14ac:dyDescent="0.2">
      <c r="A188" s="216" t="s">
        <v>1193</v>
      </c>
      <c r="B188" s="216" t="s">
        <v>2193</v>
      </c>
      <c r="C188" s="216">
        <v>50000</v>
      </c>
      <c r="D188" s="216">
        <v>385474</v>
      </c>
      <c r="E188" s="216">
        <v>0</v>
      </c>
      <c r="F188" s="216">
        <v>5626284</v>
      </c>
    </row>
    <row r="189" spans="1:6" x14ac:dyDescent="0.2">
      <c r="A189" s="216" t="s">
        <v>1196</v>
      </c>
      <c r="B189" s="216" t="s">
        <v>2194</v>
      </c>
      <c r="C189" s="216">
        <v>50000</v>
      </c>
      <c r="D189" s="216">
        <v>0</v>
      </c>
      <c r="E189" s="216">
        <v>0</v>
      </c>
      <c r="F189" s="216">
        <v>1000000</v>
      </c>
    </row>
    <row r="190" spans="1:6" x14ac:dyDescent="0.2">
      <c r="A190" s="216" t="s">
        <v>1199</v>
      </c>
      <c r="B190" s="216" t="s">
        <v>2195</v>
      </c>
      <c r="C190" s="216">
        <v>50000</v>
      </c>
      <c r="D190" s="216">
        <v>185425</v>
      </c>
      <c r="E190" s="216">
        <v>500000</v>
      </c>
      <c r="F190" s="216">
        <v>1077676</v>
      </c>
    </row>
    <row r="191" spans="1:6" x14ac:dyDescent="0.2">
      <c r="A191" s="216" t="s">
        <v>1377</v>
      </c>
      <c r="B191" s="216" t="s">
        <v>2196</v>
      </c>
      <c r="C191" s="216">
        <v>1950000</v>
      </c>
      <c r="D191" s="216">
        <v>0</v>
      </c>
      <c r="E191" s="216">
        <v>1500000</v>
      </c>
      <c r="F191" s="216">
        <v>2450000</v>
      </c>
    </row>
    <row r="192" spans="1:6" x14ac:dyDescent="0.2">
      <c r="A192" s="216" t="s">
        <v>1202</v>
      </c>
      <c r="B192" s="216" t="s">
        <v>2197</v>
      </c>
      <c r="C192" s="216">
        <v>50000</v>
      </c>
      <c r="D192" s="216">
        <v>5548752</v>
      </c>
      <c r="E192" s="216">
        <v>0</v>
      </c>
      <c r="F192" s="216">
        <v>1000000</v>
      </c>
    </row>
    <row r="193" spans="1:6" x14ac:dyDescent="0.2">
      <c r="A193" s="216" t="s">
        <v>1406</v>
      </c>
      <c r="B193" s="216" t="s">
        <v>2198</v>
      </c>
      <c r="C193" s="216">
        <v>1000000</v>
      </c>
      <c r="D193" s="216">
        <v>0</v>
      </c>
      <c r="E193" s="216">
        <v>0</v>
      </c>
      <c r="F193" s="216">
        <v>0</v>
      </c>
    </row>
    <row r="194" spans="1:6" x14ac:dyDescent="0.2">
      <c r="A194" s="216" t="s">
        <v>1205</v>
      </c>
      <c r="B194" s="216" t="s">
        <v>2199</v>
      </c>
      <c r="C194" s="216">
        <v>50000</v>
      </c>
      <c r="D194" s="216">
        <v>0</v>
      </c>
      <c r="E194" s="216">
        <v>0</v>
      </c>
      <c r="F194" s="216">
        <v>500000</v>
      </c>
    </row>
    <row r="195" spans="1:6" x14ac:dyDescent="0.2">
      <c r="A195" s="216" t="s">
        <v>1584</v>
      </c>
      <c r="B195" s="216" t="s">
        <v>2200</v>
      </c>
      <c r="C195" s="216">
        <v>111816</v>
      </c>
      <c r="D195" s="216">
        <v>978654</v>
      </c>
      <c r="E195" s="216">
        <v>625659</v>
      </c>
      <c r="F195" s="216">
        <v>0</v>
      </c>
    </row>
    <row r="196" spans="1:6" x14ac:dyDescent="0.2">
      <c r="A196" s="216" t="s">
        <v>1208</v>
      </c>
      <c r="B196" s="216" t="s">
        <v>2201</v>
      </c>
      <c r="C196" s="216">
        <v>50000</v>
      </c>
      <c r="D196" s="216">
        <v>357845</v>
      </c>
      <c r="E196" s="216">
        <v>0</v>
      </c>
      <c r="F196" s="216">
        <v>1000000</v>
      </c>
    </row>
    <row r="197" spans="1:6" x14ac:dyDescent="0.2">
      <c r="A197" s="216" t="s">
        <v>1211</v>
      </c>
      <c r="B197" s="216" t="s">
        <v>2202</v>
      </c>
      <c r="C197" s="216">
        <v>800000</v>
      </c>
      <c r="D197" s="216">
        <v>285985</v>
      </c>
      <c r="E197" s="216">
        <v>0</v>
      </c>
      <c r="F197" s="216">
        <v>1000000</v>
      </c>
    </row>
    <row r="198" spans="1:6" x14ac:dyDescent="0.2">
      <c r="A198" s="216" t="s">
        <v>1544</v>
      </c>
      <c r="B198" s="216" t="s">
        <v>2203</v>
      </c>
      <c r="C198" s="216">
        <v>45161</v>
      </c>
      <c r="D198" s="216">
        <v>254874</v>
      </c>
      <c r="E198" s="216">
        <v>133958</v>
      </c>
      <c r="F198" s="216">
        <v>133958</v>
      </c>
    </row>
    <row r="199" spans="1:6" x14ac:dyDescent="0.2">
      <c r="A199" s="216" t="s">
        <v>1214</v>
      </c>
      <c r="B199" s="216" t="s">
        <v>2204</v>
      </c>
      <c r="C199" s="216">
        <v>50000</v>
      </c>
      <c r="D199" s="216">
        <v>248565</v>
      </c>
      <c r="E199" s="216">
        <v>0</v>
      </c>
      <c r="F199" s="216">
        <v>500000</v>
      </c>
    </row>
    <row r="200" spans="1:6" x14ac:dyDescent="0.2">
      <c r="A200" s="216" t="s">
        <v>1437</v>
      </c>
      <c r="B200" s="216" t="s">
        <v>2205</v>
      </c>
      <c r="C200" s="216">
        <v>100000</v>
      </c>
      <c r="D200" s="216">
        <v>7898542</v>
      </c>
      <c r="E200" s="216">
        <v>0</v>
      </c>
      <c r="F200" s="216">
        <v>1000000</v>
      </c>
    </row>
    <row r="201" spans="1:6" x14ac:dyDescent="0.2">
      <c r="A201" s="216" t="s">
        <v>1446</v>
      </c>
      <c r="B201" s="216" t="s">
        <v>2206</v>
      </c>
      <c r="C201" s="216">
        <v>200000</v>
      </c>
      <c r="D201" s="216">
        <v>8562546</v>
      </c>
      <c r="E201" s="216">
        <v>5000000</v>
      </c>
      <c r="F201" s="216">
        <v>5168291</v>
      </c>
    </row>
    <row r="202" spans="1:6" x14ac:dyDescent="0.2">
      <c r="A202" s="216" t="s">
        <v>1488</v>
      </c>
      <c r="B202" s="216" t="s">
        <v>2207</v>
      </c>
      <c r="C202" s="216">
        <v>50000</v>
      </c>
      <c r="D202" s="216">
        <v>1525657</v>
      </c>
      <c r="E202" s="216">
        <v>0</v>
      </c>
      <c r="F202" s="216">
        <v>1145070</v>
      </c>
    </row>
    <row r="203" spans="1:6" x14ac:dyDescent="0.2">
      <c r="A203" s="216" t="s">
        <v>1223</v>
      </c>
      <c r="B203" s="216" t="s">
        <v>2208</v>
      </c>
      <c r="C203" s="216">
        <v>100000</v>
      </c>
      <c r="D203" s="216">
        <v>0</v>
      </c>
      <c r="E203" s="216">
        <v>2000000</v>
      </c>
      <c r="F203" s="216">
        <v>2000000</v>
      </c>
    </row>
    <row r="204" spans="1:6" x14ac:dyDescent="0.2">
      <c r="A204" s="216" t="s">
        <v>1476</v>
      </c>
      <c r="B204" s="216" t="s">
        <v>2209</v>
      </c>
      <c r="C204" s="216">
        <v>50000</v>
      </c>
      <c r="D204" s="216">
        <v>254525</v>
      </c>
      <c r="E204" s="216">
        <v>0</v>
      </c>
      <c r="F204" s="216">
        <v>1345475</v>
      </c>
    </row>
    <row r="205" spans="1:6" x14ac:dyDescent="0.2">
      <c r="A205" s="216" t="s">
        <v>1226</v>
      </c>
      <c r="B205" s="216" t="s">
        <v>2210</v>
      </c>
      <c r="C205" s="216">
        <v>3500504</v>
      </c>
      <c r="D205" s="216">
        <v>587541</v>
      </c>
      <c r="E205" s="216">
        <v>0</v>
      </c>
      <c r="F205" s="216">
        <v>1000000</v>
      </c>
    </row>
    <row r="206" spans="1:6" x14ac:dyDescent="0.2">
      <c r="A206" s="216" t="s">
        <v>1265</v>
      </c>
      <c r="B206" s="216" t="s">
        <v>2211</v>
      </c>
      <c r="C206" s="216">
        <v>2878733</v>
      </c>
      <c r="D206" s="216">
        <v>0</v>
      </c>
      <c r="E206" s="216">
        <v>0</v>
      </c>
      <c r="F206" s="216">
        <v>0</v>
      </c>
    </row>
    <row r="207" spans="1:6" x14ac:dyDescent="0.2">
      <c r="A207" s="216" t="s">
        <v>1229</v>
      </c>
      <c r="B207" s="216" t="s">
        <v>2212</v>
      </c>
      <c r="C207" s="216">
        <v>3000000</v>
      </c>
      <c r="D207" s="216">
        <v>6984785</v>
      </c>
      <c r="E207" s="216">
        <v>0</v>
      </c>
      <c r="F207" s="216">
        <v>6681576</v>
      </c>
    </row>
    <row r="208" spans="1:6" x14ac:dyDescent="0.2">
      <c r="A208" s="216" t="s">
        <v>1232</v>
      </c>
      <c r="B208" s="216" t="s">
        <v>2213</v>
      </c>
      <c r="C208" s="216">
        <v>6239845</v>
      </c>
      <c r="D208" s="216">
        <v>8796121</v>
      </c>
      <c r="E208" s="216">
        <v>0</v>
      </c>
      <c r="F208" s="216">
        <v>7055000</v>
      </c>
    </row>
    <row r="209" spans="1:6" x14ac:dyDescent="0.2">
      <c r="A209" s="216" t="s">
        <v>1235</v>
      </c>
      <c r="B209" s="216" t="s">
        <v>2214</v>
      </c>
      <c r="C209" s="216">
        <v>3832600</v>
      </c>
      <c r="D209" s="216">
        <v>5698456</v>
      </c>
      <c r="E209" s="216">
        <v>6500000</v>
      </c>
      <c r="F209" s="216">
        <v>7136543</v>
      </c>
    </row>
    <row r="210" spans="1:6" x14ac:dyDescent="0.2">
      <c r="A210" s="216" t="s">
        <v>1394</v>
      </c>
      <c r="B210" s="216" t="s">
        <v>2215</v>
      </c>
      <c r="C210" s="216">
        <v>5319000</v>
      </c>
      <c r="D210" s="216">
        <v>8587485</v>
      </c>
      <c r="E210" s="216">
        <v>0</v>
      </c>
      <c r="F210" s="216">
        <v>1000000</v>
      </c>
    </row>
    <row r="211" spans="1:6" x14ac:dyDescent="0.2">
      <c r="A211" s="216" t="s">
        <v>1307</v>
      </c>
      <c r="B211" s="216" t="s">
        <v>2216</v>
      </c>
      <c r="C211" s="216">
        <v>100000</v>
      </c>
      <c r="D211" s="216">
        <v>1243456</v>
      </c>
      <c r="E211" s="216">
        <v>0</v>
      </c>
      <c r="F211" s="216">
        <v>575449</v>
      </c>
    </row>
    <row r="212" spans="1:6" x14ac:dyDescent="0.2">
      <c r="A212" s="216" t="s">
        <v>1247</v>
      </c>
      <c r="B212" s="216" t="s">
        <v>2217</v>
      </c>
      <c r="C212" s="216">
        <v>2805112</v>
      </c>
      <c r="D212" s="216">
        <v>4556857</v>
      </c>
      <c r="E212" s="216">
        <v>0</v>
      </c>
      <c r="F212" s="216">
        <v>0</v>
      </c>
    </row>
    <row r="213" spans="1:6" x14ac:dyDescent="0.2">
      <c r="A213" s="216" t="s">
        <v>1250</v>
      </c>
      <c r="B213" s="216" t="s">
        <v>2218</v>
      </c>
      <c r="C213" s="216">
        <v>2000000</v>
      </c>
      <c r="D213" s="216">
        <v>5654259</v>
      </c>
      <c r="E213" s="216">
        <v>0</v>
      </c>
      <c r="F213" s="216">
        <v>500000</v>
      </c>
    </row>
    <row r="214" spans="1:6" x14ac:dyDescent="0.2">
      <c r="A214" s="216" t="s">
        <v>1253</v>
      </c>
      <c r="B214" s="216" t="s">
        <v>2219</v>
      </c>
      <c r="C214" s="216">
        <v>1500000</v>
      </c>
      <c r="D214" s="216">
        <v>2568954</v>
      </c>
      <c r="E214" s="216">
        <v>0</v>
      </c>
      <c r="F214" s="216">
        <v>500000</v>
      </c>
    </row>
    <row r="215" spans="1:6" x14ac:dyDescent="0.2">
      <c r="A215" s="216" t="s">
        <v>1541</v>
      </c>
      <c r="B215" s="216" t="s">
        <v>2220</v>
      </c>
      <c r="C215" s="216">
        <v>300000</v>
      </c>
      <c r="D215" s="216">
        <v>6325512</v>
      </c>
      <c r="E215" s="216">
        <v>500000</v>
      </c>
      <c r="F215" s="216">
        <v>3000000</v>
      </c>
    </row>
    <row r="216" spans="1:6" x14ac:dyDescent="0.2">
      <c r="A216" s="216" t="s">
        <v>1262</v>
      </c>
      <c r="B216" s="216" t="s">
        <v>2221</v>
      </c>
      <c r="C216" s="216">
        <v>699403</v>
      </c>
      <c r="D216" s="216">
        <v>0</v>
      </c>
      <c r="E216" s="216">
        <v>0</v>
      </c>
      <c r="F216" s="216">
        <v>0</v>
      </c>
    </row>
    <row r="217" spans="1:6" x14ac:dyDescent="0.2">
      <c r="A217" s="216" t="s">
        <v>1412</v>
      </c>
      <c r="B217" s="216" t="s">
        <v>2222</v>
      </c>
      <c r="C217" s="216">
        <v>12000000</v>
      </c>
      <c r="D217" s="216">
        <v>14558623</v>
      </c>
      <c r="E217" s="216">
        <v>14894208</v>
      </c>
      <c r="F217" s="216">
        <v>10928387</v>
      </c>
    </row>
    <row r="218" spans="1:6" x14ac:dyDescent="0.2">
      <c r="A218" s="216" t="s">
        <v>1283</v>
      </c>
      <c r="B218" s="216" t="s">
        <v>2223</v>
      </c>
      <c r="C218" s="216">
        <v>100000</v>
      </c>
      <c r="D218" s="216">
        <v>0</v>
      </c>
      <c r="E218" s="216">
        <v>0</v>
      </c>
      <c r="F218" s="216">
        <v>2483946</v>
      </c>
    </row>
    <row r="219" spans="1:6" x14ac:dyDescent="0.2">
      <c r="A219" s="216" t="s">
        <v>1286</v>
      </c>
      <c r="B219" s="216" t="s">
        <v>2224</v>
      </c>
      <c r="C219" s="216">
        <v>80000</v>
      </c>
      <c r="D219" s="216">
        <v>0</v>
      </c>
      <c r="E219" s="216">
        <v>0</v>
      </c>
      <c r="F219" s="216">
        <v>500000</v>
      </c>
    </row>
    <row r="220" spans="1:6" x14ac:dyDescent="0.2">
      <c r="A220" s="216" t="s">
        <v>1289</v>
      </c>
      <c r="B220" s="216" t="s">
        <v>2225</v>
      </c>
      <c r="C220" s="216">
        <v>50000</v>
      </c>
      <c r="D220" s="216">
        <v>0</v>
      </c>
      <c r="E220" s="216">
        <v>0</v>
      </c>
      <c r="F220" s="216">
        <v>150000</v>
      </c>
    </row>
    <row r="221" spans="1:6" x14ac:dyDescent="0.2">
      <c r="A221" s="216" t="s">
        <v>1292</v>
      </c>
      <c r="B221" s="216" t="s">
        <v>2226</v>
      </c>
      <c r="C221" s="216">
        <v>50000</v>
      </c>
      <c r="D221" s="216">
        <v>0</v>
      </c>
      <c r="E221" s="216">
        <v>0</v>
      </c>
      <c r="F221" s="216">
        <v>500000</v>
      </c>
    </row>
    <row r="222" spans="1:6" x14ac:dyDescent="0.2">
      <c r="A222" s="216" t="s">
        <v>1295</v>
      </c>
      <c r="B222" s="216" t="s">
        <v>2227</v>
      </c>
      <c r="C222" s="216">
        <v>100000</v>
      </c>
      <c r="D222" s="216">
        <v>1246345</v>
      </c>
      <c r="E222" s="216">
        <v>0</v>
      </c>
      <c r="F222" s="216">
        <v>464365</v>
      </c>
    </row>
    <row r="223" spans="1:6" x14ac:dyDescent="0.2">
      <c r="A223" s="216" t="s">
        <v>1304</v>
      </c>
      <c r="B223" s="216" t="s">
        <v>2228</v>
      </c>
      <c r="C223" s="216">
        <v>50000</v>
      </c>
      <c r="D223" s="216">
        <v>0</v>
      </c>
      <c r="E223" s="216">
        <v>201078</v>
      </c>
      <c r="F223" s="216">
        <v>201078</v>
      </c>
    </row>
    <row r="224" spans="1:6" x14ac:dyDescent="0.2">
      <c r="A224" s="216" t="s">
        <v>1310</v>
      </c>
      <c r="B224" s="216" t="s">
        <v>2229</v>
      </c>
      <c r="C224" s="216">
        <v>100000</v>
      </c>
      <c r="D224" s="216">
        <v>0</v>
      </c>
      <c r="E224" s="216">
        <v>0</v>
      </c>
      <c r="F224" s="216">
        <v>849356</v>
      </c>
    </row>
    <row r="225" spans="1:6" x14ac:dyDescent="0.2">
      <c r="A225" s="216" t="s">
        <v>1313</v>
      </c>
      <c r="B225" s="216" t="s">
        <v>2230</v>
      </c>
      <c r="C225" s="216">
        <v>100000</v>
      </c>
      <c r="D225" s="216">
        <v>1254345</v>
      </c>
      <c r="E225" s="216">
        <v>0</v>
      </c>
      <c r="F225" s="216">
        <v>1672886</v>
      </c>
    </row>
    <row r="226" spans="1:6" x14ac:dyDescent="0.2">
      <c r="A226" s="216" t="s">
        <v>1316</v>
      </c>
      <c r="B226" s="216" t="s">
        <v>2231</v>
      </c>
      <c r="C226" s="216">
        <v>50000</v>
      </c>
      <c r="D226" s="216">
        <v>0</v>
      </c>
      <c r="E226" s="216">
        <v>0</v>
      </c>
      <c r="F226" s="216">
        <v>1077897</v>
      </c>
    </row>
    <row r="227" spans="1:6" x14ac:dyDescent="0.2">
      <c r="A227" s="216" t="s">
        <v>1322</v>
      </c>
      <c r="B227" s="216" t="s">
        <v>2232</v>
      </c>
      <c r="C227" s="216">
        <v>100000</v>
      </c>
      <c r="D227" s="216">
        <v>1254675</v>
      </c>
      <c r="E227" s="216">
        <v>0</v>
      </c>
      <c r="F227" s="216">
        <v>747276</v>
      </c>
    </row>
    <row r="228" spans="1:6" x14ac:dyDescent="0.2">
      <c r="A228" s="216" t="s">
        <v>1325</v>
      </c>
      <c r="B228" s="216" t="s">
        <v>2233</v>
      </c>
      <c r="C228" s="216">
        <v>50000</v>
      </c>
      <c r="D228" s="216">
        <v>248751</v>
      </c>
      <c r="E228" s="216">
        <v>290379</v>
      </c>
      <c r="F228" s="216">
        <v>0</v>
      </c>
    </row>
    <row r="229" spans="1:6" x14ac:dyDescent="0.2">
      <c r="A229" s="216" t="s">
        <v>1328</v>
      </c>
      <c r="B229" s="216" t="s">
        <v>2234</v>
      </c>
      <c r="C229" s="216">
        <v>50000</v>
      </c>
      <c r="D229" s="216">
        <v>0</v>
      </c>
      <c r="E229" s="216">
        <v>0</v>
      </c>
      <c r="F229" s="216">
        <v>1982942</v>
      </c>
    </row>
    <row r="230" spans="1:6" x14ac:dyDescent="0.2">
      <c r="A230" s="216" t="s">
        <v>1331</v>
      </c>
      <c r="B230" s="216" t="s">
        <v>2235</v>
      </c>
      <c r="C230" s="216">
        <v>100000</v>
      </c>
      <c r="D230" s="216">
        <v>0</v>
      </c>
      <c r="E230" s="216">
        <v>0</v>
      </c>
      <c r="F230" s="216">
        <v>1247609</v>
      </c>
    </row>
    <row r="231" spans="1:6" x14ac:dyDescent="0.2">
      <c r="A231" s="216" t="s">
        <v>1334</v>
      </c>
      <c r="B231" s="216" t="s">
        <v>2236</v>
      </c>
      <c r="C231" s="216">
        <v>50000</v>
      </c>
      <c r="D231" s="216">
        <v>245742</v>
      </c>
      <c r="E231" s="216">
        <v>1095319</v>
      </c>
      <c r="F231" s="216">
        <v>0</v>
      </c>
    </row>
    <row r="232" spans="1:6" x14ac:dyDescent="0.2">
      <c r="A232" s="216" t="s">
        <v>1337</v>
      </c>
      <c r="B232" s="216" t="s">
        <v>2237</v>
      </c>
      <c r="C232" s="216">
        <v>100000</v>
      </c>
      <c r="D232" s="216">
        <v>0</v>
      </c>
      <c r="E232" s="216">
        <v>0</v>
      </c>
      <c r="F232" s="216">
        <v>1272222</v>
      </c>
    </row>
    <row r="233" spans="1:6" x14ac:dyDescent="0.2">
      <c r="A233" s="216" t="s">
        <v>1587</v>
      </c>
      <c r="B233" s="216" t="s">
        <v>2238</v>
      </c>
      <c r="C233" s="216">
        <v>380000</v>
      </c>
      <c r="D233" s="216">
        <v>1421799</v>
      </c>
      <c r="E233" s="216">
        <v>0</v>
      </c>
      <c r="F233" s="216">
        <v>1000000</v>
      </c>
    </row>
    <row r="234" spans="1:6" x14ac:dyDescent="0.2">
      <c r="A234" s="216" t="s">
        <v>1368</v>
      </c>
      <c r="B234" s="216" t="s">
        <v>2239</v>
      </c>
      <c r="C234" s="216">
        <v>800000</v>
      </c>
      <c r="D234" s="216">
        <v>580909</v>
      </c>
      <c r="E234" s="216">
        <v>800000</v>
      </c>
      <c r="F234" s="216">
        <v>800000</v>
      </c>
    </row>
    <row r="235" spans="1:6" x14ac:dyDescent="0.2">
      <c r="A235" s="216" t="s">
        <v>1383</v>
      </c>
      <c r="B235" s="216" t="s">
        <v>2240</v>
      </c>
      <c r="C235" s="216">
        <v>10763553</v>
      </c>
      <c r="D235" s="216">
        <v>0</v>
      </c>
      <c r="E235" s="216">
        <v>0</v>
      </c>
      <c r="F235" s="216">
        <v>0</v>
      </c>
    </row>
    <row r="236" spans="1:6" x14ac:dyDescent="0.2">
      <c r="A236" s="216" t="s">
        <v>1563</v>
      </c>
      <c r="B236" s="216" t="s">
        <v>2241</v>
      </c>
      <c r="C236" s="216">
        <v>300000</v>
      </c>
      <c r="D236" s="216">
        <v>5285426</v>
      </c>
      <c r="E236" s="216">
        <v>0</v>
      </c>
      <c r="F236" s="216">
        <v>1000000</v>
      </c>
    </row>
    <row r="237" spans="1:6" x14ac:dyDescent="0.2">
      <c r="A237" s="216" t="s">
        <v>1522</v>
      </c>
      <c r="B237" s="216" t="s">
        <v>2242</v>
      </c>
      <c r="C237" s="216">
        <v>386035</v>
      </c>
      <c r="D237" s="216">
        <v>310542</v>
      </c>
      <c r="E237" s="216">
        <v>0</v>
      </c>
      <c r="F237" s="216">
        <v>1000000</v>
      </c>
    </row>
    <row r="238" spans="1:6" x14ac:dyDescent="0.2">
      <c r="A238" s="216" t="s">
        <v>1560</v>
      </c>
      <c r="B238" s="216" t="s">
        <v>2243</v>
      </c>
      <c r="C238" s="216">
        <v>380000</v>
      </c>
      <c r="D238" s="216">
        <v>6625412</v>
      </c>
      <c r="E238" s="216">
        <v>0</v>
      </c>
      <c r="F238" s="216">
        <v>1000000</v>
      </c>
    </row>
    <row r="239" spans="1:6" x14ac:dyDescent="0.2">
      <c r="A239" s="216" t="s">
        <v>1566</v>
      </c>
      <c r="B239" s="216" t="s">
        <v>2244</v>
      </c>
      <c r="C239" s="216">
        <v>206972</v>
      </c>
      <c r="D239" s="216">
        <v>254584</v>
      </c>
      <c r="E239" s="216">
        <v>0</v>
      </c>
      <c r="F239" s="216">
        <v>500000</v>
      </c>
    </row>
    <row r="240" spans="1:6" x14ac:dyDescent="0.2">
      <c r="A240" s="216" t="s">
        <v>1409</v>
      </c>
      <c r="B240" s="216" t="s">
        <v>2245</v>
      </c>
      <c r="C240" s="216">
        <v>200000</v>
      </c>
      <c r="D240" s="216">
        <v>1474000</v>
      </c>
      <c r="E240" s="216">
        <v>0</v>
      </c>
      <c r="F240" s="216">
        <v>0</v>
      </c>
    </row>
    <row r="241" spans="1:6" x14ac:dyDescent="0.2">
      <c r="A241" s="216" t="s">
        <v>1418</v>
      </c>
      <c r="B241" s="216" t="s">
        <v>2246</v>
      </c>
      <c r="C241" s="216">
        <v>800000</v>
      </c>
      <c r="D241" s="216">
        <v>0</v>
      </c>
      <c r="E241" s="216">
        <v>0</v>
      </c>
      <c r="F241" s="216">
        <v>0</v>
      </c>
    </row>
    <row r="242" spans="1:6" x14ac:dyDescent="0.2">
      <c r="A242" s="216" t="s">
        <v>1427</v>
      </c>
      <c r="B242" s="216" t="s">
        <v>2247</v>
      </c>
      <c r="C242" s="216">
        <v>200000</v>
      </c>
      <c r="D242" s="216">
        <v>0</v>
      </c>
      <c r="E242" s="216">
        <v>0</v>
      </c>
      <c r="F242" s="216">
        <v>0</v>
      </c>
    </row>
    <row r="243" spans="1:6" x14ac:dyDescent="0.2">
      <c r="A243" s="216" t="s">
        <v>1470</v>
      </c>
      <c r="B243" s="216" t="s">
        <v>2248</v>
      </c>
      <c r="C243" s="216">
        <v>50000</v>
      </c>
      <c r="D243" s="216">
        <v>1543234</v>
      </c>
      <c r="E243" s="216">
        <v>0</v>
      </c>
      <c r="F243" s="216">
        <v>1008002</v>
      </c>
    </row>
    <row r="244" spans="1:6" x14ac:dyDescent="0.2">
      <c r="A244" s="216" t="s">
        <v>1485</v>
      </c>
      <c r="B244" s="216" t="s">
        <v>2249</v>
      </c>
      <c r="C244" s="216">
        <v>50000</v>
      </c>
      <c r="D244" s="216">
        <v>1543466</v>
      </c>
      <c r="E244" s="216">
        <v>0</v>
      </c>
      <c r="F244" s="216">
        <v>500000</v>
      </c>
    </row>
    <row r="245" spans="1:6" x14ac:dyDescent="0.2">
      <c r="A245" s="216" t="s">
        <v>1482</v>
      </c>
      <c r="B245" s="216" t="s">
        <v>2250</v>
      </c>
      <c r="C245" s="216">
        <v>50000</v>
      </c>
      <c r="D245" s="216">
        <v>0</v>
      </c>
      <c r="E245" s="216">
        <v>0</v>
      </c>
      <c r="F245" s="216">
        <v>2707132</v>
      </c>
    </row>
    <row r="246" spans="1:6" x14ac:dyDescent="0.2">
      <c r="A246" s="216" t="s">
        <v>1434</v>
      </c>
      <c r="B246" s="216" t="s">
        <v>2251</v>
      </c>
      <c r="C246" s="216">
        <v>4190000</v>
      </c>
      <c r="D246" s="216">
        <v>7462800</v>
      </c>
      <c r="E246" s="216">
        <v>7500000</v>
      </c>
      <c r="F246" s="216">
        <v>12829438</v>
      </c>
    </row>
    <row r="247" spans="1:6" x14ac:dyDescent="0.2">
      <c r="A247" s="216" t="s">
        <v>1491</v>
      </c>
      <c r="B247" s="216" t="s">
        <v>2252</v>
      </c>
      <c r="C247" s="216">
        <v>50000</v>
      </c>
      <c r="D247" s="216">
        <v>0</v>
      </c>
      <c r="E247" s="216">
        <v>0</v>
      </c>
      <c r="F247" s="216">
        <v>1809535</v>
      </c>
    </row>
    <row r="248" spans="1:6" x14ac:dyDescent="0.2">
      <c r="A248" s="216" t="s">
        <v>1440</v>
      </c>
      <c r="B248" s="216" t="s">
        <v>2253</v>
      </c>
      <c r="C248" s="216">
        <v>100000</v>
      </c>
      <c r="D248" s="216">
        <v>0</v>
      </c>
      <c r="E248" s="216">
        <v>0</v>
      </c>
      <c r="F248" s="216">
        <v>0</v>
      </c>
    </row>
    <row r="249" spans="1:6" x14ac:dyDescent="0.2">
      <c r="A249" s="216" t="s">
        <v>1504</v>
      </c>
      <c r="B249" s="216" t="s">
        <v>2254</v>
      </c>
      <c r="C249" s="216">
        <v>50000</v>
      </c>
      <c r="D249" s="216">
        <v>0</v>
      </c>
      <c r="E249" s="216">
        <v>0</v>
      </c>
      <c r="F249" s="216">
        <v>1523839</v>
      </c>
    </row>
    <row r="250" spans="1:6" x14ac:dyDescent="0.2">
      <c r="A250" s="216" t="s">
        <v>1452</v>
      </c>
      <c r="B250" s="216" t="s">
        <v>2255</v>
      </c>
      <c r="C250" s="216">
        <v>100000</v>
      </c>
      <c r="D250" s="216">
        <v>0</v>
      </c>
      <c r="E250" s="216">
        <v>0</v>
      </c>
      <c r="F250" s="216">
        <v>500000</v>
      </c>
    </row>
    <row r="251" spans="1:6" x14ac:dyDescent="0.2">
      <c r="A251" s="216" t="s">
        <v>1458</v>
      </c>
      <c r="B251" s="216" t="s">
        <v>2256</v>
      </c>
      <c r="C251" s="216">
        <v>50000</v>
      </c>
      <c r="D251" s="216">
        <v>7005844</v>
      </c>
      <c r="E251" s="216">
        <v>0</v>
      </c>
      <c r="F251" s="216">
        <v>3544143</v>
      </c>
    </row>
    <row r="252" spans="1:6" x14ac:dyDescent="0.2">
      <c r="A252" s="216" t="s">
        <v>1461</v>
      </c>
      <c r="B252" s="216" t="s">
        <v>2257</v>
      </c>
      <c r="C252" s="216">
        <v>706461</v>
      </c>
      <c r="D252" s="216">
        <v>7021584</v>
      </c>
      <c r="E252" s="216">
        <v>0</v>
      </c>
      <c r="F252" s="216">
        <v>1000000</v>
      </c>
    </row>
    <row r="253" spans="1:6" x14ac:dyDescent="0.2">
      <c r="A253" s="216" t="s">
        <v>1464</v>
      </c>
      <c r="B253" s="216" t="s">
        <v>2258</v>
      </c>
      <c r="C253" s="216">
        <v>100000</v>
      </c>
      <c r="D253" s="216">
        <v>0</v>
      </c>
      <c r="E253" s="216">
        <v>0</v>
      </c>
      <c r="F253" s="216">
        <v>1000000</v>
      </c>
    </row>
    <row r="254" spans="1:6" x14ac:dyDescent="0.2">
      <c r="A254" s="216" t="s">
        <v>1467</v>
      </c>
      <c r="B254" s="216" t="s">
        <v>2259</v>
      </c>
      <c r="C254" s="216">
        <v>1349649</v>
      </c>
      <c r="D254" s="216">
        <v>0</v>
      </c>
      <c r="E254" s="216">
        <v>0</v>
      </c>
      <c r="F254" s="216">
        <v>1000000</v>
      </c>
    </row>
    <row r="255" spans="1:6" x14ac:dyDescent="0.2">
      <c r="A255" s="216" t="s">
        <v>1473</v>
      </c>
      <c r="B255" s="216" t="s">
        <v>2260</v>
      </c>
      <c r="C255" s="216">
        <v>50000</v>
      </c>
      <c r="D255" s="216">
        <v>0</v>
      </c>
      <c r="E255" s="216">
        <v>300000</v>
      </c>
      <c r="F255" s="216">
        <v>2629159</v>
      </c>
    </row>
    <row r="256" spans="1:6" x14ac:dyDescent="0.2">
      <c r="A256" s="216" t="s">
        <v>1479</v>
      </c>
      <c r="B256" s="216" t="s">
        <v>2261</v>
      </c>
      <c r="C256" s="216">
        <v>50000</v>
      </c>
      <c r="D256" s="216">
        <v>0</v>
      </c>
      <c r="E256" s="216">
        <v>0</v>
      </c>
      <c r="F256" s="216">
        <v>150000</v>
      </c>
    </row>
    <row r="257" spans="1:6" x14ac:dyDescent="0.2">
      <c r="A257" s="216" t="s">
        <v>1572</v>
      </c>
      <c r="B257" s="216" t="s">
        <v>2262</v>
      </c>
      <c r="C257" s="216">
        <v>129991</v>
      </c>
      <c r="D257" s="216">
        <v>245854</v>
      </c>
      <c r="E257" s="216">
        <v>0</v>
      </c>
      <c r="F257" s="216">
        <v>200000</v>
      </c>
    </row>
    <row r="258" spans="1:6" x14ac:dyDescent="0.2">
      <c r="A258" s="216" t="s">
        <v>1494</v>
      </c>
      <c r="B258" s="216" t="s">
        <v>2263</v>
      </c>
      <c r="C258" s="216">
        <v>50000</v>
      </c>
      <c r="D258" s="216">
        <v>0</v>
      </c>
      <c r="E258" s="216">
        <v>0</v>
      </c>
      <c r="F258" s="216">
        <v>600000</v>
      </c>
    </row>
    <row r="259" spans="1:6" x14ac:dyDescent="0.2">
      <c r="A259" s="216" t="s">
        <v>1578</v>
      </c>
      <c r="B259" s="216" t="s">
        <v>2264</v>
      </c>
      <c r="C259" s="216">
        <v>24413</v>
      </c>
      <c r="D259" s="216">
        <v>753784</v>
      </c>
      <c r="E259" s="216">
        <v>0</v>
      </c>
      <c r="F259" s="216">
        <v>1846698</v>
      </c>
    </row>
    <row r="260" spans="1:6" x14ac:dyDescent="0.2">
      <c r="A260" s="216" t="s">
        <v>1497</v>
      </c>
      <c r="B260" s="216" t="s">
        <v>2265</v>
      </c>
      <c r="C260" s="216">
        <v>50000</v>
      </c>
      <c r="D260" s="216">
        <v>0</v>
      </c>
      <c r="E260" s="216">
        <v>0</v>
      </c>
      <c r="F260" s="216">
        <v>120000</v>
      </c>
    </row>
    <row r="261" spans="1:6" x14ac:dyDescent="0.2">
      <c r="A261" s="216" t="s">
        <v>1575</v>
      </c>
      <c r="B261" s="216" t="s">
        <v>2266</v>
      </c>
      <c r="C261" s="216">
        <v>903516</v>
      </c>
      <c r="D261" s="216">
        <v>919620</v>
      </c>
      <c r="E261" s="216">
        <v>268263</v>
      </c>
      <c r="F261" s="216">
        <v>0</v>
      </c>
    </row>
    <row r="262" spans="1:6" x14ac:dyDescent="0.2">
      <c r="A262" s="216" t="s">
        <v>1502</v>
      </c>
      <c r="B262" s="216" t="s">
        <v>2267</v>
      </c>
      <c r="C262" s="216">
        <v>5480901</v>
      </c>
      <c r="D262" s="216">
        <v>12000000</v>
      </c>
      <c r="E262" s="216">
        <v>0</v>
      </c>
      <c r="F262" s="216">
        <v>100000</v>
      </c>
    </row>
    <row r="263" spans="1:6" x14ac:dyDescent="0.2">
      <c r="A263" s="216" t="s">
        <v>1507</v>
      </c>
      <c r="B263" s="216" t="s">
        <v>2268</v>
      </c>
      <c r="C263" s="216">
        <v>50000</v>
      </c>
      <c r="D263" s="216">
        <v>0</v>
      </c>
      <c r="E263" s="216">
        <v>0</v>
      </c>
      <c r="F263" s="216">
        <v>1000000</v>
      </c>
    </row>
    <row r="264" spans="1:6" x14ac:dyDescent="0.2">
      <c r="A264" s="216" t="s">
        <v>1519</v>
      </c>
      <c r="B264" s="216" t="s">
        <v>2269</v>
      </c>
      <c r="C264" s="216">
        <v>400000</v>
      </c>
      <c r="D264" s="216">
        <v>358745</v>
      </c>
      <c r="E264" s="216">
        <v>0</v>
      </c>
      <c r="F264" s="216">
        <v>1000000</v>
      </c>
    </row>
    <row r="265" spans="1:6" x14ac:dyDescent="0.2">
      <c r="A265" s="216" t="s">
        <v>1532</v>
      </c>
      <c r="B265" s="216" t="s">
        <v>2270</v>
      </c>
      <c r="C265" s="216">
        <v>350000</v>
      </c>
      <c r="D265" s="216">
        <v>575452</v>
      </c>
      <c r="E265" s="216">
        <v>0</v>
      </c>
      <c r="F265" s="216">
        <v>1000000</v>
      </c>
    </row>
    <row r="266" spans="1:6" x14ac:dyDescent="0.2">
      <c r="A266" s="216" t="s">
        <v>1860</v>
      </c>
      <c r="B266" s="216" t="s">
        <v>2271</v>
      </c>
      <c r="C266" s="216">
        <v>99230</v>
      </c>
      <c r="D266" s="216">
        <v>0</v>
      </c>
      <c r="E266" s="216">
        <v>0</v>
      </c>
      <c r="F266" s="216">
        <v>0</v>
      </c>
    </row>
    <row r="267" spans="1:6" x14ac:dyDescent="0.2">
      <c r="A267" s="216" t="s">
        <v>1863</v>
      </c>
      <c r="B267" s="216" t="s">
        <v>2272</v>
      </c>
      <c r="C267" s="216">
        <v>28752</v>
      </c>
      <c r="D267" s="216">
        <v>50000</v>
      </c>
      <c r="E267" s="216">
        <v>0</v>
      </c>
      <c r="F267" s="216">
        <v>0</v>
      </c>
    </row>
    <row r="268" spans="1:6" x14ac:dyDescent="0.2">
      <c r="A268" s="216" t="s">
        <v>1869</v>
      </c>
      <c r="B268" s="216" t="s">
        <v>2273</v>
      </c>
      <c r="C268" s="216">
        <v>521845</v>
      </c>
      <c r="D268" s="216">
        <v>2345678</v>
      </c>
      <c r="E268" s="216">
        <v>0</v>
      </c>
      <c r="F268" s="216">
        <v>1000000</v>
      </c>
    </row>
    <row r="269" spans="1:6" x14ac:dyDescent="0.2">
      <c r="A269" s="216" t="s">
        <v>1874</v>
      </c>
      <c r="B269" s="216" t="s">
        <v>2274</v>
      </c>
      <c r="C269" s="216">
        <v>195079</v>
      </c>
      <c r="D269" s="216">
        <v>23547</v>
      </c>
      <c r="E269" s="216">
        <v>1</v>
      </c>
      <c r="F269" s="216">
        <v>0</v>
      </c>
    </row>
    <row r="270" spans="1:6" x14ac:dyDescent="0.2">
      <c r="A270" s="216" t="s">
        <v>1880</v>
      </c>
      <c r="B270" s="216" t="s">
        <v>2275</v>
      </c>
      <c r="C270" s="216">
        <v>2455</v>
      </c>
      <c r="D270" s="216">
        <v>0</v>
      </c>
      <c r="E270" s="216">
        <v>0</v>
      </c>
      <c r="F270" s="216">
        <v>0</v>
      </c>
    </row>
    <row r="271" spans="1:6" x14ac:dyDescent="0.2">
      <c r="A271" s="216" t="s">
        <v>1883</v>
      </c>
      <c r="B271" s="216" t="s">
        <v>2276</v>
      </c>
      <c r="C271" s="216">
        <v>70632</v>
      </c>
      <c r="D271" s="216">
        <v>0</v>
      </c>
      <c r="E271" s="216">
        <v>0</v>
      </c>
      <c r="F271" s="216">
        <v>0</v>
      </c>
    </row>
    <row r="272" spans="1:6" x14ac:dyDescent="0.2">
      <c r="A272" s="216" t="s">
        <v>1888</v>
      </c>
      <c r="B272" s="216" t="s">
        <v>2277</v>
      </c>
      <c r="C272" s="216">
        <v>11000</v>
      </c>
      <c r="D272" s="216">
        <v>164792</v>
      </c>
      <c r="E272" s="216">
        <v>9322563</v>
      </c>
      <c r="F272" s="216">
        <v>9322563</v>
      </c>
    </row>
    <row r="273" spans="1:6" x14ac:dyDescent="0.2">
      <c r="A273" s="216" t="s">
        <v>1917</v>
      </c>
      <c r="B273" s="216" t="s">
        <v>2278</v>
      </c>
      <c r="C273" s="216">
        <v>27014</v>
      </c>
      <c r="D273" s="216">
        <v>0</v>
      </c>
      <c r="E273" s="216">
        <v>0</v>
      </c>
      <c r="F273" s="216">
        <v>0</v>
      </c>
    </row>
    <row r="274" spans="1:6" x14ac:dyDescent="0.2">
      <c r="A274" s="216" t="s">
        <v>1920</v>
      </c>
      <c r="B274" s="216" t="s">
        <v>2279</v>
      </c>
      <c r="C274" s="216">
        <v>23560</v>
      </c>
      <c r="D274" s="216">
        <v>27080</v>
      </c>
      <c r="E274" s="216">
        <v>0</v>
      </c>
      <c r="F274" s="216">
        <v>0</v>
      </c>
    </row>
    <row r="275" spans="1:6" x14ac:dyDescent="0.2">
      <c r="A275" s="216" t="s">
        <v>1923</v>
      </c>
      <c r="B275" s="216" t="s">
        <v>2280</v>
      </c>
      <c r="C275" s="216">
        <v>10277</v>
      </c>
      <c r="D275" s="216">
        <v>27636</v>
      </c>
      <c r="E275" s="216">
        <v>0</v>
      </c>
      <c r="F275" s="216">
        <v>0</v>
      </c>
    </row>
    <row r="276" spans="1:6" x14ac:dyDescent="0.2">
      <c r="A276" s="216" t="s">
        <v>1926</v>
      </c>
      <c r="B276" s="216" t="s">
        <v>2281</v>
      </c>
      <c r="C276" s="216">
        <v>44000</v>
      </c>
      <c r="D276" s="216">
        <v>291221</v>
      </c>
      <c r="E276" s="216">
        <v>0</v>
      </c>
      <c r="F276" s="216">
        <v>0</v>
      </c>
    </row>
    <row r="277" spans="1:6" x14ac:dyDescent="0.2">
      <c r="A277" s="216" t="s">
        <v>1933</v>
      </c>
      <c r="B277" s="216" t="s">
        <v>2282</v>
      </c>
      <c r="C277" s="216">
        <v>50000</v>
      </c>
      <c r="D277" s="216">
        <v>0</v>
      </c>
      <c r="E277" s="216">
        <v>0</v>
      </c>
      <c r="F277" s="216">
        <v>1500000</v>
      </c>
    </row>
    <row r="278" spans="1:6" x14ac:dyDescent="0.2">
      <c r="A278" s="216" t="s">
        <v>1936</v>
      </c>
      <c r="B278" s="216" t="s">
        <v>2283</v>
      </c>
      <c r="C278" s="216">
        <v>340000</v>
      </c>
      <c r="D278" s="216">
        <v>254845</v>
      </c>
      <c r="E278" s="216">
        <v>0</v>
      </c>
      <c r="F278" s="216">
        <v>300000</v>
      </c>
    </row>
    <row r="279" spans="1:6" x14ac:dyDescent="0.2">
      <c r="A279" s="216" t="s">
        <v>1944</v>
      </c>
      <c r="B279" s="216" t="s">
        <v>2284</v>
      </c>
      <c r="C279" s="216">
        <v>199545</v>
      </c>
      <c r="D279" s="216">
        <v>5256354</v>
      </c>
      <c r="E279" s="216">
        <v>0</v>
      </c>
      <c r="F279" s="216">
        <v>0</v>
      </c>
    </row>
    <row r="280" spans="1:6" x14ac:dyDescent="0.2">
      <c r="A280" s="216" t="s">
        <v>1947</v>
      </c>
      <c r="B280" s="216" t="s">
        <v>2285</v>
      </c>
      <c r="C280" s="216">
        <v>192812</v>
      </c>
      <c r="D280" s="216">
        <v>0</v>
      </c>
      <c r="E280" s="216">
        <v>500000</v>
      </c>
      <c r="F280" s="216">
        <v>0</v>
      </c>
    </row>
    <row r="281" spans="1:6" x14ac:dyDescent="0.2">
      <c r="A281" s="216" t="s">
        <v>1956</v>
      </c>
      <c r="B281" s="216" t="s">
        <v>2286</v>
      </c>
      <c r="C281" s="216">
        <v>20166</v>
      </c>
      <c r="D281" s="216">
        <v>0</v>
      </c>
      <c r="E281" s="216">
        <v>0</v>
      </c>
      <c r="F281" s="216">
        <v>0</v>
      </c>
    </row>
    <row r="282" spans="1:6" x14ac:dyDescent="0.2">
      <c r="A282" s="216" t="s">
        <v>1959</v>
      </c>
      <c r="B282" s="216" t="s">
        <v>2287</v>
      </c>
      <c r="C282" s="216">
        <v>287709</v>
      </c>
      <c r="D282" s="216">
        <v>0</v>
      </c>
      <c r="E282" s="216">
        <v>0</v>
      </c>
      <c r="F282" s="216">
        <v>3000000</v>
      </c>
    </row>
    <row r="283" spans="1:6" x14ac:dyDescent="0.2">
      <c r="A283" s="216" t="s">
        <v>1962</v>
      </c>
      <c r="B283" s="216" t="s">
        <v>2288</v>
      </c>
      <c r="C283" s="216">
        <v>140000</v>
      </c>
      <c r="D283" s="216">
        <v>0</v>
      </c>
      <c r="E283" s="216">
        <v>0</v>
      </c>
      <c r="F283" s="216">
        <v>500000</v>
      </c>
    </row>
    <row r="284" spans="1:6" x14ac:dyDescent="0.2">
      <c r="A284" s="216" t="s">
        <v>1976</v>
      </c>
      <c r="B284" s="216" t="s">
        <v>2289</v>
      </c>
      <c r="C284" s="216">
        <v>200000</v>
      </c>
      <c r="D284" s="216">
        <v>0</v>
      </c>
      <c r="E284" s="216">
        <v>3000000</v>
      </c>
      <c r="F284" s="216">
        <v>8896729</v>
      </c>
    </row>
    <row r="285" spans="1:6" x14ac:dyDescent="0.2">
      <c r="A285" s="216" t="s">
        <v>1994</v>
      </c>
      <c r="B285" s="216" t="s">
        <v>2290</v>
      </c>
      <c r="C285" s="216">
        <v>2596051</v>
      </c>
      <c r="D285" s="216">
        <v>120000</v>
      </c>
      <c r="E285" s="216">
        <v>2215461</v>
      </c>
      <c r="F285" s="216">
        <v>3675255</v>
      </c>
    </row>
    <row r="286" spans="1:6" x14ac:dyDescent="0.2">
      <c r="A286" s="216" t="s">
        <v>2002</v>
      </c>
      <c r="B286" s="216" t="s">
        <v>2291</v>
      </c>
      <c r="C286" s="216">
        <v>150000</v>
      </c>
      <c r="D286" s="216">
        <v>0</v>
      </c>
      <c r="E286" s="216">
        <v>0</v>
      </c>
      <c r="F286" s="216">
        <v>1000000</v>
      </c>
    </row>
    <row r="287" spans="1:6" x14ac:dyDescent="0.2">
      <c r="A287" s="216" t="s">
        <v>2005</v>
      </c>
      <c r="B287" s="216" t="s">
        <v>2292</v>
      </c>
      <c r="C287" s="216">
        <v>100000</v>
      </c>
      <c r="D287" s="216">
        <v>0</v>
      </c>
      <c r="E287" s="216">
        <v>3681052</v>
      </c>
      <c r="F287" s="216">
        <v>4156140</v>
      </c>
    </row>
  </sheetData>
  <phoneticPr fontId="13"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1CF4F2-5128-43A1-BBCF-C4EA6387A3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20</vt:i4>
      </vt:variant>
    </vt:vector>
  </HeadingPairs>
  <TitlesOfParts>
    <vt:vector size="31" baseType="lpstr">
      <vt:lpstr>Gerencia de Infraestructura</vt:lpstr>
      <vt:lpstr>Gerencias y Oficinas</vt:lpstr>
      <vt:lpstr>GRDE</vt:lpstr>
      <vt:lpstr>GRRNyDA</vt:lpstr>
      <vt:lpstr>PETT</vt:lpstr>
      <vt:lpstr>PECSA</vt:lpstr>
      <vt:lpstr>DS</vt:lpstr>
      <vt:lpstr>DEPI</vt:lpstr>
      <vt:lpstr>ABS</vt:lpstr>
      <vt:lpstr>SIAF</vt:lpstr>
      <vt:lpstr>Cartera</vt:lpstr>
      <vt:lpstr>ABS!Área_de_impresión</vt:lpstr>
      <vt:lpstr>DEPI!Área_de_impresión</vt:lpstr>
      <vt:lpstr>DS!Área_de_impresión</vt:lpstr>
      <vt:lpstr>'Gerencia de Infraestructura'!Área_de_impresión</vt:lpstr>
      <vt:lpstr>'Gerencias y Oficinas'!Área_de_impresión</vt:lpstr>
      <vt:lpstr>GRDE!Área_de_impresión</vt:lpstr>
      <vt:lpstr>GRRNyDA!Área_de_impresión</vt:lpstr>
      <vt:lpstr>PECSA!Área_de_impresión</vt:lpstr>
      <vt:lpstr>PETT!Área_de_impresión</vt:lpstr>
      <vt:lpstr>'Gerencia de Infraestructura'!Print_Area</vt:lpstr>
      <vt:lpstr>'Gerencias y Oficinas'!Print_Area</vt:lpstr>
      <vt:lpstr>PECSA!Print_Area</vt:lpstr>
      <vt:lpstr>DEPI!Print_Titles</vt:lpstr>
      <vt:lpstr>DS!Print_Titles</vt:lpstr>
      <vt:lpstr>'Gerencia de Infraestructura'!Print_Titles</vt:lpstr>
      <vt:lpstr>'Gerencias y Oficinas'!Print_Titles</vt:lpstr>
      <vt:lpstr>GRDE!Print_Titles</vt:lpstr>
      <vt:lpstr>GRRNyDA!Print_Titles</vt:lpstr>
      <vt:lpstr>PECSA!Print_Titles</vt:lpstr>
      <vt:lpstr>PETT!Print_Titles</vt:lpstr>
    </vt:vector>
  </TitlesOfParts>
  <Company>InKulpado666</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presupuesto07</dc:creator>
  <cp:lastModifiedBy>servidor</cp:lastModifiedBy>
  <cp:lastPrinted>2026-09-16T22:25:16Z</cp:lastPrinted>
  <dcterms:created xsi:type="dcterms:W3CDTF">2021-12-23T17:45:27Z</dcterms:created>
  <dcterms:modified xsi:type="dcterms:W3CDTF">2026-10-06T21:52:16Z</dcterms:modified>
</cp:coreProperties>
</file>