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Gerencia de Infraestructura" sheetId="2" r:id="rId2"/>
    <sheet name="Gerencias y Oficinas" sheetId="3" r:id="rId3"/>
    <sheet name="Sin clasificar" sheetId="4" r:id="rId4"/>
    <sheet name="UE 002" sheetId="5" r:id="rId5"/>
    <sheet name="UE 003" sheetId="6" r:id="rId6"/>
    <sheet name="UE 005" sheetId="7" r:id="rId7"/>
    <sheet name="UE 100" sheetId="8" r:id="rId8"/>
    <sheet name="UE 302" sheetId="9" r:id="rId9"/>
    <sheet name="UE 413" sheetId="10" r:id="rId10"/>
    <sheet name="Saldo al expediente" sheetId="11" r:id="rId11"/>
    <sheet name="Rubro por CUI" sheetId="12" r:id="rId12"/>
    <sheet name="Base" sheetId="13" r:id="rId13"/>
    <sheet name="Control" sheetId="14" r:id="rId14"/>
    <sheet name="Config" sheetId="15" r:id="rId15"/>
    <sheet name="Reglas" sheetId="16" r:id="rId16"/>
  </sheets>
  <definedNames>
    <definedName name="_xlnm._FilterDatabase" localSheetId="12" hidden="1">Base!$A$4:$AC$509</definedName>
    <definedName name="_xlnm._FilterDatabase" localSheetId="11" hidden="1">'Rubro por CUI'!$A$4:$N$460</definedName>
  </definedNames>
  <calcPr calcId="124519" fullCalcOnLoad="1"/>
</workbook>
</file>

<file path=xl/sharedStrings.xml><?xml version="1.0" encoding="utf-8"?>
<sst xmlns="http://schemas.openxmlformats.org/spreadsheetml/2006/main" count="11798" uniqueCount="2130">
  <si>
    <t>Configuración (editable)</t>
  </si>
  <si>
    <t>Parámetro</t>
  </si>
  <si>
    <t>Valor</t>
  </si>
  <si>
    <t>Significado</t>
  </si>
  <si>
    <t>Umbral "Ejecutado"</t>
  </si>
  <si>
    <t>Devengado / PIM mayor o igual a este valor → "Ejecutado" (no usar).</t>
  </si>
  <si>
    <t>Umbral "Mayormente comprometido"</t>
  </si>
  <si>
    <t>Compromiso anual / PIM mayor o igual a este valor → "Mayormente comprometido" (difícil).</t>
  </si>
  <si>
    <t>Datos de esta corrida</t>
  </si>
  <si>
    <t>Fecha de corte</t>
  </si>
  <si>
    <t>07/10/2026</t>
  </si>
  <si>
    <t>Archivo SIAF</t>
  </si>
  <si>
    <t>COPIA de la API del MEF del 07/10/2026 04:08 (la API no respondió)</t>
  </si>
  <si>
    <t>Fecha del archivo SIAF</t>
  </si>
  <si>
    <t>Archivo Cartera</t>
  </si>
  <si>
    <t>API Banco de Inversiones (MEF)</t>
  </si>
  <si>
    <t>Fecha de la Cartera</t>
  </si>
  <si>
    <t>07/10/2026 23:35</t>
  </si>
  <si>
    <t>Generado</t>
  </si>
  <si>
    <t>Fuente del rubro de financiamiento</t>
  </si>
  <si>
    <t>API Datos Abiertos MEF</t>
  </si>
  <si>
    <t>USADA</t>
  </si>
  <si>
    <t>11,890 registros · meses 0-10 · descargada 07/10/2026 23:35 · rubro por UE y CUI</t>
  </si>
  <si>
    <t>Base por UE-CUI-meta · proyectos · al 07/10/2026</t>
  </si>
  <si>
    <t>Fuentes: SIAF (cifras, modalidad), Cartera PMI (montos 2026-2029), maestro.xlsx (gerencia, base legal). Azul = dato de entrada; negro = fórmula.</t>
  </si>
  <si>
    <t>UE</t>
  </si>
  <si>
    <t>Hoja</t>
  </si>
  <si>
    <t>Gerencia / Oficina</t>
  </si>
  <si>
    <t>Grupo (Alex)</t>
  </si>
  <si>
    <t>Función</t>
  </si>
  <si>
    <t>CUI</t>
  </si>
  <si>
    <t>Meta</t>
  </si>
  <si>
    <t>Proyecto</t>
  </si>
  <si>
    <t>PIM 2026</t>
  </si>
  <si>
    <t>Certificación</t>
  </si>
  <si>
    <t>Compromiso anual</t>
  </si>
  <si>
    <t>Devengado</t>
  </si>
  <si>
    <t>Saldo sin certificar (A-B)</t>
  </si>
  <si>
    <t>Certificado no comprometido</t>
  </si>
  <si>
    <t>Saldo sin devengar (A-C)</t>
  </si>
  <si>
    <t>% Devengado</t>
  </si>
  <si>
    <t>% Comprometido</t>
  </si>
  <si>
    <t>Estado situacional</t>
  </si>
  <si>
    <t>Disponibilidad</t>
  </si>
  <si>
    <t>Disponible (PIM − compromiso)</t>
  </si>
  <si>
    <t>Modalidad de ejecución</t>
  </si>
  <si>
    <t>Monto Año 2026 (S/)</t>
  </si>
  <si>
    <t>Monto Año 2027 (S/)</t>
  </si>
  <si>
    <t>Monto Año 2028 (S/)</t>
  </si>
  <si>
    <t>Monto Año 2029 (S/)</t>
  </si>
  <si>
    <t>Base legal</t>
  </si>
  <si>
    <t>Observación</t>
  </si>
  <si>
    <t>Nota de clasificación</t>
  </si>
  <si>
    <t>Ejecutora (Silucia)</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</si>
  <si>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</si>
  <si>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</si>
  <si>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</si>
  <si>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</si>
  <si>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</si>
  <si>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</si>
  <si>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</si>
  <si>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</si>
  <si>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Administración directa / Laudos arbitrales</t>
  </si>
  <si>
    <t/>
  </si>
  <si>
    <t>GRI - SGO</t>
  </si>
  <si>
    <t>2279375</t>
  </si>
  <si>
    <t>0220</t>
  </si>
  <si>
    <t>2279375: MEJORAMIENTO DE LOS SERVICIOS DE SALUD DEL HOSPITAL DE APOYO ILAVE, PROVINCIA DE EL COLLAO - REGION PUNO</t>
  </si>
  <si>
    <t>Contrata / Expediente técnico / Administración directa / Laudos arbitrales</t>
  </si>
  <si>
    <t>No registrado en cartera</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</si>
  <si>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</si>
  <si>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</si>
  <si>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</si>
  <si>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</si>
  <si>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</si>
  <si>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</si>
  <si>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</si>
  <si>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</si>
  <si>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</si>
  <si>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</si>
  <si>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</si>
  <si>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</si>
  <si>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</si>
  <si>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</si>
  <si>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</si>
  <si>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</si>
  <si>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2490075</t>
  </si>
  <si>
    <t>0315</t>
  </si>
  <si>
    <t>2490075: MEJORAMIENTO DEL SERVICIO EDUCATIVO DEL NIVEL SECUNDARIA DE LA I.E. AGROPECUARIO SAN JUAN DEL ORO EN EL  DISTRITO DE SAN JUAN DEL ORO - PROVINCIA DE SANDIA - DEPARTAMENTO DE PUNO</t>
  </si>
  <si>
    <t>GRI - POR ADM. DIRECTA</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</si>
  <si>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</si>
  <si>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</si>
  <si>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</si>
  <si>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</si>
  <si>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</si>
  <si>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</si>
  <si>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</si>
  <si>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</si>
  <si>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</si>
  <si>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</si>
  <si>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</si>
  <si>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</si>
  <si>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</si>
  <si>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</si>
  <si>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</si>
  <si>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</si>
  <si>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</si>
  <si>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</si>
  <si>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</si>
  <si>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</si>
  <si>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</si>
  <si>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</si>
  <si>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</si>
  <si>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</si>
  <si>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</si>
  <si>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</si>
  <si>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</si>
  <si>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</si>
  <si>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</si>
  <si>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Equipamiento / Contrata / Administración directa / Personal/bienes/servicios</t>
  </si>
  <si>
    <t>2695845</t>
  </si>
  <si>
    <t>0479</t>
  </si>
  <si>
    <t>2695845: MEJORAMIENTO DEL SERVICIO DE EDUCACION SECUNDARIA EN I.E. SAN FRANCISCO DE BORJA DISTRITO DE TARACO DE LA PROVINCIA DE HUANCANE DEL DEPARTAMENTO DE PUNO</t>
  </si>
  <si>
    <t>Expediente técnico</t>
  </si>
  <si>
    <t>GRI - ESTUDIOS DEFINITIVOS</t>
  </si>
  <si>
    <t>2196865</t>
  </si>
  <si>
    <t>0170</t>
  </si>
  <si>
    <t>2196865: MEJORAMIENTO DEL SERVICIO EDUCATIVO DE NIVEL INICIAL ESCOLARIZADO EN LA I.E.I. LLUNGO, DISTRITO DE ATUNCOLLA, PROVINCIA DE PUNO - PUNO.</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</si>
  <si>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</si>
  <si>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</si>
  <si>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</si>
  <si>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</si>
  <si>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</si>
  <si>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Administración directa</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</si>
  <si>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</si>
  <si>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</si>
  <si>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</si>
  <si>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</si>
  <si>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</si>
  <si>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</si>
  <si>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</si>
  <si>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</si>
  <si>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</si>
  <si>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</si>
  <si>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</si>
  <si>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2196834</t>
  </si>
  <si>
    <t>0168</t>
  </si>
  <si>
    <t>2196834: MEJORAMIENTO DE LOS SERVICIOS DE EDUCACION INICIAL EN LA I.E.I. CUCURAYA DE LA COMUNIDAD DE CUCURAYA, DISTRITO DE TILALI, PROVINCIA DE MOHO - PUNO.</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</si>
  <si>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</si>
  <si>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</si>
  <si>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</si>
  <si>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</si>
  <si>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</si>
  <si>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2196857</t>
  </si>
  <si>
    <t>0169</t>
  </si>
  <si>
    <t>2196857: INSTALACION DEL SERVICIO EDUCATIVO EN LA INSTITUCIÓN EDUCATIVA INICIAL N 986 SAN JUAN BAUTISTA DEL DISTRITO DE JULIACA, PROVINCIA DE SAN ROMAN - PUNO</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</si>
  <si>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</si>
  <si>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</si>
  <si>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</si>
  <si>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</si>
  <si>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</si>
  <si>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</si>
  <si>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</si>
  <si>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</si>
  <si>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</si>
  <si>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</si>
  <si>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</si>
  <si>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</si>
  <si>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</si>
  <si>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</si>
  <si>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</si>
  <si>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</si>
  <si>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</si>
  <si>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</si>
  <si>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</si>
  <si>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</si>
  <si>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</si>
  <si>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</si>
  <si>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</si>
  <si>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</si>
  <si>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</si>
  <si>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</si>
  <si>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</si>
  <si>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2375549</t>
  </si>
  <si>
    <t>0104</t>
  </si>
  <si>
    <t>2375549: CREACION DE LA INFRAESTRUCTURA DE INTEGRACION VIAL ENTRE SANDIA (CP. QUENEQUE) Y PATAMBUCO (C.P. TIRACA), DISTRITO DE SANDIA Y PATAMBUCO, PROVINCIA DE SANDIA - PUNO</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</si>
  <si>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</si>
  <si>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</si>
  <si>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</si>
  <si>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</si>
  <si>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</si>
  <si>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</si>
  <si>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</si>
  <si>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</si>
  <si>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</si>
  <si>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</si>
  <si>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</si>
  <si>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</si>
  <si>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</si>
  <si>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</si>
  <si>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2514428</t>
  </si>
  <si>
    <t>0113</t>
  </si>
  <si>
    <t>2514428: CREACION DEL SERVICIO DE INTERCONEXION DE MOVILIDAD URBANA EN LA VÍA TRONCAL DEL PUENTE YARAJA  DISTRITO DE AZANGARO - PROVINCIA DE AZANGARO - DEPARTAMENTO DE PUNO</t>
  </si>
  <si>
    <t>2436247</t>
  </si>
  <si>
    <t>0107</t>
  </si>
  <si>
    <t>2436247: MEJORAMIENTO DEL CAMINO VECINAL RUTA PU-713, EMP. PE 3S (AYAVIRI - DESV. CALUYO - TINAJANI - L. PROV. LAMPA), DISTRITO DE AYAVIRI - PROVINCIA DE MELGAR - DEPARTAMENTO DE PUNO</t>
  </si>
  <si>
    <t>Contrata / Personal/bienes/servicios / Expediente técnico</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</si>
  <si>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</si>
  <si>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</si>
  <si>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</si>
  <si>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</si>
  <si>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</si>
  <si>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</si>
  <si>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</si>
  <si>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</si>
  <si>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</si>
  <si>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</si>
  <si>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</si>
  <si>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</si>
  <si>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</si>
  <si>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</si>
  <si>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</si>
  <si>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</si>
  <si>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</si>
  <si>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</si>
  <si>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0508</t>
  </si>
  <si>
    <t>2440946</t>
  </si>
  <si>
    <t>0457</t>
  </si>
  <si>
    <t>2440946: MEJORAMIENTO DEL SERVICIO DE TRANSITABILIDAD VEHICULAR DE LA CARRETERA TRAMO  ACHAYA (PU-140) - ESTRELLA (EMP. PE- 3S)  DEL  DISTRITO DE ACHAYA - PROVINCIA DE AZANGARO - DEPARTAMENTO DE PUNO</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</si>
  <si>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</si>
  <si>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</si>
  <si>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</si>
  <si>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</si>
  <si>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</si>
  <si>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</si>
  <si>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</si>
  <si>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</si>
  <si>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</si>
  <si>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</si>
  <si>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2443679</t>
  </si>
  <si>
    <t>0108</t>
  </si>
  <si>
    <t>2443679: MEJORAMIENTO DEL SERVICIO DE TRANSITABILIDAD VEHICULAR DE LA CARRETERA TRAMO I: EMP- 34L (COJATA) ¿ HUANCASAYA, TRAMO II: HUANCASAYA ¿ TARUCANI-EMP-PU-115 (INCHUPALLA), DEL  DISTRITO DE COJATA - PROVINCIA DE HUANCANE - DEPARTAMENTO DE PUNO</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</si>
  <si>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</si>
  <si>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</si>
  <si>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</si>
  <si>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</si>
  <si>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</si>
  <si>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</si>
  <si>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</si>
  <si>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Administración directa / Equipamiento / Contrata / Laudos arbitrales / Personal/bienes/servicios</t>
  </si>
  <si>
    <t>2186641</t>
  </si>
  <si>
    <t>0062</t>
  </si>
  <si>
    <t>2186641: MEJORAMIENTO DEL SERVICIO DEPORTIVO, CULTURAL Y RECREACIONAL EN LA CAPITAL DE LA REGION PUNO</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</si>
  <si>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</si>
  <si>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</si>
  <si>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</si>
  <si>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</si>
  <si>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</si>
  <si>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</si>
  <si>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</si>
  <si>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</si>
  <si>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</si>
  <si>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</si>
  <si>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</si>
  <si>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</si>
  <si>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</si>
  <si>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</si>
  <si>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</si>
  <si>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</si>
  <si>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</si>
  <si>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</si>
  <si>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</si>
  <si>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</si>
  <si>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</si>
  <si>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</si>
  <si>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</si>
  <si>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</si>
  <si>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</si>
  <si>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</si>
  <si>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</si>
  <si>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</si>
  <si>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</si>
  <si>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</si>
  <si>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</si>
  <si>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</si>
  <si>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</si>
  <si>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</si>
  <si>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</si>
  <si>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</si>
  <si>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2470517</t>
  </si>
  <si>
    <t>0237</t>
  </si>
  <si>
    <t>2470517: MEJORAMIENTO DE LOS SERVICIOS DE SALUD DEL CENTRO DE SALUD COPANI DE LA MICRO RED COPANI, RED DE SALUD YUNGUYO,  DISTRITO DE COPANI - PROVINCIA DE YUNGUYO - DEPARTAMENTO DE PUNO</t>
  </si>
  <si>
    <t>2357092</t>
  </si>
  <si>
    <t>0228</t>
  </si>
  <si>
    <t>2357092: MEJORAMIENTO DE LOS SERVICIOS DE SALUD DEL CENTRO DE SALUD COJATA,  DISTRITO DE COJATA - PROVINCIA DE HUANCANE - DEPARTAMENTO DE PUNO</t>
  </si>
  <si>
    <t>2494039</t>
  </si>
  <si>
    <t>0241</t>
  </si>
  <si>
    <t>2494039: MEJORAMIENTO Y AMPLIACION DE LOS SERVICIOS DE SALUD EN EL ESTABLECIMIENTO DE SALUD UMACHIRI CATEGORÍA I-2 DEL  DISTRITO DE UMACHIRI - PROVINCIA DE MELGAR - DEPARTAMENTO DE PUNO</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</si>
  <si>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</si>
  <si>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</si>
  <si>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</si>
  <si>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</si>
  <si>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</si>
  <si>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</si>
  <si>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</si>
  <si>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</si>
  <si>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</si>
  <si>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</si>
  <si>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</si>
  <si>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</si>
  <si>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</si>
  <si>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</si>
  <si>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</si>
  <si>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</si>
  <si>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</si>
  <si>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</si>
  <si>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</si>
  <si>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</si>
  <si>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</si>
  <si>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</si>
  <si>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</si>
  <si>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</si>
  <si>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</si>
  <si>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</si>
  <si>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</si>
  <si>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</si>
  <si>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</si>
  <si>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</si>
  <si>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</si>
  <si>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</si>
  <si>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2289661</t>
  </si>
  <si>
    <t>0026</t>
  </si>
  <si>
    <t>2289661: MEJORAMIENTO DE LOS SERVICIOS EDUCATIVOS EN LA I.E.S. DOS DE MAYO DE CARACOTO, DISTRITO DE CARACOTO - SAN ROMAN - PUNO</t>
  </si>
  <si>
    <t>2590087</t>
  </si>
  <si>
    <t>0041</t>
  </si>
  <si>
    <t>2590087: MEJORAMIENTO DEL SERVICIO DE EDUCACION SECUNDARIA EN I.E. JOSE MARIA ARGUEDAS DISTRITO DE LLALLI DE LA PROVINCIA DE MELGAR DEL DEPARTAMENTO DE PUNO</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</si>
  <si>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</si>
  <si>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</si>
  <si>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</si>
  <si>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0311</t>
  </si>
  <si>
    <t>2606991</t>
  </si>
  <si>
    <t>0306</t>
  </si>
  <si>
    <t>2606991: MEJORAMIENTO DEL SERVICIO DE EDUCACION INICIAL EN I.E. 69 DISTRITO DE ANTAUTA DE LA PROVINCIA DE MELGAR DEL DEPARTAMENTO DE PUNO</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</si>
  <si>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</si>
  <si>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</si>
  <si>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</si>
  <si>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</si>
  <si>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</si>
  <si>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</si>
  <si>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</si>
  <si>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</si>
  <si>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</si>
  <si>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</si>
  <si>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</si>
  <si>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</si>
  <si>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</si>
  <si>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</si>
  <si>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</si>
  <si>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</si>
  <si>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</si>
  <si>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</si>
  <si>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</si>
  <si>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</si>
  <si>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</si>
  <si>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</si>
  <si>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</si>
  <si>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</si>
  <si>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2343199</t>
  </si>
  <si>
    <t>0103</t>
  </si>
  <si>
    <t>2343199: MEJORAMIENTO DE LA CARRETERA (EMP 34B) AZANGARO - (EMP PU-102) JILA PURINA DE LOS DISTRITO DE AZÁNGARO - DISTRITO DE TIRAPATA - PROVINCIA DE AZANGARO - REGIÓN PUNO</t>
  </si>
  <si>
    <t>2399543</t>
  </si>
  <si>
    <t>0106</t>
  </si>
  <si>
    <t>2399543: MEJORAMIENTO DEL CAMINO VECINAL EMP. R01 (DV. LOANI) - CAMICACHI - EMP. R12 (ROSACANI) DISTRITO DE ILAVE - PROVINCIA DE EL COLLAO - REGION PUNO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</si>
  <si>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</si>
  <si>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</si>
  <si>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</si>
  <si>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</si>
  <si>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</si>
  <si>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</si>
  <si>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</si>
  <si>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</si>
  <si>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</si>
  <si>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</si>
  <si>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</si>
  <si>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</si>
  <si>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2387422</t>
  </si>
  <si>
    <t>0105</t>
  </si>
  <si>
    <t>2387422: MEJORAMIENTO DE LA CARRETERA TRAMO II (PUENTE CULLCO) - PICHINCUTA - QUELCAHUECO - CORARACA DEL - DISTRITO DE ILAVE - PROVINCIA DE EL COLLAO - DEPARTAMENTO DE PUNO</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</si>
  <si>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</si>
  <si>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</si>
  <si>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</si>
  <si>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</si>
  <si>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</si>
  <si>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</si>
  <si>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2645446</t>
  </si>
  <si>
    <t>0069</t>
  </si>
  <si>
    <t>2645446: REPARACION DE TRIBUNA Y/O PALCO Y PISTA DE ATLETISMO (DEPORTE RECREATIVO); CONSTRUCCION DE CAMPO DEPORTIVO; EN EL(LA) ESTADIO DE LA GRAN UNIDAD SAN CARLOS  DISTRITO DE PUNO, PROVINCIA PUNO, DEPARTAMENTO PUNO</t>
  </si>
  <si>
    <t>Contrata / Expediente técnico</t>
  </si>
  <si>
    <t>2646109</t>
  </si>
  <si>
    <t>0073</t>
  </si>
  <si>
    <t>2646109: REPARACION DE TRIBUNA Y/O PALCO; CONSTRUCCION DE CAMPO DEPORTIVO Y TRIBUNA Y/O PALCO; EN EL(LA) ESTADIO MUNICIPAL DE JULI  DISTRITO DE JULI, PROVINCIA CHUCUITO, DEPARTAMENTO PUNO</t>
  </si>
  <si>
    <t>2630072</t>
  </si>
  <si>
    <t>0504</t>
  </si>
  <si>
    <t>2630072: CREACION DEL SERVICIO DE PRACTICA DEPORTIVA Y/O RECREATIVA EN COLISEO CERRADO DE AYAPATA DISTRITO DE AYAPATA DE LA PROVINCIA DE CARABAYA DEL DEPARTAMENTO DE PUNO</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</si>
  <si>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</si>
  <si>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</si>
  <si>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</si>
  <si>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</si>
  <si>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</si>
  <si>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</si>
  <si>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</si>
  <si>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</si>
  <si>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2453224</t>
  </si>
  <si>
    <t>0455</t>
  </si>
  <si>
    <t>2453224: MEJORAMIENTO DE LOS SERVICIOS DE EDUCACION SECUNDARIA DE LA INSTITUCION EDUCATIVA LIBERTADOR JOSE DE SAN MARTIN DE HUARISANI DEL DISTRITO DE HUANCANE - PROVINCIA DE HUANCANE - DEPARTAMENTO DE PUNO</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</si>
  <si>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</si>
  <si>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</si>
  <si>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</si>
  <si>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</si>
  <si>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</si>
  <si>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</si>
  <si>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</si>
  <si>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</si>
  <si>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</si>
  <si>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</si>
  <si>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</si>
  <si>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</si>
  <si>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2501244</t>
  </si>
  <si>
    <t>0506</t>
  </si>
  <si>
    <t>2501244: MEJORAMIENTO DEL SERVICIO EDUCATIVO DEL NIVEL SECUNDARIA DE LA I.E. AGROPECUARIO PAMPA YANAMAYO DEL DISTRITO DE ALTO INAMBARI - PROVINCIA DE SANDIA - DEPARTAMENTO DE PUNO</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</si>
  <si>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</si>
  <si>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</si>
  <si>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</si>
  <si>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</si>
  <si>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</si>
  <si>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</si>
  <si>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</si>
  <si>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</si>
  <si>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</si>
  <si>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</si>
  <si>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</si>
  <si>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</si>
  <si>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</si>
  <si>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</si>
  <si>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</si>
  <si>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</si>
  <si>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</si>
  <si>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</si>
  <si>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2427364</t>
  </si>
  <si>
    <t>0233</t>
  </si>
  <si>
    <t>2427364: MEJORAMIENTO DE LOS SERVICIOS DE SALUD DEL HOSPITAL ANTONIO BARRIONUEVO DISTRITO DE LAMPA - PROVINCIA DE LAMPA - DEPARTAMENTO DE PUNO</t>
  </si>
  <si>
    <t>Contrata / Expediente técnico / Laudos arbitrales</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</si>
  <si>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</si>
  <si>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</si>
  <si>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</si>
  <si>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</si>
  <si>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</si>
  <si>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</si>
  <si>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</si>
  <si>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</si>
  <si>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</si>
  <si>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</si>
  <si>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</si>
  <si>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</si>
  <si>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</si>
  <si>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</si>
  <si>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</si>
  <si>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</si>
  <si>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</si>
  <si>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</si>
  <si>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</si>
  <si>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</si>
  <si>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</si>
  <si>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</si>
  <si>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</si>
  <si>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</si>
  <si>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</si>
  <si>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</si>
  <si>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</si>
  <si>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</si>
  <si>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</si>
  <si>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</si>
  <si>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</si>
  <si>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</si>
  <si>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</si>
  <si>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2719323</t>
  </si>
  <si>
    <t>0523</t>
  </si>
  <si>
    <t>2719323: REPARACION DE CONSULTORIO, LABORATORIO, ALMACEN O DEPOSITO Y AMBIENTE COMPLEMENTARIO; ADEMAS DE OTROS ACTIVOS EN EL(LA) CUTURAPI DISTRITO DE CUTURAPI, PROVINCIA YUNGUYO, DEPARTAMENTO PUNO</t>
  </si>
  <si>
    <t>Sin datos</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</si>
  <si>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</si>
  <si>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</si>
  <si>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</si>
  <si>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</si>
  <si>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</si>
  <si>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</si>
  <si>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</si>
  <si>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</si>
  <si>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</si>
  <si>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</si>
  <si>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</si>
  <si>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</si>
  <si>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</si>
  <si>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</si>
  <si>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</si>
  <si>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</si>
  <si>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</si>
  <si>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</si>
  <si>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2663002</t>
  </si>
  <si>
    <t>0318</t>
  </si>
  <si>
    <t>2663002: MEJORAMIENTO DEL SERVICIO DE EDUCACION SECUNDARIA EN I.E. HUAPACA SAN MIGUEL DE CENTRO POBLADO HUAPACA SAN MIGUEL DISTRITO DE POMATA DE LA PROVINCIA DE CHUCUITO DEL DEPARTAMENTO DE PUNO</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</si>
  <si>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</si>
  <si>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</si>
  <si>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</si>
  <si>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</si>
  <si>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</si>
  <si>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</si>
  <si>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</si>
  <si>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</si>
  <si>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</si>
  <si>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2196910</t>
  </si>
  <si>
    <t>0330</t>
  </si>
  <si>
    <t>2196910: INSTALACION DEL SERVICIO EDUCATIVO EN LA INSTITUCION EDUCATIVA INICIAL AMAQUILLA CICLO II, DISTRITO DE COPANI - YUNGUYO - PUNO</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</si>
  <si>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</si>
  <si>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</si>
  <si>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</si>
  <si>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</si>
  <si>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</si>
  <si>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</si>
  <si>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</si>
  <si>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</si>
  <si>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</si>
  <si>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2653339</t>
  </si>
  <si>
    <t>0335</t>
  </si>
  <si>
    <t>2653339: MEJORAMIENTO DEL SERVICIO DE EDUCACIÓN INICIAL EN I.E. 1137  DE CENTRO POBLADO LOS ANGELES DISTRITO DE CABANILLAS DE LA PROVINCIA DE SAN ROMAN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</si>
  <si>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</si>
  <si>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</si>
  <si>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</si>
  <si>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</si>
  <si>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</si>
  <si>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</si>
  <si>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</si>
  <si>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</si>
  <si>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</si>
  <si>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</si>
  <si>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</si>
  <si>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</si>
  <si>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</si>
  <si>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</si>
  <si>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</si>
  <si>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</si>
  <si>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</si>
  <si>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</si>
  <si>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2727355</t>
  </si>
  <si>
    <t>0505</t>
  </si>
  <si>
    <t>2727355: CONSTRUCCION DE CAMPO DEPORTIVO SINGULAR; REFORZAMIENTO ESTRUCTURAL DE CAMPO DEPORTIVO Y ESPACIO DEPORTIVO CON COBERTURA; EN EL(LA) I.E. 73001 DISTRITO DE AZANGARO, PROVINCIA AZANGARO, DEPARTAMENTO PUNO</t>
  </si>
  <si>
    <t>2650804</t>
  </si>
  <si>
    <t>0517</t>
  </si>
  <si>
    <t>2650804: MEJORAMIENTO DEL SERVICIO DE EDUCACION PRIMARIA EN I.E. 73010 DISTRITO DE SAN PEDRO DE PUTINA PUNCO DE LA PROVINCIA DE SANDIA DEL DEPARTAMENTO DE PUNO</t>
  </si>
  <si>
    <t>2681015</t>
  </si>
  <si>
    <t>0518</t>
  </si>
  <si>
    <t>2681015: CREACION DEL SERVICIO DE EDUCACIÓN SUPERIOR TECNOLÓGICA  EN INSTITUTO SUPERIOR TECNOLOGICO "MARIANO CHANCATUMA" EN LA LOCALIDAD DE ASILLO   DISTRITO DE ASILLO DE LA PROVINCIA DE AZANGARO DEL DEPARTAMENTO DE PUNO</t>
  </si>
  <si>
    <t>2730161</t>
  </si>
  <si>
    <t>0519</t>
  </si>
  <si>
    <t>2730161: RENOVACION DE AULA DE EDUCACION PRIMARIA; ADQUISICION DE EQUIPAMIENTO DE AULA, EQUIPAMIENTO DE TALLER Y MOBILIARIO DE AULA; EN EL(LA) I.E. 70617 CESAR VALLEJO DISTRITO DE JULIACA, PROVINCIA SAN ROMAN, DEPARTAMENTO PUNO</t>
  </si>
  <si>
    <t>2718285</t>
  </si>
  <si>
    <t>0520</t>
  </si>
  <si>
    <t>2718285: CONSTRUCCION DE ESPACIO DEPORTIVO CON COBERTURA, ESPACIO DEPORTIVO SIN COBERTURA Y ESPACIO DE CIRCULACION INTERIOR ; EN EL(LA) I.E. JOSE ANTONIO ENCINAS DISTRITO DE JULIACA, PROVINCIA SAN ROMAN, DEPARTAMENTO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</si>
  <si>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</si>
  <si>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</si>
  <si>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</si>
  <si>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</si>
  <si>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</si>
  <si>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</si>
  <si>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</si>
  <si>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</si>
  <si>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</si>
  <si>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</si>
  <si>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</si>
  <si>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</si>
  <si>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</si>
  <si>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</si>
  <si>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</si>
  <si>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2642160</t>
  </si>
  <si>
    <t>0326</t>
  </si>
  <si>
    <t>2642160: MEJORAMIENTO DEL SERVICIO DE TRANSITABILIDAD VIAL INTERURBANA EN EN LA VIA VECINAL PU-713, L. PROV. LAMPA - QUISHUARANI - SALLAPATA - HUERTA -EMP. PU-124 (VILAVILA), DISTRITO DE VILAVILA DE LA PROVINCIA DE LAMPA DEL DEPARTAMENTO DE PUNO</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</si>
  <si>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</si>
  <si>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</si>
  <si>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</si>
  <si>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</si>
  <si>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</si>
  <si>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</si>
  <si>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</si>
  <si>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</si>
  <si>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</si>
  <si>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</si>
  <si>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</si>
  <si>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</si>
  <si>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</si>
  <si>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</si>
  <si>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</si>
  <si>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</si>
  <si>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2727299</t>
  </si>
  <si>
    <t>0522</t>
  </si>
  <si>
    <t>2727299: CONSTRUCCION DE PUENTE; EN EL(LA) CARRETERA R211223 EN ACCESO AL C.P. VICTORIA, DISTRITO DE SAN PEDRO DE PUTINA PUNCO, PROVINCIA SANDIA, DEPARTAMENTO PUNO</t>
  </si>
  <si>
    <t>0321</t>
  </si>
  <si>
    <t>2714049</t>
  </si>
  <si>
    <t>0491</t>
  </si>
  <si>
    <t>2714049: REPARACION DE CAMPO DEPORTIVO; EN EL(LA) POLIDEPORTIVO AZANGARO DISTRITO DE AZANGARO, PROVINCIA AZANGARO, DEPARTAMENTO PUNO</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</si>
  <si>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</si>
  <si>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</si>
  <si>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</si>
  <si>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</si>
  <si>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</si>
  <si>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</si>
  <si>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</si>
  <si>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</si>
  <si>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</si>
  <si>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</si>
  <si>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</si>
  <si>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</si>
  <si>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</si>
  <si>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</si>
  <si>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</si>
  <si>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</si>
  <si>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</si>
  <si>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</si>
  <si>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</si>
  <si>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</si>
  <si>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</si>
  <si>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</si>
  <si>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</si>
  <si>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</si>
  <si>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</si>
  <si>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</si>
  <si>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</si>
  <si>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</si>
  <si>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</si>
  <si>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</si>
  <si>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</si>
  <si>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</si>
  <si>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</si>
  <si>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</si>
  <si>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</si>
  <si>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</si>
  <si>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</si>
  <si>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</si>
  <si>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</si>
  <si>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</si>
  <si>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</si>
  <si>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</si>
  <si>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</si>
  <si>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</si>
  <si>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</si>
  <si>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</si>
  <si>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</si>
  <si>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</si>
  <si>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</si>
  <si>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</si>
  <si>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</si>
  <si>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</si>
  <si>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</si>
  <si>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</si>
  <si>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</si>
  <si>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</si>
  <si>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</si>
  <si>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</si>
  <si>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</si>
  <si>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</si>
  <si>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</si>
  <si>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</si>
  <si>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</si>
  <si>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</si>
  <si>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</si>
  <si>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</si>
  <si>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</si>
  <si>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</si>
  <si>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</si>
  <si>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</si>
  <si>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</si>
  <si>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</si>
  <si>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</si>
  <si>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</si>
  <si>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</si>
  <si>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</si>
  <si>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</si>
  <si>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</si>
  <si>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</si>
  <si>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</si>
  <si>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</si>
  <si>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</si>
  <si>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</si>
  <si>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</si>
  <si>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</si>
  <si>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</si>
  <si>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</si>
  <si>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</si>
  <si>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</si>
  <si>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</si>
  <si>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</si>
  <si>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</si>
  <si>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</si>
  <si>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</si>
  <si>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</si>
  <si>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</si>
  <si>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</si>
  <si>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</si>
  <si>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</si>
  <si>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</si>
  <si>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</si>
  <si>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</si>
  <si>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</si>
  <si>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</si>
  <si>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</si>
  <si>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</si>
  <si>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</si>
  <si>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</si>
  <si>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</si>
  <si>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</si>
  <si>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</si>
  <si>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</si>
  <si>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</si>
  <si>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</si>
  <si>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</si>
  <si>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</si>
  <si>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</si>
  <si>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</si>
  <si>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</si>
  <si>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</si>
  <si>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</si>
  <si>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</si>
  <si>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</si>
  <si>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</si>
  <si>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</si>
  <si>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</si>
  <si>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</si>
  <si>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</si>
  <si>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</si>
  <si>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</si>
  <si>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</si>
  <si>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</si>
  <si>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</si>
  <si>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</si>
  <si>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</si>
  <si>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</si>
  <si>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</si>
  <si>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</si>
  <si>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</si>
  <si>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</si>
  <si>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</si>
  <si>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</si>
  <si>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</si>
  <si>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</si>
  <si>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</si>
  <si>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</si>
  <si>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</si>
  <si>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</si>
  <si>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</si>
  <si>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</si>
  <si>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</si>
  <si>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</si>
  <si>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</si>
  <si>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</si>
  <si>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</si>
  <si>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</si>
  <si>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</si>
  <si>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</si>
  <si>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</si>
  <si>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</si>
  <si>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</si>
  <si>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</si>
  <si>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</si>
  <si>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</si>
  <si>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</si>
  <si>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</si>
  <si>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</si>
  <si>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</si>
  <si>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</si>
  <si>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</si>
  <si>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</si>
  <si>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</si>
  <si>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</si>
  <si>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</si>
  <si>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</si>
  <si>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</si>
  <si>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</si>
  <si>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</si>
  <si>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</si>
  <si>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</si>
  <si>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</si>
  <si>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</si>
  <si>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</si>
  <si>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</si>
  <si>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</si>
  <si>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</si>
  <si>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</si>
  <si>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</si>
  <si>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</si>
  <si>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</si>
  <si>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</si>
  <si>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</si>
  <si>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</si>
  <si>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</si>
  <si>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</si>
  <si>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</si>
  <si>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</si>
  <si>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</si>
  <si>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</si>
  <si>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</si>
  <si>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</si>
  <si>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</si>
  <si>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</si>
  <si>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</si>
  <si>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</si>
  <si>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</si>
  <si>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</si>
  <si>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</si>
  <si>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</si>
  <si>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</si>
  <si>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</si>
  <si>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</si>
  <si>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</si>
  <si>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2159836</t>
  </si>
  <si>
    <t>0091</t>
  </si>
  <si>
    <t>2159836: MEJORAMIENTO Y CREACION DEL CAMINO VECINAL SACO-HUANACURI, DISTRITO DE COASA - CARABAYA - PUNO</t>
  </si>
  <si>
    <t>2185111</t>
  </si>
  <si>
    <t>0093</t>
  </si>
  <si>
    <t>2185111: MEJORAMIENTO DE LA CARRETERA (PU 112) PUTINA - MUÑANI, DISTRITOS DE PUTINA Y MUÑANI, PROVINCIAS DE SAN ANTONIO DE PUTINA Y AZÁNGARO - PUNO</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</si>
  <si>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</si>
  <si>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</si>
  <si>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</si>
  <si>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</si>
  <si>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</si>
  <si>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</si>
  <si>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</si>
  <si>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</si>
  <si>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</si>
  <si>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</si>
  <si>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</si>
  <si>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</si>
  <si>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</si>
  <si>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</si>
  <si>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</si>
  <si>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</si>
  <si>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</si>
  <si>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</si>
  <si>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</si>
  <si>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</si>
  <si>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</si>
  <si>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</si>
  <si>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</si>
  <si>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</si>
  <si>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</si>
  <si>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</si>
  <si>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</si>
  <si>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</si>
  <si>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</si>
  <si>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</si>
  <si>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</si>
  <si>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</si>
  <si>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</si>
  <si>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</si>
  <si>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</si>
  <si>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</si>
  <si>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</si>
  <si>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</si>
  <si>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</si>
  <si>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</si>
  <si>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</si>
  <si>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</si>
  <si>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</si>
  <si>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</si>
  <si>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</si>
  <si>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</si>
  <si>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</si>
  <si>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</si>
  <si>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</si>
  <si>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</si>
  <si>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</si>
  <si>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</si>
  <si>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</si>
  <si>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</si>
  <si>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</si>
  <si>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</si>
  <si>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</si>
  <si>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</si>
  <si>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</si>
  <si>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</si>
  <si>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</si>
  <si>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</si>
  <si>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</si>
  <si>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</si>
  <si>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</si>
  <si>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</si>
  <si>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</si>
  <si>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</si>
  <si>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</si>
  <si>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</si>
  <si>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</si>
  <si>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</si>
  <si>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</si>
  <si>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</si>
  <si>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</si>
  <si>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</si>
  <si>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</si>
  <si>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</si>
  <si>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</si>
  <si>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</si>
  <si>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</si>
  <si>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</si>
  <si>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</si>
  <si>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</si>
  <si>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</si>
  <si>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</si>
  <si>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</si>
  <si>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</si>
  <si>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</si>
  <si>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</si>
  <si>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</si>
  <si>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</si>
  <si>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</si>
  <si>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</si>
  <si>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</si>
  <si>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</si>
  <si>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</si>
  <si>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</si>
  <si>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</si>
  <si>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</si>
  <si>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</si>
  <si>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</si>
  <si>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</si>
  <si>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</si>
  <si>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</si>
  <si>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</si>
  <si>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</si>
  <si>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</si>
  <si>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</si>
  <si>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</si>
  <si>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</si>
  <si>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</si>
  <si>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</si>
  <si>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</si>
  <si>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</si>
  <si>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</si>
  <si>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</si>
  <si>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</si>
  <si>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</si>
  <si>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</si>
  <si>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</si>
  <si>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</si>
  <si>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</si>
  <si>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</si>
  <si>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</si>
  <si>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</si>
  <si>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</si>
  <si>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</si>
  <si>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</si>
  <si>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</si>
  <si>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</si>
  <si>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</si>
  <si>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</si>
  <si>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</si>
  <si>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</si>
  <si>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</si>
  <si>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</si>
  <si>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</si>
  <si>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</si>
  <si>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</si>
  <si>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</si>
  <si>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</si>
  <si>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</si>
  <si>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</si>
  <si>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</si>
  <si>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</si>
  <si>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</si>
  <si>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</si>
  <si>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</si>
  <si>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</si>
  <si>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</si>
  <si>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</si>
  <si>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</si>
  <si>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</si>
  <si>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</si>
  <si>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</si>
  <si>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</si>
  <si>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</si>
  <si>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</si>
  <si>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</si>
  <si>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</si>
  <si>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</si>
  <si>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</si>
  <si>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</si>
  <si>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</si>
  <si>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</si>
  <si>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</si>
  <si>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</si>
  <si>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</si>
  <si>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</si>
  <si>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</si>
  <si>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</si>
  <si>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</si>
  <si>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</si>
  <si>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</si>
  <si>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</si>
  <si>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</si>
  <si>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</si>
  <si>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</si>
  <si>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</si>
  <si>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</si>
  <si>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</si>
  <si>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</si>
  <si>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</si>
  <si>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</si>
  <si>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</si>
  <si>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</si>
  <si>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</si>
  <si>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</si>
  <si>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</si>
  <si>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</si>
  <si>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</si>
  <si>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</si>
  <si>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</si>
  <si>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</si>
  <si>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</si>
  <si>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</si>
  <si>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</si>
  <si>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</si>
  <si>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</si>
  <si>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</si>
  <si>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</si>
  <si>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</si>
  <si>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</si>
  <si>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</si>
  <si>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</si>
  <si>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</si>
  <si>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</si>
  <si>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</si>
  <si>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</si>
  <si>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</si>
  <si>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</si>
  <si>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</si>
  <si>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</si>
  <si>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</si>
  <si>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</si>
  <si>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</si>
  <si>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</si>
  <si>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</si>
  <si>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</si>
  <si>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</si>
  <si>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</si>
  <si>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</si>
  <si>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</si>
  <si>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</si>
  <si>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</si>
  <si>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</si>
  <si>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</si>
  <si>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</si>
  <si>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</si>
  <si>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</si>
  <si>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</si>
  <si>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</si>
  <si>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</si>
  <si>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</si>
  <si>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</si>
  <si>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</si>
  <si>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</si>
  <si>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</si>
  <si>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</si>
  <si>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</si>
  <si>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</si>
  <si>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</si>
  <si>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</si>
  <si>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</si>
  <si>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</si>
  <si>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</si>
  <si>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</si>
  <si>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</si>
  <si>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</si>
  <si>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</si>
  <si>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</si>
  <si>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</si>
  <si>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</si>
  <si>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</si>
  <si>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</si>
  <si>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</si>
  <si>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</si>
  <si>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</si>
  <si>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</si>
  <si>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</si>
  <si>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</si>
  <si>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</si>
  <si>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</si>
  <si>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</si>
  <si>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</si>
  <si>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</si>
  <si>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</si>
  <si>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</si>
  <si>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</si>
  <si>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</si>
  <si>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</si>
  <si>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</si>
  <si>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</si>
  <si>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</si>
  <si>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</si>
  <si>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</si>
  <si>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</si>
  <si>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</si>
  <si>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</si>
  <si>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</si>
  <si>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</si>
  <si>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</si>
  <si>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</si>
  <si>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</si>
  <si>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</si>
  <si>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</si>
  <si>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</si>
  <si>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</si>
  <si>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</si>
  <si>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</si>
  <si>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</si>
  <si>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</si>
  <si>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</si>
  <si>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</si>
  <si>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</si>
  <si>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</si>
  <si>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</si>
  <si>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</si>
  <si>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</si>
  <si>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</si>
  <si>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</si>
  <si>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</si>
  <si>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</si>
  <si>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</si>
  <si>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</si>
  <si>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</si>
  <si>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</si>
  <si>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</si>
  <si>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</si>
  <si>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</si>
  <si>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</si>
  <si>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</si>
  <si>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</si>
  <si>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</si>
  <si>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</si>
  <si>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</si>
  <si>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</si>
  <si>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</si>
  <si>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</si>
  <si>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</si>
  <si>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</si>
  <si>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</si>
  <si>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</si>
  <si>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</si>
  <si>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</si>
  <si>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</si>
  <si>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</si>
  <si>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</si>
  <si>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</si>
  <si>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</si>
  <si>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</si>
  <si>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</si>
  <si>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</si>
  <si>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</si>
  <si>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</si>
  <si>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</si>
  <si>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</si>
  <si>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</si>
  <si>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</si>
  <si>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</si>
  <si>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</si>
  <si>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</si>
  <si>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</si>
  <si>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</si>
  <si>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</si>
  <si>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</si>
  <si>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</si>
  <si>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</si>
  <si>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</si>
  <si>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</si>
  <si>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</si>
  <si>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</si>
  <si>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</si>
  <si>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</si>
  <si>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</si>
  <si>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</si>
  <si>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</si>
  <si>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</si>
  <si>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</si>
  <si>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</si>
  <si>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</si>
  <si>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</si>
  <si>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</si>
  <si>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</si>
  <si>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</si>
  <si>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</si>
  <si>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</si>
  <si>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</si>
  <si>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</si>
  <si>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</si>
  <si>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</si>
  <si>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</si>
  <si>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</si>
  <si>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</si>
  <si>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</si>
  <si>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</si>
  <si>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</si>
  <si>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</si>
  <si>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</si>
  <si>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</si>
  <si>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</si>
  <si>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</si>
  <si>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</si>
  <si>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</si>
  <si>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</si>
  <si>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</si>
  <si>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</si>
  <si>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</si>
  <si>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</si>
  <si>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</si>
  <si>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</si>
  <si>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</si>
  <si>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</si>
  <si>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</si>
  <si>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</si>
  <si>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</si>
  <si>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</si>
  <si>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</si>
  <si>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</si>
  <si>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</si>
  <si>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</si>
  <si>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</si>
  <si>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</si>
  <si>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</si>
  <si>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</si>
  <si>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</si>
  <si>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</si>
  <si>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</si>
  <si>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</si>
  <si>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</si>
  <si>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</si>
  <si>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</si>
  <si>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</si>
  <si>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</si>
  <si>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</si>
  <si>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</si>
  <si>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</si>
  <si>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</si>
  <si>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</si>
  <si>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</si>
  <si>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</si>
  <si>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</si>
  <si>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</si>
  <si>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</si>
  <si>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</si>
  <si>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</si>
  <si>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</si>
  <si>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</si>
  <si>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</si>
  <si>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</si>
  <si>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</si>
  <si>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</si>
  <si>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</si>
  <si>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</si>
  <si>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</si>
  <si>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</si>
  <si>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</si>
  <si>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</si>
  <si>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</si>
  <si>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</si>
  <si>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</si>
  <si>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</si>
  <si>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</si>
  <si>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</si>
  <si>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</si>
  <si>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</si>
  <si>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</si>
  <si>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</si>
  <si>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</si>
  <si>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</si>
  <si>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</si>
  <si>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</si>
  <si>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</si>
  <si>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</si>
  <si>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</si>
  <si>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</si>
  <si>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</si>
  <si>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</si>
  <si>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</si>
  <si>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2159149</t>
  </si>
  <si>
    <t>0196</t>
  </si>
  <si>
    <t>2159149: MEJORAMIENTO DE LAS CAPACIDADES PARA PREVENIR LA DESNUTRICION CRONICA, EN MENORES DE 3 AÑOS EN LAS PROVINCIAS DE CARABAYA, MELGAR Y SANDIA DE LA REGION PUNO</t>
  </si>
  <si>
    <t>2488048</t>
  </si>
  <si>
    <t>0239</t>
  </si>
  <si>
    <t>2488048: CREACION DEL SERVICIO DE ANÁLISIS DE BIOLOGIA MOLECULAR DE DIAGNÓSTICO COVID-19 EN EL LABORATORIO DE REFERENCIA REGIONAL DE LA DIRESA PUNO,  DISTRITO DE PUNO - PROVINCIA DE PUNO - DEPARTAMENTO DE PUNO</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</si>
  <si>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</si>
  <si>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</si>
  <si>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</si>
  <si>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</si>
  <si>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</si>
  <si>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</si>
  <si>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</si>
  <si>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</si>
  <si>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</si>
  <si>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</si>
  <si>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</si>
  <si>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</si>
  <si>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</si>
  <si>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</si>
  <si>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</si>
  <si>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</si>
  <si>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</si>
  <si>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</si>
  <si>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</si>
  <si>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</si>
  <si>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</si>
  <si>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</si>
  <si>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</si>
  <si>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</si>
  <si>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</si>
  <si>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</si>
  <si>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</si>
  <si>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</si>
  <si>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</si>
  <si>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</si>
  <si>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</si>
  <si>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</si>
  <si>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</si>
  <si>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</si>
  <si>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</si>
  <si>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</si>
  <si>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</si>
  <si>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</si>
  <si>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</si>
  <si>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</si>
  <si>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</si>
  <si>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</si>
  <si>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</si>
  <si>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</si>
  <si>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</si>
  <si>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</si>
  <si>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</si>
  <si>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</si>
  <si>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</si>
  <si>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</si>
  <si>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</si>
  <si>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</si>
  <si>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</si>
  <si>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</si>
  <si>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</si>
  <si>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</si>
  <si>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</si>
  <si>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</si>
  <si>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</si>
  <si>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</si>
  <si>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</si>
  <si>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</si>
  <si>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</si>
  <si>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</si>
  <si>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</si>
  <si>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</si>
  <si>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</si>
  <si>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</si>
  <si>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</si>
  <si>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</si>
  <si>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</si>
  <si>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</si>
  <si>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</si>
  <si>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</si>
  <si>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</si>
  <si>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</si>
  <si>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</si>
  <si>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</si>
  <si>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</si>
  <si>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</si>
  <si>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2719529</t>
  </si>
  <si>
    <t>0515</t>
  </si>
  <si>
    <t>2719529: RENOVACION DE AULA DE EDUCACION PRIMARIA, SERVICIOS HIGIENICOS Y/O VESTIDORES Y AMBIENTE DE USOS MULTIPLES; ADQUISICION DE MOBILIARIO DE AULA; EN TRES II.EE. PRIMARIA A NIVEL DISTRITAL (PUNO - SANDIA - ALTO INAMBARI)</t>
  </si>
  <si>
    <t>2723359</t>
  </si>
  <si>
    <t>0509</t>
  </si>
  <si>
    <t>2723359: CONSTRUCCION DE AULA DE EDUCACION SECUNDARIA; ADQUISICION DE MOBILIARIO DE AULA; EN EL(LA) IE SECUNDARIA SANTA ROSA DISTRITO DE ALTO INAMBARI, PROVINCIA SANDIA, DEPARTAMENTO PUNO</t>
  </si>
  <si>
    <t>2721888</t>
  </si>
  <si>
    <t>0510</t>
  </si>
  <si>
    <t>2721888: CONSTRUCCION DE AULA DE EDUCACION SECUNDARIA; ADQUISICION DE MOBILIARIO DE AULA; EN EL(LA) IE I.E. SECUNDARIA JOSE MARIA ARGUEDAS EN LA LOCALIDAD CCAPUNA, DISTRITO DE SANDIA, PROVINCIA SANDIA, DEPARTAMENTO PUNO</t>
  </si>
  <si>
    <t>2721886</t>
  </si>
  <si>
    <t>0511</t>
  </si>
  <si>
    <t>2721886: CONSTRUCCION DE AULA DE EDUCACION INICIAL; ADQUISICION DE MOBILIARIO DE AULA; EN EL(LA) IE INICIAL N° 1048 DE HUENCALLA DISTRITO DE SANDIA, PROVINCIA SANDIA, DEPARTAMENTO PUNO</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</si>
  <si>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</si>
  <si>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</si>
  <si>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</si>
  <si>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</si>
  <si>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</si>
  <si>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</si>
  <si>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</si>
  <si>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</si>
  <si>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</si>
  <si>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</si>
  <si>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</si>
  <si>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</si>
  <si>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</si>
  <si>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</si>
  <si>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</si>
  <si>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</si>
  <si>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</si>
  <si>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</si>
  <si>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</si>
  <si>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</si>
  <si>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</si>
  <si>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</si>
  <si>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</si>
  <si>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</si>
  <si>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</si>
  <si>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</si>
  <si>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</si>
  <si>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</si>
  <si>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</si>
  <si>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</si>
  <si>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</si>
  <si>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</si>
  <si>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</si>
  <si>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</si>
  <si>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</si>
  <si>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</si>
  <si>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</si>
  <si>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</si>
  <si>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</si>
  <si>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</si>
  <si>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</si>
  <si>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</si>
  <si>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</si>
  <si>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</si>
  <si>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</si>
  <si>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</si>
  <si>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</si>
  <si>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</si>
  <si>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</si>
  <si>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</si>
  <si>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</si>
  <si>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</si>
  <si>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</si>
  <si>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</si>
  <si>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Gerencia sugerida por Silucia (ejecutora "GRI - POR ADM. DIRECTA"): confirmar en maestro.xlsx</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</si>
  <si>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</si>
  <si>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</si>
  <si>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</si>
  <si>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</si>
  <si>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</si>
  <si>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</si>
  <si>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</si>
  <si>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</si>
  <si>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002</t>
  </si>
  <si>
    <t>UE 002</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</si>
  <si>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</si>
  <si>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</si>
  <si>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</si>
  <si>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</si>
  <si>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</si>
  <si>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</si>
  <si>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</si>
  <si>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</si>
  <si>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0014</t>
  </si>
  <si>
    <t>003</t>
  </si>
  <si>
    <t>UE 003</t>
  </si>
  <si>
    <t>003. REGION PUNO-PROGRAMA REGIONAL DE RIEGO Y DRENAJE</t>
  </si>
  <si>
    <t>2454391</t>
  </si>
  <si>
    <t>2454391: AMPLIACION DEL SERVICIO DE AGUA PARA RIEGO MEDIANTE LA CONSTRUCCIÓN DE LA REPRESA SAPANCCOTA DEL DISTRITO DE PUCARA - PROVINCIA DE LAMPA - DEPARTAMENTO DE PUNO</t>
  </si>
  <si>
    <t>2566500</t>
  </si>
  <si>
    <t>0012</t>
  </si>
  <si>
    <t>2566500: MEJORAMIENTO Y AMPLIACION DEL SISTEMA DE RIEGO CHAJANA DEL DISTRITO DE ACORA - PROVINCIA DE PUNO - DEPARTAMENTO DE PUNO</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</si>
  <si>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</si>
  <si>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</si>
  <si>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</si>
  <si>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</si>
  <si>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</si>
  <si>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2651742</t>
  </si>
  <si>
    <t>2651742: MEJORAMIENTO Y AMPLIACION DEL SERVICIO DE PROVISIÓN DE AGUA PARA RIEGO EN LA MICROCUENCA DEL RÍO CONDORIRI   DISTRITO DE AZANGARO DE LA PROVINCIA DE AZANGARO DEL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</si>
  <si>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</si>
  <si>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</si>
  <si>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</si>
  <si>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</si>
  <si>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Administración directa / Personal/bienes/servicios / Equipamiento / Contrata</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</si>
  <si>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</si>
  <si>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</si>
  <si>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</si>
  <si>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</si>
  <si>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</si>
  <si>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</si>
  <si>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</si>
  <si>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</si>
  <si>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</si>
  <si>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</si>
  <si>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</si>
  <si>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</si>
  <si>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</si>
  <si>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</si>
  <si>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</si>
  <si>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</si>
  <si>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</si>
  <si>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</si>
  <si>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</si>
  <si>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</si>
  <si>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</si>
  <si>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</si>
  <si>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UE 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</si>
  <si>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</si>
  <si>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</si>
  <si>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</si>
  <si>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</si>
  <si>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</si>
  <si>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</si>
  <si>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</si>
  <si>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</si>
  <si>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</si>
  <si>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</si>
  <si>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</si>
  <si>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</si>
  <si>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</si>
  <si>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100</t>
  </si>
  <si>
    <t>UE 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</si>
  <si>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</si>
  <si>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</si>
  <si>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</si>
  <si>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</si>
  <si>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</si>
  <si>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</si>
  <si>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</si>
  <si>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</si>
  <si>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</si>
  <si>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</si>
  <si>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</si>
  <si>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</si>
  <si>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</si>
  <si>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</si>
  <si>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</si>
  <si>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</si>
  <si>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</si>
  <si>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</si>
  <si>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UE 302</t>
  </si>
  <si>
    <t>302. REGION PUNO-EDUCACION MELGAR</t>
  </si>
  <si>
    <t>413</t>
  </si>
  <si>
    <t>UE 413</t>
  </si>
  <si>
    <t>413. GOB. REG. DPTO. DE PUNO - SALUD SAN ANTONIO DE PUTINA</t>
  </si>
  <si>
    <t>2730957</t>
  </si>
  <si>
    <t>2730957: ADQUISICION DE UNIDAD DENTAL Y AUTOCLAVE; EN EL(LA) ANANEA  DISTRITO DE ANANEA, PROVINCIA SAN ANTONIO DE PUTINA, DEPARTAMENTO PUNO</t>
  </si>
  <si>
    <t>ANEXO N° 01</t>
  </si>
  <si>
    <t>COMPORTAMIENTO DE EJECUCIÓN DE PROYECTOS DE INVERSION PUBLICA DEL AÑO FISCAL 2026 · Gerencia de Infraestructura · AL 07/10/2026</t>
  </si>
  <si>
    <t>N°</t>
  </si>
  <si>
    <t>META</t>
  </si>
  <si>
    <t>PROYECTO</t>
  </si>
  <si>
    <t>PIM 2026
(A)</t>
  </si>
  <si>
    <t>CERTIFICACIÓN
(B)</t>
  </si>
  <si>
    <t>SALDO
(A-B)</t>
  </si>
  <si>
    <t>DEVENGADO
( C )</t>
  </si>
  <si>
    <t>SALDO
(A-C)</t>
  </si>
  <si>
    <t>DEVEN
%</t>
  </si>
  <si>
    <t>MODALIDAD
DE
EJECUCIÓN</t>
  </si>
  <si>
    <t>ESTADO
SITUACIONAL
PROYECTO</t>
  </si>
  <si>
    <t>BASE LEGAL</t>
  </si>
  <si>
    <t>DISPONIBILIDAD</t>
  </si>
  <si>
    <t>CERTIFICADO NO
COMPROMETIDO</t>
  </si>
  <si>
    <t>DISPONIBLE
(PIM − COMPROM.)</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</si>
  <si>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</si>
  <si>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</si>
  <si>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</si>
  <si>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</si>
  <si>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</si>
  <si>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07/10/2026</t>
  </si>
  <si>
    <t>TOTAL GERENCIAS Y OFICINAS</t>
  </si>
  <si>
    <t>ANEXO N° 03</t>
  </si>
  <si>
    <t>COMPORTAMIENTO DE EJECUCIÓN DE PROYECTOS DE INVERSION PUBLICA DEL AÑO FISCAL 2026 · PROYECTOS SIN GERENCIA ASIGNADA · AL 07/10/2026</t>
  </si>
  <si>
    <t>TOTAL PROYECTOS SIN GERENCIA ASIGNADA</t>
  </si>
  <si>
    <t>ANEXO N° 04</t>
  </si>
  <si>
    <t>COMPORTAMIENTO DE EJECUCIÓN DE PROYECTOS DE INVERSION PUBLICA DEL AÑO FISCAL 2026 · UE 002 · AL 07/10/2026</t>
  </si>
  <si>
    <t>TOTAL UE 002</t>
  </si>
  <si>
    <t>ANEXO N° 05</t>
  </si>
  <si>
    <t>COMPORTAMIENTO DE EJECUCIÓN DE PROYECTOS DE INVERSION PUBLICA DEL AÑO FISCAL 2026 · UE 003 · AL 07/10/2026</t>
  </si>
  <si>
    <t>TOTAL UE 003</t>
  </si>
  <si>
    <t>ANEXO N° 06</t>
  </si>
  <si>
    <t>COMPORTAMIENTO DE EJECUCIÓN DE PROYECTOS DE INVERSION PUBLICA DEL AÑO FISCAL 2026 · UE 005 · AL 07/10/2026</t>
  </si>
  <si>
    <t>TOTAL UE 005</t>
  </si>
  <si>
    <t>ANEXO N° 07</t>
  </si>
  <si>
    <t>COMPORTAMIENTO DE EJECUCIÓN DE PROYECTOS DE INVERSION PUBLICA DEL AÑO FISCAL 2026 · UE 100 · AL 07/10/2026</t>
  </si>
  <si>
    <t>TOTAL UE 100</t>
  </si>
  <si>
    <t>ANEXO N° 08</t>
  </si>
  <si>
    <t>COMPORTAMIENTO DE EJECUCIÓN DE PROYECTOS DE INVERSION PUBLICA DEL AÑO FISCAL 2026 · UE 302 · AL 07/10/2026</t>
  </si>
  <si>
    <t>TOTAL UE 302</t>
  </si>
  <si>
    <t>ANEXO N° 09</t>
  </si>
  <si>
    <t>COMPORTAMIENTO DE EJECUCIÓN DE PROYECTOS DE INVERSION PUBLICA DEL AÑO FISCAL 2026 · UE 413 · AL 07/10/2026</t>
  </si>
  <si>
    <t>TOTAL UE 413</t>
  </si>
  <si>
    <t>Proyectos de inversión · GORE Puno · mapeo de disponibilidad · al 07/10/2026</t>
  </si>
  <si>
    <t>Montos en soles. Todo se calcula desde la hoja Base. Los umbrales se cambian en la hoja Config.</t>
  </si>
  <si>
    <t>CIFRAS DESACTUALIZADAS: copia de la API del MEF del 07/10/2026 04:08. Suba el reporte SIAF (.xls) o espere a que la API se recupere.</t>
  </si>
  <si>
    <t>Por unidad ejecutora</t>
  </si>
  <si>
    <t>Unidad</t>
  </si>
  <si>
    <t>Proyectos (UE-CUI-meta)</t>
  </si>
  <si>
    <t>Saldo sin certificar</t>
  </si>
  <si>
    <t>Disponible (PIM − comprom.)</t>
  </si>
  <si>
    <t>PIM · Sin certificar</t>
  </si>
  <si>
    <t>PIM · Solo certificado</t>
  </si>
  <si>
    <t>PIM · Parcialmente comprometido</t>
  </si>
  <si>
    <t>PIM · Mayormente comprometido</t>
  </si>
  <si>
    <t>PIM · Ejecutado</t>
  </si>
  <si>
    <t>PIM · Sin PIM</t>
  </si>
  <si>
    <t>001. REGION PUNO-SEDE CENTRAL</t>
  </si>
  <si>
    <t>TOTAL</t>
  </si>
  <si>
    <t>UE 001 Sede Central · por gerencia / oficina</t>
  </si>
  <si>
    <t>Rubro de financiamiento por UE y CUI · fuente: API Datos Abiertos MEF (por UE) · al 07/10/2026</t>
  </si>
  <si>
    <t>PIM por rubro. "s/d" = sin dato (falta el reporte del rubro, está incompleto, o el CUI está en varias UE y la fuente no lo separa).</t>
  </si>
  <si>
    <t>PIM SIAF
(esta UE)</t>
  </si>
  <si>
    <t>RO (00)</t>
  </si>
  <si>
    <t>RDR (09)</t>
  </si>
  <si>
    <t>FONCOR (15)</t>
  </si>
  <si>
    <t>CANON (18)</t>
  </si>
  <si>
    <t>ROOC (19)</t>
  </si>
  <si>
    <t>Otros rubros</t>
  </si>
  <si>
    <t>Suma rubros</t>
  </si>
  <si>
    <t>PIM sin rubro
asignado</t>
  </si>
  <si>
    <t>Cobertura</t>
  </si>
  <si>
    <t>Clave</t>
  </si>
  <si>
    <t>Completo</t>
  </si>
  <si>
    <t>COMPORTAMIENTO DE PROYECTOS DE INVERSION PUBLICA AL 07/10/2026 · por función · saldo al expediente</t>
  </si>
  <si>
    <t>Saldo = Costo actualizado − Ejecución acumulada al 2025 − PIM 2026 (lo que falta financiar después de 2026). Un CUI se cuenta una vez por UE; no sumar el costo entre UE.</t>
  </si>
  <si>
    <t>Rubro: API Datos Abiertos MEF (por UE y CUI), descargada 07/10/2026 23:35.</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</si>
  <si>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</si>
  <si>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</si>
  <si>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</si>
  <si>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</si>
  <si>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</si>
  <si>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</si>
  <si>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</si>
  <si>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</si>
  <si>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</si>
  <si>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</si>
  <si>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</si>
  <si>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</si>
  <si>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</si>
  <si>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</si>
  <si>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</si>
  <si>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</si>
  <si>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</si>
  <si>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</si>
  <si>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</si>
  <si>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</si>
  <si>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</si>
  <si>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</si>
  <si>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</si>
  <si>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</si>
  <si>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</si>
  <si>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</si>
  <si>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</si>
  <si>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</si>
  <si>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</si>
  <si>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</si>
  <si>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</si>
  <si>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</si>
  <si>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</si>
  <si>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</si>
  <si>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</si>
  <si>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</si>
  <si>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</si>
  <si>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</si>
  <si>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</si>
  <si>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</si>
  <si>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</si>
  <si>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</si>
  <si>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</si>
  <si>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</si>
  <si>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</si>
  <si>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</si>
  <si>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</si>
  <si>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</si>
  <si>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</si>
  <si>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244</t>
  </si>
  <si>
    <t>238</t>
  </si>
  <si>
    <t>1</t>
  </si>
  <si>
    <t>379</t>
  </si>
  <si>
    <t>261</t>
  </si>
  <si>
    <t>528</t>
  </si>
  <si>
    <t>341</t>
  </si>
  <si>
    <t>494</t>
  </si>
  <si>
    <t>257</t>
  </si>
  <si>
    <t>533</t>
  </si>
  <si>
    <t>256</t>
  </si>
  <si>
    <t>273</t>
  </si>
  <si>
    <t>454</t>
  </si>
  <si>
    <t>275</t>
  </si>
  <si>
    <t>276</t>
  </si>
  <si>
    <t>271</t>
  </si>
  <si>
    <t>277</t>
  </si>
  <si>
    <t>498</t>
  </si>
  <si>
    <t>497</t>
  </si>
  <si>
    <t>285</t>
  </si>
  <si>
    <t>524</t>
  </si>
  <si>
    <t>255</t>
  </si>
  <si>
    <t>482</t>
  </si>
  <si>
    <t>485</t>
  </si>
  <si>
    <t>235</t>
  </si>
  <si>
    <t>523</t>
  </si>
  <si>
    <t>230</t>
  </si>
  <si>
    <t>258</t>
  </si>
  <si>
    <t>265</t>
  </si>
  <si>
    <t>269</t>
  </si>
  <si>
    <t>272</t>
  </si>
  <si>
    <t>274</t>
  </si>
  <si>
    <t>279</t>
  </si>
  <si>
    <t>280</t>
  </si>
  <si>
    <t>195</t>
  </si>
  <si>
    <t>196</t>
  </si>
  <si>
    <t>239</t>
  </si>
  <si>
    <t>249</t>
  </si>
  <si>
    <t>25</t>
  </si>
  <si>
    <t>35</t>
  </si>
  <si>
    <t>30</t>
  </si>
  <si>
    <t>34</t>
  </si>
  <si>
    <t>229</t>
  </si>
  <si>
    <t>33</t>
  </si>
  <si>
    <t>161</t>
  </si>
  <si>
    <t>245</t>
  </si>
  <si>
    <t>223</t>
  </si>
  <si>
    <t>224</t>
  </si>
  <si>
    <t>311, 36</t>
  </si>
  <si>
    <t>247</t>
  </si>
  <si>
    <t>160</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</si>
  <si>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</si>
  <si>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</si>
  <si>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</si>
  <si>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</si>
  <si>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</si>
  <si>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</si>
  <si>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</si>
  <si>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</si>
  <si>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</si>
  <si>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</si>
  <si>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</si>
  <si>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</si>
  <si>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</si>
  <si>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</si>
  <si>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</si>
  <si>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</si>
  <si>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</si>
  <si>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</si>
  <si>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</si>
  <si>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</si>
  <si>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</si>
  <si>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</si>
  <si>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</si>
  <si>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</si>
  <si>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</si>
  <si>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</si>
  <si>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</si>
  <si>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</si>
  <si>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</si>
  <si>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</si>
  <si>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</si>
  <si>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</si>
  <si>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</si>
  <si>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</si>
  <si>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</si>
  <si>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</si>
  <si>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</si>
  <si>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</si>
  <si>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</si>
  <si>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</si>
  <si>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</si>
  <si>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</si>
  <si>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</si>
  <si>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</si>
  <si>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</si>
  <si>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</si>
  <si>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</si>
  <si>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</si>
  <si>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</si>
  <si>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</si>
  <si>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</si>
  <si>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</si>
  <si>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</si>
  <si>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</si>
  <si>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331</t>
  </si>
  <si>
    <t>164</t>
  </si>
  <si>
    <t>532</t>
  </si>
  <si>
    <t>178</t>
  </si>
  <si>
    <t>517</t>
  </si>
  <si>
    <t>518</t>
  </si>
  <si>
    <t>461</t>
  </si>
  <si>
    <t>496</t>
  </si>
  <si>
    <t>182</t>
  </si>
  <si>
    <t>163</t>
  </si>
  <si>
    <t>55</t>
  </si>
  <si>
    <t>192</t>
  </si>
  <si>
    <t>502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</si>
  <si>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</si>
  <si>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</si>
  <si>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</si>
  <si>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</si>
  <si>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</si>
  <si>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</si>
  <si>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</si>
  <si>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</si>
  <si>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</si>
  <si>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</si>
  <si>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</si>
  <si>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</si>
  <si>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</si>
  <si>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</si>
  <si>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</si>
  <si>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</si>
  <si>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</si>
  <si>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</si>
  <si>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</si>
  <si>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</si>
  <si>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</si>
  <si>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</si>
  <si>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</si>
  <si>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</si>
  <si>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</si>
  <si>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</si>
  <si>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</si>
  <si>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</si>
  <si>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</si>
  <si>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</si>
  <si>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</si>
  <si>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</si>
  <si>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</si>
  <si>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</si>
  <si>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</si>
  <si>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</si>
  <si>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</si>
  <si>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</si>
  <si>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330</t>
  </si>
  <si>
    <t>335</t>
  </si>
  <si>
    <t>505</t>
  </si>
  <si>
    <t>519</t>
  </si>
  <si>
    <t>520</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</si>
  <si>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</si>
  <si>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</si>
  <si>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</si>
  <si>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</si>
  <si>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</si>
  <si>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</si>
  <si>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</si>
  <si>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</si>
  <si>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</si>
  <si>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</si>
  <si>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</si>
  <si>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</si>
  <si>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</si>
  <si>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</si>
  <si>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</si>
  <si>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</si>
  <si>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</si>
  <si>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</si>
  <si>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</si>
  <si>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</si>
  <si>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</si>
  <si>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</si>
  <si>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</si>
  <si>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</si>
  <si>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</si>
  <si>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</si>
  <si>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</si>
  <si>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</si>
  <si>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</si>
  <si>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</si>
  <si>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</si>
  <si>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</si>
  <si>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</si>
  <si>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</si>
  <si>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</si>
  <si>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</si>
  <si>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</si>
  <si>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</si>
  <si>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</si>
  <si>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</si>
  <si>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</si>
  <si>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</si>
  <si>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</si>
  <si>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</si>
  <si>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</si>
  <si>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</si>
  <si>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</si>
  <si>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</si>
  <si>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</si>
  <si>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</si>
  <si>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</si>
  <si>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</si>
  <si>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</si>
  <si>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</si>
  <si>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</si>
  <si>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</si>
  <si>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</si>
  <si>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</si>
  <si>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</si>
  <si>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</si>
  <si>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</si>
  <si>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</si>
  <si>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</si>
  <si>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</si>
  <si>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</si>
  <si>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</si>
  <si>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</si>
  <si>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</si>
  <si>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</si>
  <si>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</si>
  <si>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</si>
  <si>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</si>
  <si>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</si>
  <si>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</si>
  <si>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</si>
  <si>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</si>
  <si>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</si>
  <si>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</si>
  <si>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</si>
  <si>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</si>
  <si>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</si>
  <si>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</si>
  <si>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</si>
  <si>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</si>
  <si>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</si>
  <si>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</si>
  <si>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</si>
  <si>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</si>
  <si>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</si>
  <si>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</si>
  <si>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</si>
  <si>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</si>
  <si>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</si>
  <si>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</si>
  <si>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</si>
  <si>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</si>
  <si>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</si>
  <si>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</si>
  <si>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</si>
  <si>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</si>
  <si>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</si>
  <si>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</si>
  <si>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</si>
  <si>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</si>
  <si>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</si>
  <si>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</si>
  <si>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</si>
  <si>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</si>
  <si>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</si>
  <si>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</si>
  <si>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</si>
  <si>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</si>
  <si>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</si>
  <si>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</si>
  <si>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</si>
  <si>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</si>
  <si>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</si>
  <si>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</si>
  <si>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</si>
  <si>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</si>
  <si>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</si>
  <si>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</si>
  <si>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</si>
  <si>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</si>
  <si>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</si>
  <si>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</si>
  <si>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</si>
  <si>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</si>
  <si>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</si>
  <si>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</si>
  <si>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</si>
  <si>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</si>
  <si>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</si>
  <si>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</si>
  <si>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</si>
  <si>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</si>
  <si>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</si>
  <si>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</si>
  <si>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</si>
  <si>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</si>
  <si>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</si>
  <si>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</si>
  <si>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</si>
  <si>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</si>
  <si>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</si>
  <si>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</si>
  <si>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</si>
  <si>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</si>
  <si>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</si>
  <si>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</si>
  <si>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</si>
  <si>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</si>
  <si>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</si>
  <si>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</si>
  <si>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</si>
  <si>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</si>
  <si>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</si>
  <si>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</si>
  <si>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</si>
  <si>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</si>
  <si>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</si>
  <si>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</si>
  <si>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</si>
  <si>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</si>
  <si>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</si>
  <si>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</si>
  <si>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</si>
  <si>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</si>
  <si>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</si>
  <si>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</si>
  <si>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</si>
  <si>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</si>
  <si>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</si>
  <si>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</si>
  <si>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</si>
  <si>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</si>
  <si>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</si>
  <si>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</si>
  <si>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</si>
  <si>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</si>
  <si>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</si>
  <si>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</si>
  <si>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</si>
  <si>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</si>
  <si>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</si>
  <si>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</si>
  <si>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</si>
  <si>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</si>
  <si>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</si>
  <si>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</si>
  <si>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</si>
  <si>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</si>
  <si>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</si>
  <si>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</si>
  <si>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</si>
  <si>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</si>
  <si>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</si>
  <si>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</si>
  <si>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</si>
  <si>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</si>
  <si>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</si>
  <si>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</si>
  <si>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</si>
  <si>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</si>
  <si>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</si>
  <si>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</si>
  <si>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</si>
  <si>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</si>
  <si>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</si>
  <si>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</si>
  <si>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</si>
  <si>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</si>
  <si>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</si>
  <si>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</si>
  <si>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</si>
  <si>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</si>
  <si>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</si>
  <si>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</si>
  <si>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</si>
  <si>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</si>
  <si>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</si>
  <si>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</si>
  <si>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</si>
  <si>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</si>
  <si>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</si>
  <si>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</si>
  <si>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</si>
  <si>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29, 30, 39, 7, 8, 9</t>
  </si>
  <si>
    <t>17, 28, 33, 38, 40</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</si>
  <si>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</si>
  <si>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</si>
  <si>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</si>
  <si>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</si>
  <si>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</si>
  <si>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</si>
  <si>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</si>
  <si>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</si>
  <si>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</si>
  <si>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</si>
  <si>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</si>
  <si>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</si>
  <si>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</si>
  <si>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</si>
  <si>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</si>
  <si>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</si>
  <si>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</si>
  <si>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</si>
  <si>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</si>
  <si>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</si>
  <si>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</si>
  <si>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</si>
  <si>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</si>
  <si>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</si>
  <si>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</si>
  <si>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"UE 002": PIM = Base</t>
  </si>
  <si>
    <t>Hoja "UE 002": Devengado = Base</t>
  </si>
  <si>
    <t>Hoja "UE 003": PIM = Base</t>
  </si>
  <si>
    <t>Hoja "UE 003": Devengado = Base</t>
  </si>
  <si>
    <t>Hoja "UE 005": PIM = Base</t>
  </si>
  <si>
    <t>Hoja "UE 005": Devengado = Base</t>
  </si>
  <si>
    <t>Hoja "UE 100": PIM = Base</t>
  </si>
  <si>
    <t>Hoja "UE 100": Devengado = Base</t>
  </si>
  <si>
    <t>Hoja "UE 302": PIM = Base</t>
  </si>
  <si>
    <t>Hoja "UE 302": Devengado = Base</t>
  </si>
  <si>
    <t>Hoja "UE 413": PIM = Base</t>
  </si>
  <si>
    <t>Hoja "UE 413":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</si>
  <si>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</si>
  <si>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</si>
  <si>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</si>
  <si>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</si>
  <si>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</si>
  <si>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</si>
  <si>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y Estado "Sin PIM" (no debería ocurrir)</t>
  </si>
  <si>
    <t>CUI con cobertura de rubro incompleta (ver hoja Rubro por CUI)</t>
  </si>
  <si>
    <t>UE-CUI cuyo rubro no se pudo repartir por UE (solo ocurre con la Consulta Amigable)</t>
  </si>
  <si>
    <t>Avisos de la corrida</t>
  </si>
  <si>
    <t>La API del MEF no devolvió las cifras (dump: el CSV llegó solo con encabezados (la tabla del MEF está vacía).; paginada: La API no devolvió registros para el filtro pedido.).</t>
  </si>
  <si>
    <t>Cartera del MEF consultada SIN verificar el certificado SSL (no se pudo validar en esta PC).</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</si>
  <si>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</si>
  <si>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</si>
  <si>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</si>
  <si>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Reglas aplicadas</t>
  </si>
  <si>
    <t>ESTADO SITUACIONAL (se evalúa en este orden; umbrales en Config):</t>
  </si>
  <si>
    <t xml:space="preserve">  1. Sin PIM: PIM = 0.</t>
  </si>
  <si>
    <t xml:space="preserve">  2. Ejecutado: devengado ≥ umbral de ejecutado (90%) del PIM. Disponibilidad "No usar"; el disponible es 0.</t>
  </si>
  <si>
    <t xml:space="preserve">  3. Mayormente comprometido: compromiso anual ≥ umbral (50%) del PIM. Disponibilidad "Difícil".</t>
  </si>
  <si>
    <t xml:space="preserve">  4. Parcialmente comprometido: compromiso anual &gt; 0 y menor al umbral. Disponibilidad "Parcial".</t>
  </si>
  <si>
    <t xml:space="preserve">  5. Solo certificado: certificación &gt; 0 y compromiso = 0. Disponibilidad "Posible".</t>
  </si>
  <si>
    <t xml:space="preserve">  6. Sin certificar: certificación = 0. Disponibilidad "Disponible".</t>
  </si>
  <si>
    <t>DISPONIBLE (PIM − compromiso): 0 si está Ejecutado o sin PIM. Columna "Certificado no comprometido" = certificación − compromiso.</t>
  </si>
  <si>
    <t>CAVEAT: el compromiso anual difiere entre el reporte SIAF, la Consulta Amigable y la API del MEF (hasta S/ 9 M a nivel UE 001). Validar antes de decidir.</t>
  </si>
  <si>
    <t>MODALIDAD DE EJECUCIÓN (derivada del SIAF, específicas con PIM &gt; 0, ordenadas por monto, separadas por " / "):</t>
  </si>
  <si>
    <t xml:space="preserve">  Contrata = "Costo de construcción por contrata" · Administración directa = "...por administración directa" · Expediente técnico · Estudio de preinversión ·</t>
  </si>
  <si>
    <t xml:space="preserve">  Laudos arbitrales · Equipamiento (2.6.3.x) · Personal/bienes/servicios (2.6.8.1.4 y 2.6.7.1.6; confirmar con Alex si equivale a administración directa).</t>
  </si>
  <si>
    <t>GERENCIA / GRUPO (UE 001): viene de maestro.xlsx (hoja Clasificacion, partiendo del Excel de Alex del 16/09). Los proyectos nuevos aparecen en "Sin clasificar" y se</t>
  </si>
  <si>
    <t>agregan solos al maestro con la Gerencia vacía: completar la Gerencia (y el Grupo si es Infraestructura) y en la siguiente corrida quedan ubicados.</t>
  </si>
  <si>
    <t>Otras UE: se agrupan por unidad ejecutora y función; no requieren maestro.</t>
  </si>
  <si>
    <t>MONTOS 2026-2029: Cartera PMI. "No registrado en cartera" = el CUI no está en el reporte de Cartera (no es cero).</t>
  </si>
  <si>
    <t>BASE LEGAL y OBSERVACIÓN: hoja Complementos de maestro.xlsx (UE, CUI, meta).</t>
  </si>
</sst>
</file>

<file path=xl/styles.xml><?xml version="1.0" encoding="utf-8"?>
<styleSheet xmlns="http://schemas.openxmlformats.org/spreadsheetml/2006/main">
  <numFmts count="4">
    <numFmt numFmtId="164" formatCode="#,##0;(#,##0);&quot;-&quot;"/>
    <numFmt numFmtId="165" formatCode="0.0%"/>
    <numFmt numFmtId="166" formatCode="#,##0.00;(#,##0.00);&quot;-&quot;"/>
    <numFmt numFmtId="167" formatCode="0%"/>
  </numFmts>
  <fonts count="11">
    <font>
      <sz val="11"/>
      <color theme="1"/>
      <name val="Calibri"/>
      <family val="2"/>
      <scheme val="minor"/>
    </font>
    <font>
      <b/>
      <sz val="12"/>
      <color theme="1"/>
      <name val="Arial"/>
      <family val="2"/>
    </font>
    <font>
      <i/>
      <sz val="9"/>
      <color rgb="FF595959"/>
      <name val="Arial"/>
      <family val="2"/>
    </font>
    <font>
      <b/>
      <sz val="9"/>
      <color rgb="FFC00000"/>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i/>
      <sz val="9"/>
      <color theme="1"/>
      <name val="Arial"/>
      <family val="2"/>
    </font>
    <font>
      <sz val="9"/>
      <color rgb="FF0000FF"/>
      <name val="Arial"/>
      <family val="2"/>
    </font>
    <font>
      <sz val="9"/>
      <color rgb="FFC00000"/>
      <name val="Arial"/>
      <family val="2"/>
    </font>
  </fonts>
  <fills count="8">
    <fill>
      <patternFill patternType="none"/>
    </fill>
    <fill>
      <patternFill patternType="gray125"/>
    </fill>
    <fill>
      <patternFill patternType="solid">
        <fgColor rgb="FFFFF2CC"/>
        <bgColor indexed="64"/>
      </patternFill>
    </fill>
    <fill>
      <patternFill patternType="solid">
        <fgColor rgb="FF002060"/>
        <bgColor indexed="64"/>
      </patternFill>
    </fill>
    <fill>
      <patternFill patternType="solid">
        <fgColor rgb="FFD9D9D9"/>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3" borderId="1" xfId="0" applyFont="1" applyFill="1" applyBorder="1" applyAlignment="1">
      <alignment horizontal="center" vertical="center" wrapText="1"/>
    </xf>
    <xf numFmtId="0" fontId="6" fillId="0" borderId="1" xfId="0" applyFont="1" applyBorder="1" applyAlignment="1">
      <alignment vertical="center" wrapText="1"/>
    </xf>
    <xf numFmtId="164" fontId="6" fillId="0" borderId="1" xfId="0" applyNumberFormat="1" applyFont="1" applyBorder="1" applyAlignment="1">
      <alignment horizontal="right" vertical="center"/>
    </xf>
    <xf numFmtId="0" fontId="7" fillId="4" borderId="1" xfId="0" applyFont="1" applyFill="1" applyBorder="1"/>
    <xf numFmtId="164" fontId="7" fillId="4" borderId="1" xfId="0" applyNumberFormat="1" applyFont="1" applyFill="1" applyBorder="1"/>
    <xf numFmtId="0" fontId="8" fillId="5" borderId="1" xfId="0" applyFont="1" applyFill="1" applyBorder="1" applyAlignment="1">
      <alignment horizontal="center" vertical="center" wrapText="1"/>
    </xf>
    <xf numFmtId="0" fontId="7" fillId="6" borderId="1" xfId="0" applyFont="1" applyFill="1" applyBorder="1"/>
    <xf numFmtId="164" fontId="7" fillId="6" borderId="1" xfId="0" applyNumberFormat="1" applyFont="1" applyFill="1" applyBorder="1"/>
    <xf numFmtId="165" fontId="7" fillId="6" borderId="1" xfId="0" applyNumberFormat="1" applyFont="1" applyFill="1" applyBorder="1" applyAlignment="1">
      <alignment horizontal="center"/>
    </xf>
    <xf numFmtId="165" fontId="7" fillId="4" borderId="1" xfId="0" applyNumberFormat="1" applyFont="1" applyFill="1" applyBorder="1" applyAlignment="1">
      <alignment horizontal="center"/>
    </xf>
    <xf numFmtId="0" fontId="7" fillId="7" borderId="1" xfId="0" applyFont="1" applyFill="1" applyBorder="1"/>
    <xf numFmtId="164" fontId="7" fillId="7" borderId="1" xfId="0" applyNumberFormat="1" applyFont="1" applyFill="1" applyBorder="1"/>
    <xf numFmtId="165" fontId="7" fillId="7" borderId="1" xfId="0" applyNumberFormat="1" applyFont="1" applyFill="1" applyBorder="1" applyAlignment="1">
      <alignment horizontal="center"/>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xf>
    <xf numFmtId="0" fontId="5" fillId="3" borderId="1" xfId="0" applyFont="1" applyFill="1" applyBorder="1"/>
    <xf numFmtId="164" fontId="5" fillId="3" borderId="1" xfId="0" applyNumberFormat="1" applyFont="1" applyFill="1" applyBorder="1"/>
    <xf numFmtId="165" fontId="5" fillId="3" borderId="1" xfId="0" applyNumberFormat="1" applyFont="1" applyFill="1" applyBorder="1" applyAlignment="1">
      <alignment horizontal="center"/>
    </xf>
    <xf numFmtId="164" fontId="9" fillId="0" borderId="1" xfId="0" applyNumberFormat="1" applyFont="1" applyBorder="1" applyAlignment="1">
      <alignment horizontal="right"/>
    </xf>
    <xf numFmtId="0" fontId="6" fillId="0" borderId="0" xfId="0" applyFont="1"/>
    <xf numFmtId="164" fontId="9" fillId="0" borderId="0" xfId="0" applyNumberFormat="1" applyFont="1" applyAlignment="1">
      <alignment horizontal="right"/>
    </xf>
    <xf numFmtId="164" fontId="6" fillId="0" borderId="0" xfId="0" applyNumberFormat="1" applyFont="1" applyAlignment="1">
      <alignment horizontal="right" vertical="center"/>
    </xf>
    <xf numFmtId="0" fontId="6" fillId="0" borderId="0" xfId="0" applyFont="1" applyAlignment="1">
      <alignment vertical="center" wrapText="1"/>
    </xf>
    <xf numFmtId="165" fontId="6" fillId="0" borderId="0" xfId="0" applyNumberFormat="1" applyFont="1" applyAlignment="1">
      <alignment horizontal="center" vertical="center"/>
    </xf>
    <xf numFmtId="0" fontId="6" fillId="0" borderId="1" xfId="0" applyFont="1" applyBorder="1"/>
    <xf numFmtId="166" fontId="6" fillId="0" borderId="1" xfId="0" applyNumberFormat="1" applyFont="1" applyBorder="1"/>
    <xf numFmtId="0" fontId="10" fillId="0" borderId="0" xfId="0" applyFont="1"/>
    <xf numFmtId="167" fontId="9" fillId="2" borderId="1" xfId="0" applyNumberFormat="1" applyFont="1" applyFill="1" applyBorder="1"/>
  </cellXfs>
  <cellStyles count="1">
    <cellStyle name="Normal" xfId="0" builtinId="0"/>
  </cellStyles>
  <dxfs count="5">
    <dxf>
      <fill>
        <patternFill>
          <bgColor rgb="FFC6EFCE"/>
        </patternFill>
      </fill>
    </dxf>
    <dxf>
      <fill>
        <patternFill>
          <bgColor rgb="FFE2EFDA"/>
        </patternFill>
      </fill>
    </dxf>
    <dxf>
      <fill>
        <patternFill>
          <bgColor rgb="FFFFEB9C"/>
        </patternFill>
      </fill>
    </dxf>
    <dxf>
      <fill>
        <patternFill>
          <bgColor rgb="FFF8CBAD"/>
        </patternFill>
      </fill>
    </dxf>
    <dxf>
      <fill>
        <patternFill>
          <bgColor rgb="FFD9D9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
  <sheetViews>
    <sheetView tabSelected="1" workbookViewId="0">
      <pane xSplit="1" topLeftCell="B1" activePane="topRight" state="frozen"/>
      <selection pane="topRight"/>
    </sheetView>
  </sheetViews>
  <sheetFormatPr defaultRowHeight="15"/>
  <cols>
    <col min="1" max="1" width="58.7109375" customWidth="1"/>
    <col min="2" max="2" width="14.7109375" customWidth="1"/>
    <col min="3" max="14" width="16.7109375" customWidth="1"/>
  </cols>
  <sheetData>
    <row r="1" spans="1:14">
      <c r="A1" s="1" t="s">
        <v>1587</v>
      </c>
    </row>
    <row r="2" spans="1:14">
      <c r="A2" s="2" t="s">
        <v>1588</v>
      </c>
    </row>
    <row r="3" spans="1:14">
      <c r="A3" s="3" t="s">
        <v>1589</v>
      </c>
    </row>
    <row r="4" spans="1:14">
      <c r="A4" s="4" t="s">
        <v>1590</v>
      </c>
    </row>
    <row r="5" spans="1:14" ht="40" customHeight="1">
      <c r="A5" s="5" t="s">
        <v>1591</v>
      </c>
      <c r="B5" s="5" t="s">
        <v>1592</v>
      </c>
      <c r="C5" s="5" t="s">
        <v>33</v>
      </c>
      <c r="D5" s="5" t="s">
        <v>34</v>
      </c>
      <c r="E5" s="5" t="s">
        <v>35</v>
      </c>
      <c r="F5" s="5" t="s">
        <v>36</v>
      </c>
      <c r="G5" s="5" t="s">
        <v>1593</v>
      </c>
      <c r="H5" s="5" t="s">
        <v>1594</v>
      </c>
      <c r="I5" s="5" t="s">
        <v>1595</v>
      </c>
      <c r="J5" s="5" t="s">
        <v>1596</v>
      </c>
      <c r="K5" s="5" t="s">
        <v>1597</v>
      </c>
      <c r="L5" s="5" t="s">
        <v>1598</v>
      </c>
      <c r="M5" s="5" t="s">
        <v>1599</v>
      </c>
      <c r="N5" s="5" t="s">
        <v>1600</v>
      </c>
    </row>
    <row r="6" spans="1:14">
      <c r="A6" s="6" t="s">
        <v>1601</v>
      </c>
      <c r="B6" s="7">
        <f>COUNTIFS(Base!$A$5:$A$509,"001")</f>
        <v>442</v>
      </c>
      <c r="C6" s="7">
        <f>SUMIFS(Base!$I$5:$I$509,Base!$A$5:$A$509,"001")</f>
        <v>905026984.0</v>
      </c>
      <c r="D6" s="7">
        <f>SUMIFS(Base!$J$5:$J$509,Base!$A$5:$A$509,"001")</f>
        <v>843143127.18</v>
      </c>
      <c r="E6" s="7">
        <f>SUMIFS(Base!$K$5:$K$509,Base!$A$5:$A$509,"001")</f>
        <v>616167969.39</v>
      </c>
      <c r="F6" s="7">
        <f>SUMIFS(Base!$L$5:$L$509,Base!$A$5:$A$509,"001")</f>
        <v>433559683.85</v>
      </c>
      <c r="G6" s="7">
        <f>C6-D6</f>
        <v>61883856.82000005</v>
      </c>
      <c r="H6" s="7">
        <f>SUMIFS(Base!$T$5:$T$509,Base!$A$5:$A$509,"001")</f>
        <v>284886732.96</v>
      </c>
      <c r="I6" s="7">
        <f>SUMIFS(Base!$I$5:$I$509,Base!$A$5:$A$509,"001",Base!$R$5:$R$509,"Sin certificar")</f>
        <v>13108238.0</v>
      </c>
      <c r="J6" s="7">
        <f>SUMIFS(Base!$I$5:$I$509,Base!$A$5:$A$509,"001",Base!$R$5:$R$509,"Solo certificado")</f>
        <v>30270090.0</v>
      </c>
      <c r="K6" s="7">
        <f>SUMIFS(Base!$I$5:$I$509,Base!$A$5:$A$509,"001",Base!$R$5:$R$509,"Parcialmente comprometido")</f>
        <v>180309975.0</v>
      </c>
      <c r="L6" s="7">
        <f>SUMIFS(Base!$I$5:$I$509,Base!$A$5:$A$509,"001",Base!$R$5:$R$509,"Mayormente comprometido")</f>
        <v>599703144.0</v>
      </c>
      <c r="M6" s="7">
        <f>SUMIFS(Base!$I$5:$I$509,Base!$A$5:$A$509,"001",Base!$R$5:$R$509,"Ejecutado")</f>
        <v>81635537.0</v>
      </c>
      <c r="N6" s="7">
        <f>SUMIFS(Base!$I$5:$I$509,Base!$A$5:$A$509,"001",Base!$R$5:$R$509,"Sin PIM")</f>
        <v>0.0</v>
      </c>
    </row>
    <row r="7" spans="1:14">
      <c r="A7" s="6" t="s">
        <v>1450</v>
      </c>
      <c r="B7" s="7">
        <f>COUNTIFS(Base!$A$5:$A$509,"002")</f>
        <v>4</v>
      </c>
      <c r="C7" s="7">
        <f>SUMIFS(Base!$I$5:$I$509,Base!$A$5:$A$509,"002")</f>
        <v>2582404.0</v>
      </c>
      <c r="D7" s="7">
        <f>SUMIFS(Base!$J$5:$J$509,Base!$A$5:$A$509,"002")</f>
        <v>1853925.82</v>
      </c>
      <c r="E7" s="7">
        <f>SUMIFS(Base!$K$5:$K$509,Base!$A$5:$A$509,"002")</f>
        <v>1829425.82</v>
      </c>
      <c r="F7" s="7">
        <f>SUMIFS(Base!$L$5:$L$509,Base!$A$5:$A$509,"002")</f>
        <v>1562395.52</v>
      </c>
      <c r="G7" s="7">
        <f>C7-D7</f>
        <v>728478.1799999999</v>
      </c>
      <c r="H7" s="7">
        <f>SUMIFS(Base!$T$5:$T$509,Base!$A$5:$A$509,"002")</f>
        <v>752978.1799999999</v>
      </c>
      <c r="I7" s="7">
        <f>SUMIFS(Base!$I$5:$I$509,Base!$A$5:$A$509,"002",Base!$R$5:$R$509,"Sin certificar")</f>
        <v>45000.0</v>
      </c>
      <c r="J7" s="7">
        <f>SUMIFS(Base!$I$5:$I$509,Base!$A$5:$A$509,"002",Base!$R$5:$R$509,"Solo certificado")</f>
        <v>0</v>
      </c>
      <c r="K7" s="7">
        <f>SUMIFS(Base!$I$5:$I$509,Base!$A$5:$A$509,"002",Base!$R$5:$R$509,"Parcialmente comprometido")</f>
        <v>0</v>
      </c>
      <c r="L7" s="7">
        <f>SUMIFS(Base!$I$5:$I$509,Base!$A$5:$A$509,"002",Base!$R$5:$R$509,"Mayormente comprometido")</f>
        <v>2537404.0</v>
      </c>
      <c r="M7" s="7">
        <f>SUMIFS(Base!$I$5:$I$509,Base!$A$5:$A$509,"002",Base!$R$5:$R$509,"Ejecutado")</f>
        <v>0</v>
      </c>
      <c r="N7" s="7">
        <f>SUMIFS(Base!$I$5:$I$509,Base!$A$5:$A$509,"002",Base!$R$5:$R$509,"Sin PIM")</f>
        <v>0.0</v>
      </c>
    </row>
    <row r="8" spans="1:14">
      <c r="A8" s="6" t="s">
        <v>1461</v>
      </c>
      <c r="B8" s="7">
        <f>COUNTIFS(Base!$A$5:$A$509,"003")</f>
        <v>41</v>
      </c>
      <c r="C8" s="7">
        <f>SUMIFS(Base!$I$5:$I$509,Base!$A$5:$A$509,"003")</f>
        <v>45637342.0</v>
      </c>
      <c r="D8" s="7">
        <f>SUMIFS(Base!$J$5:$J$509,Base!$A$5:$A$509,"003")</f>
        <v>42133906.760000005</v>
      </c>
      <c r="E8" s="7">
        <f>SUMIFS(Base!$K$5:$K$509,Base!$A$5:$A$509,"003")</f>
        <v>39187592.57</v>
      </c>
      <c r="F8" s="7">
        <f>SUMIFS(Base!$L$5:$L$509,Base!$A$5:$A$509,"003")</f>
        <v>33578061.61</v>
      </c>
      <c r="G8" s="7">
        <f>C8-D8</f>
        <v>3503435.2399999946</v>
      </c>
      <c r="H8" s="7">
        <f>SUMIFS(Base!$T$5:$T$509,Base!$A$5:$A$509,"003")</f>
        <v>6009941.760000001</v>
      </c>
      <c r="I8" s="7">
        <f>SUMIFS(Base!$I$5:$I$509,Base!$A$5:$A$509,"003",Base!$R$5:$R$509,"Sin certificar")</f>
        <v>0</v>
      </c>
      <c r="J8" s="7">
        <f>SUMIFS(Base!$I$5:$I$509,Base!$A$5:$A$509,"003",Base!$R$5:$R$509,"Solo certificado")</f>
        <v>0</v>
      </c>
      <c r="K8" s="7">
        <f>SUMIFS(Base!$I$5:$I$509,Base!$A$5:$A$509,"003",Base!$R$5:$R$509,"Parcialmente comprometido")</f>
        <v>1331516.0</v>
      </c>
      <c r="L8" s="7">
        <f>SUMIFS(Base!$I$5:$I$509,Base!$A$5:$A$509,"003",Base!$R$5:$R$509,"Mayormente comprometido")</f>
        <v>33424668.0</v>
      </c>
      <c r="M8" s="7">
        <f>SUMIFS(Base!$I$5:$I$509,Base!$A$5:$A$509,"003",Base!$R$5:$R$509,"Ejecutado")</f>
        <v>10881158.0</v>
      </c>
      <c r="N8" s="7">
        <f>SUMIFS(Base!$I$5:$I$509,Base!$A$5:$A$509,"003",Base!$R$5:$R$509,"Sin PIM")</f>
        <v>0.0</v>
      </c>
    </row>
    <row r="9" spans="1:14">
      <c r="A9" s="6" t="s">
        <v>1502</v>
      </c>
      <c r="B9" s="7">
        <f>COUNTIFS(Base!$A$5:$A$509,"005")</f>
        <v>6</v>
      </c>
      <c r="C9" s="7">
        <f>SUMIFS(Base!$I$5:$I$509,Base!$A$5:$A$509,"005")</f>
        <v>20087412.0</v>
      </c>
      <c r="D9" s="7">
        <f>SUMIFS(Base!$J$5:$J$509,Base!$A$5:$A$509,"005")</f>
        <v>19634938.96</v>
      </c>
      <c r="E9" s="7">
        <f>SUMIFS(Base!$K$5:$K$509,Base!$A$5:$A$509,"005")</f>
        <v>17859680.439999998</v>
      </c>
      <c r="F9" s="7">
        <f>SUMIFS(Base!$L$5:$L$509,Base!$A$5:$A$509,"005")</f>
        <v>15129329.829999998</v>
      </c>
      <c r="G9" s="7">
        <f>C9-D9</f>
        <v>452473.0399999991</v>
      </c>
      <c r="H9" s="7">
        <f>SUMIFS(Base!$T$5:$T$509,Base!$A$5:$A$509,"005")</f>
        <v>2225313.000000001</v>
      </c>
      <c r="I9" s="7">
        <f>SUMIFS(Base!$I$5:$I$509,Base!$A$5:$A$509,"005",Base!$R$5:$R$509,"Sin certificar")</f>
        <v>30000.0</v>
      </c>
      <c r="J9" s="7">
        <f>SUMIFS(Base!$I$5:$I$509,Base!$A$5:$A$509,"005",Base!$R$5:$R$509,"Solo certificado")</f>
        <v>0</v>
      </c>
      <c r="K9" s="7">
        <f>SUMIFS(Base!$I$5:$I$509,Base!$A$5:$A$509,"005",Base!$R$5:$R$509,"Parcialmente comprometido")</f>
        <v>0</v>
      </c>
      <c r="L9" s="7">
        <f>SUMIFS(Base!$I$5:$I$509,Base!$A$5:$A$509,"005",Base!$R$5:$R$509,"Mayormente comprometido")</f>
        <v>17454263.0</v>
      </c>
      <c r="M9" s="7">
        <f>SUMIFS(Base!$I$5:$I$509,Base!$A$5:$A$509,"005",Base!$R$5:$R$509,"Ejecutado")</f>
        <v>2603149.0</v>
      </c>
      <c r="N9" s="7">
        <f>SUMIFS(Base!$I$5:$I$509,Base!$A$5:$A$509,"005",Base!$R$5:$R$509,"Sin PIM")</f>
        <v>0.0</v>
      </c>
    </row>
    <row r="10" spans="1:14">
      <c r="A10" s="6" t="s">
        <v>1517</v>
      </c>
      <c r="B10" s="7">
        <f>COUNTIFS(Base!$A$5:$A$509,"100")</f>
        <v>10</v>
      </c>
      <c r="C10" s="7">
        <f>SUMIFS(Base!$I$5:$I$509,Base!$A$5:$A$509,"100")</f>
        <v>14581394.0</v>
      </c>
      <c r="D10" s="7">
        <f>SUMIFS(Base!$J$5:$J$509,Base!$A$5:$A$509,"100")</f>
        <v>12563071.239999998</v>
      </c>
      <c r="E10" s="7">
        <f>SUMIFS(Base!$K$5:$K$509,Base!$A$5:$A$509,"100")</f>
        <v>12197514.17</v>
      </c>
      <c r="F10" s="7">
        <f>SUMIFS(Base!$L$5:$L$509,Base!$A$5:$A$509,"100")</f>
        <v>11236500.850000001</v>
      </c>
      <c r="G10" s="7">
        <f>C10-D10</f>
        <v>2018322.7600000016</v>
      </c>
      <c r="H10" s="7">
        <f>SUMIFS(Base!$T$5:$T$509,Base!$A$5:$A$509,"100")</f>
        <v>2368535.41</v>
      </c>
      <c r="I10" s="7">
        <f>SUMIFS(Base!$I$5:$I$509,Base!$A$5:$A$509,"100",Base!$R$5:$R$509,"Sin certificar")</f>
        <v>471850.0</v>
      </c>
      <c r="J10" s="7">
        <f>SUMIFS(Base!$I$5:$I$509,Base!$A$5:$A$509,"100",Base!$R$5:$R$509,"Solo certificado")</f>
        <v>0</v>
      </c>
      <c r="K10" s="7">
        <f>SUMIFS(Base!$I$5:$I$509,Base!$A$5:$A$509,"100",Base!$R$5:$R$509,"Parcialmente comprometido")</f>
        <v>0</v>
      </c>
      <c r="L10" s="7">
        <f>SUMIFS(Base!$I$5:$I$509,Base!$A$5:$A$509,"100",Base!$R$5:$R$509,"Mayormente comprometido")</f>
        <v>12109544.0</v>
      </c>
      <c r="M10" s="7">
        <f>SUMIFS(Base!$I$5:$I$509,Base!$A$5:$A$509,"100",Base!$R$5:$R$509,"Ejecutado")</f>
        <v>2000000.0</v>
      </c>
      <c r="N10" s="7">
        <f>SUMIFS(Base!$I$5:$I$509,Base!$A$5:$A$509,"100",Base!$R$5:$R$509,"Sin PIM")</f>
        <v>0.0</v>
      </c>
    </row>
    <row r="11" spans="1:14">
      <c r="A11" s="6" t="s">
        <v>1536</v>
      </c>
      <c r="B11" s="7">
        <f>COUNTIFS(Base!$A$5:$A$509,"302")</f>
        <v>1</v>
      </c>
      <c r="C11" s="7">
        <f>SUMIFS(Base!$I$5:$I$509,Base!$A$5:$A$509,"302")</f>
        <v>32592.0</v>
      </c>
      <c r="D11" s="7">
        <f>SUMIFS(Base!$J$5:$J$509,Base!$A$5:$A$509,"302")</f>
        <v>0.0</v>
      </c>
      <c r="E11" s="7">
        <f>SUMIFS(Base!$K$5:$K$509,Base!$A$5:$A$509,"302")</f>
        <v>0.0</v>
      </c>
      <c r="F11" s="7">
        <f>SUMIFS(Base!$L$5:$L$509,Base!$A$5:$A$509,"302")</f>
        <v>0.0</v>
      </c>
      <c r="G11" s="7">
        <f>C11-D11</f>
        <v>32592.0</v>
      </c>
      <c r="H11" s="7">
        <f>SUMIFS(Base!$T$5:$T$509,Base!$A$5:$A$509,"302")</f>
        <v>32592.0</v>
      </c>
      <c r="I11" s="7">
        <f>SUMIFS(Base!$I$5:$I$509,Base!$A$5:$A$509,"302",Base!$R$5:$R$509,"Sin certificar")</f>
        <v>32592.0</v>
      </c>
      <c r="J11" s="7">
        <f>SUMIFS(Base!$I$5:$I$509,Base!$A$5:$A$509,"302",Base!$R$5:$R$509,"Solo certificado")</f>
        <v>0</v>
      </c>
      <c r="K11" s="7">
        <f>SUMIFS(Base!$I$5:$I$509,Base!$A$5:$A$509,"302",Base!$R$5:$R$509,"Parcialmente comprometido")</f>
        <v>0</v>
      </c>
      <c r="L11" s="7">
        <f>SUMIFS(Base!$I$5:$I$509,Base!$A$5:$A$509,"302",Base!$R$5:$R$509,"Mayormente comprometido")</f>
        <v>0</v>
      </c>
      <c r="M11" s="7">
        <f>SUMIFS(Base!$I$5:$I$509,Base!$A$5:$A$509,"302",Base!$R$5:$R$509,"Ejecutado")</f>
        <v>0</v>
      </c>
      <c r="N11" s="7">
        <f>SUMIFS(Base!$I$5:$I$509,Base!$A$5:$A$509,"302",Base!$R$5:$R$509,"Sin PIM")</f>
        <v>0</v>
      </c>
    </row>
    <row r="12" spans="1:14">
      <c r="A12" s="6" t="s">
        <v>1539</v>
      </c>
      <c r="B12" s="7">
        <f>COUNTIFS(Base!$A$5:$A$509,"413")</f>
        <v>1</v>
      </c>
      <c r="C12" s="7">
        <f>SUMIFS(Base!$I$5:$I$509,Base!$A$5:$A$509,"413")</f>
        <v>41800.0</v>
      </c>
      <c r="D12" s="7">
        <f>SUMIFS(Base!$J$5:$J$509,Base!$A$5:$A$509,"413")</f>
        <v>41500.0</v>
      </c>
      <c r="E12" s="7">
        <f>SUMIFS(Base!$K$5:$K$509,Base!$A$5:$A$509,"413")</f>
        <v>41500.0</v>
      </c>
      <c r="F12" s="7">
        <f>SUMIFS(Base!$L$5:$L$509,Base!$A$5:$A$509,"413")</f>
        <v>41500.0</v>
      </c>
      <c r="G12" s="7">
        <f>C12-D12</f>
        <v>300.0</v>
      </c>
      <c r="H12" s="7">
        <f>SUMIFS(Base!$T$5:$T$509,Base!$A$5:$A$509,"413")</f>
        <v>0.0</v>
      </c>
      <c r="I12" s="7">
        <f>SUMIFS(Base!$I$5:$I$509,Base!$A$5:$A$509,"413",Base!$R$5:$R$509,"Sin certificar")</f>
        <v>0</v>
      </c>
      <c r="J12" s="7">
        <f>SUMIFS(Base!$I$5:$I$509,Base!$A$5:$A$509,"413",Base!$R$5:$R$509,"Solo certificado")</f>
        <v>0</v>
      </c>
      <c r="K12" s="7">
        <f>SUMIFS(Base!$I$5:$I$509,Base!$A$5:$A$509,"413",Base!$R$5:$R$509,"Parcialmente comprometido")</f>
        <v>0</v>
      </c>
      <c r="L12" s="7">
        <f>SUMIFS(Base!$I$5:$I$509,Base!$A$5:$A$509,"413",Base!$R$5:$R$509,"Mayormente comprometido")</f>
        <v>0</v>
      </c>
      <c r="M12" s="7">
        <f>SUMIFS(Base!$I$5:$I$509,Base!$A$5:$A$509,"413",Base!$R$5:$R$509,"Ejecutado")</f>
        <v>41800.0</v>
      </c>
      <c r="N12" s="7">
        <f>SUMIFS(Base!$I$5:$I$509,Base!$A$5:$A$509,"413",Base!$R$5:$R$509,"Sin PIM")</f>
        <v>0</v>
      </c>
    </row>
    <row r="13" spans="1:14">
      <c r="A13" s="8" t="s">
        <v>1602</v>
      </c>
      <c r="B13" s="9">
        <f>SUM(B6:B12)</f>
        <v>505</v>
      </c>
      <c r="C13" s="9">
        <f>SUM(C6:C12)</f>
        <v>987989928.0</v>
      </c>
      <c r="D13" s="9">
        <f>SUM(D6:D12)</f>
        <v>919370469.96</v>
      </c>
      <c r="E13" s="9">
        <f>SUM(E6:E12)</f>
        <v>687283682.39</v>
      </c>
      <c r="F13" s="9">
        <f>SUM(F6:F12)</f>
        <v>495107471.66</v>
      </c>
      <c r="G13" s="9">
        <f>SUM(G6:G12)</f>
        <v>68619458.04000005</v>
      </c>
      <c r="H13" s="9">
        <f>SUM(H6:H12)</f>
        <v>296276093.31</v>
      </c>
      <c r="I13" s="9">
        <f>SUM(I6:I12)</f>
        <v>13687680.0</v>
      </c>
      <c r="J13" s="9">
        <f>SUM(J6:J12)</f>
        <v>30270090.0</v>
      </c>
      <c r="K13" s="9">
        <f>SUM(K6:K12)</f>
        <v>181641491.0</v>
      </c>
      <c r="L13" s="9">
        <f>SUM(L6:L12)</f>
        <v>665229023.0</v>
      </c>
      <c r="M13" s="9">
        <f>SUM(M6:M12)</f>
        <v>97161644.0</v>
      </c>
      <c r="N13" s="9">
        <f>SUM(N6:N12)</f>
        <v>0.0</v>
      </c>
    </row>
    <row r="16" spans="1:14">
      <c r="A16" s="4" t="s">
        <v>1603</v>
      </c>
    </row>
    <row r="17" spans="1:14" ht="40" customHeight="1">
      <c r="A17" s="5" t="s">
        <v>1591</v>
      </c>
      <c r="B17" s="5" t="s">
        <v>1592</v>
      </c>
      <c r="C17" s="5" t="s">
        <v>33</v>
      </c>
      <c r="D17" s="5" t="s">
        <v>34</v>
      </c>
      <c r="E17" s="5" t="s">
        <v>35</v>
      </c>
      <c r="F17" s="5" t="s">
        <v>36</v>
      </c>
      <c r="G17" s="5" t="s">
        <v>1593</v>
      </c>
      <c r="H17" s="5" t="s">
        <v>1594</v>
      </c>
      <c r="I17" s="5" t="s">
        <v>1595</v>
      </c>
      <c r="J17" s="5" t="s">
        <v>1596</v>
      </c>
      <c r="K17" s="5" t="s">
        <v>1597</v>
      </c>
      <c r="L17" s="5" t="s">
        <v>1598</v>
      </c>
      <c r="M17" s="5" t="s">
        <v>1599</v>
      </c>
      <c r="N17" s="5" t="s">
        <v>1600</v>
      </c>
    </row>
    <row r="18" spans="1:14">
      <c r="A18" s="6" t="s">
        <v>56</v>
      </c>
      <c r="B18" s="7">
        <f>COUNTIFS(Base!$C$5:$C$509,$A18)</f>
        <v>289</v>
      </c>
      <c r="C18" s="7">
        <f>SUMIFS(Base!$I$5:$I$509,Base!$C$5:$C$509,$A18)</f>
        <v>770705923.0</v>
      </c>
      <c r="D18" s="7">
        <f>SUMIFS(Base!$J$5:$J$509,Base!$C$5:$C$509,$A18)</f>
        <v>722932107.9399999</v>
      </c>
      <c r="E18" s="7">
        <f>SUMIFS(Base!$K$5:$K$509,Base!$C$5:$C$509,$A18)</f>
        <v>548920995.0</v>
      </c>
      <c r="F18" s="7">
        <f>SUMIFS(Base!$L$5:$L$509,Base!$C$5:$C$509,$A18)</f>
        <v>381711347.51</v>
      </c>
      <c r="G18" s="7">
        <f>C18-D18</f>
        <v>47773815.06000006</v>
      </c>
      <c r="H18" s="7">
        <f>SUMIFS(Base!$T$5:$T$509,Base!$C$5:$C$509,$A18)</f>
        <v>218395856.22</v>
      </c>
      <c r="I18" s="7">
        <f>SUMIFS(Base!$I$5:$I$509,Base!$C$5:$C$509,$A18,Base!$R$5:$R$509,"Sin certificar")</f>
        <v>11235029.0</v>
      </c>
      <c r="J18" s="7">
        <f>SUMIFS(Base!$I$5:$I$509,Base!$C$5:$C$509,$A18,Base!$R$5:$R$509,"Solo certificado")</f>
        <v>21115897.0</v>
      </c>
      <c r="K18" s="7">
        <f>SUMIFS(Base!$I$5:$I$509,Base!$C$5:$C$509,$A18,Base!$R$5:$R$509,"Parcialmente comprometido")</f>
        <v>128716981.0</v>
      </c>
      <c r="L18" s="7">
        <f>SUMIFS(Base!$I$5:$I$509,Base!$C$5:$C$509,$A18,Base!$R$5:$R$509,"Mayormente comprometido")</f>
        <v>539163563.0</v>
      </c>
      <c r="M18" s="7">
        <f>SUMIFS(Base!$I$5:$I$509,Base!$C$5:$C$509,$A18,Base!$R$5:$R$509,"Ejecutado")</f>
        <v>70474453.0</v>
      </c>
      <c r="N18" s="7">
        <f>SUMIFS(Base!$I$5:$I$509,Base!$C$5:$C$509,$A18,Base!$R$5:$R$509,"Sin PIM")</f>
        <v>0.0</v>
      </c>
    </row>
    <row r="19" spans="1:14">
      <c r="A19" s="6" t="s">
        <v>969</v>
      </c>
      <c r="B19" s="7">
        <f>COUNTIFS(Base!$C$5:$C$509,$A19)</f>
        <v>83</v>
      </c>
      <c r="C19" s="7">
        <f>SUMIFS(Base!$I$5:$I$509,Base!$C$5:$C$509,$A19)</f>
        <v>15438088.0</v>
      </c>
      <c r="D19" s="7">
        <f>SUMIFS(Base!$J$5:$J$509,Base!$C$5:$C$509,$A19)</f>
        <v>13246423.87</v>
      </c>
      <c r="E19" s="7">
        <f>SUMIFS(Base!$K$5:$K$509,Base!$C$5:$C$509,$A19)</f>
        <v>9068413.4</v>
      </c>
      <c r="F19" s="7">
        <f>SUMIFS(Base!$L$5:$L$509,Base!$C$5:$C$509,$A19)</f>
        <v>6937956.79</v>
      </c>
      <c r="G19" s="7">
        <f>C19-D19</f>
        <v>2191664.130000001</v>
      </c>
      <c r="H19" s="7">
        <f>SUMIFS(Base!$T$5:$T$509,Base!$C$5:$C$509,$A19)</f>
        <v>6297331.51</v>
      </c>
      <c r="I19" s="7">
        <f>SUMIFS(Base!$I$5:$I$509,Base!$C$5:$C$509,$A19,Base!$R$5:$R$509,"Sin certificar")</f>
        <v>160000.0</v>
      </c>
      <c r="J19" s="7">
        <f>SUMIFS(Base!$I$5:$I$509,Base!$C$5:$C$509,$A19,Base!$R$5:$R$509,"Solo certificado")</f>
        <v>891317.0</v>
      </c>
      <c r="K19" s="7">
        <f>SUMIFS(Base!$I$5:$I$509,Base!$C$5:$C$509,$A19,Base!$R$5:$R$509,"Parcialmente comprometido")</f>
        <v>4222909.0</v>
      </c>
      <c r="L19" s="7">
        <f>SUMIFS(Base!$I$5:$I$509,Base!$C$5:$C$509,$A19,Base!$R$5:$R$509,"Mayormente comprometido")</f>
        <v>8207733.0</v>
      </c>
      <c r="M19" s="7">
        <f>SUMIFS(Base!$I$5:$I$509,Base!$C$5:$C$509,$A19,Base!$R$5:$R$509,"Ejecutado")</f>
        <v>1956129.0</v>
      </c>
      <c r="N19" s="7">
        <f>SUMIFS(Base!$I$5:$I$509,Base!$C$5:$C$509,$A19,Base!$R$5:$R$509,"Sin PIM")</f>
        <v>0</v>
      </c>
    </row>
    <row r="20" spans="1:14">
      <c r="A20" s="6" t="s">
        <v>1224</v>
      </c>
      <c r="B20" s="7">
        <f>COUNTIFS(Base!$C$5:$C$509,$A20)</f>
        <v>11</v>
      </c>
      <c r="C20" s="7">
        <f>SUMIFS(Base!$I$5:$I$509,Base!$C$5:$C$509,$A20)</f>
        <v>18155027.0</v>
      </c>
      <c r="D20" s="7">
        <f>SUMIFS(Base!$J$5:$J$509,Base!$C$5:$C$509,$A20)</f>
        <v>15578094.31</v>
      </c>
      <c r="E20" s="7">
        <f>SUMIFS(Base!$K$5:$K$509,Base!$C$5:$C$509,$A20)</f>
        <v>15208931.629999999</v>
      </c>
      <c r="F20" s="7">
        <f>SUMIFS(Base!$L$5:$L$509,Base!$C$5:$C$509,$A20)</f>
        <v>8757642.459999999</v>
      </c>
      <c r="G20" s="7">
        <f>C20-D20</f>
        <v>2576932.6899999995</v>
      </c>
      <c r="H20" s="7">
        <f>SUMIFS(Base!$T$5:$T$509,Base!$C$5:$C$509,$A20)</f>
        <v>2946095.3700000015</v>
      </c>
      <c r="I20" s="7">
        <f>SUMIFS(Base!$I$5:$I$509,Base!$C$5:$C$509,$A20,Base!$R$5:$R$509,"Sin certificar")</f>
        <v>32099.0</v>
      </c>
      <c r="J20" s="7">
        <f>SUMIFS(Base!$I$5:$I$509,Base!$C$5:$C$509,$A20,Base!$R$5:$R$509,"Solo certificado")</f>
        <v>30658.0</v>
      </c>
      <c r="K20" s="7">
        <f>SUMIFS(Base!$I$5:$I$509,Base!$C$5:$C$509,$A20,Base!$R$5:$R$509,"Parcialmente comprometido")</f>
        <v>1870632.0</v>
      </c>
      <c r="L20" s="7">
        <f>SUMIFS(Base!$I$5:$I$509,Base!$C$5:$C$509,$A20,Base!$R$5:$R$509,"Mayormente comprometido")</f>
        <v>16221638.0</v>
      </c>
      <c r="M20" s="7">
        <f>SUMIFS(Base!$I$5:$I$509,Base!$C$5:$C$509,$A20,Base!$R$5:$R$509,"Ejecutado")</f>
        <v>0</v>
      </c>
      <c r="N20" s="7">
        <f>SUMIFS(Base!$I$5:$I$509,Base!$C$5:$C$509,$A20,Base!$R$5:$R$509,"Sin PIM")</f>
        <v>0.0</v>
      </c>
    </row>
    <row r="21" spans="1:14">
      <c r="A21" s="6" t="s">
        <v>1261</v>
      </c>
      <c r="B21" s="7">
        <f>COUNTIFS(Base!$C$5:$C$509,$A21)</f>
        <v>3</v>
      </c>
      <c r="C21" s="7">
        <f>SUMIFS(Base!$I$5:$I$509,Base!$C$5:$C$509,$A21)</f>
        <v>13183082.0</v>
      </c>
      <c r="D21" s="7">
        <f>SUMIFS(Base!$J$5:$J$509,Base!$C$5:$C$509,$A21)</f>
        <v>12706540.85</v>
      </c>
      <c r="E21" s="7">
        <f>SUMIFS(Base!$K$5:$K$509,Base!$C$5:$C$509,$A21)</f>
        <v>6500647.120000001</v>
      </c>
      <c r="F21" s="7">
        <f>SUMIFS(Base!$L$5:$L$509,Base!$C$5:$C$509,$A21)</f>
        <v>3714211.519999999</v>
      </c>
      <c r="G21" s="7">
        <f>C21-D21</f>
        <v>476541.1500000004</v>
      </c>
      <c r="H21" s="7">
        <f>SUMIFS(Base!$T$5:$T$509,Base!$C$5:$C$509,$A21)</f>
        <v>6651033.819999999</v>
      </c>
      <c r="I21" s="7">
        <f>SUMIFS(Base!$I$5:$I$509,Base!$C$5:$C$509,$A21,Base!$R$5:$R$509,"Sin certificar")</f>
        <v>100000.0</v>
      </c>
      <c r="J21" s="7">
        <f>SUMIFS(Base!$I$5:$I$509,Base!$C$5:$C$509,$A21,Base!$R$5:$R$509,"Solo certificado")</f>
        <v>0</v>
      </c>
      <c r="K21" s="7">
        <f>SUMIFS(Base!$I$5:$I$509,Base!$C$5:$C$509,$A21,Base!$R$5:$R$509,"Parcialmente comprometido")</f>
        <v>12532522.0</v>
      </c>
      <c r="L21" s="7">
        <f>SUMIFS(Base!$I$5:$I$509,Base!$C$5:$C$509,$A21,Base!$R$5:$R$509,"Mayormente comprometido")</f>
        <v>0</v>
      </c>
      <c r="M21" s="7">
        <f>SUMIFS(Base!$I$5:$I$509,Base!$C$5:$C$509,$A21,Base!$R$5:$R$509,"Ejecutado")</f>
        <v>550560.0</v>
      </c>
      <c r="N21" s="7">
        <f>SUMIFS(Base!$I$5:$I$509,Base!$C$5:$C$509,$A21,Base!$R$5:$R$509,"Sin PIM")</f>
        <v>0</v>
      </c>
    </row>
    <row r="22" spans="1:14">
      <c r="A22" s="6" t="s">
        <v>1274</v>
      </c>
      <c r="B22" s="7">
        <f>COUNTIFS(Base!$C$5:$C$509,$A22)</f>
        <v>2</v>
      </c>
      <c r="C22" s="7">
        <f>SUMIFS(Base!$I$5:$I$509,Base!$C$5:$C$509,$A22)</f>
        <v>5603985.0</v>
      </c>
      <c r="D22" s="7">
        <f>SUMIFS(Base!$J$5:$J$509,Base!$C$5:$C$509,$A22)</f>
        <v>5402769.95</v>
      </c>
      <c r="E22" s="7">
        <f>SUMIFS(Base!$K$5:$K$509,Base!$C$5:$C$509,$A22)</f>
        <v>4078169.4399999995</v>
      </c>
      <c r="F22" s="7">
        <f>SUMIFS(Base!$L$5:$L$509,Base!$C$5:$C$509,$A22)</f>
        <v>3499541.36</v>
      </c>
      <c r="G22" s="7">
        <f>C22-D22</f>
        <v>201215.0499999998</v>
      </c>
      <c r="H22" s="7">
        <f>SUMIFS(Base!$T$5:$T$509,Base!$C$5:$C$509,$A22)</f>
        <v>1522323.6700000004</v>
      </c>
      <c r="I22" s="7">
        <f>SUMIFS(Base!$I$5:$I$509,Base!$C$5:$C$509,$A22,Base!$R$5:$R$509,"Sin certificar")</f>
        <v>0</v>
      </c>
      <c r="J22" s="7">
        <f>SUMIFS(Base!$I$5:$I$509,Base!$C$5:$C$509,$A22,Base!$R$5:$R$509,"Solo certificado")</f>
        <v>0</v>
      </c>
      <c r="K22" s="7">
        <f>SUMIFS(Base!$I$5:$I$509,Base!$C$5:$C$509,$A22,Base!$R$5:$R$509,"Parcialmente comprometido")</f>
        <v>0</v>
      </c>
      <c r="L22" s="7">
        <f>SUMIFS(Base!$I$5:$I$509,Base!$C$5:$C$509,$A22,Base!$R$5:$R$509,"Mayormente comprometido")</f>
        <v>4271598.0</v>
      </c>
      <c r="M22" s="7">
        <f>SUMIFS(Base!$I$5:$I$509,Base!$C$5:$C$509,$A22,Base!$R$5:$R$509,"Ejecutado")</f>
        <v>1332387.0</v>
      </c>
      <c r="N22" s="7">
        <f>SUMIFS(Base!$I$5:$I$509,Base!$C$5:$C$509,$A22,Base!$R$5:$R$509,"Sin PIM")</f>
        <v>0</v>
      </c>
    </row>
    <row r="23" spans="1:14">
      <c r="A23" s="6" t="s">
        <v>1283</v>
      </c>
      <c r="B23" s="7">
        <f>COUNTIFS(Base!$C$5:$C$509,$A23)</f>
        <v>42</v>
      </c>
      <c r="C23" s="7">
        <f>SUMIFS(Base!$I$5:$I$509,Base!$C$5:$C$509,$A23)</f>
        <v>74669674.0</v>
      </c>
      <c r="D23" s="7">
        <f>SUMIFS(Base!$J$5:$J$509,Base!$C$5:$C$509,$A23)</f>
        <v>67480327.27</v>
      </c>
      <c r="E23" s="7">
        <f>SUMIFS(Base!$K$5:$K$509,Base!$C$5:$C$509,$A23)</f>
        <v>26597961.59</v>
      </c>
      <c r="F23" s="7">
        <f>SUMIFS(Base!$L$5:$L$509,Base!$C$5:$C$509,$A23)</f>
        <v>23520432.650000002</v>
      </c>
      <c r="G23" s="7">
        <f>C23-D23</f>
        <v>7189346.730000004</v>
      </c>
      <c r="H23" s="7">
        <f>SUMIFS(Base!$T$5:$T$509,Base!$C$5:$C$509,$A23)</f>
        <v>47699719.5</v>
      </c>
      <c r="I23" s="7">
        <f>SUMIFS(Base!$I$5:$I$509,Base!$C$5:$C$509,$A23,Base!$R$5:$R$509,"Sin certificar")</f>
        <v>1256414.0</v>
      </c>
      <c r="J23" s="7">
        <f>SUMIFS(Base!$I$5:$I$509,Base!$C$5:$C$509,$A23,Base!$R$5:$R$509,"Solo certificado")</f>
        <v>8232218.0</v>
      </c>
      <c r="K23" s="7">
        <f>SUMIFS(Base!$I$5:$I$509,Base!$C$5:$C$509,$A23,Base!$R$5:$R$509,"Parcialmente comprometido")</f>
        <v>32966931.0</v>
      </c>
      <c r="L23" s="7">
        <f>SUMIFS(Base!$I$5:$I$509,Base!$C$5:$C$509,$A23,Base!$R$5:$R$509,"Mayormente comprometido")</f>
        <v>27433858.0</v>
      </c>
      <c r="M23" s="7">
        <f>SUMIFS(Base!$I$5:$I$509,Base!$C$5:$C$509,$A23,Base!$R$5:$R$509,"Ejecutado")</f>
        <v>4780253.0</v>
      </c>
      <c r="N23" s="7">
        <f>SUMIFS(Base!$I$5:$I$509,Base!$C$5:$C$509,$A23,Base!$R$5:$R$509,"Sin PIM")</f>
        <v>0.0</v>
      </c>
    </row>
    <row r="24" spans="1:14">
      <c r="A24" s="6" t="s">
        <v>1411</v>
      </c>
      <c r="B24" s="7">
        <f>COUNTIFS(Base!$C$5:$C$509,$A24)</f>
        <v>10</v>
      </c>
      <c r="C24" s="7">
        <f>SUMIFS(Base!$I$5:$I$509,Base!$C$5:$C$509,$A24)</f>
        <v>7151039.0</v>
      </c>
      <c r="D24" s="7">
        <f>SUMIFS(Base!$J$5:$J$509,Base!$C$5:$C$509,$A24)</f>
        <v>5777500.99</v>
      </c>
      <c r="E24" s="7">
        <f>SUMIFS(Base!$K$5:$K$509,Base!$C$5:$C$509,$A24)</f>
        <v>5773489.21</v>
      </c>
      <c r="F24" s="7">
        <f>SUMIFS(Base!$L$5:$L$509,Base!$C$5:$C$509,$A24)</f>
        <v>5400403.3100000005</v>
      </c>
      <c r="G24" s="7">
        <f>C24-D24</f>
        <v>1373538.0099999998</v>
      </c>
      <c r="H24" s="7">
        <f>SUMIFS(Base!$T$5:$T$509,Base!$C$5:$C$509,$A24)</f>
        <v>1273568.87</v>
      </c>
      <c r="I24" s="7">
        <f>SUMIFS(Base!$I$5:$I$509,Base!$C$5:$C$509,$A24,Base!$R$5:$R$509,"Sin certificar")</f>
        <v>224696.0</v>
      </c>
      <c r="J24" s="7">
        <f>SUMIFS(Base!$I$5:$I$509,Base!$C$5:$C$509,$A24,Base!$R$5:$R$509,"Solo certificado")</f>
        <v>0</v>
      </c>
      <c r="K24" s="7">
        <f>SUMIFS(Base!$I$5:$I$509,Base!$C$5:$C$509,$A24,Base!$R$5:$R$509,"Parcialmente comprometido")</f>
        <v>0</v>
      </c>
      <c r="L24" s="7">
        <f>SUMIFS(Base!$I$5:$I$509,Base!$C$5:$C$509,$A24,Base!$R$5:$R$509,"Mayormente comprometido")</f>
        <v>4384588.0</v>
      </c>
      <c r="M24" s="7">
        <f>SUMIFS(Base!$I$5:$I$509,Base!$C$5:$C$509,$A24,Base!$R$5:$R$509,"Ejecutado")</f>
        <v>2541755.0</v>
      </c>
      <c r="N24" s="7">
        <f>SUMIFS(Base!$I$5:$I$509,Base!$C$5:$C$509,$A24,Base!$R$5:$R$509,"Sin PIM")</f>
        <v>0.0</v>
      </c>
    </row>
    <row r="25" spans="1:14">
      <c r="A25" s="6" t="s">
        <v>1441</v>
      </c>
      <c r="B25" s="7">
        <f>COUNTIFS(Base!$C$5:$C$509,$A25)</f>
        <v>2</v>
      </c>
      <c r="C25" s="7">
        <f>SUMIFS(Base!$I$5:$I$509,Base!$C$5:$C$509,$A25)</f>
        <v>120166.0</v>
      </c>
      <c r="D25" s="7">
        <f>SUMIFS(Base!$J$5:$J$509,Base!$C$5:$C$509,$A25)</f>
        <v>19362.0</v>
      </c>
      <c r="E25" s="7">
        <f>SUMIFS(Base!$K$5:$K$509,Base!$C$5:$C$509,$A25)</f>
        <v>19362.0</v>
      </c>
      <c r="F25" s="7">
        <f>SUMIFS(Base!$L$5:$L$509,Base!$C$5:$C$509,$A25)</f>
        <v>18148.25</v>
      </c>
      <c r="G25" s="7">
        <f>C25-D25</f>
        <v>100804.0</v>
      </c>
      <c r="H25" s="7">
        <f>SUMIFS(Base!$T$5:$T$509,Base!$C$5:$C$509,$A25)</f>
        <v>100804.0</v>
      </c>
      <c r="I25" s="7">
        <f>SUMIFS(Base!$I$5:$I$509,Base!$C$5:$C$509,$A25,Base!$R$5:$R$509,"Sin certificar")</f>
        <v>100000.0</v>
      </c>
      <c r="J25" s="7">
        <f>SUMIFS(Base!$I$5:$I$509,Base!$C$5:$C$509,$A25,Base!$R$5:$R$509,"Solo certificado")</f>
        <v>0</v>
      </c>
      <c r="K25" s="7">
        <f>SUMIFS(Base!$I$5:$I$509,Base!$C$5:$C$509,$A25,Base!$R$5:$R$509,"Parcialmente comprometido")</f>
        <v>0</v>
      </c>
      <c r="L25" s="7">
        <f>SUMIFS(Base!$I$5:$I$509,Base!$C$5:$C$509,$A25,Base!$R$5:$R$509,"Mayormente comprometido")</f>
        <v>20166.0</v>
      </c>
      <c r="M25" s="7">
        <f>SUMIFS(Base!$I$5:$I$509,Base!$C$5:$C$509,$A25,Base!$R$5:$R$509,"Ejecutado")</f>
        <v>0</v>
      </c>
      <c r="N25" s="7">
        <f>SUMIFS(Base!$I$5:$I$509,Base!$C$5:$C$509,$A25,Base!$R$5:$R$509,"Sin PIM")</f>
        <v>0</v>
      </c>
    </row>
    <row r="26" spans="1:14">
      <c r="A26" s="8" t="s">
        <v>1602</v>
      </c>
      <c r="B26" s="9">
        <f>SUM(B18:B25)</f>
        <v>442</v>
      </c>
      <c r="C26" s="9">
        <f>SUM(C18:C25)</f>
        <v>905026984.0</v>
      </c>
      <c r="D26" s="9">
        <f>SUM(D18:D25)</f>
        <v>843143127.18</v>
      </c>
      <c r="E26" s="9">
        <f>SUM(E18:E25)</f>
        <v>616167969.3900001</v>
      </c>
      <c r="F26" s="9">
        <f>SUM(F18:F25)</f>
        <v>433559683.84999996</v>
      </c>
      <c r="G26" s="9">
        <f>SUM(G18:G25)</f>
        <v>61883856.82000006</v>
      </c>
      <c r="H26" s="9">
        <f>SUM(H18:H25)</f>
        <v>284886732.96</v>
      </c>
      <c r="I26" s="9">
        <f>SUM(I18:I25)</f>
        <v>13108238.0</v>
      </c>
      <c r="J26" s="9">
        <f>SUM(J18:J25)</f>
        <v>30270090.0</v>
      </c>
      <c r="K26" s="9">
        <f>SUM(K18:K25)</f>
        <v>180309975.0</v>
      </c>
      <c r="L26" s="9">
        <f>SUM(L18:L25)</f>
        <v>599703144.0</v>
      </c>
      <c r="M26" s="9">
        <f>SUM(M18:M25)</f>
        <v>81635537.0</v>
      </c>
      <c r="N26" s="9">
        <f>SUM(N18:N25)</f>
        <v>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33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1542</v>
      </c>
    </row>
    <row r="2" spans="1:19">
      <c r="B2" s="4" t="s">
        <v>1543</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56</v>
      </c>
      <c r="B5" s="11"/>
      <c r="C5" s="11"/>
      <c r="D5" s="12">
        <f>D6+D122+D151+D201+D328</f>
        <v>770705923.0</v>
      </c>
      <c r="E5" s="12">
        <f>E6+E122+E151+E201+E328</f>
        <v>722932107.94</v>
      </c>
      <c r="F5" s="12">
        <f>D5-E5</f>
        <v>47773815.05999994</v>
      </c>
      <c r="G5" s="12">
        <f>G6+G122+G151+G201+G328</f>
        <v>381711347.51000005</v>
      </c>
      <c r="H5" s="12">
        <f>D5-G5</f>
        <v>388994575.48999995</v>
      </c>
      <c r="I5" s="13">
        <f>IF(D5=0,0,G5/D5)</f>
        <v>0.49527496301595186</v>
      </c>
      <c r="J5" s="11"/>
      <c r="K5" s="11"/>
      <c r="L5" s="11"/>
      <c r="M5" s="11"/>
      <c r="N5" s="11"/>
      <c r="O5" s="11"/>
      <c r="P5" s="11"/>
      <c r="Q5" s="11"/>
      <c r="R5" s="12">
        <f>R6+R122+R151+R201+R328</f>
        <v>174011112.94</v>
      </c>
      <c r="S5" s="12">
        <f>S6+S122+S151+S201+S328</f>
        <v>218395856.22000003</v>
      </c>
    </row>
    <row r="6" spans="1:19">
      <c r="A6" s="8" t="s">
        <v>1561</v>
      </c>
      <c r="B6" s="8"/>
      <c r="C6" s="8"/>
      <c r="D6" s="9">
        <f>D7+D78</f>
        <v>501856577.0</v>
      </c>
      <c r="E6" s="9">
        <f>E7+E78</f>
        <v>472582959.95</v>
      </c>
      <c r="F6" s="9">
        <f>D6-E6</f>
        <v>29273617.050000012</v>
      </c>
      <c r="G6" s="9">
        <f>G7+G78</f>
        <v>259074451.5</v>
      </c>
      <c r="H6" s="9">
        <f>D6-G6</f>
        <v>242782125.5</v>
      </c>
      <c r="I6" s="14">
        <f>IF(D6=0,0,G6/D6)</f>
        <v>0.5162320538841917</v>
      </c>
      <c r="J6" s="8"/>
      <c r="K6" s="8"/>
      <c r="L6" s="8"/>
      <c r="M6" s="8"/>
      <c r="N6" s="8"/>
      <c r="O6" s="8"/>
      <c r="P6" s="8"/>
      <c r="Q6" s="8"/>
      <c r="R6" s="9">
        <f>R7+R78</f>
        <v>121749690.94999999</v>
      </c>
      <c r="S6" s="9">
        <f>S7+S78</f>
        <v>150439101.37</v>
      </c>
    </row>
    <row r="7" spans="1:19">
      <c r="A7" s="8" t="s">
        <v>1559</v>
      </c>
      <c r="B7" s="8"/>
      <c r="C7" s="8"/>
      <c r="D7" s="9">
        <f>D8+D11+D38+D63+D73+D75</f>
        <v>234460254.0</v>
      </c>
      <c r="E7" s="9">
        <f>E8+E11+E38+E63+E73+E75</f>
        <v>223637170.79</v>
      </c>
      <c r="F7" s="9">
        <f>D7-E7</f>
        <v>10823083.210000008</v>
      </c>
      <c r="G7" s="9">
        <f>G8+G11+G38+G63+G73+G75</f>
        <v>99970240.23</v>
      </c>
      <c r="H7" s="9">
        <f>D7-G7</f>
        <v>134490013.76999998</v>
      </c>
      <c r="I7" s="14">
        <f>IF(D7=0,0,G7/D7)</f>
        <v>0.4263845940813491</v>
      </c>
      <c r="J7" s="8"/>
      <c r="K7" s="8"/>
      <c r="L7" s="8"/>
      <c r="M7" s="8"/>
      <c r="N7" s="8"/>
      <c r="O7" s="8"/>
      <c r="P7" s="8"/>
      <c r="Q7" s="8"/>
      <c r="R7" s="9">
        <f>R8+R11+R38+R63+R73+R75</f>
        <v>79279484.72</v>
      </c>
      <c r="S7" s="9">
        <f>S8+S11+S38+S63+S73+S75</f>
        <v>89851831.71000001</v>
      </c>
    </row>
    <row r="8" spans="1:19">
      <c r="A8" s="15" t="s">
        <v>58</v>
      </c>
      <c r="B8" s="15"/>
      <c r="C8" s="15"/>
      <c r="D8" s="16">
        <f>SUM(D9:D10)</f>
        <v>53926751.0</v>
      </c>
      <c r="E8" s="16">
        <f>SUM(E9:E10)</f>
        <v>53909348.199999996</v>
      </c>
      <c r="F8" s="16">
        <f>D8-E8</f>
        <v>17402.80000000447</v>
      </c>
      <c r="G8" s="16">
        <f>SUM(G9:G10)</f>
        <v>364124.26000000007</v>
      </c>
      <c r="H8" s="16">
        <f>D8-G8</f>
        <v>53562626.74</v>
      </c>
      <c r="I8" s="17">
        <f>IF(D8=0,0,G8/D8)</f>
        <v>0.006752200962375799</v>
      </c>
      <c r="J8" s="15"/>
      <c r="K8" s="15"/>
      <c r="L8" s="15"/>
      <c r="M8" s="15"/>
      <c r="N8" s="15"/>
      <c r="O8" s="15"/>
      <c r="P8" s="15"/>
      <c r="Q8" s="15"/>
      <c r="R8" s="16">
        <f>SUM(R9:R10)</f>
        <v>53496482.65</v>
      </c>
      <c r="S8" s="16">
        <f>SUM(S9:S10)</f>
        <v>53513885.45</v>
      </c>
    </row>
    <row r="9" spans="1:19">
      <c r="A9" s="18">
        <f>SUBTOTAL(103,$B$6:B9)</f>
        <v>1</v>
      </c>
      <c r="B9" s="18">
        <v>1</v>
      </c>
      <c r="C9" s="6" t="str">
        <f>Base!H5</f>
        <v>2108576: CONSTRUCCION DEL HOSPITAL MATERNO INFANTIL DEL CONO SUR JULIACA</v>
      </c>
      <c r="D9" s="7">
        <f>Base!I5</f>
        <v>167354.0</v>
      </c>
      <c r="E9" s="7">
        <f>Base!J5</f>
        <v>149951.3</v>
      </c>
      <c r="F9" s="7">
        <f>D9-E9</f>
        <v>17402.70000000001</v>
      </c>
      <c r="G9" s="7">
        <f>Base!L5</f>
        <v>102781.21</v>
      </c>
      <c r="H9" s="7">
        <f>D9-G9</f>
        <v>64572.78999999999</v>
      </c>
      <c r="I9" s="19">
        <f>IF(D9=0,0,G9/D9)</f>
        <v>0.6141544868960408</v>
      </c>
      <c r="J9" s="6" t="str">
        <f>Base!U5</f>
        <v>Administración directa / Laudos arbitrales</v>
      </c>
      <c r="K9" s="6" t="str">
        <f>Base!R5</f>
        <v>Mayormente comprometido</v>
      </c>
      <c r="L9" s="7">
        <f>Base!V5</f>
        <v>12460540.0</v>
      </c>
      <c r="M9" s="7">
        <f>Base!W5</f>
        <v>5731000.0</v>
      </c>
      <c r="N9" s="7">
        <f>Base!X5</f>
        <v>5000000.0</v>
      </c>
      <c r="O9" s="7">
        <f>Base!Y5</f>
        <v>5000000.0</v>
      </c>
      <c r="P9" s="6">
        <f>IF(Base!Z5="","",Base!Z5)</f>
        <v/>
      </c>
      <c r="Q9" s="18" t="str">
        <f>Base!S5</f>
        <v>Difícil</v>
      </c>
      <c r="R9" s="7">
        <f>Base!N5</f>
        <v>0.0</v>
      </c>
      <c r="S9" s="7">
        <f>Base!T5</f>
        <v>17402.70000000001</v>
      </c>
    </row>
    <row r="10" spans="1:19">
      <c r="A10" s="18">
        <f>SUBTOTAL(103,$B$6:B10)</f>
        <v>2</v>
      </c>
      <c r="B10" s="18">
        <v>220</v>
      </c>
      <c r="C10" s="6" t="str">
        <f>Base!H6</f>
        <v>2279375: MEJORAMIENTO DE LOS SERVICIOS DE SALUD DEL HOSPITAL DE APOYO ILAVE, PROVINCIA DE EL COLLAO - REGION PUNO</v>
      </c>
      <c r="D10" s="7">
        <f>Base!I6</f>
        <v>53759397.0</v>
      </c>
      <c r="E10" s="7">
        <f>Base!J6</f>
        <v>53759396.9</v>
      </c>
      <c r="F10" s="7">
        <f>D10-E10</f>
        <v>0.10000000149011612</v>
      </c>
      <c r="G10" s="7">
        <f>Base!L6</f>
        <v>261343.05000000005</v>
      </c>
      <c r="H10" s="7">
        <f>D10-G10</f>
        <v>53498053.95</v>
      </c>
      <c r="I10" s="19">
        <f>IF(D10=0,0,G10/D10)</f>
        <v>0.004861346380057054</v>
      </c>
      <c r="J10" s="6" t="str">
        <f>Base!U6</f>
        <v>Contrata / Expediente técnico / Administración directa / Laudos arbitrales</v>
      </c>
      <c r="K10" s="6" t="str">
        <f>Base!R6</f>
        <v>Parcialmente comprometido</v>
      </c>
      <c r="L10" s="7" t="str">
        <f>Base!V6</f>
        <v>No registrado en cartera</v>
      </c>
      <c r="M10" s="7" t="str">
        <f>Base!W6</f>
        <v>No registrado en cartera</v>
      </c>
      <c r="N10" s="7" t="str">
        <f>Base!X6</f>
        <v>No registrado en cartera</v>
      </c>
      <c r="O10" s="7" t="str">
        <f>Base!Y6</f>
        <v>No registrado en cartera</v>
      </c>
      <c r="P10" s="6">
        <f>IF(Base!Z6="","",Base!Z6)</f>
        <v/>
      </c>
      <c r="Q10" s="18" t="str">
        <f>Base!S6</f>
        <v>Parcial</v>
      </c>
      <c r="R10" s="7">
        <f>Base!N6</f>
        <v>53496482.65</v>
      </c>
      <c r="S10" s="7">
        <f>Base!T6</f>
        <v>53496482.75</v>
      </c>
    </row>
    <row r="11" spans="1:19">
      <c r="A11" s="15" t="s">
        <v>71</v>
      </c>
      <c r="B11" s="15"/>
      <c r="C11" s="15"/>
      <c r="D11" s="16">
        <f>SUM(D12:D37)</f>
        <v>60810433.0</v>
      </c>
      <c r="E11" s="16">
        <f>SUM(E12:E37)</f>
        <v>57496092.03000001</v>
      </c>
      <c r="F11" s="16">
        <f>D11-E11</f>
        <v>3314340.9699999914</v>
      </c>
      <c r="G11" s="16">
        <f>SUM(G12:G37)</f>
        <v>35508319.74</v>
      </c>
      <c r="H11" s="16">
        <f>D11-G11</f>
        <v>25302113.259999998</v>
      </c>
      <c r="I11" s="17">
        <f>IF(D11=0,0,G11/D11)</f>
        <v>0.5839182190990155</v>
      </c>
      <c r="J11" s="15"/>
      <c r="K11" s="15"/>
      <c r="L11" s="15"/>
      <c r="M11" s="15"/>
      <c r="N11" s="15"/>
      <c r="O11" s="15"/>
      <c r="P11" s="15"/>
      <c r="Q11" s="15"/>
      <c r="R11" s="16">
        <f>SUM(R12:R37)</f>
        <v>9719553.28</v>
      </c>
      <c r="S11" s="16">
        <f>SUM(S12:S37)</f>
        <v>12937090.94</v>
      </c>
    </row>
    <row r="12" spans="1:19">
      <c r="A12" s="18">
        <f>SUBTOTAL(103,$B$6:B12)</f>
        <v>3</v>
      </c>
      <c r="B12" s="18">
        <v>223</v>
      </c>
      <c r="C12" s="6" t="str">
        <f>Base!H7</f>
        <v>2323700: MEJORAMIENTO DEL SERVICIO EDUCATIVO DE LAS CARRERAS DE PRODUCCIÓN, AUTOMOTRIZ, MINERÍA, CONTABILIDAD, COMPUTACIÓN,  SECRETARIADO, ENFERMERÍA, LABORATORIO CLÍNICO Y PRÓTESIS DENTAL DEL IST MANUEL NÚÑEZ  BUTRÓN, JULIACA, SAN ROMÁN - PUNO</v>
      </c>
      <c r="D12" s="7">
        <f>Base!I7</f>
        <v>10519577.0</v>
      </c>
      <c r="E12" s="7">
        <f>Base!J7</f>
        <v>10386241.22</v>
      </c>
      <c r="F12" s="7">
        <f>D12-E12</f>
        <v>133335.77999999933</v>
      </c>
      <c r="G12" s="7">
        <f>Base!L7</f>
        <v>7596372.68</v>
      </c>
      <c r="H12" s="7">
        <f>D12-G12</f>
        <v>2923204.3200000003</v>
      </c>
      <c r="I12" s="19">
        <f>IF(D12=0,0,G12/D12)</f>
        <v>0.7221176935156233</v>
      </c>
      <c r="J12" s="6" t="str">
        <f>Base!U7</f>
        <v>Administración directa / Contrata / Personal/bienes/servicios</v>
      </c>
      <c r="K12" s="6" t="str">
        <f>Base!R7</f>
        <v>Mayormente comprometido</v>
      </c>
      <c r="L12" s="7">
        <f>Base!V7</f>
        <v>2546207.0</v>
      </c>
      <c r="M12" s="7">
        <f>Base!W7</f>
        <v>638376.0</v>
      </c>
      <c r="N12" s="7">
        <f>Base!X7</f>
        <v>2568939.0</v>
      </c>
      <c r="O12" s="7">
        <f>Base!Y7</f>
        <v>0</v>
      </c>
      <c r="P12" s="6">
        <f>IF(Base!Z7="","",Base!Z7)</f>
        <v/>
      </c>
      <c r="Q12" s="18" t="str">
        <f>Base!S7</f>
        <v>Difícil</v>
      </c>
      <c r="R12" s="7">
        <f>Base!N7</f>
        <v>1903152.0000000019</v>
      </c>
      <c r="S12" s="7">
        <f>Base!T7</f>
        <v>2036487.7800000012</v>
      </c>
    </row>
    <row r="13" spans="1:19">
      <c r="A13" s="18">
        <f>SUBTOTAL(103,$B$6:B13)</f>
        <v>4</v>
      </c>
      <c r="B13" s="18">
        <v>224</v>
      </c>
      <c r="C13" s="6" t="str">
        <f>Base!H8</f>
        <v>2335880: MEJORAMIENTO DEL SERVICIO EDUCATIVO DE LAS CARRERAS DE CONTABILIDAD, ENFERMERÍA TÉCNICA, COMPUTACIÓN E INFORMÁTICA, INDUSTRIA ALIMENTARIA Y PRODUCCIÓN AGROPECUARIA DEL ISEPA, PROVINCIA DE MELGAR - PUNO</v>
      </c>
      <c r="D13" s="7">
        <f>Base!I8</f>
        <v>10208307.0</v>
      </c>
      <c r="E13" s="7">
        <f>Base!J8</f>
        <v>9968469.620000001</v>
      </c>
      <c r="F13" s="7">
        <f>D13-E13</f>
        <v>239837.37999999896</v>
      </c>
      <c r="G13" s="7">
        <f>Base!L8</f>
        <v>6440724.480000001</v>
      </c>
      <c r="H13" s="7">
        <f>D13-G13</f>
        <v>3767582.5199999986</v>
      </c>
      <c r="I13" s="19">
        <f>IF(D13=0,0,G13/D13)</f>
        <v>0.6309297398677373</v>
      </c>
      <c r="J13" s="6" t="str">
        <f>Base!U8</f>
        <v>Administración directa / Equipamiento / Contrata / Personal/bienes/servicios</v>
      </c>
      <c r="K13" s="6" t="str">
        <f>Base!R8</f>
        <v>Mayormente comprometido</v>
      </c>
      <c r="L13" s="7">
        <f>Base!V8</f>
        <v>5597990.0</v>
      </c>
      <c r="M13" s="7">
        <f>Base!W8</f>
        <v>1254673.0</v>
      </c>
      <c r="N13" s="7">
        <f>Base!X8</f>
        <v>2493351.0</v>
      </c>
      <c r="O13" s="7">
        <f>Base!Y8</f>
        <v>0</v>
      </c>
      <c r="P13" s="6">
        <f>IF(Base!Z8="","",Base!Z8)</f>
        <v/>
      </c>
      <c r="Q13" s="18" t="str">
        <f>Base!S8</f>
        <v>Difícil</v>
      </c>
      <c r="R13" s="7">
        <f>Base!N8</f>
        <v>20231.27999999933</v>
      </c>
      <c r="S13" s="7">
        <f>Base!T8</f>
        <v>260068.6599999983</v>
      </c>
    </row>
    <row r="14" spans="1:19">
      <c r="A14" s="18">
        <f>SUBTOTAL(103,$B$6:B14)</f>
        <v>5</v>
      </c>
      <c r="B14" s="18">
        <v>245</v>
      </c>
      <c r="C14" s="6" t="str">
        <f>Base!H9</f>
        <v>2521936: MEJORAMIENTO Y AMPLIACION DEL SERVICIO DE EDUCACIÓN SUPERIOR TECNOLÓGICA EN EL INSTITUTO SUPERIOR TECNOLÓGICO PUBLICO DE MACUSANI  DISTRITO DE MACUSANI - PROVINCIA DE CARABAYA - DEPARTAMENTO DE PUNO</v>
      </c>
      <c r="D14" s="7">
        <f>Base!I9</f>
        <v>11203165.0</v>
      </c>
      <c r="E14" s="7">
        <f>Base!J9</f>
        <v>10889668.59</v>
      </c>
      <c r="F14" s="7">
        <f>D14-E14</f>
        <v>313496.41000000015</v>
      </c>
      <c r="G14" s="7">
        <f>Base!L9</f>
        <v>6395813.340000001</v>
      </c>
      <c r="H14" s="7">
        <f>D14-G14</f>
        <v>4807351.659999999</v>
      </c>
      <c r="I14" s="19">
        <f>IF(D14=0,0,G14/D14)</f>
        <v>0.5708934341322297</v>
      </c>
      <c r="J14" s="6" t="str">
        <f>Base!U9</f>
        <v>Administración directa / Equipamiento / Contrata / Personal/bienes/servicios</v>
      </c>
      <c r="K14" s="6" t="str">
        <f>Base!R9</f>
        <v>Mayormente comprometido</v>
      </c>
      <c r="L14" s="7">
        <f>Base!V9</f>
        <v>4902849.0</v>
      </c>
      <c r="M14" s="7">
        <f>Base!W9</f>
        <v>60001.0</v>
      </c>
      <c r="N14" s="7">
        <f>Base!X9</f>
        <v>2722594.0</v>
      </c>
      <c r="O14" s="7">
        <f>Base!Y9</f>
        <v>0</v>
      </c>
      <c r="P14" s="6">
        <f>IF(Base!Z9="","",Base!Z9)</f>
        <v/>
      </c>
      <c r="Q14" s="18" t="str">
        <f>Base!S9</f>
        <v>Difícil</v>
      </c>
      <c r="R14" s="7">
        <f>Base!N9</f>
        <v>2168178.719999999</v>
      </c>
      <c r="S14" s="7">
        <f>Base!T9</f>
        <v>2481675.129999999</v>
      </c>
    </row>
    <row r="15" spans="1:19">
      <c r="A15" s="18">
        <f>SUBTOTAL(103,$B$6:B15)</f>
        <v>6</v>
      </c>
      <c r="B15" s="18">
        <v>29</v>
      </c>
      <c r="C15" s="6" t="str">
        <f>Base!H10</f>
        <v>2344324: MEJORAMIENTO DE LOS SERVICIOS EDUCATIVOS DE LA I.E.S. MANUEL GONZALES PRADA, CENTRO POBLADO DE ISANI - DISTRITO DE ZEPITA - PROVINCIA DE CHUCUITO - REGIÓN PUNO</v>
      </c>
      <c r="D15" s="7">
        <f>Base!I10</f>
        <v>2079431.0</v>
      </c>
      <c r="E15" s="7">
        <f>Base!J10</f>
        <v>1994037.46</v>
      </c>
      <c r="F15" s="7">
        <f>D15-E15</f>
        <v>85393.54000000004</v>
      </c>
      <c r="G15" s="7">
        <f>Base!L10</f>
        <v>1946470.9399999997</v>
      </c>
      <c r="H15" s="7">
        <f>D15-G15</f>
        <v>132960.0600000003</v>
      </c>
      <c r="I15" s="19">
        <f>IF(D15=0,0,G15/D15)</f>
        <v>0.9360594027885512</v>
      </c>
      <c r="J15" s="6" t="str">
        <f>Base!U10</f>
        <v>Administración directa / Equipamiento / Contrata / Personal/bienes/servicios</v>
      </c>
      <c r="K15" s="6" t="str">
        <f>Base!R10</f>
        <v>Ejecutado</v>
      </c>
      <c r="L15" s="7">
        <f>Base!V10</f>
        <v>298669.0</v>
      </c>
      <c r="M15" s="7">
        <f>Base!W10</f>
        <v>349669.0</v>
      </c>
      <c r="N15" s="7">
        <f>Base!X10</f>
        <v>84977.0</v>
      </c>
      <c r="O15" s="7">
        <f>Base!Y10</f>
        <v>0</v>
      </c>
      <c r="P15" s="6">
        <f>IF(Base!Z10="","",Base!Z10)</f>
        <v/>
      </c>
      <c r="Q15" s="18" t="str">
        <f>Base!S10</f>
        <v>No usar</v>
      </c>
      <c r="R15" s="7">
        <f>Base!N10</f>
        <v>7297.0</v>
      </c>
      <c r="S15" s="7">
        <f>Base!T10</f>
        <v>0.0</v>
      </c>
    </row>
    <row r="16" spans="1:19">
      <c r="A16" s="18">
        <f>SUBTOTAL(103,$B$6:B16)</f>
        <v>7</v>
      </c>
      <c r="B16" s="18">
        <v>315</v>
      </c>
      <c r="C16" s="6" t="str">
        <f>Base!H11</f>
        <v>2490075: MEJORAMIENTO DEL SERVICIO EDUCATIVO DEL NIVEL SECUNDARIA DE LA I.E. AGROPECUARIO SAN JUAN DEL ORO EN EL  DISTRITO DE SAN JUAN DEL ORO - PROVINCIA DE SANDIA - DEPARTAMENTO DE PUNO</v>
      </c>
      <c r="D16" s="7">
        <f>Base!I11</f>
        <v>1425006.0</v>
      </c>
      <c r="E16" s="7">
        <f>Base!J11</f>
        <v>1239788.9</v>
      </c>
      <c r="F16" s="7">
        <f>D16-E16</f>
        <v>185217.1000000001</v>
      </c>
      <c r="G16" s="7">
        <f>Base!L11</f>
        <v>1170436.98</v>
      </c>
      <c r="H16" s="7">
        <f>D16-G16</f>
        <v>254569.02000000002</v>
      </c>
      <c r="I16" s="19">
        <f>IF(D16=0,0,G16/D16)</f>
        <v>0.8213558258702068</v>
      </c>
      <c r="J16" s="6" t="str">
        <f>Base!U11</f>
        <v>Administración directa / Equipamiento / Contrata / Personal/bienes/servicios</v>
      </c>
      <c r="K16" s="6" t="str">
        <f>Base!R11</f>
        <v>Mayormente comprometido</v>
      </c>
      <c r="L16" s="7">
        <f>Base!V11</f>
        <v>1122019.0</v>
      </c>
      <c r="M16" s="7">
        <f>Base!W11</f>
        <v>0</v>
      </c>
      <c r="N16" s="7">
        <f>Base!X11</f>
        <v>32869.0</v>
      </c>
      <c r="O16" s="7">
        <f>Base!Y11</f>
        <v>0</v>
      </c>
      <c r="P16" s="6">
        <f>IF(Base!Z11="","",Base!Z11)</f>
        <v/>
      </c>
      <c r="Q16" s="18" t="str">
        <f>Base!S11</f>
        <v>Difícil</v>
      </c>
      <c r="R16" s="7">
        <f>Base!N11</f>
        <v>500.0</v>
      </c>
      <c r="S16" s="7">
        <f>Base!T11</f>
        <v>185717.1000000001</v>
      </c>
    </row>
    <row r="17" spans="1:19">
      <c r="A17" s="18">
        <f>SUBTOTAL(103,$B$6:B17)</f>
        <v>8</v>
      </c>
      <c r="B17" s="18">
        <v>160</v>
      </c>
      <c r="C17" s="6" t="str">
        <f>Base!H12</f>
        <v>2570978: MEJORAMIENTO DE LOS SERVICIOS DE EDUCACIÓN SUPERIOR DEL INSTITUTO SUPERIOR TECNOLÓGICO PUBLICA DE CABANILLAS DEL  DISTRITO DE CABANILLAS - PROVINCIA DE SAN ROMAN - DEPARTAMENTO DE PUNO</v>
      </c>
      <c r="D17" s="7">
        <f>Base!I12</f>
        <v>9222405.0</v>
      </c>
      <c r="E17" s="7">
        <f>Base!J12</f>
        <v>9003232.53</v>
      </c>
      <c r="F17" s="7">
        <f>D17-E17</f>
        <v>219172.47000000067</v>
      </c>
      <c r="G17" s="7">
        <f>Base!L12</f>
        <v>5421356.61</v>
      </c>
      <c r="H17" s="7">
        <f>D17-G17</f>
        <v>3801048.3899999997</v>
      </c>
      <c r="I17" s="19">
        <f>IF(D17=0,0,G17/D17)</f>
        <v>0.5878462949740334</v>
      </c>
      <c r="J17" s="6" t="str">
        <f>Base!U12</f>
        <v>Administración directa / Equipamiento / Contrata / Personal/bienes/servicios</v>
      </c>
      <c r="K17" s="6" t="str">
        <f>Base!R12</f>
        <v>Mayormente comprometido</v>
      </c>
      <c r="L17" s="7">
        <f>Base!V12</f>
        <v>2595053.0</v>
      </c>
      <c r="M17" s="7">
        <f>Base!W12</f>
        <v>255676.0</v>
      </c>
      <c r="N17" s="7">
        <f>Base!X12</f>
        <v>1817178.0</v>
      </c>
      <c r="O17" s="7">
        <f>Base!Y12</f>
        <v>0</v>
      </c>
      <c r="P17" s="6">
        <f>IF(Base!Z12="","",Base!Z12)</f>
        <v/>
      </c>
      <c r="Q17" s="18" t="str">
        <f>Base!S12</f>
        <v>Difícil</v>
      </c>
      <c r="R17" s="7">
        <f>Base!N12</f>
        <v>2161615.2199999997</v>
      </c>
      <c r="S17" s="7">
        <f>Base!T12</f>
        <v>2380787.6900000004</v>
      </c>
    </row>
    <row r="18" spans="1:19">
      <c r="A18" s="18">
        <f>SUBTOTAL(103,$B$6:B18)</f>
        <v>9</v>
      </c>
      <c r="B18" s="18">
        <v>162</v>
      </c>
      <c r="C18" s="6" t="str">
        <f>Base!H13</f>
        <v>2591926: MEJORAMIENTO  SERVICIO DE EDUCACIÓN SUPERIOR TECNOLÓGICA  EN EL INSTITUTO SUPERIOR TECNOLÓGICO PUBLICO JOSE DOMINGO CHOQUEHUANCA DEL   DISTRITO DE JOSE DOMINGO CHOQUEHUANCA DE LA PROVINCIA DE AZANGARO DEL DEPARTAMENTO DE PUNO</v>
      </c>
      <c r="D18" s="7">
        <f>Base!I13</f>
        <v>5194033.0</v>
      </c>
      <c r="E18" s="7">
        <f>Base!J13</f>
        <v>5106124.77</v>
      </c>
      <c r="F18" s="7">
        <f>D18-E18</f>
        <v>87908.23000000045</v>
      </c>
      <c r="G18" s="7">
        <f>Base!L13</f>
        <v>1941765.29</v>
      </c>
      <c r="H18" s="7">
        <f>D18-G18</f>
        <v>3252267.71</v>
      </c>
      <c r="I18" s="19">
        <f>IF(D18=0,0,G18/D18)</f>
        <v>0.3738453895075368</v>
      </c>
      <c r="J18" s="6" t="str">
        <f>Base!U13</f>
        <v>Contrata / Personal/bienes/servicios</v>
      </c>
      <c r="K18" s="6" t="str">
        <f>Base!R13</f>
        <v>Mayormente comprometido</v>
      </c>
      <c r="L18" s="7">
        <f>Base!V13</f>
        <v>5194033.0</v>
      </c>
      <c r="M18" s="7">
        <f>Base!W13</f>
        <v>6569076.0</v>
      </c>
      <c r="N18" s="7">
        <f>Base!X13</f>
        <v>1.0</v>
      </c>
      <c r="O18" s="7">
        <f>Base!Y13</f>
        <v>0</v>
      </c>
      <c r="P18" s="6">
        <f>IF(Base!Z13="","",Base!Z13)</f>
        <v/>
      </c>
      <c r="Q18" s="18" t="str">
        <f>Base!S13</f>
        <v>Difícil</v>
      </c>
      <c r="R18" s="7">
        <f>Base!N13</f>
        <v>822146.1299999999</v>
      </c>
      <c r="S18" s="7">
        <f>Base!T13</f>
        <v>910054.3600000003</v>
      </c>
    </row>
    <row r="19" spans="1:19">
      <c r="A19" s="18">
        <f>SUBTOTAL(103,$B$6:B19)</f>
        <v>10</v>
      </c>
      <c r="B19" s="18">
        <v>44</v>
      </c>
      <c r="C19" s="6" t="str">
        <f>Base!H14</f>
        <v>2629119: MEJORAMIENTO DEL SERVICIO DE EDUCACIÓN SECUNDARIA EN I.E. ROSASPATA  DE CENTRO POBLADO ROSASPATA DISTRITO DE ROSASPATA DE LA PROVINCIA DE HUANCANE DEL DEPARTAMENTO DE PUNO</v>
      </c>
      <c r="D19" s="7">
        <f>Base!I14</f>
        <v>3656326.0</v>
      </c>
      <c r="E19" s="7">
        <f>Base!J14</f>
        <v>3383177.0999999996</v>
      </c>
      <c r="F19" s="7">
        <f>D19-E19</f>
        <v>273148.9000000004</v>
      </c>
      <c r="G19" s="7">
        <f>Base!L14</f>
        <v>2126125.38</v>
      </c>
      <c r="H19" s="7">
        <f>D19-G19</f>
        <v>1530200.62</v>
      </c>
      <c r="I19" s="19">
        <f>IF(D19=0,0,G19/D19)</f>
        <v>0.5814922903482895</v>
      </c>
      <c r="J19" s="6" t="str">
        <f>Base!U14</f>
        <v>Administración directa / Contrata / Personal/bienes/servicios / Equipamiento</v>
      </c>
      <c r="K19" s="6" t="str">
        <f>Base!R14</f>
        <v>Mayormente comprometido</v>
      </c>
      <c r="L19" s="7">
        <f>Base!V14</f>
        <v>2278000.0</v>
      </c>
      <c r="M19" s="7">
        <f>Base!W14</f>
        <v>1683936.0</v>
      </c>
      <c r="N19" s="7">
        <f>Base!X14</f>
        <v>1459275.0</v>
      </c>
      <c r="O19" s="7">
        <f>Base!Y14</f>
        <v>0</v>
      </c>
      <c r="P19" s="6">
        <f>IF(Base!Z14="","",Base!Z14)</f>
        <v/>
      </c>
      <c r="Q19" s="18" t="str">
        <f>Base!S14</f>
        <v>Difícil</v>
      </c>
      <c r="R19" s="7">
        <f>Base!N14</f>
        <v>285937.6299999999</v>
      </c>
      <c r="S19" s="7">
        <f>Base!T14</f>
        <v>559086.5300000003</v>
      </c>
    </row>
    <row r="20" spans="1:19">
      <c r="A20" s="18">
        <f>SUBTOTAL(103,$B$6:B20)</f>
        <v>11</v>
      </c>
      <c r="B20" s="18">
        <v>248</v>
      </c>
      <c r="C20" s="6" t="str">
        <f>Base!H15</f>
        <v>2539673: MEJORAMIENTO Y AMPLIACION DEL SERVICIO DE EDUCACIÓN SUPERIOR TECNOLÓGICA EN EL INSTITUTO SUPERIOR TECNOLÓGICO PÚBLICO DE JULI,  DISTRITO DE JULI - PROVINCIA DE CHUCUITO - DEPARTAMENTO DE PUNO</v>
      </c>
      <c r="D20" s="7">
        <f>Base!I15</f>
        <v>2000000.0</v>
      </c>
      <c r="E20" s="7">
        <f>Base!J15</f>
        <v>2000000.0</v>
      </c>
      <c r="F20" s="7">
        <f>D20-E20</f>
        <v>0.0</v>
      </c>
      <c r="G20" s="7">
        <f>Base!L15</f>
        <v>0.0</v>
      </c>
      <c r="H20" s="7">
        <f>D20-G20</f>
        <v>2000000.0</v>
      </c>
      <c r="I20" s="19">
        <f>IF(D20=0,0,G20/D20)</f>
        <v>0.0</v>
      </c>
      <c r="J20" s="6" t="str">
        <f>Base!U15</f>
        <v>Contrata</v>
      </c>
      <c r="K20" s="6" t="str">
        <f>Base!R15</f>
        <v>Solo certificado</v>
      </c>
      <c r="L20" s="7">
        <f>Base!V15</f>
        <v>12000000.0</v>
      </c>
      <c r="M20" s="7">
        <f>Base!W15</f>
        <v>14558623.0</v>
      </c>
      <c r="N20" s="7">
        <f>Base!X15</f>
        <v>14894208.0</v>
      </c>
      <c r="O20" s="7">
        <f>Base!Y15</f>
        <v>10928387.0</v>
      </c>
      <c r="P20" s="6">
        <f>IF(Base!Z15="","",Base!Z15)</f>
        <v/>
      </c>
      <c r="Q20" s="18" t="str">
        <f>Base!S15</f>
        <v>Posible</v>
      </c>
      <c r="R20" s="7">
        <f>Base!N15</f>
        <v>2000000.0</v>
      </c>
      <c r="S20" s="7">
        <f>Base!T15</f>
        <v>2000000.0</v>
      </c>
    </row>
    <row r="21" spans="1:19">
      <c r="A21" s="18">
        <f>SUBTOTAL(103,$B$6:B21)</f>
        <v>12</v>
      </c>
      <c r="B21" s="18">
        <v>45</v>
      </c>
      <c r="C21" s="6" t="str">
        <f>Base!H16</f>
        <v>2637985: MEJORAMIENTO DEL SERVICIO DE EDUCACIÓN SECUNDARIA EN I.E. LLAULLI  DE CENTRO POBLADO LLAULLI DISTRITO DE MOHO DE LA PROVINCIA DE MOHO DEL DEPARTAMENTO DE PUNO</v>
      </c>
      <c r="D21" s="7">
        <f>Base!I16</f>
        <v>0.0</v>
      </c>
      <c r="E21" s="7">
        <f>Base!J16</f>
        <v>0.0</v>
      </c>
      <c r="F21" s="7">
        <f>D21-E21</f>
        <v>0.0</v>
      </c>
      <c r="G21" s="7">
        <f>Base!L16</f>
        <v>0.0</v>
      </c>
      <c r="H21" s="7">
        <f>D21-G21</f>
        <v>0.0</v>
      </c>
      <c r="I21" s="19">
        <f>IF(D21=0,0,G21/D21)</f>
        <v>0</v>
      </c>
      <c r="J21" s="6" t="str">
        <f>Base!U16</f>
        <v>Contrata</v>
      </c>
      <c r="K21" s="6" t="str">
        <f>Base!R16</f>
        <v>Sin PIM</v>
      </c>
      <c r="L21" s="7">
        <f>Base!V16</f>
        <v>100000.0</v>
      </c>
      <c r="M21" s="7">
        <f>Base!W16</f>
        <v>1234564.0</v>
      </c>
      <c r="N21" s="7">
        <f>Base!X16</f>
        <v>0</v>
      </c>
      <c r="O21" s="7">
        <f>Base!Y16</f>
        <v>3335545.0</v>
      </c>
      <c r="P21" s="6">
        <f>IF(Base!Z16="","",Base!Z16)</f>
        <v/>
      </c>
      <c r="Q21" s="18" t="str">
        <f>Base!S16</f>
        <v>Sin PIM</v>
      </c>
      <c r="R21" s="7">
        <f>Base!N16</f>
        <v>0.0</v>
      </c>
      <c r="S21" s="7">
        <f>Base!T16</f>
        <v>0.0</v>
      </c>
    </row>
    <row r="22" spans="1:19">
      <c r="A22" s="18">
        <f>SUBTOTAL(103,$B$6:B22)</f>
        <v>13</v>
      </c>
      <c r="B22" s="18">
        <v>193</v>
      </c>
      <c r="C22" s="6" t="str">
        <f>Base!H17</f>
        <v>2664940: MEJORAMIENTO DEL SERVICIO DE EDUCACIÓN INICIAL EN I.E. 1099 INMACULADA   DISTRITO DE PUTINA DE LA PROVINCIA DE SAN ANTONIO DE PUTINA DEL DEPARTAMENTO DE PUNO</v>
      </c>
      <c r="D22" s="7">
        <f>Base!I17</f>
        <v>1861270.0</v>
      </c>
      <c r="E22" s="7">
        <f>Base!J17</f>
        <v>1466941.4100000001</v>
      </c>
      <c r="F22" s="7">
        <f>D22-E22</f>
        <v>394328.58999999985</v>
      </c>
      <c r="G22" s="7">
        <f>Base!L17</f>
        <v>1164545.37</v>
      </c>
      <c r="H22" s="7">
        <f>D22-G22</f>
        <v>696724.6299999999</v>
      </c>
      <c r="I22" s="19">
        <f>IF(D22=0,0,G22/D22)</f>
        <v>0.6256724548292296</v>
      </c>
      <c r="J22" s="6" t="str">
        <f>Base!U17</f>
        <v>Administración directa / Contrata / Expediente técnico / Equipamiento / Personal/bienes/servicios</v>
      </c>
      <c r="K22" s="6" t="str">
        <f>Base!R17</f>
        <v>Mayormente comprometido</v>
      </c>
      <c r="L22" s="7">
        <f>Base!V17</f>
        <v>1410000.0</v>
      </c>
      <c r="M22" s="7">
        <f>Base!W17</f>
        <v>833474.0</v>
      </c>
      <c r="N22" s="7">
        <f>Base!X17</f>
        <v>0</v>
      </c>
      <c r="O22" s="7">
        <f>Base!Y17</f>
        <v>0</v>
      </c>
      <c r="P22" s="6">
        <f>IF(Base!Z17="","",Base!Z17)</f>
        <v/>
      </c>
      <c r="Q22" s="18" t="str">
        <f>Base!S17</f>
        <v>Difícil</v>
      </c>
      <c r="R22" s="7">
        <f>Base!N17</f>
        <v>15375.0</v>
      </c>
      <c r="S22" s="7">
        <f>Base!T17</f>
        <v>409703.58999999985</v>
      </c>
    </row>
    <row r="23" spans="1:19">
      <c r="A23" s="18">
        <f>SUBTOTAL(103,$B$6:B23)</f>
        <v>14</v>
      </c>
      <c r="B23" s="18">
        <v>46</v>
      </c>
      <c r="C23" s="6" t="str">
        <f>Base!H18</f>
        <v>2637997: MEJORAMIENTO DEL SERVICIO DE EDUCACIÓN SECUNDARIA EN I.E. UMUCHI   DISTRITO DE MOHO DE LA PROVINCIA DE MOHO DEL DEPARTAMENTO DE PUNO</v>
      </c>
      <c r="D23" s="7">
        <f>Base!I18</f>
        <v>304829.0</v>
      </c>
      <c r="E23" s="7">
        <f>Base!J18</f>
        <v>0.0</v>
      </c>
      <c r="F23" s="7">
        <f>D23-E23</f>
        <v>304829.0</v>
      </c>
      <c r="G23" s="7">
        <f>Base!L18</f>
        <v>0.0</v>
      </c>
      <c r="H23" s="7">
        <f>D23-G23</f>
        <v>304829.0</v>
      </c>
      <c r="I23" s="19">
        <f>IF(D23=0,0,G23/D23)</f>
        <v>0.0</v>
      </c>
      <c r="J23" s="6" t="str">
        <f>Base!U18</f>
        <v>Contrata</v>
      </c>
      <c r="K23" s="6" t="str">
        <f>Base!R18</f>
        <v>Sin certificar</v>
      </c>
      <c r="L23" s="7">
        <f>Base!V18</f>
        <v>100000.0</v>
      </c>
      <c r="M23" s="7">
        <f>Base!W18</f>
        <v>0</v>
      </c>
      <c r="N23" s="7">
        <f>Base!X18</f>
        <v>0</v>
      </c>
      <c r="O23" s="7">
        <f>Base!Y18</f>
        <v>4317457.0</v>
      </c>
      <c r="P23" s="6">
        <f>IF(Base!Z18="","",Base!Z18)</f>
        <v/>
      </c>
      <c r="Q23" s="18" t="str">
        <f>Base!S18</f>
        <v>Disponible</v>
      </c>
      <c r="R23" s="7">
        <f>Base!N18</f>
        <v>0.0</v>
      </c>
      <c r="S23" s="7">
        <f>Base!T18</f>
        <v>304829.0</v>
      </c>
    </row>
    <row r="24" spans="1:19">
      <c r="A24" s="18">
        <f>SUBTOTAL(103,$B$6:B24)</f>
        <v>15</v>
      </c>
      <c r="B24" s="18">
        <v>480</v>
      </c>
      <c r="C24" s="6" t="str">
        <f>Base!H19</f>
        <v>2650476: ADQUISICION DE EQUIPAMIENTO DE AMBIENTES COMPLEMENTARIOS Y MOBILIARIO DE AULA; EN EL(LA) I.E. EL CENTENARIO DISTRITO DE PUTINA, PROVINCIA SAN ANTONIO DE PUTINA, DEPARTAMENTO PUNO</v>
      </c>
      <c r="D24" s="7">
        <f>Base!I19</f>
        <v>677644.0</v>
      </c>
      <c r="E24" s="7">
        <f>Base!J19</f>
        <v>607692.88</v>
      </c>
      <c r="F24" s="7">
        <f>D24-E24</f>
        <v>69951.12</v>
      </c>
      <c r="G24" s="7">
        <f>Base!L19</f>
        <v>131223.38</v>
      </c>
      <c r="H24" s="7">
        <f>D24-G24</f>
        <v>546420.62</v>
      </c>
      <c r="I24" s="19">
        <f>IF(D24=0,0,G24/D24)</f>
        <v>0.19364648694594802</v>
      </c>
      <c r="J24" s="6" t="str">
        <f>Base!U19</f>
        <v>Equipamiento / Contrata / Administración directa / Personal/bienes/servicios</v>
      </c>
      <c r="K24" s="6" t="str">
        <f>Base!R19</f>
        <v>Parcialmente comprometido</v>
      </c>
      <c r="L24" s="7" t="str">
        <f>Base!V19</f>
        <v>No registrado en cartera</v>
      </c>
      <c r="M24" s="7" t="str">
        <f>Base!W19</f>
        <v>No registrado en cartera</v>
      </c>
      <c r="N24" s="7" t="str">
        <f>Base!X19</f>
        <v>No registrado en cartera</v>
      </c>
      <c r="O24" s="7" t="str">
        <f>Base!Y19</f>
        <v>No registrado en cartera</v>
      </c>
      <c r="P24" s="6">
        <f>IF(Base!Z19="","",Base!Z19)</f>
        <v/>
      </c>
      <c r="Q24" s="18" t="str">
        <f>Base!S19</f>
        <v>Parcial</v>
      </c>
      <c r="R24" s="7">
        <f>Base!N19</f>
        <v>276448.78</v>
      </c>
      <c r="S24" s="7">
        <f>Base!T19</f>
        <v>346399.9</v>
      </c>
    </row>
    <row r="25" spans="1:19">
      <c r="A25" s="18">
        <f>SUBTOTAL(103,$B$6:B25)</f>
        <v>16</v>
      </c>
      <c r="B25" s="18">
        <v>479</v>
      </c>
      <c r="C25" s="6" t="str">
        <f>Base!H20</f>
        <v>2695845: MEJORAMIENTO DEL SERVICIO DE EDUCACION SECUNDARIA EN I.E. SAN FRANCISCO DE BORJA DISTRITO DE TARACO DE LA PROVINCIA DE HUANCANE DEL DEPARTAMENTO DE PUNO</v>
      </c>
      <c r="D25" s="7">
        <f>Base!I20</f>
        <v>492669.0</v>
      </c>
      <c r="E25" s="7">
        <f>Base!J20</f>
        <v>464894.0</v>
      </c>
      <c r="F25" s="7">
        <f>D25-E25</f>
        <v>27775.0</v>
      </c>
      <c r="G25" s="7">
        <f>Base!L20</f>
        <v>211662.5</v>
      </c>
      <c r="H25" s="7">
        <f>D25-G25</f>
        <v>281006.5</v>
      </c>
      <c r="I25" s="19">
        <f>IF(D25=0,0,G25/D25)</f>
        <v>0.4296241492766949</v>
      </c>
      <c r="J25" s="6" t="str">
        <f>Base!U20</f>
        <v>Expediente técnico</v>
      </c>
      <c r="K25" s="6" t="str">
        <f>Base!R20</f>
        <v>Mayormente comprometido</v>
      </c>
      <c r="L25" s="7" t="str">
        <f>Base!V20</f>
        <v>No registrado en cartera</v>
      </c>
      <c r="M25" s="7" t="str">
        <f>Base!W20</f>
        <v>No registrado en cartera</v>
      </c>
      <c r="N25" s="7" t="str">
        <f>Base!X20</f>
        <v>No registrado en cartera</v>
      </c>
      <c r="O25" s="7" t="str">
        <f>Base!Y20</f>
        <v>No registrado en cartera</v>
      </c>
      <c r="P25" s="6">
        <f>IF(Base!Z20="","",Base!Z20)</f>
        <v/>
      </c>
      <c r="Q25" s="18" t="str">
        <f>Base!S20</f>
        <v>Difícil</v>
      </c>
      <c r="R25" s="7">
        <f>Base!N20</f>
        <v>51222.02000000002</v>
      </c>
      <c r="S25" s="7">
        <f>Base!T20</f>
        <v>78997.02000000002</v>
      </c>
    </row>
    <row r="26" spans="1:19">
      <c r="A26" s="18">
        <f>SUBTOTAL(103,$B$6:B26)</f>
        <v>17</v>
      </c>
      <c r="B26" s="18">
        <v>170</v>
      </c>
      <c r="C26" s="6" t="str">
        <f>Base!H21</f>
        <v>2196865: MEJORAMIENTO DEL SERVICIO EDUCATIVO DE NIVEL INICIAL ESCOLARIZADO EN LA I.E.I. LLUNGO, DISTRITO DE ATUNCOLLA, PROVINCIA DE PUNO - PUNO.</v>
      </c>
      <c r="D26" s="7">
        <f>Base!I21</f>
        <v>118539.0</v>
      </c>
      <c r="E26" s="7">
        <f>Base!J21</f>
        <v>70562.13</v>
      </c>
      <c r="F26" s="7">
        <f>D26-E26</f>
        <v>47976.869999999995</v>
      </c>
      <c r="G26" s="7">
        <f>Base!L21</f>
        <v>70562.13</v>
      </c>
      <c r="H26" s="7">
        <f>D26-G26</f>
        <v>47976.869999999995</v>
      </c>
      <c r="I26" s="19">
        <f>IF(D26=0,0,G26/D26)</f>
        <v>0.5952651026244528</v>
      </c>
      <c r="J26" s="6" t="str">
        <f>Base!U21</f>
        <v>Contrata / Personal/bienes/servicios / Administración directa</v>
      </c>
      <c r="K26" s="6" t="str">
        <f>Base!R21</f>
        <v>Mayormente comprometido</v>
      </c>
      <c r="L26" s="7">
        <f>Base!V21</f>
        <v>159740.0</v>
      </c>
      <c r="M26" s="7">
        <f>Base!W21</f>
        <v>0</v>
      </c>
      <c r="N26" s="7">
        <f>Base!X21</f>
        <v>0</v>
      </c>
      <c r="O26" s="7">
        <f>Base!Y21</f>
        <v>0</v>
      </c>
      <c r="P26" s="6">
        <f>IF(Base!Z21="","",Base!Z21)</f>
        <v/>
      </c>
      <c r="Q26" s="18" t="str">
        <f>Base!S21</f>
        <v>Difícil</v>
      </c>
      <c r="R26" s="7">
        <f>Base!N21</f>
        <v>0.0</v>
      </c>
      <c r="S26" s="7">
        <f>Base!T21</f>
        <v>47976.869999999995</v>
      </c>
    </row>
    <row r="27" spans="1:19">
      <c r="A27" s="18">
        <f>SUBTOTAL(103,$B$6:B27)</f>
        <v>18</v>
      </c>
      <c r="B27" s="18">
        <v>490</v>
      </c>
      <c r="C27" s="6" t="str">
        <f>Base!H22</f>
        <v>2301117: MEJORAMIENTO DEL SERVICIO EDUCATIVO EN LAS INSTITUCIONES EDUCATIVAS PRIMARIAS  N 70511, N 70815 Y N 72637, DISTRITO DE ORURILLO - MELGAR - PUNO</v>
      </c>
      <c r="D27" s="7">
        <f>Base!I22</f>
        <v>28700.0</v>
      </c>
      <c r="E27" s="7">
        <f>Base!J22</f>
        <v>0.0</v>
      </c>
      <c r="F27" s="7">
        <f>D27-E27</f>
        <v>28700.0</v>
      </c>
      <c r="G27" s="7">
        <f>Base!L22</f>
        <v>0.0</v>
      </c>
      <c r="H27" s="7">
        <f>D27-G27</f>
        <v>28700.0</v>
      </c>
      <c r="I27" s="19">
        <f>IF(D27=0,0,G27/D27)</f>
        <v>0.0</v>
      </c>
      <c r="J27" s="6" t="str">
        <f>Base!U22</f>
        <v>Administración directa</v>
      </c>
      <c r="K27" s="6" t="str">
        <f>Base!R22</f>
        <v>Sin certificar</v>
      </c>
      <c r="L27" s="7">
        <f>Base!V22</f>
        <v>539829.0</v>
      </c>
      <c r="M27" s="7">
        <f>Base!W22</f>
        <v>504509.0</v>
      </c>
      <c r="N27" s="7">
        <f>Base!X22</f>
        <v>0</v>
      </c>
      <c r="O27" s="7">
        <f>Base!Y22</f>
        <v>0</v>
      </c>
      <c r="P27" s="6">
        <f>IF(Base!Z22="","",Base!Z22)</f>
        <v/>
      </c>
      <c r="Q27" s="18" t="str">
        <f>Base!S22</f>
        <v>Disponible</v>
      </c>
      <c r="R27" s="7">
        <f>Base!N22</f>
        <v>0.0</v>
      </c>
      <c r="S27" s="7">
        <f>Base!T22</f>
        <v>28700.0</v>
      </c>
    </row>
    <row r="28" spans="1:19">
      <c r="A28" s="18">
        <f>SUBTOTAL(103,$B$6:B28)</f>
        <v>19</v>
      </c>
      <c r="B28" s="18">
        <v>489</v>
      </c>
      <c r="C28" s="6" t="str">
        <f>Base!H23</f>
        <v>2301117: MEJORAMIENTO DEL SERVICIO EDUCATIVO EN LAS INSTITUCIONES EDUCATIVAS PRIMARIAS  N 70511, N 70815 Y N 72637, DISTRITO DE ORURILLO - MELGAR - PUNO</v>
      </c>
      <c r="D28" s="7">
        <f>Base!I23</f>
        <v>25000.0</v>
      </c>
      <c r="E28" s="7">
        <f>Base!J23</f>
        <v>0.0</v>
      </c>
      <c r="F28" s="7">
        <f>D28-E28</f>
        <v>25000.0</v>
      </c>
      <c r="G28" s="7">
        <f>Base!L23</f>
        <v>0.0</v>
      </c>
      <c r="H28" s="7">
        <f>D28-G28</f>
        <v>25000.0</v>
      </c>
      <c r="I28" s="19">
        <f>IF(D28=0,0,G28/D28)</f>
        <v>0.0</v>
      </c>
      <c r="J28" s="6" t="str">
        <f>Base!U23</f>
        <v>Administración directa</v>
      </c>
      <c r="K28" s="6" t="str">
        <f>Base!R23</f>
        <v>Sin certificar</v>
      </c>
      <c r="L28" s="7">
        <f>Base!V23</f>
        <v>539829.0</v>
      </c>
      <c r="M28" s="7">
        <f>Base!W23</f>
        <v>504509.0</v>
      </c>
      <c r="N28" s="7">
        <f>Base!X23</f>
        <v>0</v>
      </c>
      <c r="O28" s="7">
        <f>Base!Y23</f>
        <v>0</v>
      </c>
      <c r="P28" s="6">
        <f>IF(Base!Z23="","",Base!Z23)</f>
        <v/>
      </c>
      <c r="Q28" s="18" t="str">
        <f>Base!S23</f>
        <v>Disponible</v>
      </c>
      <c r="R28" s="7">
        <f>Base!N23</f>
        <v>0.0</v>
      </c>
      <c r="S28" s="7">
        <f>Base!T23</f>
        <v>25000.0</v>
      </c>
    </row>
    <row r="29" spans="1:19">
      <c r="A29" s="18">
        <f>SUBTOTAL(103,$B$6:B29)</f>
        <v>20</v>
      </c>
      <c r="B29" s="18">
        <v>484</v>
      </c>
      <c r="C29" s="6" t="str">
        <f>Base!H24</f>
        <v>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v>
      </c>
      <c r="D29" s="7">
        <f>Base!I24</f>
        <v>23560.0</v>
      </c>
      <c r="E29" s="7">
        <f>Base!J24</f>
        <v>22650.0</v>
      </c>
      <c r="F29" s="7">
        <f>D29-E29</f>
        <v>910.0</v>
      </c>
      <c r="G29" s="7">
        <f>Base!L24</f>
        <v>14282.09</v>
      </c>
      <c r="H29" s="7">
        <f>D29-G29</f>
        <v>9277.91</v>
      </c>
      <c r="I29" s="19">
        <f>IF(D29=0,0,G29/D29)</f>
        <v>0.6062007640067911</v>
      </c>
      <c r="J29" s="6" t="str">
        <f>Base!U24</f>
        <v>Contrata / Personal/bienes/servicios</v>
      </c>
      <c r="K29" s="6" t="str">
        <f>Base!R24</f>
        <v>Mayormente comprometido</v>
      </c>
      <c r="L29" s="7">
        <f>Base!V24</f>
        <v>23560.0</v>
      </c>
      <c r="M29" s="7">
        <f>Base!W24</f>
        <v>27080.0</v>
      </c>
      <c r="N29" s="7">
        <f>Base!X24</f>
        <v>0</v>
      </c>
      <c r="O29" s="7">
        <f>Base!Y24</f>
        <v>0</v>
      </c>
      <c r="P29" s="6">
        <f>IF(Base!Z24="","",Base!Z24)</f>
        <v/>
      </c>
      <c r="Q29" s="18" t="str">
        <f>Base!S24</f>
        <v>Difícil</v>
      </c>
      <c r="R29" s="7">
        <f>Base!N24</f>
        <v>0.0</v>
      </c>
      <c r="S29" s="7">
        <f>Base!T24</f>
        <v>910.0</v>
      </c>
    </row>
    <row r="30" spans="1:19">
      <c r="A30" s="18">
        <f>SUBTOTAL(103,$B$6:B30)</f>
        <v>21</v>
      </c>
      <c r="B30" s="18">
        <v>453</v>
      </c>
      <c r="C30" s="6" t="str">
        <f>Base!H25</f>
        <v>2196822: INSTALACION DEL SERVICIO DE EDUCACION INICIAL DE LA I.E.I. NRO. 94 DEL CENTRO POBLADO DE UMUCHI, DISTRITO DE MOHO, PROVINCIA DE MOHO, DEPARTAMENTO DE PUNO.</v>
      </c>
      <c r="D30" s="7">
        <f>Base!I25</f>
        <v>17714.0</v>
      </c>
      <c r="E30" s="7">
        <f>Base!J25</f>
        <v>14228.68</v>
      </c>
      <c r="F30" s="7">
        <f>D30-E30</f>
        <v>3485.3199999999997</v>
      </c>
      <c r="G30" s="7">
        <f>Base!L25</f>
        <v>9749.8</v>
      </c>
      <c r="H30" s="7">
        <f>D30-G30</f>
        <v>7964.200000000001</v>
      </c>
      <c r="I30" s="19">
        <f>IF(D30=0,0,G30/D30)</f>
        <v>0.5504008129163374</v>
      </c>
      <c r="J30" s="6" t="str">
        <f>Base!U25</f>
        <v>Contrata / Administración directa / Personal/bienes/servicios</v>
      </c>
      <c r="K30" s="6" t="str">
        <f>Base!R25</f>
        <v>Mayormente comprometido</v>
      </c>
      <c r="L30" s="7">
        <f>Base!V25</f>
        <v>13915.0</v>
      </c>
      <c r="M30" s="7">
        <f>Base!W25</f>
        <v>0</v>
      </c>
      <c r="N30" s="7">
        <f>Base!X25</f>
        <v>0</v>
      </c>
      <c r="O30" s="7">
        <f>Base!Y25</f>
        <v>0</v>
      </c>
      <c r="P30" s="6">
        <f>IF(Base!Z25="","",Base!Z25)</f>
        <v/>
      </c>
      <c r="Q30" s="18" t="str">
        <f>Base!S25</f>
        <v>Difícil</v>
      </c>
      <c r="R30" s="7">
        <f>Base!N25</f>
        <v>0.0</v>
      </c>
      <c r="S30" s="7">
        <f>Base!T25</f>
        <v>3485.3199999999997</v>
      </c>
    </row>
    <row r="31" spans="1:19">
      <c r="A31" s="18">
        <f>SUBTOTAL(103,$B$6:B31)</f>
        <v>22</v>
      </c>
      <c r="B31" s="18">
        <v>24</v>
      </c>
      <c r="C31" s="6" t="str">
        <f>Base!H26</f>
        <v>2194504: INSTALACION DEL SERVICIO EDUCATIVO DEL NIVEL SECUNDARIO EN LA I.E.S. RODOLFO DIESEL, DISTRITO DE JULIACA, PROVINCIA SAN ROMAN - PUNO.</v>
      </c>
      <c r="D31" s="7">
        <f>Base!I26</f>
        <v>0.0</v>
      </c>
      <c r="E31" s="7">
        <f>Base!J26</f>
        <v>0.0</v>
      </c>
      <c r="F31" s="7">
        <f>D31-E31</f>
        <v>0.0</v>
      </c>
      <c r="G31" s="7">
        <f>Base!L26</f>
        <v>0.0</v>
      </c>
      <c r="H31" s="7">
        <f>D31-G31</f>
        <v>0.0</v>
      </c>
      <c r="I31" s="19">
        <f>IF(D31=0,0,G31/D31)</f>
        <v>0</v>
      </c>
      <c r="J31" s="6" t="str">
        <f>Base!U26</f>
        <v>Contrata</v>
      </c>
      <c r="K31" s="6" t="str">
        <f>Base!R26</f>
        <v>Sin PIM</v>
      </c>
      <c r="L31" s="7" t="str">
        <f>Base!V26</f>
        <v>No registrado en cartera</v>
      </c>
      <c r="M31" s="7" t="str">
        <f>Base!W26</f>
        <v>No registrado en cartera</v>
      </c>
      <c r="N31" s="7" t="str">
        <f>Base!X26</f>
        <v>No registrado en cartera</v>
      </c>
      <c r="O31" s="7" t="str">
        <f>Base!Y26</f>
        <v>No registrado en cartera</v>
      </c>
      <c r="P31" s="6">
        <f>IF(Base!Z26="","",Base!Z26)</f>
        <v/>
      </c>
      <c r="Q31" s="18" t="str">
        <f>Base!S26</f>
        <v>Sin PIM</v>
      </c>
      <c r="R31" s="7">
        <f>Base!N26</f>
        <v>0.0</v>
      </c>
      <c r="S31" s="7">
        <f>Base!T26</f>
        <v>0.0</v>
      </c>
    </row>
    <row r="32" spans="1:19">
      <c r="A32" s="18">
        <f>SUBTOTAL(103,$B$6:B32)</f>
        <v>23</v>
      </c>
      <c r="B32" s="18">
        <v>168</v>
      </c>
      <c r="C32" s="6" t="str">
        <f>Base!H27</f>
        <v>2196834: MEJORAMIENTO DE LOS SERVICIOS DE EDUCACION INICIAL EN LA I.E.I. CUCURAYA DE LA COMUNIDAD DE CUCURAYA, DISTRITO DE TILALI, PROVINCIA DE MOHO - PUNO.</v>
      </c>
      <c r="D32" s="7">
        <f>Base!I27</f>
        <v>728529.0</v>
      </c>
      <c r="E32" s="7">
        <f>Base!J27</f>
        <v>0.0</v>
      </c>
      <c r="F32" s="7">
        <f>D32-E32</f>
        <v>728529.0</v>
      </c>
      <c r="G32" s="7">
        <f>Base!L27</f>
        <v>0.0</v>
      </c>
      <c r="H32" s="7">
        <f>D32-G32</f>
        <v>728529.0</v>
      </c>
      <c r="I32" s="19">
        <f>IF(D32=0,0,G32/D32)</f>
        <v>0.0</v>
      </c>
      <c r="J32" s="6" t="str">
        <f>Base!U27</f>
        <v>Administración directa / Contrata / Equipamiento / Personal/bienes/servicios</v>
      </c>
      <c r="K32" s="6" t="str">
        <f>Base!R27</f>
        <v>Sin certificar</v>
      </c>
      <c r="L32" s="7">
        <f>Base!V27</f>
        <v>699403.0</v>
      </c>
      <c r="M32" s="7">
        <f>Base!W27</f>
        <v>0</v>
      </c>
      <c r="N32" s="7">
        <f>Base!X27</f>
        <v>0</v>
      </c>
      <c r="O32" s="7">
        <f>Base!Y27</f>
        <v>0</v>
      </c>
      <c r="P32" s="6">
        <f>IF(Base!Z27="","",Base!Z27)</f>
        <v/>
      </c>
      <c r="Q32" s="18" t="str">
        <f>Base!S27</f>
        <v>Disponible</v>
      </c>
      <c r="R32" s="7">
        <f>Base!N27</f>
        <v>0.0</v>
      </c>
      <c r="S32" s="7">
        <f>Base!T27</f>
        <v>728529.0</v>
      </c>
    </row>
    <row r="33" spans="1:19">
      <c r="A33" s="18">
        <f>SUBTOTAL(103,$B$6:B33)</f>
        <v>24</v>
      </c>
      <c r="B33" s="18">
        <v>464</v>
      </c>
      <c r="C33" s="6" t="str">
        <f>Base!H28</f>
        <v>2490131: MEJORAMIENTO DEL SERVICIO DE EDUCACIÓN SECUNDARIA DE LA IES CABANILLAS,  DISTRITO DE CABANILLAS - PROVINCIA DE SAN ROMAN - DEPARTAMENTO DE PUNO</v>
      </c>
      <c r="D33" s="7">
        <f>Base!I28</f>
        <v>40621.0</v>
      </c>
      <c r="E33" s="7">
        <f>Base!J28</f>
        <v>28914.4</v>
      </c>
      <c r="F33" s="7">
        <f>D33-E33</f>
        <v>11706.599999999999</v>
      </c>
      <c r="G33" s="7">
        <f>Base!L28</f>
        <v>27953.93</v>
      </c>
      <c r="H33" s="7">
        <f>D33-G33</f>
        <v>12667.07</v>
      </c>
      <c r="I33" s="19">
        <f>IF(D33=0,0,G33/D33)</f>
        <v>0.6881644961965486</v>
      </c>
      <c r="J33" s="6" t="str">
        <f>Base!U28</f>
        <v>Contrata / Personal/bienes/servicios / Laudos arbitrales</v>
      </c>
      <c r="K33" s="6" t="str">
        <f>Base!R28</f>
        <v>Mayormente comprometido</v>
      </c>
      <c r="L33" s="7">
        <f>Base!V28</f>
        <v>2455.0</v>
      </c>
      <c r="M33" s="7">
        <f>Base!W28</f>
        <v>0</v>
      </c>
      <c r="N33" s="7">
        <f>Base!X28</f>
        <v>0</v>
      </c>
      <c r="O33" s="7">
        <f>Base!Y28</f>
        <v>0</v>
      </c>
      <c r="P33" s="6">
        <f>IF(Base!Z28="","",Base!Z28)</f>
        <v/>
      </c>
      <c r="Q33" s="18" t="str">
        <f>Base!S28</f>
        <v>Difícil</v>
      </c>
      <c r="R33" s="7">
        <f>Base!N28</f>
        <v>0.0</v>
      </c>
      <c r="S33" s="7">
        <f>Base!T28</f>
        <v>11706.599999999999</v>
      </c>
    </row>
    <row r="34" spans="1:19">
      <c r="A34" s="18">
        <f>SUBTOTAL(103,$B$6:B34)</f>
        <v>25</v>
      </c>
      <c r="B34" s="18">
        <v>169</v>
      </c>
      <c r="C34" s="6" t="str">
        <f>Base!H29</f>
        <v>2196857: INSTALACION DEL SERVICIO EDUCATIVO EN LA INSTITUCIÓN EDUCATIVA INICIAL N 986 SAN JUAN BAUTISTA DEL DISTRITO DE JULIACA, PROVINCIA DE SAN ROMAN - PUNO</v>
      </c>
      <c r="D34" s="7">
        <f>Base!I29</f>
        <v>0.0</v>
      </c>
      <c r="E34" s="7">
        <f>Base!J29</f>
        <v>0.0</v>
      </c>
      <c r="F34" s="7">
        <f>D34-E34</f>
        <v>0.0</v>
      </c>
      <c r="G34" s="7">
        <f>Base!L29</f>
        <v>0.0</v>
      </c>
      <c r="H34" s="7">
        <f>D34-G34</f>
        <v>0.0</v>
      </c>
      <c r="I34" s="19">
        <f>IF(D34=0,0,G34/D34)</f>
        <v>0</v>
      </c>
      <c r="J34" s="6" t="str">
        <f>Base!U29</f>
        <v>Contrata</v>
      </c>
      <c r="K34" s="6" t="str">
        <f>Base!R29</f>
        <v>Sin PIM</v>
      </c>
      <c r="L34" s="7">
        <f>Base!V29</f>
        <v>2878733.0</v>
      </c>
      <c r="M34" s="7">
        <f>Base!W29</f>
        <v>0</v>
      </c>
      <c r="N34" s="7">
        <f>Base!X29</f>
        <v>0</v>
      </c>
      <c r="O34" s="7">
        <f>Base!Y29</f>
        <v>0</v>
      </c>
      <c r="P34" s="6">
        <f>IF(Base!Z29="","",Base!Z29)</f>
        <v/>
      </c>
      <c r="Q34" s="18" t="str">
        <f>Base!S29</f>
        <v>Sin PIM</v>
      </c>
      <c r="R34" s="7">
        <f>Base!N29</f>
        <v>0.0</v>
      </c>
      <c r="S34" s="7">
        <f>Base!T29</f>
        <v>0.0</v>
      </c>
    </row>
    <row r="35" spans="1:19">
      <c r="A35" s="18">
        <f>SUBTOTAL(103,$B$6:B35)</f>
        <v>26</v>
      </c>
      <c r="B35" s="18">
        <v>27</v>
      </c>
      <c r="C35" s="6" t="str">
        <f>Base!H30</f>
        <v>2301117: MEJORAMIENTO DEL SERVICIO EDUCATIVO EN LAS INSTITUCIONES EDUCATIVAS PRIMARIAS  N 70511, N 70815 Y N 72637, DISTRITO DE ORURILLO - MELGAR - PUNO</v>
      </c>
      <c r="D35" s="7">
        <f>Base!I30</f>
        <v>855386.0</v>
      </c>
      <c r="E35" s="7">
        <f>Base!J30</f>
        <v>725859.11</v>
      </c>
      <c r="F35" s="7">
        <f>D35-E35</f>
        <v>129526.89000000001</v>
      </c>
      <c r="G35" s="7">
        <f>Base!L30</f>
        <v>715665.61</v>
      </c>
      <c r="H35" s="7">
        <f>D35-G35</f>
        <v>139720.39</v>
      </c>
      <c r="I35" s="19">
        <f>IF(D35=0,0,G35/D35)</f>
        <v>0.8366580818484286</v>
      </c>
      <c r="J35" s="6" t="str">
        <f>Base!U30</f>
        <v>Administración directa / Contrata / Expediente técnico / Equipamiento / Personal/bienes/servicios</v>
      </c>
      <c r="K35" s="6" t="str">
        <f>Base!R30</f>
        <v>Mayormente comprometido</v>
      </c>
      <c r="L35" s="7">
        <f>Base!V30</f>
        <v>539829.0</v>
      </c>
      <c r="M35" s="7">
        <f>Base!W30</f>
        <v>504509.0</v>
      </c>
      <c r="N35" s="7">
        <f>Base!X30</f>
        <v>0</v>
      </c>
      <c r="O35" s="7">
        <f>Base!Y30</f>
        <v>0</v>
      </c>
      <c r="P35" s="6">
        <f>IF(Base!Z30="","",Base!Z30)</f>
        <v/>
      </c>
      <c r="Q35" s="18" t="str">
        <f>Base!S30</f>
        <v>Difícil</v>
      </c>
      <c r="R35" s="7">
        <f>Base!N30</f>
        <v>7449.500000000116</v>
      </c>
      <c r="S35" s="7">
        <f>Base!T30</f>
        <v>136976.39000000013</v>
      </c>
    </row>
    <row r="36" spans="1:19">
      <c r="A36" s="18">
        <f>SUBTOTAL(103,$B$6:B36)</f>
        <v>27</v>
      </c>
      <c r="B36" s="18">
        <v>22</v>
      </c>
      <c r="C36" s="6" t="str">
        <f>Base!H31</f>
        <v>2194462: MEJORAMIENTO DEL SERVICIO DE EDUCATIVO EN LA I.E.S.  THOMAS ALVA EDISON DE LA URBANIZACIÓN CHILLA ¿ LOS ROSALES, CENTRO POBLADO DE CHILLA - DISTRITO DE JULIACA - PROVINCIA DE SAN ROMAN - REGIÓN PUNO</v>
      </c>
      <c r="D36" s="7">
        <f>Base!I31</f>
        <v>77590.0</v>
      </c>
      <c r="E36" s="7">
        <f>Base!J31</f>
        <v>76159.18</v>
      </c>
      <c r="F36" s="7">
        <f>D36-E36</f>
        <v>1430.820000000007</v>
      </c>
      <c r="G36" s="7">
        <f>Base!L31</f>
        <v>76159.18</v>
      </c>
      <c r="H36" s="7">
        <f>D36-G36</f>
        <v>1430.820000000007</v>
      </c>
      <c r="I36" s="19">
        <f>IF(D36=0,0,G36/D36)</f>
        <v>0.9815592215491686</v>
      </c>
      <c r="J36" s="6" t="str">
        <f>Base!U31</f>
        <v>Contrata / Personal/bienes/servicios</v>
      </c>
      <c r="K36" s="6" t="str">
        <f>Base!R31</f>
        <v>Ejecutado</v>
      </c>
      <c r="L36" s="7">
        <f>Base!V31</f>
        <v>357505.0</v>
      </c>
      <c r="M36" s="7">
        <f>Base!W31</f>
        <v>0</v>
      </c>
      <c r="N36" s="7">
        <f>Base!X31</f>
        <v>0</v>
      </c>
      <c r="O36" s="7">
        <f>Base!Y31</f>
        <v>344884.0</v>
      </c>
      <c r="P36" s="6">
        <f>IF(Base!Z31="","",Base!Z31)</f>
        <v/>
      </c>
      <c r="Q36" s="18" t="str">
        <f>Base!S31</f>
        <v>No usar</v>
      </c>
      <c r="R36" s="7">
        <f>Base!N31</f>
        <v>0.0</v>
      </c>
      <c r="S36" s="7">
        <f>Base!T31</f>
        <v>0.0</v>
      </c>
    </row>
    <row r="37" spans="1:19">
      <c r="A37" s="18">
        <f>SUBTOTAL(103,$B$6:B37)</f>
        <v>28</v>
      </c>
      <c r="B37" s="18">
        <v>37</v>
      </c>
      <c r="C37" s="6" t="str">
        <f>Base!H32</f>
        <v>2467893: MEJORAMIENTO DEL SERVICIO EDUCATIVO DEL NIVEL SECUNDARIA DE LA I.E.S. TARACO DEL DISTRITO DE TARACO - PROVINCIA DE HUANCANE - DEPARTAMENTO DE PUNO</v>
      </c>
      <c r="D37" s="7">
        <f>Base!I32</f>
        <v>50132.0</v>
      </c>
      <c r="E37" s="7">
        <f>Base!J32</f>
        <v>47450.05</v>
      </c>
      <c r="F37" s="7">
        <f>D37-E37</f>
        <v>2681.949999999997</v>
      </c>
      <c r="G37" s="7">
        <f>Base!L32</f>
        <v>47450.05</v>
      </c>
      <c r="H37" s="7">
        <f>D37-G37</f>
        <v>2681.949999999997</v>
      </c>
      <c r="I37" s="19">
        <f>IF(D37=0,0,G37/D37)</f>
        <v>0.9465022341019709</v>
      </c>
      <c r="J37" s="6" t="str">
        <f>Base!U32</f>
        <v>Contrata</v>
      </c>
      <c r="K37" s="6" t="str">
        <f>Base!R32</f>
        <v>Ejecutado</v>
      </c>
      <c r="L37" s="7">
        <f>Base!V32</f>
        <v>175369.0</v>
      </c>
      <c r="M37" s="7">
        <f>Base!W32</f>
        <v>79091.0</v>
      </c>
      <c r="N37" s="7">
        <f>Base!X32</f>
        <v>583672.0</v>
      </c>
      <c r="O37" s="7">
        <f>Base!Y32</f>
        <v>0</v>
      </c>
      <c r="P37" s="6">
        <f>IF(Base!Z32="","",Base!Z32)</f>
        <v/>
      </c>
      <c r="Q37" s="18" t="str">
        <f>Base!S32</f>
        <v>No usar</v>
      </c>
      <c r="R37" s="7">
        <f>Base!N32</f>
        <v>0.0</v>
      </c>
      <c r="S37" s="7">
        <f>Base!T32</f>
        <v>0.0</v>
      </c>
    </row>
    <row r="38" spans="1:19">
      <c r="A38" s="15" t="s">
        <v>163</v>
      </c>
      <c r="B38" s="15"/>
      <c r="C38" s="15"/>
      <c r="D38" s="16">
        <f>SUM(D39:D62)</f>
        <v>87794613.0</v>
      </c>
      <c r="E38" s="16">
        <f>SUM(E39:E62)</f>
        <v>83882330.74</v>
      </c>
      <c r="F38" s="16">
        <f>D38-E38</f>
        <v>3912282.2600000054</v>
      </c>
      <c r="G38" s="16">
        <f>SUM(G39:G62)</f>
        <v>50834365.7</v>
      </c>
      <c r="H38" s="16">
        <f>D38-G38</f>
        <v>36960247.3</v>
      </c>
      <c r="I38" s="17">
        <f>IF(D38=0,0,G38/D38)</f>
        <v>0.579014633847751</v>
      </c>
      <c r="J38" s="15"/>
      <c r="K38" s="15"/>
      <c r="L38" s="15"/>
      <c r="M38" s="15"/>
      <c r="N38" s="15"/>
      <c r="O38" s="15"/>
      <c r="P38" s="15"/>
      <c r="Q38" s="15"/>
      <c r="R38" s="16">
        <f>SUM(R39:R62)</f>
        <v>8305566.989999997</v>
      </c>
      <c r="S38" s="16">
        <f>SUM(S39:S62)</f>
        <v>12150688.139999997</v>
      </c>
    </row>
    <row r="39" spans="1:19">
      <c r="A39" s="18">
        <f>SUBTOTAL(103,$B$6:B39)</f>
        <v>29</v>
      </c>
      <c r="B39" s="18">
        <v>95</v>
      </c>
      <c r="C39" s="6" t="str">
        <f>Base!H33</f>
        <v>2194702: MEJORAMIENTO DE LA CARRETERA (PU 675) POMATA - YOROHOCO, PROVINCIA DE CHUCUITO - PUNO</v>
      </c>
      <c r="D39" s="7">
        <f>Base!I33</f>
        <v>18401182.0</v>
      </c>
      <c r="E39" s="7">
        <f>Base!J33</f>
        <v>17764557.93</v>
      </c>
      <c r="F39" s="7">
        <f>D39-E39</f>
        <v>636624.0700000003</v>
      </c>
      <c r="G39" s="7">
        <f>Base!L33</f>
        <v>15484259.859999998</v>
      </c>
      <c r="H39" s="7">
        <f>D39-G39</f>
        <v>2916922.1400000025</v>
      </c>
      <c r="I39" s="19">
        <f>IF(D39=0,0,G39/D39)</f>
        <v>0.8414818058970341</v>
      </c>
      <c r="J39" s="6" t="str">
        <f>Base!U33</f>
        <v>Administración directa / Contrata / Personal/bienes/servicios</v>
      </c>
      <c r="K39" s="6" t="str">
        <f>Base!R33</f>
        <v>Mayormente comprometido</v>
      </c>
      <c r="L39" s="7">
        <f>Base!V33</f>
        <v>9922902.0</v>
      </c>
      <c r="M39" s="7">
        <f>Base!W33</f>
        <v>180000.0</v>
      </c>
      <c r="N39" s="7">
        <f>Base!X33</f>
        <v>0</v>
      </c>
      <c r="O39" s="7">
        <f>Base!Y33</f>
        <v>0</v>
      </c>
      <c r="P39" s="6">
        <f>IF(Base!Z33="","",Base!Z33)</f>
        <v/>
      </c>
      <c r="Q39" s="18" t="str">
        <f>Base!S33</f>
        <v>Difícil</v>
      </c>
      <c r="R39" s="7">
        <f>Base!N33</f>
        <v>564551.3999999985</v>
      </c>
      <c r="S39" s="7">
        <f>Base!T33</f>
        <v>1201175.4699999988</v>
      </c>
    </row>
    <row r="40" spans="1:19">
      <c r="A40" s="18">
        <f>SUBTOTAL(103,$B$6:B40)</f>
        <v>30</v>
      </c>
      <c r="B40" s="18">
        <v>98</v>
      </c>
      <c r="C40" s="6" t="str">
        <f>Base!H34</f>
        <v>2287700: MEJORAMIENTO DE LA CARRETERA PU N-110: EMP. PE-34I ASIRUNI - ROSASPATA - HUAYRAPATA - EMP. PE-34I NINANTAYA, DISTRITOS DE VILQUECHICO-ROSASPATA-MOHO-HUAYRAPATA, PROVINCIA DE HUANCANÉ Y MOHO - PUNO</v>
      </c>
      <c r="D40" s="7">
        <f>Base!I34</f>
        <v>10002053.0</v>
      </c>
      <c r="E40" s="7">
        <f>Base!J34</f>
        <v>9636351.48</v>
      </c>
      <c r="F40" s="7">
        <f>D40-E40</f>
        <v>365701.51999999955</v>
      </c>
      <c r="G40" s="7">
        <f>Base!L34</f>
        <v>5473965.0600000005</v>
      </c>
      <c r="H40" s="7">
        <f>D40-G40</f>
        <v>4528087.9399999995</v>
      </c>
      <c r="I40" s="19">
        <f>IF(D40=0,0,G40/D40)</f>
        <v>0.5472841485642999</v>
      </c>
      <c r="J40" s="6" t="str">
        <f>Base!U34</f>
        <v>Administración directa / Contrata / Personal/bienes/servicios</v>
      </c>
      <c r="K40" s="6" t="str">
        <f>Base!R34</f>
        <v>Mayormente comprometido</v>
      </c>
      <c r="L40" s="7">
        <f>Base!V34</f>
        <v>4289351.0</v>
      </c>
      <c r="M40" s="7">
        <f>Base!W34</f>
        <v>500000.0</v>
      </c>
      <c r="N40" s="7">
        <f>Base!X34</f>
        <v>109570.0</v>
      </c>
      <c r="O40" s="7">
        <f>Base!Y34</f>
        <v>0</v>
      </c>
      <c r="P40" s="6">
        <f>IF(Base!Z34="","",Base!Z34)</f>
        <v/>
      </c>
      <c r="Q40" s="18" t="str">
        <f>Base!S34</f>
        <v>Difícil</v>
      </c>
      <c r="R40" s="7">
        <f>Base!N34</f>
        <v>41193.210000000894</v>
      </c>
      <c r="S40" s="7">
        <f>Base!T34</f>
        <v>406894.73000000045</v>
      </c>
    </row>
    <row r="41" spans="1:19">
      <c r="A41" s="18">
        <f>SUBTOTAL(103,$B$6:B41)</f>
        <v>31</v>
      </c>
      <c r="B41" s="18">
        <v>112</v>
      </c>
      <c r="C41" s="6" t="str">
        <f>Base!H35</f>
        <v>2480499: MEJORAMIENTO DE LA CARRETERA PU 146; EMP PE - 34 I (HUANCANÉ) - HUERTAPATA - VISCACHANI - QUELLAHUYO - EMP PE - 34 (CACUÑA),  DISTRITO DE HUANCANE - PROVINCIA DE HUANCANE - DEPARTAMENTO DE PUNO</v>
      </c>
      <c r="D41" s="7">
        <f>Base!I35</f>
        <v>3297813.0</v>
      </c>
      <c r="E41" s="7">
        <f>Base!J35</f>
        <v>3286650.45</v>
      </c>
      <c r="F41" s="7">
        <f>D41-E41</f>
        <v>11162.549999999814</v>
      </c>
      <c r="G41" s="7">
        <f>Base!L35</f>
        <v>3269277.2800000003</v>
      </c>
      <c r="H41" s="7">
        <f>D41-G41</f>
        <v>28535.71999999974</v>
      </c>
      <c r="I41" s="19">
        <f>IF(D41=0,0,G41/D41)</f>
        <v>0.9913470775935447</v>
      </c>
      <c r="J41" s="6" t="str">
        <f>Base!U35</f>
        <v>Administración directa / Contrata</v>
      </c>
      <c r="K41" s="6" t="str">
        <f>Base!R35</f>
        <v>Ejecutado</v>
      </c>
      <c r="L41" s="7">
        <f>Base!V35</f>
        <v>5406629.0</v>
      </c>
      <c r="M41" s="7">
        <f>Base!W35</f>
        <v>0</v>
      </c>
      <c r="N41" s="7">
        <f>Base!X35</f>
        <v>304959.0</v>
      </c>
      <c r="O41" s="7">
        <f>Base!Y35</f>
        <v>0</v>
      </c>
      <c r="P41" s="6">
        <f>IF(Base!Z35="","",Base!Z35)</f>
        <v/>
      </c>
      <c r="Q41" s="18" t="str">
        <f>Base!S35</f>
        <v>No usar</v>
      </c>
      <c r="R41" s="7">
        <f>Base!N35</f>
        <v>0.0</v>
      </c>
      <c r="S41" s="7">
        <f>Base!T35</f>
        <v>0.0</v>
      </c>
    </row>
    <row r="42" spans="1:19">
      <c r="A42" s="18">
        <f>SUBTOTAL(103,$B$6:B42)</f>
        <v>32</v>
      </c>
      <c r="B42" s="18">
        <v>99</v>
      </c>
      <c r="C42" s="6" t="str">
        <f>Base!H36</f>
        <v>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v>
      </c>
      <c r="D42" s="7">
        <f>Base!I36</f>
        <v>2394023.0</v>
      </c>
      <c r="E42" s="7">
        <f>Base!J36</f>
        <v>2316938.79</v>
      </c>
      <c r="F42" s="7">
        <f>D42-E42</f>
        <v>77084.20999999996</v>
      </c>
      <c r="G42" s="7">
        <f>Base!L36</f>
        <v>1138698.8399999999</v>
      </c>
      <c r="H42" s="7">
        <f>D42-G42</f>
        <v>1255324.1600000001</v>
      </c>
      <c r="I42" s="19">
        <f>IF(D42=0,0,G42/D42)</f>
        <v>0.47564239775474165</v>
      </c>
      <c r="J42" s="6" t="str">
        <f>Base!U36</f>
        <v>Administración directa / Contrata / Personal/bienes/servicios</v>
      </c>
      <c r="K42" s="6" t="str">
        <f>Base!R36</f>
        <v>Mayormente comprometido</v>
      </c>
      <c r="L42" s="7">
        <f>Base!V36</f>
        <v>3545977.0</v>
      </c>
      <c r="M42" s="7">
        <f>Base!W36</f>
        <v>1000000.0</v>
      </c>
      <c r="N42" s="7">
        <f>Base!X36</f>
        <v>3651450.0</v>
      </c>
      <c r="O42" s="7">
        <f>Base!Y36</f>
        <v>1489826.0</v>
      </c>
      <c r="P42" s="6">
        <f>IF(Base!Z36="","",Base!Z36)</f>
        <v/>
      </c>
      <c r="Q42" s="18" t="str">
        <f>Base!S36</f>
        <v>Difícil</v>
      </c>
      <c r="R42" s="7">
        <f>Base!N36</f>
        <v>6195.0</v>
      </c>
      <c r="S42" s="7">
        <f>Base!T36</f>
        <v>83279.20999999996</v>
      </c>
    </row>
    <row r="43" spans="1:19">
      <c r="A43" s="18">
        <f>SUBTOTAL(103,$B$6:B43)</f>
        <v>33</v>
      </c>
      <c r="B43" s="18">
        <v>87</v>
      </c>
      <c r="C43" s="6" t="str">
        <f>Base!H37</f>
        <v>2031310: CONSTRUCCION Y MEJORAMIENTO DE LA CARRETERA SAN JOSE (EMP. R 100) VALLE GRANDE -ISILLUMA DEL DISTRITO DE ALTO INAMBARI</v>
      </c>
      <c r="D43" s="7">
        <f>Base!I37</f>
        <v>1122559.0</v>
      </c>
      <c r="E43" s="7">
        <f>Base!J37</f>
        <v>1117871.0499999998</v>
      </c>
      <c r="F43" s="7">
        <f>D43-E43</f>
        <v>4687.950000000186</v>
      </c>
      <c r="G43" s="7">
        <f>Base!L37</f>
        <v>1042098.5599999999</v>
      </c>
      <c r="H43" s="7">
        <f>D43-G43</f>
        <v>80460.44000000006</v>
      </c>
      <c r="I43" s="19">
        <f>IF(D43=0,0,G43/D43)</f>
        <v>0.9283240880880202</v>
      </c>
      <c r="J43" s="6" t="str">
        <f>Base!U37</f>
        <v>Administración directa / Contrata / Personal/bienes/servicios</v>
      </c>
      <c r="K43" s="6" t="str">
        <f>Base!R37</f>
        <v>Ejecutado</v>
      </c>
      <c r="L43" s="7">
        <f>Base!V37</f>
        <v>1404195.0</v>
      </c>
      <c r="M43" s="7">
        <f>Base!W37</f>
        <v>324567.0</v>
      </c>
      <c r="N43" s="7">
        <f>Base!X37</f>
        <v>0</v>
      </c>
      <c r="O43" s="7">
        <f>Base!Y37</f>
        <v>936265.0</v>
      </c>
      <c r="P43" s="6">
        <f>IF(Base!Z37="","",Base!Z37)</f>
        <v/>
      </c>
      <c r="Q43" s="18" t="str">
        <f>Base!S37</f>
        <v>No usar</v>
      </c>
      <c r="R43" s="7">
        <f>Base!N37</f>
        <v>0.0</v>
      </c>
      <c r="S43" s="7">
        <f>Base!T37</f>
        <v>0.0</v>
      </c>
    </row>
    <row r="44" spans="1:19">
      <c r="A44" s="18">
        <f>SUBTOTAL(103,$B$6:B44)</f>
        <v>34</v>
      </c>
      <c r="B44" s="18">
        <v>92</v>
      </c>
      <c r="C44" s="6" t="str">
        <f>Base!H38</f>
        <v>2163760: MEJORAMIENTO DE LA INFRAESTRUCTURA VIAL TURISTICO, TRAMO PHUTINI - JAYU JAYU ACORA, DISTRITO DE ACORA - PUNO - PUNO</v>
      </c>
      <c r="D44" s="7">
        <f>Base!I38</f>
        <v>1202934.0</v>
      </c>
      <c r="E44" s="7">
        <f>Base!J38</f>
        <v>1151623.79</v>
      </c>
      <c r="F44" s="7">
        <f>D44-E44</f>
        <v>51310.20999999996</v>
      </c>
      <c r="G44" s="7">
        <f>Base!L38</f>
        <v>1105100.42</v>
      </c>
      <c r="H44" s="7">
        <f>D44-G44</f>
        <v>97833.58000000007</v>
      </c>
      <c r="I44" s="19">
        <f>IF(D44=0,0,G44/D44)</f>
        <v>0.9186708663983227</v>
      </c>
      <c r="J44" s="6" t="str">
        <f>Base!U38</f>
        <v>Administración directa / Contrata / Personal/bienes/servicios</v>
      </c>
      <c r="K44" s="6" t="str">
        <f>Base!R38</f>
        <v>Ejecutado</v>
      </c>
      <c r="L44" s="7">
        <f>Base!V38</f>
        <v>2596051.0</v>
      </c>
      <c r="M44" s="7">
        <f>Base!W38</f>
        <v>120000.0</v>
      </c>
      <c r="N44" s="7">
        <f>Base!X38</f>
        <v>2215461.0</v>
      </c>
      <c r="O44" s="7">
        <f>Base!Y38</f>
        <v>3675255.0</v>
      </c>
      <c r="P44" s="6">
        <f>IF(Base!Z38="","",Base!Z38)</f>
        <v/>
      </c>
      <c r="Q44" s="18" t="str">
        <f>Base!S38</f>
        <v>No usar</v>
      </c>
      <c r="R44" s="7">
        <f>Base!N38</f>
        <v>0.0</v>
      </c>
      <c r="S44" s="7">
        <f>Base!T38</f>
        <v>0.0</v>
      </c>
    </row>
    <row r="45" spans="1:19">
      <c r="A45" s="18">
        <f>SUBTOTAL(103,$B$6:B45)</f>
        <v>35</v>
      </c>
      <c r="B45" s="18">
        <v>104</v>
      </c>
      <c r="C45" s="6" t="str">
        <f>Base!H39</f>
        <v>2375549: CREACION DE LA INFRAESTRUCTURA DE INTEGRACION VIAL ENTRE SANDIA (CP. QUENEQUE) Y PATAMBUCO (C.P. TIRACA), DISTRITO DE SANDIA Y PATAMBUCO, PROVINCIA DE SANDIA - PUNO</v>
      </c>
      <c r="D45" s="7">
        <f>Base!I39</f>
        <v>167638.0</v>
      </c>
      <c r="E45" s="7">
        <f>Base!J39</f>
        <v>167637.03</v>
      </c>
      <c r="F45" s="7">
        <f>D45-E45</f>
        <v>0.9700000000011642</v>
      </c>
      <c r="G45" s="7">
        <f>Base!L39</f>
        <v>124800.06999999999</v>
      </c>
      <c r="H45" s="7">
        <f>D45-G45</f>
        <v>42837.93000000001</v>
      </c>
      <c r="I45" s="19">
        <f>IF(D45=0,0,G45/D45)</f>
        <v>0.7444616972285519</v>
      </c>
      <c r="J45" s="6" t="str">
        <f>Base!U39</f>
        <v>Administración directa</v>
      </c>
      <c r="K45" s="6" t="str">
        <f>Base!R39</f>
        <v>Mayormente comprometido</v>
      </c>
      <c r="L45" s="7">
        <f>Base!V39</f>
        <v>1200000.0</v>
      </c>
      <c r="M45" s="7">
        <f>Base!W39</f>
        <v>2500000.0</v>
      </c>
      <c r="N45" s="7">
        <f>Base!X39</f>
        <v>2882362.0</v>
      </c>
      <c r="O45" s="7">
        <f>Base!Y39</f>
        <v>1526602.0</v>
      </c>
      <c r="P45" s="6">
        <f>IF(Base!Z39="","",Base!Z39)</f>
        <v/>
      </c>
      <c r="Q45" s="18" t="str">
        <f>Base!S39</f>
        <v>Difícil</v>
      </c>
      <c r="R45" s="7">
        <f>Base!N39</f>
        <v>0.0</v>
      </c>
      <c r="S45" s="7">
        <f>Base!T39</f>
        <v>0.9700000000011642</v>
      </c>
    </row>
    <row r="46" spans="1:19">
      <c r="A46" s="18">
        <f>SUBTOTAL(103,$B$6:B46)</f>
        <v>36</v>
      </c>
      <c r="B46" s="18">
        <v>101</v>
      </c>
      <c r="C46" s="6" t="str">
        <f>Base!H40</f>
        <v>2321290: MEJORAMIENTO DE LOS SERVICIOS DE TRANSITABILIDAD DE LA VÍA VECINAL PU-595: DV. PAMPA BLANCA - RINCONADA - CERRO LUNAR, DISTRITO DE ANANEA, PROVINCIA DE SAN ANTONIO DE PUTINA - PUNO</v>
      </c>
      <c r="D46" s="7">
        <f>Base!I40</f>
        <v>844818.0</v>
      </c>
      <c r="E46" s="7">
        <f>Base!J40</f>
        <v>75387.03</v>
      </c>
      <c r="F46" s="7">
        <f>D46-E46</f>
        <v>769430.97</v>
      </c>
      <c r="G46" s="7">
        <f>Base!L40</f>
        <v>75387.03</v>
      </c>
      <c r="H46" s="7">
        <f>D46-G46</f>
        <v>769430.97</v>
      </c>
      <c r="I46" s="19">
        <f>IF(D46=0,0,G46/D46)</f>
        <v>0.08923463988693422</v>
      </c>
      <c r="J46" s="6" t="str">
        <f>Base!U40</f>
        <v>Contrata / Laudos arbitrales / Personal/bienes/servicios</v>
      </c>
      <c r="K46" s="6" t="str">
        <f>Base!R40</f>
        <v>Parcialmente comprometido</v>
      </c>
      <c r="L46" s="7">
        <f>Base!V40</f>
        <v>1050000.0</v>
      </c>
      <c r="M46" s="7">
        <f>Base!W40</f>
        <v>50000.0</v>
      </c>
      <c r="N46" s="7">
        <f>Base!X40</f>
        <v>1054806.0</v>
      </c>
      <c r="O46" s="7">
        <f>Base!Y40</f>
        <v>0</v>
      </c>
      <c r="P46" s="6">
        <f>IF(Base!Z40="","",Base!Z40)</f>
        <v/>
      </c>
      <c r="Q46" s="18" t="str">
        <f>Base!S40</f>
        <v>Parcial</v>
      </c>
      <c r="R46" s="7">
        <f>Base!N40</f>
        <v>0.0</v>
      </c>
      <c r="S46" s="7">
        <f>Base!T40</f>
        <v>769430.97</v>
      </c>
    </row>
    <row r="47" spans="1:19">
      <c r="A47" s="18">
        <f>SUBTOTAL(103,$B$6:B47)</f>
        <v>37</v>
      </c>
      <c r="B47" s="18">
        <v>166</v>
      </c>
      <c r="C47" s="6" t="str">
        <f>Base!H41</f>
        <v>2475053: MEJORAMIENTO DEL SERVICIO DE MOVILIDAD URBANA DE LA AV. ANDRES AVELINO CACERES (TRAMO: AV. TUPAC YUPANQUI - AV. AVIACIÓN), AV. LOS GERANIOS DEL  DISTRITO DE JULIACA - PROVINCIA DE SAN ROMAN - DEPARTAMENTO DE PUNO</v>
      </c>
      <c r="D47" s="7">
        <f>Base!I41</f>
        <v>0.0</v>
      </c>
      <c r="E47" s="7">
        <f>Base!J41</f>
        <v>0.0</v>
      </c>
      <c r="F47" s="7">
        <f>D47-E47</f>
        <v>0.0</v>
      </c>
      <c r="G47" s="7">
        <f>Base!L41</f>
        <v>0.0</v>
      </c>
      <c r="H47" s="7">
        <f>D47-G47</f>
        <v>0.0</v>
      </c>
      <c r="I47" s="19">
        <f>IF(D47=0,0,G47/D47)</f>
        <v>0</v>
      </c>
      <c r="J47" s="6" t="str">
        <f>Base!U41</f>
        <v>Administración directa</v>
      </c>
      <c r="K47" s="6" t="str">
        <f>Base!R41</f>
        <v>Sin PIM</v>
      </c>
      <c r="L47" s="7">
        <f>Base!V41</f>
        <v>675842.0</v>
      </c>
      <c r="M47" s="7">
        <f>Base!W41</f>
        <v>110000.0</v>
      </c>
      <c r="N47" s="7">
        <f>Base!X41</f>
        <v>0</v>
      </c>
      <c r="O47" s="7">
        <f>Base!Y41</f>
        <v>0</v>
      </c>
      <c r="P47" s="6">
        <f>IF(Base!Z41="","",Base!Z41)</f>
        <v/>
      </c>
      <c r="Q47" s="18" t="str">
        <f>Base!S41</f>
        <v>Sin PIM</v>
      </c>
      <c r="R47" s="7">
        <f>Base!N41</f>
        <v>0.0</v>
      </c>
      <c r="S47" s="7">
        <f>Base!T41</f>
        <v>0.0</v>
      </c>
    </row>
    <row r="48" spans="1:19">
      <c r="A48" s="18">
        <f>SUBTOTAL(103,$B$6:B48)</f>
        <v>38</v>
      </c>
      <c r="B48" s="18">
        <v>90</v>
      </c>
      <c r="C48" s="6" t="str">
        <f>Base!H42</f>
        <v>2131661: CONSTRUCCION Y MEJORAMIENTO DE LA CARRETERA DESVIO VILQUECHICO-COJATA-SINA-YANAHUAYA.</v>
      </c>
      <c r="D48" s="7">
        <f>Base!I42</f>
        <v>459851.0</v>
      </c>
      <c r="E48" s="7">
        <f>Base!J42</f>
        <v>344060.18</v>
      </c>
      <c r="F48" s="7">
        <f>D48-E48</f>
        <v>115790.82</v>
      </c>
      <c r="G48" s="7">
        <f>Base!L42</f>
        <v>300345.75999999995</v>
      </c>
      <c r="H48" s="7">
        <f>D48-G48</f>
        <v>159505.24000000005</v>
      </c>
      <c r="I48" s="19">
        <f>IF(D48=0,0,G48/D48)</f>
        <v>0.6531371248513105</v>
      </c>
      <c r="J48" s="6" t="str">
        <f>Base!U42</f>
        <v>Administración directa / Equipamiento</v>
      </c>
      <c r="K48" s="6" t="str">
        <f>Base!R42</f>
        <v>Mayormente comprometido</v>
      </c>
      <c r="L48" s="7">
        <f>Base!V42</f>
        <v>4800690.0</v>
      </c>
      <c r="M48" s="7">
        <f>Base!W42</f>
        <v>4000000.0</v>
      </c>
      <c r="N48" s="7">
        <f>Base!X42</f>
        <v>14883202.0</v>
      </c>
      <c r="O48" s="7">
        <f>Base!Y42</f>
        <v>19038629.0</v>
      </c>
      <c r="P48" s="6">
        <f>IF(Base!Z42="","",Base!Z42)</f>
        <v/>
      </c>
      <c r="Q48" s="18" t="str">
        <f>Base!S42</f>
        <v>Difícil</v>
      </c>
      <c r="R48" s="7">
        <f>Base!N42</f>
        <v>0.0</v>
      </c>
      <c r="S48" s="7">
        <f>Base!T42</f>
        <v>115790.82</v>
      </c>
    </row>
    <row r="49" spans="1:19">
      <c r="A49" s="18">
        <f>SUBTOTAL(103,$B$6:B49)</f>
        <v>39</v>
      </c>
      <c r="B49" s="18">
        <v>96</v>
      </c>
      <c r="C49" s="6" t="str">
        <f>Base!H43</f>
        <v>2195487: MEJORAMIENTO DEL CAMINO VECINAL (EMP. PE 3S) HUAQUINA ZAPIJICANE - PTO JULI - CHUCASUYO DEL DISTRITO DE JULI - PROVINCIA DE CHUCUITO - DEPARTAMENTO DE PUNO</v>
      </c>
      <c r="D49" s="7">
        <f>Base!I43</f>
        <v>91759.0</v>
      </c>
      <c r="E49" s="7">
        <f>Base!J43</f>
        <v>91758.5</v>
      </c>
      <c r="F49" s="7">
        <f>D49-E49</f>
        <v>0.5</v>
      </c>
      <c r="G49" s="7">
        <f>Base!L43</f>
        <v>82094.58</v>
      </c>
      <c r="H49" s="7">
        <f>D49-G49</f>
        <v>9664.419999999998</v>
      </c>
      <c r="I49" s="19">
        <f>IF(D49=0,0,G49/D49)</f>
        <v>0.8946760535751261</v>
      </c>
      <c r="J49" s="6" t="str">
        <f>Base!U43</f>
        <v>Contrata / Administración directa / Personal/bienes/servicios</v>
      </c>
      <c r="K49" s="6" t="str">
        <f>Base!R43</f>
        <v>Mayormente comprometido</v>
      </c>
      <c r="L49" s="7">
        <f>Base!V43</f>
        <v>774665.0</v>
      </c>
      <c r="M49" s="7">
        <f>Base!W43</f>
        <v>0</v>
      </c>
      <c r="N49" s="7">
        <f>Base!X43</f>
        <v>707599.0</v>
      </c>
      <c r="O49" s="7">
        <f>Base!Y43</f>
        <v>0</v>
      </c>
      <c r="P49" s="6">
        <f>IF(Base!Z43="","",Base!Z43)</f>
        <v/>
      </c>
      <c r="Q49" s="18" t="str">
        <f>Base!S43</f>
        <v>Difícil</v>
      </c>
      <c r="R49" s="7">
        <f>Base!N43</f>
        <v>9450.0</v>
      </c>
      <c r="S49" s="7">
        <f>Base!T43</f>
        <v>9450.5</v>
      </c>
    </row>
    <row r="50" spans="1:19">
      <c r="A50" s="18">
        <f>SUBTOTAL(103,$B$6:B50)</f>
        <v>40</v>
      </c>
      <c r="B50" s="18">
        <v>113</v>
      </c>
      <c r="C50" s="6" t="str">
        <f>Base!H44</f>
        <v>2514428: CREACION DEL SERVICIO DE INTERCONEXION DE MOVILIDAD URBANA EN LA VÍA TRONCAL DEL PUENTE YARAJA  DISTRITO DE AZANGARO - PROVINCIA DE AZANGARO - DEPARTAMENTO DE PUNO</v>
      </c>
      <c r="D50" s="7">
        <f>Base!I44</f>
        <v>104124.0</v>
      </c>
      <c r="E50" s="7">
        <f>Base!J44</f>
        <v>48234.88</v>
      </c>
      <c r="F50" s="7">
        <f>D50-E50</f>
        <v>55889.12</v>
      </c>
      <c r="G50" s="7">
        <f>Base!L44</f>
        <v>48234.88</v>
      </c>
      <c r="H50" s="7">
        <f>D50-G50</f>
        <v>55889.12</v>
      </c>
      <c r="I50" s="19">
        <f>IF(D50=0,0,G50/D50)</f>
        <v>0.46324459298528675</v>
      </c>
      <c r="J50" s="6" t="str">
        <f>Base!U44</f>
        <v>Administración directa / Contrata / Personal/bienes/servicios</v>
      </c>
      <c r="K50" s="6" t="str">
        <f>Base!R44</f>
        <v>Parcialmente comprometido</v>
      </c>
      <c r="L50" s="7">
        <f>Base!V44</f>
        <v>228677.0</v>
      </c>
      <c r="M50" s="7">
        <f>Base!W44</f>
        <v>0</v>
      </c>
      <c r="N50" s="7">
        <f>Base!X44</f>
        <v>0</v>
      </c>
      <c r="O50" s="7">
        <f>Base!Y44</f>
        <v>865181.0</v>
      </c>
      <c r="P50" s="6">
        <f>IF(Base!Z44="","",Base!Z44)</f>
        <v/>
      </c>
      <c r="Q50" s="18" t="str">
        <f>Base!S44</f>
        <v>Parcial</v>
      </c>
      <c r="R50" s="7">
        <f>Base!N44</f>
        <v>0.0</v>
      </c>
      <c r="S50" s="7">
        <f>Base!T44</f>
        <v>55889.12</v>
      </c>
    </row>
    <row r="51" spans="1:19">
      <c r="A51" s="18">
        <f>SUBTOTAL(103,$B$6:B51)</f>
        <v>41</v>
      </c>
      <c r="B51" s="18">
        <v>107</v>
      </c>
      <c r="C51" s="6" t="str">
        <f>Base!H45</f>
        <v>2436247: MEJORAMIENTO DEL CAMINO VECINAL RUTA PU-713, EMP. PE 3S (AYAVIRI - DESV. CALUYO - TINAJANI - L. PROV. LAMPA), DISTRITO DE AYAVIRI - PROVINCIA DE MELGAR - DEPARTAMENTO DE PUNO</v>
      </c>
      <c r="D51" s="7">
        <f>Base!I45</f>
        <v>22224878.0</v>
      </c>
      <c r="E51" s="7">
        <f>Base!J45</f>
        <v>21946068.2</v>
      </c>
      <c r="F51" s="7">
        <f>D51-E51</f>
        <v>278809.80000000075</v>
      </c>
      <c r="G51" s="7">
        <f>Base!L45</f>
        <v>7073509.5600000005</v>
      </c>
      <c r="H51" s="7">
        <f>D51-G51</f>
        <v>15151368.44</v>
      </c>
      <c r="I51" s="19">
        <f>IF(D51=0,0,G51/D51)</f>
        <v>0.31826989376499615</v>
      </c>
      <c r="J51" s="6" t="str">
        <f>Base!U45</f>
        <v>Contrata / Personal/bienes/servicios / Expediente técnico</v>
      </c>
      <c r="K51" s="6" t="str">
        <f>Base!R45</f>
        <v>Mayormente comprometido</v>
      </c>
      <c r="L51" s="7" t="str">
        <f>Base!V45</f>
        <v>No registrado en cartera</v>
      </c>
      <c r="M51" s="7" t="str">
        <f>Base!W45</f>
        <v>No registrado en cartera</v>
      </c>
      <c r="N51" s="7" t="str">
        <f>Base!X45</f>
        <v>No registrado en cartera</v>
      </c>
      <c r="O51" s="7" t="str">
        <f>Base!Y45</f>
        <v>No registrado en cartera</v>
      </c>
      <c r="P51" s="6">
        <f>IF(Base!Z45="","",Base!Z45)</f>
        <v/>
      </c>
      <c r="Q51" s="18" t="str">
        <f>Base!S45</f>
        <v>Difícil</v>
      </c>
      <c r="R51" s="7">
        <f>Base!N45</f>
        <v>3129014.879999999</v>
      </c>
      <c r="S51" s="7">
        <f>Base!T45</f>
        <v>3407824.6799999997</v>
      </c>
    </row>
    <row r="52" spans="1:19">
      <c r="A52" s="18">
        <f>SUBTOTAL(103,$B$6:B52)</f>
        <v>42</v>
      </c>
      <c r="B52" s="18">
        <v>124</v>
      </c>
      <c r="C52" s="6" t="str">
        <f>Base!H46</f>
        <v>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v>
      </c>
      <c r="D52" s="7">
        <f>Base!I46</f>
        <v>11412366.0</v>
      </c>
      <c r="E52" s="7">
        <f>Base!J46</f>
        <v>10878205.229999999</v>
      </c>
      <c r="F52" s="7">
        <f>D52-E52</f>
        <v>534160.7700000014</v>
      </c>
      <c r="G52" s="7">
        <f>Base!L46</f>
        <v>6860678.420000001</v>
      </c>
      <c r="H52" s="7">
        <f>D52-G52</f>
        <v>4551687.579999999</v>
      </c>
      <c r="I52" s="19">
        <f>IF(D52=0,0,G52/D52)</f>
        <v>0.6011617941450529</v>
      </c>
      <c r="J52" s="6" t="str">
        <f>Base!U46</f>
        <v>Administración directa / Contrata / Expediente técnico / Personal/bienes/servicios / Equipamiento</v>
      </c>
      <c r="K52" s="6" t="str">
        <f>Base!R46</f>
        <v>Mayormente comprometido</v>
      </c>
      <c r="L52" s="7">
        <f>Base!V46</f>
        <v>2800000.0</v>
      </c>
      <c r="M52" s="7">
        <f>Base!W46</f>
        <v>10234564.0</v>
      </c>
      <c r="N52" s="7">
        <f>Base!X46</f>
        <v>6182303.0</v>
      </c>
      <c r="O52" s="7">
        <f>Base!Y46</f>
        <v>9563936.0</v>
      </c>
      <c r="P52" s="6">
        <f>IF(Base!Z46="","",Base!Z46)</f>
        <v/>
      </c>
      <c r="Q52" s="18" t="str">
        <f>Base!S46</f>
        <v>Difícil</v>
      </c>
      <c r="R52" s="7">
        <f>Base!N46</f>
        <v>2430065.999999998</v>
      </c>
      <c r="S52" s="7">
        <f>Base!T46</f>
        <v>2964226.7699999996</v>
      </c>
    </row>
    <row r="53" spans="1:19">
      <c r="A53" s="18">
        <f>SUBTOTAL(103,$B$6:B53)</f>
        <v>43</v>
      </c>
      <c r="B53" s="18">
        <v>116</v>
      </c>
      <c r="C53" s="6" t="str">
        <f>Base!H47</f>
        <v>2585540: MEJORAMIENTO DEL SERVICIO DE TRANSITABILIDAD VIAL INTERURBANA EN LA CARRETERA  PU-139 (HDA. POTONI) ¿ SAN JOSÉ , ¿ COLLANA ¿ EMP. PU-111 ¿ PUENTE YARAJA (AZANGARO)   DISTRITOS DE POTONI, SAN JOSE DE LA PROVINCIA DE AZANGARO DEL DEPARTAMENTO DE PUNO</v>
      </c>
      <c r="D53" s="7">
        <f>Base!I47</f>
        <v>6736048.0</v>
      </c>
      <c r="E53" s="7">
        <f>Base!J47</f>
        <v>6652871.21</v>
      </c>
      <c r="F53" s="7">
        <f>D53-E53</f>
        <v>83176.79000000004</v>
      </c>
      <c r="G53" s="7">
        <f>Base!L47</f>
        <v>3336854.35</v>
      </c>
      <c r="H53" s="7">
        <f>D53-G53</f>
        <v>3399193.65</v>
      </c>
      <c r="I53" s="19">
        <f>IF(D53=0,0,G53/D53)</f>
        <v>0.4953727096362734</v>
      </c>
      <c r="J53" s="6" t="str">
        <f>Base!U47</f>
        <v>Administración directa / Contrata / Expediente técnico / Personal/bienes/servicios</v>
      </c>
      <c r="K53" s="6" t="str">
        <f>Base!R47</f>
        <v>Mayormente comprometido</v>
      </c>
      <c r="L53" s="7">
        <f>Base!V47</f>
        <v>800000.0</v>
      </c>
      <c r="M53" s="7">
        <f>Base!W47</f>
        <v>12057170.0</v>
      </c>
      <c r="N53" s="7">
        <f>Base!X47</f>
        <v>6000000.0</v>
      </c>
      <c r="O53" s="7">
        <f>Base!Y47</f>
        <v>7375100.0</v>
      </c>
      <c r="P53" s="6">
        <f>IF(Base!Z47="","",Base!Z47)</f>
        <v/>
      </c>
      <c r="Q53" s="18" t="str">
        <f>Base!S47</f>
        <v>Difícil</v>
      </c>
      <c r="R53" s="7">
        <f>Base!N47</f>
        <v>1100996.5</v>
      </c>
      <c r="S53" s="7">
        <f>Base!T47</f>
        <v>1184173.29</v>
      </c>
    </row>
    <row r="54" spans="1:19">
      <c r="A54" s="18">
        <f>SUBTOTAL(103,$B$6:B54)</f>
        <v>44</v>
      </c>
      <c r="B54" s="18">
        <v>123</v>
      </c>
      <c r="C54" s="6" t="str">
        <f>Base!H48</f>
        <v>2603165: MEJORAMIENTO DEL SERVICIO DE TRANSITABILIDAD VIAL INTERURBANA EN LA CARRETERA TRAMO ACHAYA ¿ EMP. PU 113(ARAPA) , DE LOS   DISTRITOS DE ACHAYA, ARAPA DE LA PROVINCIA DE AZANGARO DEL DEPARTAMENTO DE PUNO</v>
      </c>
      <c r="D54" s="7">
        <f>Base!I48</f>
        <v>9037622.0</v>
      </c>
      <c r="E54" s="7">
        <f>Base!J48</f>
        <v>8236997.09</v>
      </c>
      <c r="F54" s="7">
        <f>D54-E54</f>
        <v>800624.9100000001</v>
      </c>
      <c r="G54" s="7">
        <f>Base!L48</f>
        <v>5290297.699999999</v>
      </c>
      <c r="H54" s="7">
        <f>D54-G54</f>
        <v>3747324.3000000007</v>
      </c>
      <c r="I54" s="19">
        <f>IF(D54=0,0,G54/D54)</f>
        <v>0.585363904354486</v>
      </c>
      <c r="J54" s="6" t="str">
        <f>Base!U48</f>
        <v>Administración directa / Contrata / Equipamiento / Personal/bienes/servicios / Expediente técnico</v>
      </c>
      <c r="K54" s="6" t="str">
        <f>Base!R48</f>
        <v>Mayormente comprometido</v>
      </c>
      <c r="L54" s="7">
        <f>Base!V48</f>
        <v>2500000.0</v>
      </c>
      <c r="M54" s="7">
        <f>Base!W48</f>
        <v>6578987.0</v>
      </c>
      <c r="N54" s="7">
        <f>Base!X48</f>
        <v>6552040.0</v>
      </c>
      <c r="O54" s="7">
        <f>Base!Y48</f>
        <v>2921013.0</v>
      </c>
      <c r="P54" s="6">
        <f>IF(Base!Z48="","",Base!Z48)</f>
        <v/>
      </c>
      <c r="Q54" s="18" t="str">
        <f>Base!S48</f>
        <v>Difícil</v>
      </c>
      <c r="R54" s="7">
        <f>Base!N48</f>
        <v>1024100.0000000009</v>
      </c>
      <c r="S54" s="7">
        <f>Base!T48</f>
        <v>1824724.910000001</v>
      </c>
    </row>
    <row r="55" spans="1:19">
      <c r="A55" s="18">
        <f>SUBTOTAL(103,$B$6:B55)</f>
        <v>45</v>
      </c>
      <c r="B55" s="18">
        <v>94</v>
      </c>
      <c r="C55" s="6" t="str">
        <f>Base!H49</f>
        <v>2185578: MEJORAMIENTO DE LA CARRETERA DV. DESAGUADERO (EMP PE 36A) - KELLUYO - PISACOMA, PROVINCIA DE CHUCUITO - PUNO</v>
      </c>
      <c r="D55" s="7">
        <f>Base!I49</f>
        <v>67139.0</v>
      </c>
      <c r="E55" s="7">
        <f>Base!J49</f>
        <v>0.0</v>
      </c>
      <c r="F55" s="7">
        <f>D55-E55</f>
        <v>67139.0</v>
      </c>
      <c r="G55" s="7">
        <f>Base!L49</f>
        <v>0.0</v>
      </c>
      <c r="H55" s="7">
        <f>D55-G55</f>
        <v>67139.0</v>
      </c>
      <c r="I55" s="19">
        <f>IF(D55=0,0,G55/D55)</f>
        <v>0.0</v>
      </c>
      <c r="J55" s="6" t="str">
        <f>Base!U49</f>
        <v>Contrata</v>
      </c>
      <c r="K55" s="6" t="str">
        <f>Base!R49</f>
        <v>Sin certificar</v>
      </c>
      <c r="L55" s="7">
        <f>Base!V49</f>
        <v>1732548.0</v>
      </c>
      <c r="M55" s="7">
        <f>Base!W49</f>
        <v>0</v>
      </c>
      <c r="N55" s="7">
        <f>Base!X49</f>
        <v>2325267.0</v>
      </c>
      <c r="O55" s="7">
        <f>Base!Y49</f>
        <v>0</v>
      </c>
      <c r="P55" s="6">
        <f>IF(Base!Z49="","",Base!Z49)</f>
        <v/>
      </c>
      <c r="Q55" s="18" t="str">
        <f>Base!S49</f>
        <v>Disponible</v>
      </c>
      <c r="R55" s="7">
        <f>Base!N49</f>
        <v>0.0</v>
      </c>
      <c r="S55" s="7">
        <f>Base!T49</f>
        <v>67139.0</v>
      </c>
    </row>
    <row r="56" spans="1:19">
      <c r="A56" s="18">
        <f>SUBTOTAL(103,$B$6:B56)</f>
        <v>46</v>
      </c>
      <c r="B56" s="18">
        <v>433</v>
      </c>
      <c r="C56" s="6" t="str">
        <f>Base!H50</f>
        <v>2515272: RECUPERACION DEL PUENTE COLGANTE PEATONAL SOBRE EL RIO INAMBARI EN LA LOCALIDAD SANTA ROSA YANAMAYO DEL DISTRITO DE ALTO INAMBARI - PROVINCIA DE SANDIA - DEPARTAMENTO DE PUNO</v>
      </c>
      <c r="D56" s="7">
        <f>Base!I50</f>
        <v>105000.0</v>
      </c>
      <c r="E56" s="7">
        <f>Base!J50</f>
        <v>44312.3</v>
      </c>
      <c r="F56" s="7">
        <f>D56-E56</f>
        <v>60687.7</v>
      </c>
      <c r="G56" s="7">
        <f>Base!L50</f>
        <v>39935.87</v>
      </c>
      <c r="H56" s="7">
        <f>D56-G56</f>
        <v>65064.13</v>
      </c>
      <c r="I56" s="19">
        <f>IF(D56=0,0,G56/D56)</f>
        <v>0.3803416190476191</v>
      </c>
      <c r="J56" s="6" t="str">
        <f>Base!U50</f>
        <v>Administración directa / Contrata / Personal/bienes/servicios</v>
      </c>
      <c r="K56" s="6" t="str">
        <f>Base!R50</f>
        <v>Parcialmente comprometido</v>
      </c>
      <c r="L56" s="7">
        <f>Base!V50</f>
        <v>105000.0</v>
      </c>
      <c r="M56" s="7">
        <f>Base!W50</f>
        <v>0</v>
      </c>
      <c r="N56" s="7">
        <f>Base!X50</f>
        <v>0</v>
      </c>
      <c r="O56" s="7">
        <f>Base!Y50</f>
        <v>0</v>
      </c>
      <c r="P56" s="6">
        <f>IF(Base!Z50="","",Base!Z50)</f>
        <v/>
      </c>
      <c r="Q56" s="18" t="str">
        <f>Base!S50</f>
        <v>Parcial</v>
      </c>
      <c r="R56" s="7">
        <f>Base!N50</f>
        <v>0.0</v>
      </c>
      <c r="S56" s="7">
        <f>Base!T50</f>
        <v>60687.7</v>
      </c>
    </row>
    <row r="57" spans="1:19">
      <c r="A57" s="18">
        <f>SUBTOTAL(103,$B$6:B57)</f>
        <v>47</v>
      </c>
      <c r="B57" s="18">
        <v>508</v>
      </c>
      <c r="C57" s="6" t="str">
        <f>Base!H51</f>
        <v>2585540: MEJORAMIENTO DEL SERVICIO DE TRANSITABILIDAD VIAL INTERURBANA EN LA CARRETERA  PU-139 (HDA. POTONI) ¿ SAN JOSÉ , ¿ COLLANA ¿ EMP. PU-111 ¿ PUENTE YARAJA (AZANGARO)   DISTRITOS DE POTONI, SAN JOSE DE LA PROVINCIA DE AZANGARO DEL DEPARTAMENTO DE PUNO</v>
      </c>
      <c r="D57" s="7">
        <f>Base!I51</f>
        <v>94054.0</v>
      </c>
      <c r="E57" s="7">
        <f>Base!J51</f>
        <v>94054.0</v>
      </c>
      <c r="F57" s="7">
        <f>D57-E57</f>
        <v>0.0</v>
      </c>
      <c r="G57" s="7">
        <f>Base!L51</f>
        <v>60075.86</v>
      </c>
      <c r="H57" s="7">
        <f>D57-G57</f>
        <v>33978.14</v>
      </c>
      <c r="I57" s="19">
        <f>IF(D57=0,0,G57/D57)</f>
        <v>0.638737959044804</v>
      </c>
      <c r="J57" s="6" t="str">
        <f>Base!U51</f>
        <v>Expediente técnico</v>
      </c>
      <c r="K57" s="6" t="str">
        <f>Base!R51</f>
        <v>Mayormente comprometido</v>
      </c>
      <c r="L57" s="7">
        <f>Base!V51</f>
        <v>800000.0</v>
      </c>
      <c r="M57" s="7">
        <f>Base!W51</f>
        <v>12057170.0</v>
      </c>
      <c r="N57" s="7">
        <f>Base!X51</f>
        <v>6000000.0</v>
      </c>
      <c r="O57" s="7">
        <f>Base!Y51</f>
        <v>7375100.0</v>
      </c>
      <c r="P57" s="6">
        <f>IF(Base!Z51="","",Base!Z51)</f>
        <v/>
      </c>
      <c r="Q57" s="18" t="str">
        <f>Base!S51</f>
        <v>Difícil</v>
      </c>
      <c r="R57" s="7">
        <f>Base!N51</f>
        <v>0.0</v>
      </c>
      <c r="S57" s="7">
        <f>Base!T51</f>
        <v>0.0</v>
      </c>
    </row>
    <row r="58" spans="1:19">
      <c r="A58" s="18">
        <f>SUBTOTAL(103,$B$6:B58)</f>
        <v>48</v>
      </c>
      <c r="B58" s="18">
        <v>457</v>
      </c>
      <c r="C58" s="6" t="str">
        <f>Base!H52</f>
        <v>2440946: MEJORAMIENTO DEL SERVICIO DE TRANSITABILIDAD VEHICULAR DE LA CARRETERA TRAMO  ACHAYA (PU-140) - ESTRELLA (EMP. PE- 3S)  DEL  DISTRITO DE ACHAYA - PROVINCIA DE AZANGARO - DEPARTAMENTO DE PUNO</v>
      </c>
      <c r="D58" s="7">
        <f>Base!I52</f>
        <v>28752.0</v>
      </c>
      <c r="E58" s="7">
        <f>Base!J52</f>
        <v>28751.6</v>
      </c>
      <c r="F58" s="7">
        <f>D58-E58</f>
        <v>0.4000000000014552</v>
      </c>
      <c r="G58" s="7">
        <f>Base!L52</f>
        <v>28751.6</v>
      </c>
      <c r="H58" s="7">
        <f>D58-G58</f>
        <v>0.4000000000014552</v>
      </c>
      <c r="I58" s="19">
        <f>IF(D58=0,0,G58/D58)</f>
        <v>0.9999860879243183</v>
      </c>
      <c r="J58" s="6" t="str">
        <f>Base!U52</f>
        <v>Administración directa</v>
      </c>
      <c r="K58" s="6" t="str">
        <f>Base!R52</f>
        <v>Ejecutado</v>
      </c>
      <c r="L58" s="7">
        <f>Base!V52</f>
        <v>28752.0</v>
      </c>
      <c r="M58" s="7">
        <f>Base!W52</f>
        <v>50000.0</v>
      </c>
      <c r="N58" s="7">
        <f>Base!X52</f>
        <v>0</v>
      </c>
      <c r="O58" s="7">
        <f>Base!Y52</f>
        <v>0</v>
      </c>
      <c r="P58" s="6">
        <f>IF(Base!Z52="","",Base!Z52)</f>
        <v/>
      </c>
      <c r="Q58" s="18" t="str">
        <f>Base!S52</f>
        <v>No usar</v>
      </c>
      <c r="R58" s="7">
        <f>Base!N52</f>
        <v>0.0</v>
      </c>
      <c r="S58" s="7">
        <f>Base!T52</f>
        <v>0.0</v>
      </c>
    </row>
    <row r="59" spans="1:19">
      <c r="A59" s="18">
        <f>SUBTOTAL(103,$B$6:B59)</f>
        <v>49</v>
      </c>
      <c r="B59" s="18">
        <v>88</v>
      </c>
      <c r="C59" s="6" t="str">
        <f>Base!H53</f>
        <v>2055915: MEJORAMIENTO DE LA CARRETERA AZANGARO - SAYTOCOCHA - SANDIA - SAN JUAN DEL ORO</v>
      </c>
      <c r="D59" s="7">
        <f>Base!I53</f>
        <v>0.0</v>
      </c>
      <c r="E59" s="7">
        <f>Base!J53</f>
        <v>0.0</v>
      </c>
      <c r="F59" s="7">
        <f>D59-E59</f>
        <v>0.0</v>
      </c>
      <c r="G59" s="7">
        <f>Base!L53</f>
        <v>0.0</v>
      </c>
      <c r="H59" s="7">
        <f>D59-G59</f>
        <v>0.0</v>
      </c>
      <c r="I59" s="19">
        <f>IF(D59=0,0,G59/D59)</f>
        <v>0</v>
      </c>
      <c r="J59" s="6" t="str">
        <f>Base!U53</f>
        <v>Personal/bienes/servicios</v>
      </c>
      <c r="K59" s="6" t="str">
        <f>Base!R53</f>
        <v>Sin PIM</v>
      </c>
      <c r="L59" s="7">
        <f>Base!V53</f>
        <v>7600000.0</v>
      </c>
      <c r="M59" s="7">
        <f>Base!W53</f>
        <v>413080.0</v>
      </c>
      <c r="N59" s="7">
        <f>Base!X53</f>
        <v>1413086.0</v>
      </c>
      <c r="O59" s="7">
        <f>Base!Y53</f>
        <v>5797708.0</v>
      </c>
      <c r="P59" s="6">
        <f>IF(Base!Z53="","",Base!Z53)</f>
        <v/>
      </c>
      <c r="Q59" s="18" t="str">
        <f>Base!S53</f>
        <v>Sin PIM</v>
      </c>
      <c r="R59" s="7">
        <f>Base!N53</f>
        <v>0.0</v>
      </c>
      <c r="S59" s="7">
        <f>Base!T53</f>
        <v>0.0</v>
      </c>
    </row>
    <row r="60" spans="1:19">
      <c r="A60" s="18">
        <f>SUBTOTAL(103,$B$6:B60)</f>
        <v>50</v>
      </c>
      <c r="B60" s="18">
        <v>89</v>
      </c>
      <c r="C60" s="6" t="str">
        <f>Base!H54</f>
        <v>2131389: MEJORAMIENTO DE LA INFRAESTRUCTURA VIAL DEL CIRCUITO TURISTICO LAGO SAGRADO DE LOS INCAS - DISTRITOS CAPACHICA, CHUCUITO, PLATERIA, ACORA, ILAVE</v>
      </c>
      <c r="D60" s="7">
        <f>Base!I54</f>
        <v>0.0</v>
      </c>
      <c r="E60" s="7">
        <f>Base!J54</f>
        <v>0.0</v>
      </c>
      <c r="F60" s="7">
        <f>D60-E60</f>
        <v>0.0</v>
      </c>
      <c r="G60" s="7">
        <f>Base!L54</f>
        <v>0.0</v>
      </c>
      <c r="H60" s="7">
        <f>D60-G60</f>
        <v>0.0</v>
      </c>
      <c r="I60" s="19">
        <f>IF(D60=0,0,G60/D60)</f>
        <v>0</v>
      </c>
      <c r="J60" s="6" t="str">
        <f>Base!U54</f>
        <v>Contrata</v>
      </c>
      <c r="K60" s="6" t="str">
        <f>Base!R54</f>
        <v>Sin PIM</v>
      </c>
      <c r="L60" s="7">
        <f>Base!V54</f>
        <v>3778561.0</v>
      </c>
      <c r="M60" s="7">
        <f>Base!W54</f>
        <v>0</v>
      </c>
      <c r="N60" s="7">
        <f>Base!X54</f>
        <v>0</v>
      </c>
      <c r="O60" s="7">
        <f>Base!Y54</f>
        <v>1047863.0</v>
      </c>
      <c r="P60" s="6">
        <f>IF(Base!Z54="","",Base!Z54)</f>
        <v/>
      </c>
      <c r="Q60" s="18" t="str">
        <f>Base!S54</f>
        <v>Sin PIM</v>
      </c>
      <c r="R60" s="7">
        <f>Base!N54</f>
        <v>0.0</v>
      </c>
      <c r="S60" s="7">
        <f>Base!T54</f>
        <v>0.0</v>
      </c>
    </row>
    <row r="61" spans="1:19">
      <c r="A61" s="18">
        <f>SUBTOTAL(103,$B$6:B61)</f>
        <v>51</v>
      </c>
      <c r="B61" s="18">
        <v>97</v>
      </c>
      <c r="C61" s="6" t="str">
        <f>Base!H55</f>
        <v>2232371: MEJORAMIENTO Y CONSTRUCCION DE LA CARRETERA PICHACANI - YURACMAYO DISTRITO DE PICHACANI Y SAN ANTONIO, PROVINCIA DE PUNO - PUNO</v>
      </c>
      <c r="D61" s="7">
        <f>Base!I55</f>
        <v>0.0</v>
      </c>
      <c r="E61" s="7">
        <f>Base!J55</f>
        <v>0.0</v>
      </c>
      <c r="F61" s="7">
        <f>D61-E61</f>
        <v>0.0</v>
      </c>
      <c r="G61" s="7">
        <f>Base!L55</f>
        <v>0.0</v>
      </c>
      <c r="H61" s="7">
        <f>D61-G61</f>
        <v>0.0</v>
      </c>
      <c r="I61" s="19">
        <f>IF(D61=0,0,G61/D61)</f>
        <v>0</v>
      </c>
      <c r="J61" s="6" t="str">
        <f>Base!U55</f>
        <v>Contrata</v>
      </c>
      <c r="K61" s="6" t="str">
        <f>Base!R55</f>
        <v>Sin PIM</v>
      </c>
      <c r="L61" s="7">
        <f>Base!V55</f>
        <v>1023926.0</v>
      </c>
      <c r="M61" s="7">
        <f>Base!W55</f>
        <v>0</v>
      </c>
      <c r="N61" s="7">
        <f>Base!X55</f>
        <v>0</v>
      </c>
      <c r="O61" s="7">
        <f>Base!Y55</f>
        <v>0</v>
      </c>
      <c r="P61" s="6">
        <f>IF(Base!Z55="","",Base!Z55)</f>
        <v/>
      </c>
      <c r="Q61" s="18" t="str">
        <f>Base!S55</f>
        <v>Sin PIM</v>
      </c>
      <c r="R61" s="7">
        <f>Base!N55</f>
        <v>0.0</v>
      </c>
      <c r="S61" s="7">
        <f>Base!T55</f>
        <v>0.0</v>
      </c>
    </row>
    <row r="62" spans="1:19">
      <c r="A62" s="18">
        <f>SUBTOTAL(103,$B$6:B62)</f>
        <v>52</v>
      </c>
      <c r="B62" s="18">
        <v>108</v>
      </c>
      <c r="C62" s="6" t="str">
        <f>Base!H56</f>
        <v>2443679: MEJORAMIENTO DEL SERVICIO DE TRANSITABILIDAD VEHICULAR DE LA CARRETERA TRAMO I: EMP- 34L (COJATA) ¿ HUANCASAYA, TRAMO II: HUANCASAYA ¿ TARUCANI-EMP-PU-115 (INCHUPALLA), DEL  DISTRITO DE COJATA - PROVINCIA DE HUANCANE - DEPARTAMENTO DE PUNO</v>
      </c>
      <c r="D62" s="7">
        <f>Base!I56</f>
        <v>0.0</v>
      </c>
      <c r="E62" s="7">
        <f>Base!J56</f>
        <v>0.0</v>
      </c>
      <c r="F62" s="7">
        <f>D62-E62</f>
        <v>0.0</v>
      </c>
      <c r="G62" s="7">
        <f>Base!L56</f>
        <v>0.0</v>
      </c>
      <c r="H62" s="7">
        <f>D62-G62</f>
        <v>0.0</v>
      </c>
      <c r="I62" s="19">
        <f>IF(D62=0,0,G62/D62)</f>
        <v>0</v>
      </c>
      <c r="J62" s="6" t="str">
        <f>Base!U56</f>
        <v>Contrata</v>
      </c>
      <c r="K62" s="6" t="str">
        <f>Base!R56</f>
        <v>Sin PIM</v>
      </c>
      <c r="L62" s="7">
        <f>Base!V56</f>
        <v>800000.0</v>
      </c>
      <c r="M62" s="7">
        <f>Base!W56</f>
        <v>2345478.0</v>
      </c>
      <c r="N62" s="7">
        <f>Base!X56</f>
        <v>9005306.0</v>
      </c>
      <c r="O62" s="7">
        <f>Base!Y56</f>
        <v>19493721.0</v>
      </c>
      <c r="P62" s="6">
        <f>IF(Base!Z56="","",Base!Z56)</f>
        <v/>
      </c>
      <c r="Q62" s="18" t="str">
        <f>Base!S56</f>
        <v>Sin PIM</v>
      </c>
      <c r="R62" s="7">
        <f>Base!N56</f>
        <v>0.0</v>
      </c>
      <c r="S62" s="7">
        <f>Base!T56</f>
        <v>0.0</v>
      </c>
    </row>
    <row r="63" spans="1:19">
      <c r="A63" s="15" t="s">
        <v>242</v>
      </c>
      <c r="B63" s="15"/>
      <c r="C63" s="15"/>
      <c r="D63" s="16">
        <f>SUM(D64:D72)</f>
        <v>24086616.0</v>
      </c>
      <c r="E63" s="16">
        <f>SUM(E64:E72)</f>
        <v>20655001.35</v>
      </c>
      <c r="F63" s="16">
        <f>D63-E63</f>
        <v>3431614.6499999985</v>
      </c>
      <c r="G63" s="16">
        <f>SUM(G64:G72)</f>
        <v>5596985.37</v>
      </c>
      <c r="H63" s="16">
        <f>D63-G63</f>
        <v>18489630.63</v>
      </c>
      <c r="I63" s="17">
        <f>IF(D63=0,0,G63/D63)</f>
        <v>0.23236910365490943</v>
      </c>
      <c r="J63" s="15"/>
      <c r="K63" s="15"/>
      <c r="L63" s="15"/>
      <c r="M63" s="15"/>
      <c r="N63" s="15"/>
      <c r="O63" s="15"/>
      <c r="P63" s="15"/>
      <c r="Q63" s="15"/>
      <c r="R63" s="16">
        <f>SUM(R64:R72)</f>
        <v>7755541.800000001</v>
      </c>
      <c r="S63" s="16">
        <f>SUM(S64:S72)</f>
        <v>11116655.18</v>
      </c>
    </row>
    <row r="64" spans="1:19">
      <c r="A64" s="18">
        <f>SUBTOTAL(103,$B$6:B64)</f>
        <v>53</v>
      </c>
      <c r="B64" s="18">
        <v>217</v>
      </c>
      <c r="C64" s="6" t="str">
        <f>Base!H57</f>
        <v>2163853: MEJORAMIENTO DEL ESTADIO MUNICIPAL CESAR RAUL CARRERA DEL DISTRITO DE AZANGARO, PROVINCIA DE AZANGARO - PUNO</v>
      </c>
      <c r="D64" s="7">
        <f>Base!I57</f>
        <v>5810277.0</v>
      </c>
      <c r="E64" s="7">
        <f>Base!J57</f>
        <v>5204423.6</v>
      </c>
      <c r="F64" s="7">
        <f>D64-E64</f>
        <v>605853.4000000004</v>
      </c>
      <c r="G64" s="7">
        <f>Base!L57</f>
        <v>1157372.6</v>
      </c>
      <c r="H64" s="7">
        <f>D64-G64</f>
        <v>4652904.4</v>
      </c>
      <c r="I64" s="19">
        <f>IF(D64=0,0,G64/D64)</f>
        <v>0.19919404875189256</v>
      </c>
      <c r="J64" s="6" t="str">
        <f>Base!U57</f>
        <v>Administración directa / Contrata / Personal/bienes/servicios</v>
      </c>
      <c r="K64" s="6" t="str">
        <f>Base!R57</f>
        <v>Mayormente comprometido</v>
      </c>
      <c r="L64" s="7">
        <f>Base!V57</f>
        <v>6269000.0</v>
      </c>
      <c r="M64" s="7">
        <f>Base!W57</f>
        <v>1345765.0</v>
      </c>
      <c r="N64" s="7">
        <f>Base!X57</f>
        <v>5566267.0</v>
      </c>
      <c r="O64" s="7">
        <f>Base!Y57</f>
        <v>0</v>
      </c>
      <c r="P64" s="6">
        <f>IF(Base!Z57="","",Base!Z57)</f>
        <v/>
      </c>
      <c r="Q64" s="18" t="str">
        <f>Base!S57</f>
        <v>Difícil</v>
      </c>
      <c r="R64" s="7">
        <f>Base!N57</f>
        <v>2044173.5499999998</v>
      </c>
      <c r="S64" s="7">
        <f>Base!T57</f>
        <v>2650026.95</v>
      </c>
    </row>
    <row r="65" spans="1:19">
      <c r="A65" s="18">
        <f>SUBTOTAL(103,$B$6:B65)</f>
        <v>54</v>
      </c>
      <c r="B65" s="18">
        <v>63</v>
      </c>
      <c r="C65" s="6" t="str">
        <f>Base!H58</f>
        <v>2188542: MEJORAMIENTO DE LA CAPACIDAD DE PRESTACION DE SERVICIOS DEPORTIVOS EN EL ESTADIO GUILLERMO BRICEÑO ROSAMEDINA DE LA CIUDAD DE JULIACA, PROVINCIA DE SAN ROMAN - PUNO</v>
      </c>
      <c r="D65" s="7">
        <f>Base!I58</f>
        <v>5921783.0</v>
      </c>
      <c r="E65" s="7">
        <f>Base!J58</f>
        <v>5612635.5200000005</v>
      </c>
      <c r="F65" s="7">
        <f>D65-E65</f>
        <v>309147.4799999995</v>
      </c>
      <c r="G65" s="7">
        <f>Base!L58</f>
        <v>1271806.72</v>
      </c>
      <c r="H65" s="7">
        <f>D65-G65</f>
        <v>4649976.28</v>
      </c>
      <c r="I65" s="19">
        <f>IF(D65=0,0,G65/D65)</f>
        <v>0.21476753200851836</v>
      </c>
      <c r="J65" s="6" t="str">
        <f>Base!U58</f>
        <v>Administración directa / Equipamiento / Contrata / Laudos arbitrales / Personal/bienes/servicios</v>
      </c>
      <c r="K65" s="6" t="str">
        <f>Base!R58</f>
        <v>Parcialmente comprometido</v>
      </c>
      <c r="L65" s="7">
        <f>Base!V58</f>
        <v>1139986.0</v>
      </c>
      <c r="M65" s="7">
        <f>Base!W58</f>
        <v>500000.0</v>
      </c>
      <c r="N65" s="7">
        <f>Base!X58</f>
        <v>3220643.0</v>
      </c>
      <c r="O65" s="7">
        <f>Base!Y58</f>
        <v>0</v>
      </c>
      <c r="P65" s="6">
        <f>IF(Base!Z58="","",Base!Z58)</f>
        <v/>
      </c>
      <c r="Q65" s="18" t="str">
        <f>Base!S58</f>
        <v>Parcial</v>
      </c>
      <c r="R65" s="7">
        <f>Base!N58</f>
        <v>3349455.1500000004</v>
      </c>
      <c r="S65" s="7">
        <f>Base!T58</f>
        <v>3658602.63</v>
      </c>
    </row>
    <row r="66" spans="1:19">
      <c r="A66" s="18">
        <f>SUBTOTAL(103,$B$6:B66)</f>
        <v>55</v>
      </c>
      <c r="B66" s="18">
        <v>62</v>
      </c>
      <c r="C66" s="6" t="str">
        <f>Base!H59</f>
        <v>2186641: MEJORAMIENTO DEL SERVICIO DEPORTIVO, CULTURAL Y RECREACIONAL EN LA CAPITAL DE LA REGION PUNO</v>
      </c>
      <c r="D66" s="7">
        <f>Base!I59</f>
        <v>1180793.0</v>
      </c>
      <c r="E66" s="7">
        <f>Base!J59</f>
        <v>1110291.73</v>
      </c>
      <c r="F66" s="7">
        <f>D66-E66</f>
        <v>70501.27000000002</v>
      </c>
      <c r="G66" s="7">
        <f>Base!L59</f>
        <v>1081390.27</v>
      </c>
      <c r="H66" s="7">
        <f>D66-G66</f>
        <v>99402.72999999998</v>
      </c>
      <c r="I66" s="19">
        <f>IF(D66=0,0,G66/D66)</f>
        <v>0.9158169721534596</v>
      </c>
      <c r="J66" s="6" t="str">
        <f>Base!U59</f>
        <v>Administración directa</v>
      </c>
      <c r="K66" s="6" t="str">
        <f>Base!R59</f>
        <v>Ejecutado</v>
      </c>
      <c r="L66" s="7">
        <f>Base!V59</f>
        <v>11675669.0</v>
      </c>
      <c r="M66" s="7">
        <f>Base!W59</f>
        <v>6000000.0</v>
      </c>
      <c r="N66" s="7">
        <f>Base!X59</f>
        <v>6503691.0</v>
      </c>
      <c r="O66" s="7">
        <f>Base!Y59</f>
        <v>7526858.0</v>
      </c>
      <c r="P66" s="6">
        <f>IF(Base!Z59="","",Base!Z59)</f>
        <v/>
      </c>
      <c r="Q66" s="18" t="str">
        <f>Base!S59</f>
        <v>No usar</v>
      </c>
      <c r="R66" s="7">
        <f>Base!N59</f>
        <v>0.0</v>
      </c>
      <c r="S66" s="7">
        <f>Base!T59</f>
        <v>0.0</v>
      </c>
    </row>
    <row r="67" spans="1:19">
      <c r="A67" s="18">
        <f>SUBTOTAL(103,$B$6:B67)</f>
        <v>56</v>
      </c>
      <c r="B67" s="18">
        <v>72</v>
      </c>
      <c r="C67" s="6" t="str">
        <f>Base!H60</f>
        <v>2646100: CONSTRUCCION DE CAMPO DEPORTIVO Y SERVICIOS HIGIENICOS Y/O VESTIDORES PARA PERSONAL; REPARACION DE TRIBUNA Y/O PALCO; EN EL(LA) ESTADIO MUNICIPAL DE SAN PEDRO DE PUTINA PUNCO DISTRITO DE SAN PEDRO DE PUTINA PUNCO, PROVINCIA SANDIA, DEPARTAMENTO PUNO</v>
      </c>
      <c r="D67" s="7">
        <f>Base!I60</f>
        <v>2167000.0</v>
      </c>
      <c r="E67" s="7">
        <f>Base!J60</f>
        <v>1860545.0</v>
      </c>
      <c r="F67" s="7">
        <f>D67-E67</f>
        <v>306455.0</v>
      </c>
      <c r="G67" s="7">
        <f>Base!L60</f>
        <v>33059.94</v>
      </c>
      <c r="H67" s="7">
        <f>D67-G67</f>
        <v>2133940.06</v>
      </c>
      <c r="I67" s="19">
        <f>IF(D67=0,0,G67/D67)</f>
        <v>0.015256086755883712</v>
      </c>
      <c r="J67" s="6" t="str">
        <f>Base!U60</f>
        <v>Contrata / Personal/bienes/servicios</v>
      </c>
      <c r="K67" s="6" t="str">
        <f>Base!R60</f>
        <v>Mayormente comprometido</v>
      </c>
      <c r="L67" s="7">
        <f>Base!V60</f>
        <v>2000000.0</v>
      </c>
      <c r="M67" s="7">
        <f>Base!W60</f>
        <v>1547463.0</v>
      </c>
      <c r="N67" s="7">
        <f>Base!X60</f>
        <v>0</v>
      </c>
      <c r="O67" s="7">
        <f>Base!Y60</f>
        <v>0</v>
      </c>
      <c r="P67" s="6">
        <f>IF(Base!Z60="","",Base!Z60)</f>
        <v/>
      </c>
      <c r="Q67" s="18" t="str">
        <f>Base!S60</f>
        <v>Difícil</v>
      </c>
      <c r="R67" s="7">
        <f>Base!N60</f>
        <v>4210.199999999953</v>
      </c>
      <c r="S67" s="7">
        <f>Base!T60</f>
        <v>310665.19999999995</v>
      </c>
    </row>
    <row r="68" spans="1:19">
      <c r="A68" s="18">
        <f>SUBTOTAL(103,$B$6:B68)</f>
        <v>57</v>
      </c>
      <c r="B68" s="18">
        <v>67</v>
      </c>
      <c r="C68" s="6" t="str">
        <f>Base!H61</f>
        <v>2645380: CONSTRUCCION DE TRIBUNA Y/O PALCO, CAMPO DEPORTIVO Y PISTA DE ATLETISMO (DEPORTE RECREATIVO); REPARACION DE SERVICIOS HIGIENICOS Y/O VESTIDORES; ADEMÁS DE OTROS ACTIVOS EN EL(LA) ESTADIO MUNICIPAL FERNANDO ROMERO CARREÓN  DISTRITO DE LAMPA, PROVINCIA LAMPA, DEPARTAMENTO PUNO</v>
      </c>
      <c r="D68" s="7">
        <f>Base!I61</f>
        <v>2575916.0</v>
      </c>
      <c r="E68" s="7">
        <f>Base!J61</f>
        <v>2503779.0</v>
      </c>
      <c r="F68" s="7">
        <f>D68-E68</f>
        <v>72137.0</v>
      </c>
      <c r="G68" s="7">
        <f>Base!L61</f>
        <v>23527.19</v>
      </c>
      <c r="H68" s="7">
        <f>D68-G68</f>
        <v>2552388.81</v>
      </c>
      <c r="I68" s="19">
        <f>IF(D68=0,0,G68/D68)</f>
        <v>0.00913352376397367</v>
      </c>
      <c r="J68" s="6" t="str">
        <f>Base!U61</f>
        <v>Contrata / Personal/bienes/servicios</v>
      </c>
      <c r="K68" s="6" t="str">
        <f>Base!R61</f>
        <v>Mayormente comprometido</v>
      </c>
      <c r="L68" s="7">
        <f>Base!V61</f>
        <v>2575916.0</v>
      </c>
      <c r="M68" s="7">
        <f>Base!W61</f>
        <v>2345678.0</v>
      </c>
      <c r="N68" s="7">
        <f>Base!X61</f>
        <v>1558799.0</v>
      </c>
      <c r="O68" s="7">
        <f>Base!Y61</f>
        <v>0</v>
      </c>
      <c r="P68" s="6">
        <f>IF(Base!Z61="","",Base!Z61)</f>
        <v/>
      </c>
      <c r="Q68" s="18" t="str">
        <f>Base!S61</f>
        <v>Difícil</v>
      </c>
      <c r="R68" s="7">
        <f>Base!N61</f>
        <v>392219.0</v>
      </c>
      <c r="S68" s="7">
        <f>Base!T61</f>
        <v>464356.0</v>
      </c>
    </row>
    <row r="69" spans="1:19">
      <c r="A69" s="18">
        <f>SUBTOTAL(103,$B$6:B69)</f>
        <v>58</v>
      </c>
      <c r="B69" s="18">
        <v>71</v>
      </c>
      <c r="C69" s="6" t="str">
        <f>Base!H62</f>
        <v>2646096: CONSTRUCCION DE TRIBUNA Y/O PALCO; REPARACION DE TRIBUNA Y/O PALCO Y CAMPO DEPORTIVO; EN EL(LA) ESTADIO JOSE CARLOS MARIATEGUI  DISTRITO DE YUNGUYO, PROVINCIA YUNGUYO, DEPARTAMENTO PUNO</v>
      </c>
      <c r="D69" s="7">
        <f>Base!I62</f>
        <v>2054253.0</v>
      </c>
      <c r="E69" s="7">
        <f>Base!J62</f>
        <v>1854253.0</v>
      </c>
      <c r="F69" s="7">
        <f>D69-E69</f>
        <v>200000.0</v>
      </c>
      <c r="G69" s="7">
        <f>Base!L62</f>
        <v>0.0</v>
      </c>
      <c r="H69" s="7">
        <f>D69-G69</f>
        <v>2054253.0</v>
      </c>
      <c r="I69" s="19">
        <f>IF(D69=0,0,G69/D69)</f>
        <v>0.0</v>
      </c>
      <c r="J69" s="6" t="str">
        <f>Base!U62</f>
        <v>Contrata</v>
      </c>
      <c r="K69" s="6" t="str">
        <f>Base!R62</f>
        <v>Solo certificado</v>
      </c>
      <c r="L69" s="7">
        <f>Base!V62</f>
        <v>2054253.0</v>
      </c>
      <c r="M69" s="7">
        <f>Base!W62</f>
        <v>2546789.0</v>
      </c>
      <c r="N69" s="7">
        <f>Base!X62</f>
        <v>0</v>
      </c>
      <c r="O69" s="7">
        <f>Base!Y62</f>
        <v>0</v>
      </c>
      <c r="P69" s="6">
        <f>IF(Base!Z62="","",Base!Z62)</f>
        <v/>
      </c>
      <c r="Q69" s="18" t="str">
        <f>Base!S62</f>
        <v>Posible</v>
      </c>
      <c r="R69" s="7">
        <f>Base!N62</f>
        <v>1854253.0</v>
      </c>
      <c r="S69" s="7">
        <f>Base!T62</f>
        <v>2054253.0</v>
      </c>
    </row>
    <row r="70" spans="1:19">
      <c r="A70" s="18">
        <f>SUBTOTAL(103,$B$6:B70)</f>
        <v>59</v>
      </c>
      <c r="B70" s="18">
        <v>65</v>
      </c>
      <c r="C70" s="6" t="str">
        <f>Base!H63</f>
        <v>2645340: REPARACION DE TRIBUNA Y/O PALCO Y SERVICIOS HIGIENICOS Y/O VESTIDORES; CONSTRUCCION DE CAMPO DEPORTIVO; EN EL(LA) ESTADIO MUNICIPAL CRUCERO  DISTRITO DE CRUCERO, PROVINCIA CARABAYA, DEPARTAMENTO PUNO</v>
      </c>
      <c r="D70" s="7">
        <f>Base!I63</f>
        <v>2038388.0</v>
      </c>
      <c r="E70" s="7">
        <f>Base!J63</f>
        <v>2031210.5</v>
      </c>
      <c r="F70" s="7">
        <f>D70-E70</f>
        <v>7177.5</v>
      </c>
      <c r="G70" s="7">
        <f>Base!L63</f>
        <v>1711781.1199999999</v>
      </c>
      <c r="H70" s="7">
        <f>D70-G70</f>
        <v>326606.8800000001</v>
      </c>
      <c r="I70" s="19">
        <f>IF(D70=0,0,G70/D70)</f>
        <v>0.8397719766796115</v>
      </c>
      <c r="J70" s="6" t="str">
        <f>Base!U63</f>
        <v>Contrata / Personal/bienes/servicios</v>
      </c>
      <c r="K70" s="6" t="str">
        <f>Base!R63</f>
        <v>Mayormente comprometido</v>
      </c>
      <c r="L70" s="7">
        <f>Base!V63</f>
        <v>2028388.0</v>
      </c>
      <c r="M70" s="7">
        <f>Base!W63</f>
        <v>2258011.0</v>
      </c>
      <c r="N70" s="7">
        <f>Base!X63</f>
        <v>0</v>
      </c>
      <c r="O70" s="7">
        <f>Base!Y63</f>
        <v>0</v>
      </c>
      <c r="P70" s="6">
        <f>IF(Base!Z63="","",Base!Z63)</f>
        <v/>
      </c>
      <c r="Q70" s="18" t="str">
        <f>Base!S63</f>
        <v>Difícil</v>
      </c>
      <c r="R70" s="7">
        <f>Base!N63</f>
        <v>0.1299999998882413</v>
      </c>
      <c r="S70" s="7">
        <f>Base!T63</f>
        <v>7177.629999999888</v>
      </c>
    </row>
    <row r="71" spans="1:19">
      <c r="A71" s="18">
        <f>SUBTOTAL(103,$B$6:B71)</f>
        <v>60</v>
      </c>
      <c r="B71" s="18">
        <v>252</v>
      </c>
      <c r="C71" s="6" t="str">
        <f>Base!H64</f>
        <v>2555837: REPARACION DE CAMPO DEPORTIVO; ADQUISICION DE EQUIPO NO DEPORTIVO PARA INSTALACIONES DEPORTIVAS; EN EL(LA) ESTADIO ENRIQUE TORRES BELON  DISTRITO DE PUNO, PROVINCIA PUNO, DEPARTAMENTO PUNO</v>
      </c>
      <c r="D71" s="7">
        <f>Base!I64</f>
        <v>2047936.0</v>
      </c>
      <c r="E71" s="7">
        <f>Base!J64</f>
        <v>377863.0</v>
      </c>
      <c r="F71" s="7">
        <f>D71-E71</f>
        <v>1670073.0</v>
      </c>
      <c r="G71" s="7">
        <f>Base!L64</f>
        <v>318047.52999999997</v>
      </c>
      <c r="H71" s="7">
        <f>D71-G71</f>
        <v>1729888.47</v>
      </c>
      <c r="I71" s="19">
        <f>IF(D71=0,0,G71/D71)</f>
        <v>0.1553014986796462</v>
      </c>
      <c r="J71" s="6" t="str">
        <f>Base!U64</f>
        <v>Contrata / Personal/bienes/servicios</v>
      </c>
      <c r="K71" s="6" t="str">
        <f>Base!R64</f>
        <v>Parcialmente comprometido</v>
      </c>
      <c r="L71" s="7">
        <f>Base!V64</f>
        <v>327863.0</v>
      </c>
      <c r="M71" s="7">
        <f>Base!W64</f>
        <v>1876545.0</v>
      </c>
      <c r="N71" s="7">
        <f>Base!X64</f>
        <v>0</v>
      </c>
      <c r="O71" s="7">
        <f>Base!Y64</f>
        <v>0</v>
      </c>
      <c r="P71" s="6">
        <f>IF(Base!Z64="","",Base!Z64)</f>
        <v/>
      </c>
      <c r="Q71" s="18" t="str">
        <f>Base!S64</f>
        <v>Parcial</v>
      </c>
      <c r="R71" s="7">
        <f>Base!N64</f>
        <v>11230.770000000019</v>
      </c>
      <c r="S71" s="7">
        <f>Base!T64</f>
        <v>1681303.77</v>
      </c>
    </row>
    <row r="72" spans="1:19">
      <c r="A72" s="18">
        <f>SUBTOTAL(103,$B$6:B72)</f>
        <v>61</v>
      </c>
      <c r="B72" s="18">
        <v>260</v>
      </c>
      <c r="C72" s="6" t="str">
        <f>Base!H65</f>
        <v>2593683: REPARACION DE PISTA DE ATLETISMO (COMPETENCIA); ADQUISICION DE TORRE DE ILUMINACION; EN EL(LA) ESTADIO ENRIQUE TORRES BELON DEL  DISTRITO DE PUNO, PROVINCIA PUNO, DEPARTAMENTO PUNO</v>
      </c>
      <c r="D72" s="7">
        <f>Base!I65</f>
        <v>290270.0</v>
      </c>
      <c r="E72" s="7">
        <f>Base!J65</f>
        <v>100000.0</v>
      </c>
      <c r="F72" s="7">
        <f>D72-E72</f>
        <v>190270.0</v>
      </c>
      <c r="G72" s="7">
        <f>Base!L65</f>
        <v>0.0</v>
      </c>
      <c r="H72" s="7">
        <f>D72-G72</f>
        <v>290270.0</v>
      </c>
      <c r="I72" s="19">
        <f>IF(D72=0,0,G72/D72)</f>
        <v>0.0</v>
      </c>
      <c r="J72" s="6" t="str">
        <f>Base!U65</f>
        <v>Contrata</v>
      </c>
      <c r="K72" s="6" t="str">
        <f>Base!R65</f>
        <v>Solo certificado</v>
      </c>
      <c r="L72" s="7">
        <f>Base!V65</f>
        <v>100000.0</v>
      </c>
      <c r="M72" s="7">
        <f>Base!W65</f>
        <v>2089685.0</v>
      </c>
      <c r="N72" s="7">
        <f>Base!X65</f>
        <v>3000000.0</v>
      </c>
      <c r="O72" s="7">
        <f>Base!Y65</f>
        <v>11639950.0</v>
      </c>
      <c r="P72" s="6">
        <f>IF(Base!Z65="","",Base!Z65)</f>
        <v/>
      </c>
      <c r="Q72" s="18" t="str">
        <f>Base!S65</f>
        <v>Posible</v>
      </c>
      <c r="R72" s="7">
        <f>Base!N65</f>
        <v>100000.0</v>
      </c>
      <c r="S72" s="7">
        <f>Base!T65</f>
        <v>290270.0</v>
      </c>
    </row>
    <row r="73" spans="1:19">
      <c r="A73" s="15" t="s">
        <v>271</v>
      </c>
      <c r="B73" s="15"/>
      <c r="C73" s="15"/>
      <c r="D73" s="16">
        <f>SUM(D74:D74)</f>
        <v>7609099.0</v>
      </c>
      <c r="E73" s="16">
        <f>SUM(E74:E74)</f>
        <v>7595390.88</v>
      </c>
      <c r="F73" s="16">
        <f>D73-E73</f>
        <v>13708.120000000112</v>
      </c>
      <c r="G73" s="16">
        <f>SUM(G74:G74)</f>
        <v>7570246.390000001</v>
      </c>
      <c r="H73" s="16">
        <f>D73-G73</f>
        <v>38852.609999999404</v>
      </c>
      <c r="I73" s="17">
        <f>IF(D73=0,0,G73/D73)</f>
        <v>0.9948939276516182</v>
      </c>
      <c r="J73" s="15"/>
      <c r="K73" s="15"/>
      <c r="L73" s="15"/>
      <c r="M73" s="15"/>
      <c r="N73" s="15"/>
      <c r="O73" s="15"/>
      <c r="P73" s="15"/>
      <c r="Q73" s="15"/>
      <c r="R73" s="16">
        <f>SUM(R74:R74)</f>
        <v>0.0</v>
      </c>
      <c r="S73" s="16">
        <f>SUM(S74:S74)</f>
        <v>0.0</v>
      </c>
    </row>
    <row r="74" spans="1:19">
      <c r="A74" s="18">
        <f>SUBTOTAL(103,$B$6:B74)</f>
        <v>62</v>
      </c>
      <c r="B74" s="18">
        <v>259</v>
      </c>
      <c r="C74" s="6" t="str">
        <f>Base!H66</f>
        <v>2592407: MEJORAMIENTO DE LOS SERVICIOS OPERATIVOS O MISIONALES INSTITUCIONALES EN LA OFICINA DE EQUIPO MECANICO DEL GOBIERNO REGIONAL PUNO   DISTRITO DE PUNO DE LA PROVINCIA DE PUNO DEL DEPARTAMENTO DE PUNO</v>
      </c>
      <c r="D74" s="7">
        <f>Base!I66</f>
        <v>7609099.0</v>
      </c>
      <c r="E74" s="7">
        <f>Base!J66</f>
        <v>7595390.88</v>
      </c>
      <c r="F74" s="7">
        <f>D74-E74</f>
        <v>13708.120000000112</v>
      </c>
      <c r="G74" s="7">
        <f>Base!L66</f>
        <v>7570246.390000001</v>
      </c>
      <c r="H74" s="7">
        <f>D74-G74</f>
        <v>38852.609999999404</v>
      </c>
      <c r="I74" s="19">
        <f>IF(D74=0,0,G74/D74)</f>
        <v>0.9948939276516182</v>
      </c>
      <c r="J74" s="6" t="str">
        <f>Base!U66</f>
        <v>Equipamiento / Contrata / Personal/bienes/servicios</v>
      </c>
      <c r="K74" s="6" t="str">
        <f>Base!R66</f>
        <v>Ejecutado</v>
      </c>
      <c r="L74" s="7">
        <f>Base!V66</f>
        <v>6185000.0</v>
      </c>
      <c r="M74" s="7">
        <f>Base!W66</f>
        <v>1000000.0</v>
      </c>
      <c r="N74" s="7">
        <f>Base!X66</f>
        <v>0</v>
      </c>
      <c r="O74" s="7">
        <f>Base!Y66</f>
        <v>1000000.0</v>
      </c>
      <c r="P74" s="6">
        <f>IF(Base!Z66="","",Base!Z66)</f>
        <v/>
      </c>
      <c r="Q74" s="18" t="str">
        <f>Base!S66</f>
        <v>No usar</v>
      </c>
      <c r="R74" s="7">
        <f>Base!N66</f>
        <v>0.0</v>
      </c>
      <c r="S74" s="7">
        <f>Base!T66</f>
        <v>0.0</v>
      </c>
    </row>
    <row r="75" spans="1:19">
      <c r="A75" s="15" t="s">
        <v>277</v>
      </c>
      <c r="B75" s="15"/>
      <c r="C75" s="15"/>
      <c r="D75" s="16">
        <f>SUM(D76:D77)</f>
        <v>232742.0</v>
      </c>
      <c r="E75" s="16">
        <f>SUM(E76:E77)</f>
        <v>99007.59</v>
      </c>
      <c r="F75" s="16">
        <f>D75-E75</f>
        <v>133734.41</v>
      </c>
      <c r="G75" s="16">
        <f>SUM(G76:G77)</f>
        <v>96198.77</v>
      </c>
      <c r="H75" s="16">
        <f>D75-G75</f>
        <v>136543.22999999998</v>
      </c>
      <c r="I75" s="17">
        <f>IF(D75=0,0,G75/D75)</f>
        <v>0.41332793393543066</v>
      </c>
      <c r="J75" s="15"/>
      <c r="K75" s="15"/>
      <c r="L75" s="15"/>
      <c r="M75" s="15"/>
      <c r="N75" s="15"/>
      <c r="O75" s="15"/>
      <c r="P75" s="15"/>
      <c r="Q75" s="15"/>
      <c r="R75" s="16">
        <f>SUM(R76:R77)</f>
        <v>2340.0</v>
      </c>
      <c r="S75" s="16">
        <f>SUM(S76:S77)</f>
        <v>133512.0</v>
      </c>
    </row>
    <row r="76" spans="1:19">
      <c r="A76" s="18">
        <f>SUBTOTAL(103,$B$6:B76)</f>
        <v>63</v>
      </c>
      <c r="B76" s="18">
        <v>456</v>
      </c>
      <c r="C76" s="6" t="str">
        <f>Base!H67</f>
        <v>2230752: MEJORAMIENTO DE LOS SERVICIOS ASISTENCIALES DE LA ALDEA INFANTIL VIRGEN DE LA CANDELARIA EN EL BARRIO LA RINCONADA DEL CENTRO POBLADO DE SALCEDO, DISTRITO DE PUNO, PROVINCIA DE PUNO, REGION DE PUNO</v>
      </c>
      <c r="D76" s="7">
        <f>Base!I67</f>
        <v>99230.0</v>
      </c>
      <c r="E76" s="7">
        <f>Base!J67</f>
        <v>99007.59</v>
      </c>
      <c r="F76" s="7">
        <f>D76-E76</f>
        <v>222.4100000000035</v>
      </c>
      <c r="G76" s="7">
        <f>Base!L67</f>
        <v>96198.77</v>
      </c>
      <c r="H76" s="7">
        <f>D76-G76</f>
        <v>3031.229999999996</v>
      </c>
      <c r="I76" s="19">
        <f>IF(D76=0,0,G76/D76)</f>
        <v>0.969452484127784</v>
      </c>
      <c r="J76" s="6" t="str">
        <f>Base!U67</f>
        <v>Administración directa / Contrata / Personal/bienes/servicios</v>
      </c>
      <c r="K76" s="6" t="str">
        <f>Base!R67</f>
        <v>Ejecutado</v>
      </c>
      <c r="L76" s="7">
        <f>Base!V67</f>
        <v>99230.0</v>
      </c>
      <c r="M76" s="7">
        <f>Base!W67</f>
        <v>0</v>
      </c>
      <c r="N76" s="7">
        <f>Base!X67</f>
        <v>0</v>
      </c>
      <c r="O76" s="7">
        <f>Base!Y67</f>
        <v>0</v>
      </c>
      <c r="P76" s="6">
        <f>IF(Base!Z67="","",Base!Z67)</f>
        <v/>
      </c>
      <c r="Q76" s="18" t="str">
        <f>Base!S67</f>
        <v>No usar</v>
      </c>
      <c r="R76" s="7">
        <f>Base!N67</f>
        <v>2340.0</v>
      </c>
      <c r="S76" s="7">
        <f>Base!T67</f>
        <v>0.0</v>
      </c>
    </row>
    <row r="77" spans="1:19">
      <c r="A77" s="18">
        <f>SUBTOTAL(103,$B$6:B77)</f>
        <v>64</v>
      </c>
      <c r="B77" s="18">
        <v>458</v>
      </c>
      <c r="C77" s="6" t="str">
        <f>Base!H68</f>
        <v>2194989: MEJORAMIENTO DE LOS SERVICIOS EDUCATIVOS EN LA INSTITUCION EDUCATIVA SECUNDARIA DANTE NAVA DEL CENTRO POBLADO SANTA CRUZ DE PUNA AYLLU, DISTRITO DE PATAMBUCO, PROVINCIA DE SANDIA, REGION PUNO</v>
      </c>
      <c r="D77" s="7">
        <f>Base!I68</f>
        <v>133512.0</v>
      </c>
      <c r="E77" s="7">
        <f>Base!J68</f>
        <v>0.0</v>
      </c>
      <c r="F77" s="7">
        <f>D77-E77</f>
        <v>133512.0</v>
      </c>
      <c r="G77" s="7">
        <f>Base!L68</f>
        <v>0.0</v>
      </c>
      <c r="H77" s="7">
        <f>D77-G77</f>
        <v>133512.0</v>
      </c>
      <c r="I77" s="19">
        <f>IF(D77=0,0,G77/D77)</f>
        <v>0.0</v>
      </c>
      <c r="J77" s="6" t="str">
        <f>Base!U68</f>
        <v>Administración directa</v>
      </c>
      <c r="K77" s="6" t="str">
        <f>Base!R68</f>
        <v>Sin certificar</v>
      </c>
      <c r="L77" s="7" t="str">
        <f>Base!V68</f>
        <v>No registrado en cartera</v>
      </c>
      <c r="M77" s="7" t="str">
        <f>Base!W68</f>
        <v>No registrado en cartera</v>
      </c>
      <c r="N77" s="7" t="str">
        <f>Base!X68</f>
        <v>No registrado en cartera</v>
      </c>
      <c r="O77" s="7" t="str">
        <f>Base!Y68</f>
        <v>No registrado en cartera</v>
      </c>
      <c r="P77" s="6">
        <f>IF(Base!Z68="","",Base!Z68)</f>
        <v/>
      </c>
      <c r="Q77" s="18" t="str">
        <f>Base!S68</f>
        <v>Disponible</v>
      </c>
      <c r="R77" s="7">
        <f>Base!N68</f>
        <v>0.0</v>
      </c>
      <c r="S77" s="7">
        <f>Base!T68</f>
        <v>133512.0</v>
      </c>
    </row>
    <row r="78" spans="1:19">
      <c r="A78" s="8" t="s">
        <v>1560</v>
      </c>
      <c r="B78" s="8"/>
      <c r="C78" s="8"/>
      <c r="D78" s="9">
        <f>D79+D86+D107+D118</f>
        <v>267396323.0</v>
      </c>
      <c r="E78" s="9">
        <f>E79+E86+E107+E118</f>
        <v>248945789.16</v>
      </c>
      <c r="F78" s="9">
        <f>D78-E78</f>
        <v>18450533.840000004</v>
      </c>
      <c r="G78" s="9">
        <f>G79+G86+G107+G118</f>
        <v>159104211.27</v>
      </c>
      <c r="H78" s="9">
        <f>D78-G78</f>
        <v>108292111.72999999</v>
      </c>
      <c r="I78" s="14">
        <f>IF(D78=0,0,G78/D78)</f>
        <v>0.5950127117866165</v>
      </c>
      <c r="J78" s="8"/>
      <c r="K78" s="8"/>
      <c r="L78" s="8"/>
      <c r="M78" s="8"/>
      <c r="N78" s="8"/>
      <c r="O78" s="8"/>
      <c r="P78" s="8"/>
      <c r="Q78" s="8"/>
      <c r="R78" s="9">
        <f>R79+R86+R107+R118</f>
        <v>42470206.23</v>
      </c>
      <c r="S78" s="9">
        <f>S79+S86+S107+S118</f>
        <v>60587269.660000004</v>
      </c>
    </row>
    <row r="79" spans="1:19">
      <c r="A79" s="15" t="s">
        <v>58</v>
      </c>
      <c r="B79" s="15"/>
      <c r="C79" s="15"/>
      <c r="D79" s="16">
        <f>SUM(D80:D85)</f>
        <v>32634907.0</v>
      </c>
      <c r="E79" s="16">
        <f>SUM(E80:E85)</f>
        <v>31001163.52</v>
      </c>
      <c r="F79" s="16">
        <f>D79-E79</f>
        <v>1633743.4800000004</v>
      </c>
      <c r="G79" s="16">
        <f>SUM(G80:G85)</f>
        <v>13051953.639999999</v>
      </c>
      <c r="H79" s="16">
        <f>D79-G79</f>
        <v>19582953.36</v>
      </c>
      <c r="I79" s="17">
        <f>IF(D79=0,0,G79/D79)</f>
        <v>0.3999384352466516</v>
      </c>
      <c r="J79" s="15"/>
      <c r="K79" s="15"/>
      <c r="L79" s="15"/>
      <c r="M79" s="15"/>
      <c r="N79" s="15"/>
      <c r="O79" s="15"/>
      <c r="P79" s="15"/>
      <c r="Q79" s="15"/>
      <c r="R79" s="16">
        <f>SUM(R80:R85)</f>
        <v>12178686.929999998</v>
      </c>
      <c r="S79" s="16">
        <f>SUM(S80:S85)</f>
        <v>13812430.409999996</v>
      </c>
    </row>
    <row r="80" spans="1:19">
      <c r="A80" s="18">
        <f>SUBTOTAL(103,$B$6:B80)</f>
        <v>65</v>
      </c>
      <c r="B80" s="18">
        <v>242</v>
      </c>
      <c r="C80" s="6" t="str">
        <f>Base!H69</f>
        <v>2504553: MEJORAMIENTO DEL SERVICIO DE SALUD EN EL CENTRO DE SALUD YANAPATA DE LA MICRO RED COPANI, RED DE SALUD YUNGUYO,  DISTRITO DE YUNGUYO - PROVINCIA DE YUNGUYO - DEPARTAMENTO DE PUNO</v>
      </c>
      <c r="D80" s="7">
        <f>Base!I69</f>
        <v>8256172.0</v>
      </c>
      <c r="E80" s="7">
        <f>Base!J69</f>
        <v>7527846.91</v>
      </c>
      <c r="F80" s="7">
        <f>D80-E80</f>
        <v>728325.0899999999</v>
      </c>
      <c r="G80" s="7">
        <f>Base!L69</f>
        <v>4485721.8100000005</v>
      </c>
      <c r="H80" s="7">
        <f>D80-G80</f>
        <v>3770450.1899999995</v>
      </c>
      <c r="I80" s="19">
        <f>IF(D80=0,0,G80/D80)</f>
        <v>0.5433173884943289</v>
      </c>
      <c r="J80" s="6" t="str">
        <f>Base!U69</f>
        <v>Administración directa / Equipamiento / Contrata / Personal/bienes/servicios</v>
      </c>
      <c r="K80" s="6" t="str">
        <f>Base!R69</f>
        <v>Mayormente comprometido</v>
      </c>
      <c r="L80" s="7">
        <f>Base!V69</f>
        <v>9468125.0</v>
      </c>
      <c r="M80" s="7">
        <f>Base!W69</f>
        <v>933429.0</v>
      </c>
      <c r="N80" s="7">
        <f>Base!X69</f>
        <v>6042788.0</v>
      </c>
      <c r="O80" s="7">
        <f>Base!Y69</f>
        <v>2500000.0</v>
      </c>
      <c r="P80" s="6">
        <f>IF(Base!Z69="","",Base!Z69)</f>
        <v/>
      </c>
      <c r="Q80" s="18" t="str">
        <f>Base!S69</f>
        <v>Difícil</v>
      </c>
      <c r="R80" s="7">
        <f>Base!N69</f>
        <v>1800668.539999999</v>
      </c>
      <c r="S80" s="7">
        <f>Base!T69</f>
        <v>2528993.629999999</v>
      </c>
    </row>
    <row r="81" spans="1:19">
      <c r="A81" s="18">
        <f>SUBTOTAL(103,$B$6:B81)</f>
        <v>66</v>
      </c>
      <c r="B81" s="18">
        <v>237</v>
      </c>
      <c r="C81" s="6" t="str">
        <f>Base!H70</f>
        <v>2470517: MEJORAMIENTO DE LOS SERVICIOS DE SALUD DEL CENTRO DE SALUD COPANI DE LA MICRO RED COPANI, RED DE SALUD YUNGUYO,  DISTRITO DE COPANI - PROVINCIA DE YUNGUYO - DEPARTAMENTO DE PUNO</v>
      </c>
      <c r="D81" s="7">
        <f>Base!I70</f>
        <v>7374992.0</v>
      </c>
      <c r="E81" s="7">
        <f>Base!J70</f>
        <v>7374802.0</v>
      </c>
      <c r="F81" s="7">
        <f>D81-E81</f>
        <v>190.0</v>
      </c>
      <c r="G81" s="7">
        <f>Base!L70</f>
        <v>0.0</v>
      </c>
      <c r="H81" s="7">
        <f>D81-G81</f>
        <v>7374992.0</v>
      </c>
      <c r="I81" s="19">
        <f>IF(D81=0,0,G81/D81)</f>
        <v>0.0</v>
      </c>
      <c r="J81" s="6" t="str">
        <f>Base!U70</f>
        <v>Contrata</v>
      </c>
      <c r="K81" s="6" t="str">
        <f>Base!R70</f>
        <v>Solo certificado</v>
      </c>
      <c r="L81" s="7">
        <f>Base!V70</f>
        <v>8000000.0</v>
      </c>
      <c r="M81" s="7">
        <f>Base!W70</f>
        <v>8258658.0</v>
      </c>
      <c r="N81" s="7">
        <f>Base!X70</f>
        <v>10741348.0</v>
      </c>
      <c r="O81" s="7">
        <f>Base!Y70</f>
        <v>1075057.0</v>
      </c>
      <c r="P81" s="6">
        <f>IF(Base!Z70="","",Base!Z70)</f>
        <v/>
      </c>
      <c r="Q81" s="18" t="str">
        <f>Base!S70</f>
        <v>Posible</v>
      </c>
      <c r="R81" s="7">
        <f>Base!N70</f>
        <v>7374802.0</v>
      </c>
      <c r="S81" s="7">
        <f>Base!T70</f>
        <v>7374992.0</v>
      </c>
    </row>
    <row r="82" spans="1:19">
      <c r="A82" s="18">
        <f>SUBTOTAL(103,$B$6:B82)</f>
        <v>67</v>
      </c>
      <c r="B82" s="18">
        <v>228</v>
      </c>
      <c r="C82" s="6" t="str">
        <f>Base!H71</f>
        <v>2357092: MEJORAMIENTO DE LOS SERVICIOS DE SALUD DEL CENTRO DE SALUD COJATA,  DISTRITO DE COJATA - PROVINCIA DE HUANCANE - DEPARTAMENTO DE PUNO</v>
      </c>
      <c r="D82" s="7">
        <f>Base!I71</f>
        <v>6997430.0</v>
      </c>
      <c r="E82" s="7">
        <f>Base!J71</f>
        <v>6787158.8100000005</v>
      </c>
      <c r="F82" s="7">
        <f>D82-E82</f>
        <v>210271.18999999948</v>
      </c>
      <c r="G82" s="7">
        <f>Base!L71</f>
        <v>2630352.4200000004</v>
      </c>
      <c r="H82" s="7">
        <f>D82-G82</f>
        <v>4367077.58</v>
      </c>
      <c r="I82" s="19">
        <f>IF(D82=0,0,G82/D82)</f>
        <v>0.375902641398342</v>
      </c>
      <c r="J82" s="6" t="str">
        <f>Base!U71</f>
        <v>Administración directa / Contrata / Personal/bienes/servicios / Equipamiento</v>
      </c>
      <c r="K82" s="6" t="str">
        <f>Base!R71</f>
        <v>Mayormente comprometido</v>
      </c>
      <c r="L82" s="7">
        <f>Base!V71</f>
        <v>8000000.0</v>
      </c>
      <c r="M82" s="7">
        <f>Base!W71</f>
        <v>10256256.0</v>
      </c>
      <c r="N82" s="7">
        <f>Base!X71</f>
        <v>15069544.0</v>
      </c>
      <c r="O82" s="7">
        <f>Base!Y71</f>
        <v>4478827.0</v>
      </c>
      <c r="P82" s="6">
        <f>IF(Base!Z71="","",Base!Z71)</f>
        <v/>
      </c>
      <c r="Q82" s="18" t="str">
        <f>Base!S71</f>
        <v>Difícil</v>
      </c>
      <c r="R82" s="7">
        <f>Base!N71</f>
        <v>1421093.7299999995</v>
      </c>
      <c r="S82" s="7">
        <f>Base!T71</f>
        <v>1631364.919999999</v>
      </c>
    </row>
    <row r="83" spans="1:19">
      <c r="A83" s="18">
        <f>SUBTOTAL(103,$B$6:B83)</f>
        <v>68</v>
      </c>
      <c r="B83" s="18">
        <v>241</v>
      </c>
      <c r="C83" s="6" t="str">
        <f>Base!H72</f>
        <v>2494039: MEJORAMIENTO Y AMPLIACION DE LOS SERVICIOS DE SALUD EN EL ESTABLECIMIENTO DE SALUD UMACHIRI CATEGORÍA I-2 DEL  DISTRITO DE UMACHIRI - PROVINCIA DE MELGAR - DEPARTAMENTO DE PUNO</v>
      </c>
      <c r="D83" s="7">
        <f>Base!I72</f>
        <v>6688287.0</v>
      </c>
      <c r="E83" s="7">
        <f>Base!J72</f>
        <v>6156914.2299999995</v>
      </c>
      <c r="F83" s="7">
        <f>D83-E83</f>
        <v>531372.7700000005</v>
      </c>
      <c r="G83" s="7">
        <f>Base!L72</f>
        <v>3692512.6999999997</v>
      </c>
      <c r="H83" s="7">
        <f>D83-G83</f>
        <v>2995774.3000000003</v>
      </c>
      <c r="I83" s="19">
        <f>IF(D83=0,0,G83/D83)</f>
        <v>0.5520864610026454</v>
      </c>
      <c r="J83" s="6" t="str">
        <f>Base!U72</f>
        <v>Administración directa / Equipamiento / Contrata / Personal/bienes/servicios</v>
      </c>
      <c r="K83" s="6" t="str">
        <f>Base!R72</f>
        <v>Mayormente comprometido</v>
      </c>
      <c r="L83" s="7">
        <f>Base!V72</f>
        <v>2822702.0</v>
      </c>
      <c r="M83" s="7">
        <f>Base!W72</f>
        <v>65844.0</v>
      </c>
      <c r="N83" s="7">
        <f>Base!X72</f>
        <v>0</v>
      </c>
      <c r="O83" s="7">
        <f>Base!Y72</f>
        <v>0</v>
      </c>
      <c r="P83" s="6">
        <f>IF(Base!Z72="","",Base!Z72)</f>
        <v/>
      </c>
      <c r="Q83" s="18" t="str">
        <f>Base!S72</f>
        <v>Difícil</v>
      </c>
      <c r="R83" s="7">
        <f>Base!N72</f>
        <v>1255808.4899999993</v>
      </c>
      <c r="S83" s="7">
        <f>Base!T72</f>
        <v>1787181.2599999998</v>
      </c>
    </row>
    <row r="84" spans="1:19">
      <c r="A84" s="18">
        <f>SUBTOTAL(103,$B$6:B84)</f>
        <v>69</v>
      </c>
      <c r="B84" s="18">
        <v>221</v>
      </c>
      <c r="C84" s="6" t="str">
        <f>Base!H73</f>
        <v>2290342: MEJORAMIENTO DE LA CAPACIDAD RESOLUTIVA DE LOS SERVICIOS DEL PUESTO DE SALUD I - 1 DEL CENTRO POBLADO DE CARI CARI DEL DISTRITO DE MAÑAZO - PROVINCIA DE PUNO - DEPARTAMENTO DE PUNO</v>
      </c>
      <c r="D84" s="7">
        <f>Base!I73</f>
        <v>3318026.0</v>
      </c>
      <c r="E84" s="7">
        <f>Base!J73</f>
        <v>3154441.5700000003</v>
      </c>
      <c r="F84" s="7">
        <f>D84-E84</f>
        <v>163584.4299999997</v>
      </c>
      <c r="G84" s="7">
        <f>Base!L73</f>
        <v>2243366.7099999995</v>
      </c>
      <c r="H84" s="7">
        <f>D84-G84</f>
        <v>1074659.2900000005</v>
      </c>
      <c r="I84" s="19">
        <f>IF(D84=0,0,G84/D84)</f>
        <v>0.6761148676954308</v>
      </c>
      <c r="J84" s="6" t="str">
        <f>Base!U73</f>
        <v>Administración directa / Equipamiento / Contrata / Expediente técnico / Personal/bienes/servicios</v>
      </c>
      <c r="K84" s="6" t="str">
        <f>Base!R73</f>
        <v>Mayormente comprometido</v>
      </c>
      <c r="L84" s="7">
        <f>Base!V73</f>
        <v>821892.0</v>
      </c>
      <c r="M84" s="7">
        <f>Base!W73</f>
        <v>47336.0</v>
      </c>
      <c r="N84" s="7">
        <f>Base!X73</f>
        <v>0</v>
      </c>
      <c r="O84" s="7">
        <f>Base!Y73</f>
        <v>0</v>
      </c>
      <c r="P84" s="6">
        <f>IF(Base!Z73="","",Base!Z73)</f>
        <v/>
      </c>
      <c r="Q84" s="18" t="str">
        <f>Base!S73</f>
        <v>Difícil</v>
      </c>
      <c r="R84" s="7">
        <f>Base!N73</f>
        <v>326314.1699999999</v>
      </c>
      <c r="S84" s="7">
        <f>Base!T73</f>
        <v>489898.5999999996</v>
      </c>
    </row>
    <row r="85" spans="1:19">
      <c r="A85" s="18">
        <f>SUBTOTAL(103,$B$6:B85)</f>
        <v>70</v>
      </c>
      <c r="B85" s="18">
        <v>235</v>
      </c>
      <c r="C85" s="6" t="str">
        <f>Base!H74</f>
        <v>2451529: MEJORAMIENTO DEL SERVICIO DE SALUD EN EL CENTRO DE SALUD PILCUYO DE LA MICRORED PILCUYO, RED DE SALUD EL COLLAO , DEL DISTRITO DE PILCUYO - PROVINCIA DE EL COLLAO - DEPARTAMENTO DE PUNO</v>
      </c>
      <c r="D85" s="7">
        <f>Base!I74</f>
        <v>0.0</v>
      </c>
      <c r="E85" s="7">
        <f>Base!J74</f>
        <v>0.0</v>
      </c>
      <c r="F85" s="7">
        <f>D85-E85</f>
        <v>0.0</v>
      </c>
      <c r="G85" s="7">
        <f>Base!L74</f>
        <v>0.0</v>
      </c>
      <c r="H85" s="7">
        <f>D85-G85</f>
        <v>0.0</v>
      </c>
      <c r="I85" s="19">
        <f>IF(D85=0,0,G85/D85)</f>
        <v>0</v>
      </c>
      <c r="J85" s="6" t="str">
        <f>Base!U74</f>
        <v>Contrata</v>
      </c>
      <c r="K85" s="6" t="str">
        <f>Base!R74</f>
        <v>Sin PIM</v>
      </c>
      <c r="L85" s="7">
        <f>Base!V74</f>
        <v>12571000.0</v>
      </c>
      <c r="M85" s="7">
        <f>Base!W74</f>
        <v>5987564.0</v>
      </c>
      <c r="N85" s="7">
        <f>Base!X74</f>
        <v>16094501.0</v>
      </c>
      <c r="O85" s="7">
        <f>Base!Y74</f>
        <v>22576094.0</v>
      </c>
      <c r="P85" s="6">
        <f>IF(Base!Z74="","",Base!Z74)</f>
        <v/>
      </c>
      <c r="Q85" s="18" t="str">
        <f>Base!S74</f>
        <v>Sin PIM</v>
      </c>
      <c r="R85" s="7">
        <f>Base!N74</f>
        <v>0.0</v>
      </c>
      <c r="S85" s="7">
        <f>Base!T74</f>
        <v>0.0</v>
      </c>
    </row>
    <row r="86" spans="1:19">
      <c r="A86" s="15" t="s">
        <v>71</v>
      </c>
      <c r="B86" s="15"/>
      <c r="C86" s="15"/>
      <c r="D86" s="16">
        <f>SUM(D87:D106)</f>
        <v>160639248.0</v>
      </c>
      <c r="E86" s="16">
        <f>SUM(E87:E106)</f>
        <v>150095951.71</v>
      </c>
      <c r="F86" s="16">
        <f>D86-E86</f>
        <v>10543296.289999992</v>
      </c>
      <c r="G86" s="16">
        <f>SUM(G87:G106)</f>
        <v>104648494.13000001</v>
      </c>
      <c r="H86" s="16">
        <f>D86-G86</f>
        <v>55990753.86999999</v>
      </c>
      <c r="I86" s="17">
        <f>IF(D86=0,0,G86/D86)</f>
        <v>0.6514503487342023</v>
      </c>
      <c r="J86" s="15"/>
      <c r="K86" s="15"/>
      <c r="L86" s="15"/>
      <c r="M86" s="15"/>
      <c r="N86" s="15"/>
      <c r="O86" s="15"/>
      <c r="P86" s="15"/>
      <c r="Q86" s="15"/>
      <c r="R86" s="16">
        <f>SUM(R87:R106)</f>
        <v>17011196.97</v>
      </c>
      <c r="S86" s="16">
        <f>SUM(S87:S106)</f>
        <v>27337013.790000007</v>
      </c>
    </row>
    <row r="87" spans="1:19">
      <c r="A87" s="18">
        <f>SUBTOTAL(103,$B$6:B87)</f>
        <v>71</v>
      </c>
      <c r="B87" s="18">
        <v>35</v>
      </c>
      <c r="C87" s="6" t="str">
        <f>Base!H75</f>
        <v>2411336: MEJORAMIENTO SERVICIO INTEGRAL DE LA INSTITUCION EDUCATIVA SECUNDARIA INDUSTRIAL PERU BIRF  DISTRITO DE SAN MIGUEL - PROVINCIA DE SAN ROMAN - DEPARTAMENTO DE PUNO</v>
      </c>
      <c r="D87" s="7">
        <f>Base!I75</f>
        <v>21914154.0</v>
      </c>
      <c r="E87" s="7">
        <f>Base!J75</f>
        <v>21776068.059999995</v>
      </c>
      <c r="F87" s="7">
        <f>D87-E87</f>
        <v>138085.94000000507</v>
      </c>
      <c r="G87" s="7">
        <f>Base!L75</f>
        <v>15564867.44</v>
      </c>
      <c r="H87" s="7">
        <f>D87-G87</f>
        <v>6349286.5600000005</v>
      </c>
      <c r="I87" s="19">
        <f>IF(D87=0,0,G87/D87)</f>
        <v>0.7102654950768348</v>
      </c>
      <c r="J87" s="6" t="str">
        <f>Base!U75</f>
        <v>Administración directa / Equipamiento / Contrata / Personal/bienes/servicios / Laudos arbitrales</v>
      </c>
      <c r="K87" s="6" t="str">
        <f>Base!R75</f>
        <v>Mayormente comprometido</v>
      </c>
      <c r="L87" s="7">
        <f>Base!V75</f>
        <v>11955231.0</v>
      </c>
      <c r="M87" s="7">
        <f>Base!W75</f>
        <v>2500000.0</v>
      </c>
      <c r="N87" s="7">
        <f>Base!X75</f>
        <v>3884089.0</v>
      </c>
      <c r="O87" s="7">
        <f>Base!Y75</f>
        <v>0</v>
      </c>
      <c r="P87" s="6">
        <f>IF(Base!Z75="","",Base!Z75)</f>
        <v/>
      </c>
      <c r="Q87" s="18" t="str">
        <f>Base!S75</f>
        <v>Difícil</v>
      </c>
      <c r="R87" s="7">
        <f>Base!N75</f>
        <v>1248743.919999998</v>
      </c>
      <c r="S87" s="7">
        <f>Base!T75</f>
        <v>1386829.8600000031</v>
      </c>
    </row>
    <row r="88" spans="1:19">
      <c r="A88" s="18">
        <f>SUBTOTAL(103,$B$6:B88)</f>
        <v>72</v>
      </c>
      <c r="B88" s="18">
        <v>25</v>
      </c>
      <c r="C88" s="6" t="str">
        <f>Base!H76</f>
        <v>2284935: MEJORAMIENTO DEL SERVICIO EDUCATIVO EN LA IES POLITÉCNICO REGIONAL LOS ANDES, DISTRITO DE JULIACA, PROVINCIA DE SAN ROMÁN - PUNO</v>
      </c>
      <c r="D88" s="7">
        <f>Base!I76</f>
        <v>22276780.0</v>
      </c>
      <c r="E88" s="7">
        <f>Base!J76</f>
        <v>17912911.21</v>
      </c>
      <c r="F88" s="7">
        <f>D88-E88</f>
        <v>4363868.789999999</v>
      </c>
      <c r="G88" s="7">
        <f>Base!L76</f>
        <v>15417466.049999997</v>
      </c>
      <c r="H88" s="7">
        <f>D88-G88</f>
        <v>6859313.950000003</v>
      </c>
      <c r="I88" s="19">
        <f>IF(D88=0,0,G88/D88)</f>
        <v>0.6920868298739763</v>
      </c>
      <c r="J88" s="6" t="str">
        <f>Base!U76</f>
        <v>Administración directa / Contrata / Personal/bienes/servicios / Equipamiento</v>
      </c>
      <c r="K88" s="6" t="str">
        <f>Base!R76</f>
        <v>Mayormente comprometido</v>
      </c>
      <c r="L88" s="7">
        <f>Base!V76</f>
        <v>15800000.0</v>
      </c>
      <c r="M88" s="7">
        <f>Base!W76</f>
        <v>14789542.0</v>
      </c>
      <c r="N88" s="7">
        <f>Base!X76</f>
        <v>15918407.0</v>
      </c>
      <c r="O88" s="7">
        <f>Base!Y76</f>
        <v>10295229.0</v>
      </c>
      <c r="P88" s="6">
        <f>IF(Base!Z76="","",Base!Z76)</f>
        <v/>
      </c>
      <c r="Q88" s="18" t="str">
        <f>Base!S76</f>
        <v>Difícil</v>
      </c>
      <c r="R88" s="7">
        <f>Base!N76</f>
        <v>195132.4900000021</v>
      </c>
      <c r="S88" s="7">
        <f>Base!T76</f>
        <v>4559001.280000001</v>
      </c>
    </row>
    <row r="89" spans="1:19">
      <c r="A89" s="18">
        <f>SUBTOTAL(103,$B$6:B89)</f>
        <v>73</v>
      </c>
      <c r="B89" s="18">
        <v>229</v>
      </c>
      <c r="C89" s="6" t="str">
        <f>Base!H77</f>
        <v>2357330: MEJORAMIENTO DE LOS SERVICIOS DE EDUCACIÓN SUPERIOR TECNOLÓGICA DEL IESTP HUANCANÉ DEL  DISTRITO DE HUANCANE - PROVINCIA DE HUANCANE - DEPARTAMENTO DE PUNO</v>
      </c>
      <c r="D89" s="7">
        <f>Base!I77</f>
        <v>17354707.0</v>
      </c>
      <c r="E89" s="7">
        <f>Base!J77</f>
        <v>17083718.419999994</v>
      </c>
      <c r="F89" s="7">
        <f>D89-E89</f>
        <v>270988.58000000566</v>
      </c>
      <c r="G89" s="7">
        <f>Base!L77</f>
        <v>8610007.65</v>
      </c>
      <c r="H89" s="7">
        <f>D89-G89</f>
        <v>8744699.35</v>
      </c>
      <c r="I89" s="19">
        <f>IF(D89=0,0,G89/D89)</f>
        <v>0.49611944759424637</v>
      </c>
      <c r="J89" s="6" t="str">
        <f>Base!U77</f>
        <v>Administración directa / Equipamiento / Contrata / Personal/bienes/servicios</v>
      </c>
      <c r="K89" s="6" t="str">
        <f>Base!R77</f>
        <v>Mayormente comprometido</v>
      </c>
      <c r="L89" s="7">
        <f>Base!V77</f>
        <v>12500000.0</v>
      </c>
      <c r="M89" s="7">
        <f>Base!W77</f>
        <v>4806839.0</v>
      </c>
      <c r="N89" s="7">
        <f>Base!X77</f>
        <v>753613.0</v>
      </c>
      <c r="O89" s="7">
        <f>Base!Y77</f>
        <v>0</v>
      </c>
      <c r="P89" s="6">
        <f>IF(Base!Z77="","",Base!Z77)</f>
        <v/>
      </c>
      <c r="Q89" s="18" t="str">
        <f>Base!S77</f>
        <v>Difícil</v>
      </c>
      <c r="R89" s="7">
        <f>Base!N77</f>
        <v>3707733.6999999974</v>
      </c>
      <c r="S89" s="7">
        <f>Base!T77</f>
        <v>3978722.280000003</v>
      </c>
    </row>
    <row r="90" spans="1:19">
      <c r="A90" s="18">
        <f>SUBTOTAL(103,$B$6:B90)</f>
        <v>74</v>
      </c>
      <c r="B90" s="18">
        <v>30</v>
      </c>
      <c r="C90" s="6" t="str">
        <f>Base!H78</f>
        <v>2357322: MEJORAMIENTO SERVICIO EDUCATIVO EN LA IES. 32 MARIANO H. CORNEJO DE LA LOCALIDAD DE JULIACA - DISTRITO DE JULIACA - PROVINCIA DE SAN ROMAN - REGIÓN PUNO</v>
      </c>
      <c r="D90" s="7">
        <f>Base!I78</f>
        <v>19795501.0</v>
      </c>
      <c r="E90" s="7">
        <f>Base!J78</f>
        <v>19793411.72</v>
      </c>
      <c r="F90" s="7">
        <f>D90-E90</f>
        <v>2089.280000001192</v>
      </c>
      <c r="G90" s="7">
        <f>Base!L78</f>
        <v>14545766.239999996</v>
      </c>
      <c r="H90" s="7">
        <f>D90-G90</f>
        <v>5249734.7600000035</v>
      </c>
      <c r="I90" s="19">
        <f>IF(D90=0,0,G90/D90)</f>
        <v>0.7348016218432661</v>
      </c>
      <c r="J90" s="6" t="str">
        <f>Base!U78</f>
        <v>Administración directa / Equipamiento / Contrata / Personal/bienes/servicios</v>
      </c>
      <c r="K90" s="6" t="str">
        <f>Base!R78</f>
        <v>Mayormente comprometido</v>
      </c>
      <c r="L90" s="7">
        <f>Base!V78</f>
        <v>9609000.0</v>
      </c>
      <c r="M90" s="7">
        <f>Base!W78</f>
        <v>897867.0</v>
      </c>
      <c r="N90" s="7">
        <f>Base!X78</f>
        <v>6124874.0</v>
      </c>
      <c r="O90" s="7">
        <f>Base!Y78</f>
        <v>0</v>
      </c>
      <c r="P90" s="6">
        <f>IF(Base!Z78="","",Base!Z78)</f>
        <v/>
      </c>
      <c r="Q90" s="18" t="str">
        <f>Base!S78</f>
        <v>Difícil</v>
      </c>
      <c r="R90" s="7">
        <f>Base!N78</f>
        <v>1659216.9799999967</v>
      </c>
      <c r="S90" s="7">
        <f>Base!T78</f>
        <v>1661306.259999998</v>
      </c>
    </row>
    <row r="91" spans="1:19">
      <c r="A91" s="18">
        <f>SUBTOTAL(103,$B$6:B91)</f>
        <v>75</v>
      </c>
      <c r="B91" s="18">
        <v>33</v>
      </c>
      <c r="C91" s="6" t="str">
        <f>Base!H79</f>
        <v>2385673: MEJORAMIENTO DEL SERVICIO EDUCATIVO DE LA I.E.S. LAS MERCEDES DE LA CIUDAD DE JULIACA - DISTRITO DE JULIACA - PROVINCIA DE SAN ROMAN - DEPARTAMENTO DE PUNO</v>
      </c>
      <c r="D91" s="7">
        <f>Base!I79</f>
        <v>17241964.0</v>
      </c>
      <c r="E91" s="7">
        <f>Base!J79</f>
        <v>17144704.560000002</v>
      </c>
      <c r="F91" s="7">
        <f>D91-E91</f>
        <v>97259.43999999762</v>
      </c>
      <c r="G91" s="7">
        <f>Base!L79</f>
        <v>11639796.34</v>
      </c>
      <c r="H91" s="7">
        <f>D91-G91</f>
        <v>5602167.66</v>
      </c>
      <c r="I91" s="19">
        <f>IF(D91=0,0,G91/D91)</f>
        <v>0.6750852942275022</v>
      </c>
      <c r="J91" s="6" t="str">
        <f>Base!U79</f>
        <v>Administración directa / Contrata / Personal/bienes/servicios / Equipamiento</v>
      </c>
      <c r="K91" s="6" t="str">
        <f>Base!R79</f>
        <v>Mayormente comprometido</v>
      </c>
      <c r="L91" s="7">
        <f>Base!V79</f>
        <v>8016014.0</v>
      </c>
      <c r="M91" s="7">
        <f>Base!W79</f>
        <v>10000000.0</v>
      </c>
      <c r="N91" s="7">
        <f>Base!X79</f>
        <v>1057112.0</v>
      </c>
      <c r="O91" s="7">
        <f>Base!Y79</f>
        <v>2541629.0</v>
      </c>
      <c r="P91" s="6">
        <f>IF(Base!Z79="","",Base!Z79)</f>
        <v/>
      </c>
      <c r="Q91" s="18" t="str">
        <f>Base!S79</f>
        <v>Difícil</v>
      </c>
      <c r="R91" s="7">
        <f>Base!N79</f>
        <v>2244212.1800000016</v>
      </c>
      <c r="S91" s="7">
        <f>Base!T79</f>
        <v>2341471.619999999</v>
      </c>
    </row>
    <row r="92" spans="1:19">
      <c r="A92" s="18">
        <f>SUBTOTAL(103,$B$6:B92)</f>
        <v>76</v>
      </c>
      <c r="B92" s="18">
        <v>161</v>
      </c>
      <c r="C92" s="6" t="str">
        <f>Base!H80</f>
        <v>2585543: MEJORAMIENTO Y AMPLIACION DEL SERVICIO DE EDUCACIÓN SUPERIOR TECNOLÓGICA  EN EL INSTITUTO DE EDUCACIÓN SUPERIOR TECNOLÓGICO PUBLICO ACORA DEL   DISTRITO DE ACORA DE LA PROVINCIA DE PUNO DEL DEPARTAMENTO DE PUNO</v>
      </c>
      <c r="D92" s="7">
        <f>Base!I80</f>
        <v>15380884.0</v>
      </c>
      <c r="E92" s="7">
        <f>Base!J80</f>
        <v>14270657.160000002</v>
      </c>
      <c r="F92" s="7">
        <f>D92-E92</f>
        <v>1110226.839999998</v>
      </c>
      <c r="G92" s="7">
        <f>Base!L80</f>
        <v>9463521.460000003</v>
      </c>
      <c r="H92" s="7">
        <f>D92-G92</f>
        <v>5917362.539999997</v>
      </c>
      <c r="I92" s="19">
        <f>IF(D92=0,0,G92/D92)</f>
        <v>0.6152781244563058</v>
      </c>
      <c r="J92" s="6" t="str">
        <f>Base!U80</f>
        <v>Administración directa / Equipamiento / Contrata / Personal/bienes/servicios</v>
      </c>
      <c r="K92" s="6" t="str">
        <f>Base!R80</f>
        <v>Mayormente comprometido</v>
      </c>
      <c r="L92" s="7">
        <f>Base!V80</f>
        <v>6000000.0</v>
      </c>
      <c r="M92" s="7">
        <f>Base!W80</f>
        <v>3456765.0</v>
      </c>
      <c r="N92" s="7">
        <f>Base!X80</f>
        <v>1108030.0</v>
      </c>
      <c r="O92" s="7">
        <f>Base!Y80</f>
        <v>0</v>
      </c>
      <c r="P92" s="6">
        <f>IF(Base!Z80="","",Base!Z80)</f>
        <v/>
      </c>
      <c r="Q92" s="18" t="str">
        <f>Base!S80</f>
        <v>Difícil</v>
      </c>
      <c r="R92" s="7">
        <f>Base!N80</f>
        <v>3007700.4499999993</v>
      </c>
      <c r="S92" s="7">
        <f>Base!T80</f>
        <v>4117927.2899999972</v>
      </c>
    </row>
    <row r="93" spans="1:19">
      <c r="A93" s="18">
        <f>SUBTOTAL(103,$B$6:B93)</f>
        <v>77</v>
      </c>
      <c r="B93" s="18">
        <v>247</v>
      </c>
      <c r="C93" s="6" t="str">
        <f>Base!H81</f>
        <v>2535611: MEJORAMIENTO Y AMPLIACION DEL SERVICIO DE EDUCACION SUPERIOR TECNOLOGICO PUBLICO EN EL INSTITUTO  "ANDRES AVELINO CACERES"  DISTRITO DE PUTINA - PROVINCIA DE SAN ANTONIO DE PUTINA - DEPARTAMENTO DE PUNO</v>
      </c>
      <c r="D93" s="7">
        <f>Base!I81</f>
        <v>9666000.0</v>
      </c>
      <c r="E93" s="7">
        <f>Base!J81</f>
        <v>9191703.83</v>
      </c>
      <c r="F93" s="7">
        <f>D93-E93</f>
        <v>474296.1699999999</v>
      </c>
      <c r="G93" s="7">
        <f>Base!L81</f>
        <v>5594991.060000001</v>
      </c>
      <c r="H93" s="7">
        <f>D93-G93</f>
        <v>4071008.9399999985</v>
      </c>
      <c r="I93" s="19">
        <f>IF(D93=0,0,G93/D93)</f>
        <v>0.5788320980757296</v>
      </c>
      <c r="J93" s="6" t="str">
        <f>Base!U81</f>
        <v>Administración directa / Contrata / Personal/bienes/servicios</v>
      </c>
      <c r="K93" s="6" t="str">
        <f>Base!R81</f>
        <v>Mayormente comprometido</v>
      </c>
      <c r="L93" s="7">
        <f>Base!V81</f>
        <v>7546000.0</v>
      </c>
      <c r="M93" s="7">
        <f>Base!W81</f>
        <v>1410563.0</v>
      </c>
      <c r="N93" s="7">
        <f>Base!X81</f>
        <v>1509243.0</v>
      </c>
      <c r="O93" s="7">
        <f>Base!Y81</f>
        <v>0</v>
      </c>
      <c r="P93" s="6">
        <f>IF(Base!Z81="","",Base!Z81)</f>
        <v/>
      </c>
      <c r="Q93" s="18" t="str">
        <f>Base!S81</f>
        <v>Difícil</v>
      </c>
      <c r="R93" s="7">
        <f>Base!N81</f>
        <v>2370407.1499999994</v>
      </c>
      <c r="S93" s="7">
        <f>Base!T81</f>
        <v>2844703.3199999994</v>
      </c>
    </row>
    <row r="94" spans="1:19">
      <c r="A94" s="18">
        <f>SUBTOTAL(103,$B$6:B94)</f>
        <v>78</v>
      </c>
      <c r="B94" s="18">
        <v>39</v>
      </c>
      <c r="C94" s="6" t="str">
        <f>Base!H82</f>
        <v>2538950: MEJORAMIENTO DEL SERVICIO EDUCATIVO DEL NIVEL PRIMARIO DE LA I.E. 71008 EN EL DISTRITO DE LAMPA - PROVINCIA DE LAMPA - DEPARTAMENTO DE PUNO</v>
      </c>
      <c r="D94" s="7">
        <f>Base!I82</f>
        <v>6765264.0</v>
      </c>
      <c r="E94" s="7">
        <f>Base!J82</f>
        <v>6659441.19</v>
      </c>
      <c r="F94" s="7">
        <f>D94-E94</f>
        <v>105822.80999999959</v>
      </c>
      <c r="G94" s="7">
        <f>Base!L82</f>
        <v>4177875.529999999</v>
      </c>
      <c r="H94" s="7">
        <f>D94-G94</f>
        <v>2587388.470000001</v>
      </c>
      <c r="I94" s="19">
        <f>IF(D94=0,0,G94/D94)</f>
        <v>0.6175480409929308</v>
      </c>
      <c r="J94" s="6" t="str">
        <f>Base!U82</f>
        <v>Administración directa / Equipamiento / Contrata / Personal/bienes/servicios</v>
      </c>
      <c r="K94" s="6" t="str">
        <f>Base!R82</f>
        <v>Mayormente comprometido</v>
      </c>
      <c r="L94" s="7" t="str">
        <f>Base!V82</f>
        <v>No registrado en cartera</v>
      </c>
      <c r="M94" s="7" t="str">
        <f>Base!W82</f>
        <v>No registrado en cartera</v>
      </c>
      <c r="N94" s="7" t="str">
        <f>Base!X82</f>
        <v>No registrado en cartera</v>
      </c>
      <c r="O94" s="7" t="str">
        <f>Base!Y82</f>
        <v>No registrado en cartera</v>
      </c>
      <c r="P94" s="6">
        <f>IF(Base!Z82="","",Base!Z82)</f>
        <v/>
      </c>
      <c r="Q94" s="18" t="str">
        <f>Base!S82</f>
        <v>Difícil</v>
      </c>
      <c r="R94" s="7">
        <f>Base!N82</f>
        <v>1300971.4000000004</v>
      </c>
      <c r="S94" s="7">
        <f>Base!T82</f>
        <v>1406794.21</v>
      </c>
    </row>
    <row r="95" spans="1:19">
      <c r="A95" s="18">
        <f>SUBTOTAL(103,$B$6:B95)</f>
        <v>79</v>
      </c>
      <c r="B95" s="18">
        <v>26</v>
      </c>
      <c r="C95" s="6" t="str">
        <f>Base!H83</f>
        <v>2289661: MEJORAMIENTO DE LOS SERVICIOS EDUCATIVOS EN LA I.E.S. DOS DE MAYO DE CARACOTO, DISTRITO DE CARACOTO - SAN ROMAN - PUNO</v>
      </c>
      <c r="D95" s="7">
        <f>Base!I83</f>
        <v>4291327.0</v>
      </c>
      <c r="E95" s="7">
        <f>Base!J83</f>
        <v>4093667.05</v>
      </c>
      <c r="F95" s="7">
        <f>D95-E95</f>
        <v>197659.9500000002</v>
      </c>
      <c r="G95" s="7">
        <f>Base!L83</f>
        <v>3891386.790000001</v>
      </c>
      <c r="H95" s="7">
        <f>D95-G95</f>
        <v>399940.20999999903</v>
      </c>
      <c r="I95" s="19">
        <f>IF(D95=0,0,G95/D95)</f>
        <v>0.9068026719940011</v>
      </c>
      <c r="J95" s="6" t="str">
        <f>Base!U83</f>
        <v>Administración directa / Contrata / Equipamiento / Personal/bienes/servicios</v>
      </c>
      <c r="K95" s="6" t="str">
        <f>Base!R83</f>
        <v>Ejecutado</v>
      </c>
      <c r="L95" s="7" t="str">
        <f>Base!V83</f>
        <v>No registrado en cartera</v>
      </c>
      <c r="M95" s="7" t="str">
        <f>Base!W83</f>
        <v>No registrado en cartera</v>
      </c>
      <c r="N95" s="7" t="str">
        <f>Base!X83</f>
        <v>No registrado en cartera</v>
      </c>
      <c r="O95" s="7" t="str">
        <f>Base!Y83</f>
        <v>No registrado en cartera</v>
      </c>
      <c r="P95" s="6">
        <f>IF(Base!Z83="","",Base!Z83)</f>
        <v/>
      </c>
      <c r="Q95" s="18" t="str">
        <f>Base!S83</f>
        <v>No usar</v>
      </c>
      <c r="R95" s="7">
        <f>Base!N83</f>
        <v>741.3799999998882</v>
      </c>
      <c r="S95" s="7">
        <f>Base!T83</f>
        <v>0.0</v>
      </c>
    </row>
    <row r="96" spans="1:19">
      <c r="A96" s="18">
        <f>SUBTOTAL(103,$B$6:B96)</f>
        <v>80</v>
      </c>
      <c r="B96" s="18">
        <v>41</v>
      </c>
      <c r="C96" s="6" t="str">
        <f>Base!H84</f>
        <v>2590087: MEJORAMIENTO DEL SERVICIO DE EDUCACION SECUNDARIA EN I.E. JOSE MARIA ARGUEDAS DISTRITO DE LLALLI DE LA PROVINCIA DE MELGAR DEL DEPARTAMENTO DE PUNO</v>
      </c>
      <c r="D96" s="7">
        <f>Base!I84</f>
        <v>5799805.0</v>
      </c>
      <c r="E96" s="7">
        <f>Base!J84</f>
        <v>5459070.300000001</v>
      </c>
      <c r="F96" s="7">
        <f>D96-E96</f>
        <v>340734.69999999925</v>
      </c>
      <c r="G96" s="7">
        <f>Base!L84</f>
        <v>3888315.880000001</v>
      </c>
      <c r="H96" s="7">
        <f>D96-G96</f>
        <v>1911489.1199999992</v>
      </c>
      <c r="I96" s="19">
        <f>IF(D96=0,0,G96/D96)</f>
        <v>0.670421829699447</v>
      </c>
      <c r="J96" s="6" t="str">
        <f>Base!U84</f>
        <v>Administración directa / Contrata / Equipamiento / Personal/bienes/servicios</v>
      </c>
      <c r="K96" s="6" t="str">
        <f>Base!R84</f>
        <v>Mayormente comprometido</v>
      </c>
      <c r="L96" s="7" t="str">
        <f>Base!V84</f>
        <v>No registrado en cartera</v>
      </c>
      <c r="M96" s="7" t="str">
        <f>Base!W84</f>
        <v>No registrado en cartera</v>
      </c>
      <c r="N96" s="7" t="str">
        <f>Base!X84</f>
        <v>No registrado en cartera</v>
      </c>
      <c r="O96" s="7" t="str">
        <f>Base!Y84</f>
        <v>No registrado en cartera</v>
      </c>
      <c r="P96" s="6">
        <f>IF(Base!Z84="","",Base!Z84)</f>
        <v/>
      </c>
      <c r="Q96" s="18" t="str">
        <f>Base!S84</f>
        <v>Difícil</v>
      </c>
      <c r="R96" s="7">
        <f>Base!N84</f>
        <v>454923.03000000026</v>
      </c>
      <c r="S96" s="7">
        <f>Base!T84</f>
        <v>795657.7299999995</v>
      </c>
    </row>
    <row r="97" spans="1:19">
      <c r="A97" s="18">
        <f>SUBTOTAL(103,$B$6:B97)</f>
        <v>81</v>
      </c>
      <c r="B97" s="18">
        <v>36</v>
      </c>
      <c r="C97" s="6" t="str">
        <f>Base!H85</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7" s="7">
        <f>Base!I85</f>
        <v>4802506.0</v>
      </c>
      <c r="E97" s="7">
        <f>Base!J85</f>
        <v>4376181.619999999</v>
      </c>
      <c r="F97" s="7">
        <f>D97-E97</f>
        <v>426324.3800000008</v>
      </c>
      <c r="G97" s="7">
        <f>Base!L85</f>
        <v>3250907.8200000003</v>
      </c>
      <c r="H97" s="7">
        <f>D97-G97</f>
        <v>1551598.1799999997</v>
      </c>
      <c r="I97" s="19">
        <f>IF(D97=0,0,G97/D97)</f>
        <v>0.6769190543437115</v>
      </c>
      <c r="J97" s="6" t="str">
        <f>Base!U85</f>
        <v>Administración directa / Contrata / Equipamiento / Personal/bienes/servicios</v>
      </c>
      <c r="K97" s="6" t="str">
        <f>Base!R85</f>
        <v>Mayormente comprometido</v>
      </c>
      <c r="L97" s="7">
        <f>Base!V85</f>
        <v>3770000.0</v>
      </c>
      <c r="M97" s="7">
        <f>Base!W85</f>
        <v>876556.0</v>
      </c>
      <c r="N97" s="7">
        <f>Base!X85</f>
        <v>4649244.0</v>
      </c>
      <c r="O97" s="7">
        <f>Base!Y85</f>
        <v>7795363.0</v>
      </c>
      <c r="P97" s="6">
        <f>IF(Base!Z85="","",Base!Z85)</f>
        <v/>
      </c>
      <c r="Q97" s="18" t="str">
        <f>Base!S85</f>
        <v>Difícil</v>
      </c>
      <c r="R97" s="7">
        <f>Base!N85</f>
        <v>284022.99999999953</v>
      </c>
      <c r="S97" s="7">
        <f>Base!T85</f>
        <v>710347.3800000004</v>
      </c>
    </row>
    <row r="98" spans="1:19">
      <c r="A98" s="18">
        <f>SUBTOTAL(103,$B$6:B98)</f>
        <v>82</v>
      </c>
      <c r="B98" s="18">
        <v>311</v>
      </c>
      <c r="C98" s="6" t="str">
        <f>Base!H86</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8" s="7">
        <f>Base!I86</f>
        <v>4992699.0</v>
      </c>
      <c r="E98" s="7">
        <f>Base!J86</f>
        <v>4276945.21</v>
      </c>
      <c r="F98" s="7">
        <f>D98-E98</f>
        <v>715753.79</v>
      </c>
      <c r="G98" s="7">
        <f>Base!L86</f>
        <v>3252598.5900000003</v>
      </c>
      <c r="H98" s="7">
        <f>D98-G98</f>
        <v>1740100.4099999997</v>
      </c>
      <c r="I98" s="19">
        <f>IF(D98=0,0,G98/D98)</f>
        <v>0.6514709959482837</v>
      </c>
      <c r="J98" s="6" t="str">
        <f>Base!U86</f>
        <v>Administración directa / Contrata / Equipamiento / Personal/bienes/servicios</v>
      </c>
      <c r="K98" s="6" t="str">
        <f>Base!R86</f>
        <v>Mayormente comprometido</v>
      </c>
      <c r="L98" s="7">
        <f>Base!V86</f>
        <v>3770000.0</v>
      </c>
      <c r="M98" s="7">
        <f>Base!W86</f>
        <v>876556.0</v>
      </c>
      <c r="N98" s="7">
        <f>Base!X86</f>
        <v>4649244.0</v>
      </c>
      <c r="O98" s="7">
        <f>Base!Y86</f>
        <v>7795363.0</v>
      </c>
      <c r="P98" s="6">
        <f>IF(Base!Z86="","",Base!Z86)</f>
        <v/>
      </c>
      <c r="Q98" s="18" t="str">
        <f>Base!S86</f>
        <v>Difícil</v>
      </c>
      <c r="R98" s="7">
        <f>Base!N86</f>
        <v>158173.25</v>
      </c>
      <c r="S98" s="7">
        <f>Base!T86</f>
        <v>873927.04</v>
      </c>
    </row>
    <row r="99" spans="1:19">
      <c r="A99" s="18">
        <f>SUBTOTAL(103,$B$6:B99)</f>
        <v>83</v>
      </c>
      <c r="B99" s="18">
        <v>306</v>
      </c>
      <c r="C99" s="6" t="str">
        <f>Base!H87</f>
        <v>2606991: MEJORAMIENTO DEL SERVICIO DE EDUCACION INICIAL EN I.E. 69 DISTRITO DE ANTAUTA DE LA PROVINCIA DE MELGAR DEL DEPARTAMENTO DE PUNO</v>
      </c>
      <c r="D99" s="7">
        <f>Base!I87</f>
        <v>3853164.0</v>
      </c>
      <c r="E99" s="7">
        <f>Base!J87</f>
        <v>3701445.63</v>
      </c>
      <c r="F99" s="7">
        <f>D99-E99</f>
        <v>151718.3700000001</v>
      </c>
      <c r="G99" s="7">
        <f>Base!L87</f>
        <v>3036070.0499999993</v>
      </c>
      <c r="H99" s="7">
        <f>D99-G99</f>
        <v>817093.9500000007</v>
      </c>
      <c r="I99" s="19">
        <f>IF(D99=0,0,G99/D99)</f>
        <v>0.7879420782504973</v>
      </c>
      <c r="J99" s="6" t="str">
        <f>Base!U87</f>
        <v>Administración directa / Contrata / Equipamiento / Personal/bienes/servicios</v>
      </c>
      <c r="K99" s="6" t="str">
        <f>Base!R87</f>
        <v>Mayormente comprometido</v>
      </c>
      <c r="L99" s="7" t="str">
        <f>Base!V87</f>
        <v>No registrado en cartera</v>
      </c>
      <c r="M99" s="7" t="str">
        <f>Base!W87</f>
        <v>No registrado en cartera</v>
      </c>
      <c r="N99" s="7" t="str">
        <f>Base!X87</f>
        <v>No registrado en cartera</v>
      </c>
      <c r="O99" s="7" t="str">
        <f>Base!Y87</f>
        <v>No registrado en cartera</v>
      </c>
      <c r="P99" s="6">
        <f>IF(Base!Z87="","",Base!Z87)</f>
        <v/>
      </c>
      <c r="Q99" s="18" t="str">
        <f>Base!S87</f>
        <v>Difícil</v>
      </c>
      <c r="R99" s="7">
        <f>Base!N87</f>
        <v>11096.870000000112</v>
      </c>
      <c r="S99" s="7">
        <f>Base!T87</f>
        <v>162815.24000000022</v>
      </c>
    </row>
    <row r="100" spans="1:19">
      <c r="A100" s="18">
        <f>SUBTOTAL(103,$B$6:B100)</f>
        <v>84</v>
      </c>
      <c r="B100" s="18">
        <v>181</v>
      </c>
      <c r="C100" s="6" t="str">
        <f>Base!H88</f>
        <v>2649852: MEJORAMIENTO DEL SERVICIO DE EDUCACIÓN INICIAL EN I.E. 325   DISTRITO DE PUNO DE LA PROVINCIA DE PUNO DEL DEPARTAMENTO DE PUNO</v>
      </c>
      <c r="D100" s="7">
        <f>Base!I88</f>
        <v>1142346.0</v>
      </c>
      <c r="E100" s="7">
        <f>Base!J88</f>
        <v>911210.56</v>
      </c>
      <c r="F100" s="7">
        <f>D100-E100</f>
        <v>231135.43999999994</v>
      </c>
      <c r="G100" s="7">
        <f>Base!L88</f>
        <v>18478.9</v>
      </c>
      <c r="H100" s="7">
        <f>D100-G100</f>
        <v>1123867.1</v>
      </c>
      <c r="I100" s="19">
        <f>IF(D100=0,0,G100/D100)</f>
        <v>0.016176272337803083</v>
      </c>
      <c r="J100" s="6" t="str">
        <f>Base!U88</f>
        <v>Administración directa / Contrata / Personal/bienes/servicios / Equipamiento</v>
      </c>
      <c r="K100" s="6" t="str">
        <f>Base!R88</f>
        <v>Mayormente comprometido</v>
      </c>
      <c r="L100" s="7">
        <f>Base!V88</f>
        <v>100000.0</v>
      </c>
      <c r="M100" s="7">
        <f>Base!W88</f>
        <v>0</v>
      </c>
      <c r="N100" s="7">
        <f>Base!X88</f>
        <v>959009.0</v>
      </c>
      <c r="O100" s="7">
        <f>Base!Y88</f>
        <v>0</v>
      </c>
      <c r="P100" s="6">
        <f>IF(Base!Z88="","",Base!Z88)</f>
        <v/>
      </c>
      <c r="Q100" s="18" t="str">
        <f>Base!S88</f>
        <v>Difícil</v>
      </c>
      <c r="R100" s="7">
        <f>Base!N88</f>
        <v>208083.93000000005</v>
      </c>
      <c r="S100" s="7">
        <f>Base!T88</f>
        <v>439219.37</v>
      </c>
    </row>
    <row r="101" spans="1:19">
      <c r="A101" s="18">
        <f>SUBTOTAL(103,$B$6:B101)</f>
        <v>85</v>
      </c>
      <c r="B101" s="18">
        <v>187</v>
      </c>
      <c r="C101" s="6" t="str">
        <f>Base!H89</f>
        <v>2649858: MEJORAMIENTO DEL SERVICIO DE EDUCACIÓN INICIAL EN I.E. EDUARDITOS   DISTRITO DE PICHACANI DE LA PROVINCIA DE PUNO DEL DEPARTAMENTO DE PUNO</v>
      </c>
      <c r="D101" s="7">
        <f>Base!I89</f>
        <v>2361641.0</v>
      </c>
      <c r="E101" s="7">
        <f>Base!J89</f>
        <v>1509241.3599999999</v>
      </c>
      <c r="F101" s="7">
        <f>D101-E101</f>
        <v>852399.6400000001</v>
      </c>
      <c r="G101" s="7">
        <f>Base!L89</f>
        <v>1059463.8099999998</v>
      </c>
      <c r="H101" s="7">
        <f>D101-G101</f>
        <v>1302177.1900000002</v>
      </c>
      <c r="I101" s="19">
        <f>IF(D101=0,0,G101/D101)</f>
        <v>0.4486134048316403</v>
      </c>
      <c r="J101" s="6" t="str">
        <f>Base!U89</f>
        <v>Administración directa / Contrata / Equipamiento / Personal/bienes/servicios</v>
      </c>
      <c r="K101" s="6" t="str">
        <f>Base!R89</f>
        <v>Mayormente comprometido</v>
      </c>
      <c r="L101" s="7">
        <f>Base!V89</f>
        <v>100000.0</v>
      </c>
      <c r="M101" s="7">
        <f>Base!W89</f>
        <v>45539.0</v>
      </c>
      <c r="N101" s="7">
        <f>Base!X89</f>
        <v>0</v>
      </c>
      <c r="O101" s="7">
        <f>Base!Y89</f>
        <v>0</v>
      </c>
      <c r="P101" s="6">
        <f>IF(Base!Z89="","",Base!Z89)</f>
        <v/>
      </c>
      <c r="Q101" s="18" t="str">
        <f>Base!S89</f>
        <v>Difícil</v>
      </c>
      <c r="R101" s="7">
        <f>Base!N89</f>
        <v>7975.639999999898</v>
      </c>
      <c r="S101" s="7">
        <f>Base!T89</f>
        <v>860375.28</v>
      </c>
    </row>
    <row r="102" spans="1:19">
      <c r="A102" s="18">
        <f>SUBTOTAL(103,$B$6:B102)</f>
        <v>86</v>
      </c>
      <c r="B102" s="18">
        <v>307</v>
      </c>
      <c r="C102" s="6" t="str">
        <f>Base!H90</f>
        <v>2411335: MEJORAMIENTO DEL SERVICIO EDUCATIVO EN LA I.E.S. SAN SALVADOR , - DISTRITO DE PUNO - PROVINCIA DE PUNO - DEPARTAMENTO DE PUNO</v>
      </c>
      <c r="D102" s="7">
        <f>Base!I90</f>
        <v>1272735.0</v>
      </c>
      <c r="E102" s="7">
        <f>Base!J90</f>
        <v>1253656.8599999999</v>
      </c>
      <c r="F102" s="7">
        <f>D102-E102</f>
        <v>19078.14000000013</v>
      </c>
      <c r="G102" s="7">
        <f>Base!L90</f>
        <v>1181486.15</v>
      </c>
      <c r="H102" s="7">
        <f>D102-G102</f>
        <v>91248.8500000001</v>
      </c>
      <c r="I102" s="19">
        <f>IF(D102=0,0,G102/D102)</f>
        <v>0.928304910291616</v>
      </c>
      <c r="J102" s="6" t="str">
        <f>Base!U90</f>
        <v>Administración directa / Contrata / Personal/bienes/servicios / Equipamiento</v>
      </c>
      <c r="K102" s="6" t="str">
        <f>Base!R90</f>
        <v>Ejecutado</v>
      </c>
      <c r="L102" s="7">
        <f>Base!V90</f>
        <v>1216856.0</v>
      </c>
      <c r="M102" s="7">
        <f>Base!W90</f>
        <v>370264.0</v>
      </c>
      <c r="N102" s="7">
        <f>Base!X90</f>
        <v>0</v>
      </c>
      <c r="O102" s="7">
        <f>Base!Y90</f>
        <v>0</v>
      </c>
      <c r="P102" s="6">
        <f>IF(Base!Z90="","",Base!Z90)</f>
        <v/>
      </c>
      <c r="Q102" s="18" t="str">
        <f>Base!S90</f>
        <v>No usar</v>
      </c>
      <c r="R102" s="7">
        <f>Base!N90</f>
        <v>0.0</v>
      </c>
      <c r="S102" s="7">
        <f>Base!T90</f>
        <v>0.0</v>
      </c>
    </row>
    <row r="103" spans="1:19">
      <c r="A103" s="18">
        <f>SUBTOTAL(103,$B$6:B103)</f>
        <v>87</v>
      </c>
      <c r="B103" s="18">
        <v>333</v>
      </c>
      <c r="C103" s="6" t="str">
        <f>Base!H91</f>
        <v>2651383: MEJORAMIENTO DEL SERVICIO DE EDUCACIÓN INICIAL EN I.E. 941   DISTRITO DE CABANILLAS DE LA PROVINCIA DE SAN ROMAN DEL DEPARTAMENTO DE PUNO</v>
      </c>
      <c r="D103" s="7">
        <f>Base!I91</f>
        <v>919876.0</v>
      </c>
      <c r="E103" s="7">
        <f>Base!J91</f>
        <v>340967.6</v>
      </c>
      <c r="F103" s="7">
        <f>D103-E103</f>
        <v>578908.4</v>
      </c>
      <c r="G103" s="7">
        <f>Base!L91</f>
        <v>7840.91</v>
      </c>
      <c r="H103" s="7">
        <f>D103-G103</f>
        <v>912035.09</v>
      </c>
      <c r="I103" s="19">
        <f>IF(D103=0,0,G103/D103)</f>
        <v>0.008523877131265518</v>
      </c>
      <c r="J103" s="6" t="str">
        <f>Base!U91</f>
        <v>Administración directa / Contrata / Personal/bienes/servicios / Equipamiento</v>
      </c>
      <c r="K103" s="6" t="str">
        <f>Base!R91</f>
        <v>Parcialmente comprometido</v>
      </c>
      <c r="L103" s="7">
        <f>Base!V91</f>
        <v>903516.0</v>
      </c>
      <c r="M103" s="7">
        <f>Base!W91</f>
        <v>919620.0</v>
      </c>
      <c r="N103" s="7">
        <f>Base!X91</f>
        <v>268263.0</v>
      </c>
      <c r="O103" s="7">
        <f>Base!Y91</f>
        <v>0</v>
      </c>
      <c r="P103" s="6">
        <f>IF(Base!Z91="","",Base!Z91)</f>
        <v/>
      </c>
      <c r="Q103" s="18" t="str">
        <f>Base!S91</f>
        <v>Parcial</v>
      </c>
      <c r="R103" s="7">
        <f>Base!N91</f>
        <v>98967.59999999998</v>
      </c>
      <c r="S103" s="7">
        <f>Base!T91</f>
        <v>677876.0</v>
      </c>
    </row>
    <row r="104" spans="1:19">
      <c r="A104" s="18">
        <f>SUBTOTAL(103,$B$6:B104)</f>
        <v>88</v>
      </c>
      <c r="B104" s="18">
        <v>173</v>
      </c>
      <c r="C104" s="6" t="str">
        <f>Base!H92</f>
        <v>2250396: INSTALACION DEL SERVICIO EDUCATIVO DEL NIVEL INICIAL ESCOLARIZADO CICLO II EN LA I.E.I N 707 DEL CENTRO POBLADO DE JACHOCCO HUARACO, DISTRITO ILAVE, PROVINCIA DE EL COLLAO - DEPARTAMENTO PUNO.</v>
      </c>
      <c r="D104" s="7">
        <f>Base!I92</f>
        <v>41720.0</v>
      </c>
      <c r="E104" s="7">
        <f>Base!J92</f>
        <v>31883.370000000003</v>
      </c>
      <c r="F104" s="7">
        <f>D104-E104</f>
        <v>9836.629999999997</v>
      </c>
      <c r="G104" s="7">
        <f>Base!L92</f>
        <v>31883.370000000003</v>
      </c>
      <c r="H104" s="7">
        <f>D104-G104</f>
        <v>9836.629999999997</v>
      </c>
      <c r="I104" s="19">
        <f>IF(D104=0,0,G104/D104)</f>
        <v>0.7642226749760307</v>
      </c>
      <c r="J104" s="6" t="str">
        <f>Base!U92</f>
        <v>Contrata / Personal/bienes/servicios</v>
      </c>
      <c r="K104" s="6" t="str">
        <f>Base!R92</f>
        <v>Mayormente comprometido</v>
      </c>
      <c r="L104" s="7">
        <f>Base!V92</f>
        <v>120201.0</v>
      </c>
      <c r="M104" s="7">
        <f>Base!W92</f>
        <v>0</v>
      </c>
      <c r="N104" s="7">
        <f>Base!X92</f>
        <v>0</v>
      </c>
      <c r="O104" s="7">
        <f>Base!Y92</f>
        <v>0</v>
      </c>
      <c r="P104" s="6">
        <f>IF(Base!Z92="","",Base!Z92)</f>
        <v/>
      </c>
      <c r="Q104" s="18" t="str">
        <f>Base!S92</f>
        <v>Difícil</v>
      </c>
      <c r="R104" s="7">
        <f>Base!N92</f>
        <v>0.0</v>
      </c>
      <c r="S104" s="7">
        <f>Base!T92</f>
        <v>9836.629999999997</v>
      </c>
    </row>
    <row r="105" spans="1:19">
      <c r="A105" s="18">
        <f>SUBTOTAL(103,$B$6:B105)</f>
        <v>89</v>
      </c>
      <c r="B105" s="18">
        <v>180</v>
      </c>
      <c r="C105" s="6" t="str">
        <f>Base!H93</f>
        <v>2649805: MEJORAMIENTO DEL SERVICIO DE EDUCACIÓN INICIAL EN I.E. 881   DISTRITO DE CABANILLA DE LA PROVINCIA DE LAMPA DEL DEPARTAMENTO DE PUNO</v>
      </c>
      <c r="D105" s="7">
        <f>Base!I93</f>
        <v>704972.0</v>
      </c>
      <c r="E105" s="7">
        <f>Base!J93</f>
        <v>309066.0</v>
      </c>
      <c r="F105" s="7">
        <f>D105-E105</f>
        <v>395906.0</v>
      </c>
      <c r="G105" s="7">
        <f>Base!L93</f>
        <v>15770.09</v>
      </c>
      <c r="H105" s="7">
        <f>D105-G105</f>
        <v>689201.91</v>
      </c>
      <c r="I105" s="19">
        <f>IF(D105=0,0,G105/D105)</f>
        <v>0.022369810432187377</v>
      </c>
      <c r="J105" s="6" t="str">
        <f>Base!U93</f>
        <v>Administración directa / Contrata / Expediente técnico / Personal/bienes/servicios</v>
      </c>
      <c r="K105" s="6" t="str">
        <f>Base!R93</f>
        <v>Parcialmente comprometido</v>
      </c>
      <c r="L105" s="7">
        <f>Base!V93</f>
        <v>100000.0</v>
      </c>
      <c r="M105" s="7">
        <f>Base!W93</f>
        <v>0</v>
      </c>
      <c r="N105" s="7">
        <f>Base!X93</f>
        <v>921923.0</v>
      </c>
      <c r="O105" s="7">
        <f>Base!Y93</f>
        <v>0</v>
      </c>
      <c r="P105" s="6">
        <f>IF(Base!Z93="","",Base!Z93)</f>
        <v/>
      </c>
      <c r="Q105" s="18" t="str">
        <f>Base!S93</f>
        <v>Parcial</v>
      </c>
      <c r="R105" s="7">
        <f>Base!N93</f>
        <v>53094.0</v>
      </c>
      <c r="S105" s="7">
        <f>Base!T93</f>
        <v>449000.0</v>
      </c>
    </row>
    <row r="106" spans="1:19">
      <c r="A106" s="18">
        <f>SUBTOTAL(103,$B$6:B106)</f>
        <v>90</v>
      </c>
      <c r="B106" s="18">
        <v>83</v>
      </c>
      <c r="C106" s="6" t="str">
        <f>Base!H94</f>
        <v>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v>
      </c>
      <c r="D106" s="7">
        <f>Base!I94</f>
        <v>61203.0</v>
      </c>
      <c r="E106" s="7">
        <f>Base!J94</f>
        <v>0.0</v>
      </c>
      <c r="F106" s="7">
        <f>D106-E106</f>
        <v>61203.0</v>
      </c>
      <c r="G106" s="7">
        <f>Base!L94</f>
        <v>0.0</v>
      </c>
      <c r="H106" s="7">
        <f>D106-G106</f>
        <v>61203.0</v>
      </c>
      <c r="I106" s="19">
        <f>IF(D106=0,0,G106/D106)</f>
        <v>0.0</v>
      </c>
      <c r="J106" s="6" t="str">
        <f>Base!U94</f>
        <v>Administración directa</v>
      </c>
      <c r="K106" s="6" t="str">
        <f>Base!R94</f>
        <v>Sin certificar</v>
      </c>
      <c r="L106" s="7">
        <f>Base!V94</f>
        <v>61203.0</v>
      </c>
      <c r="M106" s="7">
        <f>Base!W94</f>
        <v>0</v>
      </c>
      <c r="N106" s="7">
        <f>Base!X94</f>
        <v>0</v>
      </c>
      <c r="O106" s="7">
        <f>Base!Y94</f>
        <v>0</v>
      </c>
      <c r="P106" s="6">
        <f>IF(Base!Z94="","",Base!Z94)</f>
        <v/>
      </c>
      <c r="Q106" s="18" t="str">
        <f>Base!S94</f>
        <v>Disponible</v>
      </c>
      <c r="R106" s="7">
        <f>Base!N94</f>
        <v>0.0</v>
      </c>
      <c r="S106" s="7">
        <f>Base!T94</f>
        <v>61203.0</v>
      </c>
    </row>
    <row r="107" spans="1:19">
      <c r="A107" s="15" t="s">
        <v>163</v>
      </c>
      <c r="B107" s="15"/>
      <c r="C107" s="15"/>
      <c r="D107" s="16">
        <f>SUM(D108:D117)</f>
        <v>67673088.0</v>
      </c>
      <c r="E107" s="16">
        <f>SUM(E108:E117)</f>
        <v>61457129.29</v>
      </c>
      <c r="F107" s="16">
        <f>D107-E107</f>
        <v>6215958.710000001</v>
      </c>
      <c r="G107" s="16">
        <f>SUM(G108:G117)</f>
        <v>41195298.65</v>
      </c>
      <c r="H107" s="16">
        <f>D107-G107</f>
        <v>26477789.35</v>
      </c>
      <c r="I107" s="17">
        <f>IF(D107=0,0,G107/D107)</f>
        <v>0.6087397496919307</v>
      </c>
      <c r="J107" s="15"/>
      <c r="K107" s="15"/>
      <c r="L107" s="15"/>
      <c r="M107" s="15"/>
      <c r="N107" s="15"/>
      <c r="O107" s="15"/>
      <c r="P107" s="15"/>
      <c r="Q107" s="15"/>
      <c r="R107" s="16">
        <f>SUM(R108:R117)</f>
        <v>7451118.229999996</v>
      </c>
      <c r="S107" s="16">
        <f>SUM(S108:S117)</f>
        <v>13551085.999999996</v>
      </c>
    </row>
    <row r="108" spans="1:19">
      <c r="A108" s="18">
        <f>SUBTOTAL(103,$B$6:B108)</f>
        <v>91</v>
      </c>
      <c r="B108" s="18">
        <v>110</v>
      </c>
      <c r="C108" s="6" t="str">
        <f>Base!H95</f>
        <v>2456529: MEJORAMIENTO DE LA CARRETERA PU 147, EMP. PE-34I JIPATA - EMP. PE-34I MOHO,  DISTRITO DE MOHO - PROVINCIA DE MOHO - DEPARTAMENTO DE PUNO</v>
      </c>
      <c r="D108" s="7">
        <f>Base!I95</f>
        <v>23143575.0</v>
      </c>
      <c r="E108" s="7">
        <f>Base!J95</f>
        <v>22275710.84</v>
      </c>
      <c r="F108" s="7">
        <f>D108-E108</f>
        <v>867864.1600000001</v>
      </c>
      <c r="G108" s="7">
        <f>Base!L95</f>
        <v>12059018.399999999</v>
      </c>
      <c r="H108" s="7">
        <f>D108-G108</f>
        <v>11084556.600000001</v>
      </c>
      <c r="I108" s="19">
        <f>IF(D108=0,0,G108/D108)</f>
        <v>0.5210525340186206</v>
      </c>
      <c r="J108" s="6" t="str">
        <f>Base!U95</f>
        <v>Administración directa / Contrata / Personal/bienes/servicios</v>
      </c>
      <c r="K108" s="6" t="str">
        <f>Base!R95</f>
        <v>Mayormente comprometido</v>
      </c>
      <c r="L108" s="7">
        <f>Base!V95</f>
        <v>15500800.0</v>
      </c>
      <c r="M108" s="7">
        <f>Base!W95</f>
        <v>4458489.0</v>
      </c>
      <c r="N108" s="7">
        <f>Base!X95</f>
        <v>450011.0</v>
      </c>
      <c r="O108" s="7">
        <f>Base!Y95</f>
        <v>0</v>
      </c>
      <c r="P108" s="6">
        <f>IF(Base!Z95="","",Base!Z95)</f>
        <v/>
      </c>
      <c r="Q108" s="18" t="str">
        <f>Base!S95</f>
        <v>Difícil</v>
      </c>
      <c r="R108" s="7">
        <f>Base!N95</f>
        <v>3243862.0</v>
      </c>
      <c r="S108" s="7">
        <f>Base!T95</f>
        <v>4111726.16</v>
      </c>
    </row>
    <row r="109" spans="1:19">
      <c r="A109" s="18">
        <f>SUBTOTAL(103,$B$6:B109)</f>
        <v>92</v>
      </c>
      <c r="B109" s="18">
        <v>103</v>
      </c>
      <c r="C109" s="6" t="str">
        <f>Base!H96</f>
        <v>2343199: MEJORAMIENTO DE LA CARRETERA (EMP 34B) AZANGARO - (EMP PU-102) JILA PURINA DE LOS DISTRITO DE AZÁNGARO - DISTRITO DE TIRAPATA - PROVINCIA DE AZANGARO - REGIÓN PUNO</v>
      </c>
      <c r="D109" s="7">
        <f>Base!I96</f>
        <v>14991498.0</v>
      </c>
      <c r="E109" s="7">
        <f>Base!J96</f>
        <v>14685002.969999999</v>
      </c>
      <c r="F109" s="7">
        <f>D109-E109</f>
        <v>306495.0300000012</v>
      </c>
      <c r="G109" s="7">
        <f>Base!L96</f>
        <v>11502166.71</v>
      </c>
      <c r="H109" s="7">
        <f>D109-G109</f>
        <v>3489331.289999999</v>
      </c>
      <c r="I109" s="19">
        <f>IF(D109=0,0,G109/D109)</f>
        <v>0.7672459890265804</v>
      </c>
      <c r="J109" s="6" t="str">
        <f>Base!U96</f>
        <v>Administración directa / Contrata / Personal/bienes/servicios</v>
      </c>
      <c r="K109" s="6" t="str">
        <f>Base!R96</f>
        <v>Mayormente comprometido</v>
      </c>
      <c r="L109" s="7">
        <f>Base!V96</f>
        <v>12491498.0</v>
      </c>
      <c r="M109" s="7">
        <f>Base!W96</f>
        <v>632388.0</v>
      </c>
      <c r="N109" s="7">
        <f>Base!X96</f>
        <v>41870.0</v>
      </c>
      <c r="O109" s="7">
        <f>Base!Y96</f>
        <v>0</v>
      </c>
      <c r="P109" s="6">
        <f>IF(Base!Z96="","",Base!Z96)</f>
        <v/>
      </c>
      <c r="Q109" s="18" t="str">
        <f>Base!S96</f>
        <v>Difícil</v>
      </c>
      <c r="R109" s="7">
        <f>Base!N96</f>
        <v>1100297.9099999964</v>
      </c>
      <c r="S109" s="7">
        <f>Base!T96</f>
        <v>1406792.9399999976</v>
      </c>
    </row>
    <row r="110" spans="1:19">
      <c r="A110" s="18">
        <f>SUBTOTAL(103,$B$6:B110)</f>
        <v>93</v>
      </c>
      <c r="B110" s="18">
        <v>106</v>
      </c>
      <c r="C110" s="6" t="str">
        <f>Base!H97</f>
        <v>2399543: MEJORAMIENTO DEL CAMINO VECINAL EMP. R01 (DV. LOANI) - CAMICACHI - EMP. R12 (ROSACANI) DISTRITO DE ILAVE - PROVINCIA DE EL COLLAO - REGION PUNO</v>
      </c>
      <c r="D110" s="7">
        <f>Base!I97</f>
        <v>5270087.0</v>
      </c>
      <c r="E110" s="7">
        <f>Base!J97</f>
        <v>5222084.29</v>
      </c>
      <c r="F110" s="7">
        <f>D110-E110</f>
        <v>48002.70999999996</v>
      </c>
      <c r="G110" s="7">
        <f>Base!L97</f>
        <v>5220159.289999999</v>
      </c>
      <c r="H110" s="7">
        <f>D110-G110</f>
        <v>49927.710000000894</v>
      </c>
      <c r="I110" s="19">
        <f>IF(D110=0,0,G110/D110)</f>
        <v>0.9905262076318663</v>
      </c>
      <c r="J110" s="6" t="str">
        <f>Base!U97</f>
        <v>Administración directa / Contrata / Personal/bienes/servicios</v>
      </c>
      <c r="K110" s="6" t="str">
        <f>Base!R97</f>
        <v>Ejecutado</v>
      </c>
      <c r="L110" s="7" t="str">
        <f>Base!V97</f>
        <v>No registrado en cartera</v>
      </c>
      <c r="M110" s="7" t="str">
        <f>Base!W97</f>
        <v>No registrado en cartera</v>
      </c>
      <c r="N110" s="7" t="str">
        <f>Base!X97</f>
        <v>No registrado en cartera</v>
      </c>
      <c r="O110" s="7" t="str">
        <f>Base!Y97</f>
        <v>No registrado en cartera</v>
      </c>
      <c r="P110" s="6">
        <f>IF(Base!Z97="","",Base!Z97)</f>
        <v/>
      </c>
      <c r="Q110" s="18" t="str">
        <f>Base!S97</f>
        <v>No usar</v>
      </c>
      <c r="R110" s="7">
        <f>Base!N97</f>
        <v>0.0</v>
      </c>
      <c r="S110" s="7">
        <f>Base!T97</f>
        <v>0.0</v>
      </c>
    </row>
    <row r="111" spans="1:19">
      <c r="A111" s="18">
        <f>SUBTOTAL(103,$B$6:B111)</f>
        <v>94</v>
      </c>
      <c r="B111" s="18">
        <v>119</v>
      </c>
      <c r="C111" s="6" t="str">
        <f>Base!H98</f>
        <v>2591951: MEJORAMIENTO DEL SERVICIO DE TRANSITABILIDAD VIAL INTERURBANA EN EL CAMINO VECINAL DEL KM0+000 (DESVIO PUENTE OCRA CHUPA) AL KM 6+373 (C.P. PEDRO VILCAPAZA DE MORORCCO), DISTRITO DE MUÑANI DE LA PROVINCIA DE AZANGARO DEL DEPARTAMENTO DE PUNO</v>
      </c>
      <c r="D111" s="7">
        <f>Base!I98</f>
        <v>6770858.0</v>
      </c>
      <c r="E111" s="7">
        <f>Base!J98</f>
        <v>6051014.289999999</v>
      </c>
      <c r="F111" s="7">
        <f>D111-E111</f>
        <v>719843.7100000009</v>
      </c>
      <c r="G111" s="7">
        <f>Base!L98</f>
        <v>3961148.7199999993</v>
      </c>
      <c r="H111" s="7">
        <f>D111-G111</f>
        <v>2809709.2800000007</v>
      </c>
      <c r="I111" s="19">
        <f>IF(D111=0,0,G111/D111)</f>
        <v>0.5850290642633473</v>
      </c>
      <c r="J111" s="6" t="str">
        <f>Base!U98</f>
        <v>Administración directa / Contrata / Personal/bienes/servicios / Equipamiento</v>
      </c>
      <c r="K111" s="6" t="str">
        <f>Base!R98</f>
        <v>Mayormente comprometido</v>
      </c>
      <c r="L111" s="7" t="str">
        <f>Base!V98</f>
        <v>No registrado en cartera</v>
      </c>
      <c r="M111" s="7" t="str">
        <f>Base!W98</f>
        <v>No registrado en cartera</v>
      </c>
      <c r="N111" s="7" t="str">
        <f>Base!X98</f>
        <v>No registrado en cartera</v>
      </c>
      <c r="O111" s="7" t="str">
        <f>Base!Y98</f>
        <v>No registrado en cartera</v>
      </c>
      <c r="P111" s="6">
        <f>IF(Base!Z98="","",Base!Z98)</f>
        <v/>
      </c>
      <c r="Q111" s="18" t="str">
        <f>Base!S98</f>
        <v>Difícil</v>
      </c>
      <c r="R111" s="7">
        <f>Base!N98</f>
        <v>902544.1899999985</v>
      </c>
      <c r="S111" s="7">
        <f>Base!T98</f>
        <v>1622387.8999999994</v>
      </c>
    </row>
    <row r="112" spans="1:19">
      <c r="A112" s="18">
        <f>SUBTOTAL(103,$B$6:B112)</f>
        <v>95</v>
      </c>
      <c r="B112" s="18">
        <v>121</v>
      </c>
      <c r="C112" s="6" t="str">
        <f>Base!H99</f>
        <v>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v>
      </c>
      <c r="D112" s="7">
        <f>Base!I99</f>
        <v>2308286.0</v>
      </c>
      <c r="E112" s="7">
        <f>Base!J99</f>
        <v>0.0</v>
      </c>
      <c r="F112" s="7">
        <f>D112-E112</f>
        <v>2308286.0</v>
      </c>
      <c r="G112" s="7">
        <f>Base!L99</f>
        <v>0.0</v>
      </c>
      <c r="H112" s="7">
        <f>D112-G112</f>
        <v>2308286.0</v>
      </c>
      <c r="I112" s="19">
        <f>IF(D112=0,0,G112/D112)</f>
        <v>0.0</v>
      </c>
      <c r="J112" s="6" t="str">
        <f>Base!U99</f>
        <v>Administración directa / Contrata</v>
      </c>
      <c r="K112" s="6" t="str">
        <f>Base!R99</f>
        <v>Sin certificar</v>
      </c>
      <c r="L112" s="7">
        <f>Base!V99</f>
        <v>800000.0</v>
      </c>
      <c r="M112" s="7">
        <f>Base!W99</f>
        <v>10345657.0</v>
      </c>
      <c r="N112" s="7">
        <f>Base!X99</f>
        <v>0</v>
      </c>
      <c r="O112" s="7">
        <f>Base!Y99</f>
        <v>10973904.0</v>
      </c>
      <c r="P112" s="6">
        <f>IF(Base!Z99="","",Base!Z99)</f>
        <v/>
      </c>
      <c r="Q112" s="18" t="str">
        <f>Base!S99</f>
        <v>Disponible</v>
      </c>
      <c r="R112" s="7">
        <f>Base!N99</f>
        <v>0.0</v>
      </c>
      <c r="S112" s="7">
        <f>Base!T99</f>
        <v>2308286.0</v>
      </c>
    </row>
    <row r="113" spans="1:19">
      <c r="A113" s="18">
        <f>SUBTOTAL(103,$B$6:B113)</f>
        <v>96</v>
      </c>
      <c r="B113" s="18">
        <v>463</v>
      </c>
      <c r="C113" s="6" t="str">
        <f>Base!H100</f>
        <v>2511009: MEJORAMIENTO DEL SERVICIO VIAL URBANO DE LA AVENIDA INDUSTRIAL DEL CENTRO POBLADO DE SALCEDO, DISTRITO DE PUNO - PROVINCIA DE PUNO - DEPARTAMENTO DE PUNO</v>
      </c>
      <c r="D113" s="7">
        <f>Base!I100</f>
        <v>1827737.0</v>
      </c>
      <c r="E113" s="7">
        <f>Base!J100</f>
        <v>1014425.98</v>
      </c>
      <c r="F113" s="7">
        <f>D113-E113</f>
        <v>813311.02</v>
      </c>
      <c r="G113" s="7">
        <f>Base!L100</f>
        <v>13810.34</v>
      </c>
      <c r="H113" s="7">
        <f>D113-G113</f>
        <v>1813926.66</v>
      </c>
      <c r="I113" s="19">
        <f>IF(D113=0,0,G113/D113)</f>
        <v>0.007555977692633021</v>
      </c>
      <c r="J113" s="6" t="str">
        <f>Base!U100</f>
        <v>Administración directa / Contrata</v>
      </c>
      <c r="K113" s="6" t="str">
        <f>Base!R100</f>
        <v>Parcialmente comprometido</v>
      </c>
      <c r="L113" s="7" t="str">
        <f>Base!V100</f>
        <v>No registrado en cartera</v>
      </c>
      <c r="M113" s="7" t="str">
        <f>Base!W100</f>
        <v>No registrado en cartera</v>
      </c>
      <c r="N113" s="7" t="str">
        <f>Base!X100</f>
        <v>No registrado en cartera</v>
      </c>
      <c r="O113" s="7" t="str">
        <f>Base!Y100</f>
        <v>No registrado en cartera</v>
      </c>
      <c r="P113" s="6">
        <f>IF(Base!Z100="","",Base!Z100)</f>
        <v/>
      </c>
      <c r="Q113" s="18" t="str">
        <f>Base!S100</f>
        <v>Parcial</v>
      </c>
      <c r="R113" s="7">
        <f>Base!N100</f>
        <v>615214.38</v>
      </c>
      <c r="S113" s="7">
        <f>Base!T100</f>
        <v>1428525.4</v>
      </c>
    </row>
    <row r="114" spans="1:19">
      <c r="A114" s="18">
        <f>SUBTOTAL(103,$B$6:B114)</f>
        <v>97</v>
      </c>
      <c r="B114" s="18">
        <v>128</v>
      </c>
      <c r="C114" s="6" t="str">
        <f>Base!H101</f>
        <v>2634040: MEJORAMIENTO DEL SERVICIO DE TRANSITABILIDAD VIAL INTERURBANA EN EL CAMINO VECINAL, TRAMO DESVIO PUCARA - POBLACION SALINAS - ASILLO SALINAS (KM 0+000 - 1+900) DEL DISTRITO DE SAN JUAN DE SALINAS DE LA PROVINCIA DE AZANGARO DEL DEPARTAMENTO DE PUNO</v>
      </c>
      <c r="D114" s="7">
        <f>Base!I101</f>
        <v>4106961.0</v>
      </c>
      <c r="E114" s="7">
        <f>Base!J101</f>
        <v>3355560.2100000004</v>
      </c>
      <c r="F114" s="7">
        <f>D114-E114</f>
        <v>751400.7899999996</v>
      </c>
      <c r="G114" s="7">
        <f>Base!L101</f>
        <v>1831598.54</v>
      </c>
      <c r="H114" s="7">
        <f>D114-G114</f>
        <v>2275362.46</v>
      </c>
      <c r="I114" s="19">
        <f>IF(D114=0,0,G114/D114)</f>
        <v>0.4459741740912563</v>
      </c>
      <c r="J114" s="6" t="str">
        <f>Base!U101</f>
        <v>Administración directa / Contrata / Personal/bienes/servicios</v>
      </c>
      <c r="K114" s="6" t="str">
        <f>Base!R101</f>
        <v>Mayormente comprometido</v>
      </c>
      <c r="L114" s="7" t="str">
        <f>Base!V101</f>
        <v>No registrado en cartera</v>
      </c>
      <c r="M114" s="7" t="str">
        <f>Base!W101</f>
        <v>No registrado en cartera</v>
      </c>
      <c r="N114" s="7" t="str">
        <f>Base!X101</f>
        <v>No registrado en cartera</v>
      </c>
      <c r="O114" s="7" t="str">
        <f>Base!Y101</f>
        <v>No registrado en cartera</v>
      </c>
      <c r="P114" s="6">
        <f>IF(Base!Z101="","",Base!Z101)</f>
        <v/>
      </c>
      <c r="Q114" s="18" t="str">
        <f>Base!S101</f>
        <v>Difícil</v>
      </c>
      <c r="R114" s="7">
        <f>Base!N101</f>
        <v>572769.2700000005</v>
      </c>
      <c r="S114" s="7">
        <f>Base!T101</f>
        <v>1324170.06</v>
      </c>
    </row>
    <row r="115" spans="1:19">
      <c r="A115" s="18">
        <f>SUBTOTAL(103,$B$6:B115)</f>
        <v>98</v>
      </c>
      <c r="B115" s="18">
        <v>105</v>
      </c>
      <c r="C115" s="6" t="str">
        <f>Base!H102</f>
        <v>2387422: MEJORAMIENTO DE LA CARRETERA TRAMO II (PUENTE CULLCO) - PICHINCUTA - QUELCAHUECO - CORARACA DEL - DISTRITO DE ILAVE - PROVINCIA DE EL COLLAO - DEPARTAMENTO DE PUNO</v>
      </c>
      <c r="D115" s="7">
        <f>Base!I102</f>
        <v>7751873.0</v>
      </c>
      <c r="E115" s="7">
        <f>Base!J102</f>
        <v>7482027.37</v>
      </c>
      <c r="F115" s="7">
        <f>D115-E115</f>
        <v>269845.6299999999</v>
      </c>
      <c r="G115" s="7">
        <f>Base!L102</f>
        <v>5292812.7700000005</v>
      </c>
      <c r="H115" s="7">
        <f>D115-G115</f>
        <v>2459060.2299999995</v>
      </c>
      <c r="I115" s="19">
        <f>IF(D115=0,0,G115/D115)</f>
        <v>0.6827785710627613</v>
      </c>
      <c r="J115" s="6" t="str">
        <f>Base!U102</f>
        <v>Administración directa / Contrata / Personal/bienes/servicios / Equipamiento</v>
      </c>
      <c r="K115" s="6" t="str">
        <f>Base!R102</f>
        <v>Mayormente comprometido</v>
      </c>
      <c r="L115" s="7" t="str">
        <f>Base!V102</f>
        <v>No registrado en cartera</v>
      </c>
      <c r="M115" s="7" t="str">
        <f>Base!W102</f>
        <v>No registrado en cartera</v>
      </c>
      <c r="N115" s="7" t="str">
        <f>Base!X102</f>
        <v>No registrado en cartera</v>
      </c>
      <c r="O115" s="7" t="str">
        <f>Base!Y102</f>
        <v>No registrado en cartera</v>
      </c>
      <c r="P115" s="6">
        <f>IF(Base!Z102="","",Base!Z102)</f>
        <v/>
      </c>
      <c r="Q115" s="18" t="str">
        <f>Base!S102</f>
        <v>Difícil</v>
      </c>
      <c r="R115" s="7">
        <f>Base!N102</f>
        <v>1013904.4800000004</v>
      </c>
      <c r="S115" s="7">
        <f>Base!T102</f>
        <v>1283750.1100000003</v>
      </c>
    </row>
    <row r="116" spans="1:19">
      <c r="A116" s="18">
        <f>SUBTOTAL(103,$B$6:B116)</f>
        <v>99</v>
      </c>
      <c r="B116" s="18">
        <v>114</v>
      </c>
      <c r="C116" s="6" t="str">
        <f>Base!H103</f>
        <v>2527184: MEJORAMIENTO DEL SERVICIO DE TRANSITABILIDAD VIAL DEL CAMINO VECINAL TRAMO VILLA PAXA A VENTILLA (PU- 1065) DEL DISTRITO DE PUNO - PROVINCIA DE PUNO - DEPARTAMENTO DE PUNO</v>
      </c>
      <c r="D116" s="7">
        <f>Base!I103</f>
        <v>936343.0</v>
      </c>
      <c r="E116" s="7">
        <f>Base!J103</f>
        <v>868354.77</v>
      </c>
      <c r="F116" s="7">
        <f>D116-E116</f>
        <v>67988.22999999998</v>
      </c>
      <c r="G116" s="7">
        <f>Base!L103</f>
        <v>868354.72</v>
      </c>
      <c r="H116" s="7">
        <f>D116-G116</f>
        <v>67988.28000000003</v>
      </c>
      <c r="I116" s="19">
        <f>IF(D116=0,0,G116/D116)</f>
        <v>0.927389557031985</v>
      </c>
      <c r="J116" s="6" t="str">
        <f>Base!U103</f>
        <v>Administración directa / Contrata / Personal/bienes/servicios</v>
      </c>
      <c r="K116" s="6" t="str">
        <f>Base!R103</f>
        <v>Ejecutado</v>
      </c>
      <c r="L116" s="7" t="str">
        <f>Base!V103</f>
        <v>No registrado en cartera</v>
      </c>
      <c r="M116" s="7" t="str">
        <f>Base!W103</f>
        <v>No registrado en cartera</v>
      </c>
      <c r="N116" s="7" t="str">
        <f>Base!X103</f>
        <v>No registrado en cartera</v>
      </c>
      <c r="O116" s="7" t="str">
        <f>Base!Y103</f>
        <v>No registrado en cartera</v>
      </c>
      <c r="P116" s="6">
        <f>IF(Base!Z103="","",Base!Z103)</f>
        <v/>
      </c>
      <c r="Q116" s="18" t="str">
        <f>Base!S103</f>
        <v>No usar</v>
      </c>
      <c r="R116" s="7">
        <f>Base!N103</f>
        <v>0.0</v>
      </c>
      <c r="S116" s="7">
        <f>Base!T103</f>
        <v>0.0</v>
      </c>
    </row>
    <row r="117" spans="1:19">
      <c r="A117" s="18">
        <f>SUBTOTAL(103,$B$6:B117)</f>
        <v>100</v>
      </c>
      <c r="B117" s="18">
        <v>167</v>
      </c>
      <c r="C117" s="6" t="str">
        <f>Base!H104</f>
        <v>2519621: CREACION DEL SERVICIO DE TRANSITABILIDAD VEHICULAR Y PEATONAL EN EL JR. 7 DE JUNIO Y JR. BOLOGNESI CUADRA 10 DE LA LOCALIDAD DE YUNGUYO DEL DISTRITO DE YUNGUYO - PROVINCIA DE YUNGUYO - DEPARTAMENTO DE PUNO</v>
      </c>
      <c r="D117" s="7">
        <f>Base!I104</f>
        <v>565870.0</v>
      </c>
      <c r="E117" s="7">
        <f>Base!J104</f>
        <v>502948.57000000007</v>
      </c>
      <c r="F117" s="7">
        <f>D117-E117</f>
        <v>62921.429999999935</v>
      </c>
      <c r="G117" s="7">
        <f>Base!L104</f>
        <v>446229.16</v>
      </c>
      <c r="H117" s="7">
        <f>D117-G117</f>
        <v>119640.84000000003</v>
      </c>
      <c r="I117" s="19">
        <f>IF(D117=0,0,G117/D117)</f>
        <v>0.7885718627953416</v>
      </c>
      <c r="J117" s="6" t="str">
        <f>Base!U104</f>
        <v>Administración directa / Contrata / Personal/bienes/servicios</v>
      </c>
      <c r="K117" s="6" t="str">
        <f>Base!R104</f>
        <v>Mayormente comprometido</v>
      </c>
      <c r="L117" s="7" t="str">
        <f>Base!V104</f>
        <v>No registrado en cartera</v>
      </c>
      <c r="M117" s="7" t="str">
        <f>Base!W104</f>
        <v>No registrado en cartera</v>
      </c>
      <c r="N117" s="7" t="str">
        <f>Base!X104</f>
        <v>No registrado en cartera</v>
      </c>
      <c r="O117" s="7" t="str">
        <f>Base!Y104</f>
        <v>No registrado en cartera</v>
      </c>
      <c r="P117" s="6">
        <f>IF(Base!Z104="","",Base!Z104)</f>
        <v/>
      </c>
      <c r="Q117" s="18" t="str">
        <f>Base!S104</f>
        <v>Difícil</v>
      </c>
      <c r="R117" s="7">
        <f>Base!N104</f>
        <v>2526.000000000058</v>
      </c>
      <c r="S117" s="7">
        <f>Base!T104</f>
        <v>65447.42999999999</v>
      </c>
    </row>
    <row r="118" spans="1:19">
      <c r="A118" s="15" t="s">
        <v>242</v>
      </c>
      <c r="B118" s="15"/>
      <c r="C118" s="15"/>
      <c r="D118" s="16">
        <f>SUM(D119:D121)</f>
        <v>6449080.0</v>
      </c>
      <c r="E118" s="16">
        <f>SUM(E119:E121)</f>
        <v>6391544.64</v>
      </c>
      <c r="F118" s="16">
        <f>D118-E118</f>
        <v>57535.360000000335</v>
      </c>
      <c r="G118" s="16">
        <f>SUM(G119:G121)</f>
        <v>208464.84999999998</v>
      </c>
      <c r="H118" s="16">
        <f>D118-G118</f>
        <v>6240615.15</v>
      </c>
      <c r="I118" s="17">
        <f>IF(D118=0,0,G118/D118)</f>
        <v>0.03232474244388347</v>
      </c>
      <c r="J118" s="15"/>
      <c r="K118" s="15"/>
      <c r="L118" s="15"/>
      <c r="M118" s="15"/>
      <c r="N118" s="15"/>
      <c r="O118" s="15"/>
      <c r="P118" s="15"/>
      <c r="Q118" s="15"/>
      <c r="R118" s="16">
        <f>SUM(R119:R121)</f>
        <v>5829204.1</v>
      </c>
      <c r="S118" s="16">
        <f>SUM(S119:S121)</f>
        <v>5886739.46</v>
      </c>
    </row>
    <row r="119" spans="1:19">
      <c r="A119" s="18">
        <f>SUBTOTAL(103,$B$6:B119)</f>
        <v>101</v>
      </c>
      <c r="B119" s="18">
        <v>69</v>
      </c>
      <c r="C119" s="6" t="str">
        <f>Base!H105</f>
        <v>2645446: REPARACION DE TRIBUNA Y/O PALCO Y PISTA DE ATLETISMO (DEPORTE RECREATIVO); CONSTRUCCION DE CAMPO DEPORTIVO; EN EL(LA) ESTADIO DE LA GRAN UNIDAD SAN CARLOS  DISTRITO DE PUNO, PROVINCIA PUNO, DEPARTAMENTO PUNO</v>
      </c>
      <c r="D119" s="7">
        <f>Base!I105</f>
        <v>1075076.0</v>
      </c>
      <c r="E119" s="7">
        <f>Base!J105</f>
        <v>1062250.0</v>
      </c>
      <c r="F119" s="7">
        <f>D119-E119</f>
        <v>12826.0</v>
      </c>
      <c r="G119" s="7">
        <f>Base!L105</f>
        <v>20822.47</v>
      </c>
      <c r="H119" s="7">
        <f>D119-G119</f>
        <v>1054253.53</v>
      </c>
      <c r="I119" s="19">
        <f>IF(D119=0,0,G119/D119)</f>
        <v>0.019368370236150748</v>
      </c>
      <c r="J119" s="6" t="str">
        <f>Base!U105</f>
        <v>Contrata / Expediente técnico</v>
      </c>
      <c r="K119" s="6" t="str">
        <f>Base!R105</f>
        <v>Parcialmente comprometido</v>
      </c>
      <c r="L119" s="7">
        <f>Base!V105</f>
        <v>1062638.0</v>
      </c>
      <c r="M119" s="7">
        <f>Base!W105</f>
        <v>245874.0</v>
      </c>
      <c r="N119" s="7">
        <f>Base!X105</f>
        <v>0</v>
      </c>
      <c r="O119" s="7">
        <f>Base!Y105</f>
        <v>0</v>
      </c>
      <c r="P119" s="6">
        <f>IF(Base!Z105="","",Base!Z105)</f>
        <v/>
      </c>
      <c r="Q119" s="18" t="str">
        <f>Base!S105</f>
        <v>Parcial</v>
      </c>
      <c r="R119" s="7">
        <f>Base!N105</f>
        <v>1036832.0</v>
      </c>
      <c r="S119" s="7">
        <f>Base!T105</f>
        <v>1049658.0</v>
      </c>
    </row>
    <row r="120" spans="1:19">
      <c r="A120" s="18">
        <f>SUBTOTAL(103,$B$6:B120)</f>
        <v>102</v>
      </c>
      <c r="B120" s="18">
        <v>73</v>
      </c>
      <c r="C120" s="6" t="str">
        <f>Base!H106</f>
        <v>2646109: REPARACION DE TRIBUNA Y/O PALCO; CONSTRUCCION DE CAMPO DEPORTIVO Y TRIBUNA Y/O PALCO; EN EL(LA) ESTADIO MUNICIPAL DE JULI  DISTRITO DE JULI, PROVINCIA CHUCUITO, DEPARTAMENTO PUNO</v>
      </c>
      <c r="D120" s="7">
        <f>Base!I106</f>
        <v>4474004.0</v>
      </c>
      <c r="E120" s="7">
        <f>Base!J106</f>
        <v>4473905.0</v>
      </c>
      <c r="F120" s="7">
        <f>D120-E120</f>
        <v>99.0</v>
      </c>
      <c r="G120" s="7">
        <f>Base!L106</f>
        <v>0.0</v>
      </c>
      <c r="H120" s="7">
        <f>D120-G120</f>
        <v>4474004.0</v>
      </c>
      <c r="I120" s="19">
        <f>IF(D120=0,0,G120/D120)</f>
        <v>0.0</v>
      </c>
      <c r="J120" s="6" t="str">
        <f>Base!U106</f>
        <v>Contrata / Expediente técnico</v>
      </c>
      <c r="K120" s="6" t="str">
        <f>Base!R106</f>
        <v>Solo certificado</v>
      </c>
      <c r="L120" s="7">
        <f>Base!V106</f>
        <v>1556258.0</v>
      </c>
      <c r="M120" s="7">
        <f>Base!W106</f>
        <v>2054256.0</v>
      </c>
      <c r="N120" s="7">
        <f>Base!X106</f>
        <v>0</v>
      </c>
      <c r="O120" s="7">
        <f>Base!Y106</f>
        <v>994904.0</v>
      </c>
      <c r="P120" s="6">
        <f>IF(Base!Z106="","",Base!Z106)</f>
        <v/>
      </c>
      <c r="Q120" s="18" t="str">
        <f>Base!S106</f>
        <v>Posible</v>
      </c>
      <c r="R120" s="7">
        <f>Base!N106</f>
        <v>4473905.0</v>
      </c>
      <c r="S120" s="7">
        <f>Base!T106</f>
        <v>4474004.0</v>
      </c>
    </row>
    <row r="121" spans="1:19">
      <c r="A121" s="18">
        <f>SUBTOTAL(103,$B$6:B121)</f>
        <v>103</v>
      </c>
      <c r="B121" s="18">
        <v>504</v>
      </c>
      <c r="C121" s="6" t="str">
        <f>Base!H107</f>
        <v>2630072: CREACION DEL SERVICIO DE PRACTICA DEPORTIVA Y/O RECREATIVA EN COLISEO CERRADO DE AYAPATA DISTRITO DE AYAPATA DE LA PROVINCIA DE CARABAYA DEL DEPARTAMENTO DE PUNO</v>
      </c>
      <c r="D121" s="7">
        <f>Base!I107</f>
        <v>900000.0</v>
      </c>
      <c r="E121" s="7">
        <f>Base!J107</f>
        <v>855389.64</v>
      </c>
      <c r="F121" s="7">
        <f>D121-E121</f>
        <v>44610.359999999986</v>
      </c>
      <c r="G121" s="7">
        <f>Base!L107</f>
        <v>187642.37999999998</v>
      </c>
      <c r="H121" s="7">
        <f>D121-G121</f>
        <v>712357.62</v>
      </c>
      <c r="I121" s="19">
        <f>IF(D121=0,0,G121/D121)</f>
        <v>0.2084915333333333</v>
      </c>
      <c r="J121" s="6" t="str">
        <f>Base!U107</f>
        <v>Administración directa / Contrata / Personal/bienes/servicios / Equipamiento</v>
      </c>
      <c r="K121" s="6" t="str">
        <f>Base!R107</f>
        <v>Mayormente comprometido</v>
      </c>
      <c r="L121" s="7" t="str">
        <f>Base!V107</f>
        <v>No registrado en cartera</v>
      </c>
      <c r="M121" s="7" t="str">
        <f>Base!W107</f>
        <v>No registrado en cartera</v>
      </c>
      <c r="N121" s="7" t="str">
        <f>Base!X107</f>
        <v>No registrado en cartera</v>
      </c>
      <c r="O121" s="7" t="str">
        <f>Base!Y107</f>
        <v>No registrado en cartera</v>
      </c>
      <c r="P121" s="6">
        <f>IF(Base!Z107="","",Base!Z107)</f>
        <v/>
      </c>
      <c r="Q121" s="18" t="str">
        <f>Base!S107</f>
        <v>Difícil</v>
      </c>
      <c r="R121" s="7">
        <f>Base!N107</f>
        <v>318467.1</v>
      </c>
      <c r="S121" s="7">
        <f>Base!T107</f>
        <v>363077.45999999996</v>
      </c>
    </row>
    <row r="122" spans="1:19">
      <c r="A122" s="8" t="s">
        <v>404</v>
      </c>
      <c r="B122" s="8"/>
      <c r="C122" s="8"/>
      <c r="D122" s="9">
        <f>D123+D133+D144+D146+D149</f>
        <v>209274718.0</v>
      </c>
      <c r="E122" s="9">
        <f>E123+E133+E144+E146+E149</f>
        <v>201858405.49</v>
      </c>
      <c r="F122" s="9">
        <f>D122-E122</f>
        <v>7416312.50999999</v>
      </c>
      <c r="G122" s="9">
        <f>G123+G133+G144+G146+G149</f>
        <v>104451830.43</v>
      </c>
      <c r="H122" s="9">
        <f>D122-G122</f>
        <v>104822887.57</v>
      </c>
      <c r="I122" s="14">
        <f>IF(D122=0,0,G122/D122)</f>
        <v>0.4991134687850828</v>
      </c>
      <c r="J122" s="8"/>
      <c r="K122" s="8"/>
      <c r="L122" s="8"/>
      <c r="M122" s="8"/>
      <c r="N122" s="8"/>
      <c r="O122" s="8"/>
      <c r="P122" s="8"/>
      <c r="Q122" s="8"/>
      <c r="R122" s="9">
        <f>R123+R133+R144+R146+R149</f>
        <v>45812633.69</v>
      </c>
      <c r="S122" s="9">
        <f>S123+S133+S144+S146+S149</f>
        <v>50438355.97000001</v>
      </c>
    </row>
    <row r="123" spans="1:19">
      <c r="A123" s="15" t="s">
        <v>71</v>
      </c>
      <c r="B123" s="15"/>
      <c r="C123" s="15"/>
      <c r="D123" s="16">
        <f>SUM(D124:D132)</f>
        <v>41210021.0</v>
      </c>
      <c r="E123" s="16">
        <f>SUM(E124:E132)</f>
        <v>38883859.15</v>
      </c>
      <c r="F123" s="16">
        <f>D123-E123</f>
        <v>2326161.8500000015</v>
      </c>
      <c r="G123" s="16">
        <f>SUM(G124:G132)</f>
        <v>14467550.45</v>
      </c>
      <c r="H123" s="16">
        <f>D123-G123</f>
        <v>26742470.55</v>
      </c>
      <c r="I123" s="17">
        <f>IF(D123=0,0,G123/D123)</f>
        <v>0.35106874733211124</v>
      </c>
      <c r="J123" s="15"/>
      <c r="K123" s="15"/>
      <c r="L123" s="15"/>
      <c r="M123" s="15"/>
      <c r="N123" s="15"/>
      <c r="O123" s="15"/>
      <c r="P123" s="15"/>
      <c r="Q123" s="15"/>
      <c r="R123" s="16">
        <f>SUM(R124:R132)</f>
        <v>7350691.229999995</v>
      </c>
      <c r="S123" s="16">
        <f>SUM(S124:S132)</f>
        <v>9676853.079999998</v>
      </c>
    </row>
    <row r="124" spans="1:19">
      <c r="A124" s="18">
        <f>SUBTOTAL(103,$B$6:B124)</f>
        <v>104</v>
      </c>
      <c r="B124" s="18">
        <v>34</v>
      </c>
      <c r="C124" s="6" t="str">
        <f>Base!H108</f>
        <v>2393398: MEJORAMIENTO DEL SERVICIO EDUCATIVO DE NIVEL SECUNDARIO EN LA I.E. A - 28 PERÚ BIRF CENTRO POBLADO DE AZANGARO - DISTRITO DE AZANGARO - PROVINCIA DE AZANGARO - REGIÓN PUNO</v>
      </c>
      <c r="D124" s="7">
        <f>Base!I108</f>
        <v>18692228.0</v>
      </c>
      <c r="E124" s="7">
        <f>Base!J108</f>
        <v>18634477.36</v>
      </c>
      <c r="F124" s="7">
        <f>D124-E124</f>
        <v>57750.640000000596</v>
      </c>
      <c r="G124" s="7">
        <f>Base!L108</f>
        <v>4987667.55</v>
      </c>
      <c r="H124" s="7">
        <f>D124-G124</f>
        <v>13704560.45</v>
      </c>
      <c r="I124" s="19">
        <f>IF(D124=0,0,G124/D124)</f>
        <v>0.266831088835424</v>
      </c>
      <c r="J124" s="6" t="str">
        <f>Base!U108</f>
        <v>Contrata / Personal/bienes/servicios / Equipamiento</v>
      </c>
      <c r="K124" s="6" t="str">
        <f>Base!R108</f>
        <v>Mayormente comprometido</v>
      </c>
      <c r="L124" s="7">
        <f>Base!V108</f>
        <v>12431185.0</v>
      </c>
      <c r="M124" s="7">
        <f>Base!W108</f>
        <v>4843790.0</v>
      </c>
      <c r="N124" s="7">
        <f>Base!X108</f>
        <v>2910115.0</v>
      </c>
      <c r="O124" s="7">
        <f>Base!Y108</f>
        <v>0</v>
      </c>
      <c r="P124" s="6">
        <f>IF(Base!Z108="","",Base!Z108)</f>
        <v/>
      </c>
      <c r="Q124" s="18" t="str">
        <f>Base!S108</f>
        <v>Difícil</v>
      </c>
      <c r="R124" s="7">
        <f>Base!N108</f>
        <v>458048.95999999717</v>
      </c>
      <c r="S124" s="7">
        <f>Base!T108</f>
        <v>515799.59999999776</v>
      </c>
    </row>
    <row r="125" spans="1:19">
      <c r="A125" s="18">
        <f>SUBTOTAL(103,$B$6:B125)</f>
        <v>105</v>
      </c>
      <c r="B125" s="18">
        <v>460</v>
      </c>
      <c r="C125" s="6" t="str">
        <f>Base!H109</f>
        <v>2500458: MEJORAMIENTO DEL SERVICIO EDUCATIVO EN LA IEP N° 70477 SAGRADO CORAZON DE JESUS DEL DISTRITO DE AYAVIRI - PROVINCIA DE MELGAR - DEPARTAMENTO DE PUNO</v>
      </c>
      <c r="D125" s="7">
        <f>Base!I109</f>
        <v>4437995.0</v>
      </c>
      <c r="E125" s="7">
        <f>Base!J109</f>
        <v>3573868.8599999994</v>
      </c>
      <c r="F125" s="7">
        <f>D125-E125</f>
        <v>864126.1400000006</v>
      </c>
      <c r="G125" s="7">
        <f>Base!L109</f>
        <v>2493396.69</v>
      </c>
      <c r="H125" s="7">
        <f>D125-G125</f>
        <v>1944598.31</v>
      </c>
      <c r="I125" s="19">
        <f>IF(D125=0,0,G125/D125)</f>
        <v>0.5618295401414377</v>
      </c>
      <c r="J125" s="6" t="str">
        <f>Base!U109</f>
        <v>Administración directa / Contrata / Equipamiento / Personal/bienes/servicios</v>
      </c>
      <c r="K125" s="6" t="str">
        <f>Base!R109</f>
        <v>Mayormente comprometido</v>
      </c>
      <c r="L125" s="7" t="str">
        <f>Base!V109</f>
        <v>No registrado en cartera</v>
      </c>
      <c r="M125" s="7" t="str">
        <f>Base!W109</f>
        <v>No registrado en cartera</v>
      </c>
      <c r="N125" s="7" t="str">
        <f>Base!X109</f>
        <v>No registrado en cartera</v>
      </c>
      <c r="O125" s="7" t="str">
        <f>Base!Y109</f>
        <v>No registrado en cartera</v>
      </c>
      <c r="P125" s="6">
        <f>IF(Base!Z109="","",Base!Z109)</f>
        <v/>
      </c>
      <c r="Q125" s="18" t="str">
        <f>Base!S109</f>
        <v>Difícil</v>
      </c>
      <c r="R125" s="7">
        <f>Base!N109</f>
        <v>382467.8699999992</v>
      </c>
      <c r="S125" s="7">
        <f>Base!T109</f>
        <v>1246594.0099999998</v>
      </c>
    </row>
    <row r="126" spans="1:19">
      <c r="A126" s="18">
        <f>SUBTOTAL(103,$B$6:B126)</f>
        <v>106</v>
      </c>
      <c r="B126" s="18">
        <v>455</v>
      </c>
      <c r="C126" s="6" t="str">
        <f>Base!H110</f>
        <v>2453224: MEJORAMIENTO DE LOS SERVICIOS DE EDUCACION SECUNDARIA DE LA INSTITUCION EDUCATIVA LIBERTADOR JOSE DE SAN MARTIN DE HUARISANI DEL DISTRITO DE HUANCANE - PROVINCIA DE HUANCANE - DEPARTAMENTO DE PUNO</v>
      </c>
      <c r="D126" s="7">
        <f>Base!I110</f>
        <v>4265759.0</v>
      </c>
      <c r="E126" s="7">
        <f>Base!J110</f>
        <v>3847052.9399999995</v>
      </c>
      <c r="F126" s="7">
        <f>D126-E126</f>
        <v>418706.0600000005</v>
      </c>
      <c r="G126" s="7">
        <f>Base!L110</f>
        <v>2741829.61</v>
      </c>
      <c r="H126" s="7">
        <f>D126-G126</f>
        <v>1523929.3900000001</v>
      </c>
      <c r="I126" s="19">
        <f>IF(D126=0,0,G126/D126)</f>
        <v>0.6427530505122301</v>
      </c>
      <c r="J126" s="6" t="str">
        <f>Base!U110</f>
        <v>Administración directa / Contrata / Equipamiento / Personal/bienes/servicios</v>
      </c>
      <c r="K126" s="6" t="str">
        <f>Base!R110</f>
        <v>Mayormente comprometido</v>
      </c>
      <c r="L126" s="7" t="str">
        <f>Base!V110</f>
        <v>No registrado en cartera</v>
      </c>
      <c r="M126" s="7" t="str">
        <f>Base!W110</f>
        <v>No registrado en cartera</v>
      </c>
      <c r="N126" s="7" t="str">
        <f>Base!X110</f>
        <v>No registrado en cartera</v>
      </c>
      <c r="O126" s="7" t="str">
        <f>Base!Y110</f>
        <v>No registrado en cartera</v>
      </c>
      <c r="P126" s="6">
        <f>IF(Base!Z110="","",Base!Z110)</f>
        <v/>
      </c>
      <c r="Q126" s="18" t="str">
        <f>Base!S110</f>
        <v>Difícil</v>
      </c>
      <c r="R126" s="7">
        <f>Base!N110</f>
        <v>142724.81000000006</v>
      </c>
      <c r="S126" s="7">
        <f>Base!T110</f>
        <v>561430.8700000006</v>
      </c>
    </row>
    <row r="127" spans="1:19">
      <c r="A127" s="18">
        <f>SUBTOTAL(103,$B$6:B127)</f>
        <v>107</v>
      </c>
      <c r="B127" s="18">
        <v>172</v>
      </c>
      <c r="C127" s="6" t="str">
        <f>Base!H111</f>
        <v>2250382: INSTALACION DE LOS SERVICIOS DE EDUCACION INICIAL  EN LA I.E.I.  CHIA, DEL  C.P. DE  CHIA, DEL DISTRITO DE OLLACHEA - PROVINCIA CARABAYA - REGION PUNO</v>
      </c>
      <c r="D127" s="7">
        <f>Base!I111</f>
        <v>2342684.0</v>
      </c>
      <c r="E127" s="7">
        <f>Base!J111</f>
        <v>2159343.33</v>
      </c>
      <c r="F127" s="7">
        <f>D127-E127</f>
        <v>183340.66999999993</v>
      </c>
      <c r="G127" s="7">
        <f>Base!L111</f>
        <v>1123789.35</v>
      </c>
      <c r="H127" s="7">
        <f>D127-G127</f>
        <v>1218894.65</v>
      </c>
      <c r="I127" s="19">
        <f>IF(D127=0,0,G127/D127)</f>
        <v>0.47970163709659525</v>
      </c>
      <c r="J127" s="6" t="str">
        <f>Base!U111</f>
        <v>Administración directa / Contrata / Personal/bienes/servicios</v>
      </c>
      <c r="K127" s="6" t="str">
        <f>Base!R111</f>
        <v>Mayormente comprometido</v>
      </c>
      <c r="L127" s="7">
        <f>Base!V111</f>
        <v>800000.0</v>
      </c>
      <c r="M127" s="7">
        <f>Base!W111</f>
        <v>26969.0</v>
      </c>
      <c r="N127" s="7">
        <f>Base!X111</f>
        <v>0</v>
      </c>
      <c r="O127" s="7">
        <f>Base!Y111</f>
        <v>0</v>
      </c>
      <c r="P127" s="6">
        <f>IF(Base!Z111="","",Base!Z111)</f>
        <v/>
      </c>
      <c r="Q127" s="18" t="str">
        <f>Base!S111</f>
        <v>Difícil</v>
      </c>
      <c r="R127" s="7">
        <f>Base!N111</f>
        <v>200755.67000000016</v>
      </c>
      <c r="S127" s="7">
        <f>Base!T111</f>
        <v>384096.3400000001</v>
      </c>
    </row>
    <row r="128" spans="1:19">
      <c r="A128" s="18">
        <f>SUBTOTAL(103,$B$6:B128)</f>
        <v>108</v>
      </c>
      <c r="B128" s="18">
        <v>28</v>
      </c>
      <c r="C128" s="6" t="str">
        <f>Base!H112</f>
        <v>2344253: MEJORAMIENTO DEL SERVICIO EDUCATIVO EN LA I.E.S.  JOSÉ ANTONIO ENCINAS FRANCO, CENTRO POBLADO DE LECHEMAYO DEL DISTRITO DE SAN GABAN - PROVINCIA DE CARABAYA - DEPARTAMENTO DE PUNO</v>
      </c>
      <c r="D128" s="7">
        <f>Base!I112</f>
        <v>4026127.0</v>
      </c>
      <c r="E128" s="7">
        <f>Base!J112</f>
        <v>3933834.94</v>
      </c>
      <c r="F128" s="7">
        <f>D128-E128</f>
        <v>92292.06000000006</v>
      </c>
      <c r="G128" s="7">
        <f>Base!L112</f>
        <v>1387806.25</v>
      </c>
      <c r="H128" s="7">
        <f>D128-G128</f>
        <v>2638320.75</v>
      </c>
      <c r="I128" s="19">
        <f>IF(D128=0,0,G128/D128)</f>
        <v>0.34470006783193874</v>
      </c>
      <c r="J128" s="6" t="str">
        <f>Base!U112</f>
        <v>Contrata / Personal/bienes/servicios</v>
      </c>
      <c r="K128" s="6" t="str">
        <f>Base!R112</f>
        <v>Mayormente comprometido</v>
      </c>
      <c r="L128" s="7">
        <f>Base!V112</f>
        <v>2120577.0</v>
      </c>
      <c r="M128" s="7">
        <f>Base!W112</f>
        <v>5094106.0</v>
      </c>
      <c r="N128" s="7">
        <f>Base!X112</f>
        <v>4994536.0</v>
      </c>
      <c r="O128" s="7">
        <f>Base!Y112</f>
        <v>0</v>
      </c>
      <c r="P128" s="6">
        <f>IF(Base!Z112="","",Base!Z112)</f>
        <v/>
      </c>
      <c r="Q128" s="18" t="str">
        <f>Base!S112</f>
        <v>Difícil</v>
      </c>
      <c r="R128" s="7">
        <f>Base!N112</f>
        <v>1705554.4</v>
      </c>
      <c r="S128" s="7">
        <f>Base!T112</f>
        <v>1797846.46</v>
      </c>
    </row>
    <row r="129" spans="1:19">
      <c r="A129" s="18">
        <f>SUBTOTAL(103,$B$6:B129)</f>
        <v>109</v>
      </c>
      <c r="B129" s="18">
        <v>32</v>
      </c>
      <c r="C129" s="6" t="str">
        <f>Base!H113</f>
        <v>2385051: MEJORAMIENTO DEL SERVICIO EDUCATIVO EN LA I.E.S.  SAN JUAN BOSCO DE SALCEDO CON JORNADA ESCOLAR COMPLETA DISTRITO DE PUNO - PROVINCIA DE PUNO - REGIÓN PUNO</v>
      </c>
      <c r="D129" s="7">
        <f>Base!I113</f>
        <v>4927527.0</v>
      </c>
      <c r="E129" s="7">
        <f>Base!J113</f>
        <v>4223260.6899999995</v>
      </c>
      <c r="F129" s="7">
        <f>D129-E129</f>
        <v>704266.3100000005</v>
      </c>
      <c r="G129" s="7">
        <f>Base!L113</f>
        <v>1725644.14</v>
      </c>
      <c r="H129" s="7">
        <f>D129-G129</f>
        <v>3201882.8600000003</v>
      </c>
      <c r="I129" s="19">
        <f>IF(D129=0,0,G129/D129)</f>
        <v>0.35020490806037186</v>
      </c>
      <c r="J129" s="6" t="str">
        <f>Base!U113</f>
        <v>Administración directa / Contrata / Equipamiento / Personal/bienes/servicios</v>
      </c>
      <c r="K129" s="6" t="str">
        <f>Base!R113</f>
        <v>Parcialmente comprometido</v>
      </c>
      <c r="L129" s="7">
        <f>Base!V113</f>
        <v>2000000.0</v>
      </c>
      <c r="M129" s="7">
        <f>Base!W113</f>
        <v>8000000.0</v>
      </c>
      <c r="N129" s="7">
        <f>Base!X113</f>
        <v>9133500.0</v>
      </c>
      <c r="O129" s="7">
        <f>Base!Y113</f>
        <v>8629252.0</v>
      </c>
      <c r="P129" s="6">
        <f>IF(Base!Z113="","",Base!Z113)</f>
        <v/>
      </c>
      <c r="Q129" s="18" t="str">
        <f>Base!S113</f>
        <v>Parcial</v>
      </c>
      <c r="R129" s="7">
        <f>Base!N113</f>
        <v>1958580.519999999</v>
      </c>
      <c r="S129" s="7">
        <f>Base!T113</f>
        <v>2662846.8299999996</v>
      </c>
    </row>
    <row r="130" spans="1:19">
      <c r="A130" s="18">
        <f>SUBTOTAL(103,$B$6:B130)</f>
        <v>110</v>
      </c>
      <c r="B130" s="18">
        <v>156</v>
      </c>
      <c r="C130" s="6" t="str">
        <f>Base!H114</f>
        <v>2566572: MEJORAMIENTO Y AMPLIACION DE LOS SERVICIOS DE EDUCACIÓN SUPERIOR DEL INSTITUTO SUPERIOR TECNOLÓGICO PUBLICO DE NUÑOA DEL  DISTRITO DE NUÑOA - PROVINCIA DE MELGAR - DEPARTAMENTO DE PUNO</v>
      </c>
      <c r="D130" s="7">
        <f>Base!I114</f>
        <v>1479604.0</v>
      </c>
      <c r="E130" s="7">
        <f>Base!J114</f>
        <v>1473924.03</v>
      </c>
      <c r="F130" s="7">
        <f>D130-E130</f>
        <v>5679.969999999972</v>
      </c>
      <c r="G130" s="7">
        <f>Base!L114</f>
        <v>7416.86</v>
      </c>
      <c r="H130" s="7">
        <f>D130-G130</f>
        <v>1472187.14</v>
      </c>
      <c r="I130" s="19">
        <f>IF(D130=0,0,G130/D130)</f>
        <v>0.005012733136704145</v>
      </c>
      <c r="J130" s="6" t="str">
        <f>Base!U114</f>
        <v>Contrata / Expediente técnico</v>
      </c>
      <c r="K130" s="6" t="str">
        <f>Base!R114</f>
        <v>Parcialmente comprometido</v>
      </c>
      <c r="L130" s="7">
        <f>Base!V114</f>
        <v>3000000.0</v>
      </c>
      <c r="M130" s="7">
        <f>Base!W114</f>
        <v>6984785.0</v>
      </c>
      <c r="N130" s="7">
        <f>Base!X114</f>
        <v>0</v>
      </c>
      <c r="O130" s="7">
        <f>Base!Y114</f>
        <v>6681576.0</v>
      </c>
      <c r="P130" s="6">
        <f>IF(Base!Z114="","",Base!Z114)</f>
        <v/>
      </c>
      <c r="Q130" s="18" t="str">
        <f>Base!S114</f>
        <v>Parcial</v>
      </c>
      <c r="R130" s="7">
        <f>Base!N114</f>
        <v>1464462.0</v>
      </c>
      <c r="S130" s="7">
        <f>Base!T114</f>
        <v>1470141.97</v>
      </c>
    </row>
    <row r="131" spans="1:19">
      <c r="A131" s="18">
        <f>SUBTOTAL(103,$B$6:B131)</f>
        <v>111</v>
      </c>
      <c r="B131" s="18">
        <v>506</v>
      </c>
      <c r="C131" s="6" t="str">
        <f>Base!H115</f>
        <v>2501244: MEJORAMIENTO DEL SERVICIO EDUCATIVO DEL NIVEL SECUNDARIA DE LA I.E. AGROPECUARIO PAMPA YANAMAYO DEL DISTRITO DE ALTO INAMBARI - PROVINCIA DE SANDIA - DEPARTAMENTO DE PUNO</v>
      </c>
      <c r="D131" s="7">
        <f>Base!I115</f>
        <v>1038097.0</v>
      </c>
      <c r="E131" s="7">
        <f>Base!J115</f>
        <v>1038097.0</v>
      </c>
      <c r="F131" s="7">
        <f>D131-E131</f>
        <v>0.0</v>
      </c>
      <c r="G131" s="7">
        <f>Base!L115</f>
        <v>0.0</v>
      </c>
      <c r="H131" s="7">
        <f>D131-G131</f>
        <v>1038097.0</v>
      </c>
      <c r="I131" s="19">
        <f>IF(D131=0,0,G131/D131)</f>
        <v>0.0</v>
      </c>
      <c r="J131" s="6" t="str">
        <f>Base!U115</f>
        <v>Contrata</v>
      </c>
      <c r="K131" s="6" t="str">
        <f>Base!R115</f>
        <v>Solo certificado</v>
      </c>
      <c r="L131" s="7" t="str">
        <f>Base!V115</f>
        <v>No registrado en cartera</v>
      </c>
      <c r="M131" s="7" t="str">
        <f>Base!W115</f>
        <v>No registrado en cartera</v>
      </c>
      <c r="N131" s="7" t="str">
        <f>Base!X115</f>
        <v>No registrado en cartera</v>
      </c>
      <c r="O131" s="7" t="str">
        <f>Base!Y115</f>
        <v>No registrado en cartera</v>
      </c>
      <c r="P131" s="6">
        <f>IF(Base!Z115="","",Base!Z115)</f>
        <v/>
      </c>
      <c r="Q131" s="18" t="str">
        <f>Base!S115</f>
        <v>Posible</v>
      </c>
      <c r="R131" s="7">
        <f>Base!N115</f>
        <v>1038097.0</v>
      </c>
      <c r="S131" s="7">
        <f>Base!T115</f>
        <v>1038097.0</v>
      </c>
    </row>
    <row r="132" spans="1:19">
      <c r="A132" s="18">
        <f>SUBTOTAL(103,$B$6:B132)</f>
        <v>112</v>
      </c>
      <c r="B132" s="18">
        <v>23</v>
      </c>
      <c r="C132" s="6" t="str">
        <f>Base!H116</f>
        <v>2194501: INSTALACION DEL SERVICIO EDUCATIVO DE LA INSTITUCION EDUCATIVA SECUNDARIA SANTA MONICA EN EL DISTRITO DE JULIACA, PROVINCIA DE SAN ROMAN - PUNO.</v>
      </c>
      <c r="D132" s="7">
        <f>Base!I116</f>
        <v>0.0</v>
      </c>
      <c r="E132" s="7">
        <f>Base!J116</f>
        <v>0.0</v>
      </c>
      <c r="F132" s="7">
        <f>D132-E132</f>
        <v>0.0</v>
      </c>
      <c r="G132" s="7">
        <f>Base!L116</f>
        <v>0.0</v>
      </c>
      <c r="H132" s="7">
        <f>D132-G132</f>
        <v>0.0</v>
      </c>
      <c r="I132" s="19">
        <f>IF(D132=0,0,G132/D132)</f>
        <v>0</v>
      </c>
      <c r="J132" s="6" t="str">
        <f>Base!U116</f>
        <v>Personal/bienes/servicios</v>
      </c>
      <c r="K132" s="6" t="str">
        <f>Base!R116</f>
        <v>Sin PIM</v>
      </c>
      <c r="L132" s="7">
        <f>Base!V116</f>
        <v>144908.0</v>
      </c>
      <c r="M132" s="7">
        <f>Base!W116</f>
        <v>229001.0</v>
      </c>
      <c r="N132" s="7">
        <f>Base!X116</f>
        <v>0</v>
      </c>
      <c r="O132" s="7">
        <f>Base!Y116</f>
        <v>0</v>
      </c>
      <c r="P132" s="6">
        <f>IF(Base!Z116="","",Base!Z116)</f>
        <v/>
      </c>
      <c r="Q132" s="18" t="str">
        <f>Base!S116</f>
        <v>Sin PIM</v>
      </c>
      <c r="R132" s="7">
        <f>Base!N116</f>
        <v>0.0</v>
      </c>
      <c r="S132" s="7">
        <f>Base!T116</f>
        <v>0.0</v>
      </c>
    </row>
    <row r="133" spans="1:19">
      <c r="A133" s="15" t="s">
        <v>58</v>
      </c>
      <c r="B133" s="15"/>
      <c r="C133" s="15"/>
      <c r="D133" s="16">
        <f>SUM(D134:D143)</f>
        <v>153365775.0</v>
      </c>
      <c r="E133" s="16">
        <f>SUM(E134:E143)</f>
        <v>148423261.8</v>
      </c>
      <c r="F133" s="16">
        <f>D133-E133</f>
        <v>4942513.199999988</v>
      </c>
      <c r="G133" s="16">
        <f>SUM(G134:G143)</f>
        <v>83709708.2</v>
      </c>
      <c r="H133" s="16">
        <f>D133-G133</f>
        <v>69656066.8</v>
      </c>
      <c r="I133" s="17">
        <f>IF(D133=0,0,G133/D133)</f>
        <v>0.5458173976560285</v>
      </c>
      <c r="J133" s="15"/>
      <c r="K133" s="15"/>
      <c r="L133" s="15"/>
      <c r="M133" s="15"/>
      <c r="N133" s="15"/>
      <c r="O133" s="15"/>
      <c r="P133" s="15"/>
      <c r="Q133" s="15"/>
      <c r="R133" s="16">
        <f>SUM(R134:R143)</f>
        <v>37127073.0</v>
      </c>
      <c r="S133" s="16">
        <f>SUM(S134:S143)</f>
        <v>39278995.97000001</v>
      </c>
    </row>
    <row r="134" spans="1:19">
      <c r="A134" s="18">
        <f>SUBTOTAL(103,$B$6:B134)</f>
        <v>113</v>
      </c>
      <c r="B134" s="18">
        <v>219</v>
      </c>
      <c r="C134" s="6" t="str">
        <f>Base!H117</f>
        <v>2251136: MEJORAMIENTO DE LA CAPACIDAD RESOLUTIVA DEL HOSPITAL LUCIO ALDAZABAL PAUCA DE REDES HUANCANE, PROVINCIA DE HUANCANE - REGION PUNO</v>
      </c>
      <c r="D134" s="7">
        <f>Base!I117</f>
        <v>56150305.0</v>
      </c>
      <c r="E134" s="7">
        <f>Base!J117</f>
        <v>56150304.02</v>
      </c>
      <c r="F134" s="7">
        <f>D134-E134</f>
        <v>0.9799999967217445</v>
      </c>
      <c r="G134" s="7">
        <f>Base!L117</f>
        <v>29724123.720000006</v>
      </c>
      <c r="H134" s="7">
        <f>D134-G134</f>
        <v>26426181.279999994</v>
      </c>
      <c r="I134" s="19">
        <f>IF(D134=0,0,G134/D134)</f>
        <v>0.5293670928412589</v>
      </c>
      <c r="J134" s="6" t="str">
        <f>Base!U117</f>
        <v>Contrata / Personal/bienes/servicios</v>
      </c>
      <c r="K134" s="6" t="str">
        <f>Base!R117</f>
        <v>Mayormente comprometido</v>
      </c>
      <c r="L134" s="7" t="str">
        <f>Base!V117</f>
        <v>No registrado en cartera</v>
      </c>
      <c r="M134" s="7" t="str">
        <f>Base!W117</f>
        <v>No registrado en cartera</v>
      </c>
      <c r="N134" s="7" t="str">
        <f>Base!X117</f>
        <v>No registrado en cartera</v>
      </c>
      <c r="O134" s="7" t="str">
        <f>Base!Y117</f>
        <v>No registrado en cartera</v>
      </c>
      <c r="P134" s="6">
        <f>IF(Base!Z117="","",Base!Z117)</f>
        <v/>
      </c>
      <c r="Q134" s="18" t="str">
        <f>Base!S117</f>
        <v>Difícil</v>
      </c>
      <c r="R134" s="7">
        <f>Base!N117</f>
        <v>780256.0800000057</v>
      </c>
      <c r="S134" s="7">
        <f>Base!T117</f>
        <v>780257.0600000024</v>
      </c>
    </row>
    <row r="135" spans="1:19">
      <c r="A135" s="18">
        <f>SUBTOTAL(103,$B$6:B135)</f>
        <v>114</v>
      </c>
      <c r="B135" s="18">
        <v>240</v>
      </c>
      <c r="C135" s="6" t="str">
        <f>Base!H118</f>
        <v>2490087: MEJORAMIENTO Y AMPLIACION DE LOS SERVICIOS DE SALUD DEL ESTABLECIMIENTO DE SALUD NIVEL I- 4 DE LA LOCALIDAD DE TARACO,  DISTRITO DE TARACO - PROVINCIA DE HUANCANE - DEPARTAMENTO DE PUNO</v>
      </c>
      <c r="D135" s="7">
        <f>Base!I118</f>
        <v>8766661.0</v>
      </c>
      <c r="E135" s="7">
        <f>Base!J118</f>
        <v>8493624.369999997</v>
      </c>
      <c r="F135" s="7">
        <f>D135-E135</f>
        <v>273036.6300000027</v>
      </c>
      <c r="G135" s="7">
        <f>Base!L118</f>
        <v>3843826.37</v>
      </c>
      <c r="H135" s="7">
        <f>D135-G135</f>
        <v>4922834.63</v>
      </c>
      <c r="I135" s="19">
        <f>IF(D135=0,0,G135/D135)</f>
        <v>0.4384595651639775</v>
      </c>
      <c r="J135" s="6" t="str">
        <f>Base!U118</f>
        <v>Contrata / Personal/bienes/servicios</v>
      </c>
      <c r="K135" s="6" t="str">
        <f>Base!R118</f>
        <v>Parcialmente comprometido</v>
      </c>
      <c r="L135" s="7">
        <f>Base!V118</f>
        <v>22181694.0</v>
      </c>
      <c r="M135" s="7">
        <f>Base!W118</f>
        <v>12443559.0</v>
      </c>
      <c r="N135" s="7">
        <f>Base!X118</f>
        <v>23194677.0</v>
      </c>
      <c r="O135" s="7">
        <f>Base!Y118</f>
        <v>529157.0</v>
      </c>
      <c r="P135" s="6">
        <f>IF(Base!Z118="","",Base!Z118)</f>
        <v/>
      </c>
      <c r="Q135" s="18" t="str">
        <f>Base!S118</f>
        <v>Parcial</v>
      </c>
      <c r="R135" s="7">
        <f>Base!N118</f>
        <v>4430356.2799999975</v>
      </c>
      <c r="S135" s="7">
        <f>Base!T118</f>
        <v>4703392.91</v>
      </c>
    </row>
    <row r="136" spans="1:19">
      <c r="A136" s="18">
        <f>SUBTOTAL(103,$B$6:B136)</f>
        <v>115</v>
      </c>
      <c r="B136" s="18">
        <v>226</v>
      </c>
      <c r="C136" s="6" t="str">
        <f>Base!H119</f>
        <v>2357089: MEJORAMIENTO DE LOS SERVICIOS DEL CENTRO DE SALUD ESTRATÉGICO SIMÓN BOLÍVAR CATEGORÍA I-4 RED DE SALUD PUNO, DISTRITO PUNO -  PROVINCIA DE PUNO - REGIÓN PUNO¿  DISTRITO DE PUNO - PROVINCIA DE PUNO - DEPARTAMENTO DE PUNO</v>
      </c>
      <c r="D136" s="7">
        <f>Base!I119</f>
        <v>18753537.0</v>
      </c>
      <c r="E136" s="7">
        <f>Base!J119</f>
        <v>18471517.02</v>
      </c>
      <c r="F136" s="7">
        <f>D136-E136</f>
        <v>282019.98000000045</v>
      </c>
      <c r="G136" s="7">
        <f>Base!L119</f>
        <v>17212318.05</v>
      </c>
      <c r="H136" s="7">
        <f>D136-G136</f>
        <v>1541218.9499999993</v>
      </c>
      <c r="I136" s="19">
        <f>IF(D136=0,0,G136/D136)</f>
        <v>0.9178171589711317</v>
      </c>
      <c r="J136" s="6" t="str">
        <f>Base!U119</f>
        <v>Contrata</v>
      </c>
      <c r="K136" s="6" t="str">
        <f>Base!R119</f>
        <v>Ejecutado</v>
      </c>
      <c r="L136" s="7">
        <f>Base!V119</f>
        <v>12200258.0</v>
      </c>
      <c r="M136" s="7">
        <f>Base!W119</f>
        <v>14587856.0</v>
      </c>
      <c r="N136" s="7">
        <f>Base!X119</f>
        <v>16487882.0</v>
      </c>
      <c r="O136" s="7">
        <f>Base!Y119</f>
        <v>20726909.0</v>
      </c>
      <c r="P136" s="6">
        <f>IF(Base!Z119="","",Base!Z119)</f>
        <v/>
      </c>
      <c r="Q136" s="18" t="str">
        <f>Base!S119</f>
        <v>No usar</v>
      </c>
      <c r="R136" s="7">
        <f>Base!N119</f>
        <v>1259198.9699999988</v>
      </c>
      <c r="S136" s="7">
        <f>Base!T119</f>
        <v>0.0</v>
      </c>
    </row>
    <row r="137" spans="1:19">
      <c r="A137" s="18">
        <f>SUBTOTAL(103,$B$6:B137)</f>
        <v>116</v>
      </c>
      <c r="B137" s="18">
        <v>234</v>
      </c>
      <c r="C137" s="6" t="str">
        <f>Base!H120</f>
        <v>2435272: MEJORAMIENTO Y AMPLIACION DE LOS SERVICIOS DE SALUD DEL CENTRO DE SALUD LA REVOLUCIÓN (NIVEL I-4)  DISTRITO DE SAN MIGUEL - PROVINCIA DE SAN ROMAN - DEPARTAMENTO DE PUNO</v>
      </c>
      <c r="D137" s="7">
        <f>Base!I120</f>
        <v>17484286.0</v>
      </c>
      <c r="E137" s="7">
        <f>Base!J120</f>
        <v>17380462.93</v>
      </c>
      <c r="F137" s="7">
        <f>D137-E137</f>
        <v>103823.0700000003</v>
      </c>
      <c r="G137" s="7">
        <f>Base!L120</f>
        <v>15761867.260000002</v>
      </c>
      <c r="H137" s="7">
        <f>D137-G137</f>
        <v>1722418.7399999984</v>
      </c>
      <c r="I137" s="19">
        <f>IF(D137=0,0,G137/D137)</f>
        <v>0.9014876135062079</v>
      </c>
      <c r="J137" s="6" t="str">
        <f>Base!U120</f>
        <v>Contrata</v>
      </c>
      <c r="K137" s="6" t="str">
        <f>Base!R120</f>
        <v>Ejecutado</v>
      </c>
      <c r="L137" s="7">
        <f>Base!V120</f>
        <v>12000000.0</v>
      </c>
      <c r="M137" s="7">
        <f>Base!W120</f>
        <v>14587598.0</v>
      </c>
      <c r="N137" s="7">
        <f>Base!X120</f>
        <v>26545222.0</v>
      </c>
      <c r="O137" s="7">
        <f>Base!Y120</f>
        <v>3405517.0</v>
      </c>
      <c r="P137" s="6">
        <f>IF(Base!Z120="","",Base!Z120)</f>
        <v/>
      </c>
      <c r="Q137" s="18" t="str">
        <f>Base!S120</f>
        <v>No usar</v>
      </c>
      <c r="R137" s="7">
        <f>Base!N120</f>
        <v>1120441.6199999992</v>
      </c>
      <c r="S137" s="7">
        <f>Base!T120</f>
        <v>0.0</v>
      </c>
    </row>
    <row r="138" spans="1:19">
      <c r="A138" s="18">
        <f>SUBTOTAL(103,$B$6:B138)</f>
        <v>117</v>
      </c>
      <c r="B138" s="18">
        <v>434</v>
      </c>
      <c r="C138" s="6" t="str">
        <f>Base!H121</f>
        <v>2278822: MEJORAMIENTO DE LOS SERVICIOS DE SALUD DEL HOSPITAL RAFAEL ORTIZ RAVINES DE JULI, PROVINCIA DE CHUCUITO - REGION PUNO</v>
      </c>
      <c r="D138" s="7">
        <f>Base!I121</f>
        <v>41519761.0</v>
      </c>
      <c r="E138" s="7">
        <f>Base!J121</f>
        <v>39201248.73</v>
      </c>
      <c r="F138" s="7">
        <f>D138-E138</f>
        <v>2318512.2700000033</v>
      </c>
      <c r="G138" s="7">
        <f>Base!L121</f>
        <v>10652959.62</v>
      </c>
      <c r="H138" s="7">
        <f>D138-G138</f>
        <v>30866801.380000003</v>
      </c>
      <c r="I138" s="19">
        <f>IF(D138=0,0,G138/D138)</f>
        <v>0.2565756488819866</v>
      </c>
      <c r="J138" s="6" t="str">
        <f>Base!U121</f>
        <v>Contrata</v>
      </c>
      <c r="K138" s="6" t="str">
        <f>Base!R121</f>
        <v>Parcialmente comprometido</v>
      </c>
      <c r="L138" s="7" t="str">
        <f>Base!V121</f>
        <v>No registrado en cartera</v>
      </c>
      <c r="M138" s="7" t="str">
        <f>Base!W121</f>
        <v>No registrado en cartera</v>
      </c>
      <c r="N138" s="7" t="str">
        <f>Base!X121</f>
        <v>No registrado en cartera</v>
      </c>
      <c r="O138" s="7" t="str">
        <f>Base!Y121</f>
        <v>No registrado en cartera</v>
      </c>
      <c r="P138" s="6">
        <f>IF(Base!Z121="","",Base!Z121)</f>
        <v/>
      </c>
      <c r="Q138" s="18" t="str">
        <f>Base!S121</f>
        <v>Parcial</v>
      </c>
      <c r="R138" s="7">
        <f>Base!N121</f>
        <v>28361970.189999998</v>
      </c>
      <c r="S138" s="7">
        <f>Base!T121</f>
        <v>30680482.46</v>
      </c>
    </row>
    <row r="139" spans="1:19">
      <c r="A139" s="18">
        <f>SUBTOTAL(103,$B$6:B139)</f>
        <v>118</v>
      </c>
      <c r="B139" s="18">
        <v>233</v>
      </c>
      <c r="C139" s="6" t="str">
        <f>Base!H122</f>
        <v>2427364: MEJORAMIENTO DE LOS SERVICIOS DE SALUD DEL HOSPITAL ANTONIO BARRIONUEVO DISTRITO DE LAMPA - PROVINCIA DE LAMPA - DEPARTAMENTO DE PUNO</v>
      </c>
      <c r="D139" s="7">
        <f>Base!I122</f>
        <v>966193.0</v>
      </c>
      <c r="E139" s="7">
        <f>Base!J122</f>
        <v>746819.06</v>
      </c>
      <c r="F139" s="7">
        <f>D139-E139</f>
        <v>219373.93999999994</v>
      </c>
      <c r="G139" s="7">
        <f>Base!L122</f>
        <v>6257.4</v>
      </c>
      <c r="H139" s="7">
        <f>D139-G139</f>
        <v>959935.6</v>
      </c>
      <c r="I139" s="19">
        <f>IF(D139=0,0,G139/D139)</f>
        <v>0.006476345823246494</v>
      </c>
      <c r="J139" s="6" t="str">
        <f>Base!U122</f>
        <v>Contrata / Expediente técnico / Laudos arbitrales</v>
      </c>
      <c r="K139" s="6" t="str">
        <f>Base!R122</f>
        <v>Parcialmente comprometido</v>
      </c>
      <c r="L139" s="7" t="str">
        <f>Base!V122</f>
        <v>No registrado en cartera</v>
      </c>
      <c r="M139" s="7" t="str">
        <f>Base!W122</f>
        <v>No registrado en cartera</v>
      </c>
      <c r="N139" s="7" t="str">
        <f>Base!X122</f>
        <v>No registrado en cartera</v>
      </c>
      <c r="O139" s="7" t="str">
        <f>Base!Y122</f>
        <v>No registrado en cartera</v>
      </c>
      <c r="P139" s="6">
        <f>IF(Base!Z122="","",Base!Z122)</f>
        <v/>
      </c>
      <c r="Q139" s="18" t="str">
        <f>Base!S122</f>
        <v>Parcial</v>
      </c>
      <c r="R139" s="7">
        <f>Base!N122</f>
        <v>740561.66</v>
      </c>
      <c r="S139" s="7">
        <f>Base!T122</f>
        <v>959935.6</v>
      </c>
    </row>
    <row r="140" spans="1:19">
      <c r="A140" s="18">
        <f>SUBTOTAL(103,$B$6:B140)</f>
        <v>119</v>
      </c>
      <c r="B140" s="18">
        <v>2</v>
      </c>
      <c r="C140" s="6" t="str">
        <f>Base!H123</f>
        <v>2227389: AMPLIACION Y MEJORAMIENTO DE LA CAPACIDAD RESOLUTIVA DEL HOSPITAL DE APOYO SAN MARTIN DE PORRES DE MACUSANI, PROVINCIA DE CARABAYA - PUNO</v>
      </c>
      <c r="D140" s="7">
        <f>Base!I123</f>
        <v>4068561.0</v>
      </c>
      <c r="E140" s="7">
        <f>Base!J123</f>
        <v>4043454.41</v>
      </c>
      <c r="F140" s="7">
        <f>D140-E140</f>
        <v>25106.58999999985</v>
      </c>
      <c r="G140" s="7">
        <f>Base!L123</f>
        <v>4043454.41</v>
      </c>
      <c r="H140" s="7">
        <f>D140-G140</f>
        <v>25106.58999999985</v>
      </c>
      <c r="I140" s="19">
        <f>IF(D140=0,0,G140/D140)</f>
        <v>0.9938291228766142</v>
      </c>
      <c r="J140" s="6" t="str">
        <f>Base!U123</f>
        <v>Contrata / Laudos arbitrales</v>
      </c>
      <c r="K140" s="6" t="str">
        <f>Base!R123</f>
        <v>Ejecutado</v>
      </c>
      <c r="L140" s="7">
        <f>Base!V123</f>
        <v>100000.0</v>
      </c>
      <c r="M140" s="7">
        <f>Base!W123</f>
        <v>0</v>
      </c>
      <c r="N140" s="7">
        <f>Base!X123</f>
        <v>0</v>
      </c>
      <c r="O140" s="7">
        <f>Base!Y123</f>
        <v>900000.0</v>
      </c>
      <c r="P140" s="6">
        <f>IF(Base!Z123="","",Base!Z123)</f>
        <v/>
      </c>
      <c r="Q140" s="18" t="str">
        <f>Base!S123</f>
        <v>No usar</v>
      </c>
      <c r="R140" s="7">
        <f>Base!N123</f>
        <v>0.0</v>
      </c>
      <c r="S140" s="7">
        <f>Base!T123</f>
        <v>0.0</v>
      </c>
    </row>
    <row r="141" spans="1:19">
      <c r="A141" s="18">
        <f>SUBTOTAL(103,$B$6:B141)</f>
        <v>120</v>
      </c>
      <c r="B141" s="18">
        <v>282</v>
      </c>
      <c r="C141" s="6" t="str">
        <f>Base!H124</f>
        <v>2657043: MEJORAMIENTO Y AMPLIACION DEL SERVICIO DE ATENCIÓN DE SALUD BÁSICOS EN MOHO   DISTRITO DE MOHO DE LA PROVINCIA DE MOHO DEL DEPARTAMENTO DE PUNO</v>
      </c>
      <c r="D141" s="7">
        <f>Base!I124</f>
        <v>1382457.0</v>
      </c>
      <c r="E141" s="7">
        <f>Base!J124</f>
        <v>1382455.8</v>
      </c>
      <c r="F141" s="7">
        <f>D141-E141</f>
        <v>1.1999999999534339</v>
      </c>
      <c r="G141" s="7">
        <f>Base!L124</f>
        <v>215371.16</v>
      </c>
      <c r="H141" s="7">
        <f>D141-G141</f>
        <v>1167085.84</v>
      </c>
      <c r="I141" s="19">
        <f>IF(D141=0,0,G141/D141)</f>
        <v>0.15578868637505544</v>
      </c>
      <c r="J141" s="6" t="str">
        <f>Base!U124</f>
        <v>Expediente técnico / Contrata</v>
      </c>
      <c r="K141" s="6" t="str">
        <f>Base!R124</f>
        <v>Mayormente comprometido</v>
      </c>
      <c r="L141" s="7">
        <f>Base!V124</f>
        <v>5480901.0</v>
      </c>
      <c r="M141" s="7">
        <f>Base!W124</f>
        <v>12000000.0</v>
      </c>
      <c r="N141" s="7">
        <f>Base!X124</f>
        <v>0</v>
      </c>
      <c r="O141" s="7">
        <f>Base!Y124</f>
        <v>100000.0</v>
      </c>
      <c r="P141" s="6">
        <f>IF(Base!Z124="","",Base!Z124)</f>
        <v/>
      </c>
      <c r="Q141" s="18" t="str">
        <f>Base!S124</f>
        <v>Difícil</v>
      </c>
      <c r="R141" s="7">
        <f>Base!N124</f>
        <v>305600.0</v>
      </c>
      <c r="S141" s="7">
        <f>Base!T124</f>
        <v>305601.19999999995</v>
      </c>
    </row>
    <row r="142" spans="1:19">
      <c r="A142" s="18">
        <f>SUBTOTAL(103,$B$6:B142)</f>
        <v>121</v>
      </c>
      <c r="B142" s="18">
        <v>197</v>
      </c>
      <c r="C142" s="6" t="str">
        <f>Base!H125</f>
        <v>2450812: MEJORAMIENTO DE LOS SERVICIOS DE SALUD DEL CENTRO DE SALUD ZEPITA, MICRO RED ZEPITA, RED DE SALUD CHUCUITO, DEL  DISTRITO DE ZEPITA - PROVINCIA DE CHUCUITO - DEPARTAMENTO DE PUNO</v>
      </c>
      <c r="D142" s="7">
        <f>Base!I125</f>
        <v>3866926.0</v>
      </c>
      <c r="E142" s="7">
        <f>Base!J125</f>
        <v>2225809.46</v>
      </c>
      <c r="F142" s="7">
        <f>D142-E142</f>
        <v>1641116.54</v>
      </c>
      <c r="G142" s="7">
        <f>Base!L125</f>
        <v>1961815.83</v>
      </c>
      <c r="H142" s="7">
        <f>D142-G142</f>
        <v>1905110.17</v>
      </c>
      <c r="I142" s="19">
        <f>IF(D142=0,0,G142/D142)</f>
        <v>0.5073321366894531</v>
      </c>
      <c r="J142" s="6" t="str">
        <f>Base!U125</f>
        <v>Contrata</v>
      </c>
      <c r="K142" s="6" t="str">
        <f>Base!R125</f>
        <v>Mayormente comprometido</v>
      </c>
      <c r="L142" s="7">
        <f>Base!V125</f>
        <v>200000.0</v>
      </c>
      <c r="M142" s="7">
        <f>Base!W125</f>
        <v>0</v>
      </c>
      <c r="N142" s="7">
        <f>Base!X125</f>
        <v>522166.0</v>
      </c>
      <c r="O142" s="7">
        <f>Base!Y125</f>
        <v>0</v>
      </c>
      <c r="P142" s="6">
        <f>IF(Base!Z125="","",Base!Z125)</f>
        <v/>
      </c>
      <c r="Q142" s="18" t="str">
        <f>Base!S125</f>
        <v>Difícil</v>
      </c>
      <c r="R142" s="7">
        <f>Base!N125</f>
        <v>124688.20000000019</v>
      </c>
      <c r="S142" s="7">
        <f>Base!T125</f>
        <v>1765804.7400000002</v>
      </c>
    </row>
    <row r="143" spans="1:19">
      <c r="A143" s="18">
        <f>SUBTOTAL(103,$B$6:B143)</f>
        <v>122</v>
      </c>
      <c r="B143" s="18">
        <v>222</v>
      </c>
      <c r="C143" s="6" t="str">
        <f>Base!H126</f>
        <v>2308220: MEJORAMIENTO DE LA CAPACIDAD RESOLUTIVA DEL PUESTO DE SALUD DE AYMAÑA DEL CENTRO POBLADO DE AYMAÑA DEL DISTRITO DE CORANI - PROVINCIA DE CARABAYA - DEPARTAMENTO DE PUNO</v>
      </c>
      <c r="D143" s="7">
        <f>Base!I126</f>
        <v>407088.0</v>
      </c>
      <c r="E143" s="7">
        <f>Base!J126</f>
        <v>327566.0</v>
      </c>
      <c r="F143" s="7">
        <f>D143-E143</f>
        <v>79522.0</v>
      </c>
      <c r="G143" s="7">
        <f>Base!L126</f>
        <v>287714.38</v>
      </c>
      <c r="H143" s="7">
        <f>D143-G143</f>
        <v>119373.62</v>
      </c>
      <c r="I143" s="19">
        <f>IF(D143=0,0,G143/D143)</f>
        <v>0.7067621251424754</v>
      </c>
      <c r="J143" s="6" t="str">
        <f>Base!U126</f>
        <v>Expediente técnico / Contrata</v>
      </c>
      <c r="K143" s="6" t="str">
        <f>Base!R126</f>
        <v>Mayormente comprometido</v>
      </c>
      <c r="L143" s="7">
        <f>Base!V126</f>
        <v>1199085.0</v>
      </c>
      <c r="M143" s="7">
        <f>Base!W126</f>
        <v>5128392.0</v>
      </c>
      <c r="N143" s="7">
        <f>Base!X126</f>
        <v>53288.0</v>
      </c>
      <c r="O143" s="7">
        <f>Base!Y126</f>
        <v>0</v>
      </c>
      <c r="P143" s="6">
        <f>IF(Base!Z126="","",Base!Z126)</f>
        <v/>
      </c>
      <c r="Q143" s="18" t="str">
        <f>Base!S126</f>
        <v>Difícil</v>
      </c>
      <c r="R143" s="7">
        <f>Base!N126</f>
        <v>4000.0</v>
      </c>
      <c r="S143" s="7">
        <f>Base!T126</f>
        <v>83522.0</v>
      </c>
    </row>
    <row r="144" spans="1:19">
      <c r="A144" s="15" t="s">
        <v>163</v>
      </c>
      <c r="B144" s="15"/>
      <c r="C144" s="15"/>
      <c r="D144" s="16">
        <f>SUM(D145:D145)</f>
        <v>3978899.0</v>
      </c>
      <c r="E144" s="16">
        <f>SUM(E145:E145)</f>
        <v>3978899.0</v>
      </c>
      <c r="F144" s="16">
        <f>D144-E144</f>
        <v>0.0</v>
      </c>
      <c r="G144" s="16">
        <f>SUM(G145:G145)</f>
        <v>0.0</v>
      </c>
      <c r="H144" s="16">
        <f>D144-G144</f>
        <v>3978899.0</v>
      </c>
      <c r="I144" s="17">
        <f>IF(D144=0,0,G144/D144)</f>
        <v>0.0</v>
      </c>
      <c r="J144" s="15"/>
      <c r="K144" s="15"/>
      <c r="L144" s="15"/>
      <c r="M144" s="15"/>
      <c r="N144" s="15"/>
      <c r="O144" s="15"/>
      <c r="P144" s="15"/>
      <c r="Q144" s="15"/>
      <c r="R144" s="16">
        <f>SUM(R145:R145)</f>
        <v>0.0</v>
      </c>
      <c r="S144" s="16">
        <f>SUM(S145:S145)</f>
        <v>0.0</v>
      </c>
    </row>
    <row r="145" spans="1:19">
      <c r="A145" s="18">
        <f>SUBTOTAL(103,$B$6:B145)</f>
        <v>123</v>
      </c>
      <c r="B145" s="18">
        <v>109</v>
      </c>
      <c r="C145" s="6" t="str">
        <f>Base!H127</f>
        <v>2447465: MEJORAMIENTO DE LA INFRAESTRUCTURA VIAL EN LA AV. SACSAYHUAMAN TRAMO (JR. MIRAFLORES ¿ AV. AVIACIÓN), JR. AMANECER TRAMO (AV. INDEPENDENCIA ¿ JR. MIRAFLORES) DE LA CIUDAD DE JULIACA,  DISTRITO DE JULIACA - PROVINCIA DE SAN ROMAN - DEPARTAMENTO DE PUNO</v>
      </c>
      <c r="D145" s="7">
        <f>Base!I127</f>
        <v>3978899.0</v>
      </c>
      <c r="E145" s="7">
        <f>Base!J127</f>
        <v>3978899.0</v>
      </c>
      <c r="F145" s="7">
        <f>D145-E145</f>
        <v>0.0</v>
      </c>
      <c r="G145" s="7">
        <f>Base!L127</f>
        <v>0.0</v>
      </c>
      <c r="H145" s="7">
        <f>D145-G145</f>
        <v>3978899.0</v>
      </c>
      <c r="I145" s="19">
        <f>IF(D145=0,0,G145/D145)</f>
        <v>0.0</v>
      </c>
      <c r="J145" s="6" t="str">
        <f>Base!U127</f>
        <v>Contrata</v>
      </c>
      <c r="K145" s="6" t="str">
        <f>Base!R127</f>
        <v>Mayormente comprometido</v>
      </c>
      <c r="L145" s="7">
        <f>Base!V127</f>
        <v>4000000.0</v>
      </c>
      <c r="M145" s="7">
        <f>Base!W127</f>
        <v>8256356.0</v>
      </c>
      <c r="N145" s="7">
        <f>Base!X127</f>
        <v>4200001.0</v>
      </c>
      <c r="O145" s="7">
        <f>Base!Y127</f>
        <v>103192.0</v>
      </c>
      <c r="P145" s="6">
        <f>IF(Base!Z127="","",Base!Z127)</f>
        <v/>
      </c>
      <c r="Q145" s="18" t="str">
        <f>Base!S127</f>
        <v>Difícil</v>
      </c>
      <c r="R145" s="7">
        <f>Base!N127</f>
        <v>0.0</v>
      </c>
      <c r="S145" s="7">
        <f>Base!T127</f>
        <v>0.0</v>
      </c>
    </row>
    <row r="146" spans="1:19">
      <c r="A146" s="15" t="s">
        <v>242</v>
      </c>
      <c r="B146" s="15"/>
      <c r="C146" s="15"/>
      <c r="D146" s="16">
        <f>SUM(D147:D148)</f>
        <v>10709023.0</v>
      </c>
      <c r="E146" s="16">
        <f>SUM(E147:E148)</f>
        <v>10561385.540000001</v>
      </c>
      <c r="F146" s="16">
        <f>D146-E146</f>
        <v>147637.45999999903</v>
      </c>
      <c r="G146" s="16">
        <f>SUM(G147:G148)</f>
        <v>6274571.78</v>
      </c>
      <c r="H146" s="16">
        <f>D146-G146</f>
        <v>4434451.22</v>
      </c>
      <c r="I146" s="17">
        <f>IF(D146=0,0,G146/D146)</f>
        <v>0.5859144928533631</v>
      </c>
      <c r="J146" s="15"/>
      <c r="K146" s="15"/>
      <c r="L146" s="15"/>
      <c r="M146" s="15"/>
      <c r="N146" s="15"/>
      <c r="O146" s="15"/>
      <c r="P146" s="15"/>
      <c r="Q146" s="15"/>
      <c r="R146" s="16">
        <f>SUM(R147:R148)</f>
        <v>1323869.460000001</v>
      </c>
      <c r="S146" s="16">
        <f>SUM(S147:S148)</f>
        <v>1471506.9200000004</v>
      </c>
    </row>
    <row r="147" spans="1:19">
      <c r="A147" s="18">
        <f>SUBTOTAL(103,$B$6:B147)</f>
        <v>124</v>
      </c>
      <c r="B147" s="18">
        <v>64</v>
      </c>
      <c r="C147" s="6" t="str">
        <f>Base!H128</f>
        <v>2292669: MEJORAMIENTO Y AMPLIACION DEL SERVICIO DEPORTIVO DEL ESTADIO MUNICIPAL DE LA LOCALIDAD DE AYAVIRI DEL DISTRITO DE AYAVIRI - PROVINCIA DE MELGAR - DEPARTAMENTO DE PUNO</v>
      </c>
      <c r="D147" s="7">
        <f>Base!I128</f>
        <v>6912542.0</v>
      </c>
      <c r="E147" s="7">
        <f>Base!J128</f>
        <v>6855594.0600000005</v>
      </c>
      <c r="F147" s="7">
        <f>D147-E147</f>
        <v>56947.93999999948</v>
      </c>
      <c r="G147" s="7">
        <f>Base!L128</f>
        <v>4377038.86</v>
      </c>
      <c r="H147" s="7">
        <f>D147-G147</f>
        <v>2535503.1399999997</v>
      </c>
      <c r="I147" s="19">
        <f>IF(D147=0,0,G147/D147)</f>
        <v>0.6332024977208096</v>
      </c>
      <c r="J147" s="6" t="str">
        <f>Base!U128</f>
        <v>Contrata / Personal/bienes/servicios</v>
      </c>
      <c r="K147" s="6" t="str">
        <f>Base!R128</f>
        <v>Mayormente comprometido</v>
      </c>
      <c r="L147" s="7">
        <f>Base!V128</f>
        <v>3160785.0</v>
      </c>
      <c r="M147" s="7">
        <f>Base!W128</f>
        <v>5000000.0</v>
      </c>
      <c r="N147" s="7">
        <f>Base!X128</f>
        <v>0</v>
      </c>
      <c r="O147" s="7">
        <f>Base!Y128</f>
        <v>1000000.0</v>
      </c>
      <c r="P147" s="6">
        <f>IF(Base!Z128="","",Base!Z128)</f>
        <v/>
      </c>
      <c r="Q147" s="18" t="str">
        <f>Base!S128</f>
        <v>Difícil</v>
      </c>
      <c r="R147" s="7">
        <f>Base!N128</f>
        <v>990805.4600000009</v>
      </c>
      <c r="S147" s="7">
        <f>Base!T128</f>
        <v>1047753.4000000004</v>
      </c>
    </row>
    <row r="148" spans="1:19">
      <c r="A148" s="18">
        <f>SUBTOTAL(103,$B$6:B148)</f>
        <v>125</v>
      </c>
      <c r="B148" s="18">
        <v>66</v>
      </c>
      <c r="C148" s="6" t="str">
        <f>Base!H129</f>
        <v>2645376: REPARACION DE TRIBUNA Y/O PALCO Y CAMPO DEPORTIVO; CONSTRUCCION DE TRIBUNA Y/O PALCO Y PISTA DE ATLETISMO (DEPORTE RECREATIVO); ADEMÁS DE OTROS ACTIVOS EN EL(LA) ESTADIO MUNICIPAL DE PUTINA  DISTRITO DE PUTINA, PROVINCIA SAN ANTONIO DE PUTINA, DEPARTAMENTO PUNO</v>
      </c>
      <c r="D148" s="7">
        <f>Base!I129</f>
        <v>3796481.0</v>
      </c>
      <c r="E148" s="7">
        <f>Base!J129</f>
        <v>3705791.48</v>
      </c>
      <c r="F148" s="7">
        <f>D148-E148</f>
        <v>90689.52000000002</v>
      </c>
      <c r="G148" s="7">
        <f>Base!L129</f>
        <v>1897532.92</v>
      </c>
      <c r="H148" s="7">
        <f>D148-G148</f>
        <v>1898948.08</v>
      </c>
      <c r="I148" s="19">
        <f>IF(D148=0,0,G148/D148)</f>
        <v>0.4998136221411354</v>
      </c>
      <c r="J148" s="6" t="str">
        <f>Base!U129</f>
        <v>Contrata / Personal/bienes/servicios</v>
      </c>
      <c r="K148" s="6" t="str">
        <f>Base!R129</f>
        <v>Mayormente comprometido</v>
      </c>
      <c r="L148" s="7">
        <f>Base!V129</f>
        <v>3796481.0</v>
      </c>
      <c r="M148" s="7">
        <f>Base!W129</f>
        <v>1394507.0</v>
      </c>
      <c r="N148" s="7">
        <f>Base!X129</f>
        <v>0</v>
      </c>
      <c r="O148" s="7">
        <f>Base!Y129</f>
        <v>0</v>
      </c>
      <c r="P148" s="6">
        <f>IF(Base!Z129="","",Base!Z129)</f>
        <v/>
      </c>
      <c r="Q148" s="18" t="str">
        <f>Base!S129</f>
        <v>Difícil</v>
      </c>
      <c r="R148" s="7">
        <f>Base!N129</f>
        <v>333064.0</v>
      </c>
      <c r="S148" s="7">
        <f>Base!T129</f>
        <v>423753.52</v>
      </c>
    </row>
    <row r="149" spans="1:19">
      <c r="A149" s="15" t="s">
        <v>476</v>
      </c>
      <c r="B149" s="15"/>
      <c r="C149" s="15"/>
      <c r="D149" s="16">
        <f>SUM(D150:D150)</f>
        <v>11000.0</v>
      </c>
      <c r="E149" s="16">
        <f>SUM(E150:E150)</f>
        <v>11000.0</v>
      </c>
      <c r="F149" s="16">
        <f>D149-E149</f>
        <v>0.0</v>
      </c>
      <c r="G149" s="16">
        <f>SUM(G150:G150)</f>
        <v>0.0</v>
      </c>
      <c r="H149" s="16">
        <f>D149-G149</f>
        <v>11000.0</v>
      </c>
      <c r="I149" s="17">
        <f>IF(D149=0,0,G149/D149)</f>
        <v>0.0</v>
      </c>
      <c r="J149" s="15"/>
      <c r="K149" s="15"/>
      <c r="L149" s="15"/>
      <c r="M149" s="15"/>
      <c r="N149" s="15"/>
      <c r="O149" s="15"/>
      <c r="P149" s="15"/>
      <c r="Q149" s="15"/>
      <c r="R149" s="16">
        <f>SUM(R150:R150)</f>
        <v>11000.0</v>
      </c>
      <c r="S149" s="16">
        <f>SUM(S150:S150)</f>
        <v>11000.0</v>
      </c>
    </row>
    <row r="150" spans="1:19">
      <c r="A150" s="18">
        <f>SUBTOTAL(103,$B$6:B150)</f>
        <v>126</v>
      </c>
      <c r="B150" s="18">
        <v>470</v>
      </c>
      <c r="C150" s="6" t="str">
        <f>Base!H130</f>
        <v>2492442: MEJORAMIENTO Y AMPLIACION DE LOS SERVICIOS DE AGUA POTABLE Y ALCANTARILLADO SANITARIO EN LA LOCALIDAD DE CARACOTO DEL DISTRITO DE CARACOTO - PROVINCIA DE SAN ROMAN - DEPARTAMENTO DE PUNO</v>
      </c>
      <c r="D150" s="7">
        <f>Base!I130</f>
        <v>11000.0</v>
      </c>
      <c r="E150" s="7">
        <f>Base!J130</f>
        <v>11000.0</v>
      </c>
      <c r="F150" s="7">
        <f>D150-E150</f>
        <v>0.0</v>
      </c>
      <c r="G150" s="7">
        <f>Base!L130</f>
        <v>0.0</v>
      </c>
      <c r="H150" s="7">
        <f>D150-G150</f>
        <v>11000.0</v>
      </c>
      <c r="I150" s="19">
        <f>IF(D150=0,0,G150/D150)</f>
        <v>0.0</v>
      </c>
      <c r="J150" s="6" t="str">
        <f>Base!U130</f>
        <v>Contrata / Administración directa</v>
      </c>
      <c r="K150" s="6" t="str">
        <f>Base!R130</f>
        <v>Solo certificado</v>
      </c>
      <c r="L150" s="7" t="str">
        <f>Base!V130</f>
        <v>No registrado en cartera</v>
      </c>
      <c r="M150" s="7" t="str">
        <f>Base!W130</f>
        <v>No registrado en cartera</v>
      </c>
      <c r="N150" s="7" t="str">
        <f>Base!X130</f>
        <v>No registrado en cartera</v>
      </c>
      <c r="O150" s="7" t="str">
        <f>Base!Y130</f>
        <v>No registrado en cartera</v>
      </c>
      <c r="P150" s="6">
        <f>IF(Base!Z130="","",Base!Z130)</f>
        <v/>
      </c>
      <c r="Q150" s="18" t="str">
        <f>Base!S130</f>
        <v>Posible</v>
      </c>
      <c r="R150" s="7">
        <f>Base!N130</f>
        <v>11000.0</v>
      </c>
      <c r="S150" s="7">
        <f>Base!T130</f>
        <v>11000.0</v>
      </c>
    </row>
    <row r="151" spans="1:19">
      <c r="A151" s="8" t="s">
        <v>481</v>
      </c>
      <c r="B151" s="8"/>
      <c r="C151" s="8"/>
      <c r="D151" s="9">
        <f>D152+D156+D182+D196+D199</f>
        <v>10281312.0</v>
      </c>
      <c r="E151" s="9">
        <f>E152+E156+E182+E196+E199</f>
        <v>8695486.780000001</v>
      </c>
      <c r="F151" s="9">
        <f>D151-E151</f>
        <v>1585825.2199999988</v>
      </c>
      <c r="G151" s="9">
        <f>G152+G156+G182+G196+G199</f>
        <v>5405465.16</v>
      </c>
      <c r="H151" s="9">
        <f>D151-G151</f>
        <v>4875846.84</v>
      </c>
      <c r="I151" s="14">
        <f>IF(D151=0,0,G151/D151)</f>
        <v>0.5257563587215328</v>
      </c>
      <c r="J151" s="8"/>
      <c r="K151" s="8"/>
      <c r="L151" s="8"/>
      <c r="M151" s="8"/>
      <c r="N151" s="8"/>
      <c r="O151" s="8"/>
      <c r="P151" s="8"/>
      <c r="Q151" s="8"/>
      <c r="R151" s="9">
        <f>R152+R156+R182+R196+R199</f>
        <v>718084.97</v>
      </c>
      <c r="S151" s="9">
        <f>S152+S156+S182+S196+S199</f>
        <v>2291278.09</v>
      </c>
    </row>
    <row r="152" spans="1:19">
      <c r="A152" s="15" t="s">
        <v>58</v>
      </c>
      <c r="B152" s="15"/>
      <c r="C152" s="15"/>
      <c r="D152" s="16">
        <f>SUM(D153:D155)</f>
        <v>273816.0</v>
      </c>
      <c r="E152" s="16">
        <f>SUM(E153:E155)</f>
        <v>273816.0</v>
      </c>
      <c r="F152" s="16">
        <f>D152-E152</f>
        <v>0.0</v>
      </c>
      <c r="G152" s="16">
        <f>SUM(G153:G155)</f>
        <v>113941.65000000001</v>
      </c>
      <c r="H152" s="16">
        <f>D152-G152</f>
        <v>159874.34999999998</v>
      </c>
      <c r="I152" s="17">
        <f>IF(D152=0,0,G152/D152)</f>
        <v>0.41612487948111143</v>
      </c>
      <c r="J152" s="15"/>
      <c r="K152" s="15"/>
      <c r="L152" s="15"/>
      <c r="M152" s="15"/>
      <c r="N152" s="15"/>
      <c r="O152" s="15"/>
      <c r="P152" s="15"/>
      <c r="Q152" s="15"/>
      <c r="R152" s="16">
        <f>SUM(R153:R155)</f>
        <v>0.0</v>
      </c>
      <c r="S152" s="16">
        <f>SUM(S153:S155)</f>
        <v>0.0</v>
      </c>
    </row>
    <row r="153" spans="1:19">
      <c r="A153" s="18">
        <f>SUBTOTAL(103,$B$6:B153)</f>
        <v>127</v>
      </c>
      <c r="B153" s="18">
        <v>341</v>
      </c>
      <c r="C153" s="6" t="str">
        <f>Base!H131</f>
        <v>2699927: CONSTRUCCION DE INSTALACIONES EXTERIORES DE SERVICIOS BASICOS Y CASA DE FUERZA; EN EL(LA) HOSPITAL SANDIA EN EL CENTRO POBLADO SANDIA, DISTRITO DE SANDIA, PROVINCIA SANDIA, DEPARTAMENTO PUNO</v>
      </c>
      <c r="D153" s="7">
        <f>Base!I131</f>
        <v>123816.0</v>
      </c>
      <c r="E153" s="7">
        <f>Base!J131</f>
        <v>123816.0</v>
      </c>
      <c r="F153" s="7">
        <f>D153-E153</f>
        <v>0.0</v>
      </c>
      <c r="G153" s="7">
        <f>Base!L131</f>
        <v>113941.65000000001</v>
      </c>
      <c r="H153" s="7">
        <f>D153-G153</f>
        <v>9874.349999999991</v>
      </c>
      <c r="I153" s="19">
        <f>IF(D153=0,0,G153/D153)</f>
        <v>0.9202498061639853</v>
      </c>
      <c r="J153" s="6" t="str">
        <f>Base!U131</f>
        <v>Expediente técnico</v>
      </c>
      <c r="K153" s="6" t="str">
        <f>Base!R131</f>
        <v>Ejecutado</v>
      </c>
      <c r="L153" s="7">
        <f>Base!V131</f>
        <v>111816.0</v>
      </c>
      <c r="M153" s="7">
        <f>Base!W131</f>
        <v>978654.0</v>
      </c>
      <c r="N153" s="7">
        <f>Base!X131</f>
        <v>625659.0</v>
      </c>
      <c r="O153" s="7">
        <f>Base!Y131</f>
        <v>0</v>
      </c>
      <c r="P153" s="6">
        <f>IF(Base!Z131="","",Base!Z131)</f>
        <v/>
      </c>
      <c r="Q153" s="18" t="str">
        <f>Base!S131</f>
        <v>No usar</v>
      </c>
      <c r="R153" s="7">
        <f>Base!N131</f>
        <v>0.0</v>
      </c>
      <c r="S153" s="7">
        <f>Base!T131</f>
        <v>0.0</v>
      </c>
    </row>
    <row r="154" spans="1:19">
      <c r="A154" s="18">
        <f>SUBTOTAL(103,$B$6:B154)</f>
        <v>128</v>
      </c>
      <c r="B154" s="18">
        <v>523</v>
      </c>
      <c r="C154" s="6" t="str">
        <f>Base!H132</f>
        <v>2719323: REPARACION DE CONSULTORIO, LABORATORIO, ALMACEN O DEPOSITO Y AMBIENTE COMPLEMENTARIO; ADEMAS DE OTROS ACTIVOS EN EL(LA) CUTURAPI DISTRITO DE CUTURAPI, PROVINCIA YUNGUYO, DEPARTAMENTO PUNO</v>
      </c>
      <c r="D154" s="7">
        <f>Base!I132</f>
        <v>0.0</v>
      </c>
      <c r="E154" s="7">
        <f>Base!J132</f>
        <v>0.0</v>
      </c>
      <c r="F154" s="7">
        <f>D154-E154</f>
        <v>0.0</v>
      </c>
      <c r="G154" s="7">
        <f>Base!L132</f>
        <v>0.0</v>
      </c>
      <c r="H154" s="7">
        <f>D154-G154</f>
        <v>0.0</v>
      </c>
      <c r="I154" s="19">
        <f>IF(D154=0,0,G154/D154)</f>
        <v>0</v>
      </c>
      <c r="J154" s="6" t="str">
        <f>Base!U132</f>
        <v>Sin datos</v>
      </c>
      <c r="K154" s="6" t="str">
        <f>Base!R132</f>
        <v>Sin PIM</v>
      </c>
      <c r="L154" s="7" t="str">
        <f>Base!V132</f>
        <v>No registrado en cartera</v>
      </c>
      <c r="M154" s="7" t="str">
        <f>Base!W132</f>
        <v>No registrado en cartera</v>
      </c>
      <c r="N154" s="7" t="str">
        <f>Base!X132</f>
        <v>No registrado en cartera</v>
      </c>
      <c r="O154" s="7" t="str">
        <f>Base!Y132</f>
        <v>No registrado en cartera</v>
      </c>
      <c r="P154" s="6">
        <f>IF(Base!Z132="","",Base!Z132)</f>
        <v/>
      </c>
      <c r="Q154" s="18" t="str">
        <f>Base!S132</f>
        <v>Sin PIM</v>
      </c>
      <c r="R154" s="7">
        <f>Base!N132</f>
        <v>0.0</v>
      </c>
      <c r="S154" s="7">
        <f>Base!T132</f>
        <v>0.0</v>
      </c>
    </row>
    <row r="155" spans="1:19">
      <c r="A155" s="18">
        <f>SUBTOTAL(103,$B$6:B155)</f>
        <v>129</v>
      </c>
      <c r="B155" s="18">
        <v>528</v>
      </c>
      <c r="C155" s="6" t="str">
        <f>Base!H133</f>
        <v>2681074: MEJORAMIENTO DEL SERVICIO DE ATENCIÓN DE SALUD BÁSICOS EN ALTO PAVITA   DISTRITO DE ZEPITA DE LA PROVINCIA DE CHUCUITO DEL DEPARTAMENTO DE PUNO</v>
      </c>
      <c r="D155" s="7">
        <f>Base!I133</f>
        <v>150000.0</v>
      </c>
      <c r="E155" s="7">
        <f>Base!J133</f>
        <v>150000.0</v>
      </c>
      <c r="F155" s="7">
        <f>D155-E155</f>
        <v>0.0</v>
      </c>
      <c r="G155" s="7">
        <f>Base!L133</f>
        <v>0.0</v>
      </c>
      <c r="H155" s="7">
        <f>D155-G155</f>
        <v>150000.0</v>
      </c>
      <c r="I155" s="19">
        <f>IF(D155=0,0,G155/D155)</f>
        <v>0.0</v>
      </c>
      <c r="J155" s="6" t="str">
        <f>Base!U133</f>
        <v>Expediente técnico</v>
      </c>
      <c r="K155" s="6" t="str">
        <f>Base!R133</f>
        <v>Mayormente comprometido</v>
      </c>
      <c r="L155" s="7">
        <f>Base!V133</f>
        <v>150000.0</v>
      </c>
      <c r="M155" s="7">
        <f>Base!W133</f>
        <v>0</v>
      </c>
      <c r="N155" s="7">
        <f>Base!X133</f>
        <v>0</v>
      </c>
      <c r="O155" s="7">
        <f>Base!Y133</f>
        <v>1000000.0</v>
      </c>
      <c r="P155" s="6">
        <f>IF(Base!Z133="","",Base!Z133)</f>
        <v/>
      </c>
      <c r="Q155" s="18" t="str">
        <f>Base!S133</f>
        <v>Difícil</v>
      </c>
      <c r="R155" s="7">
        <f>Base!N133</f>
        <v>0.0</v>
      </c>
      <c r="S155" s="7">
        <f>Base!T133</f>
        <v>0.0</v>
      </c>
    </row>
    <row r="156" spans="1:19">
      <c r="A156" s="15" t="s">
        <v>71</v>
      </c>
      <c r="B156" s="15"/>
      <c r="C156" s="15"/>
      <c r="D156" s="16">
        <f>SUM(D157:D181)</f>
        <v>4799695.0</v>
      </c>
      <c r="E156" s="16">
        <f>SUM(E157:E181)</f>
        <v>4121370.87</v>
      </c>
      <c r="F156" s="16">
        <f>D156-E156</f>
        <v>678324.1299999999</v>
      </c>
      <c r="G156" s="16">
        <f>SUM(G157:G181)</f>
        <v>2783642.55</v>
      </c>
      <c r="H156" s="16">
        <f>D156-G156</f>
        <v>2016052.4500000002</v>
      </c>
      <c r="I156" s="17">
        <f>IF(D156=0,0,G156/D156)</f>
        <v>0.5799623830264214</v>
      </c>
      <c r="J156" s="15"/>
      <c r="K156" s="15"/>
      <c r="L156" s="15"/>
      <c r="M156" s="15"/>
      <c r="N156" s="15"/>
      <c r="O156" s="15"/>
      <c r="P156" s="15"/>
      <c r="Q156" s="15"/>
      <c r="R156" s="16">
        <f>SUM(R157:R181)</f>
        <v>297718.17000000004</v>
      </c>
      <c r="S156" s="16">
        <f>SUM(S157:S181)</f>
        <v>963410.2000000001</v>
      </c>
    </row>
    <row r="157" spans="1:19">
      <c r="A157" s="18">
        <f>SUBTOTAL(103,$B$6:B157)</f>
        <v>130</v>
      </c>
      <c r="B157" s="18">
        <v>165</v>
      </c>
      <c r="C157" s="6" t="str">
        <f>Base!H134</f>
        <v>2662467: MEJORAMIENTO DEL SERVICIO DE EDUCACIÓN SUPERIOR TECNOLÓGICA  EN EL INSTITUTO SUPERIOR TECNOLÓGICO PUBLICA CHUPA DEL   DISTRITO DE CHUPA DE LA PROVINCIA DE AZANGARO DEL DEPARTAMENTO DE PUNO</v>
      </c>
      <c r="D157" s="7">
        <f>Base!I134</f>
        <v>57442.0</v>
      </c>
      <c r="E157" s="7">
        <f>Base!J134</f>
        <v>57136.9</v>
      </c>
      <c r="F157" s="7">
        <f>D157-E157</f>
        <v>305.09999999999854</v>
      </c>
      <c r="G157" s="7">
        <f>Base!L134</f>
        <v>54415.03</v>
      </c>
      <c r="H157" s="7">
        <f>D157-G157</f>
        <v>3026.970000000001</v>
      </c>
      <c r="I157" s="19">
        <f>IF(D157=0,0,G157/D157)</f>
        <v>0.9473038891403502</v>
      </c>
      <c r="J157" s="6" t="str">
        <f>Base!U134</f>
        <v>Expediente técnico</v>
      </c>
      <c r="K157" s="6" t="str">
        <f>Base!R134</f>
        <v>Ejecutado</v>
      </c>
      <c r="L157" s="7">
        <f>Base!V134</f>
        <v>1500000.0</v>
      </c>
      <c r="M157" s="7">
        <f>Base!W134</f>
        <v>2568954.0</v>
      </c>
      <c r="N157" s="7">
        <f>Base!X134</f>
        <v>0</v>
      </c>
      <c r="O157" s="7">
        <f>Base!Y134</f>
        <v>500000.0</v>
      </c>
      <c r="P157" s="6">
        <f>IF(Base!Z134="","",Base!Z134)</f>
        <v/>
      </c>
      <c r="Q157" s="18" t="str">
        <f>Base!S134</f>
        <v>No usar</v>
      </c>
      <c r="R157" s="7">
        <f>Base!N134</f>
        <v>0.0</v>
      </c>
      <c r="S157" s="7">
        <f>Base!T134</f>
        <v>0.0</v>
      </c>
    </row>
    <row r="158" spans="1:19">
      <c r="A158" s="18">
        <f>SUBTOTAL(103,$B$6:B158)</f>
        <v>131</v>
      </c>
      <c r="B158" s="18">
        <v>188</v>
      </c>
      <c r="C158" s="6" t="str">
        <f>Base!H135</f>
        <v>2650268: MEJORAMIENTO DEL SERVICIO DE EDUCACIÓN INICIAL EN I.E. 1243   DISTRITO DE MAÑAZO DE LA PROVINCIA DE PUNO DEL DEPARTAMENTO DE PUNO</v>
      </c>
      <c r="D158" s="7">
        <f>Base!I135</f>
        <v>53010.0</v>
      </c>
      <c r="E158" s="7">
        <f>Base!J135</f>
        <v>24506.97</v>
      </c>
      <c r="F158" s="7">
        <f>D158-E158</f>
        <v>28503.03</v>
      </c>
      <c r="G158" s="7">
        <f>Base!L135</f>
        <v>24506.97</v>
      </c>
      <c r="H158" s="7">
        <f>D158-G158</f>
        <v>28503.03</v>
      </c>
      <c r="I158" s="19">
        <f>IF(D158=0,0,G158/D158)</f>
        <v>0.46230843237125074</v>
      </c>
      <c r="J158" s="6" t="str">
        <f>Base!U135</f>
        <v>Expediente técnico</v>
      </c>
      <c r="K158" s="6" t="str">
        <f>Base!R135</f>
        <v>Parcialmente comprometido</v>
      </c>
      <c r="L158" s="7">
        <f>Base!V135</f>
        <v>100000.0</v>
      </c>
      <c r="M158" s="7">
        <f>Base!W135</f>
        <v>1254675.0</v>
      </c>
      <c r="N158" s="7">
        <f>Base!X135</f>
        <v>0</v>
      </c>
      <c r="O158" s="7">
        <f>Base!Y135</f>
        <v>747276.0</v>
      </c>
      <c r="P158" s="6">
        <f>IF(Base!Z135="","",Base!Z135)</f>
        <v/>
      </c>
      <c r="Q158" s="18" t="str">
        <f>Base!S135</f>
        <v>Parcial</v>
      </c>
      <c r="R158" s="7">
        <f>Base!N135</f>
        <v>0.0</v>
      </c>
      <c r="S158" s="7">
        <f>Base!T135</f>
        <v>28503.03</v>
      </c>
    </row>
    <row r="159" spans="1:19">
      <c r="A159" s="18">
        <f>SUBTOTAL(103,$B$6:B159)</f>
        <v>132</v>
      </c>
      <c r="B159" s="18">
        <v>191</v>
      </c>
      <c r="C159" s="6" t="str">
        <f>Base!H136</f>
        <v>2652473: MEJORAMIENTO DEL SERVICIO DE EDUCACIÓN INICIAL EN I.E. 944   DISTRITO DE JULIACA DE LA PROVINCIA DE SAN ROMAN DEL DEPARTAMENTO DE PUNO</v>
      </c>
      <c r="D159" s="7">
        <f>Base!I136</f>
        <v>40486.0</v>
      </c>
      <c r="E159" s="7">
        <f>Base!J136</f>
        <v>40486.0</v>
      </c>
      <c r="F159" s="7">
        <f>D159-E159</f>
        <v>0.0</v>
      </c>
      <c r="G159" s="7">
        <f>Base!L136</f>
        <v>25380.63</v>
      </c>
      <c r="H159" s="7">
        <f>D159-G159</f>
        <v>15105.369999999999</v>
      </c>
      <c r="I159" s="19">
        <f>IF(D159=0,0,G159/D159)</f>
        <v>0.6268989280245023</v>
      </c>
      <c r="J159" s="6" t="str">
        <f>Base!U136</f>
        <v>Expediente técnico</v>
      </c>
      <c r="K159" s="6" t="str">
        <f>Base!R136</f>
        <v>Mayormente comprometido</v>
      </c>
      <c r="L159" s="7">
        <f>Base!V136</f>
        <v>100000.0</v>
      </c>
      <c r="M159" s="7">
        <f>Base!W136</f>
        <v>0</v>
      </c>
      <c r="N159" s="7">
        <f>Base!X136</f>
        <v>0</v>
      </c>
      <c r="O159" s="7">
        <f>Base!Y136</f>
        <v>1247609.0</v>
      </c>
      <c r="P159" s="6">
        <f>IF(Base!Z136="","",Base!Z136)</f>
        <v/>
      </c>
      <c r="Q159" s="18" t="str">
        <f>Base!S136</f>
        <v>Difícil</v>
      </c>
      <c r="R159" s="7">
        <f>Base!N136</f>
        <v>0.0</v>
      </c>
      <c r="S159" s="7">
        <f>Base!T136</f>
        <v>0.0</v>
      </c>
    </row>
    <row r="160" spans="1:19">
      <c r="A160" s="18">
        <f>SUBTOTAL(103,$B$6:B160)</f>
        <v>133</v>
      </c>
      <c r="B160" s="18">
        <v>316</v>
      </c>
      <c r="C160" s="6" t="str">
        <f>Base!H137</f>
        <v>2681042: MEJORAMIENTO DEL SERVICIO DE EDUCACIÓN SUPERIOR TECNOLÓGICA  EN EL INSTITUTO SUPERIOR TECNOLÓGICO PÚBLICA MAÑAZO DEL   DISTRITO DE MAÑAZO DE LA PROVINCIA DE PUNO DEL DEPARTAMENTO DE PUNO</v>
      </c>
      <c r="D160" s="7">
        <f>Base!I137</f>
        <v>350000.0</v>
      </c>
      <c r="E160" s="7">
        <f>Base!J137</f>
        <v>350000.0</v>
      </c>
      <c r="F160" s="7">
        <f>D160-E160</f>
        <v>0.0</v>
      </c>
      <c r="G160" s="7">
        <f>Base!L137</f>
        <v>163264.47999999998</v>
      </c>
      <c r="H160" s="7">
        <f>D160-G160</f>
        <v>186735.52000000002</v>
      </c>
      <c r="I160" s="19">
        <f>IF(D160=0,0,G160/D160)</f>
        <v>0.4664699428571428</v>
      </c>
      <c r="J160" s="6" t="str">
        <f>Base!U137</f>
        <v>Expediente técnico</v>
      </c>
      <c r="K160" s="6" t="str">
        <f>Base!R137</f>
        <v>Mayormente comprometido</v>
      </c>
      <c r="L160" s="7">
        <f>Base!V137</f>
        <v>350000.0</v>
      </c>
      <c r="M160" s="7">
        <f>Base!W137</f>
        <v>575452.0</v>
      </c>
      <c r="N160" s="7">
        <f>Base!X137</f>
        <v>0</v>
      </c>
      <c r="O160" s="7">
        <f>Base!Y137</f>
        <v>1000000.0</v>
      </c>
      <c r="P160" s="6">
        <f>IF(Base!Z137="","",Base!Z137)</f>
        <v/>
      </c>
      <c r="Q160" s="18" t="str">
        <f>Base!S137</f>
        <v>Difícil</v>
      </c>
      <c r="R160" s="7">
        <f>Base!N137</f>
        <v>0.0</v>
      </c>
      <c r="S160" s="7">
        <f>Base!T137</f>
        <v>0.0</v>
      </c>
    </row>
    <row r="161" spans="1:19">
      <c r="A161" s="18">
        <f>SUBTOTAL(103,$B$6:B161)</f>
        <v>134</v>
      </c>
      <c r="B161" s="18">
        <v>317</v>
      </c>
      <c r="C161" s="6" t="str">
        <f>Base!H138</f>
        <v>2659573: MEJORAMIENTO DEL SERVICIO DE EDUCACION PRIMARIA EN I.E. 73003 DISTRITO DE HUANCANE DE LA PROVINCIA DE HUANCANE DEL DEPARTAMENTO DE PUNO</v>
      </c>
      <c r="D161" s="7">
        <f>Base!I138</f>
        <v>81646.0</v>
      </c>
      <c r="E161" s="7">
        <f>Base!J138</f>
        <v>0.0</v>
      </c>
      <c r="F161" s="7">
        <f>D161-E161</f>
        <v>81646.0</v>
      </c>
      <c r="G161" s="7">
        <f>Base!L138</f>
        <v>0.0</v>
      </c>
      <c r="H161" s="7">
        <f>D161-G161</f>
        <v>81646.0</v>
      </c>
      <c r="I161" s="19">
        <f>IF(D161=0,0,G161/D161)</f>
        <v>0.0</v>
      </c>
      <c r="J161" s="6" t="str">
        <f>Base!U138</f>
        <v>Expediente técnico</v>
      </c>
      <c r="K161" s="6" t="str">
        <f>Base!R138</f>
        <v>Sin certificar</v>
      </c>
      <c r="L161" s="7" t="str">
        <f>Base!V138</f>
        <v>No registrado en cartera</v>
      </c>
      <c r="M161" s="7" t="str">
        <f>Base!W138</f>
        <v>No registrado en cartera</v>
      </c>
      <c r="N161" s="7" t="str">
        <f>Base!X138</f>
        <v>No registrado en cartera</v>
      </c>
      <c r="O161" s="7" t="str">
        <f>Base!Y138</f>
        <v>No registrado en cartera</v>
      </c>
      <c r="P161" s="6">
        <f>IF(Base!Z138="","",Base!Z138)</f>
        <v/>
      </c>
      <c r="Q161" s="18" t="str">
        <f>Base!S138</f>
        <v>Disponible</v>
      </c>
      <c r="R161" s="7">
        <f>Base!N138</f>
        <v>0.0</v>
      </c>
      <c r="S161" s="7">
        <f>Base!T138</f>
        <v>81646.0</v>
      </c>
    </row>
    <row r="162" spans="1:19">
      <c r="A162" s="18">
        <f>SUBTOTAL(103,$B$6:B162)</f>
        <v>135</v>
      </c>
      <c r="B162" s="18">
        <v>318</v>
      </c>
      <c r="C162" s="6" t="str">
        <f>Base!H139</f>
        <v>2663002: MEJORAMIENTO DEL SERVICIO DE EDUCACION SECUNDARIA EN I.E. HUAPACA SAN MIGUEL DE CENTRO POBLADO HUAPACA SAN MIGUEL DISTRITO DE POMATA DE LA PROVINCIA DE CHUCUITO DEL DEPARTAMENTO DE PUNO</v>
      </c>
      <c r="D162" s="7">
        <f>Base!I139</f>
        <v>292573.0</v>
      </c>
      <c r="E162" s="7">
        <f>Base!J139</f>
        <v>0.0</v>
      </c>
      <c r="F162" s="7">
        <f>D162-E162</f>
        <v>292573.0</v>
      </c>
      <c r="G162" s="7">
        <f>Base!L139</f>
        <v>0.0</v>
      </c>
      <c r="H162" s="7">
        <f>D162-G162</f>
        <v>292573.0</v>
      </c>
      <c r="I162" s="19">
        <f>IF(D162=0,0,G162/D162)</f>
        <v>0.0</v>
      </c>
      <c r="J162" s="6" t="str">
        <f>Base!U139</f>
        <v>Expediente técnico</v>
      </c>
      <c r="K162" s="6" t="str">
        <f>Base!R139</f>
        <v>Sin certificar</v>
      </c>
      <c r="L162" s="7" t="str">
        <f>Base!V139</f>
        <v>No registrado en cartera</v>
      </c>
      <c r="M162" s="7" t="str">
        <f>Base!W139</f>
        <v>No registrado en cartera</v>
      </c>
      <c r="N162" s="7" t="str">
        <f>Base!X139</f>
        <v>No registrado en cartera</v>
      </c>
      <c r="O162" s="7" t="str">
        <f>Base!Y139</f>
        <v>No registrado en cartera</v>
      </c>
      <c r="P162" s="6">
        <f>IF(Base!Z139="","",Base!Z139)</f>
        <v/>
      </c>
      <c r="Q162" s="18" t="str">
        <f>Base!S139</f>
        <v>Disponible</v>
      </c>
      <c r="R162" s="7">
        <f>Base!N139</f>
        <v>0.0</v>
      </c>
      <c r="S162" s="7">
        <f>Base!T139</f>
        <v>292573.0</v>
      </c>
    </row>
    <row r="163" spans="1:19">
      <c r="A163" s="18">
        <f>SUBTOTAL(103,$B$6:B163)</f>
        <v>136</v>
      </c>
      <c r="B163" s="18">
        <v>319</v>
      </c>
      <c r="C163" s="6" t="str">
        <f>Base!H140</f>
        <v>2681028: MEJORAMIENTO DEL SERVICIO DE EDUCACIÓN SECUNDARIA EN I.E. JOSE CARLOS MARIATEGUI   DISTRITO DE ILAVE DE LA PROVINCIA DE EL COLLAO DEL DEPARTAMENTO DE PUNO</v>
      </c>
      <c r="D163" s="7">
        <f>Base!I140</f>
        <v>645412.0</v>
      </c>
      <c r="E163" s="7">
        <f>Base!J140</f>
        <v>615249.5</v>
      </c>
      <c r="F163" s="7">
        <f>D163-E163</f>
        <v>30162.5</v>
      </c>
      <c r="G163" s="7">
        <f>Base!L140</f>
        <v>558544.3099999999</v>
      </c>
      <c r="H163" s="7">
        <f>D163-G163</f>
        <v>86867.69000000006</v>
      </c>
      <c r="I163" s="19">
        <f>IF(D163=0,0,G163/D163)</f>
        <v>0.8654073831908919</v>
      </c>
      <c r="J163" s="6" t="str">
        <f>Base!U140</f>
        <v>Expediente técnico</v>
      </c>
      <c r="K163" s="6" t="str">
        <f>Base!R140</f>
        <v>Mayormente comprometido</v>
      </c>
      <c r="L163" s="7">
        <f>Base!V140</f>
        <v>300000.0</v>
      </c>
      <c r="M163" s="7">
        <f>Base!W140</f>
        <v>6325512.0</v>
      </c>
      <c r="N163" s="7">
        <f>Base!X140</f>
        <v>500000.0</v>
      </c>
      <c r="O163" s="7">
        <f>Base!Y140</f>
        <v>3000000.0</v>
      </c>
      <c r="P163" s="6">
        <f>IF(Base!Z140="","",Base!Z140)</f>
        <v/>
      </c>
      <c r="Q163" s="18" t="str">
        <f>Base!S140</f>
        <v>Difícil</v>
      </c>
      <c r="R163" s="7">
        <f>Base!N140</f>
        <v>2597.070000000065</v>
      </c>
      <c r="S163" s="7">
        <f>Base!T140</f>
        <v>32759.570000000065</v>
      </c>
    </row>
    <row r="164" spans="1:19">
      <c r="A164" s="18">
        <f>SUBTOTAL(103,$B$6:B164)</f>
        <v>137</v>
      </c>
      <c r="B164" s="18">
        <v>320</v>
      </c>
      <c r="C164" s="6" t="str">
        <f>Base!H141</f>
        <v>2690009: CONSTRUCCION DE LOSA DEPORTIVA; ADQUISICION DE EQUIPAMIENTO DE AULA DE INNOVACION PEDAGOGICA Y MOBILIARIO DE AULA DE INNOVACION PEDAGOGICA; EN EL(LA) I.E. 70064 SAN MARTIN DE PORRES  DISTRITO DE PUNO, PROVINCIA PUNO, DEPARTAMENTO PUNO</v>
      </c>
      <c r="D164" s="7">
        <f>Base!I141</f>
        <v>45161.0</v>
      </c>
      <c r="E164" s="7">
        <f>Base!J141</f>
        <v>45161.0</v>
      </c>
      <c r="F164" s="7">
        <f>D164-E164</f>
        <v>0.0</v>
      </c>
      <c r="G164" s="7">
        <f>Base!L141</f>
        <v>30772.660000000003</v>
      </c>
      <c r="H164" s="7">
        <f>D164-G164</f>
        <v>14388.339999999997</v>
      </c>
      <c r="I164" s="19">
        <f>IF(D164=0,0,G164/D164)</f>
        <v>0.6813989947078232</v>
      </c>
      <c r="J164" s="6" t="str">
        <f>Base!U141</f>
        <v>Expediente técnico</v>
      </c>
      <c r="K164" s="6" t="str">
        <f>Base!R141</f>
        <v>Mayormente comprometido</v>
      </c>
      <c r="L164" s="7">
        <f>Base!V141</f>
        <v>45161.0</v>
      </c>
      <c r="M164" s="7">
        <f>Base!W141</f>
        <v>254874.0</v>
      </c>
      <c r="N164" s="7">
        <f>Base!X141</f>
        <v>133958.0</v>
      </c>
      <c r="O164" s="7">
        <f>Base!Y141</f>
        <v>133958.0</v>
      </c>
      <c r="P164" s="6">
        <f>IF(Base!Z141="","",Base!Z141)</f>
        <v/>
      </c>
      <c r="Q164" s="18" t="str">
        <f>Base!S141</f>
        <v>Difícil</v>
      </c>
      <c r="R164" s="7">
        <f>Base!N141</f>
        <v>0.0</v>
      </c>
      <c r="S164" s="7">
        <f>Base!T141</f>
        <v>0.0</v>
      </c>
    </row>
    <row r="165" spans="1:19">
      <c r="A165" s="18">
        <f>SUBTOTAL(103,$B$6:B165)</f>
        <v>138</v>
      </c>
      <c r="B165" s="18">
        <v>323</v>
      </c>
      <c r="C165" s="6" t="str">
        <f>Base!H142</f>
        <v>2624292: MEJORAMIENTO DE LOS SERVICIOS EDUCACION SUPERIOR PEDAGOGICA EN EL INSTITUTO DE EDUCACION SUPERIOR PEDAGOGICO PUBLICO DE AYAVIRI DEL DISTRITO DE AYAVIRI DE LA PROVINCIA DE MELGAR DEL DEPARTAMENTO DE PUNO</v>
      </c>
      <c r="D165" s="7">
        <f>Base!I142</f>
        <v>58627.0</v>
      </c>
      <c r="E165" s="7">
        <f>Base!J142</f>
        <v>0.0</v>
      </c>
      <c r="F165" s="7">
        <f>D165-E165</f>
        <v>58627.0</v>
      </c>
      <c r="G165" s="7">
        <f>Base!L142</f>
        <v>0.0</v>
      </c>
      <c r="H165" s="7">
        <f>D165-G165</f>
        <v>58627.0</v>
      </c>
      <c r="I165" s="19">
        <f>IF(D165=0,0,G165/D165)</f>
        <v>0.0</v>
      </c>
      <c r="J165" s="6" t="str">
        <f>Base!U142</f>
        <v>Expediente técnico</v>
      </c>
      <c r="K165" s="6" t="str">
        <f>Base!R142</f>
        <v>Sin certificar</v>
      </c>
      <c r="L165" s="7" t="str">
        <f>Base!V142</f>
        <v>No registrado en cartera</v>
      </c>
      <c r="M165" s="7" t="str">
        <f>Base!W142</f>
        <v>No registrado en cartera</v>
      </c>
      <c r="N165" s="7" t="str">
        <f>Base!X142</f>
        <v>No registrado en cartera</v>
      </c>
      <c r="O165" s="7" t="str">
        <f>Base!Y142</f>
        <v>No registrado en cartera</v>
      </c>
      <c r="P165" s="6">
        <f>IF(Base!Z142="","",Base!Z142)</f>
        <v/>
      </c>
      <c r="Q165" s="18" t="str">
        <f>Base!S142</f>
        <v>Disponible</v>
      </c>
      <c r="R165" s="7">
        <f>Base!N142</f>
        <v>0.0</v>
      </c>
      <c r="S165" s="7">
        <f>Base!T142</f>
        <v>58627.0</v>
      </c>
    </row>
    <row r="166" spans="1:19">
      <c r="A166" s="18">
        <f>SUBTOTAL(103,$B$6:B166)</f>
        <v>139</v>
      </c>
      <c r="B166" s="18">
        <v>330</v>
      </c>
      <c r="C166" s="6" t="str">
        <f>Base!H143</f>
        <v>2196910: INSTALACION DEL SERVICIO EDUCATIVO EN LA INSTITUCION EDUCATIVA INICIAL AMAQUILLA CICLO II, DISTRITO DE COPANI - YUNGUYO - PUNO</v>
      </c>
      <c r="D166" s="7">
        <f>Base!I143</f>
        <v>0.0</v>
      </c>
      <c r="E166" s="7">
        <f>Base!J143</f>
        <v>0.0</v>
      </c>
      <c r="F166" s="7">
        <f>D166-E166</f>
        <v>0.0</v>
      </c>
      <c r="G166" s="7">
        <f>Base!L143</f>
        <v>0.0</v>
      </c>
      <c r="H166" s="7">
        <f>D166-G166</f>
        <v>0.0</v>
      </c>
      <c r="I166" s="19">
        <f>IF(D166=0,0,G166/D166)</f>
        <v>0</v>
      </c>
      <c r="J166" s="6" t="str">
        <f>Base!U143</f>
        <v>Sin datos</v>
      </c>
      <c r="K166" s="6" t="str">
        <f>Base!R143</f>
        <v>Sin PIM</v>
      </c>
      <c r="L166" s="7" t="str">
        <f>Base!V143</f>
        <v>No registrado en cartera</v>
      </c>
      <c r="M166" s="7" t="str">
        <f>Base!W143</f>
        <v>No registrado en cartera</v>
      </c>
      <c r="N166" s="7" t="str">
        <f>Base!X143</f>
        <v>No registrado en cartera</v>
      </c>
      <c r="O166" s="7" t="str">
        <f>Base!Y143</f>
        <v>No registrado en cartera</v>
      </c>
      <c r="P166" s="6">
        <f>IF(Base!Z143="","",Base!Z143)</f>
        <v/>
      </c>
      <c r="Q166" s="18" t="str">
        <f>Base!S143</f>
        <v>Sin PIM</v>
      </c>
      <c r="R166" s="7">
        <f>Base!N143</f>
        <v>0.0</v>
      </c>
      <c r="S166" s="7">
        <f>Base!T143</f>
        <v>0.0</v>
      </c>
    </row>
    <row r="167" spans="1:19">
      <c r="A167" s="18">
        <f>SUBTOTAL(103,$B$6:B167)</f>
        <v>140</v>
      </c>
      <c r="B167" s="18">
        <v>331</v>
      </c>
      <c r="C167" s="6" t="str">
        <f>Base!H144</f>
        <v>2492963: MEJORAMIENTO DE LOS SERVICIO EDUCATIVOS EN LA INSTITUCION EDUCATIVA INICIAL N° 68 DE LA LOCALIDAD DE AYAVIRI DEL DISTRITO DE AYAVIRI - PROVINCIA DE MELGAR - DEPARTAMENTO DE PUNO</v>
      </c>
      <c r="D167" s="7">
        <f>Base!I144</f>
        <v>220496.0</v>
      </c>
      <c r="E167" s="7">
        <f>Base!J144</f>
        <v>220392.0</v>
      </c>
      <c r="F167" s="7">
        <f>D167-E167</f>
        <v>104.0</v>
      </c>
      <c r="G167" s="7">
        <f>Base!L144</f>
        <v>174510.41</v>
      </c>
      <c r="H167" s="7">
        <f>D167-G167</f>
        <v>45985.59</v>
      </c>
      <c r="I167" s="19">
        <f>IF(D167=0,0,G167/D167)</f>
        <v>0.7914447881140702</v>
      </c>
      <c r="J167" s="6" t="str">
        <f>Base!U144</f>
        <v>Expediente técnico</v>
      </c>
      <c r="K167" s="6" t="str">
        <f>Base!R144</f>
        <v>Mayormente comprometido</v>
      </c>
      <c r="L167" s="7" t="str">
        <f>Base!V144</f>
        <v>No registrado en cartera</v>
      </c>
      <c r="M167" s="7" t="str">
        <f>Base!W144</f>
        <v>No registrado en cartera</v>
      </c>
      <c r="N167" s="7" t="str">
        <f>Base!X144</f>
        <v>No registrado en cartera</v>
      </c>
      <c r="O167" s="7" t="str">
        <f>Base!Y144</f>
        <v>No registrado en cartera</v>
      </c>
      <c r="P167" s="6">
        <f>IF(Base!Z144="","",Base!Z144)</f>
        <v/>
      </c>
      <c r="Q167" s="18" t="str">
        <f>Base!S144</f>
        <v>Difícil</v>
      </c>
      <c r="R167" s="7">
        <f>Base!N144</f>
        <v>45000.0</v>
      </c>
      <c r="S167" s="7">
        <f>Base!T144</f>
        <v>45104.0</v>
      </c>
    </row>
    <row r="168" spans="1:19">
      <c r="A168" s="18">
        <f>SUBTOTAL(103,$B$6:B168)</f>
        <v>141</v>
      </c>
      <c r="B168" s="18">
        <v>332</v>
      </c>
      <c r="C168" s="6" t="str">
        <f>Base!H145</f>
        <v>2650271: MEJORAMIENTO DEL SERVICIO DE EDUCACIÓN INICIAL EN I.E. 335   DISTRITO DE MOHO DE LA PROVINCIA DE MOHO DEL DEPARTAMENTO DE PUNO</v>
      </c>
      <c r="D168" s="7">
        <f>Base!I145</f>
        <v>129991.0</v>
      </c>
      <c r="E168" s="7">
        <f>Base!J145</f>
        <v>129991.0</v>
      </c>
      <c r="F168" s="7">
        <f>D168-E168</f>
        <v>0.0</v>
      </c>
      <c r="G168" s="7">
        <f>Base!L145</f>
        <v>129329.12</v>
      </c>
      <c r="H168" s="7">
        <f>D168-G168</f>
        <v>661.8800000000047</v>
      </c>
      <c r="I168" s="19">
        <f>IF(D168=0,0,G168/D168)</f>
        <v>0.9949082628797378</v>
      </c>
      <c r="J168" s="6" t="str">
        <f>Base!U145</f>
        <v>Expediente técnico</v>
      </c>
      <c r="K168" s="6" t="str">
        <f>Base!R145</f>
        <v>Ejecutado</v>
      </c>
      <c r="L168" s="7">
        <f>Base!V145</f>
        <v>129991.0</v>
      </c>
      <c r="M168" s="7">
        <f>Base!W145</f>
        <v>245854.0</v>
      </c>
      <c r="N168" s="7">
        <f>Base!X145</f>
        <v>0</v>
      </c>
      <c r="O168" s="7">
        <f>Base!Y145</f>
        <v>200000.0</v>
      </c>
      <c r="P168" s="6">
        <f>IF(Base!Z145="","",Base!Z145)</f>
        <v/>
      </c>
      <c r="Q168" s="18" t="str">
        <f>Base!S145</f>
        <v>No usar</v>
      </c>
      <c r="R168" s="7">
        <f>Base!N145</f>
        <v>0.0</v>
      </c>
      <c r="S168" s="7">
        <f>Base!T145</f>
        <v>0.0</v>
      </c>
    </row>
    <row r="169" spans="1:19">
      <c r="A169" s="18">
        <f>SUBTOTAL(103,$B$6:B169)</f>
        <v>142</v>
      </c>
      <c r="B169" s="18">
        <v>334</v>
      </c>
      <c r="C169" s="6" t="str">
        <f>Base!H146</f>
        <v>2651636: MEJORAMIENTO DEL SERVICIO DE EDUCACIÓN INICIAL EN I.E. ARICATO   DISTRITO DE PHARA DE LA PROVINCIA DE SANDIA DEL DEPARTAMENTO DE PUNO</v>
      </c>
      <c r="D169" s="7">
        <f>Base!I146</f>
        <v>24413.0</v>
      </c>
      <c r="E169" s="7">
        <f>Base!J146</f>
        <v>23994.5</v>
      </c>
      <c r="F169" s="7">
        <f>D169-E169</f>
        <v>418.5</v>
      </c>
      <c r="G169" s="7">
        <f>Base!L146</f>
        <v>19205.73</v>
      </c>
      <c r="H169" s="7">
        <f>D169-G169</f>
        <v>5207.27</v>
      </c>
      <c r="I169" s="19">
        <f>IF(D169=0,0,G169/D169)</f>
        <v>0.7867009380248228</v>
      </c>
      <c r="J169" s="6" t="str">
        <f>Base!U146</f>
        <v>Expediente técnico</v>
      </c>
      <c r="K169" s="6" t="str">
        <f>Base!R146</f>
        <v>Mayormente comprometido</v>
      </c>
      <c r="L169" s="7">
        <f>Base!V146</f>
        <v>24413.0</v>
      </c>
      <c r="M169" s="7">
        <f>Base!W146</f>
        <v>753784.0</v>
      </c>
      <c r="N169" s="7">
        <f>Base!X146</f>
        <v>0</v>
      </c>
      <c r="O169" s="7">
        <f>Base!Y146</f>
        <v>1846698.0</v>
      </c>
      <c r="P169" s="6">
        <f>IF(Base!Z146="","",Base!Z146)</f>
        <v/>
      </c>
      <c r="Q169" s="18" t="str">
        <f>Base!S146</f>
        <v>Difícil</v>
      </c>
      <c r="R169" s="7">
        <f>Base!N146</f>
        <v>0.0</v>
      </c>
      <c r="S169" s="7">
        <f>Base!T146</f>
        <v>418.5</v>
      </c>
    </row>
    <row r="170" spans="1:19">
      <c r="A170" s="18">
        <f>SUBTOTAL(103,$B$6:B170)</f>
        <v>143</v>
      </c>
      <c r="B170" s="18">
        <v>335</v>
      </c>
      <c r="C170" s="6" t="str">
        <f>Base!H147</f>
        <v>2653339: MEJORAMIENTO DEL SERVICIO DE EDUCACIÓN INICIAL EN I.E. 1137  DE CENTRO POBLADO LOS ANGELES DISTRITO DE CABANILLAS DE LA PROVINCIA DE SAN ROMAN DEL DEPARTAMENTO DE PUNO</v>
      </c>
      <c r="D170" s="7">
        <f>Base!I147</f>
        <v>0.0</v>
      </c>
      <c r="E170" s="7">
        <f>Base!J147</f>
        <v>0.0</v>
      </c>
      <c r="F170" s="7">
        <f>D170-E170</f>
        <v>0.0</v>
      </c>
      <c r="G170" s="7">
        <f>Base!L147</f>
        <v>0.0</v>
      </c>
      <c r="H170" s="7">
        <f>D170-G170</f>
        <v>0.0</v>
      </c>
      <c r="I170" s="19">
        <f>IF(D170=0,0,G170/D170)</f>
        <v>0</v>
      </c>
      <c r="J170" s="6" t="str">
        <f>Base!U147</f>
        <v>Sin datos</v>
      </c>
      <c r="K170" s="6" t="str">
        <f>Base!R147</f>
        <v>Sin PIM</v>
      </c>
      <c r="L170" s="7">
        <f>Base!V147</f>
        <v>0</v>
      </c>
      <c r="M170" s="7">
        <f>Base!W147</f>
        <v>1256452.0</v>
      </c>
      <c r="N170" s="7">
        <f>Base!X147</f>
        <v>0</v>
      </c>
      <c r="O170" s="7">
        <f>Base!Y147</f>
        <v>713083.0</v>
      </c>
      <c r="P170" s="6">
        <f>IF(Base!Z147="","",Base!Z147)</f>
        <v/>
      </c>
      <c r="Q170" s="18" t="str">
        <f>Base!S147</f>
        <v>Sin PIM</v>
      </c>
      <c r="R170" s="7">
        <f>Base!N147</f>
        <v>0.0</v>
      </c>
      <c r="S170" s="7">
        <f>Base!T147</f>
        <v>0.0</v>
      </c>
    </row>
    <row r="171" spans="1:19">
      <c r="A171" s="18">
        <f>SUBTOTAL(103,$B$6:B171)</f>
        <v>144</v>
      </c>
      <c r="B171" s="18">
        <v>459</v>
      </c>
      <c r="C171" s="6" t="str">
        <f>Base!H148</f>
        <v>2670402: MEJORAMIENTO DEL SERVICIO DE EDUCACIÓN SECUNDARIA EN I.E. SAN AGUSTIN   DISTRITO DE COATA DE LA PROVINCIA DE PUNO DEL DEPARTAMENTO DE PUNO</v>
      </c>
      <c r="D171" s="7">
        <f>Base!I148</f>
        <v>621845.0</v>
      </c>
      <c r="E171" s="7">
        <f>Base!J148</f>
        <v>621845.0</v>
      </c>
      <c r="F171" s="7">
        <f>D171-E171</f>
        <v>0.0</v>
      </c>
      <c r="G171" s="7">
        <f>Base!L148</f>
        <v>396842.78</v>
      </c>
      <c r="H171" s="7">
        <f>D171-G171</f>
        <v>225002.21999999997</v>
      </c>
      <c r="I171" s="19">
        <f>IF(D171=0,0,G171/D171)</f>
        <v>0.638169929805659</v>
      </c>
      <c r="J171" s="6" t="str">
        <f>Base!U148</f>
        <v>Expediente técnico</v>
      </c>
      <c r="K171" s="6" t="str">
        <f>Base!R148</f>
        <v>Mayormente comprometido</v>
      </c>
      <c r="L171" s="7">
        <f>Base!V148</f>
        <v>521845.0</v>
      </c>
      <c r="M171" s="7">
        <f>Base!W148</f>
        <v>2345678.0</v>
      </c>
      <c r="N171" s="7">
        <f>Base!X148</f>
        <v>0</v>
      </c>
      <c r="O171" s="7">
        <f>Base!Y148</f>
        <v>1000000.0</v>
      </c>
      <c r="P171" s="6">
        <f>IF(Base!Z148="","",Base!Z148)</f>
        <v/>
      </c>
      <c r="Q171" s="18" t="str">
        <f>Base!S148</f>
        <v>Difícil</v>
      </c>
      <c r="R171" s="7">
        <f>Base!N148</f>
        <v>100000.0</v>
      </c>
      <c r="S171" s="7">
        <f>Base!T148</f>
        <v>100000.0</v>
      </c>
    </row>
    <row r="172" spans="1:19">
      <c r="A172" s="18">
        <f>SUBTOTAL(103,$B$6:B172)</f>
        <v>145</v>
      </c>
      <c r="B172" s="18">
        <v>492</v>
      </c>
      <c r="C172" s="6" t="str">
        <f>Base!H149</f>
        <v>2681029: MEJORAMIENTO DEL SERVICIO DE EDUCACIÓN SECUNDARIA EN I.E. CESAR VALLEJO   DISTRITO DE HUANCANE DE LA PROVINCIA DE HUANCANE DEL DEPARTAMENTO DE PUNO</v>
      </c>
      <c r="D172" s="7">
        <f>Base!I149</f>
        <v>784869.0</v>
      </c>
      <c r="E172" s="7">
        <f>Base!J149</f>
        <v>784869.0</v>
      </c>
      <c r="F172" s="7">
        <f>D172-E172</f>
        <v>0.0</v>
      </c>
      <c r="G172" s="7">
        <f>Base!L149</f>
        <v>631813.71</v>
      </c>
      <c r="H172" s="7">
        <f>D172-G172</f>
        <v>153055.29000000004</v>
      </c>
      <c r="I172" s="19">
        <f>IF(D172=0,0,G172/D172)</f>
        <v>0.8049925656383421</v>
      </c>
      <c r="J172" s="6" t="str">
        <f>Base!U149</f>
        <v>Expediente técnico</v>
      </c>
      <c r="K172" s="6" t="str">
        <f>Base!R149</f>
        <v>Mayormente comprometido</v>
      </c>
      <c r="L172" s="7">
        <f>Base!V149</f>
        <v>340000.0</v>
      </c>
      <c r="M172" s="7">
        <f>Base!W149</f>
        <v>254845.0</v>
      </c>
      <c r="N172" s="7">
        <f>Base!X149</f>
        <v>0</v>
      </c>
      <c r="O172" s="7">
        <f>Base!Y149</f>
        <v>300000.0</v>
      </c>
      <c r="P172" s="6">
        <f>IF(Base!Z149="","",Base!Z149)</f>
        <v/>
      </c>
      <c r="Q172" s="18" t="str">
        <f>Base!S149</f>
        <v>Difícil</v>
      </c>
      <c r="R172" s="7">
        <f>Base!N149</f>
        <v>150121.09999999998</v>
      </c>
      <c r="S172" s="7">
        <f>Base!T149</f>
        <v>150121.09999999998</v>
      </c>
    </row>
    <row r="173" spans="1:19">
      <c r="A173" s="18">
        <f>SUBTOTAL(103,$B$6:B173)</f>
        <v>146</v>
      </c>
      <c r="B173" s="18">
        <v>495</v>
      </c>
      <c r="C173" s="6" t="str">
        <f>Base!H150</f>
        <v>2681019: MEJORAMIENTO DEL SERVICIO DE EDUCACIÓN SECUNDARIA EN I.E. JOSE OLAYA BALANDRA   DISTRITO DE JULIACA DE LA PROVINCIA DE SAN ROMAN DEL DEPARTAMENTO DE PUNO</v>
      </c>
      <c r="D173" s="7">
        <f>Base!I150</f>
        <v>373203.0</v>
      </c>
      <c r="E173" s="7">
        <f>Base!J150</f>
        <v>199545.0</v>
      </c>
      <c r="F173" s="7">
        <f>D173-E173</f>
        <v>173658.0</v>
      </c>
      <c r="G173" s="7">
        <f>Base!L150</f>
        <v>127534.07</v>
      </c>
      <c r="H173" s="7">
        <f>D173-G173</f>
        <v>245668.93</v>
      </c>
      <c r="I173" s="19">
        <f>IF(D173=0,0,G173/D173)</f>
        <v>0.3417284159023374</v>
      </c>
      <c r="J173" s="6" t="str">
        <f>Base!U150</f>
        <v>Expediente técnico</v>
      </c>
      <c r="K173" s="6" t="str">
        <f>Base!R150</f>
        <v>Mayormente comprometido</v>
      </c>
      <c r="L173" s="7">
        <f>Base!V150</f>
        <v>199545.0</v>
      </c>
      <c r="M173" s="7">
        <f>Base!W150</f>
        <v>5256354.0</v>
      </c>
      <c r="N173" s="7">
        <f>Base!X150</f>
        <v>0</v>
      </c>
      <c r="O173" s="7">
        <f>Base!Y150</f>
        <v>0</v>
      </c>
      <c r="P173" s="6">
        <f>IF(Base!Z150="","",Base!Z150)</f>
        <v/>
      </c>
      <c r="Q173" s="18" t="str">
        <f>Base!S150</f>
        <v>Difícil</v>
      </c>
      <c r="R173" s="7">
        <f>Base!N150</f>
        <v>0.0</v>
      </c>
      <c r="S173" s="7">
        <f>Base!T150</f>
        <v>173658.0</v>
      </c>
    </row>
    <row r="174" spans="1:19">
      <c r="A174" s="18">
        <f>SUBTOTAL(103,$B$6:B174)</f>
        <v>147</v>
      </c>
      <c r="B174" s="18">
        <v>496</v>
      </c>
      <c r="C174" s="6" t="str">
        <f>Base!H151</f>
        <v>2681037: MEJORAMIENTO DEL SERVICIO DE EDUCACIÓN SECUNDARIA EN I.E. CENTENARIO PATAMBUCO   DISTRITO DE PATAMBUCO DE LA PROVINCIA DE SANDIA DEL DEPARTAMENTO DE PUNO</v>
      </c>
      <c r="D174" s="7">
        <f>Base!I151</f>
        <v>192812.0</v>
      </c>
      <c r="E174" s="7">
        <f>Base!J151</f>
        <v>180485.0</v>
      </c>
      <c r="F174" s="7">
        <f>D174-E174</f>
        <v>12327.0</v>
      </c>
      <c r="G174" s="7">
        <f>Base!L151</f>
        <v>176515.68</v>
      </c>
      <c r="H174" s="7">
        <f>D174-G174</f>
        <v>16296.320000000007</v>
      </c>
      <c r="I174" s="19">
        <f>IF(D174=0,0,G174/D174)</f>
        <v>0.9154807792046138</v>
      </c>
      <c r="J174" s="6" t="str">
        <f>Base!U151</f>
        <v>Expediente técnico</v>
      </c>
      <c r="K174" s="6" t="str">
        <f>Base!R151</f>
        <v>Ejecutado</v>
      </c>
      <c r="L174" s="7">
        <f>Base!V151</f>
        <v>192812.0</v>
      </c>
      <c r="M174" s="7">
        <f>Base!W151</f>
        <v>0</v>
      </c>
      <c r="N174" s="7">
        <f>Base!X151</f>
        <v>500000.0</v>
      </c>
      <c r="O174" s="7">
        <f>Base!Y151</f>
        <v>0</v>
      </c>
      <c r="P174" s="6">
        <f>IF(Base!Z151="","",Base!Z151)</f>
        <v/>
      </c>
      <c r="Q174" s="18" t="str">
        <f>Base!S151</f>
        <v>No usar</v>
      </c>
      <c r="R174" s="7">
        <f>Base!N151</f>
        <v>0.0</v>
      </c>
      <c r="S174" s="7">
        <f>Base!T151</f>
        <v>0.0</v>
      </c>
    </row>
    <row r="175" spans="1:19">
      <c r="A175" s="18">
        <f>SUBTOTAL(103,$B$6:B175)</f>
        <v>148</v>
      </c>
      <c r="B175" s="18">
        <v>501</v>
      </c>
      <c r="C175" s="6" t="str">
        <f>Base!H152</f>
        <v>2681054: MEJORAMIENTO DEL SERVICIO DE EDUCACION PRIMARIA EN I.E. 70291   DISTRITO DE HUACULLANI DE LA PROVINCIA DE CHUCUITO DEL DEPARTAMENTO DE PUNO</v>
      </c>
      <c r="D175" s="7">
        <f>Base!I152</f>
        <v>287709.0</v>
      </c>
      <c r="E175" s="7">
        <f>Base!J152</f>
        <v>287709.0</v>
      </c>
      <c r="F175" s="7">
        <f>D175-E175</f>
        <v>0.0</v>
      </c>
      <c r="G175" s="7">
        <f>Base!L152</f>
        <v>108740.53</v>
      </c>
      <c r="H175" s="7">
        <f>D175-G175</f>
        <v>178968.47</v>
      </c>
      <c r="I175" s="19">
        <f>IF(D175=0,0,G175/D175)</f>
        <v>0.37795317490937025</v>
      </c>
      <c r="J175" s="6" t="str">
        <f>Base!U152</f>
        <v>Expediente técnico</v>
      </c>
      <c r="K175" s="6" t="str">
        <f>Base!R152</f>
        <v>Mayormente comprometido</v>
      </c>
      <c r="L175" s="7">
        <f>Base!V152</f>
        <v>287709.0</v>
      </c>
      <c r="M175" s="7">
        <f>Base!W152</f>
        <v>0</v>
      </c>
      <c r="N175" s="7">
        <f>Base!X152</f>
        <v>0</v>
      </c>
      <c r="O175" s="7">
        <f>Base!Y152</f>
        <v>3000000.0</v>
      </c>
      <c r="P175" s="6">
        <f>IF(Base!Z152="","",Base!Z152)</f>
        <v/>
      </c>
      <c r="Q175" s="18" t="str">
        <f>Base!S152</f>
        <v>Difícil</v>
      </c>
      <c r="R175" s="7">
        <f>Base!N152</f>
        <v>0.0</v>
      </c>
      <c r="S175" s="7">
        <f>Base!T152</f>
        <v>0.0</v>
      </c>
    </row>
    <row r="176" spans="1:19">
      <c r="A176" s="18">
        <f>SUBTOTAL(103,$B$6:B176)</f>
        <v>149</v>
      </c>
      <c r="B176" s="18">
        <v>502</v>
      </c>
      <c r="C176" s="6" t="str">
        <f>Base!H153</f>
        <v>2700348: MEJORAMIENTO DEL SERVICIO DE EDUCACION PRIMARIA EN I.E. 70288   DISTRITO DE DESAGUADERO DE LA PROVINCIA DE CHUCUITO DEL DEPARTAMENTO DE PUNO</v>
      </c>
      <c r="D176" s="7">
        <f>Base!I153</f>
        <v>140000.0</v>
      </c>
      <c r="E176" s="7">
        <f>Base!J153</f>
        <v>140000.0</v>
      </c>
      <c r="F176" s="7">
        <f>D176-E176</f>
        <v>0.0</v>
      </c>
      <c r="G176" s="7">
        <f>Base!L153</f>
        <v>131428.18</v>
      </c>
      <c r="H176" s="7">
        <f>D176-G176</f>
        <v>8571.820000000007</v>
      </c>
      <c r="I176" s="19">
        <f>IF(D176=0,0,G176/D176)</f>
        <v>0.9387727142857142</v>
      </c>
      <c r="J176" s="6" t="str">
        <f>Base!U153</f>
        <v>Expediente técnico</v>
      </c>
      <c r="K176" s="6" t="str">
        <f>Base!R153</f>
        <v>Ejecutado</v>
      </c>
      <c r="L176" s="7">
        <f>Base!V153</f>
        <v>140000.0</v>
      </c>
      <c r="M176" s="7">
        <f>Base!W153</f>
        <v>0</v>
      </c>
      <c r="N176" s="7">
        <f>Base!X153</f>
        <v>0</v>
      </c>
      <c r="O176" s="7">
        <f>Base!Y153</f>
        <v>500000.0</v>
      </c>
      <c r="P176" s="6">
        <f>IF(Base!Z153="","",Base!Z153)</f>
        <v/>
      </c>
      <c r="Q176" s="18" t="str">
        <f>Base!S153</f>
        <v>No usar</v>
      </c>
      <c r="R176" s="7">
        <f>Base!N153</f>
        <v>0.0</v>
      </c>
      <c r="S176" s="7">
        <f>Base!T153</f>
        <v>0.0</v>
      </c>
    </row>
    <row r="177" spans="1:19">
      <c r="A177" s="18">
        <f>SUBTOTAL(103,$B$6:B177)</f>
        <v>150</v>
      </c>
      <c r="B177" s="18">
        <v>505</v>
      </c>
      <c r="C177" s="6" t="str">
        <f>Base!H154</f>
        <v>2727355: CONSTRUCCION DE CAMPO DEPORTIVO SINGULAR; REFORZAMIENTO ESTRUCTURAL DE CAMPO DEPORTIVO Y ESPACIO DEPORTIVO CON COBERTURA; EN EL(LA) I.E. 73001 DISTRITO DE AZANGARO, PROVINCIA AZANGARO, DEPARTAMENTO PUNO</v>
      </c>
      <c r="D177" s="7">
        <f>Base!I154</f>
        <v>0.0</v>
      </c>
      <c r="E177" s="7">
        <f>Base!J154</f>
        <v>0.0</v>
      </c>
      <c r="F177" s="7">
        <f>D177-E177</f>
        <v>0.0</v>
      </c>
      <c r="G177" s="7">
        <f>Base!L154</f>
        <v>0.0</v>
      </c>
      <c r="H177" s="7">
        <f>D177-G177</f>
        <v>0.0</v>
      </c>
      <c r="I177" s="19">
        <f>IF(D177=0,0,G177/D177)</f>
        <v>0</v>
      </c>
      <c r="J177" s="6" t="str">
        <f>Base!U154</f>
        <v>Sin datos</v>
      </c>
      <c r="K177" s="6" t="str">
        <f>Base!R154</f>
        <v>Sin PIM</v>
      </c>
      <c r="L177" s="7" t="str">
        <f>Base!V154</f>
        <v>No registrado en cartera</v>
      </c>
      <c r="M177" s="7" t="str">
        <f>Base!W154</f>
        <v>No registrado en cartera</v>
      </c>
      <c r="N177" s="7" t="str">
        <f>Base!X154</f>
        <v>No registrado en cartera</v>
      </c>
      <c r="O177" s="7" t="str">
        <f>Base!Y154</f>
        <v>No registrado en cartera</v>
      </c>
      <c r="P177" s="6">
        <f>IF(Base!Z154="","",Base!Z154)</f>
        <v/>
      </c>
      <c r="Q177" s="18" t="str">
        <f>Base!S154</f>
        <v>Sin PIM</v>
      </c>
      <c r="R177" s="7">
        <f>Base!N154</f>
        <v>0.0</v>
      </c>
      <c r="S177" s="7">
        <f>Base!T154</f>
        <v>0.0</v>
      </c>
    </row>
    <row r="178" spans="1:19">
      <c r="A178" s="18">
        <f>SUBTOTAL(103,$B$6:B178)</f>
        <v>151</v>
      </c>
      <c r="B178" s="18">
        <v>517</v>
      </c>
      <c r="C178" s="6" t="str">
        <f>Base!H155</f>
        <v>2650804: MEJORAMIENTO DEL SERVICIO DE EDUCACION PRIMARIA EN I.E. 73010 DISTRITO DE SAN PEDRO DE PUTINA PUNCO DE LA PROVINCIA DE SANDIA DEL DEPARTAMENTO DE PUNO</v>
      </c>
      <c r="D178" s="7">
        <f>Base!I155</f>
        <v>200000.0</v>
      </c>
      <c r="E178" s="7">
        <f>Base!J155</f>
        <v>200000.0</v>
      </c>
      <c r="F178" s="7">
        <f>D178-E178</f>
        <v>0.0</v>
      </c>
      <c r="G178" s="7">
        <f>Base!L155</f>
        <v>0.0</v>
      </c>
      <c r="H178" s="7">
        <f>D178-G178</f>
        <v>200000.0</v>
      </c>
      <c r="I178" s="19">
        <f>IF(D178=0,0,G178/D178)</f>
        <v>0.0</v>
      </c>
      <c r="J178" s="6" t="str">
        <f>Base!U155</f>
        <v>Expediente técnico</v>
      </c>
      <c r="K178" s="6" t="str">
        <f>Base!R155</f>
        <v>Mayormente comprometido</v>
      </c>
      <c r="L178" s="7" t="str">
        <f>Base!V155</f>
        <v>No registrado en cartera</v>
      </c>
      <c r="M178" s="7" t="str">
        <f>Base!W155</f>
        <v>No registrado en cartera</v>
      </c>
      <c r="N178" s="7" t="str">
        <f>Base!X155</f>
        <v>No registrado en cartera</v>
      </c>
      <c r="O178" s="7" t="str">
        <f>Base!Y155</f>
        <v>No registrado en cartera</v>
      </c>
      <c r="P178" s="6">
        <f>IF(Base!Z155="","",Base!Z155)</f>
        <v/>
      </c>
      <c r="Q178" s="18" t="str">
        <f>Base!S155</f>
        <v>Difícil</v>
      </c>
      <c r="R178" s="7">
        <f>Base!N155</f>
        <v>0.0</v>
      </c>
      <c r="S178" s="7">
        <f>Base!T155</f>
        <v>0.0</v>
      </c>
    </row>
    <row r="179" spans="1:19">
      <c r="A179" s="18">
        <f>SUBTOTAL(103,$B$6:B179)</f>
        <v>152</v>
      </c>
      <c r="B179" s="18">
        <v>518</v>
      </c>
      <c r="C179" s="6" t="str">
        <f>Base!H156</f>
        <v>2681015: CREACION DEL SERVICIO DE EDUCACIÓN SUPERIOR TECNOLÓGICA  EN INSTITUTO SUPERIOR TECNOLOGICO "MARIANO CHANCATUMA" EN LA LOCALIDAD DE ASILLO   DISTRITO DE ASILLO DE LA PROVINCIA DE AZANGARO DEL DEPARTAMENTO DE PUNO</v>
      </c>
      <c r="D179" s="7">
        <f>Base!I156</f>
        <v>200000.0</v>
      </c>
      <c r="E179" s="7">
        <f>Base!J156</f>
        <v>200000.0</v>
      </c>
      <c r="F179" s="7">
        <f>D179-E179</f>
        <v>0.0</v>
      </c>
      <c r="G179" s="7">
        <f>Base!L156</f>
        <v>30838.26</v>
      </c>
      <c r="H179" s="7">
        <f>D179-G179</f>
        <v>169161.74</v>
      </c>
      <c r="I179" s="19">
        <f>IF(D179=0,0,G179/D179)</f>
        <v>0.1541913</v>
      </c>
      <c r="J179" s="6" t="str">
        <f>Base!U156</f>
        <v>Expediente técnico</v>
      </c>
      <c r="K179" s="6" t="str">
        <f>Base!R156</f>
        <v>Mayormente comprometido</v>
      </c>
      <c r="L179" s="7">
        <f>Base!V156</f>
        <v>200000.0</v>
      </c>
      <c r="M179" s="7">
        <f>Base!W156</f>
        <v>0</v>
      </c>
      <c r="N179" s="7">
        <f>Base!X156</f>
        <v>3000000.0</v>
      </c>
      <c r="O179" s="7">
        <f>Base!Y156</f>
        <v>8896729.0</v>
      </c>
      <c r="P179" s="6">
        <f>IF(Base!Z156="","",Base!Z156)</f>
        <v/>
      </c>
      <c r="Q179" s="18" t="str">
        <f>Base!S156</f>
        <v>Difícil</v>
      </c>
      <c r="R179" s="7">
        <f>Base!N156</f>
        <v>0.0</v>
      </c>
      <c r="S179" s="7">
        <f>Base!T156</f>
        <v>0.0</v>
      </c>
    </row>
    <row r="180" spans="1:19">
      <c r="A180" s="18">
        <f>SUBTOTAL(103,$B$6:B180)</f>
        <v>153</v>
      </c>
      <c r="B180" s="18">
        <v>519</v>
      </c>
      <c r="C180" s="6" t="str">
        <f>Base!H157</f>
        <v>2730161: RENOVACION DE AULA DE EDUCACION PRIMARIA; ADQUISICION DE EQUIPAMIENTO DE AULA, EQUIPAMIENTO DE TALLER Y MOBILIARIO DE AULA; EN EL(LA) I.E. 70617 CESAR VALLEJO DISTRITO DE JULIACA, PROVINCIA SAN ROMAN, DEPARTAMENTO PUNO</v>
      </c>
      <c r="D180" s="7">
        <f>Base!I157</f>
        <v>0.0</v>
      </c>
      <c r="E180" s="7">
        <f>Base!J157</f>
        <v>0.0</v>
      </c>
      <c r="F180" s="7">
        <f>D180-E180</f>
        <v>0.0</v>
      </c>
      <c r="G180" s="7">
        <f>Base!L157</f>
        <v>0.0</v>
      </c>
      <c r="H180" s="7">
        <f>D180-G180</f>
        <v>0.0</v>
      </c>
      <c r="I180" s="19">
        <f>IF(D180=0,0,G180/D180)</f>
        <v>0</v>
      </c>
      <c r="J180" s="6" t="str">
        <f>Base!U157</f>
        <v>Sin datos</v>
      </c>
      <c r="K180" s="6" t="str">
        <f>Base!R157</f>
        <v>Sin PIM</v>
      </c>
      <c r="L180" s="7" t="str">
        <f>Base!V157</f>
        <v>No registrado en cartera</v>
      </c>
      <c r="M180" s="7" t="str">
        <f>Base!W157</f>
        <v>No registrado en cartera</v>
      </c>
      <c r="N180" s="7" t="str">
        <f>Base!X157</f>
        <v>No registrado en cartera</v>
      </c>
      <c r="O180" s="7" t="str">
        <f>Base!Y157</f>
        <v>No registrado en cartera</v>
      </c>
      <c r="P180" s="6">
        <f>IF(Base!Z157="","",Base!Z157)</f>
        <v/>
      </c>
      <c r="Q180" s="18" t="str">
        <f>Base!S157</f>
        <v>Sin PIM</v>
      </c>
      <c r="R180" s="7">
        <f>Base!N157</f>
        <v>0.0</v>
      </c>
      <c r="S180" s="7">
        <f>Base!T157</f>
        <v>0.0</v>
      </c>
    </row>
    <row r="181" spans="1:19">
      <c r="A181" s="18">
        <f>SUBTOTAL(103,$B$6:B181)</f>
        <v>154</v>
      </c>
      <c r="B181" s="18">
        <v>520</v>
      </c>
      <c r="C181" s="6" t="str">
        <f>Base!H158</f>
        <v>2718285: CONSTRUCCION DE ESPACIO DEPORTIVO CON COBERTURA, ESPACIO DEPORTIVO SIN COBERTURA Y ESPACIO DE CIRCULACION INTERIOR ; EN EL(LA) I.E. JOSE ANTONIO ENCINAS DISTRITO DE JULIACA, PROVINCIA SAN ROMAN, DEPARTAMENTO PUNO</v>
      </c>
      <c r="D181" s="7">
        <f>Base!I158</f>
        <v>0.0</v>
      </c>
      <c r="E181" s="7">
        <f>Base!J158</f>
        <v>0.0</v>
      </c>
      <c r="F181" s="7">
        <f>D181-E181</f>
        <v>0.0</v>
      </c>
      <c r="G181" s="7">
        <f>Base!L158</f>
        <v>0.0</v>
      </c>
      <c r="H181" s="7">
        <f>D181-G181</f>
        <v>0.0</v>
      </c>
      <c r="I181" s="19">
        <f>IF(D181=0,0,G181/D181)</f>
        <v>0</v>
      </c>
      <c r="J181" s="6" t="str">
        <f>Base!U158</f>
        <v>Sin datos</v>
      </c>
      <c r="K181" s="6" t="str">
        <f>Base!R158</f>
        <v>Sin PIM</v>
      </c>
      <c r="L181" s="7" t="str">
        <f>Base!V158</f>
        <v>No registrado en cartera</v>
      </c>
      <c r="M181" s="7" t="str">
        <f>Base!W158</f>
        <v>No registrado en cartera</v>
      </c>
      <c r="N181" s="7" t="str">
        <f>Base!X158</f>
        <v>No registrado en cartera</v>
      </c>
      <c r="O181" s="7" t="str">
        <f>Base!Y158</f>
        <v>No registrado en cartera</v>
      </c>
      <c r="P181" s="6">
        <f>IF(Base!Z158="","",Base!Z158)</f>
        <v/>
      </c>
      <c r="Q181" s="18" t="str">
        <f>Base!S158</f>
        <v>Sin PIM</v>
      </c>
      <c r="R181" s="7">
        <f>Base!N158</f>
        <v>0.0</v>
      </c>
      <c r="S181" s="7">
        <f>Base!T158</f>
        <v>0.0</v>
      </c>
    </row>
    <row r="182" spans="1:19">
      <c r="A182" s="15" t="s">
        <v>163</v>
      </c>
      <c r="B182" s="15"/>
      <c r="C182" s="15"/>
      <c r="D182" s="16">
        <f>SUM(D183:D195)</f>
        <v>4282059.0</v>
      </c>
      <c r="E182" s="16">
        <f>SUM(E183:E195)</f>
        <v>3914926.91</v>
      </c>
      <c r="F182" s="16">
        <f>D182-E182</f>
        <v>367132.08999999985</v>
      </c>
      <c r="G182" s="16">
        <f>SUM(G183:G195)</f>
        <v>2300486.39</v>
      </c>
      <c r="H182" s="16">
        <f>D182-G182</f>
        <v>1981572.6099999999</v>
      </c>
      <c r="I182" s="17">
        <f>IF(D182=0,0,G182/D182)</f>
        <v>0.537238368270965</v>
      </c>
      <c r="J182" s="15"/>
      <c r="K182" s="15"/>
      <c r="L182" s="15"/>
      <c r="M182" s="15"/>
      <c r="N182" s="15"/>
      <c r="O182" s="15"/>
      <c r="P182" s="15"/>
      <c r="Q182" s="15"/>
      <c r="R182" s="16">
        <f>SUM(R183:R195)</f>
        <v>420366.8</v>
      </c>
      <c r="S182" s="16">
        <f>SUM(S183:S195)</f>
        <v>787498.8899999999</v>
      </c>
    </row>
    <row r="183" spans="1:19">
      <c r="A183" s="18">
        <f>SUBTOTAL(103,$B$6:B183)</f>
        <v>155</v>
      </c>
      <c r="B183" s="18">
        <v>304</v>
      </c>
      <c r="C183" s="6" t="str">
        <f>Base!H159</f>
        <v>2539948: MEJORAMIENTO DEL SERVICIO DE TRANSITABILIDAD VIAL INTERURBANA EN EL CAMINO VECINAL R2106057 - TRAMO DESVIO CHUQUIAGUILLO, CUYURAYA, CHICASCO, ISAÑCUYO, SINTICUYO Y HUANCARANI DEL DISTRITO DE VILQUE CHICO DE LA PROVINCIA DE HUANCANE DEL DEPARTAMENT</v>
      </c>
      <c r="D183" s="7">
        <f>Base!I159</f>
        <v>412686.0</v>
      </c>
      <c r="E183" s="7">
        <f>Base!J159</f>
        <v>364067.0</v>
      </c>
      <c r="F183" s="7">
        <f>D183-E183</f>
        <v>48619.0</v>
      </c>
      <c r="G183" s="7">
        <f>Base!L159</f>
        <v>189727.76</v>
      </c>
      <c r="H183" s="7">
        <f>D183-G183</f>
        <v>222958.24</v>
      </c>
      <c r="I183" s="19">
        <f>IF(D183=0,0,G183/D183)</f>
        <v>0.45973878445113237</v>
      </c>
      <c r="J183" s="6" t="str">
        <f>Base!U159</f>
        <v>Expediente técnico</v>
      </c>
      <c r="K183" s="6" t="str">
        <f>Base!R159</f>
        <v>Mayormente comprometido</v>
      </c>
      <c r="L183" s="7" t="str">
        <f>Base!V159</f>
        <v>No registrado en cartera</v>
      </c>
      <c r="M183" s="7" t="str">
        <f>Base!W159</f>
        <v>No registrado en cartera</v>
      </c>
      <c r="N183" s="7" t="str">
        <f>Base!X159</f>
        <v>No registrado en cartera</v>
      </c>
      <c r="O183" s="7" t="str">
        <f>Base!Y159</f>
        <v>No registrado en cartera</v>
      </c>
      <c r="P183" s="6">
        <f>IF(Base!Z159="","",Base!Z159)</f>
        <v/>
      </c>
      <c r="Q183" s="18" t="str">
        <f>Base!S159</f>
        <v>Difícil</v>
      </c>
      <c r="R183" s="7">
        <f>Base!N159</f>
        <v>0.0</v>
      </c>
      <c r="S183" s="7">
        <f>Base!T159</f>
        <v>48619.0</v>
      </c>
    </row>
    <row r="184" spans="1:19">
      <c r="A184" s="18">
        <f>SUBTOTAL(103,$B$6:B184)</f>
        <v>156</v>
      </c>
      <c r="B184" s="18">
        <v>308</v>
      </c>
      <c r="C184" s="6" t="str">
        <f>Base!H160</f>
        <v>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v>
      </c>
      <c r="D184" s="7">
        <f>Base!I160</f>
        <v>563376.0</v>
      </c>
      <c r="E184" s="7">
        <f>Base!J160</f>
        <v>563376.0</v>
      </c>
      <c r="F184" s="7">
        <f>D184-E184</f>
        <v>0.0</v>
      </c>
      <c r="G184" s="7">
        <f>Base!L160</f>
        <v>65074.95999999999</v>
      </c>
      <c r="H184" s="7">
        <f>D184-G184</f>
        <v>498301.04000000004</v>
      </c>
      <c r="I184" s="19">
        <f>IF(D184=0,0,G184/D184)</f>
        <v>0.11550893186788218</v>
      </c>
      <c r="J184" s="6" t="str">
        <f>Base!U160</f>
        <v>Expediente técnico</v>
      </c>
      <c r="K184" s="6" t="str">
        <f>Base!R160</f>
        <v>Parcialmente comprometido</v>
      </c>
      <c r="L184" s="7">
        <f>Base!V160</f>
        <v>350000.0</v>
      </c>
      <c r="M184" s="7">
        <f>Base!W160</f>
        <v>7563584.0</v>
      </c>
      <c r="N184" s="7">
        <f>Base!X160</f>
        <v>500000.0</v>
      </c>
      <c r="O184" s="7">
        <f>Base!Y160</f>
        <v>700000.0</v>
      </c>
      <c r="P184" s="6">
        <f>IF(Base!Z160="","",Base!Z160)</f>
        <v/>
      </c>
      <c r="Q184" s="18" t="str">
        <f>Base!S160</f>
        <v>Parcial</v>
      </c>
      <c r="R184" s="7">
        <f>Base!N160</f>
        <v>369831.0</v>
      </c>
      <c r="S184" s="7">
        <f>Base!T160</f>
        <v>369831.0</v>
      </c>
    </row>
    <row r="185" spans="1:19">
      <c r="A185" s="18">
        <f>SUBTOTAL(103,$B$6:B185)</f>
        <v>157</v>
      </c>
      <c r="B185" s="18">
        <v>309</v>
      </c>
      <c r="C185" s="6" t="str">
        <f>Base!H161</f>
        <v>2682870: MEJORAMIENTO DEL SERVICIO DE TRANSITABILIDAD VIAL INTERURBANA EN LA CARRETERA EMP. PE 34L (PUENTE ANTAJARANI) ¿ C.P. MACHACAMARCA YAPUTIRA , ¿ C.P. HALLA ¿ ALTOGRANDE ¿ EMP. PU-148 (C.C. UMABAMBA)   DISTRITOS DE VILQUE CHICO, COJATA DE LA PROVINCIA DE HUANCANE DEL DEPARTAMENTO DE PUNO</v>
      </c>
      <c r="D185" s="7">
        <f>Base!I161</f>
        <v>400000.0</v>
      </c>
      <c r="E185" s="7">
        <f>Base!J161</f>
        <v>400000.0</v>
      </c>
      <c r="F185" s="7">
        <f>D185-E185</f>
        <v>0.0</v>
      </c>
      <c r="G185" s="7">
        <f>Base!L161</f>
        <v>285245.05</v>
      </c>
      <c r="H185" s="7">
        <f>D185-G185</f>
        <v>114754.95000000001</v>
      </c>
      <c r="I185" s="19">
        <f>IF(D185=0,0,G185/D185)</f>
        <v>0.7131126249999999</v>
      </c>
      <c r="J185" s="6" t="str">
        <f>Base!U161</f>
        <v>Expediente técnico</v>
      </c>
      <c r="K185" s="6" t="str">
        <f>Base!R161</f>
        <v>Mayormente comprometido</v>
      </c>
      <c r="L185" s="7">
        <f>Base!V161</f>
        <v>400000.0</v>
      </c>
      <c r="M185" s="7">
        <f>Base!W161</f>
        <v>358745.0</v>
      </c>
      <c r="N185" s="7">
        <f>Base!X161</f>
        <v>0</v>
      </c>
      <c r="O185" s="7">
        <f>Base!Y161</f>
        <v>1000000.0</v>
      </c>
      <c r="P185" s="6">
        <f>IF(Base!Z161="","",Base!Z161)</f>
        <v/>
      </c>
      <c r="Q185" s="18" t="str">
        <f>Base!S161</f>
        <v>Difícil</v>
      </c>
      <c r="R185" s="7">
        <f>Base!N161</f>
        <v>0.0</v>
      </c>
      <c r="S185" s="7">
        <f>Base!T161</f>
        <v>0.0</v>
      </c>
    </row>
    <row r="186" spans="1:19">
      <c r="A186" s="18">
        <f>SUBTOTAL(103,$B$6:B186)</f>
        <v>158</v>
      </c>
      <c r="B186" s="18">
        <v>310</v>
      </c>
      <c r="C186" s="6" t="str">
        <f>Base!H162</f>
        <v>2681092: MEJORAMIENTO DEL SERVICIO DE TRANSITABILIDAD VIAL INTERURBANA EN LA CARRETERA EMP. PU 115: VIZCACHANI , ¿ TOQUEPANI ¿ LLOCOLLOCO ¿ EMP. PU 115: INCHUPALLA   DISTRITOS DE HUATASANI, INCHUPALLA DE LA PROVINCIA DE HUANCANE DEL DEPARTAMENTO DE PUNO</v>
      </c>
      <c r="D186" s="7">
        <f>Base!I162</f>
        <v>386035.0</v>
      </c>
      <c r="E186" s="7">
        <f>Base!J162</f>
        <v>365592.91000000003</v>
      </c>
      <c r="F186" s="7">
        <f>D186-E186</f>
        <v>20442.089999999967</v>
      </c>
      <c r="G186" s="7">
        <f>Base!L162</f>
        <v>246262.9</v>
      </c>
      <c r="H186" s="7">
        <f>D186-G186</f>
        <v>139772.1</v>
      </c>
      <c r="I186" s="19">
        <f>IF(D186=0,0,G186/D186)</f>
        <v>0.6379289442667115</v>
      </c>
      <c r="J186" s="6" t="str">
        <f>Base!U162</f>
        <v>Expediente técnico</v>
      </c>
      <c r="K186" s="6" t="str">
        <f>Base!R162</f>
        <v>Mayormente comprometido</v>
      </c>
      <c r="L186" s="7">
        <f>Base!V162</f>
        <v>386035.0</v>
      </c>
      <c r="M186" s="7">
        <f>Base!W162</f>
        <v>310542.0</v>
      </c>
      <c r="N186" s="7">
        <f>Base!X162</f>
        <v>0</v>
      </c>
      <c r="O186" s="7">
        <f>Base!Y162</f>
        <v>1000000.0</v>
      </c>
      <c r="P186" s="6">
        <f>IF(Base!Z162="","",Base!Z162)</f>
        <v/>
      </c>
      <c r="Q186" s="18" t="str">
        <f>Base!S162</f>
        <v>Difícil</v>
      </c>
      <c r="R186" s="7">
        <f>Base!N162</f>
        <v>0.0</v>
      </c>
      <c r="S186" s="7">
        <f>Base!T162</f>
        <v>20442.089999999967</v>
      </c>
    </row>
    <row r="187" spans="1:19">
      <c r="A187" s="18">
        <f>SUBTOTAL(103,$B$6:B187)</f>
        <v>159</v>
      </c>
      <c r="B187" s="18">
        <v>325</v>
      </c>
      <c r="C187" s="6" t="str">
        <f>Base!H163</f>
        <v>2575299: MEJORAMIENTO DEL SERVICIO DE TRANSITABILIDAD VIAL INTERURBANA EN EL TRAMO TIQUILLACA - CONDORIRI DEL DISTRITO DE TIQUILLACA DE LA PROVINCIA DE PUNO DEL DEPARTAMENTO DE PUNO</v>
      </c>
      <c r="D187" s="7">
        <f>Base!I163</f>
        <v>18371.0</v>
      </c>
      <c r="E187" s="7">
        <f>Base!J163</f>
        <v>0.0</v>
      </c>
      <c r="F187" s="7">
        <f>D187-E187</f>
        <v>18371.0</v>
      </c>
      <c r="G187" s="7">
        <f>Base!L163</f>
        <v>0.0</v>
      </c>
      <c r="H187" s="7">
        <f>D187-G187</f>
        <v>18371.0</v>
      </c>
      <c r="I187" s="19">
        <f>IF(D187=0,0,G187/D187)</f>
        <v>0.0</v>
      </c>
      <c r="J187" s="6" t="str">
        <f>Base!U163</f>
        <v>Expediente técnico</v>
      </c>
      <c r="K187" s="6" t="str">
        <f>Base!R163</f>
        <v>Sin certificar</v>
      </c>
      <c r="L187" s="7" t="str">
        <f>Base!V163</f>
        <v>No registrado en cartera</v>
      </c>
      <c r="M187" s="7" t="str">
        <f>Base!W163</f>
        <v>No registrado en cartera</v>
      </c>
      <c r="N187" s="7" t="str">
        <f>Base!X163</f>
        <v>No registrado en cartera</v>
      </c>
      <c r="O187" s="7" t="str">
        <f>Base!Y163</f>
        <v>No registrado en cartera</v>
      </c>
      <c r="P187" s="6">
        <f>IF(Base!Z163="","",Base!Z163)</f>
        <v/>
      </c>
      <c r="Q187" s="18" t="str">
        <f>Base!S163</f>
        <v>Disponible</v>
      </c>
      <c r="R187" s="7">
        <f>Base!N163</f>
        <v>0.0</v>
      </c>
      <c r="S187" s="7">
        <f>Base!T163</f>
        <v>18371.0</v>
      </c>
    </row>
    <row r="188" spans="1:19">
      <c r="A188" s="18">
        <f>SUBTOTAL(103,$B$6:B188)</f>
        <v>160</v>
      </c>
      <c r="B188" s="18">
        <v>326</v>
      </c>
      <c r="C188" s="6" t="str">
        <f>Base!H164</f>
        <v>2642160: MEJORAMIENTO DEL SERVICIO DE TRANSITABILIDAD VIAL INTERURBANA EN EN LA VIA VECINAL PU-713, L. PROV. LAMPA - QUISHUARANI - SALLAPATA - HUERTA -EMP. PU-124 (VILAVILA), DISTRITO DE VILAVILA DE LA PROVINCIA DE LAMPA DEL DEPARTAMENTO DE PUNO</v>
      </c>
      <c r="D188" s="7">
        <f>Base!I164</f>
        <v>225183.0</v>
      </c>
      <c r="E188" s="7">
        <f>Base!J164</f>
        <v>180000.0</v>
      </c>
      <c r="F188" s="7">
        <f>D188-E188</f>
        <v>45183.0</v>
      </c>
      <c r="G188" s="7">
        <f>Base!L164</f>
        <v>179898.4</v>
      </c>
      <c r="H188" s="7">
        <f>D188-G188</f>
        <v>45284.600000000006</v>
      </c>
      <c r="I188" s="19">
        <f>IF(D188=0,0,G188/D188)</f>
        <v>0.7988986735233121</v>
      </c>
      <c r="J188" s="6" t="str">
        <f>Base!U164</f>
        <v>Expediente técnico</v>
      </c>
      <c r="K188" s="6" t="str">
        <f>Base!R164</f>
        <v>Mayormente comprometido</v>
      </c>
      <c r="L188" s="7" t="str">
        <f>Base!V164</f>
        <v>No registrado en cartera</v>
      </c>
      <c r="M188" s="7" t="str">
        <f>Base!W164</f>
        <v>No registrado en cartera</v>
      </c>
      <c r="N188" s="7" t="str">
        <f>Base!X164</f>
        <v>No registrado en cartera</v>
      </c>
      <c r="O188" s="7" t="str">
        <f>Base!Y164</f>
        <v>No registrado en cartera</v>
      </c>
      <c r="P188" s="6">
        <f>IF(Base!Z164="","",Base!Z164)</f>
        <v/>
      </c>
      <c r="Q188" s="18" t="str">
        <f>Base!S164</f>
        <v>Difícil</v>
      </c>
      <c r="R188" s="7">
        <f>Base!N164</f>
        <v>0.0</v>
      </c>
      <c r="S188" s="7">
        <f>Base!T164</f>
        <v>45183.0</v>
      </c>
    </row>
    <row r="189" spans="1:19">
      <c r="A189" s="18">
        <f>SUBTOTAL(103,$B$6:B189)</f>
        <v>161</v>
      </c>
      <c r="B189" s="18">
        <v>327</v>
      </c>
      <c r="C189" s="6" t="str">
        <f>Base!H165</f>
        <v>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v>
      </c>
      <c r="D189" s="7">
        <f>Base!I165</f>
        <v>680000.0</v>
      </c>
      <c r="E189" s="7">
        <f>Base!J165</f>
        <v>676480.0</v>
      </c>
      <c r="F189" s="7">
        <f>D189-E189</f>
        <v>3520.0</v>
      </c>
      <c r="G189" s="7">
        <f>Base!L165</f>
        <v>463894.66000000003</v>
      </c>
      <c r="H189" s="7">
        <f>D189-G189</f>
        <v>216105.33999999997</v>
      </c>
      <c r="I189" s="19">
        <f>IF(D189=0,0,G189/D189)</f>
        <v>0.6821980294117648</v>
      </c>
      <c r="J189" s="6" t="str">
        <f>Base!U165</f>
        <v>Expediente técnico</v>
      </c>
      <c r="K189" s="6" t="str">
        <f>Base!R165</f>
        <v>Mayormente comprometido</v>
      </c>
      <c r="L189" s="7">
        <f>Base!V165</f>
        <v>380000.0</v>
      </c>
      <c r="M189" s="7">
        <f>Base!W165</f>
        <v>6625412.0</v>
      </c>
      <c r="N189" s="7">
        <f>Base!X165</f>
        <v>0</v>
      </c>
      <c r="O189" s="7">
        <f>Base!Y165</f>
        <v>1000000.0</v>
      </c>
      <c r="P189" s="6">
        <f>IF(Base!Z165="","",Base!Z165)</f>
        <v/>
      </c>
      <c r="Q189" s="18" t="str">
        <f>Base!S165</f>
        <v>Difícil</v>
      </c>
      <c r="R189" s="7">
        <f>Base!N165</f>
        <v>50000.0</v>
      </c>
      <c r="S189" s="7">
        <f>Base!T165</f>
        <v>53520.0</v>
      </c>
    </row>
    <row r="190" spans="1:19">
      <c r="A190" s="18">
        <f>SUBTOTAL(103,$B$6:B190)</f>
        <v>162</v>
      </c>
      <c r="B190" s="18">
        <v>328</v>
      </c>
      <c r="C190" s="6" t="str">
        <f>Base!H166</f>
        <v>2681096: MEJORAMIENTO DEL SERVICIO DE TRANSITABILIDAD VIAL INTERURBANA EN LA CARRETERA EMP. PE-3S (CHUA CHUA) - MOLINO - CHALLAPAMPA SANTA ROSA -  EMP. PU-130 (TACAPISI) , QUECCUANI - COPANI DE LOS   DISTRITOS DE ZEPITA, COPANI DE LAS PROVINCIAS DE CHUCUITO, YUNGUYO DEL DEPARTAMENTO DE PUNO</v>
      </c>
      <c r="D190" s="7">
        <f>Base!I166</f>
        <v>519111.0</v>
      </c>
      <c r="E190" s="7">
        <f>Base!J166</f>
        <v>519111.0</v>
      </c>
      <c r="F190" s="7">
        <f>D190-E190</f>
        <v>0.0</v>
      </c>
      <c r="G190" s="7">
        <f>Base!L166</f>
        <v>211182.68</v>
      </c>
      <c r="H190" s="7">
        <f>D190-G190</f>
        <v>307928.32</v>
      </c>
      <c r="I190" s="19">
        <f>IF(D190=0,0,G190/D190)</f>
        <v>0.4068160374178162</v>
      </c>
      <c r="J190" s="6" t="str">
        <f>Base!U166</f>
        <v>Expediente técnico</v>
      </c>
      <c r="K190" s="6" t="str">
        <f>Base!R166</f>
        <v>Mayormente comprometido</v>
      </c>
      <c r="L190" s="7">
        <f>Base!V166</f>
        <v>300000.0</v>
      </c>
      <c r="M190" s="7">
        <f>Base!W166</f>
        <v>5285426.0</v>
      </c>
      <c r="N190" s="7">
        <f>Base!X166</f>
        <v>0</v>
      </c>
      <c r="O190" s="7">
        <f>Base!Y166</f>
        <v>1000000.0</v>
      </c>
      <c r="P190" s="6">
        <f>IF(Base!Z166="","",Base!Z166)</f>
        <v/>
      </c>
      <c r="Q190" s="18" t="str">
        <f>Base!S166</f>
        <v>Difícil</v>
      </c>
      <c r="R190" s="7">
        <f>Base!N166</f>
        <v>535.7999999999884</v>
      </c>
      <c r="S190" s="7">
        <f>Base!T166</f>
        <v>535.7999999999884</v>
      </c>
    </row>
    <row r="191" spans="1:19">
      <c r="A191" s="18">
        <f>SUBTOTAL(103,$B$6:B191)</f>
        <v>163</v>
      </c>
      <c r="B191" s="18">
        <v>329</v>
      </c>
      <c r="C191" s="6" t="str">
        <f>Base!H167</f>
        <v>2692317: CONSTRUCCION DE PLATAFORMA Y DRENAJE TRANSVERSAL; REPARACION DE PLATAFORMA; ADQUISICION DE DISPOSITIVO DE CONTROL DE TRANSITO; EN EL(LA) CARRETERA PU-111 (EMP. JR. SULLANA ¿ EMP. JR. LIMA)  DISTRITO DE AZANGARO, PROVINCIA AZANGARO, DEPARTAMENTO PUNO</v>
      </c>
      <c r="D191" s="7">
        <f>Base!I167</f>
        <v>206971.0</v>
      </c>
      <c r="E191" s="7">
        <f>Base!J167</f>
        <v>206970.5</v>
      </c>
      <c r="F191" s="7">
        <f>D191-E191</f>
        <v>0.5</v>
      </c>
      <c r="G191" s="7">
        <f>Base!L167</f>
        <v>110370.29000000001</v>
      </c>
      <c r="H191" s="7">
        <f>D191-G191</f>
        <v>96600.70999999999</v>
      </c>
      <c r="I191" s="19">
        <f>IF(D191=0,0,G191/D191)</f>
        <v>0.5332645153185712</v>
      </c>
      <c r="J191" s="6" t="str">
        <f>Base!U167</f>
        <v>Expediente técnico</v>
      </c>
      <c r="K191" s="6" t="str">
        <f>Base!R167</f>
        <v>Mayormente comprometido</v>
      </c>
      <c r="L191" s="7">
        <f>Base!V167</f>
        <v>206972.0</v>
      </c>
      <c r="M191" s="7">
        <f>Base!W167</f>
        <v>254584.0</v>
      </c>
      <c r="N191" s="7">
        <f>Base!X167</f>
        <v>0</v>
      </c>
      <c r="O191" s="7">
        <f>Base!Y167</f>
        <v>500000.0</v>
      </c>
      <c r="P191" s="6">
        <f>IF(Base!Z167="","",Base!Z167)</f>
        <v/>
      </c>
      <c r="Q191" s="18" t="str">
        <f>Base!S167</f>
        <v>Difícil</v>
      </c>
      <c r="R191" s="7">
        <f>Base!N167</f>
        <v>0.0</v>
      </c>
      <c r="S191" s="7">
        <f>Base!T167</f>
        <v>0.5</v>
      </c>
    </row>
    <row r="192" spans="1:19">
      <c r="A192" s="18">
        <f>SUBTOTAL(103,$B$6:B192)</f>
        <v>164</v>
      </c>
      <c r="B192" s="18">
        <v>342</v>
      </c>
      <c r="C192" s="6" t="str">
        <f>Base!H168</f>
        <v>2654204: MEJORAMIENTO DEL SERVICIO DE TRANSITABILIDAD VIAL INTERURBANA EN LA CARRETERA PU ¿ 1068 (CONDORIRI , ¿ JUNCAL) DE LOS   DISTRITOS DE TIQUILLACA, SAN ANTONIO DE LA PROVINCIA DE PUNO DEL DEPARTAMENTO DE PUNO</v>
      </c>
      <c r="D192" s="7">
        <f>Base!I168</f>
        <v>654463.0</v>
      </c>
      <c r="E192" s="7">
        <f>Base!J168</f>
        <v>639329.5</v>
      </c>
      <c r="F192" s="7">
        <f>D192-E192</f>
        <v>15133.5</v>
      </c>
      <c r="G192" s="7">
        <f>Base!L168</f>
        <v>548829.6900000001</v>
      </c>
      <c r="H192" s="7">
        <f>D192-G192</f>
        <v>105633.30999999994</v>
      </c>
      <c r="I192" s="19">
        <f>IF(D192=0,0,G192/D192)</f>
        <v>0.83859544389828</v>
      </c>
      <c r="J192" s="6" t="str">
        <f>Base!U168</f>
        <v>Expediente técnico</v>
      </c>
      <c r="K192" s="6" t="str">
        <f>Base!R168</f>
        <v>Mayormente comprometido</v>
      </c>
      <c r="L192" s="7">
        <f>Base!V168</f>
        <v>380000.0</v>
      </c>
      <c r="M192" s="7">
        <f>Base!W168</f>
        <v>1421799.0</v>
      </c>
      <c r="N192" s="7">
        <f>Base!X168</f>
        <v>0</v>
      </c>
      <c r="O192" s="7">
        <f>Base!Y168</f>
        <v>1000000.0</v>
      </c>
      <c r="P192" s="6">
        <f>IF(Base!Z168="","",Base!Z168)</f>
        <v/>
      </c>
      <c r="Q192" s="18" t="str">
        <f>Base!S168</f>
        <v>Difícil</v>
      </c>
      <c r="R192" s="7">
        <f>Base!N168</f>
        <v>0.0</v>
      </c>
      <c r="S192" s="7">
        <f>Base!T168</f>
        <v>15133.5</v>
      </c>
    </row>
    <row r="193" spans="1:19">
      <c r="A193" s="18">
        <f>SUBTOTAL(103,$B$6:B193)</f>
        <v>165</v>
      </c>
      <c r="B193" s="18">
        <v>347</v>
      </c>
      <c r="C193" s="6" t="str">
        <f>Base!H169</f>
        <v>2131661: CONSTRUCCION Y MEJORAMIENTO DE LA CARRETERA DESVIO VILQUECHICO-COJATA-SINA-YANAHUAYA.</v>
      </c>
      <c r="D193" s="7">
        <f>Base!I169</f>
        <v>100000.0</v>
      </c>
      <c r="E193" s="7">
        <f>Base!J169</f>
        <v>0.0</v>
      </c>
      <c r="F193" s="7">
        <f>D193-E193</f>
        <v>100000.0</v>
      </c>
      <c r="G193" s="7">
        <f>Base!L169</f>
        <v>0.0</v>
      </c>
      <c r="H193" s="7">
        <f>D193-G193</f>
        <v>100000.0</v>
      </c>
      <c r="I193" s="19">
        <f>IF(D193=0,0,G193/D193)</f>
        <v>0.0</v>
      </c>
      <c r="J193" s="6" t="str">
        <f>Base!U169</f>
        <v>Expediente técnico</v>
      </c>
      <c r="K193" s="6" t="str">
        <f>Base!R169</f>
        <v>Sin certificar</v>
      </c>
      <c r="L193" s="7">
        <f>Base!V169</f>
        <v>4800690.0</v>
      </c>
      <c r="M193" s="7">
        <f>Base!W169</f>
        <v>4000000.0</v>
      </c>
      <c r="N193" s="7">
        <f>Base!X169</f>
        <v>14883202.0</v>
      </c>
      <c r="O193" s="7">
        <f>Base!Y169</f>
        <v>19038629.0</v>
      </c>
      <c r="P193" s="6">
        <f>IF(Base!Z169="","",Base!Z169)</f>
        <v/>
      </c>
      <c r="Q193" s="18" t="str">
        <f>Base!S169</f>
        <v>Disponible</v>
      </c>
      <c r="R193" s="7">
        <f>Base!N169</f>
        <v>0.0</v>
      </c>
      <c r="S193" s="7">
        <f>Base!T169</f>
        <v>100000.0</v>
      </c>
    </row>
    <row r="194" spans="1:19">
      <c r="A194" s="18">
        <f>SUBTOTAL(103,$B$6:B194)</f>
        <v>166</v>
      </c>
      <c r="B194" s="18">
        <v>521</v>
      </c>
      <c r="C194" s="6" t="str">
        <f>Base!H170</f>
        <v>2727133: CONSTRUCCION DE PUENTE; EN EL(LA) CARRETERA PU 588 - ACCESO AL CENTRO POBLADO DE CURVA ALEGRE (PUENTE NUEVA ESPERANZA), DISTRITO DE SAN PEDRO DE PUTINA PUNCO, PROVINCIA SANDIA, DEPARTAMENTO PUNO</v>
      </c>
      <c r="D194" s="7">
        <f>Base!I170</f>
        <v>40572.0</v>
      </c>
      <c r="E194" s="7">
        <f>Base!J170</f>
        <v>0.0</v>
      </c>
      <c r="F194" s="7">
        <f>D194-E194</f>
        <v>40572.0</v>
      </c>
      <c r="G194" s="7">
        <f>Base!L170</f>
        <v>0.0</v>
      </c>
      <c r="H194" s="7">
        <f>D194-G194</f>
        <v>40572.0</v>
      </c>
      <c r="I194" s="19">
        <f>IF(D194=0,0,G194/D194)</f>
        <v>0.0</v>
      </c>
      <c r="J194" s="6" t="str">
        <f>Base!U170</f>
        <v>Expediente técnico</v>
      </c>
      <c r="K194" s="6" t="str">
        <f>Base!R170</f>
        <v>Sin certificar</v>
      </c>
      <c r="L194" s="7" t="str">
        <f>Base!V170</f>
        <v>No registrado en cartera</v>
      </c>
      <c r="M194" s="7" t="str">
        <f>Base!W170</f>
        <v>No registrado en cartera</v>
      </c>
      <c r="N194" s="7" t="str">
        <f>Base!X170</f>
        <v>No registrado en cartera</v>
      </c>
      <c r="O194" s="7" t="str">
        <f>Base!Y170</f>
        <v>No registrado en cartera</v>
      </c>
      <c r="P194" s="6">
        <f>IF(Base!Z170="","",Base!Z170)</f>
        <v/>
      </c>
      <c r="Q194" s="18" t="str">
        <f>Base!S170</f>
        <v>Disponible</v>
      </c>
      <c r="R194" s="7">
        <f>Base!N170</f>
        <v>0.0</v>
      </c>
      <c r="S194" s="7">
        <f>Base!T170</f>
        <v>40572.0</v>
      </c>
    </row>
    <row r="195" spans="1:19">
      <c r="A195" s="18">
        <f>SUBTOTAL(103,$B$6:B195)</f>
        <v>167</v>
      </c>
      <c r="B195" s="18">
        <v>522</v>
      </c>
      <c r="C195" s="6" t="str">
        <f>Base!H171</f>
        <v>2727299: CONSTRUCCION DE PUENTE; EN EL(LA) CARRETERA R211223 EN ACCESO AL C.P. VICTORIA, DISTRITO DE SAN PEDRO DE PUTINA PUNCO, PROVINCIA SANDIA, DEPARTAMENTO PUNO</v>
      </c>
      <c r="D195" s="7">
        <f>Base!I171</f>
        <v>75291.0</v>
      </c>
      <c r="E195" s="7">
        <f>Base!J171</f>
        <v>0.0</v>
      </c>
      <c r="F195" s="7">
        <f>D195-E195</f>
        <v>75291.0</v>
      </c>
      <c r="G195" s="7">
        <f>Base!L171</f>
        <v>0.0</v>
      </c>
      <c r="H195" s="7">
        <f>D195-G195</f>
        <v>75291.0</v>
      </c>
      <c r="I195" s="19">
        <f>IF(D195=0,0,G195/D195)</f>
        <v>0.0</v>
      </c>
      <c r="J195" s="6" t="str">
        <f>Base!U171</f>
        <v>Expediente técnico</v>
      </c>
      <c r="K195" s="6" t="str">
        <f>Base!R171</f>
        <v>Sin certificar</v>
      </c>
      <c r="L195" s="7" t="str">
        <f>Base!V171</f>
        <v>No registrado en cartera</v>
      </c>
      <c r="M195" s="7" t="str">
        <f>Base!W171</f>
        <v>No registrado en cartera</v>
      </c>
      <c r="N195" s="7" t="str">
        <f>Base!X171</f>
        <v>No registrado en cartera</v>
      </c>
      <c r="O195" s="7" t="str">
        <f>Base!Y171</f>
        <v>No registrado en cartera</v>
      </c>
      <c r="P195" s="6">
        <f>IF(Base!Z171="","",Base!Z171)</f>
        <v/>
      </c>
      <c r="Q195" s="18" t="str">
        <f>Base!S171</f>
        <v>Disponible</v>
      </c>
      <c r="R195" s="7">
        <f>Base!N171</f>
        <v>0.0</v>
      </c>
      <c r="S195" s="7">
        <f>Base!T171</f>
        <v>75291.0</v>
      </c>
    </row>
    <row r="196" spans="1:19">
      <c r="A196" s="15" t="s">
        <v>242</v>
      </c>
      <c r="B196" s="15"/>
      <c r="C196" s="15"/>
      <c r="D196" s="16">
        <f>SUM(D197:D198)</f>
        <v>425742.0</v>
      </c>
      <c r="E196" s="16">
        <f>SUM(E197:E198)</f>
        <v>385373.0</v>
      </c>
      <c r="F196" s="16">
        <f>D196-E196</f>
        <v>40369.0</v>
      </c>
      <c r="G196" s="16">
        <f>SUM(G197:G198)</f>
        <v>207394.57</v>
      </c>
      <c r="H196" s="16">
        <f>D196-G196</f>
        <v>218347.43</v>
      </c>
      <c r="I196" s="17">
        <f>IF(D196=0,0,G196/D196)</f>
        <v>0.4871367400914169</v>
      </c>
      <c r="J196" s="15"/>
      <c r="K196" s="15"/>
      <c r="L196" s="15"/>
      <c r="M196" s="15"/>
      <c r="N196" s="15"/>
      <c r="O196" s="15"/>
      <c r="P196" s="15"/>
      <c r="Q196" s="15"/>
      <c r="R196" s="16">
        <f>SUM(R197:R198)</f>
        <v>0.0</v>
      </c>
      <c r="S196" s="16">
        <f>SUM(S197:S198)</f>
        <v>40369.0</v>
      </c>
    </row>
    <row r="197" spans="1:19">
      <c r="A197" s="18">
        <f>SUBTOTAL(103,$B$6:B197)</f>
        <v>168</v>
      </c>
      <c r="B197" s="18">
        <v>321</v>
      </c>
      <c r="C197" s="6" t="str">
        <f>Base!H172</f>
        <v>2186641: MEJORAMIENTO DEL SERVICIO DEPORTIVO, CULTURAL Y RECREACIONAL EN LA CAPITAL DE LA REGION PUNO</v>
      </c>
      <c r="D197" s="7">
        <f>Base!I172</f>
        <v>325721.0</v>
      </c>
      <c r="E197" s="7">
        <f>Base!J172</f>
        <v>325721.0</v>
      </c>
      <c r="F197" s="7">
        <f>D197-E197</f>
        <v>0.0</v>
      </c>
      <c r="G197" s="7">
        <f>Base!L172</f>
        <v>159147.06</v>
      </c>
      <c r="H197" s="7">
        <f>D197-G197</f>
        <v>166573.94</v>
      </c>
      <c r="I197" s="19">
        <f>IF(D197=0,0,G197/D197)</f>
        <v>0.48859932273325946</v>
      </c>
      <c r="J197" s="6" t="str">
        <f>Base!U172</f>
        <v>Expediente técnico</v>
      </c>
      <c r="K197" s="6" t="str">
        <f>Base!R172</f>
        <v>Mayormente comprometido</v>
      </c>
      <c r="L197" s="7">
        <f>Base!V172</f>
        <v>11675669.0</v>
      </c>
      <c r="M197" s="7">
        <f>Base!W172</f>
        <v>6000000.0</v>
      </c>
      <c r="N197" s="7">
        <f>Base!X172</f>
        <v>6503691.0</v>
      </c>
      <c r="O197" s="7">
        <f>Base!Y172</f>
        <v>7526858.0</v>
      </c>
      <c r="P197" s="6">
        <f>IF(Base!Z172="","",Base!Z172)</f>
        <v/>
      </c>
      <c r="Q197" s="18" t="str">
        <f>Base!S172</f>
        <v>Difícil</v>
      </c>
      <c r="R197" s="7">
        <f>Base!N172</f>
        <v>0.0</v>
      </c>
      <c r="S197" s="7">
        <f>Base!T172</f>
        <v>0.0</v>
      </c>
    </row>
    <row r="198" spans="1:19">
      <c r="A198" s="18">
        <f>SUBTOTAL(103,$B$6:B198)</f>
        <v>169</v>
      </c>
      <c r="B198" s="18">
        <v>491</v>
      </c>
      <c r="C198" s="6" t="str">
        <f>Base!H173</f>
        <v>2714049: REPARACION DE CAMPO DEPORTIVO; EN EL(LA) POLIDEPORTIVO AZANGARO DISTRITO DE AZANGARO, PROVINCIA AZANGARO, DEPARTAMENTO PUNO</v>
      </c>
      <c r="D198" s="7">
        <f>Base!I173</f>
        <v>100021.0</v>
      </c>
      <c r="E198" s="7">
        <f>Base!J173</f>
        <v>59652.0</v>
      </c>
      <c r="F198" s="7">
        <f>D198-E198</f>
        <v>40369.0</v>
      </c>
      <c r="G198" s="7">
        <f>Base!L173</f>
        <v>48247.51</v>
      </c>
      <c r="H198" s="7">
        <f>D198-G198</f>
        <v>51773.49</v>
      </c>
      <c r="I198" s="19">
        <f>IF(D198=0,0,G198/D198)</f>
        <v>0.4823738015016847</v>
      </c>
      <c r="J198" s="6" t="str">
        <f>Base!U173</f>
        <v>Expediente técnico</v>
      </c>
      <c r="K198" s="6" t="str">
        <f>Base!R173</f>
        <v>Mayormente comprometido</v>
      </c>
      <c r="L198" s="7">
        <f>Base!V173</f>
        <v>50000.0</v>
      </c>
      <c r="M198" s="7">
        <f>Base!W173</f>
        <v>0</v>
      </c>
      <c r="N198" s="7">
        <f>Base!X173</f>
        <v>0</v>
      </c>
      <c r="O198" s="7">
        <f>Base!Y173</f>
        <v>1500000.0</v>
      </c>
      <c r="P198" s="6">
        <f>IF(Base!Z173="","",Base!Z173)</f>
        <v/>
      </c>
      <c r="Q198" s="18" t="str">
        <f>Base!S173</f>
        <v>Difícil</v>
      </c>
      <c r="R198" s="7">
        <f>Base!N173</f>
        <v>0.0</v>
      </c>
      <c r="S198" s="7">
        <f>Base!T173</f>
        <v>40369.0</v>
      </c>
    </row>
    <row r="199" spans="1:19">
      <c r="A199" s="15" t="s">
        <v>608</v>
      </c>
      <c r="B199" s="15"/>
      <c r="C199" s="15"/>
      <c r="D199" s="16">
        <f>SUM(D200:D200)</f>
        <v>500000.0</v>
      </c>
      <c r="E199" s="16">
        <f>SUM(E200:E200)</f>
        <v>0.0</v>
      </c>
      <c r="F199" s="16">
        <f>D199-E199</f>
        <v>500000.0</v>
      </c>
      <c r="G199" s="16">
        <f>SUM(G200:G200)</f>
        <v>0.0</v>
      </c>
      <c r="H199" s="16">
        <f>D199-G199</f>
        <v>500000.0</v>
      </c>
      <c r="I199" s="17">
        <f>IF(D199=0,0,G199/D199)</f>
        <v>0.0</v>
      </c>
      <c r="J199" s="15"/>
      <c r="K199" s="15"/>
      <c r="L199" s="15"/>
      <c r="M199" s="15"/>
      <c r="N199" s="15"/>
      <c r="O199" s="15"/>
      <c r="P199" s="15"/>
      <c r="Q199" s="15"/>
      <c r="R199" s="16">
        <f>SUM(R200:R200)</f>
        <v>0.0</v>
      </c>
      <c r="S199" s="16">
        <f>SUM(S200:S200)</f>
        <v>500000.0</v>
      </c>
    </row>
    <row r="200" spans="1:19">
      <c r="A200" s="18">
        <f>SUBTOTAL(103,$B$6:B200)</f>
        <v>170</v>
      </c>
      <c r="B200" s="18">
        <v>337</v>
      </c>
      <c r="C200" s="6" t="str">
        <f>Base!H174</f>
        <v>2518131: AMPLIACION Y MEJORAMIENTO DE LOS SERVICIOS DE ADMINISTRACION DE JUSTICIA DE LOS ORGANOS JURISDICCIONALES DE LA SEDE CENTRAL DEL DISTRITO JUDICIAL DE PUNO, DISTRITO DE PUNO - PROVINCIA DE PUNO - DEPARTAMENTO DE PUNO</v>
      </c>
      <c r="D200" s="7">
        <f>Base!I174</f>
        <v>500000.0</v>
      </c>
      <c r="E200" s="7">
        <f>Base!J174</f>
        <v>0.0</v>
      </c>
      <c r="F200" s="7">
        <f>D200-E200</f>
        <v>500000.0</v>
      </c>
      <c r="G200" s="7">
        <f>Base!L174</f>
        <v>0.0</v>
      </c>
      <c r="H200" s="7">
        <f>D200-G200</f>
        <v>500000.0</v>
      </c>
      <c r="I200" s="19">
        <f>IF(D200=0,0,G200/D200)</f>
        <v>0.0</v>
      </c>
      <c r="J200" s="6" t="str">
        <f>Base!U174</f>
        <v>Expediente técnico</v>
      </c>
      <c r="K200" s="6" t="str">
        <f>Base!R174</f>
        <v>Sin certificar</v>
      </c>
      <c r="L200" s="7" t="str">
        <f>Base!V174</f>
        <v>No registrado en cartera</v>
      </c>
      <c r="M200" s="7" t="str">
        <f>Base!W174</f>
        <v>No registrado en cartera</v>
      </c>
      <c r="N200" s="7" t="str">
        <f>Base!X174</f>
        <v>No registrado en cartera</v>
      </c>
      <c r="O200" s="7" t="str">
        <f>Base!Y174</f>
        <v>No registrado en cartera</v>
      </c>
      <c r="P200" s="6">
        <f>IF(Base!Z174="","",Base!Z174)</f>
        <v/>
      </c>
      <c r="Q200" s="18" t="str">
        <f>Base!S174</f>
        <v>Disponible</v>
      </c>
      <c r="R200" s="7">
        <f>Base!N174</f>
        <v>0.0</v>
      </c>
      <c r="S200" s="7">
        <f>Base!T174</f>
        <v>500000.0</v>
      </c>
    </row>
    <row r="201" spans="1:19">
      <c r="A201" s="8" t="s">
        <v>612</v>
      </c>
      <c r="B201" s="8"/>
      <c r="C201" s="8"/>
      <c r="D201" s="9">
        <f>D202+D228+D273+D311+D316+D320+D322+D324+D326</f>
        <v>48792207.0</v>
      </c>
      <c r="E201" s="9">
        <f>E202+E228+E273+E311+E316+E320+E322+E324+E326</f>
        <v>39512702.72</v>
      </c>
      <c r="F201" s="9">
        <f>D201-E201</f>
        <v>9279504.280000001</v>
      </c>
      <c r="G201" s="9">
        <f>G202+G228+G273+G311+G316+G320+G322+G324+G326</f>
        <v>12779600.42</v>
      </c>
      <c r="H201" s="9">
        <f>D201-G201</f>
        <v>36012606.58</v>
      </c>
      <c r="I201" s="14">
        <f>IF(D201=0,0,G201/D201)</f>
        <v>0.26191888430051957</v>
      </c>
      <c r="J201" s="8"/>
      <c r="K201" s="8"/>
      <c r="L201" s="8"/>
      <c r="M201" s="8"/>
      <c r="N201" s="8"/>
      <c r="O201" s="8"/>
      <c r="P201" s="8"/>
      <c r="Q201" s="8"/>
      <c r="R201" s="9">
        <f>R202+R228+R273+R311+R316+R320+R322+R324+R326</f>
        <v>5730703.33</v>
      </c>
      <c r="S201" s="9">
        <f>S202+S228+S273+S311+S316+S320+S322+S324+S326</f>
        <v>15008564.79</v>
      </c>
    </row>
    <row r="202" spans="1:19">
      <c r="A202" s="15" t="s">
        <v>58</v>
      </c>
      <c r="B202" s="15"/>
      <c r="C202" s="15"/>
      <c r="D202" s="16">
        <f>SUM(D203:D227)</f>
        <v>15757818.0</v>
      </c>
      <c r="E202" s="16">
        <f>SUM(E203:E227)</f>
        <v>14762847.889999999</v>
      </c>
      <c r="F202" s="16">
        <f>D202-E202</f>
        <v>994970.1100000013</v>
      </c>
      <c r="G202" s="16">
        <f>SUM(G203:G227)</f>
        <v>1021607.4199999999</v>
      </c>
      <c r="H202" s="16">
        <f>D202-G202</f>
        <v>14736210.58</v>
      </c>
      <c r="I202" s="17">
        <f>IF(D202=0,0,G202/D202)</f>
        <v>0.06483178191295266</v>
      </c>
      <c r="J202" s="15"/>
      <c r="K202" s="15"/>
      <c r="L202" s="15"/>
      <c r="M202" s="15"/>
      <c r="N202" s="15"/>
      <c r="O202" s="15"/>
      <c r="P202" s="15"/>
      <c r="Q202" s="15"/>
      <c r="R202" s="16">
        <f>SUM(R203:R227)</f>
        <v>3462883.2300000004</v>
      </c>
      <c r="S202" s="16">
        <f>SUM(S203:S227)</f>
        <v>4457853.340000001</v>
      </c>
    </row>
    <row r="203" spans="1:19">
      <c r="A203" s="18">
        <f>SUBTOTAL(103,$B$6:B203)</f>
        <v>171</v>
      </c>
      <c r="B203" s="18">
        <v>227</v>
      </c>
      <c r="C203" s="6" t="str">
        <f>Base!H175</f>
        <v>2357091: MEJORAMIENTO DE LA CAPACIDAD RESOLUTIVA DEL CENTRO DE SALUD COATA I-3 DE LA MICRORED JAE, RED DE SALUD PUNO - DIRESA PUNO, , - DISTRITO DE COATA - PROVINCIA DE PUNO - REGIÓN PUNO</v>
      </c>
      <c r="D203" s="7">
        <f>Base!I175</f>
        <v>10399190.0</v>
      </c>
      <c r="E203" s="7">
        <f>Base!J175</f>
        <v>9609876.0</v>
      </c>
      <c r="F203" s="7">
        <f>D203-E203</f>
        <v>789314.0</v>
      </c>
      <c r="G203" s="7">
        <f>Base!L175</f>
        <v>0.0</v>
      </c>
      <c r="H203" s="7">
        <f>D203-G203</f>
        <v>10399190.0</v>
      </c>
      <c r="I203" s="19">
        <f>IF(D203=0,0,G203/D203)</f>
        <v>0.0</v>
      </c>
      <c r="J203" s="6" t="str">
        <f>Base!U175</f>
        <v>Contrata</v>
      </c>
      <c r="K203" s="6" t="str">
        <f>Base!R175</f>
        <v>Mayormente comprometido</v>
      </c>
      <c r="L203" s="7">
        <f>Base!V175</f>
        <v>8282615.0</v>
      </c>
      <c r="M203" s="7">
        <f>Base!W175</f>
        <v>10255200.0</v>
      </c>
      <c r="N203" s="7">
        <f>Base!X175</f>
        <v>10389972.0</v>
      </c>
      <c r="O203" s="7">
        <f>Base!Y175</f>
        <v>10574977.0</v>
      </c>
      <c r="P203" s="6">
        <f>IF(Base!Z175="","",Base!Z175)</f>
        <v/>
      </c>
      <c r="Q203" s="18" t="str">
        <f>Base!S175</f>
        <v>Difícil</v>
      </c>
      <c r="R203" s="7">
        <f>Base!N175</f>
        <v>0.0</v>
      </c>
      <c r="S203" s="7">
        <f>Base!T175</f>
        <v>789314.0</v>
      </c>
    </row>
    <row r="204" spans="1:19">
      <c r="A204" s="18">
        <f>SUBTOTAL(103,$B$6:B204)</f>
        <v>172</v>
      </c>
      <c r="B204" s="18">
        <v>230</v>
      </c>
      <c r="C204" s="6" t="str">
        <f>Base!H176</f>
        <v>2380088: MEJORAMIENTO Y AMPLIACION DE LOS SERVICIOS DE SALUD DEL HOSPITAL CARLOS CORNEJO ROSELLO VIZCARDO DE LA CIUDAD DE AZANGARO, DISTRITO Y PROVINCIA DE AZANGARO, DEPARTAMENTO DE PUNO</v>
      </c>
      <c r="D204" s="7">
        <f>Base!I176</f>
        <v>0.0</v>
      </c>
      <c r="E204" s="7">
        <f>Base!J176</f>
        <v>0.0</v>
      </c>
      <c r="F204" s="7">
        <f>D204-E204</f>
        <v>0.0</v>
      </c>
      <c r="G204" s="7">
        <f>Base!L176</f>
        <v>0.0</v>
      </c>
      <c r="H204" s="7">
        <f>D204-G204</f>
        <v>0.0</v>
      </c>
      <c r="I204" s="19">
        <f>IF(D204=0,0,G204/D204)</f>
        <v>0</v>
      </c>
      <c r="J204" s="6" t="str">
        <f>Base!U176</f>
        <v>Contrata</v>
      </c>
      <c r="K204" s="6" t="str">
        <f>Base!R176</f>
        <v>Sin PIM</v>
      </c>
      <c r="L204" s="7">
        <f>Base!V176</f>
        <v>1950000.0</v>
      </c>
      <c r="M204" s="7">
        <f>Base!W176</f>
        <v>0</v>
      </c>
      <c r="N204" s="7">
        <f>Base!X176</f>
        <v>1500000.0</v>
      </c>
      <c r="O204" s="7">
        <f>Base!Y176</f>
        <v>2450000.0</v>
      </c>
      <c r="P204" s="6">
        <f>IF(Base!Z176="","",Base!Z176)</f>
        <v/>
      </c>
      <c r="Q204" s="18" t="str">
        <f>Base!S176</f>
        <v>Sin PIM</v>
      </c>
      <c r="R204" s="7">
        <f>Base!N176</f>
        <v>0.0</v>
      </c>
      <c r="S204" s="7">
        <f>Base!T176</f>
        <v>0.0</v>
      </c>
    </row>
    <row r="205" spans="1:19">
      <c r="A205" s="18">
        <f>SUBTOTAL(103,$B$6:B205)</f>
        <v>173</v>
      </c>
      <c r="B205" s="18">
        <v>238</v>
      </c>
      <c r="C205" s="6" t="str">
        <f>Base!H177</f>
        <v>2476464: MEJORAMIENTO Y AMPLIACION DE LOS SERVICIOS DE SALUD DEL CENTRO DE SALUD KELLUYO DEL  DISTRITO DE KELLUYO - PROVINCIA DE CHUCUITO - DEPARTAMENTO DE PUNO</v>
      </c>
      <c r="D205" s="7">
        <f>Base!I177</f>
        <v>184669.0</v>
      </c>
      <c r="E205" s="7">
        <f>Base!J177</f>
        <v>184669.0</v>
      </c>
      <c r="F205" s="7">
        <f>D205-E205</f>
        <v>0.0</v>
      </c>
      <c r="G205" s="7">
        <f>Base!L177</f>
        <v>0.0</v>
      </c>
      <c r="H205" s="7">
        <f>D205-G205</f>
        <v>184669.0</v>
      </c>
      <c r="I205" s="19">
        <f>IF(D205=0,0,G205/D205)</f>
        <v>0.0</v>
      </c>
      <c r="J205" s="6" t="str">
        <f>Base!U177</f>
        <v>Contrata</v>
      </c>
      <c r="K205" s="6" t="str">
        <f>Base!R177</f>
        <v>Solo certificado</v>
      </c>
      <c r="L205" s="7">
        <f>Base!V177</f>
        <v>5319000.0</v>
      </c>
      <c r="M205" s="7">
        <f>Base!W177</f>
        <v>8587485.0</v>
      </c>
      <c r="N205" s="7">
        <f>Base!X177</f>
        <v>0</v>
      </c>
      <c r="O205" s="7">
        <f>Base!Y177</f>
        <v>1000000.0</v>
      </c>
      <c r="P205" s="6">
        <f>IF(Base!Z177="","",Base!Z177)</f>
        <v/>
      </c>
      <c r="Q205" s="18" t="str">
        <f>Base!S177</f>
        <v>Posible</v>
      </c>
      <c r="R205" s="7">
        <f>Base!N177</f>
        <v>184669.0</v>
      </c>
      <c r="S205" s="7">
        <f>Base!T177</f>
        <v>184669.0</v>
      </c>
    </row>
    <row r="206" spans="1:19">
      <c r="A206" s="18">
        <f>SUBTOTAL(103,$B$6:B206)</f>
        <v>174</v>
      </c>
      <c r="B206" s="18">
        <v>244</v>
      </c>
      <c r="C206" s="6" t="str">
        <f>Base!H178</f>
        <v>2517448: MEJORAMIENTO DEL SERVICIO DE SALUD EN EL CENTRO DE SALUD  SAN GABÁN,  DISTRITO DE SAN GABAN - PROVINCIA DE CARABAYA - DEPARTAMENTO DE PUNO</v>
      </c>
      <c r="D206" s="7">
        <f>Base!I178</f>
        <v>200000.0</v>
      </c>
      <c r="E206" s="7">
        <f>Base!J178</f>
        <v>50000.0</v>
      </c>
      <c r="F206" s="7">
        <f>D206-E206</f>
        <v>150000.0</v>
      </c>
      <c r="G206" s="7">
        <f>Base!L178</f>
        <v>0.0</v>
      </c>
      <c r="H206" s="7">
        <f>D206-G206</f>
        <v>200000.0</v>
      </c>
      <c r="I206" s="19">
        <f>IF(D206=0,0,G206/D206)</f>
        <v>0.0</v>
      </c>
      <c r="J206" s="6" t="str">
        <f>Base!U178</f>
        <v>Expediente técnico / Contrata</v>
      </c>
      <c r="K206" s="6" t="str">
        <f>Base!R178</f>
        <v>Solo certificado</v>
      </c>
      <c r="L206" s="7">
        <f>Base!V178</f>
        <v>200000.0</v>
      </c>
      <c r="M206" s="7">
        <f>Base!W178</f>
        <v>1474000.0</v>
      </c>
      <c r="N206" s="7">
        <f>Base!X178</f>
        <v>0</v>
      </c>
      <c r="O206" s="7">
        <f>Base!Y178</f>
        <v>0</v>
      </c>
      <c r="P206" s="6">
        <f>IF(Base!Z178="","",Base!Z178)</f>
        <v/>
      </c>
      <c r="Q206" s="18" t="str">
        <f>Base!S178</f>
        <v>Posible</v>
      </c>
      <c r="R206" s="7">
        <f>Base!N178</f>
        <v>50000.0</v>
      </c>
      <c r="S206" s="7">
        <f>Base!T178</f>
        <v>200000.0</v>
      </c>
    </row>
    <row r="207" spans="1:19">
      <c r="A207" s="18">
        <f>SUBTOTAL(103,$B$6:B207)</f>
        <v>175</v>
      </c>
      <c r="B207" s="18">
        <v>251</v>
      </c>
      <c r="C207" s="6" t="str">
        <f>Base!H179</f>
        <v>2551456: MEJORAMIENTO DE LOS SERVICIOS DE SALUD DEL CENTRO DE SALUD GUADALUPE, DISTRITO DE JULIACA - PROVINCIA DE SAN ROMAN - DEPARTAMENTO DE PUNO</v>
      </c>
      <c r="D207" s="7">
        <f>Base!I179</f>
        <v>654662.0</v>
      </c>
      <c r="E207" s="7">
        <f>Base!J179</f>
        <v>654662.0</v>
      </c>
      <c r="F207" s="7">
        <f>D207-E207</f>
        <v>0.0</v>
      </c>
      <c r="G207" s="7">
        <f>Base!L179</f>
        <v>0.0</v>
      </c>
      <c r="H207" s="7">
        <f>D207-G207</f>
        <v>654662.0</v>
      </c>
      <c r="I207" s="19">
        <f>IF(D207=0,0,G207/D207)</f>
        <v>0.0</v>
      </c>
      <c r="J207" s="6" t="str">
        <f>Base!U179</f>
        <v>Expediente técnico</v>
      </c>
      <c r="K207" s="6" t="str">
        <f>Base!R179</f>
        <v>Mayormente comprometido</v>
      </c>
      <c r="L207" s="7" t="str">
        <f>Base!V179</f>
        <v>No registrado en cartera</v>
      </c>
      <c r="M207" s="7" t="str">
        <f>Base!W179</f>
        <v>No registrado en cartera</v>
      </c>
      <c r="N207" s="7" t="str">
        <f>Base!X179</f>
        <v>No registrado en cartera</v>
      </c>
      <c r="O207" s="7" t="str">
        <f>Base!Y179</f>
        <v>No registrado en cartera</v>
      </c>
      <c r="P207" s="6">
        <f>IF(Base!Z179="","",Base!Z179)</f>
        <v/>
      </c>
      <c r="Q207" s="18" t="str">
        <f>Base!S179</f>
        <v>Difícil</v>
      </c>
      <c r="R207" s="7">
        <f>Base!N179</f>
        <v>174596.7</v>
      </c>
      <c r="S207" s="7">
        <f>Base!T179</f>
        <v>174596.7</v>
      </c>
    </row>
    <row r="208" spans="1:19">
      <c r="A208" s="18">
        <f>SUBTOTAL(103,$B$6:B208)</f>
        <v>176</v>
      </c>
      <c r="B208" s="18">
        <v>256</v>
      </c>
      <c r="C208" s="6" t="str">
        <f>Base!H180</f>
        <v>2570943: MEJORAMIENTO Y AMPLIACION DE LOS SERVICIOS DE SALUD DEL ESTABLECIMIENTO DE SALUD OLLARAYA,  DISTRITO DE OLLARAYA - PROVINCIA DE YUNGUYO - DEPARTAMENTO DE PUNO</v>
      </c>
      <c r="D208" s="7">
        <f>Base!I180</f>
        <v>82568.0</v>
      </c>
      <c r="E208" s="7">
        <f>Base!J180</f>
        <v>82568.0</v>
      </c>
      <c r="F208" s="7">
        <f>D208-E208</f>
        <v>0.0</v>
      </c>
      <c r="G208" s="7">
        <f>Base!L180</f>
        <v>57743.81</v>
      </c>
      <c r="H208" s="7">
        <f>D208-G208</f>
        <v>24824.190000000002</v>
      </c>
      <c r="I208" s="19">
        <f>IF(D208=0,0,G208/D208)</f>
        <v>0.6993485369634725</v>
      </c>
      <c r="J208" s="6" t="str">
        <f>Base!U180</f>
        <v>Expediente técnico</v>
      </c>
      <c r="K208" s="6" t="str">
        <f>Base!R180</f>
        <v>Mayormente comprometido</v>
      </c>
      <c r="L208" s="7">
        <f>Base!V180</f>
        <v>4190000.0</v>
      </c>
      <c r="M208" s="7">
        <f>Base!W180</f>
        <v>7462800.0</v>
      </c>
      <c r="N208" s="7">
        <f>Base!X180</f>
        <v>7500000.0</v>
      </c>
      <c r="O208" s="7">
        <f>Base!Y180</f>
        <v>12829438.0</v>
      </c>
      <c r="P208" s="6">
        <f>IF(Base!Z180="","",Base!Z180)</f>
        <v/>
      </c>
      <c r="Q208" s="18" t="str">
        <f>Base!S180</f>
        <v>Difícil</v>
      </c>
      <c r="R208" s="7">
        <f>Base!N180</f>
        <v>20000.0</v>
      </c>
      <c r="S208" s="7">
        <f>Base!T180</f>
        <v>20000.0</v>
      </c>
    </row>
    <row r="209" spans="1:19">
      <c r="A209" s="18">
        <f>SUBTOTAL(103,$B$6:B209)</f>
        <v>177</v>
      </c>
      <c r="B209" s="18">
        <v>257</v>
      </c>
      <c r="C209" s="6" t="str">
        <f>Base!H181</f>
        <v>2578405: MEJORAMIENTO Y AMPLIACION DEL SERVICIO DE ATENCIÓN DE SALUD BÁSICOS EN CHUPA - CHUPA   DISTRITO DE CHUPA DE LA PROVINCIA DE AZANGARO DEL DEPARTAMENTO DE PUNO</v>
      </c>
      <c r="D209" s="7">
        <f>Base!I181</f>
        <v>100000.0</v>
      </c>
      <c r="E209" s="7">
        <f>Base!J181</f>
        <v>100000.0</v>
      </c>
      <c r="F209" s="7">
        <f>D209-E209</f>
        <v>0.0</v>
      </c>
      <c r="G209" s="7">
        <f>Base!L181</f>
        <v>85262.53</v>
      </c>
      <c r="H209" s="7">
        <f>D209-G209</f>
        <v>14737.470000000001</v>
      </c>
      <c r="I209" s="19">
        <f>IF(D209=0,0,G209/D209)</f>
        <v>0.8526253</v>
      </c>
      <c r="J209" s="6" t="str">
        <f>Base!U181</f>
        <v>Expediente técnico</v>
      </c>
      <c r="K209" s="6" t="str">
        <f>Base!R181</f>
        <v>Mayormente comprometido</v>
      </c>
      <c r="L209" s="7">
        <f>Base!V181</f>
        <v>100000.0</v>
      </c>
      <c r="M209" s="7">
        <f>Base!W181</f>
        <v>7898542.0</v>
      </c>
      <c r="N209" s="7">
        <f>Base!X181</f>
        <v>0</v>
      </c>
      <c r="O209" s="7">
        <f>Base!Y181</f>
        <v>1000000.0</v>
      </c>
      <c r="P209" s="6">
        <f>IF(Base!Z181="","",Base!Z181)</f>
        <v/>
      </c>
      <c r="Q209" s="18" t="str">
        <f>Base!S181</f>
        <v>Difícil</v>
      </c>
      <c r="R209" s="7">
        <f>Base!N181</f>
        <v>0.0</v>
      </c>
      <c r="S209" s="7">
        <f>Base!T181</f>
        <v>0.0</v>
      </c>
    </row>
    <row r="210" spans="1:19">
      <c r="A210" s="18">
        <f>SUBTOTAL(103,$B$6:B210)</f>
        <v>178</v>
      </c>
      <c r="B210" s="18">
        <v>258</v>
      </c>
      <c r="C210" s="6" t="str">
        <f>Base!H182</f>
        <v>2585395: MEJORAMIENTO DEL SERVICIO DE ATENCIÓN DE SALUD BÁSICOS EN CAPACHICA   DISTRITO DE CAPACHICA DE LA PROVINCIA DE PUNO DEL DEPARTAMENTO DE PUNO</v>
      </c>
      <c r="D210" s="7">
        <f>Base!I182</f>
        <v>0.0</v>
      </c>
      <c r="E210" s="7">
        <f>Base!J182</f>
        <v>0.0</v>
      </c>
      <c r="F210" s="7">
        <f>D210-E210</f>
        <v>0.0</v>
      </c>
      <c r="G210" s="7">
        <f>Base!L182</f>
        <v>0.0</v>
      </c>
      <c r="H210" s="7">
        <f>D210-G210</f>
        <v>0.0</v>
      </c>
      <c r="I210" s="19">
        <f>IF(D210=0,0,G210/D210)</f>
        <v>0</v>
      </c>
      <c r="J210" s="6" t="str">
        <f>Base!U182</f>
        <v>Contrata</v>
      </c>
      <c r="K210" s="6" t="str">
        <f>Base!R182</f>
        <v>Sin PIM</v>
      </c>
      <c r="L210" s="7">
        <f>Base!V182</f>
        <v>100000.0</v>
      </c>
      <c r="M210" s="7">
        <f>Base!W182</f>
        <v>0</v>
      </c>
      <c r="N210" s="7">
        <f>Base!X182</f>
        <v>0</v>
      </c>
      <c r="O210" s="7">
        <f>Base!Y182</f>
        <v>0</v>
      </c>
      <c r="P210" s="6">
        <f>IF(Base!Z182="","",Base!Z182)</f>
        <v/>
      </c>
      <c r="Q210" s="18" t="str">
        <f>Base!S182</f>
        <v>Sin PIM</v>
      </c>
      <c r="R210" s="7">
        <f>Base!N182</f>
        <v>0.0</v>
      </c>
      <c r="S210" s="7">
        <f>Base!T182</f>
        <v>0.0</v>
      </c>
    </row>
    <row r="211" spans="1:19">
      <c r="A211" s="18">
        <f>SUBTOTAL(103,$B$6:B211)</f>
        <v>179</v>
      </c>
      <c r="B211" s="18">
        <v>261</v>
      </c>
      <c r="C211" s="6" t="str">
        <f>Base!H183</f>
        <v>2594994: MEJORAMIENTO Y AMPLIACION DEL SERVICIO DE ATENCIÓN DE SALUD BÁSICOS EN ASILLO   DISTRITO DE ASILLO DE LA PROVINCIA DE AZANGARO DEL DEPARTAMENTO DE PUNO</v>
      </c>
      <c r="D211" s="7">
        <f>Base!I183</f>
        <v>154665.0</v>
      </c>
      <c r="E211" s="7">
        <f>Base!J183</f>
        <v>154665.0</v>
      </c>
      <c r="F211" s="7">
        <f>D211-E211</f>
        <v>0.0</v>
      </c>
      <c r="G211" s="7">
        <f>Base!L183</f>
        <v>154066.77</v>
      </c>
      <c r="H211" s="7">
        <f>D211-G211</f>
        <v>598.2300000000105</v>
      </c>
      <c r="I211" s="19">
        <f>IF(D211=0,0,G211/D211)</f>
        <v>0.9961320919406459</v>
      </c>
      <c r="J211" s="6" t="str">
        <f>Base!U183</f>
        <v>Expediente técnico</v>
      </c>
      <c r="K211" s="6" t="str">
        <f>Base!R183</f>
        <v>Ejecutado</v>
      </c>
      <c r="L211" s="7">
        <f>Base!V183</f>
        <v>200000.0</v>
      </c>
      <c r="M211" s="7">
        <f>Base!W183</f>
        <v>8562546.0</v>
      </c>
      <c r="N211" s="7">
        <f>Base!X183</f>
        <v>5000000.0</v>
      </c>
      <c r="O211" s="7">
        <f>Base!Y183</f>
        <v>5168291.0</v>
      </c>
      <c r="P211" s="6">
        <f>IF(Base!Z183="","",Base!Z183)</f>
        <v/>
      </c>
      <c r="Q211" s="18" t="str">
        <f>Base!S183</f>
        <v>No usar</v>
      </c>
      <c r="R211" s="7">
        <f>Base!N183</f>
        <v>0.0</v>
      </c>
      <c r="S211" s="7">
        <f>Base!T183</f>
        <v>0.0</v>
      </c>
    </row>
    <row r="212" spans="1:19">
      <c r="A212" s="18">
        <f>SUBTOTAL(103,$B$6:B212)</f>
        <v>180</v>
      </c>
      <c r="B212" s="18">
        <v>262</v>
      </c>
      <c r="C212" s="6" t="str">
        <f>Base!H184</f>
        <v>2599489: CONSTRUCCION DE CONSULTORIO; ADQUISICION DE EQUIPOS BIOMEDICOS Y MOBILIARIO CLINICO; EN EL(LA) HOSPITAL SANDIA  DISTRITO DE SANDIA, PROVINCIA SANDIA, DEPARTAMENTO PUNO</v>
      </c>
      <c r="D212" s="7">
        <f>Base!I184</f>
        <v>1750696.0</v>
      </c>
      <c r="E212" s="7">
        <f>Base!J184</f>
        <v>1750696.0</v>
      </c>
      <c r="F212" s="7">
        <f>D212-E212</f>
        <v>0.0</v>
      </c>
      <c r="G212" s="7">
        <f>Base!L184</f>
        <v>0.0</v>
      </c>
      <c r="H212" s="7">
        <f>D212-G212</f>
        <v>1750696.0</v>
      </c>
      <c r="I212" s="19">
        <f>IF(D212=0,0,G212/D212)</f>
        <v>0.0</v>
      </c>
      <c r="J212" s="6" t="str">
        <f>Base!U184</f>
        <v>Contrata</v>
      </c>
      <c r="K212" s="6" t="str">
        <f>Base!R184</f>
        <v>Solo certificado</v>
      </c>
      <c r="L212" s="7">
        <f>Base!V184</f>
        <v>4083424.0</v>
      </c>
      <c r="M212" s="7">
        <f>Base!W184</f>
        <v>8803099.0</v>
      </c>
      <c r="N212" s="7">
        <f>Base!X184</f>
        <v>5321398.0</v>
      </c>
      <c r="O212" s="7">
        <f>Base!Y184</f>
        <v>0</v>
      </c>
      <c r="P212" s="6">
        <f>IF(Base!Z184="","",Base!Z184)</f>
        <v/>
      </c>
      <c r="Q212" s="18" t="str">
        <f>Base!S184</f>
        <v>Posible</v>
      </c>
      <c r="R212" s="7">
        <f>Base!N184</f>
        <v>1750696.0</v>
      </c>
      <c r="S212" s="7">
        <f>Base!T184</f>
        <v>1750696.0</v>
      </c>
    </row>
    <row r="213" spans="1:19">
      <c r="A213" s="18">
        <f>SUBTOTAL(103,$B$6:B213)</f>
        <v>181</v>
      </c>
      <c r="B213" s="18">
        <v>265</v>
      </c>
      <c r="C213" s="6" t="str">
        <f>Base!H185</f>
        <v>2603161: MEJORAMIENTO DEL SERVICIO DE ATENCIÓN DE SALUD BÁSICOS EN MAÑAZO   DISTRITO DE MAÑAZO DE LA PROVINCIA DE PUNO DEL DEPARTAMENTO DE PUNO</v>
      </c>
      <c r="D213" s="7">
        <f>Base!I185</f>
        <v>0.0</v>
      </c>
      <c r="E213" s="7">
        <f>Base!J185</f>
        <v>0.0</v>
      </c>
      <c r="F213" s="7">
        <f>D213-E213</f>
        <v>0.0</v>
      </c>
      <c r="G213" s="7">
        <f>Base!L185</f>
        <v>0.0</v>
      </c>
      <c r="H213" s="7">
        <f>D213-G213</f>
        <v>0.0</v>
      </c>
      <c r="I213" s="19">
        <f>IF(D213=0,0,G213/D213)</f>
        <v>0</v>
      </c>
      <c r="J213" s="6" t="str">
        <f>Base!U185</f>
        <v>Contrata</v>
      </c>
      <c r="K213" s="6" t="str">
        <f>Base!R185</f>
        <v>Sin PIM</v>
      </c>
      <c r="L213" s="7">
        <f>Base!V185</f>
        <v>100000.0</v>
      </c>
      <c r="M213" s="7">
        <f>Base!W185</f>
        <v>0</v>
      </c>
      <c r="N213" s="7">
        <f>Base!X185</f>
        <v>0</v>
      </c>
      <c r="O213" s="7">
        <f>Base!Y185</f>
        <v>500000.0</v>
      </c>
      <c r="P213" s="6">
        <f>IF(Base!Z185="","",Base!Z185)</f>
        <v/>
      </c>
      <c r="Q213" s="18" t="str">
        <f>Base!S185</f>
        <v>Sin PIM</v>
      </c>
      <c r="R213" s="7">
        <f>Base!N185</f>
        <v>0.0</v>
      </c>
      <c r="S213" s="7">
        <f>Base!T185</f>
        <v>0.0</v>
      </c>
    </row>
    <row r="214" spans="1:19">
      <c r="A214" s="18">
        <f>SUBTOTAL(103,$B$6:B214)</f>
        <v>182</v>
      </c>
      <c r="B214" s="18">
        <v>267</v>
      </c>
      <c r="C214" s="6" t="str">
        <f>Base!H186</f>
        <v>2623878: MEJORAMIENTO DEL SERVICIO DE ATENCIÓN DE SALUD BÁSICOS EN CABANILLA   DISTRITO DE CABANILLA DE LA PROVINCIA DE LAMPA DEL DEPARTAMENTO DE PUNO</v>
      </c>
      <c r="D214" s="7">
        <f>Base!I186</f>
        <v>656461.0</v>
      </c>
      <c r="E214" s="7">
        <f>Base!J186</f>
        <v>656461.0</v>
      </c>
      <c r="F214" s="7">
        <f>D214-E214</f>
        <v>0.0</v>
      </c>
      <c r="G214" s="7">
        <f>Base!L186</f>
        <v>0.0</v>
      </c>
      <c r="H214" s="7">
        <f>D214-G214</f>
        <v>656461.0</v>
      </c>
      <c r="I214" s="19">
        <f>IF(D214=0,0,G214/D214)</f>
        <v>0.0</v>
      </c>
      <c r="J214" s="6" t="str">
        <f>Base!U186</f>
        <v>Expediente técnico</v>
      </c>
      <c r="K214" s="6" t="str">
        <f>Base!R186</f>
        <v>Solo certificado</v>
      </c>
      <c r="L214" s="7">
        <f>Base!V186</f>
        <v>50000.0</v>
      </c>
      <c r="M214" s="7">
        <f>Base!W186</f>
        <v>7005844.0</v>
      </c>
      <c r="N214" s="7">
        <f>Base!X186</f>
        <v>0</v>
      </c>
      <c r="O214" s="7">
        <f>Base!Y186</f>
        <v>3544143.0</v>
      </c>
      <c r="P214" s="6">
        <f>IF(Base!Z186="","",Base!Z186)</f>
        <v/>
      </c>
      <c r="Q214" s="18" t="str">
        <f>Base!S186</f>
        <v>Posible</v>
      </c>
      <c r="R214" s="7">
        <f>Base!N186</f>
        <v>656461.0</v>
      </c>
      <c r="S214" s="7">
        <f>Base!T186</f>
        <v>656461.0</v>
      </c>
    </row>
    <row r="215" spans="1:19">
      <c r="A215" s="18">
        <f>SUBTOTAL(103,$B$6:B215)</f>
        <v>183</v>
      </c>
      <c r="B215" s="18">
        <v>268</v>
      </c>
      <c r="C215" s="6" t="str">
        <f>Base!H187</f>
        <v>2623879: MEJORAMIENTO DEL SERVICIO DE ATENCIÓN DE SALUD BÁSICOS EN LARAQUERI   DISTRITO DE PICHACANI DE LA PROVINCIA DE PUNO DEL DEPARTAMENTO DE PUNO</v>
      </c>
      <c r="D215" s="7">
        <f>Base!I187</f>
        <v>606461.0</v>
      </c>
      <c r="E215" s="7">
        <f>Base!J187</f>
        <v>606460.53</v>
      </c>
      <c r="F215" s="7">
        <f>D215-E215</f>
        <v>0.4699999999720603</v>
      </c>
      <c r="G215" s="7">
        <f>Base!L187</f>
        <v>0.0</v>
      </c>
      <c r="H215" s="7">
        <f>D215-G215</f>
        <v>606461.0</v>
      </c>
      <c r="I215" s="19">
        <f>IF(D215=0,0,G215/D215)</f>
        <v>0.0</v>
      </c>
      <c r="J215" s="6" t="str">
        <f>Base!U187</f>
        <v>Expediente técnico</v>
      </c>
      <c r="K215" s="6" t="str">
        <f>Base!R187</f>
        <v>Solo certificado</v>
      </c>
      <c r="L215" s="7">
        <f>Base!V187</f>
        <v>706461.0</v>
      </c>
      <c r="M215" s="7">
        <f>Base!W187</f>
        <v>7021584.0</v>
      </c>
      <c r="N215" s="7">
        <f>Base!X187</f>
        <v>0</v>
      </c>
      <c r="O215" s="7">
        <f>Base!Y187</f>
        <v>1000000.0</v>
      </c>
      <c r="P215" s="6">
        <f>IF(Base!Z187="","",Base!Z187)</f>
        <v/>
      </c>
      <c r="Q215" s="18" t="str">
        <f>Base!S187</f>
        <v>Posible</v>
      </c>
      <c r="R215" s="7">
        <f>Base!N187</f>
        <v>606460.53</v>
      </c>
      <c r="S215" s="7">
        <f>Base!T187</f>
        <v>606461.0</v>
      </c>
    </row>
    <row r="216" spans="1:19">
      <c r="A216" s="18">
        <f>SUBTOTAL(103,$B$6:B216)</f>
        <v>184</v>
      </c>
      <c r="B216" s="18">
        <v>269</v>
      </c>
      <c r="C216" s="6" t="str">
        <f>Base!H188</f>
        <v>2632832: MEJORAMIENTO DEL SERVICIO DE ATENCIÓN DE SALUD BÁSICOS EN VALLECITO   DISTRITO DE PUNO DE LA PROVINCIA DE PUNO DEL DEPARTAMENTO DE PUNO</v>
      </c>
      <c r="D216" s="7">
        <f>Base!I188</f>
        <v>0.0</v>
      </c>
      <c r="E216" s="7">
        <f>Base!J188</f>
        <v>0.0</v>
      </c>
      <c r="F216" s="7">
        <f>D216-E216</f>
        <v>0.0</v>
      </c>
      <c r="G216" s="7">
        <f>Base!L188</f>
        <v>0.0</v>
      </c>
      <c r="H216" s="7">
        <f>D216-G216</f>
        <v>0.0</v>
      </c>
      <c r="I216" s="19">
        <f>IF(D216=0,0,G216/D216)</f>
        <v>0</v>
      </c>
      <c r="J216" s="6" t="str">
        <f>Base!U188</f>
        <v>Contrata</v>
      </c>
      <c r="K216" s="6" t="str">
        <f>Base!R188</f>
        <v>Sin PIM</v>
      </c>
      <c r="L216" s="7">
        <f>Base!V188</f>
        <v>100000.0</v>
      </c>
      <c r="M216" s="7">
        <f>Base!W188</f>
        <v>0</v>
      </c>
      <c r="N216" s="7">
        <f>Base!X188</f>
        <v>0</v>
      </c>
      <c r="O216" s="7">
        <f>Base!Y188</f>
        <v>1000000.0</v>
      </c>
      <c r="P216" s="6">
        <f>IF(Base!Z188="","",Base!Z188)</f>
        <v/>
      </c>
      <c r="Q216" s="18" t="str">
        <f>Base!S188</f>
        <v>Sin PIM</v>
      </c>
      <c r="R216" s="7">
        <f>Base!N188</f>
        <v>0.0</v>
      </c>
      <c r="S216" s="7">
        <f>Base!T188</f>
        <v>0.0</v>
      </c>
    </row>
    <row r="217" spans="1:19">
      <c r="A217" s="18">
        <f>SUBTOTAL(103,$B$6:B217)</f>
        <v>185</v>
      </c>
      <c r="B217" s="18">
        <v>271</v>
      </c>
      <c r="C217" s="6" t="str">
        <f>Base!H189</f>
        <v>2649778: MEJORAMIENTO DEL SERVICIO DE ATENCIÓN DE SALUD BÁSICOS EN CHIJNAYA   DISTRITO DE PUCARA DE LA PROVINCIA DE LAMPA DEL DEPARTAMENTO DE PUNO</v>
      </c>
      <c r="D217" s="7">
        <f>Base!I189</f>
        <v>50000.0</v>
      </c>
      <c r="E217" s="7">
        <f>Base!J189</f>
        <v>50000.0</v>
      </c>
      <c r="F217" s="7">
        <f>D217-E217</f>
        <v>0.0</v>
      </c>
      <c r="G217" s="7">
        <f>Base!L189</f>
        <v>47929.329999999994</v>
      </c>
      <c r="H217" s="7">
        <f>D217-G217</f>
        <v>2070.6700000000055</v>
      </c>
      <c r="I217" s="19">
        <f>IF(D217=0,0,G217/D217)</f>
        <v>0.9585865999999998</v>
      </c>
      <c r="J217" s="6" t="str">
        <f>Base!U189</f>
        <v>Expediente técnico</v>
      </c>
      <c r="K217" s="6" t="str">
        <f>Base!R189</f>
        <v>Ejecutado</v>
      </c>
      <c r="L217" s="7">
        <f>Base!V189</f>
        <v>50000.0</v>
      </c>
      <c r="M217" s="7">
        <f>Base!W189</f>
        <v>1543234.0</v>
      </c>
      <c r="N217" s="7">
        <f>Base!X189</f>
        <v>0</v>
      </c>
      <c r="O217" s="7">
        <f>Base!Y189</f>
        <v>1008002.0</v>
      </c>
      <c r="P217" s="6">
        <f>IF(Base!Z189="","",Base!Z189)</f>
        <v/>
      </c>
      <c r="Q217" s="18" t="str">
        <f>Base!S189</f>
        <v>No usar</v>
      </c>
      <c r="R217" s="7">
        <f>Base!N189</f>
        <v>0.0</v>
      </c>
      <c r="S217" s="7">
        <f>Base!T189</f>
        <v>0.0</v>
      </c>
    </row>
    <row r="218" spans="1:19">
      <c r="A218" s="18">
        <f>SUBTOTAL(103,$B$6:B218)</f>
        <v>186</v>
      </c>
      <c r="B218" s="18">
        <v>272</v>
      </c>
      <c r="C218" s="6" t="str">
        <f>Base!H190</f>
        <v>2649779: MEJORAMIENTO DEL SERVICIO DE ATENCIÓN DE SALUD BÁSICOS EN HUAYCHO   DISTRITO DE NUÑOA DE LA PROVINCIA DE MELGAR DEL DEPARTAMENTO DE PUNO</v>
      </c>
      <c r="D218" s="7">
        <f>Base!I190</f>
        <v>0.0</v>
      </c>
      <c r="E218" s="7">
        <f>Base!J190</f>
        <v>0.0</v>
      </c>
      <c r="F218" s="7">
        <f>D218-E218</f>
        <v>0.0</v>
      </c>
      <c r="G218" s="7">
        <f>Base!L190</f>
        <v>0.0</v>
      </c>
      <c r="H218" s="7">
        <f>D218-G218</f>
        <v>0.0</v>
      </c>
      <c r="I218" s="19">
        <f>IF(D218=0,0,G218/D218)</f>
        <v>0</v>
      </c>
      <c r="J218" s="6" t="str">
        <f>Base!U190</f>
        <v>Contrata</v>
      </c>
      <c r="K218" s="6" t="str">
        <f>Base!R190</f>
        <v>Sin PIM</v>
      </c>
      <c r="L218" s="7">
        <f>Base!V190</f>
        <v>50000.0</v>
      </c>
      <c r="M218" s="7">
        <f>Base!W190</f>
        <v>0</v>
      </c>
      <c r="N218" s="7">
        <f>Base!X190</f>
        <v>300000.0</v>
      </c>
      <c r="O218" s="7">
        <f>Base!Y190</f>
        <v>2629159.0</v>
      </c>
      <c r="P218" s="6">
        <f>IF(Base!Z190="","",Base!Z190)</f>
        <v/>
      </c>
      <c r="Q218" s="18" t="str">
        <f>Base!S190</f>
        <v>Sin PIM</v>
      </c>
      <c r="R218" s="7">
        <f>Base!N190</f>
        <v>0.0</v>
      </c>
      <c r="S218" s="7">
        <f>Base!T190</f>
        <v>0.0</v>
      </c>
    </row>
    <row r="219" spans="1:19">
      <c r="A219" s="18">
        <f>SUBTOTAL(103,$B$6:B219)</f>
        <v>187</v>
      </c>
      <c r="B219" s="18">
        <v>273</v>
      </c>
      <c r="C219" s="6" t="str">
        <f>Base!H191</f>
        <v>2649780: MEJORAMIENTO DEL SERVICIO DE ATENCIÓN DE SALUD BÁSICOS EN ACOCOLLO   DISTRITO DE HUANCANE DE LA PROVINCIA DE HUANCANE DEL DEPARTAMENTO DE PUNO</v>
      </c>
      <c r="D219" s="7">
        <f>Base!I191</f>
        <v>82042.0</v>
      </c>
      <c r="E219" s="7">
        <f>Base!J191</f>
        <v>73137.01999999999</v>
      </c>
      <c r="F219" s="7">
        <f>D219-E219</f>
        <v>8904.98000000001</v>
      </c>
      <c r="G219" s="7">
        <f>Base!L191</f>
        <v>48346.770000000004</v>
      </c>
      <c r="H219" s="7">
        <f>D219-G219</f>
        <v>33695.229999999996</v>
      </c>
      <c r="I219" s="19">
        <f>IF(D219=0,0,G219/D219)</f>
        <v>0.5892929231369299</v>
      </c>
      <c r="J219" s="6" t="str">
        <f>Base!U191</f>
        <v>Expediente técnico</v>
      </c>
      <c r="K219" s="6" t="str">
        <f>Base!R191</f>
        <v>Mayormente comprometido</v>
      </c>
      <c r="L219" s="7">
        <f>Base!V191</f>
        <v>50000.0</v>
      </c>
      <c r="M219" s="7">
        <f>Base!W191</f>
        <v>254525.0</v>
      </c>
      <c r="N219" s="7">
        <f>Base!X191</f>
        <v>0</v>
      </c>
      <c r="O219" s="7">
        <f>Base!Y191</f>
        <v>1345475.0</v>
      </c>
      <c r="P219" s="6">
        <f>IF(Base!Z191="","",Base!Z191)</f>
        <v/>
      </c>
      <c r="Q219" s="18" t="str">
        <f>Base!S191</f>
        <v>Difícil</v>
      </c>
      <c r="R219" s="7">
        <f>Base!N191</f>
        <v>19999.999999999985</v>
      </c>
      <c r="S219" s="7">
        <f>Base!T191</f>
        <v>28904.979999999996</v>
      </c>
    </row>
    <row r="220" spans="1:19">
      <c r="A220" s="18">
        <f>SUBTOTAL(103,$B$6:B220)</f>
        <v>188</v>
      </c>
      <c r="B220" s="18">
        <v>274</v>
      </c>
      <c r="C220" s="6" t="str">
        <f>Base!H192</f>
        <v>2649782: MEJORAMIENTO DEL SERVICIO DE ATENCIÓN DE SALUD BÁSICOS EN CAYARANI   DISTRITO DE ORURILLO DE LA PROVINCIA DE MELGAR DEL DEPARTAMENTO DE PUNO</v>
      </c>
      <c r="D220" s="7">
        <f>Base!I192</f>
        <v>0.0</v>
      </c>
      <c r="E220" s="7">
        <f>Base!J192</f>
        <v>0.0</v>
      </c>
      <c r="F220" s="7">
        <f>D220-E220</f>
        <v>0.0</v>
      </c>
      <c r="G220" s="7">
        <f>Base!L192</f>
        <v>0.0</v>
      </c>
      <c r="H220" s="7">
        <f>D220-G220</f>
        <v>0.0</v>
      </c>
      <c r="I220" s="19">
        <f>IF(D220=0,0,G220/D220)</f>
        <v>0</v>
      </c>
      <c r="J220" s="6" t="str">
        <f>Base!U192</f>
        <v>Contrata</v>
      </c>
      <c r="K220" s="6" t="str">
        <f>Base!R192</f>
        <v>Sin PIM</v>
      </c>
      <c r="L220" s="7">
        <f>Base!V192</f>
        <v>50000.0</v>
      </c>
      <c r="M220" s="7">
        <f>Base!W192</f>
        <v>0</v>
      </c>
      <c r="N220" s="7">
        <f>Base!X192</f>
        <v>0</v>
      </c>
      <c r="O220" s="7">
        <f>Base!Y192</f>
        <v>150000.0</v>
      </c>
      <c r="P220" s="6">
        <f>IF(Base!Z192="","",Base!Z192)</f>
        <v/>
      </c>
      <c r="Q220" s="18" t="str">
        <f>Base!S192</f>
        <v>Sin PIM</v>
      </c>
      <c r="R220" s="7">
        <f>Base!N192</f>
        <v>0.0</v>
      </c>
      <c r="S220" s="7">
        <f>Base!T192</f>
        <v>0.0</v>
      </c>
    </row>
    <row r="221" spans="1:19">
      <c r="A221" s="18">
        <f>SUBTOTAL(103,$B$6:B221)</f>
        <v>189</v>
      </c>
      <c r="B221" s="18">
        <v>275</v>
      </c>
      <c r="C221" s="6" t="str">
        <f>Base!H193</f>
        <v>2649786: MEJORAMIENTO DEL SERVICIO DE ATENCIÓN DE SALUD BÁSICOS EN PASIRI   DISTRITO DE JULI DE LA PROVINCIA DE CHUCUITO DEL DEPARTAMENTO DE PUNO</v>
      </c>
      <c r="D221" s="7">
        <f>Base!I193</f>
        <v>72190.0</v>
      </c>
      <c r="E221" s="7">
        <f>Base!J193</f>
        <v>62384.34</v>
      </c>
      <c r="F221" s="7">
        <f>D221-E221</f>
        <v>9805.660000000003</v>
      </c>
      <c r="G221" s="7">
        <f>Base!L193</f>
        <v>59404.06</v>
      </c>
      <c r="H221" s="7">
        <f>D221-G221</f>
        <v>12785.940000000002</v>
      </c>
      <c r="I221" s="19">
        <f>IF(D221=0,0,G221/D221)</f>
        <v>0.822884887103477</v>
      </c>
      <c r="J221" s="6" t="str">
        <f>Base!U193</f>
        <v>Expediente técnico</v>
      </c>
      <c r="K221" s="6" t="str">
        <f>Base!R193</f>
        <v>Mayormente comprometido</v>
      </c>
      <c r="L221" s="7">
        <f>Base!V193</f>
        <v>50000.0</v>
      </c>
      <c r="M221" s="7">
        <f>Base!W193</f>
        <v>0</v>
      </c>
      <c r="N221" s="7">
        <f>Base!X193</f>
        <v>0</v>
      </c>
      <c r="O221" s="7">
        <f>Base!Y193</f>
        <v>2707132.0</v>
      </c>
      <c r="P221" s="6">
        <f>IF(Base!Z193="","",Base!Z193)</f>
        <v/>
      </c>
      <c r="Q221" s="18" t="str">
        <f>Base!S193</f>
        <v>Difícil</v>
      </c>
      <c r="R221" s="7">
        <f>Base!N193</f>
        <v>0.0</v>
      </c>
      <c r="S221" s="7">
        <f>Base!T193</f>
        <v>9805.660000000003</v>
      </c>
    </row>
    <row r="222" spans="1:19">
      <c r="A222" s="18">
        <f>SUBTOTAL(103,$B$6:B222)</f>
        <v>190</v>
      </c>
      <c r="B222" s="18">
        <v>276</v>
      </c>
      <c r="C222" s="6" t="str">
        <f>Base!H194</f>
        <v>2649788: MEJORAMIENTO DEL SERVICIO DE ATENCIÓN DE SALUD BÁSICOS EN CALLAZA   DISTRITO DE HUACULLANI DE LA PROVINCIA DE CHUCUITO DEL DEPARTAMENTO DE PUNO</v>
      </c>
      <c r="D222" s="7">
        <f>Base!I194</f>
        <v>69837.0</v>
      </c>
      <c r="E222" s="7">
        <f>Base!J194</f>
        <v>50000.0</v>
      </c>
      <c r="F222" s="7">
        <f>D222-E222</f>
        <v>19837.0</v>
      </c>
      <c r="G222" s="7">
        <f>Base!L194</f>
        <v>24166.33</v>
      </c>
      <c r="H222" s="7">
        <f>D222-G222</f>
        <v>45670.67</v>
      </c>
      <c r="I222" s="19">
        <f>IF(D222=0,0,G222/D222)</f>
        <v>0.34603906238813237</v>
      </c>
      <c r="J222" s="6" t="str">
        <f>Base!U194</f>
        <v>Expediente técnico</v>
      </c>
      <c r="K222" s="6" t="str">
        <f>Base!R194</f>
        <v>Mayormente comprometido</v>
      </c>
      <c r="L222" s="7">
        <f>Base!V194</f>
        <v>50000.0</v>
      </c>
      <c r="M222" s="7">
        <f>Base!W194</f>
        <v>1543466.0</v>
      </c>
      <c r="N222" s="7">
        <f>Base!X194</f>
        <v>0</v>
      </c>
      <c r="O222" s="7">
        <f>Base!Y194</f>
        <v>500000.0</v>
      </c>
      <c r="P222" s="6">
        <f>IF(Base!Z194="","",Base!Z194)</f>
        <v/>
      </c>
      <c r="Q222" s="18" t="str">
        <f>Base!S194</f>
        <v>Difícil</v>
      </c>
      <c r="R222" s="7">
        <f>Base!N194</f>
        <v>0.0</v>
      </c>
      <c r="S222" s="7">
        <f>Base!T194</f>
        <v>19837.0</v>
      </c>
    </row>
    <row r="223" spans="1:19">
      <c r="A223" s="18">
        <f>SUBTOTAL(103,$B$6:B223)</f>
        <v>191</v>
      </c>
      <c r="B223" s="18">
        <v>277</v>
      </c>
      <c r="C223" s="6" t="str">
        <f>Base!H195</f>
        <v>2649789: MEJORAMIENTO DEL SERVICIO DE ATENCIÓN DE SALUD BÁSICOS EN CALLACAMI   DISTRITO DE JULI DE LA PROVINCIA DE CHUCUITO DEL DEPARTAMENTO DE PUNO</v>
      </c>
      <c r="D223" s="7">
        <f>Base!I195</f>
        <v>50000.0</v>
      </c>
      <c r="E223" s="7">
        <f>Base!J195</f>
        <v>50000.0</v>
      </c>
      <c r="F223" s="7">
        <f>D223-E223</f>
        <v>0.0</v>
      </c>
      <c r="G223" s="7">
        <f>Base!L195</f>
        <v>48541.71</v>
      </c>
      <c r="H223" s="7">
        <f>D223-G223</f>
        <v>1458.2900000000009</v>
      </c>
      <c r="I223" s="19">
        <f>IF(D223=0,0,G223/D223)</f>
        <v>0.9708342</v>
      </c>
      <c r="J223" s="6" t="str">
        <f>Base!U195</f>
        <v>Expediente técnico</v>
      </c>
      <c r="K223" s="6" t="str">
        <f>Base!R195</f>
        <v>Ejecutado</v>
      </c>
      <c r="L223" s="7">
        <f>Base!V195</f>
        <v>50000.0</v>
      </c>
      <c r="M223" s="7">
        <f>Base!W195</f>
        <v>1525657.0</v>
      </c>
      <c r="N223" s="7">
        <f>Base!X195</f>
        <v>0</v>
      </c>
      <c r="O223" s="7">
        <f>Base!Y195</f>
        <v>1145070.0</v>
      </c>
      <c r="P223" s="6">
        <f>IF(Base!Z195="","",Base!Z195)</f>
        <v/>
      </c>
      <c r="Q223" s="18" t="str">
        <f>Base!S195</f>
        <v>No usar</v>
      </c>
      <c r="R223" s="7">
        <f>Base!N195</f>
        <v>0.0</v>
      </c>
      <c r="S223" s="7">
        <f>Base!T195</f>
        <v>0.0</v>
      </c>
    </row>
    <row r="224" spans="1:19">
      <c r="A224" s="18">
        <f>SUBTOTAL(103,$B$6:B224)</f>
        <v>192</v>
      </c>
      <c r="B224" s="18">
        <v>278</v>
      </c>
      <c r="C224" s="6" t="str">
        <f>Base!H196</f>
        <v>2649790: MEJORAMIENTO DEL SERVICIO DE ATENCIÓN DE SALUD BÁSICOS EN CHEJANI   DISTRITO DE PHARA DE LA PROVINCIA DE SANDIA DEL DEPARTAMENTO DE PUNO</v>
      </c>
      <c r="D224" s="7">
        <f>Base!I196</f>
        <v>304060.0</v>
      </c>
      <c r="E224" s="7">
        <f>Base!J196</f>
        <v>291997.5</v>
      </c>
      <c r="F224" s="7">
        <f>D224-E224</f>
        <v>12062.5</v>
      </c>
      <c r="G224" s="7">
        <f>Base!L196</f>
        <v>267446.91</v>
      </c>
      <c r="H224" s="7">
        <f>D224-G224</f>
        <v>36613.090000000026</v>
      </c>
      <c r="I224" s="19">
        <f>IF(D224=0,0,G224/D224)</f>
        <v>0.8795859698743668</v>
      </c>
      <c r="J224" s="6" t="str">
        <f>Base!U196</f>
        <v>Expediente técnico</v>
      </c>
      <c r="K224" s="6" t="str">
        <f>Base!R196</f>
        <v>Mayormente comprometido</v>
      </c>
      <c r="L224" s="7">
        <f>Base!V196</f>
        <v>50000.0</v>
      </c>
      <c r="M224" s="7">
        <f>Base!W196</f>
        <v>0</v>
      </c>
      <c r="N224" s="7">
        <f>Base!X196</f>
        <v>0</v>
      </c>
      <c r="O224" s="7">
        <f>Base!Y196</f>
        <v>1809535.0</v>
      </c>
      <c r="P224" s="6">
        <f>IF(Base!Z196="","",Base!Z196)</f>
        <v/>
      </c>
      <c r="Q224" s="18" t="str">
        <f>Base!S196</f>
        <v>Difícil</v>
      </c>
      <c r="R224" s="7">
        <f>Base!N196</f>
        <v>0.0</v>
      </c>
      <c r="S224" s="7">
        <f>Base!T196</f>
        <v>12062.5</v>
      </c>
    </row>
    <row r="225" spans="1:19">
      <c r="A225" s="18">
        <f>SUBTOTAL(103,$B$6:B225)</f>
        <v>193</v>
      </c>
      <c r="B225" s="18">
        <v>279</v>
      </c>
      <c r="C225" s="6" t="str">
        <f>Base!H197</f>
        <v>2649793: MEJORAMIENTO DEL SERVICIO DE ATENCIÓN DE SALUD BÁSICOS EN NINANTAYA   DISTRITO DE MOHO DE LA PROVINCIA DE MOHO DEL DEPARTAMENTO DE PUNO</v>
      </c>
      <c r="D225" s="7">
        <f>Base!I197</f>
        <v>0.0</v>
      </c>
      <c r="E225" s="7">
        <f>Base!J197</f>
        <v>0.0</v>
      </c>
      <c r="F225" s="7">
        <f>D225-E225</f>
        <v>0.0</v>
      </c>
      <c r="G225" s="7">
        <f>Base!L197</f>
        <v>0.0</v>
      </c>
      <c r="H225" s="7">
        <f>D225-G225</f>
        <v>0.0</v>
      </c>
      <c r="I225" s="19">
        <f>IF(D225=0,0,G225/D225)</f>
        <v>0</v>
      </c>
      <c r="J225" s="6" t="str">
        <f>Base!U197</f>
        <v>Contrata</v>
      </c>
      <c r="K225" s="6" t="str">
        <f>Base!R197</f>
        <v>Sin PIM</v>
      </c>
      <c r="L225" s="7">
        <f>Base!V197</f>
        <v>50000.0</v>
      </c>
      <c r="M225" s="7">
        <f>Base!W197</f>
        <v>0</v>
      </c>
      <c r="N225" s="7">
        <f>Base!X197</f>
        <v>0</v>
      </c>
      <c r="O225" s="7">
        <f>Base!Y197</f>
        <v>600000.0</v>
      </c>
      <c r="P225" s="6">
        <f>IF(Base!Z197="","",Base!Z197)</f>
        <v/>
      </c>
      <c r="Q225" s="18" t="str">
        <f>Base!S197</f>
        <v>Sin PIM</v>
      </c>
      <c r="R225" s="7">
        <f>Base!N197</f>
        <v>0.0</v>
      </c>
      <c r="S225" s="7">
        <f>Base!T197</f>
        <v>0.0</v>
      </c>
    </row>
    <row r="226" spans="1:19">
      <c r="A226" s="18">
        <f>SUBTOTAL(103,$B$6:B226)</f>
        <v>194</v>
      </c>
      <c r="B226" s="18">
        <v>280</v>
      </c>
      <c r="C226" s="6" t="str">
        <f>Base!H198</f>
        <v>2649794: MEJORAMIENTO DEL SERVICIO DE ATENCIÓN DE SALUD BÁSICOS EN SACUYO RIO GRANDE   DISTRITO DE ACORA DE LA PROVINCIA DE PUNO DEL DEPARTAMENTO DE PUNO</v>
      </c>
      <c r="D226" s="7">
        <f>Base!I198</f>
        <v>0.0</v>
      </c>
      <c r="E226" s="7">
        <f>Base!J198</f>
        <v>0.0</v>
      </c>
      <c r="F226" s="7">
        <f>D226-E226</f>
        <v>0.0</v>
      </c>
      <c r="G226" s="7">
        <f>Base!L198</f>
        <v>0.0</v>
      </c>
      <c r="H226" s="7">
        <f>D226-G226</f>
        <v>0.0</v>
      </c>
      <c r="I226" s="19">
        <f>IF(D226=0,0,G226/D226)</f>
        <v>0</v>
      </c>
      <c r="J226" s="6" t="str">
        <f>Base!U198</f>
        <v>Contrata</v>
      </c>
      <c r="K226" s="6" t="str">
        <f>Base!R198</f>
        <v>Sin PIM</v>
      </c>
      <c r="L226" s="7">
        <f>Base!V198</f>
        <v>50000.0</v>
      </c>
      <c r="M226" s="7">
        <f>Base!W198</f>
        <v>0</v>
      </c>
      <c r="N226" s="7">
        <f>Base!X198</f>
        <v>0</v>
      </c>
      <c r="O226" s="7">
        <f>Base!Y198</f>
        <v>120000.0</v>
      </c>
      <c r="P226" s="6">
        <f>IF(Base!Z198="","",Base!Z198)</f>
        <v/>
      </c>
      <c r="Q226" s="18" t="str">
        <f>Base!S198</f>
        <v>Sin PIM</v>
      </c>
      <c r="R226" s="7">
        <f>Base!N198</f>
        <v>0.0</v>
      </c>
      <c r="S226" s="7">
        <f>Base!T198</f>
        <v>0.0</v>
      </c>
    </row>
    <row r="227" spans="1:19">
      <c r="A227" s="18">
        <f>SUBTOTAL(103,$B$6:B227)</f>
        <v>195</v>
      </c>
      <c r="B227" s="18">
        <v>283</v>
      </c>
      <c r="C227" s="6" t="str">
        <f>Base!H199</f>
        <v>2658003: MEJORAMIENTO DEL SERVICIO DE ATENCIÓN DE SALUD BÁSICOS EN ACCASO   DISTRITO DE PILCUYO DE LA PROVINCIA DE EL COLLAO DEL DEPARTAMENTO DE PUNO</v>
      </c>
      <c r="D227" s="7">
        <f>Base!I199</f>
        <v>340317.0</v>
      </c>
      <c r="E227" s="7">
        <f>Base!J199</f>
        <v>335271.5</v>
      </c>
      <c r="F227" s="7">
        <f>D227-E227</f>
        <v>5045.5</v>
      </c>
      <c r="G227" s="7">
        <f>Base!L199</f>
        <v>228699.2</v>
      </c>
      <c r="H227" s="7">
        <f>D227-G227</f>
        <v>111617.79999999999</v>
      </c>
      <c r="I227" s="19">
        <f>IF(D227=0,0,G227/D227)</f>
        <v>0.672018147785741</v>
      </c>
      <c r="J227" s="6" t="str">
        <f>Base!U199</f>
        <v>Expediente técnico</v>
      </c>
      <c r="K227" s="6" t="str">
        <f>Base!R199</f>
        <v>Mayormente comprometido</v>
      </c>
      <c r="L227" s="7">
        <f>Base!V199</f>
        <v>50000.0</v>
      </c>
      <c r="M227" s="7">
        <f>Base!W199</f>
        <v>0</v>
      </c>
      <c r="N227" s="7">
        <f>Base!X199</f>
        <v>0</v>
      </c>
      <c r="O227" s="7">
        <f>Base!Y199</f>
        <v>1523839.0</v>
      </c>
      <c r="P227" s="6">
        <f>IF(Base!Z199="","",Base!Z199)</f>
        <v/>
      </c>
      <c r="Q227" s="18" t="str">
        <f>Base!S199</f>
        <v>Difícil</v>
      </c>
      <c r="R227" s="7">
        <f>Base!N199</f>
        <v>0.0</v>
      </c>
      <c r="S227" s="7">
        <f>Base!T199</f>
        <v>5045.5</v>
      </c>
    </row>
    <row r="228" spans="1:19">
      <c r="A228" s="15" t="s">
        <v>71</v>
      </c>
      <c r="B228" s="15"/>
      <c r="C228" s="15"/>
      <c r="D228" s="16">
        <f>SUM(D229:D272)</f>
        <v>18648303.0</v>
      </c>
      <c r="E228" s="16">
        <f>SUM(E229:E272)</f>
        <v>14876628.92</v>
      </c>
      <c r="F228" s="16">
        <f>D228-E228</f>
        <v>3771674.08</v>
      </c>
      <c r="G228" s="16">
        <f>SUM(G229:G272)</f>
        <v>6088424.73</v>
      </c>
      <c r="H228" s="16">
        <f>D228-G228</f>
        <v>12559878.27</v>
      </c>
      <c r="I228" s="17">
        <f>IF(D228=0,0,G228/D228)</f>
        <v>0.32648679775312534</v>
      </c>
      <c r="J228" s="15"/>
      <c r="K228" s="15"/>
      <c r="L228" s="15"/>
      <c r="M228" s="15"/>
      <c r="N228" s="15"/>
      <c r="O228" s="15"/>
      <c r="P228" s="15"/>
      <c r="Q228" s="15"/>
      <c r="R228" s="16">
        <f>SUM(R229:R272)</f>
        <v>424333.5</v>
      </c>
      <c r="S228" s="16">
        <f>SUM(S229:S272)</f>
        <v>4195987.52</v>
      </c>
    </row>
    <row r="229" spans="1:19">
      <c r="A229" s="18">
        <f>SUBTOTAL(103,$B$6:B229)</f>
        <v>196</v>
      </c>
      <c r="B229" s="18">
        <v>21</v>
      </c>
      <c r="C229" s="6" t="str">
        <f>Base!H200</f>
        <v>2188379: MEJORAMIENTO DEL SERVICIO EDUCATIVO DE LA INSTITUCION EDUCATIVA PRIMARIA  N 70605 DOMINGO SAVIO DE JULIACA, DISTRITO DE JULIACA, PROVINCIA DE SAN ROMAN - PUNO</v>
      </c>
      <c r="D229" s="7">
        <f>Base!I200</f>
        <v>0.0</v>
      </c>
      <c r="E229" s="7">
        <f>Base!J200</f>
        <v>0.0</v>
      </c>
      <c r="F229" s="7">
        <f>D229-E229</f>
        <v>0.0</v>
      </c>
      <c r="G229" s="7">
        <f>Base!L200</f>
        <v>0.0</v>
      </c>
      <c r="H229" s="7">
        <f>D229-G229</f>
        <v>0.0</v>
      </c>
      <c r="I229" s="19">
        <f>IF(D229=0,0,G229/D229)</f>
        <v>0</v>
      </c>
      <c r="J229" s="6" t="str">
        <f>Base!U200</f>
        <v>Contrata</v>
      </c>
      <c r="K229" s="6" t="str">
        <f>Base!R200</f>
        <v>Sin PIM</v>
      </c>
      <c r="L229" s="7">
        <f>Base!V200</f>
        <v>1792000.0</v>
      </c>
      <c r="M229" s="7">
        <f>Base!W200</f>
        <v>0</v>
      </c>
      <c r="N229" s="7">
        <f>Base!X200</f>
        <v>0</v>
      </c>
      <c r="O229" s="7">
        <f>Base!Y200</f>
        <v>0</v>
      </c>
      <c r="P229" s="6">
        <f>IF(Base!Z200="","",Base!Z200)</f>
        <v/>
      </c>
      <c r="Q229" s="18" t="str">
        <f>Base!S200</f>
        <v>Sin PIM</v>
      </c>
      <c r="R229" s="7">
        <f>Base!N200</f>
        <v>0.0</v>
      </c>
      <c r="S229" s="7">
        <f>Base!T200</f>
        <v>0.0</v>
      </c>
    </row>
    <row r="230" spans="1:19">
      <c r="A230" s="18">
        <f>SUBTOTAL(103,$B$6:B230)</f>
        <v>197</v>
      </c>
      <c r="B230" s="18">
        <v>31</v>
      </c>
      <c r="C230" s="6" t="str">
        <f>Base!H201</f>
        <v>2384978: MEJORAMIENTO DE LOS SERVICIOS DE EDUCACIÓN SECUNDARIA EN LA INSTITUCIÓN EDUCATIVA PÚBLICA MILITAR ¿INCA MANCO CAPAC¿ , CENTRO POBLADO DE TOTORANI - DISTRITO DE PUNO - PROVINCIA DE PUNO - REGIÓN PUNO</v>
      </c>
      <c r="D230" s="7">
        <f>Base!I201</f>
        <v>100000.0</v>
      </c>
      <c r="E230" s="7">
        <f>Base!J201</f>
        <v>85000.0</v>
      </c>
      <c r="F230" s="7">
        <f>D230-E230</f>
        <v>15000.0</v>
      </c>
      <c r="G230" s="7">
        <f>Base!L201</f>
        <v>58662.71000000001</v>
      </c>
      <c r="H230" s="7">
        <f>D230-G230</f>
        <v>41337.28999999999</v>
      </c>
      <c r="I230" s="19">
        <f>IF(D230=0,0,G230/D230)</f>
        <v>0.5866271000000001</v>
      </c>
      <c r="J230" s="6" t="str">
        <f>Base!U201</f>
        <v>Expediente técnico</v>
      </c>
      <c r="K230" s="6" t="str">
        <f>Base!R201</f>
        <v>Mayormente comprometido</v>
      </c>
      <c r="L230" s="7">
        <f>Base!V201</f>
        <v>100000.0</v>
      </c>
      <c r="M230" s="7">
        <f>Base!W201</f>
        <v>1000000.0</v>
      </c>
      <c r="N230" s="7">
        <f>Base!X201</f>
        <v>0</v>
      </c>
      <c r="O230" s="7">
        <f>Base!Y201</f>
        <v>0</v>
      </c>
      <c r="P230" s="6">
        <f>IF(Base!Z201="","",Base!Z201)</f>
        <v/>
      </c>
      <c r="Q230" s="18" t="str">
        <f>Base!S201</f>
        <v>Difícil</v>
      </c>
      <c r="R230" s="7">
        <f>Base!N201</f>
        <v>25000.0</v>
      </c>
      <c r="S230" s="7">
        <f>Base!T201</f>
        <v>40000.0</v>
      </c>
    </row>
    <row r="231" spans="1:19">
      <c r="A231" s="18">
        <f>SUBTOTAL(103,$B$6:B231)</f>
        <v>198</v>
      </c>
      <c r="B231" s="18">
        <v>38</v>
      </c>
      <c r="C231" s="6" t="str">
        <f>Base!H202</f>
        <v>2525250: MEJORAMIENTO Y AMPLIACION DEL SERVICIO EDUCATIVO DEL NIVEL PRIMARIA DE LA I.E. Nº 70316 SAGRADO CORAZÓN DE JESÚS  DISTRITO DE ILAVE - PROVINCIA DE EL COLLAO - DEPARTAMENTO DE PUNO</v>
      </c>
      <c r="D231" s="7">
        <f>Base!I202</f>
        <v>0.0</v>
      </c>
      <c r="E231" s="7">
        <f>Base!J202</f>
        <v>0.0</v>
      </c>
      <c r="F231" s="7">
        <f>D231-E231</f>
        <v>0.0</v>
      </c>
      <c r="G231" s="7">
        <f>Base!L202</f>
        <v>0.0</v>
      </c>
      <c r="H231" s="7">
        <f>D231-G231</f>
        <v>0.0</v>
      </c>
      <c r="I231" s="19">
        <f>IF(D231=0,0,G231/D231)</f>
        <v>0</v>
      </c>
      <c r="J231" s="6" t="str">
        <f>Base!U202</f>
        <v>Contrata</v>
      </c>
      <c r="K231" s="6" t="str">
        <f>Base!R202</f>
        <v>Sin PIM</v>
      </c>
      <c r="L231" s="7">
        <f>Base!V202</f>
        <v>500000.0</v>
      </c>
      <c r="M231" s="7">
        <f>Base!W202</f>
        <v>0</v>
      </c>
      <c r="N231" s="7">
        <f>Base!X202</f>
        <v>0</v>
      </c>
      <c r="O231" s="7">
        <f>Base!Y202</f>
        <v>0</v>
      </c>
      <c r="P231" s="6">
        <f>IF(Base!Z202="","",Base!Z202)</f>
        <v/>
      </c>
      <c r="Q231" s="18" t="str">
        <f>Base!S202</f>
        <v>Sin PIM</v>
      </c>
      <c r="R231" s="7">
        <f>Base!N202</f>
        <v>0.0</v>
      </c>
      <c r="S231" s="7">
        <f>Base!T202</f>
        <v>0.0</v>
      </c>
    </row>
    <row r="232" spans="1:19">
      <c r="A232" s="18">
        <f>SUBTOTAL(103,$B$6:B232)</f>
        <v>199</v>
      </c>
      <c r="B232" s="18">
        <v>40</v>
      </c>
      <c r="C232" s="6" t="str">
        <f>Base!H203</f>
        <v>2585923: MEJORAMIENTO DEL SERVICIO DE EDUCACION PRIMARIA EN I.E. 71016 MARIA AUXILIADORA DISTRITO DE JULIACA DE LA PROVINCIA DE SAN ROMAN DEL DEPARTAMENTO DE PUNO</v>
      </c>
      <c r="D232" s="7">
        <f>Base!I203</f>
        <v>58259.0</v>
      </c>
      <c r="E232" s="7">
        <f>Base!J203</f>
        <v>58259.0</v>
      </c>
      <c r="F232" s="7">
        <f>D232-E232</f>
        <v>0.0</v>
      </c>
      <c r="G232" s="7">
        <f>Base!L203</f>
        <v>50730.47</v>
      </c>
      <c r="H232" s="7">
        <f>D232-G232</f>
        <v>7528.529999999999</v>
      </c>
      <c r="I232" s="19">
        <f>IF(D232=0,0,G232/D232)</f>
        <v>0.8707748159082717</v>
      </c>
      <c r="J232" s="6" t="str">
        <f>Base!U203</f>
        <v>Expediente técnico</v>
      </c>
      <c r="K232" s="6" t="str">
        <f>Base!R203</f>
        <v>Mayormente comprometido</v>
      </c>
      <c r="L232" s="7">
        <f>Base!V203</f>
        <v>3860273.0</v>
      </c>
      <c r="M232" s="7">
        <f>Base!W203</f>
        <v>7764202.0</v>
      </c>
      <c r="N232" s="7">
        <f>Base!X203</f>
        <v>0</v>
      </c>
      <c r="O232" s="7">
        <f>Base!Y203</f>
        <v>500000.0</v>
      </c>
      <c r="P232" s="6">
        <f>IF(Base!Z203="","",Base!Z203)</f>
        <v/>
      </c>
      <c r="Q232" s="18" t="str">
        <f>Base!S203</f>
        <v>Difícil</v>
      </c>
      <c r="R232" s="7">
        <f>Base!N203</f>
        <v>0.0</v>
      </c>
      <c r="S232" s="7">
        <f>Base!T203</f>
        <v>0.0</v>
      </c>
    </row>
    <row r="233" spans="1:19">
      <c r="A233" s="18">
        <f>SUBTOTAL(103,$B$6:B233)</f>
        <v>200</v>
      </c>
      <c r="B233" s="18">
        <v>42</v>
      </c>
      <c r="C233" s="6" t="str">
        <f>Base!H204</f>
        <v>2616445: MEJORAMIENTO DEL SERVICIO DE EDUCACIÓN SECUNDARIA EN I.E. CRFA LUPAKAS JULI   DISTRITO DE JULI DE LA PROVINCIA DE CHUCUITO DEL DEPARTAMENTO DE PUNO</v>
      </c>
      <c r="D233" s="7">
        <f>Base!I204</f>
        <v>100000.0</v>
      </c>
      <c r="E233" s="7">
        <f>Base!J204</f>
        <v>100000.0</v>
      </c>
      <c r="F233" s="7">
        <f>D233-E233</f>
        <v>0.0</v>
      </c>
      <c r="G233" s="7">
        <f>Base!L204</f>
        <v>45460.229999999996</v>
      </c>
      <c r="H233" s="7">
        <f>D233-G233</f>
        <v>54539.770000000004</v>
      </c>
      <c r="I233" s="19">
        <f>IF(D233=0,0,G233/D233)</f>
        <v>0.45460229999999996</v>
      </c>
      <c r="J233" s="6" t="str">
        <f>Base!U204</f>
        <v>Expediente técnico</v>
      </c>
      <c r="K233" s="6" t="str">
        <f>Base!R204</f>
        <v>Mayormente comprometido</v>
      </c>
      <c r="L233" s="7">
        <f>Base!V204</f>
        <v>1800000.0</v>
      </c>
      <c r="M233" s="7">
        <f>Base!W204</f>
        <v>1234564.0</v>
      </c>
      <c r="N233" s="7">
        <f>Base!X204</f>
        <v>0</v>
      </c>
      <c r="O233" s="7">
        <f>Base!Y204</f>
        <v>680854.0</v>
      </c>
      <c r="P233" s="6">
        <f>IF(Base!Z204="","",Base!Z204)</f>
        <v/>
      </c>
      <c r="Q233" s="18" t="str">
        <f>Base!S204</f>
        <v>Difícil</v>
      </c>
      <c r="R233" s="7">
        <f>Base!N204</f>
        <v>50000.0</v>
      </c>
      <c r="S233" s="7">
        <f>Base!T204</f>
        <v>50000.0</v>
      </c>
    </row>
    <row r="234" spans="1:19">
      <c r="A234" s="18">
        <f>SUBTOTAL(103,$B$6:B234)</f>
        <v>201</v>
      </c>
      <c r="B234" s="18">
        <v>43</v>
      </c>
      <c r="C234" s="6" t="str">
        <f>Base!H205</f>
        <v>2618450: MEJORAMIENTO DEL SERVICIO DE EDUCACION PRIMARIA EN I.E. 70001   DISTRITO DE PUNO DE LA PROVINCIA DE PUNO DEL DEPARTAMENTO DE PUNO</v>
      </c>
      <c r="D234" s="7">
        <f>Base!I205</f>
        <v>100000.0</v>
      </c>
      <c r="E234" s="7">
        <f>Base!J205</f>
        <v>98580.0</v>
      </c>
      <c r="F234" s="7">
        <f>D234-E234</f>
        <v>1420.0</v>
      </c>
      <c r="G234" s="7">
        <f>Base!L205</f>
        <v>83195.4</v>
      </c>
      <c r="H234" s="7">
        <f>D234-G234</f>
        <v>16804.600000000006</v>
      </c>
      <c r="I234" s="19">
        <f>IF(D234=0,0,G234/D234)</f>
        <v>0.831954</v>
      </c>
      <c r="J234" s="6" t="str">
        <f>Base!U205</f>
        <v>Expediente técnico / Contrata</v>
      </c>
      <c r="K234" s="6" t="str">
        <f>Base!R205</f>
        <v>Mayormente comprometido</v>
      </c>
      <c r="L234" s="7">
        <f>Base!V205</f>
        <v>100000.0</v>
      </c>
      <c r="M234" s="7">
        <f>Base!W205</f>
        <v>2565482.0</v>
      </c>
      <c r="N234" s="7">
        <f>Base!X205</f>
        <v>0</v>
      </c>
      <c r="O234" s="7">
        <f>Base!Y205</f>
        <v>534518.0</v>
      </c>
      <c r="P234" s="6">
        <f>IF(Base!Z205="","",Base!Z205)</f>
        <v/>
      </c>
      <c r="Q234" s="18" t="str">
        <f>Base!S205</f>
        <v>Difícil</v>
      </c>
      <c r="R234" s="7">
        <f>Base!N205</f>
        <v>0.0</v>
      </c>
      <c r="S234" s="7">
        <f>Base!T205</f>
        <v>1420.0</v>
      </c>
    </row>
    <row r="235" spans="1:19">
      <c r="A235" s="18">
        <f>SUBTOTAL(103,$B$6:B235)</f>
        <v>202</v>
      </c>
      <c r="B235" s="18">
        <v>47</v>
      </c>
      <c r="C235" s="6" t="str">
        <f>Base!H206</f>
        <v>2638009: MEJORAMIENTO DEL SERVICIO DE EDUCACIÓN SECUNDARIA EN I.E. HUARAYA  DE CENTRO POBLADO HUARAYA DISTRITO DE MOHO DE LA PROVINCIA DE MOHO DEL DEPARTAMENTO DE PUNO</v>
      </c>
      <c r="D235" s="7">
        <f>Base!I206</f>
        <v>500172.0</v>
      </c>
      <c r="E235" s="7">
        <f>Base!J206</f>
        <v>0.0</v>
      </c>
      <c r="F235" s="7">
        <f>D235-E235</f>
        <v>500172.0</v>
      </c>
      <c r="G235" s="7">
        <f>Base!L206</f>
        <v>0.0</v>
      </c>
      <c r="H235" s="7">
        <f>D235-G235</f>
        <v>500172.0</v>
      </c>
      <c r="I235" s="19">
        <f>IF(D235=0,0,G235/D235)</f>
        <v>0.0</v>
      </c>
      <c r="J235" s="6" t="str">
        <f>Base!U206</f>
        <v>Contrata</v>
      </c>
      <c r="K235" s="6" t="str">
        <f>Base!R206</f>
        <v>Sin certificar</v>
      </c>
      <c r="L235" s="7">
        <f>Base!V206</f>
        <v>700000.0</v>
      </c>
      <c r="M235" s="7">
        <f>Base!W206</f>
        <v>1243456.0</v>
      </c>
      <c r="N235" s="7">
        <f>Base!X206</f>
        <v>0</v>
      </c>
      <c r="O235" s="7">
        <f>Base!Y206</f>
        <v>2984900.0</v>
      </c>
      <c r="P235" s="6">
        <f>IF(Base!Z206="","",Base!Z206)</f>
        <v/>
      </c>
      <c r="Q235" s="18" t="str">
        <f>Base!S206</f>
        <v>Disponible</v>
      </c>
      <c r="R235" s="7">
        <f>Base!N206</f>
        <v>0.0</v>
      </c>
      <c r="S235" s="7">
        <f>Base!T206</f>
        <v>500172.0</v>
      </c>
    </row>
    <row r="236" spans="1:19">
      <c r="A236" s="18">
        <f>SUBTOTAL(103,$B$6:B236)</f>
        <v>203</v>
      </c>
      <c r="B236" s="18">
        <v>48</v>
      </c>
      <c r="C236" s="6" t="str">
        <f>Base!H207</f>
        <v>2652118: MEJORAMIENTO DEL SERVICIO DE EDUCACION PRIMARIA EN I.E. 70726   DISTRITO DE PUNO DE LA PROVINCIA DE PUNO DEL DEPARTAMENTO DE PUNO</v>
      </c>
      <c r="D236" s="7">
        <f>Base!I207</f>
        <v>310000.0</v>
      </c>
      <c r="E236" s="7">
        <f>Base!J207</f>
        <v>310000.0</v>
      </c>
      <c r="F236" s="7">
        <f>D236-E236</f>
        <v>0.0</v>
      </c>
      <c r="G236" s="7">
        <f>Base!L207</f>
        <v>240998.16000000003</v>
      </c>
      <c r="H236" s="7">
        <f>D236-G236</f>
        <v>69001.83999999997</v>
      </c>
      <c r="I236" s="19">
        <f>IF(D236=0,0,G236/D236)</f>
        <v>0.7774134193548388</v>
      </c>
      <c r="J236" s="6" t="str">
        <f>Base!U207</f>
        <v>Expediente técnico</v>
      </c>
      <c r="K236" s="6" t="str">
        <f>Base!R207</f>
        <v>Mayormente comprometido</v>
      </c>
      <c r="L236" s="7">
        <f>Base!V207</f>
        <v>50000.0</v>
      </c>
      <c r="M236" s="7">
        <f>Base!W207</f>
        <v>0</v>
      </c>
      <c r="N236" s="7">
        <f>Base!X207</f>
        <v>0</v>
      </c>
      <c r="O236" s="7">
        <f>Base!Y207</f>
        <v>1000000.0</v>
      </c>
      <c r="P236" s="6">
        <f>IF(Base!Z207="","",Base!Z207)</f>
        <v/>
      </c>
      <c r="Q236" s="18" t="str">
        <f>Base!S207</f>
        <v>Difícil</v>
      </c>
      <c r="R236" s="7">
        <f>Base!N207</f>
        <v>60000.0</v>
      </c>
      <c r="S236" s="7">
        <f>Base!T207</f>
        <v>60000.0</v>
      </c>
    </row>
    <row r="237" spans="1:19">
      <c r="A237" s="18">
        <f>SUBTOTAL(103,$B$6:B237)</f>
        <v>204</v>
      </c>
      <c r="B237" s="18">
        <v>49</v>
      </c>
      <c r="C237" s="6" t="str">
        <f>Base!H208</f>
        <v>2652119: MEJORAMIENTO DEL SERVICIO DE EDUCACION PRIMARIA EN I.E. 70802   DISTRITO DE PUNO DE LA PROVINCIA DE PUNO DEL DEPARTAMENTO DE PUNO</v>
      </c>
      <c r="D237" s="7">
        <f>Base!I208</f>
        <v>100000.0</v>
      </c>
      <c r="E237" s="7">
        <f>Base!J208</f>
        <v>98287.0</v>
      </c>
      <c r="F237" s="7">
        <f>D237-E237</f>
        <v>1713.0</v>
      </c>
      <c r="G237" s="7">
        <f>Base!L208</f>
        <v>19750.31</v>
      </c>
      <c r="H237" s="7">
        <f>D237-G237</f>
        <v>80249.69</v>
      </c>
      <c r="I237" s="19">
        <f>IF(D237=0,0,G237/D237)</f>
        <v>0.19750310000000001</v>
      </c>
      <c r="J237" s="6" t="str">
        <f>Base!U208</f>
        <v>Expediente técnico</v>
      </c>
      <c r="K237" s="6" t="str">
        <f>Base!R208</f>
        <v>Mayormente comprometido</v>
      </c>
      <c r="L237" s="7">
        <f>Base!V208</f>
        <v>100000.0</v>
      </c>
      <c r="M237" s="7">
        <f>Base!W208</f>
        <v>254875.0</v>
      </c>
      <c r="N237" s="7">
        <f>Base!X208</f>
        <v>0</v>
      </c>
      <c r="O237" s="7">
        <f>Base!Y208</f>
        <v>500000.0</v>
      </c>
      <c r="P237" s="6">
        <f>IF(Base!Z208="","",Base!Z208)</f>
        <v/>
      </c>
      <c r="Q237" s="18" t="str">
        <f>Base!S208</f>
        <v>Difícil</v>
      </c>
      <c r="R237" s="7">
        <f>Base!N208</f>
        <v>0.0</v>
      </c>
      <c r="S237" s="7">
        <f>Base!T208</f>
        <v>1713.0</v>
      </c>
    </row>
    <row r="238" spans="1:19">
      <c r="A238" s="18">
        <f>SUBTOTAL(103,$B$6:B238)</f>
        <v>205</v>
      </c>
      <c r="B238" s="18">
        <v>50</v>
      </c>
      <c r="C238" s="6" t="str">
        <f>Base!H209</f>
        <v>2652120: MEJORAMIENTO DEL SERVICIO DE EDUCACION PRIMARIA EN I.E. 70682   DISTRITO DE PUNO DE LA PROVINCIA DE PUNO DEL DEPARTAMENTO DE PUNO</v>
      </c>
      <c r="D238" s="7">
        <f>Base!I209</f>
        <v>400214.0</v>
      </c>
      <c r="E238" s="7">
        <f>Base!J209</f>
        <v>400214.0</v>
      </c>
      <c r="F238" s="7">
        <f>D238-E238</f>
        <v>0.0</v>
      </c>
      <c r="G238" s="7">
        <f>Base!L209</f>
        <v>330372.18</v>
      </c>
      <c r="H238" s="7">
        <f>D238-G238</f>
        <v>69841.82</v>
      </c>
      <c r="I238" s="19">
        <f>IF(D238=0,0,G238/D238)</f>
        <v>0.8254888134847856</v>
      </c>
      <c r="J238" s="6" t="str">
        <f>Base!U209</f>
        <v>Expediente técnico</v>
      </c>
      <c r="K238" s="6" t="str">
        <f>Base!R209</f>
        <v>Mayormente comprometido</v>
      </c>
      <c r="L238" s="7">
        <f>Base!V209</f>
        <v>50000.0</v>
      </c>
      <c r="M238" s="7">
        <f>Base!W209</f>
        <v>0</v>
      </c>
      <c r="N238" s="7">
        <f>Base!X209</f>
        <v>0</v>
      </c>
      <c r="O238" s="7">
        <f>Base!Y209</f>
        <v>1299636.0</v>
      </c>
      <c r="P238" s="6">
        <f>IF(Base!Z209="","",Base!Z209)</f>
        <v/>
      </c>
      <c r="Q238" s="18" t="str">
        <f>Base!S209</f>
        <v>Difícil</v>
      </c>
      <c r="R238" s="7">
        <f>Base!N209</f>
        <v>50000.5</v>
      </c>
      <c r="S238" s="7">
        <f>Base!T209</f>
        <v>50000.5</v>
      </c>
    </row>
    <row r="239" spans="1:19">
      <c r="A239" s="18">
        <f>SUBTOTAL(103,$B$6:B239)</f>
        <v>206</v>
      </c>
      <c r="B239" s="18">
        <v>51</v>
      </c>
      <c r="C239" s="6" t="str">
        <f>Base!H210</f>
        <v>2655774: MEJORAMIENTO DEL SERVICIO DE EDUCACIÓN SECUNDARIA EN I.E. SOLLOCOTA  DE CENTRO POBLADO VIRGEN DEL ROSARIO SOLLOCOTA DISTRITO DE SAN JOSE DE LA PROVINCIA DE AZANGARO DEL DEPARTAMENTO DE PUNO</v>
      </c>
      <c r="D239" s="7">
        <f>Base!I210</f>
        <v>0.0</v>
      </c>
      <c r="E239" s="7">
        <f>Base!J210</f>
        <v>0.0</v>
      </c>
      <c r="F239" s="7">
        <f>D239-E239</f>
        <v>0.0</v>
      </c>
      <c r="G239" s="7">
        <f>Base!L210</f>
        <v>0.0</v>
      </c>
      <c r="H239" s="7">
        <f>D239-G239</f>
        <v>0.0</v>
      </c>
      <c r="I239" s="19">
        <f>IF(D239=0,0,G239/D239)</f>
        <v>0</v>
      </c>
      <c r="J239" s="6" t="str">
        <f>Base!U210</f>
        <v>Contrata</v>
      </c>
      <c r="K239" s="6" t="str">
        <f>Base!R210</f>
        <v>Sin PIM</v>
      </c>
      <c r="L239" s="7">
        <f>Base!V210</f>
        <v>50000.0</v>
      </c>
      <c r="M239" s="7">
        <f>Base!W210</f>
        <v>0</v>
      </c>
      <c r="N239" s="7">
        <f>Base!X210</f>
        <v>0</v>
      </c>
      <c r="O239" s="7">
        <f>Base!Y210</f>
        <v>300000.0</v>
      </c>
      <c r="P239" s="6">
        <f>IF(Base!Z210="","",Base!Z210)</f>
        <v/>
      </c>
      <c r="Q239" s="18" t="str">
        <f>Base!S210</f>
        <v>Sin PIM</v>
      </c>
      <c r="R239" s="7">
        <f>Base!N210</f>
        <v>0.0</v>
      </c>
      <c r="S239" s="7">
        <f>Base!T210</f>
        <v>0.0</v>
      </c>
    </row>
    <row r="240" spans="1:19">
      <c r="A240" s="18">
        <f>SUBTOTAL(103,$B$6:B240)</f>
        <v>207</v>
      </c>
      <c r="B240" s="18">
        <v>52</v>
      </c>
      <c r="C240" s="6" t="str">
        <f>Base!H211</f>
        <v>2656882: MEJORAMIENTO DEL SERVICIO DE EDUCACIÓN SECUNDARIA EN I.E. AGROINDUSTRIAL MAXIMO SAN ROMAN CACERES DE AJJATIRA ,   DE CENTRO POBLADO SANTIAGO AJJATIRA DISTRITO DE PEDRO VILCA APAZA DE LA PROVINCIA DE SAN ANTONIO DE PUTINA DEL DEPARTAMENTO DE PUNO</v>
      </c>
      <c r="D240" s="7">
        <f>Base!I211</f>
        <v>126982.0</v>
      </c>
      <c r="E240" s="7">
        <f>Base!J211</f>
        <v>126982.0</v>
      </c>
      <c r="F240" s="7">
        <f>D240-E240</f>
        <v>0.0</v>
      </c>
      <c r="G240" s="7">
        <f>Base!L211</f>
        <v>120317.20999999999</v>
      </c>
      <c r="H240" s="7">
        <f>D240-G240</f>
        <v>6664.790000000008</v>
      </c>
      <c r="I240" s="19">
        <f>IF(D240=0,0,G240/D240)</f>
        <v>0.9475138996078184</v>
      </c>
      <c r="J240" s="6" t="str">
        <f>Base!U211</f>
        <v>Expediente técnico</v>
      </c>
      <c r="K240" s="6" t="str">
        <f>Base!R211</f>
        <v>Ejecutado</v>
      </c>
      <c r="L240" s="7">
        <f>Base!V211</f>
        <v>50000.0</v>
      </c>
      <c r="M240" s="7">
        <f>Base!W211</f>
        <v>251478.0</v>
      </c>
      <c r="N240" s="7">
        <f>Base!X211</f>
        <v>0</v>
      </c>
      <c r="O240" s="7">
        <f>Base!Y211</f>
        <v>300000.0</v>
      </c>
      <c r="P240" s="6">
        <f>IF(Base!Z211="","",Base!Z211)</f>
        <v/>
      </c>
      <c r="Q240" s="18" t="str">
        <f>Base!S211</f>
        <v>No usar</v>
      </c>
      <c r="R240" s="7">
        <f>Base!N211</f>
        <v>0.0</v>
      </c>
      <c r="S240" s="7">
        <f>Base!T211</f>
        <v>0.0</v>
      </c>
    </row>
    <row r="241" spans="1:19">
      <c r="A241" s="18">
        <f>SUBTOTAL(103,$B$6:B241)</f>
        <v>208</v>
      </c>
      <c r="B241" s="18">
        <v>53</v>
      </c>
      <c r="C241" s="6" t="str">
        <f>Base!H212</f>
        <v>2659574: MEJORAMIENTO DEL SERVICIO DE EDUCACIÓN SECUNDARIA EN I.E. JOSE ABELARDO QUIÑONES GONZALES   DISTRITO DE MOHO DE LA PROVINCIA DE MOHO DEL DEPARTAMENTO DE PUNO</v>
      </c>
      <c r="D241" s="7">
        <f>Base!I212</f>
        <v>0.0</v>
      </c>
      <c r="E241" s="7">
        <f>Base!J212</f>
        <v>0.0</v>
      </c>
      <c r="F241" s="7">
        <f>D241-E241</f>
        <v>0.0</v>
      </c>
      <c r="G241" s="7">
        <f>Base!L212</f>
        <v>0.0</v>
      </c>
      <c r="H241" s="7">
        <f>D241-G241</f>
        <v>0.0</v>
      </c>
      <c r="I241" s="19">
        <f>IF(D241=0,0,G241/D241)</f>
        <v>0</v>
      </c>
      <c r="J241" s="6" t="str">
        <f>Base!U212</f>
        <v>Contrata</v>
      </c>
      <c r="K241" s="6" t="str">
        <f>Base!R212</f>
        <v>Sin PIM</v>
      </c>
      <c r="L241" s="7">
        <f>Base!V212</f>
        <v>50000.0</v>
      </c>
      <c r="M241" s="7">
        <f>Base!W212</f>
        <v>0</v>
      </c>
      <c r="N241" s="7">
        <f>Base!X212</f>
        <v>0</v>
      </c>
      <c r="O241" s="7">
        <f>Base!Y212</f>
        <v>150000.0</v>
      </c>
      <c r="P241" s="6">
        <f>IF(Base!Z212="","",Base!Z212)</f>
        <v/>
      </c>
      <c r="Q241" s="18" t="str">
        <f>Base!S212</f>
        <v>Sin PIM</v>
      </c>
      <c r="R241" s="7">
        <f>Base!N212</f>
        <v>0.0</v>
      </c>
      <c r="S241" s="7">
        <f>Base!T212</f>
        <v>0.0</v>
      </c>
    </row>
    <row r="242" spans="1:19">
      <c r="A242" s="18">
        <f>SUBTOTAL(103,$B$6:B242)</f>
        <v>209</v>
      </c>
      <c r="B242" s="18">
        <v>54</v>
      </c>
      <c r="C242" s="6" t="str">
        <f>Base!H213</f>
        <v>2660479: MEJORAMIENTO DEL SERVICIO DE EDUCACIÓN SECUNDARIA EN I.E. 20 DE ENERO   DISTRITO DE JULIACA DE LA PROVINCIA DE SAN ROMAN DEL DEPARTAMENTO DE PUNO</v>
      </c>
      <c r="D242" s="7">
        <f>Base!I213</f>
        <v>112244.0</v>
      </c>
      <c r="E242" s="7">
        <f>Base!J213</f>
        <v>112243.56</v>
      </c>
      <c r="F242" s="7">
        <f>D242-E242</f>
        <v>0.4400000000023283</v>
      </c>
      <c r="G242" s="7">
        <f>Base!L213</f>
        <v>78030.97</v>
      </c>
      <c r="H242" s="7">
        <f>D242-G242</f>
        <v>34213.03</v>
      </c>
      <c r="I242" s="19">
        <f>IF(D242=0,0,G242/D242)</f>
        <v>0.6951905669790813</v>
      </c>
      <c r="J242" s="6" t="str">
        <f>Base!U213</f>
        <v>Expediente técnico</v>
      </c>
      <c r="K242" s="6" t="str">
        <f>Base!R213</f>
        <v>Mayormente comprometido</v>
      </c>
      <c r="L242" s="7">
        <f>Base!V213</f>
        <v>50000.0</v>
      </c>
      <c r="M242" s="7">
        <f>Base!W213</f>
        <v>3985654.0</v>
      </c>
      <c r="N242" s="7">
        <f>Base!X213</f>
        <v>0</v>
      </c>
      <c r="O242" s="7">
        <f>Base!Y213</f>
        <v>500000.0</v>
      </c>
      <c r="P242" s="6">
        <f>IF(Base!Z213="","",Base!Z213)</f>
        <v/>
      </c>
      <c r="Q242" s="18" t="str">
        <f>Base!S213</f>
        <v>Difícil</v>
      </c>
      <c r="R242" s="7">
        <f>Base!N213</f>
        <v>30000.0</v>
      </c>
      <c r="S242" s="7">
        <f>Base!T213</f>
        <v>30000.440000000002</v>
      </c>
    </row>
    <row r="243" spans="1:19">
      <c r="A243" s="18">
        <f>SUBTOTAL(103,$B$6:B243)</f>
        <v>210</v>
      </c>
      <c r="B243" s="18">
        <v>55</v>
      </c>
      <c r="C243" s="6" t="str">
        <f>Base!H214</f>
        <v>2662668: MEJORAMIENTO DEL SERVICIO DE EDUCACION PRIMARIA EN I.E. 72060  DE CENTRO POBLADO YURAJCHUPA DISTRITO DE SAN JUAN DE SALINAS DE LA PROVINCIA DE AZANGARO DEL DEPARTAMENTO DE PUNO</v>
      </c>
      <c r="D243" s="7">
        <f>Base!I214</f>
        <v>164979.0</v>
      </c>
      <c r="E243" s="7">
        <f>Base!J214</f>
        <v>164976.5</v>
      </c>
      <c r="F243" s="7">
        <f>D243-E243</f>
        <v>2.5</v>
      </c>
      <c r="G243" s="7">
        <f>Base!L214</f>
        <v>152477.04</v>
      </c>
      <c r="H243" s="7">
        <f>D243-G243</f>
        <v>12501.959999999992</v>
      </c>
      <c r="I243" s="19">
        <f>IF(D243=0,0,G243/D243)</f>
        <v>0.9242209008419254</v>
      </c>
      <c r="J243" s="6" t="str">
        <f>Base!U214</f>
        <v>Expediente técnico</v>
      </c>
      <c r="K243" s="6" t="str">
        <f>Base!R214</f>
        <v>Ejecutado</v>
      </c>
      <c r="L243" s="7">
        <f>Base!V214</f>
        <v>50000.0</v>
      </c>
      <c r="M243" s="7">
        <f>Base!W214</f>
        <v>2375675.0</v>
      </c>
      <c r="N243" s="7">
        <f>Base!X214</f>
        <v>0</v>
      </c>
      <c r="O243" s="7">
        <f>Base!Y214</f>
        <v>0</v>
      </c>
      <c r="P243" s="6">
        <f>IF(Base!Z214="","",Base!Z214)</f>
        <v/>
      </c>
      <c r="Q243" s="18" t="str">
        <f>Base!S214</f>
        <v>No usar</v>
      </c>
      <c r="R243" s="7">
        <f>Base!N214</f>
        <v>0.0</v>
      </c>
      <c r="S243" s="7">
        <f>Base!T214</f>
        <v>0.0</v>
      </c>
    </row>
    <row r="244" spans="1:19">
      <c r="A244" s="18">
        <f>SUBTOTAL(103,$B$6:B244)</f>
        <v>211</v>
      </c>
      <c r="B244" s="18">
        <v>56</v>
      </c>
      <c r="C244" s="6" t="str">
        <f>Base!H215</f>
        <v>2662786: MEJORAMIENTO DEL SERVICIO DE EDUCACION PRIMARIA EN I.E. 72662  DE CENTRO POBLADO CALLA DISTRITO DE SAN JUAN DE SALINAS DE LA PROVINCIA DE AZANGARO DEL DEPARTAMENTO DE PUNO</v>
      </c>
      <c r="D244" s="7">
        <f>Base!I215</f>
        <v>99897.0</v>
      </c>
      <c r="E244" s="7">
        <f>Base!J215</f>
        <v>99879.63</v>
      </c>
      <c r="F244" s="7">
        <f>D244-E244</f>
        <v>17.369999999995343</v>
      </c>
      <c r="G244" s="7">
        <f>Base!L215</f>
        <v>91645.05</v>
      </c>
      <c r="H244" s="7">
        <f>D244-G244</f>
        <v>8251.949999999997</v>
      </c>
      <c r="I244" s="19">
        <f>IF(D244=0,0,G244/D244)</f>
        <v>0.9173954172797982</v>
      </c>
      <c r="J244" s="6" t="str">
        <f>Base!U215</f>
        <v>Expediente técnico</v>
      </c>
      <c r="K244" s="6" t="str">
        <f>Base!R215</f>
        <v>Ejecutado</v>
      </c>
      <c r="L244" s="7">
        <f>Base!V215</f>
        <v>50000.0</v>
      </c>
      <c r="M244" s="7">
        <f>Base!W215</f>
        <v>1278678.0</v>
      </c>
      <c r="N244" s="7">
        <f>Base!X215</f>
        <v>0</v>
      </c>
      <c r="O244" s="7">
        <f>Base!Y215</f>
        <v>1000000.0</v>
      </c>
      <c r="P244" s="6">
        <f>IF(Base!Z215="","",Base!Z215)</f>
        <v/>
      </c>
      <c r="Q244" s="18" t="str">
        <f>Base!S215</f>
        <v>No usar</v>
      </c>
      <c r="R244" s="7">
        <f>Base!N215</f>
        <v>0.0</v>
      </c>
      <c r="S244" s="7">
        <f>Base!T215</f>
        <v>0.0</v>
      </c>
    </row>
    <row r="245" spans="1:19">
      <c r="A245" s="18">
        <f>SUBTOTAL(103,$B$6:B245)</f>
        <v>212</v>
      </c>
      <c r="B245" s="18">
        <v>57</v>
      </c>
      <c r="C245" s="6" t="str">
        <f>Base!H216</f>
        <v>2664647: MEJORAMIENTO DEL SERVICIO DE EDUCACIÓN SECUNDARIA EN I.E. JOSE CARLOS MARIATEGUI   DISTRITO DE SAN JUAN DE SALINAS DE LA PROVINCIA DE AZANGARO DEL DEPARTAMENTO DE PUNO</v>
      </c>
      <c r="D245" s="7">
        <f>Base!I216</f>
        <v>332000.0</v>
      </c>
      <c r="E245" s="7">
        <f>Base!J216</f>
        <v>332000.0</v>
      </c>
      <c r="F245" s="7">
        <f>D245-E245</f>
        <v>0.0</v>
      </c>
      <c r="G245" s="7">
        <f>Base!L216</f>
        <v>165235.16999999998</v>
      </c>
      <c r="H245" s="7">
        <f>D245-G245</f>
        <v>166764.83000000002</v>
      </c>
      <c r="I245" s="19">
        <f>IF(D245=0,0,G245/D245)</f>
        <v>0.49769629518072284</v>
      </c>
      <c r="J245" s="6" t="str">
        <f>Base!U216</f>
        <v>Expediente técnico</v>
      </c>
      <c r="K245" s="6" t="str">
        <f>Base!R216</f>
        <v>Mayormente comprometido</v>
      </c>
      <c r="L245" s="7">
        <f>Base!V216</f>
        <v>50000.0</v>
      </c>
      <c r="M245" s="7">
        <f>Base!W216</f>
        <v>0</v>
      </c>
      <c r="N245" s="7">
        <f>Base!X216</f>
        <v>0</v>
      </c>
      <c r="O245" s="7">
        <f>Base!Y216</f>
        <v>50000.0</v>
      </c>
      <c r="P245" s="6">
        <f>IF(Base!Z216="","",Base!Z216)</f>
        <v/>
      </c>
      <c r="Q245" s="18" t="str">
        <f>Base!S216</f>
        <v>Difícil</v>
      </c>
      <c r="R245" s="7">
        <f>Base!N216</f>
        <v>82000.0</v>
      </c>
      <c r="S245" s="7">
        <f>Base!T216</f>
        <v>82000.0</v>
      </c>
    </row>
    <row r="246" spans="1:19">
      <c r="A246" s="18">
        <f>SUBTOTAL(103,$B$6:B246)</f>
        <v>213</v>
      </c>
      <c r="B246" s="18">
        <v>58</v>
      </c>
      <c r="C246" s="6" t="str">
        <f>Base!H217</f>
        <v>2673628: MEJORAMIENTO DEL SERVICIO DE EDUCACION PRIMARIA EN I.E. 72289  DE CENTRO POBLADO  HUARISANI DISTRITO DE HUANCANE DE LA PROVINCIA DE HUANCANE DEL DEPARTAMENTO DE PUNO</v>
      </c>
      <c r="D246" s="7">
        <f>Base!I217</f>
        <v>0.0</v>
      </c>
      <c r="E246" s="7">
        <f>Base!J217</f>
        <v>0.0</v>
      </c>
      <c r="F246" s="7">
        <f>D246-E246</f>
        <v>0.0</v>
      </c>
      <c r="G246" s="7">
        <f>Base!L217</f>
        <v>0.0</v>
      </c>
      <c r="H246" s="7">
        <f>D246-G246</f>
        <v>0.0</v>
      </c>
      <c r="I246" s="19">
        <f>IF(D246=0,0,G246/D246)</f>
        <v>0</v>
      </c>
      <c r="J246" s="6" t="str">
        <f>Base!U217</f>
        <v>Contrata</v>
      </c>
      <c r="K246" s="6" t="str">
        <f>Base!R217</f>
        <v>Sin PIM</v>
      </c>
      <c r="L246" s="7">
        <f>Base!V217</f>
        <v>50000.0</v>
      </c>
      <c r="M246" s="7">
        <f>Base!W217</f>
        <v>0</v>
      </c>
      <c r="N246" s="7">
        <f>Base!X217</f>
        <v>0</v>
      </c>
      <c r="O246" s="7">
        <f>Base!Y217</f>
        <v>2500000.0</v>
      </c>
      <c r="P246" s="6">
        <f>IF(Base!Z217="","",Base!Z217)</f>
        <v/>
      </c>
      <c r="Q246" s="18" t="str">
        <f>Base!S217</f>
        <v>Sin PIM</v>
      </c>
      <c r="R246" s="7">
        <f>Base!N217</f>
        <v>0.0</v>
      </c>
      <c r="S246" s="7">
        <f>Base!T217</f>
        <v>0.0</v>
      </c>
    </row>
    <row r="247" spans="1:19">
      <c r="A247" s="18">
        <f>SUBTOTAL(103,$B$6:B247)</f>
        <v>214</v>
      </c>
      <c r="B247" s="18">
        <v>81</v>
      </c>
      <c r="C247" s="6" t="str">
        <f>Base!H218</f>
        <v>2357337: MEJORAMIENTO Y AMPLIACION DEL SERVICIO EDUCATIVO DE LA ESCUELA SUPERIOR DE FORMACIÓN ARTÍSTICA PÚBLICA (ESFAP ¿ PUNO), DISTRITO DE PUNO - PROVINCIA DE PUNO - REGIÓN PUNO</v>
      </c>
      <c r="D247" s="7">
        <f>Base!I218</f>
        <v>100000.0</v>
      </c>
      <c r="E247" s="7">
        <f>Base!J218</f>
        <v>50000.0</v>
      </c>
      <c r="F247" s="7">
        <f>D247-E247</f>
        <v>50000.0</v>
      </c>
      <c r="G247" s="7">
        <f>Base!L218</f>
        <v>0.0</v>
      </c>
      <c r="H247" s="7">
        <f>D247-G247</f>
        <v>100000.0</v>
      </c>
      <c r="I247" s="19">
        <f>IF(D247=0,0,G247/D247)</f>
        <v>0.0</v>
      </c>
      <c r="J247" s="6" t="str">
        <f>Base!U218</f>
        <v>Expediente técnico</v>
      </c>
      <c r="K247" s="6" t="str">
        <f>Base!R218</f>
        <v>Mayormente comprometido</v>
      </c>
      <c r="L247" s="7">
        <f>Base!V218</f>
        <v>100000.0</v>
      </c>
      <c r="M247" s="7">
        <f>Base!W218</f>
        <v>567456.0</v>
      </c>
      <c r="N247" s="7">
        <f>Base!X218</f>
        <v>15577911.0</v>
      </c>
      <c r="O247" s="7">
        <f>Base!Y218</f>
        <v>23141649.0</v>
      </c>
      <c r="P247" s="6">
        <f>IF(Base!Z218="","",Base!Z218)</f>
        <v/>
      </c>
      <c r="Q247" s="18" t="str">
        <f>Base!S218</f>
        <v>Difícil</v>
      </c>
      <c r="R247" s="7">
        <f>Base!N218</f>
        <v>0.0</v>
      </c>
      <c r="S247" s="7">
        <f>Base!T218</f>
        <v>50000.0</v>
      </c>
    </row>
    <row r="248" spans="1:19">
      <c r="A248" s="18">
        <f>SUBTOTAL(103,$B$6:B248)</f>
        <v>215</v>
      </c>
      <c r="B248" s="18">
        <v>82</v>
      </c>
      <c r="C248" s="6" t="str">
        <f>Base!H219</f>
        <v>2623873: MEJORAMIENTO DE LOS SERVICIOS EDUCACIÓN SUPERIOR PEDAGÓGICA EN EL INSTITUTO DE EDUCACIÓN SUPERIOR PEDAGÓGICO DE EDUCACIÓN FÍSICA DE LAMPA DEL   DISTRITO DE LAMPA DE LA PROVINCIA DE LAMPA DEL DEPARTAMENTO DE PUNO</v>
      </c>
      <c r="D248" s="7">
        <f>Base!I219</f>
        <v>408761.0</v>
      </c>
      <c r="E248" s="7">
        <f>Base!J219</f>
        <v>356083.0</v>
      </c>
      <c r="F248" s="7">
        <f>D248-E248</f>
        <v>52678.0</v>
      </c>
      <c r="G248" s="7">
        <f>Base!L219</f>
        <v>242446.25999999998</v>
      </c>
      <c r="H248" s="7">
        <f>D248-G248</f>
        <v>166314.74000000002</v>
      </c>
      <c r="I248" s="19">
        <f>IF(D248=0,0,G248/D248)</f>
        <v>0.5931247354811247</v>
      </c>
      <c r="J248" s="6" t="str">
        <f>Base!U219</f>
        <v>Expediente técnico</v>
      </c>
      <c r="K248" s="6" t="str">
        <f>Base!R219</f>
        <v>Mayormente comprometido</v>
      </c>
      <c r="L248" s="7">
        <f>Base!V219</f>
        <v>2981000.0</v>
      </c>
      <c r="M248" s="7">
        <f>Base!W219</f>
        <v>2654845.0</v>
      </c>
      <c r="N248" s="7">
        <f>Base!X219</f>
        <v>0</v>
      </c>
      <c r="O248" s="7">
        <f>Base!Y219</f>
        <v>1000000.0</v>
      </c>
      <c r="P248" s="6">
        <f>IF(Base!Z219="","",Base!Z219)</f>
        <v/>
      </c>
      <c r="Q248" s="18" t="str">
        <f>Base!S219</f>
        <v>Difícil</v>
      </c>
      <c r="R248" s="7">
        <f>Base!N219</f>
        <v>0.0</v>
      </c>
      <c r="S248" s="7">
        <f>Base!T219</f>
        <v>52678.0</v>
      </c>
    </row>
    <row r="249" spans="1:19">
      <c r="A249" s="18">
        <f>SUBTOTAL(103,$B$6:B249)</f>
        <v>216</v>
      </c>
      <c r="B249" s="18">
        <v>155</v>
      </c>
      <c r="C249" s="6" t="str">
        <f>Base!H220</f>
        <v>2403888: MEJORAMIENTO DE LOS SERVICIOS DE EDUCACIÓN SUPERIOR DEL INSTITUTO DE EDUCACIÓN SUPERIOR TECNOLÓGICO PÚBLICA DESAGUADERO DEL  DISTRITO DE DESAGUADERO - PROVINCIA DE CHUCUITO - DEPARTAMENTO DE PUNO</v>
      </c>
      <c r="D249" s="7">
        <f>Base!I220</f>
        <v>261704.0</v>
      </c>
      <c r="E249" s="7">
        <f>Base!J220</f>
        <v>261704.0</v>
      </c>
      <c r="F249" s="7">
        <f>D249-E249</f>
        <v>0.0</v>
      </c>
      <c r="G249" s="7">
        <f>Base!L220</f>
        <v>134683.18999999997</v>
      </c>
      <c r="H249" s="7">
        <f>D249-G249</f>
        <v>127020.81000000003</v>
      </c>
      <c r="I249" s="19">
        <f>IF(D249=0,0,G249/D249)</f>
        <v>0.5146394017668816</v>
      </c>
      <c r="J249" s="6" t="str">
        <f>Base!U220</f>
        <v>Expediente técnico</v>
      </c>
      <c r="K249" s="6" t="str">
        <f>Base!R220</f>
        <v>Mayormente comprometido</v>
      </c>
      <c r="L249" s="7">
        <f>Base!V220</f>
        <v>3500504.0</v>
      </c>
      <c r="M249" s="7">
        <f>Base!W220</f>
        <v>587541.0</v>
      </c>
      <c r="N249" s="7">
        <f>Base!X220</f>
        <v>0</v>
      </c>
      <c r="O249" s="7">
        <f>Base!Y220</f>
        <v>1000000.0</v>
      </c>
      <c r="P249" s="6">
        <f>IF(Base!Z220="","",Base!Z220)</f>
        <v/>
      </c>
      <c r="Q249" s="18" t="str">
        <f>Base!S220</f>
        <v>Difícil</v>
      </c>
      <c r="R249" s="7">
        <f>Base!N220</f>
        <v>0.0</v>
      </c>
      <c r="S249" s="7">
        <f>Base!T220</f>
        <v>0.0</v>
      </c>
    </row>
    <row r="250" spans="1:19">
      <c r="A250" s="18">
        <f>SUBTOTAL(103,$B$6:B250)</f>
        <v>217</v>
      </c>
      <c r="B250" s="18">
        <v>157</v>
      </c>
      <c r="C250" s="6" t="str">
        <f>Base!H221</f>
        <v>2570033: MEJORAMIENTO DE LOS SERVICIOS DE EDUCACIÓN SUPERIOR DEL INSTITUTO SUPERIOR TECNOLÓGICO PUBLICA MUÑANI DEL  DISTRITO DE MUÑANI - PROVINCIA DE AZANGARO - DEPARTAMENTO DE PUNO</v>
      </c>
      <c r="D250" s="7">
        <f>Base!I221</f>
        <v>5089845.0</v>
      </c>
      <c r="E250" s="7">
        <f>Base!J221</f>
        <v>5089845.0</v>
      </c>
      <c r="F250" s="7">
        <f>D250-E250</f>
        <v>0.0</v>
      </c>
      <c r="G250" s="7">
        <f>Base!L221</f>
        <v>1952934.61</v>
      </c>
      <c r="H250" s="7">
        <f>D250-G250</f>
        <v>3136910.3899999997</v>
      </c>
      <c r="I250" s="19">
        <f>IF(D250=0,0,G250/D250)</f>
        <v>0.38369235408936814</v>
      </c>
      <c r="J250" s="6" t="str">
        <f>Base!U221</f>
        <v>Contrata</v>
      </c>
      <c r="K250" s="6" t="str">
        <f>Base!R221</f>
        <v>Mayormente comprometido</v>
      </c>
      <c r="L250" s="7">
        <f>Base!V221</f>
        <v>6239845.0</v>
      </c>
      <c r="M250" s="7">
        <f>Base!W221</f>
        <v>8796121.0</v>
      </c>
      <c r="N250" s="7">
        <f>Base!X221</f>
        <v>0</v>
      </c>
      <c r="O250" s="7">
        <f>Base!Y221</f>
        <v>7055000.0</v>
      </c>
      <c r="P250" s="6">
        <f>IF(Base!Z221="","",Base!Z221)</f>
        <v/>
      </c>
      <c r="Q250" s="18" t="str">
        <f>Base!S221</f>
        <v>Difícil</v>
      </c>
      <c r="R250" s="7">
        <f>Base!N221</f>
        <v>25172.0</v>
      </c>
      <c r="S250" s="7">
        <f>Base!T221</f>
        <v>25172.0</v>
      </c>
    </row>
    <row r="251" spans="1:19">
      <c r="A251" s="18">
        <f>SUBTOTAL(103,$B$6:B251)</f>
        <v>218</v>
      </c>
      <c r="B251" s="18">
        <v>158</v>
      </c>
      <c r="C251" s="6" t="str">
        <f>Base!H222</f>
        <v>2570365: MEJORAMIENTO DEL INSTITUTO DE EDUCACIÓN SUPERIOR TECNOLÓGICO PÚBLICO SANTA LUCÍA DEL  DISTRITO DE SANTA LUCIA - PROVINCIA DE LAMPA - DEPARTAMENTO DE PUNO</v>
      </c>
      <c r="D251" s="7">
        <f>Base!I222</f>
        <v>4863.0</v>
      </c>
      <c r="E251" s="7">
        <f>Base!J222</f>
        <v>4863.0</v>
      </c>
      <c r="F251" s="7">
        <f>D251-E251</f>
        <v>0.0</v>
      </c>
      <c r="G251" s="7">
        <f>Base!L222</f>
        <v>0.0</v>
      </c>
      <c r="H251" s="7">
        <f>D251-G251</f>
        <v>4863.0</v>
      </c>
      <c r="I251" s="19">
        <f>IF(D251=0,0,G251/D251)</f>
        <v>0.0</v>
      </c>
      <c r="J251" s="6" t="str">
        <f>Base!U222</f>
        <v>Expediente técnico</v>
      </c>
      <c r="K251" s="6" t="str">
        <f>Base!R222</f>
        <v>Solo certificado</v>
      </c>
      <c r="L251" s="7">
        <f>Base!V222</f>
        <v>3832600.0</v>
      </c>
      <c r="M251" s="7">
        <f>Base!W222</f>
        <v>5698456.0</v>
      </c>
      <c r="N251" s="7">
        <f>Base!X222</f>
        <v>6500000.0</v>
      </c>
      <c r="O251" s="7">
        <f>Base!Y222</f>
        <v>7136543.0</v>
      </c>
      <c r="P251" s="6">
        <f>IF(Base!Z222="","",Base!Z222)</f>
        <v/>
      </c>
      <c r="Q251" s="18" t="str">
        <f>Base!S222</f>
        <v>Posible</v>
      </c>
      <c r="R251" s="7">
        <f>Base!N222</f>
        <v>4863.0</v>
      </c>
      <c r="S251" s="7">
        <f>Base!T222</f>
        <v>4863.0</v>
      </c>
    </row>
    <row r="252" spans="1:19">
      <c r="A252" s="18">
        <f>SUBTOTAL(103,$B$6:B252)</f>
        <v>219</v>
      </c>
      <c r="B252" s="18">
        <v>159</v>
      </c>
      <c r="C252" s="6" t="str">
        <f>Base!H223</f>
        <v>2570369: MEJORAMIENTO DE LOS SERVICIOS DE EDUCACION SUPERIOR DEL INSTITUTO SUPERIOR TECNOLOGICO PUBLICA SAN JUAN DEL ORO DEL  DISTRITO DE SAN JUAN DEL ORO - PROVINCIA DE SANDIA - DEPARTAMENTO DE PUNO</v>
      </c>
      <c r="D252" s="7">
        <f>Base!I223</f>
        <v>5931027.0</v>
      </c>
      <c r="E252" s="7">
        <f>Base!J223</f>
        <v>5660459.0</v>
      </c>
      <c r="F252" s="7">
        <f>D252-E252</f>
        <v>270568.0</v>
      </c>
      <c r="G252" s="7">
        <f>Base!L223</f>
        <v>1327663.78</v>
      </c>
      <c r="H252" s="7">
        <f>D252-G252</f>
        <v>4603363.22</v>
      </c>
      <c r="I252" s="19">
        <f>IF(D252=0,0,G252/D252)</f>
        <v>0.22385057090449934</v>
      </c>
      <c r="J252" s="6" t="str">
        <f>Base!U223</f>
        <v>Contrata</v>
      </c>
      <c r="K252" s="6" t="str">
        <f>Base!R223</f>
        <v>Mayormente comprometido</v>
      </c>
      <c r="L252" s="7">
        <f>Base!V223</f>
        <v>2769903.0</v>
      </c>
      <c r="M252" s="7">
        <f>Base!W223</f>
        <v>8258956.0</v>
      </c>
      <c r="N252" s="7">
        <f>Base!X223</f>
        <v>6230701.0</v>
      </c>
      <c r="O252" s="7">
        <f>Base!Y223</f>
        <v>366030.0</v>
      </c>
      <c r="P252" s="6">
        <f>IF(Base!Z223="","",Base!Z223)</f>
        <v/>
      </c>
      <c r="Q252" s="18" t="str">
        <f>Base!S223</f>
        <v>Difícil</v>
      </c>
      <c r="R252" s="7">
        <f>Base!N223</f>
        <v>0.0</v>
      </c>
      <c r="S252" s="7">
        <f>Base!T223</f>
        <v>270568.0</v>
      </c>
    </row>
    <row r="253" spans="1:19">
      <c r="A253" s="18">
        <f>SUBTOTAL(103,$B$6:B253)</f>
        <v>220</v>
      </c>
      <c r="B253" s="18">
        <v>163</v>
      </c>
      <c r="C253" s="6" t="str">
        <f>Base!H224</f>
        <v>2623875: MEJORAMIENTO DEL SERVICIO DE EDUCACIÓN SUPERIOR TECNOLÓGICA  EN INSTITUTO DE EDUCACION SUPERIOR TECNOLOGICO PUBLICO SAN SALVADOR DE CAPACHICA   DISTRITO DE CAPACHICA DE LA PROVINCIA DE PUNO DEL DEPARTAMENTO DE PUNO</v>
      </c>
      <c r="D253" s="7">
        <f>Base!I224</f>
        <v>178134.0</v>
      </c>
      <c r="E253" s="7">
        <f>Base!J224</f>
        <v>178134.0</v>
      </c>
      <c r="F253" s="7">
        <f>D253-E253</f>
        <v>0.0</v>
      </c>
      <c r="G253" s="7">
        <f>Base!L224</f>
        <v>122423.54000000001</v>
      </c>
      <c r="H253" s="7">
        <f>D253-G253</f>
        <v>55710.45999999999</v>
      </c>
      <c r="I253" s="19">
        <f>IF(D253=0,0,G253/D253)</f>
        <v>0.6872553246432461</v>
      </c>
      <c r="J253" s="6" t="str">
        <f>Base!U224</f>
        <v>Expediente técnico</v>
      </c>
      <c r="K253" s="6" t="str">
        <f>Base!R224</f>
        <v>Mayormente comprometido</v>
      </c>
      <c r="L253" s="7">
        <f>Base!V224</f>
        <v>2805112.0</v>
      </c>
      <c r="M253" s="7">
        <f>Base!W224</f>
        <v>4556857.0</v>
      </c>
      <c r="N253" s="7">
        <f>Base!X224</f>
        <v>0</v>
      </c>
      <c r="O253" s="7">
        <f>Base!Y224</f>
        <v>0</v>
      </c>
      <c r="P253" s="6">
        <f>IF(Base!Z224="","",Base!Z224)</f>
        <v/>
      </c>
      <c r="Q253" s="18" t="str">
        <f>Base!S224</f>
        <v>Difícil</v>
      </c>
      <c r="R253" s="7">
        <f>Base!N224</f>
        <v>0.0</v>
      </c>
      <c r="S253" s="7">
        <f>Base!T224</f>
        <v>0.0</v>
      </c>
    </row>
    <row r="254" spans="1:19">
      <c r="A254" s="18">
        <f>SUBTOTAL(103,$B$6:B254)</f>
        <v>221</v>
      </c>
      <c r="B254" s="18">
        <v>164</v>
      </c>
      <c r="C254" s="6" t="str">
        <f>Base!H225</f>
        <v>2623876: MEJORAMIENTO DEL SERVICIO DE EDUCACIÓN SUPERIOR TECNOLÓGICA  EN EL INSTITUTO SUPERIOR TECNOLOGICO PUBLICO SANTA ROSA DEL   DISTRITO DE SANTA ROSA DE LA PROVINCIA DE MELGAR DEL DEPARTAMENTO DE PUNO</v>
      </c>
      <c r="D254" s="7">
        <f>Base!I225</f>
        <v>220481.0</v>
      </c>
      <c r="E254" s="7">
        <f>Base!J225</f>
        <v>194522.0</v>
      </c>
      <c r="F254" s="7">
        <f>D254-E254</f>
        <v>25959.0</v>
      </c>
      <c r="G254" s="7">
        <f>Base!L225</f>
        <v>80473.12</v>
      </c>
      <c r="H254" s="7">
        <f>D254-G254</f>
        <v>140007.88</v>
      </c>
      <c r="I254" s="19">
        <f>IF(D254=0,0,G254/D254)</f>
        <v>0.3649889106090774</v>
      </c>
      <c r="J254" s="6" t="str">
        <f>Base!U225</f>
        <v>Expediente técnico</v>
      </c>
      <c r="K254" s="6" t="str">
        <f>Base!R225</f>
        <v>Mayormente comprometido</v>
      </c>
      <c r="L254" s="7">
        <f>Base!V225</f>
        <v>2000000.0</v>
      </c>
      <c r="M254" s="7">
        <f>Base!W225</f>
        <v>5654259.0</v>
      </c>
      <c r="N254" s="7">
        <f>Base!X225</f>
        <v>0</v>
      </c>
      <c r="O254" s="7">
        <f>Base!Y225</f>
        <v>500000.0</v>
      </c>
      <c r="P254" s="6">
        <f>IF(Base!Z225="","",Base!Z225)</f>
        <v/>
      </c>
      <c r="Q254" s="18" t="str">
        <f>Base!S225</f>
        <v>Difícil</v>
      </c>
      <c r="R254" s="7">
        <f>Base!N225</f>
        <v>0.0</v>
      </c>
      <c r="S254" s="7">
        <f>Base!T225</f>
        <v>25959.0</v>
      </c>
    </row>
    <row r="255" spans="1:19">
      <c r="A255" s="18">
        <f>SUBTOTAL(103,$B$6:B255)</f>
        <v>222</v>
      </c>
      <c r="B255" s="18">
        <v>171</v>
      </c>
      <c r="C255" s="6" t="str">
        <f>Base!H226</f>
        <v>2250307: INSTALACION DEL SERVICIO EDUCATIVO ESCOLARIZADO  DEL NIVEL INICIAL DE 3 A 5 AÑOS EN LA I.E.I. PICHACANI QUIRINI, DISTRITO DE MACARI, PROVINCIA MELGAR PUNO</v>
      </c>
      <c r="D255" s="7">
        <f>Base!I226</f>
        <v>0.0</v>
      </c>
      <c r="E255" s="7">
        <f>Base!J226</f>
        <v>0.0</v>
      </c>
      <c r="F255" s="7">
        <f>D255-E255</f>
        <v>0.0</v>
      </c>
      <c r="G255" s="7">
        <f>Base!L226</f>
        <v>0.0</v>
      </c>
      <c r="H255" s="7">
        <f>D255-G255</f>
        <v>0.0</v>
      </c>
      <c r="I255" s="19">
        <f>IF(D255=0,0,G255/D255)</f>
        <v>0</v>
      </c>
      <c r="J255" s="6" t="str">
        <f>Base!U226</f>
        <v>Contrata</v>
      </c>
      <c r="K255" s="6" t="str">
        <f>Base!R226</f>
        <v>Sin PIM</v>
      </c>
      <c r="L255" s="7">
        <f>Base!V226</f>
        <v>100000.0</v>
      </c>
      <c r="M255" s="7">
        <f>Base!W226</f>
        <v>0</v>
      </c>
      <c r="N255" s="7">
        <f>Base!X226</f>
        <v>0</v>
      </c>
      <c r="O255" s="7">
        <f>Base!Y226</f>
        <v>0</v>
      </c>
      <c r="P255" s="6">
        <f>IF(Base!Z226="","",Base!Z226)</f>
        <v/>
      </c>
      <c r="Q255" s="18" t="str">
        <f>Base!S226</f>
        <v>Sin PIM</v>
      </c>
      <c r="R255" s="7">
        <f>Base!N226</f>
        <v>0.0</v>
      </c>
      <c r="S255" s="7">
        <f>Base!T226</f>
        <v>0.0</v>
      </c>
    </row>
    <row r="256" spans="1:19">
      <c r="A256" s="18">
        <f>SUBTOTAL(103,$B$6:B256)</f>
        <v>223</v>
      </c>
      <c r="B256" s="18">
        <v>174</v>
      </c>
      <c r="C256" s="6" t="str">
        <f>Base!H227</f>
        <v>2250460: INSTALACION DEL SERVICIO EDUCATIVO DE LA INSTITUCION EDUCATIVA INICIAL CICLO II NUEVA ESPERANZA, DISTRITO DE MACARI, PROVINCIA DE MELGAR - PUNO</v>
      </c>
      <c r="D256" s="7">
        <f>Base!I227</f>
        <v>0.0</v>
      </c>
      <c r="E256" s="7">
        <f>Base!J227</f>
        <v>0.0</v>
      </c>
      <c r="F256" s="7">
        <f>D256-E256</f>
        <v>0.0</v>
      </c>
      <c r="G256" s="7">
        <f>Base!L227</f>
        <v>0.0</v>
      </c>
      <c r="H256" s="7">
        <f>D256-G256</f>
        <v>0.0</v>
      </c>
      <c r="I256" s="19">
        <f>IF(D256=0,0,G256/D256)</f>
        <v>0</v>
      </c>
      <c r="J256" s="6" t="str">
        <f>Base!U227</f>
        <v>Contrata</v>
      </c>
      <c r="K256" s="6" t="str">
        <f>Base!R227</f>
        <v>Sin PIM</v>
      </c>
      <c r="L256" s="7">
        <f>Base!V227</f>
        <v>60000.0</v>
      </c>
      <c r="M256" s="7">
        <f>Base!W227</f>
        <v>0</v>
      </c>
      <c r="N256" s="7">
        <f>Base!X227</f>
        <v>0</v>
      </c>
      <c r="O256" s="7">
        <f>Base!Y227</f>
        <v>0</v>
      </c>
      <c r="P256" s="6">
        <f>IF(Base!Z227="","",Base!Z227)</f>
        <v/>
      </c>
      <c r="Q256" s="18" t="str">
        <f>Base!S227</f>
        <v>Sin PIM</v>
      </c>
      <c r="R256" s="7">
        <f>Base!N227</f>
        <v>0.0</v>
      </c>
      <c r="S256" s="7">
        <f>Base!T227</f>
        <v>0.0</v>
      </c>
    </row>
    <row r="257" spans="1:19">
      <c r="A257" s="18">
        <f>SUBTOTAL(103,$B$6:B257)</f>
        <v>224</v>
      </c>
      <c r="B257" s="18">
        <v>175</v>
      </c>
      <c r="C257" s="6" t="str">
        <f>Base!H228</f>
        <v>2649797: MEJORAMIENTO DEL SERVICIO DE EDUCACIÓN INICIAL EN I.E. 1450 HUELLITAS DE MONTESSORI MIRAMAR   DISTRITO DE MOHO DE LA PROVINCIA DE MOHO DEL DEPARTAMENTO DE PUNO</v>
      </c>
      <c r="D257" s="7">
        <f>Base!I228</f>
        <v>29298.0</v>
      </c>
      <c r="E257" s="7">
        <f>Base!J228</f>
        <v>29298.0</v>
      </c>
      <c r="F257" s="7">
        <f>D257-E257</f>
        <v>0.0</v>
      </c>
      <c r="G257" s="7">
        <f>Base!L228</f>
        <v>0.0</v>
      </c>
      <c r="H257" s="7">
        <f>D257-G257</f>
        <v>29298.0</v>
      </c>
      <c r="I257" s="19">
        <f>IF(D257=0,0,G257/D257)</f>
        <v>0.0</v>
      </c>
      <c r="J257" s="6" t="str">
        <f>Base!U228</f>
        <v>Expediente técnico</v>
      </c>
      <c r="K257" s="6" t="str">
        <f>Base!R228</f>
        <v>Solo certificado</v>
      </c>
      <c r="L257" s="7">
        <f>Base!V228</f>
        <v>100000.0</v>
      </c>
      <c r="M257" s="7">
        <f>Base!W228</f>
        <v>0</v>
      </c>
      <c r="N257" s="7">
        <f>Base!X228</f>
        <v>0</v>
      </c>
      <c r="O257" s="7">
        <f>Base!Y228</f>
        <v>2483946.0</v>
      </c>
      <c r="P257" s="6">
        <f>IF(Base!Z228="","",Base!Z228)</f>
        <v/>
      </c>
      <c r="Q257" s="18" t="str">
        <f>Base!S228</f>
        <v>Posible</v>
      </c>
      <c r="R257" s="7">
        <f>Base!N228</f>
        <v>29298.0</v>
      </c>
      <c r="S257" s="7">
        <f>Base!T228</f>
        <v>29298.0</v>
      </c>
    </row>
    <row r="258" spans="1:19">
      <c r="A258" s="18">
        <f>SUBTOTAL(103,$B$6:B258)</f>
        <v>225</v>
      </c>
      <c r="B258" s="18">
        <v>176</v>
      </c>
      <c r="C258" s="6" t="str">
        <f>Base!H229</f>
        <v>2649798: MEJORAMIENTO DEL SERVICIO DE EDUCACIÓN INICIAL EN I.E. 056   DISTRITO DE CRUCERO DE LA PROVINCIA DE CARABAYA DEL DEPARTAMENTO DE PUNO</v>
      </c>
      <c r="D258" s="7">
        <f>Base!I229</f>
        <v>80000.0</v>
      </c>
      <c r="E258" s="7">
        <f>Base!J229</f>
        <v>55480.0</v>
      </c>
      <c r="F258" s="7">
        <f>D258-E258</f>
        <v>24520.0</v>
      </c>
      <c r="G258" s="7">
        <f>Base!L229</f>
        <v>33156.76</v>
      </c>
      <c r="H258" s="7">
        <f>D258-G258</f>
        <v>46843.24</v>
      </c>
      <c r="I258" s="19">
        <f>IF(D258=0,0,G258/D258)</f>
        <v>0.41445950000000004</v>
      </c>
      <c r="J258" s="6" t="str">
        <f>Base!U229</f>
        <v>Expediente técnico / Contrata</v>
      </c>
      <c r="K258" s="6" t="str">
        <f>Base!R229</f>
        <v>Mayormente comprometido</v>
      </c>
      <c r="L258" s="7">
        <f>Base!V229</f>
        <v>80000.0</v>
      </c>
      <c r="M258" s="7">
        <f>Base!W229</f>
        <v>0</v>
      </c>
      <c r="N258" s="7">
        <f>Base!X229</f>
        <v>0</v>
      </c>
      <c r="O258" s="7">
        <f>Base!Y229</f>
        <v>500000.0</v>
      </c>
      <c r="P258" s="6">
        <f>IF(Base!Z229="","",Base!Z229)</f>
        <v/>
      </c>
      <c r="Q258" s="18" t="str">
        <f>Base!S229</f>
        <v>Difícil</v>
      </c>
      <c r="R258" s="7">
        <f>Base!N229</f>
        <v>0.0</v>
      </c>
      <c r="S258" s="7">
        <f>Base!T229</f>
        <v>24520.0</v>
      </c>
    </row>
    <row r="259" spans="1:19">
      <c r="A259" s="18">
        <f>SUBTOTAL(103,$B$6:B259)</f>
        <v>226</v>
      </c>
      <c r="B259" s="18">
        <v>177</v>
      </c>
      <c r="C259" s="6" t="str">
        <f>Base!H230</f>
        <v>2649800: MEJORAMIENTO DEL SERVICIO DE EDUCACIÓN INICIAL EN I.E. 1337 VISTA ALEGRE   DISTRITO DE JULIACA DE LA PROVINCIA DE SAN ROMAN DEL DEPARTAMENTO DE PUNO</v>
      </c>
      <c r="D259" s="7">
        <f>Base!I230</f>
        <v>0.0</v>
      </c>
      <c r="E259" s="7">
        <f>Base!J230</f>
        <v>0.0</v>
      </c>
      <c r="F259" s="7">
        <f>D259-E259</f>
        <v>0.0</v>
      </c>
      <c r="G259" s="7">
        <f>Base!L230</f>
        <v>0.0</v>
      </c>
      <c r="H259" s="7">
        <f>D259-G259</f>
        <v>0.0</v>
      </c>
      <c r="I259" s="19">
        <f>IF(D259=0,0,G259/D259)</f>
        <v>0</v>
      </c>
      <c r="J259" s="6" t="str">
        <f>Base!U230</f>
        <v>Contrata</v>
      </c>
      <c r="K259" s="6" t="str">
        <f>Base!R230</f>
        <v>Sin PIM</v>
      </c>
      <c r="L259" s="7">
        <f>Base!V230</f>
        <v>50000.0</v>
      </c>
      <c r="M259" s="7">
        <f>Base!W230</f>
        <v>0</v>
      </c>
      <c r="N259" s="7">
        <f>Base!X230</f>
        <v>0</v>
      </c>
      <c r="O259" s="7">
        <f>Base!Y230</f>
        <v>150000.0</v>
      </c>
      <c r="P259" s="6">
        <f>IF(Base!Z230="","",Base!Z230)</f>
        <v/>
      </c>
      <c r="Q259" s="18" t="str">
        <f>Base!S230</f>
        <v>Sin PIM</v>
      </c>
      <c r="R259" s="7">
        <f>Base!N230</f>
        <v>0.0</v>
      </c>
      <c r="S259" s="7">
        <f>Base!T230</f>
        <v>0.0</v>
      </c>
    </row>
    <row r="260" spans="1:19">
      <c r="A260" s="18">
        <f>SUBTOTAL(103,$B$6:B260)</f>
        <v>227</v>
      </c>
      <c r="B260" s="18">
        <v>178</v>
      </c>
      <c r="C260" s="6" t="str">
        <f>Base!H231</f>
        <v>2649803: MEJORAMIENTO DEL SERVICIO DE EDUCACIÓN INICIAL EN I.E. 72   DISTRITO DE PEDRO VILCA APAZA DE LA PROVINCIA DE SAN ANTONIO DE PUTINA DEL DEPARTAMENTO DE PUNO</v>
      </c>
      <c r="D260" s="7">
        <f>Base!I231</f>
        <v>209495.0</v>
      </c>
      <c r="E260" s="7">
        <f>Base!J231</f>
        <v>209495.0</v>
      </c>
      <c r="F260" s="7">
        <f>D260-E260</f>
        <v>0.0</v>
      </c>
      <c r="G260" s="7">
        <f>Base!L231</f>
        <v>98043.32</v>
      </c>
      <c r="H260" s="7">
        <f>D260-G260</f>
        <v>111451.68</v>
      </c>
      <c r="I260" s="19">
        <f>IF(D260=0,0,G260/D260)</f>
        <v>0.46799837704957165</v>
      </c>
      <c r="J260" s="6" t="str">
        <f>Base!U231</f>
        <v>Expediente técnico</v>
      </c>
      <c r="K260" s="6" t="str">
        <f>Base!R231</f>
        <v>Mayormente comprometido</v>
      </c>
      <c r="L260" s="7">
        <f>Base!V231</f>
        <v>50000.0</v>
      </c>
      <c r="M260" s="7">
        <f>Base!W231</f>
        <v>0</v>
      </c>
      <c r="N260" s="7">
        <f>Base!X231</f>
        <v>0</v>
      </c>
      <c r="O260" s="7">
        <f>Base!Y231</f>
        <v>500000.0</v>
      </c>
      <c r="P260" s="6">
        <f>IF(Base!Z231="","",Base!Z231)</f>
        <v/>
      </c>
      <c r="Q260" s="18" t="str">
        <f>Base!S231</f>
        <v>Difícil</v>
      </c>
      <c r="R260" s="7">
        <f>Base!N231</f>
        <v>38000.0</v>
      </c>
      <c r="S260" s="7">
        <f>Base!T231</f>
        <v>38000.0</v>
      </c>
    </row>
    <row r="261" spans="1:19">
      <c r="A261" s="18">
        <f>SUBTOTAL(103,$B$6:B261)</f>
        <v>228</v>
      </c>
      <c r="B261" s="18">
        <v>179</v>
      </c>
      <c r="C261" s="6" t="str">
        <f>Base!H232</f>
        <v>2649804: MEJORAMIENTO DEL SERVICIO DE EDUCACIÓN INICIAL EN I.E. 50   DISTRITO DE ORURILLO DE LA PROVINCIA DE MELGAR DEL DEPARTAMENTO DE PUNO</v>
      </c>
      <c r="D261" s="7">
        <f>Base!I232</f>
        <v>400000.0</v>
      </c>
      <c r="E261" s="7">
        <f>Base!J232</f>
        <v>0.0</v>
      </c>
      <c r="F261" s="7">
        <f>D261-E261</f>
        <v>400000.0</v>
      </c>
      <c r="G261" s="7">
        <f>Base!L232</f>
        <v>0.0</v>
      </c>
      <c r="H261" s="7">
        <f>D261-G261</f>
        <v>400000.0</v>
      </c>
      <c r="I261" s="19">
        <f>IF(D261=0,0,G261/D261)</f>
        <v>0.0</v>
      </c>
      <c r="J261" s="6" t="str">
        <f>Base!U232</f>
        <v>Contrata</v>
      </c>
      <c r="K261" s="6" t="str">
        <f>Base!R232</f>
        <v>Sin certificar</v>
      </c>
      <c r="L261" s="7">
        <f>Base!V232</f>
        <v>100000.0</v>
      </c>
      <c r="M261" s="7">
        <f>Base!W232</f>
        <v>1246345.0</v>
      </c>
      <c r="N261" s="7">
        <f>Base!X232</f>
        <v>0</v>
      </c>
      <c r="O261" s="7">
        <f>Base!Y232</f>
        <v>464365.0</v>
      </c>
      <c r="P261" s="6">
        <f>IF(Base!Z232="","",Base!Z232)</f>
        <v/>
      </c>
      <c r="Q261" s="18" t="str">
        <f>Base!S232</f>
        <v>Disponible</v>
      </c>
      <c r="R261" s="7">
        <f>Base!N232</f>
        <v>0.0</v>
      </c>
      <c r="S261" s="7">
        <f>Base!T232</f>
        <v>400000.0</v>
      </c>
    </row>
    <row r="262" spans="1:19">
      <c r="A262" s="18">
        <f>SUBTOTAL(103,$B$6:B262)</f>
        <v>229</v>
      </c>
      <c r="B262" s="18">
        <v>182</v>
      </c>
      <c r="C262" s="6" t="str">
        <f>Base!H233</f>
        <v>2649853: MEJORAMIENTO DEL SERVICIO DE EDUCACIÓN INICIAL EN I.E. 1240 NIÑO JESUS   DISTRITO DE VILQUE DE LA PROVINCIA DE PUNO DEL DEPARTAMENTO DE PUNO</v>
      </c>
      <c r="D262" s="7">
        <f>Base!I233</f>
        <v>179528.0</v>
      </c>
      <c r="E262" s="7">
        <f>Base!J233</f>
        <v>178381.0</v>
      </c>
      <c r="F262" s="7">
        <f>D262-E262</f>
        <v>1147.0</v>
      </c>
      <c r="G262" s="7">
        <f>Base!L233</f>
        <v>136766.03</v>
      </c>
      <c r="H262" s="7">
        <f>D262-G262</f>
        <v>42761.97</v>
      </c>
      <c r="I262" s="19">
        <f>IF(D262=0,0,G262/D262)</f>
        <v>0.7618089100307472</v>
      </c>
      <c r="J262" s="6" t="str">
        <f>Base!U233</f>
        <v>Expediente técnico</v>
      </c>
      <c r="K262" s="6" t="str">
        <f>Base!R233</f>
        <v>Mayormente comprometido</v>
      </c>
      <c r="L262" s="7">
        <f>Base!V233</f>
        <v>50000.0</v>
      </c>
      <c r="M262" s="7">
        <f>Base!W233</f>
        <v>0</v>
      </c>
      <c r="N262" s="7">
        <f>Base!X233</f>
        <v>201078.0</v>
      </c>
      <c r="O262" s="7">
        <f>Base!Y233</f>
        <v>201078.0</v>
      </c>
      <c r="P262" s="6">
        <f>IF(Base!Z233="","",Base!Z233)</f>
        <v/>
      </c>
      <c r="Q262" s="18" t="str">
        <f>Base!S233</f>
        <v>Difícil</v>
      </c>
      <c r="R262" s="7">
        <f>Base!N233</f>
        <v>30000.0</v>
      </c>
      <c r="S262" s="7">
        <f>Base!T233</f>
        <v>31147.0</v>
      </c>
    </row>
    <row r="263" spans="1:19">
      <c r="A263" s="18">
        <f>SUBTOTAL(103,$B$6:B263)</f>
        <v>230</v>
      </c>
      <c r="B263" s="18">
        <v>183</v>
      </c>
      <c r="C263" s="6" t="str">
        <f>Base!H234</f>
        <v>2649854: MEJORAMIENTO DEL SERVICIO DE EDUCACIÓN INICIAL EN I.E. 1291 CORAZON DE JESUS   DISTRITO DE ACORA DE LA PROVINCIA DE PUNO DEL DEPARTAMENTO DE PUNO</v>
      </c>
      <c r="D263" s="7">
        <f>Base!I234</f>
        <v>0.0</v>
      </c>
      <c r="E263" s="7">
        <f>Base!J234</f>
        <v>0.0</v>
      </c>
      <c r="F263" s="7">
        <f>D263-E263</f>
        <v>0.0</v>
      </c>
      <c r="G263" s="7">
        <f>Base!L234</f>
        <v>0.0</v>
      </c>
      <c r="H263" s="7">
        <f>D263-G263</f>
        <v>0.0</v>
      </c>
      <c r="I263" s="19">
        <f>IF(D263=0,0,G263/D263)</f>
        <v>0</v>
      </c>
      <c r="J263" s="6" t="str">
        <f>Base!U234</f>
        <v>Contrata</v>
      </c>
      <c r="K263" s="6" t="str">
        <f>Base!R234</f>
        <v>Sin PIM</v>
      </c>
      <c r="L263" s="7">
        <f>Base!V234</f>
        <v>100000.0</v>
      </c>
      <c r="M263" s="7">
        <f>Base!W234</f>
        <v>1243456.0</v>
      </c>
      <c r="N263" s="7">
        <f>Base!X234</f>
        <v>0</v>
      </c>
      <c r="O263" s="7">
        <f>Base!Y234</f>
        <v>575449.0</v>
      </c>
      <c r="P263" s="6">
        <f>IF(Base!Z234="","",Base!Z234)</f>
        <v/>
      </c>
      <c r="Q263" s="18" t="str">
        <f>Base!S234</f>
        <v>Sin PIM</v>
      </c>
      <c r="R263" s="7">
        <f>Base!N234</f>
        <v>0.0</v>
      </c>
      <c r="S263" s="7">
        <f>Base!T234</f>
        <v>0.0</v>
      </c>
    </row>
    <row r="264" spans="1:19">
      <c r="A264" s="18">
        <f>SUBTOTAL(103,$B$6:B264)</f>
        <v>231</v>
      </c>
      <c r="B264" s="18">
        <v>184</v>
      </c>
      <c r="C264" s="6" t="str">
        <f>Base!H235</f>
        <v>2649855: MEJORAMIENTO DEL SERVICIO DE EDUCACIÓN INICIAL EN I.E. 258   DISTRITO DE ACORA DE LA PROVINCIA DE PUNO DEL DEPARTAMENTO DE PUNO</v>
      </c>
      <c r="D264" s="7">
        <f>Base!I235</f>
        <v>33556.0</v>
      </c>
      <c r="E264" s="7">
        <f>Base!J235</f>
        <v>33489.5</v>
      </c>
      <c r="F264" s="7">
        <f>D264-E264</f>
        <v>66.5</v>
      </c>
      <c r="G264" s="7">
        <f>Base!L235</f>
        <v>28428.440000000002</v>
      </c>
      <c r="H264" s="7">
        <f>D264-G264</f>
        <v>5127.559999999998</v>
      </c>
      <c r="I264" s="19">
        <f>IF(D264=0,0,G264/D264)</f>
        <v>0.847193944451067</v>
      </c>
      <c r="J264" s="6" t="str">
        <f>Base!U235</f>
        <v>Expediente técnico</v>
      </c>
      <c r="K264" s="6" t="str">
        <f>Base!R235</f>
        <v>Mayormente comprometido</v>
      </c>
      <c r="L264" s="7">
        <f>Base!V235</f>
        <v>100000.0</v>
      </c>
      <c r="M264" s="7">
        <f>Base!W235</f>
        <v>0</v>
      </c>
      <c r="N264" s="7">
        <f>Base!X235</f>
        <v>0</v>
      </c>
      <c r="O264" s="7">
        <f>Base!Y235</f>
        <v>849356.0</v>
      </c>
      <c r="P264" s="6">
        <f>IF(Base!Z235="","",Base!Z235)</f>
        <v/>
      </c>
      <c r="Q264" s="18" t="str">
        <f>Base!S235</f>
        <v>Difícil</v>
      </c>
      <c r="R264" s="7">
        <f>Base!N235</f>
        <v>0.0</v>
      </c>
      <c r="S264" s="7">
        <f>Base!T235</f>
        <v>66.5</v>
      </c>
    </row>
    <row r="265" spans="1:19">
      <c r="A265" s="18">
        <f>SUBTOTAL(103,$B$6:B265)</f>
        <v>232</v>
      </c>
      <c r="B265" s="18">
        <v>185</v>
      </c>
      <c r="C265" s="6" t="str">
        <f>Base!H236</f>
        <v>2649856: MEJORAMIENTO DEL SERVICIO DE EDUCACIÓN INICIAL EN I.E. 312  DE CENTRO POBLADO JAYU JAYU DISTRITO DE ACORA DE LA PROVINCIA DE PUNO DEL DEPARTAMENTO DE PUNO</v>
      </c>
      <c r="D265" s="7">
        <f>Base!I236</f>
        <v>0.0</v>
      </c>
      <c r="E265" s="7">
        <f>Base!J236</f>
        <v>0.0</v>
      </c>
      <c r="F265" s="7">
        <f>D265-E265</f>
        <v>0.0</v>
      </c>
      <c r="G265" s="7">
        <f>Base!L236</f>
        <v>0.0</v>
      </c>
      <c r="H265" s="7">
        <f>D265-G265</f>
        <v>0.0</v>
      </c>
      <c r="I265" s="19">
        <f>IF(D265=0,0,G265/D265)</f>
        <v>0</v>
      </c>
      <c r="J265" s="6" t="str">
        <f>Base!U236</f>
        <v>Contrata</v>
      </c>
      <c r="K265" s="6" t="str">
        <f>Base!R236</f>
        <v>Sin PIM</v>
      </c>
      <c r="L265" s="7">
        <f>Base!V236</f>
        <v>100000.0</v>
      </c>
      <c r="M265" s="7">
        <f>Base!W236</f>
        <v>1254345.0</v>
      </c>
      <c r="N265" s="7">
        <f>Base!X236</f>
        <v>0</v>
      </c>
      <c r="O265" s="7">
        <f>Base!Y236</f>
        <v>1672886.0</v>
      </c>
      <c r="P265" s="6">
        <f>IF(Base!Z236="","",Base!Z236)</f>
        <v/>
      </c>
      <c r="Q265" s="18" t="str">
        <f>Base!S236</f>
        <v>Sin PIM</v>
      </c>
      <c r="R265" s="7">
        <f>Base!N236</f>
        <v>0.0</v>
      </c>
      <c r="S265" s="7">
        <f>Base!T236</f>
        <v>0.0</v>
      </c>
    </row>
    <row r="266" spans="1:19">
      <c r="A266" s="18">
        <f>SUBTOTAL(103,$B$6:B266)</f>
        <v>233</v>
      </c>
      <c r="B266" s="18">
        <v>186</v>
      </c>
      <c r="C266" s="6" t="str">
        <f>Base!H237</f>
        <v>2649857: MEJORAMIENTO DEL SERVICIO DE EDUCACIÓN INICIAL EN I.E. SAN JERONIMO   DISTRITO DE ATUNCOLLA DE LA PROVINCIA DE PUNO DEL DEPARTAMENTO DE PUNO</v>
      </c>
      <c r="D266" s="7">
        <f>Base!I237</f>
        <v>0.0</v>
      </c>
      <c r="E266" s="7">
        <f>Base!J237</f>
        <v>0.0</v>
      </c>
      <c r="F266" s="7">
        <f>D266-E266</f>
        <v>0.0</v>
      </c>
      <c r="G266" s="7">
        <f>Base!L237</f>
        <v>0.0</v>
      </c>
      <c r="H266" s="7">
        <f>D266-G266</f>
        <v>0.0</v>
      </c>
      <c r="I266" s="19">
        <f>IF(D266=0,0,G266/D266)</f>
        <v>0</v>
      </c>
      <c r="J266" s="6" t="str">
        <f>Base!U237</f>
        <v>Contrata</v>
      </c>
      <c r="K266" s="6" t="str">
        <f>Base!R237</f>
        <v>Sin PIM</v>
      </c>
      <c r="L266" s="7">
        <f>Base!V237</f>
        <v>50000.0</v>
      </c>
      <c r="M266" s="7">
        <f>Base!W237</f>
        <v>0</v>
      </c>
      <c r="N266" s="7">
        <f>Base!X237</f>
        <v>0</v>
      </c>
      <c r="O266" s="7">
        <f>Base!Y237</f>
        <v>1077897.0</v>
      </c>
      <c r="P266" s="6">
        <f>IF(Base!Z237="","",Base!Z237)</f>
        <v/>
      </c>
      <c r="Q266" s="18" t="str">
        <f>Base!S237</f>
        <v>Sin PIM</v>
      </c>
      <c r="R266" s="7">
        <f>Base!N237</f>
        <v>0.0</v>
      </c>
      <c r="S266" s="7">
        <f>Base!T237</f>
        <v>0.0</v>
      </c>
    </row>
    <row r="267" spans="1:19">
      <c r="A267" s="18">
        <f>SUBTOTAL(103,$B$6:B267)</f>
        <v>234</v>
      </c>
      <c r="B267" s="18">
        <v>189</v>
      </c>
      <c r="C267" s="6" t="str">
        <f>Base!H238</f>
        <v>2651086: MEJORAMIENTO DEL SERVICIO DE EDUCACIÓN INICIAL EN I.E. 1226   DISTRITO DE MAÑAZO DE LA PROVINCIA DE PUNO DEL DEPARTAMENTO DE PUNO</v>
      </c>
      <c r="D267" s="7">
        <f>Base!I238</f>
        <v>106670.0</v>
      </c>
      <c r="E267" s="7">
        <f>Base!J238</f>
        <v>106670.0</v>
      </c>
      <c r="F267" s="7">
        <f>D267-E267</f>
        <v>0.0</v>
      </c>
      <c r="G267" s="7">
        <f>Base!L238</f>
        <v>96622.29000000001</v>
      </c>
      <c r="H267" s="7">
        <f>D267-G267</f>
        <v>10047.709999999992</v>
      </c>
      <c r="I267" s="19">
        <f>IF(D267=0,0,G267/D267)</f>
        <v>0.9058056623230525</v>
      </c>
      <c r="J267" s="6" t="str">
        <f>Base!U238</f>
        <v>Expediente técnico</v>
      </c>
      <c r="K267" s="6" t="str">
        <f>Base!R238</f>
        <v>Ejecutado</v>
      </c>
      <c r="L267" s="7">
        <f>Base!V238</f>
        <v>50000.0</v>
      </c>
      <c r="M267" s="7">
        <f>Base!W238</f>
        <v>248751.0</v>
      </c>
      <c r="N267" s="7">
        <f>Base!X238</f>
        <v>290379.0</v>
      </c>
      <c r="O267" s="7">
        <f>Base!Y238</f>
        <v>0</v>
      </c>
      <c r="P267" s="6">
        <f>IF(Base!Z238="","",Base!Z238)</f>
        <v/>
      </c>
      <c r="Q267" s="18" t="str">
        <f>Base!S238</f>
        <v>No usar</v>
      </c>
      <c r="R267" s="7">
        <f>Base!N238</f>
        <v>0.0</v>
      </c>
      <c r="S267" s="7">
        <f>Base!T238</f>
        <v>0.0</v>
      </c>
    </row>
    <row r="268" spans="1:19">
      <c r="A268" s="18">
        <f>SUBTOTAL(103,$B$6:B268)</f>
        <v>235</v>
      </c>
      <c r="B268" s="18">
        <v>190</v>
      </c>
      <c r="C268" s="6" t="str">
        <f>Base!H239</f>
        <v>2652121: MEJORAMIENTO DEL SERVICIO DE EDUCACIÓN INICIAL EN I.E. 1205   DISTRITO DE PUNO DE LA PROVINCIA DE PUNO DEL DEPARTAMENTO DE PUNO</v>
      </c>
      <c r="D268" s="7">
        <f>Base!I239</f>
        <v>306148.0</v>
      </c>
      <c r="E268" s="7">
        <f>Base!J239</f>
        <v>306148.0</v>
      </c>
      <c r="F268" s="7">
        <f>D268-E268</f>
        <v>0.0</v>
      </c>
      <c r="G268" s="7">
        <f>Base!L239</f>
        <v>268544.1</v>
      </c>
      <c r="H268" s="7">
        <f>D268-G268</f>
        <v>37603.90000000002</v>
      </c>
      <c r="I268" s="19">
        <f>IF(D268=0,0,G268/D268)</f>
        <v>0.877170845473431</v>
      </c>
      <c r="J268" s="6" t="str">
        <f>Base!U239</f>
        <v>Expediente técnico</v>
      </c>
      <c r="K268" s="6" t="str">
        <f>Base!R239</f>
        <v>Mayormente comprometido</v>
      </c>
      <c r="L268" s="7">
        <f>Base!V239</f>
        <v>50000.0</v>
      </c>
      <c r="M268" s="7">
        <f>Base!W239</f>
        <v>0</v>
      </c>
      <c r="N268" s="7">
        <f>Base!X239</f>
        <v>0</v>
      </c>
      <c r="O268" s="7">
        <f>Base!Y239</f>
        <v>1982942.0</v>
      </c>
      <c r="P268" s="6">
        <f>IF(Base!Z239="","",Base!Z239)</f>
        <v/>
      </c>
      <c r="Q268" s="18" t="str">
        <f>Base!S239</f>
        <v>Difícil</v>
      </c>
      <c r="R268" s="7">
        <f>Base!N239</f>
        <v>0.0</v>
      </c>
      <c r="S268" s="7">
        <f>Base!T239</f>
        <v>0.0</v>
      </c>
    </row>
    <row r="269" spans="1:19">
      <c r="A269" s="18">
        <f>SUBTOTAL(103,$B$6:B269)</f>
        <v>236</v>
      </c>
      <c r="B269" s="18">
        <v>192</v>
      </c>
      <c r="C269" s="6" t="str">
        <f>Base!H240</f>
        <v>2659575: MEJORAMIENTO DEL SERVICIO DE EDUCACIÓN INICIAL EN I.E. 1223 DIVINO NIÑO JESUS   DISTRITO DE COATA DE LA PROVINCIA DE PUNO DEL DEPARTAMENTO DE PUNO</v>
      </c>
      <c r="D269" s="7">
        <f>Base!I240</f>
        <v>159574.0</v>
      </c>
      <c r="E269" s="7">
        <f>Base!J240</f>
        <v>125168.92</v>
      </c>
      <c r="F269" s="7">
        <f>D269-E269</f>
        <v>34405.08</v>
      </c>
      <c r="G269" s="7">
        <f>Base!L240</f>
        <v>80461.59</v>
      </c>
      <c r="H269" s="7">
        <f>D269-G269</f>
        <v>79112.41</v>
      </c>
      <c r="I269" s="19">
        <f>IF(D269=0,0,G269/D269)</f>
        <v>0.5042274430671663</v>
      </c>
      <c r="J269" s="6" t="str">
        <f>Base!U240</f>
        <v>Expediente técnico</v>
      </c>
      <c r="K269" s="6" t="str">
        <f>Base!R240</f>
        <v>Mayormente comprometido</v>
      </c>
      <c r="L269" s="7">
        <f>Base!V240</f>
        <v>50000.0</v>
      </c>
      <c r="M269" s="7">
        <f>Base!W240</f>
        <v>245742.0</v>
      </c>
      <c r="N269" s="7">
        <f>Base!X240</f>
        <v>1095319.0</v>
      </c>
      <c r="O269" s="7">
        <f>Base!Y240</f>
        <v>0</v>
      </c>
      <c r="P269" s="6">
        <f>IF(Base!Z240="","",Base!Z240)</f>
        <v/>
      </c>
      <c r="Q269" s="18" t="str">
        <f>Base!S240</f>
        <v>Difícil</v>
      </c>
      <c r="R269" s="7">
        <f>Base!N240</f>
        <v>0.0</v>
      </c>
      <c r="S269" s="7">
        <f>Base!T240</f>
        <v>34405.08</v>
      </c>
    </row>
    <row r="270" spans="1:19">
      <c r="A270" s="18">
        <f>SUBTOTAL(103,$B$6:B270)</f>
        <v>237</v>
      </c>
      <c r="B270" s="18">
        <v>194</v>
      </c>
      <c r="C270" s="6" t="str">
        <f>Base!H241</f>
        <v>2673614: MEJORAMIENTO DEL SERVICIO DE EDUCACIÓN INICIAL EN I.E. HUARISANI RENJACHI  DE CENTRO POBLADO HUARISANI DISTRITO DE HUANCANE DE LA PROVINCIA DE HUANCANE DEL DEPARTAMENTO DE PUNO</v>
      </c>
      <c r="D270" s="7">
        <f>Base!I241</f>
        <v>50467.0</v>
      </c>
      <c r="E270" s="7">
        <f>Base!J241</f>
        <v>50466.81</v>
      </c>
      <c r="F270" s="7">
        <f>D270-E270</f>
        <v>0.1900000000023283</v>
      </c>
      <c r="G270" s="7">
        <f>Base!L241</f>
        <v>48902.8</v>
      </c>
      <c r="H270" s="7">
        <f>D270-G270</f>
        <v>1564.199999999997</v>
      </c>
      <c r="I270" s="19">
        <f>IF(D270=0,0,G270/D270)</f>
        <v>0.9690054887352132</v>
      </c>
      <c r="J270" s="6" t="str">
        <f>Base!U241</f>
        <v>Expediente técnico</v>
      </c>
      <c r="K270" s="6" t="str">
        <f>Base!R241</f>
        <v>Ejecutado</v>
      </c>
      <c r="L270" s="7">
        <f>Base!V241</f>
        <v>100000.0</v>
      </c>
      <c r="M270" s="7">
        <f>Base!W241</f>
        <v>0</v>
      </c>
      <c r="N270" s="7">
        <f>Base!X241</f>
        <v>0</v>
      </c>
      <c r="O270" s="7">
        <f>Base!Y241</f>
        <v>1272222.0</v>
      </c>
      <c r="P270" s="6">
        <f>IF(Base!Z241="","",Base!Z241)</f>
        <v/>
      </c>
      <c r="Q270" s="18" t="str">
        <f>Base!S241</f>
        <v>No usar</v>
      </c>
      <c r="R270" s="7">
        <f>Base!N241</f>
        <v>0.0</v>
      </c>
      <c r="S270" s="7">
        <f>Base!T241</f>
        <v>0.0</v>
      </c>
    </row>
    <row r="271" spans="1:19">
      <c r="A271" s="18">
        <f>SUBTOTAL(103,$B$6:B271)</f>
        <v>238</v>
      </c>
      <c r="B271" s="18">
        <v>243</v>
      </c>
      <c r="C271" s="6" t="str">
        <f>Base!H242</f>
        <v>2506927: MEJORAMIENTO DE LOS SERVICIOS DE EDUCACIÓN SUPERIOR  TECNOLÓGICA DEL IESTP JOSE ANTONIO ENCINAS,  DISTRITO DE PUNO - PROVINCIA DE PUNO - DEPARTAMENTO DE PUNO</v>
      </c>
      <c r="D271" s="7">
        <f>Base!I242</f>
        <v>0.0</v>
      </c>
      <c r="E271" s="7">
        <f>Base!J242</f>
        <v>0.0</v>
      </c>
      <c r="F271" s="7">
        <f>D271-E271</f>
        <v>0.0</v>
      </c>
      <c r="G271" s="7">
        <f>Base!L242</f>
        <v>0.0</v>
      </c>
      <c r="H271" s="7">
        <f>D271-G271</f>
        <v>0.0</v>
      </c>
      <c r="I271" s="19">
        <f>IF(D271=0,0,G271/D271)</f>
        <v>0</v>
      </c>
      <c r="J271" s="6" t="str">
        <f>Base!U242</f>
        <v>Contrata</v>
      </c>
      <c r="K271" s="6" t="str">
        <f>Base!R242</f>
        <v>Sin PIM</v>
      </c>
      <c r="L271" s="7">
        <f>Base!V242</f>
        <v>1000000.0</v>
      </c>
      <c r="M271" s="7">
        <f>Base!W242</f>
        <v>0</v>
      </c>
      <c r="N271" s="7">
        <f>Base!X242</f>
        <v>0</v>
      </c>
      <c r="O271" s="7">
        <f>Base!Y242</f>
        <v>0</v>
      </c>
      <c r="P271" s="6">
        <f>IF(Base!Z242="","",Base!Z242)</f>
        <v/>
      </c>
      <c r="Q271" s="18" t="str">
        <f>Base!S242</f>
        <v>Sin PIM</v>
      </c>
      <c r="R271" s="7">
        <f>Base!N242</f>
        <v>0.0</v>
      </c>
      <c r="S271" s="7">
        <f>Base!T242</f>
        <v>0.0</v>
      </c>
    </row>
    <row r="272" spans="1:19">
      <c r="A272" s="18">
        <f>SUBTOTAL(103,$B$6:B272)</f>
        <v>239</v>
      </c>
      <c r="B272" s="18">
        <v>525</v>
      </c>
      <c r="C272" s="6" t="str">
        <f>Base!H243</f>
        <v>2650473: CONSTRUCCION DE AULA DE EDUCACION SECUNDARIA, LABORATORIO Y/O TALLER, CERCO Y/O PORTADA Y SERVICIOS HIGIENICOS Y/O VESTIDORES; ADEMAS DE OTROS ACTIVOS EN EL(LA) I.E. AGROINDUSTRIAL DISTRITO DE PUTINA, PROVINCIA SAN ANTONIO DE PUTINA, DEPARTAMENTO</v>
      </c>
      <c r="D272" s="7">
        <f>Base!I243</f>
        <v>2394005.0</v>
      </c>
      <c r="E272" s="7">
        <f>Base!J243</f>
        <v>0.0</v>
      </c>
      <c r="F272" s="7">
        <f>D272-E272</f>
        <v>2394005.0</v>
      </c>
      <c r="G272" s="7">
        <f>Base!L243</f>
        <v>0.0</v>
      </c>
      <c r="H272" s="7">
        <f>D272-G272</f>
        <v>2394005.0</v>
      </c>
      <c r="I272" s="19">
        <f>IF(D272=0,0,G272/D272)</f>
        <v>0.0</v>
      </c>
      <c r="J272" s="6" t="str">
        <f>Base!U243</f>
        <v>Contrata</v>
      </c>
      <c r="K272" s="6" t="str">
        <f>Base!R243</f>
        <v>Sin certificar</v>
      </c>
      <c r="L272" s="7" t="str">
        <f>Base!V243</f>
        <v>No registrado en cartera</v>
      </c>
      <c r="M272" s="7" t="str">
        <f>Base!W243</f>
        <v>No registrado en cartera</v>
      </c>
      <c r="N272" s="7" t="str">
        <f>Base!X243</f>
        <v>No registrado en cartera</v>
      </c>
      <c r="O272" s="7" t="str">
        <f>Base!Y243</f>
        <v>No registrado en cartera</v>
      </c>
      <c r="P272" s="6">
        <f>IF(Base!Z243="","",Base!Z243)</f>
        <v/>
      </c>
      <c r="Q272" s="18" t="str">
        <f>Base!S243</f>
        <v>Disponible</v>
      </c>
      <c r="R272" s="7">
        <f>Base!N243</f>
        <v>0.0</v>
      </c>
      <c r="S272" s="7">
        <f>Base!T243</f>
        <v>2394005.0</v>
      </c>
    </row>
    <row r="273" spans="1:19">
      <c r="A273" s="15" t="s">
        <v>163</v>
      </c>
      <c r="B273" s="15"/>
      <c r="C273" s="15"/>
      <c r="D273" s="16">
        <f>SUM(D274:D310)</f>
        <v>11019969.0</v>
      </c>
      <c r="E273" s="16">
        <f>SUM(E274:E310)</f>
        <v>9653225.91</v>
      </c>
      <c r="F273" s="16">
        <f>D273-E273</f>
        <v>1366743.0899999999</v>
      </c>
      <c r="G273" s="16">
        <f>SUM(G274:G310)</f>
        <v>5481601.109999999</v>
      </c>
      <c r="H273" s="16">
        <f>D273-G273</f>
        <v>5538367.890000001</v>
      </c>
      <c r="I273" s="17">
        <f>IF(D273=0,0,G273/D273)</f>
        <v>0.4974243675277126</v>
      </c>
      <c r="J273" s="15"/>
      <c r="K273" s="15"/>
      <c r="L273" s="15"/>
      <c r="M273" s="15"/>
      <c r="N273" s="15"/>
      <c r="O273" s="15"/>
      <c r="P273" s="15"/>
      <c r="Q273" s="15"/>
      <c r="R273" s="16">
        <f>SUM(R274:R310)</f>
        <v>1813486.6</v>
      </c>
      <c r="S273" s="16">
        <f>SUM(S274:S310)</f>
        <v>3178606.9300000006</v>
      </c>
    </row>
    <row r="274" spans="1:19">
      <c r="A274" s="18">
        <f>SUBTOTAL(103,$B$6:B274)</f>
        <v>240</v>
      </c>
      <c r="B274" s="18">
        <v>91</v>
      </c>
      <c r="C274" s="6" t="str">
        <f>Base!H244</f>
        <v>2159836: MEJORAMIENTO Y CREACION DEL CAMINO VECINAL SACO-HUANACURI, DISTRITO DE COASA - CARABAYA - PUNO</v>
      </c>
      <c r="D274" s="7">
        <f>Base!I244</f>
        <v>350198.0</v>
      </c>
      <c r="E274" s="7">
        <f>Base!J244</f>
        <v>287570.0</v>
      </c>
      <c r="F274" s="7">
        <f>D274-E274</f>
        <v>62628.0</v>
      </c>
      <c r="G274" s="7">
        <f>Base!L244</f>
        <v>252136.73</v>
      </c>
      <c r="H274" s="7">
        <f>D274-G274</f>
        <v>98061.26999999999</v>
      </c>
      <c r="I274" s="19">
        <f>IF(D274=0,0,G274/D274)</f>
        <v>0.7199833522749988</v>
      </c>
      <c r="J274" s="6" t="str">
        <f>Base!U244</f>
        <v>Expediente técnico</v>
      </c>
      <c r="K274" s="6" t="str">
        <f>Base!R244</f>
        <v>Mayormente comprometido</v>
      </c>
      <c r="L274" s="7">
        <f>Base!V244</f>
        <v>100000.0</v>
      </c>
      <c r="M274" s="7">
        <f>Base!W244</f>
        <v>0</v>
      </c>
      <c r="N274" s="7">
        <f>Base!X244</f>
        <v>0</v>
      </c>
      <c r="O274" s="7">
        <f>Base!Y244</f>
        <v>0</v>
      </c>
      <c r="P274" s="6">
        <f>IF(Base!Z244="","",Base!Z244)</f>
        <v/>
      </c>
      <c r="Q274" s="18" t="str">
        <f>Base!S244</f>
        <v>Difícil</v>
      </c>
      <c r="R274" s="7">
        <f>Base!N244</f>
        <v>0.0</v>
      </c>
      <c r="S274" s="7">
        <f>Base!T244</f>
        <v>62628.0</v>
      </c>
    </row>
    <row r="275" spans="1:19">
      <c r="A275" s="18">
        <f>SUBTOTAL(103,$B$6:B275)</f>
        <v>241</v>
      </c>
      <c r="B275" s="18">
        <v>93</v>
      </c>
      <c r="C275" s="6" t="str">
        <f>Base!H245</f>
        <v>2185111: MEJORAMIENTO DE LA CARRETERA (PU 112) PUTINA - MUÑANI, DISTRITOS DE PUTINA Y MUÑANI, PROVINCIAS DE SAN ANTONIO DE PUTINA Y AZÁNGARO - PUNO</v>
      </c>
      <c r="D275" s="7">
        <f>Base!I245</f>
        <v>0.0</v>
      </c>
      <c r="E275" s="7">
        <f>Base!J245</f>
        <v>0.0</v>
      </c>
      <c r="F275" s="7">
        <f>D275-E275</f>
        <v>0.0</v>
      </c>
      <c r="G275" s="7">
        <f>Base!L245</f>
        <v>0.0</v>
      </c>
      <c r="H275" s="7">
        <f>D275-G275</f>
        <v>0.0</v>
      </c>
      <c r="I275" s="19">
        <f>IF(D275=0,0,G275/D275)</f>
        <v>0</v>
      </c>
      <c r="J275" s="6" t="str">
        <f>Base!U245</f>
        <v>Contrata</v>
      </c>
      <c r="K275" s="6" t="str">
        <f>Base!R245</f>
        <v>Sin PIM</v>
      </c>
      <c r="L275" s="7">
        <f>Base!V245</f>
        <v>100000.0</v>
      </c>
      <c r="M275" s="7">
        <f>Base!W245</f>
        <v>0</v>
      </c>
      <c r="N275" s="7">
        <f>Base!X245</f>
        <v>0</v>
      </c>
      <c r="O275" s="7">
        <f>Base!Y245</f>
        <v>0</v>
      </c>
      <c r="P275" s="6">
        <f>IF(Base!Z245="","",Base!Z245)</f>
        <v/>
      </c>
      <c r="Q275" s="18" t="str">
        <f>Base!S245</f>
        <v>Sin PIM</v>
      </c>
      <c r="R275" s="7">
        <f>Base!N245</f>
        <v>0.0</v>
      </c>
      <c r="S275" s="7">
        <f>Base!T245</f>
        <v>0.0</v>
      </c>
    </row>
    <row r="276" spans="1:19">
      <c r="A276" s="18">
        <f>SUBTOTAL(103,$B$6:B276)</f>
        <v>242</v>
      </c>
      <c r="B276" s="18">
        <v>102</v>
      </c>
      <c r="C276" s="6" t="str">
        <f>Base!H246</f>
        <v>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v>
      </c>
      <c r="D276" s="7">
        <f>Base!I246</f>
        <v>0.0</v>
      </c>
      <c r="E276" s="7">
        <f>Base!J246</f>
        <v>0.0</v>
      </c>
      <c r="F276" s="7">
        <f>D276-E276</f>
        <v>0.0</v>
      </c>
      <c r="G276" s="7">
        <f>Base!L246</f>
        <v>0.0</v>
      </c>
      <c r="H276" s="7">
        <f>D276-G276</f>
        <v>0.0</v>
      </c>
      <c r="I276" s="19">
        <f>IF(D276=0,0,G276/D276)</f>
        <v>0</v>
      </c>
      <c r="J276" s="6" t="str">
        <f>Base!U246</f>
        <v>Contrata</v>
      </c>
      <c r="K276" s="6" t="str">
        <f>Base!R246</f>
        <v>Sin PIM</v>
      </c>
      <c r="L276" s="7" t="str">
        <f>Base!V246</f>
        <v>No registrado en cartera</v>
      </c>
      <c r="M276" s="7" t="str">
        <f>Base!W246</f>
        <v>No registrado en cartera</v>
      </c>
      <c r="N276" s="7" t="str">
        <f>Base!X246</f>
        <v>No registrado en cartera</v>
      </c>
      <c r="O276" s="7" t="str">
        <f>Base!Y246</f>
        <v>No registrado en cartera</v>
      </c>
      <c r="P276" s="6">
        <f>IF(Base!Z246="","",Base!Z246)</f>
        <v/>
      </c>
      <c r="Q276" s="18" t="str">
        <f>Base!S246</f>
        <v>Sin PIM</v>
      </c>
      <c r="R276" s="7">
        <f>Base!N246</f>
        <v>0.0</v>
      </c>
      <c r="S276" s="7">
        <f>Base!T246</f>
        <v>0.0</v>
      </c>
    </row>
    <row r="277" spans="1:19">
      <c r="A277" s="18">
        <f>SUBTOTAL(103,$B$6:B277)</f>
        <v>243</v>
      </c>
      <c r="B277" s="18">
        <v>100</v>
      </c>
      <c r="C277" s="6" t="str">
        <f>Base!H247</f>
        <v>2316291: MEJORAMIENTO Y AMPLIACIÓN DEL CIRCUITO VIAL ECO TURÍSTICO, CAPACHICA - SIALE - CCOTOS - PARAMIS, DISTRITOS DE CAPACHICA,  AMANTANI, PROVINCIA DE PUNO - PUNO</v>
      </c>
      <c r="D277" s="7">
        <f>Base!I247</f>
        <v>0.0</v>
      </c>
      <c r="E277" s="7">
        <f>Base!J247</f>
        <v>0.0</v>
      </c>
      <c r="F277" s="7">
        <f>D277-E277</f>
        <v>0.0</v>
      </c>
      <c r="G277" s="7">
        <f>Base!L247</f>
        <v>0.0</v>
      </c>
      <c r="H277" s="7">
        <f>D277-G277</f>
        <v>0.0</v>
      </c>
      <c r="I277" s="19">
        <f>IF(D277=0,0,G277/D277)</f>
        <v>0</v>
      </c>
      <c r="J277" s="6" t="str">
        <f>Base!U247</f>
        <v>Contrata / Administración directa</v>
      </c>
      <c r="K277" s="6" t="str">
        <f>Base!R247</f>
        <v>Sin PIM</v>
      </c>
      <c r="L277" s="7">
        <f>Base!V247</f>
        <v>7946662.0</v>
      </c>
      <c r="M277" s="7">
        <f>Base!W247</f>
        <v>0</v>
      </c>
      <c r="N277" s="7">
        <f>Base!X247</f>
        <v>0</v>
      </c>
      <c r="O277" s="7">
        <f>Base!Y247</f>
        <v>0</v>
      </c>
      <c r="P277" s="6">
        <f>IF(Base!Z247="","",Base!Z247)</f>
        <v/>
      </c>
      <c r="Q277" s="18" t="str">
        <f>Base!S247</f>
        <v>Sin PIM</v>
      </c>
      <c r="R277" s="7">
        <f>Base!N247</f>
        <v>0.0</v>
      </c>
      <c r="S277" s="7">
        <f>Base!T247</f>
        <v>0.0</v>
      </c>
    </row>
    <row r="278" spans="1:19">
      <c r="A278" s="18">
        <f>SUBTOTAL(103,$B$6:B278)</f>
        <v>244</v>
      </c>
      <c r="B278" s="18">
        <v>111</v>
      </c>
      <c r="C278" s="6" t="str">
        <f>Base!H248</f>
        <v>2470024: MEJORAMIENTO DEL SERVICIO DE TRANSITABILIDAD VEHICULAR A TRAVES DE PUENTES CARROZABLES EN LAS PROVINCIAS DE CARABAYA Y SANDIA DEL  DEPARTAMENTO DE PUNO</v>
      </c>
      <c r="D278" s="7">
        <f>Base!I248</f>
        <v>0.0</v>
      </c>
      <c r="E278" s="7">
        <f>Base!J248</f>
        <v>0.0</v>
      </c>
      <c r="F278" s="7">
        <f>D278-E278</f>
        <v>0.0</v>
      </c>
      <c r="G278" s="7">
        <f>Base!L248</f>
        <v>0.0</v>
      </c>
      <c r="H278" s="7">
        <f>D278-G278</f>
        <v>0.0</v>
      </c>
      <c r="I278" s="19">
        <f>IF(D278=0,0,G278/D278)</f>
        <v>0</v>
      </c>
      <c r="J278" s="6" t="str">
        <f>Base!U248</f>
        <v>Contrata / Expediente técnico</v>
      </c>
      <c r="K278" s="6" t="str">
        <f>Base!R248</f>
        <v>Sin PIM</v>
      </c>
      <c r="L278" s="7">
        <f>Base!V248</f>
        <v>2800000.0</v>
      </c>
      <c r="M278" s="7">
        <f>Base!W248</f>
        <v>0</v>
      </c>
      <c r="N278" s="7">
        <f>Base!X248</f>
        <v>0</v>
      </c>
      <c r="O278" s="7">
        <f>Base!Y248</f>
        <v>0</v>
      </c>
      <c r="P278" s="6">
        <f>IF(Base!Z248="","",Base!Z248)</f>
        <v/>
      </c>
      <c r="Q278" s="18" t="str">
        <f>Base!S248</f>
        <v>Sin PIM</v>
      </c>
      <c r="R278" s="7">
        <f>Base!N248</f>
        <v>0.0</v>
      </c>
      <c r="S278" s="7">
        <f>Base!T248</f>
        <v>0.0</v>
      </c>
    </row>
    <row r="279" spans="1:19">
      <c r="A279" s="18">
        <f>SUBTOTAL(103,$B$6:B279)</f>
        <v>245</v>
      </c>
      <c r="B279" s="18">
        <v>115</v>
      </c>
      <c r="C279" s="6" t="str">
        <f>Base!H249</f>
        <v>2585398: CREACION DEL SERVICIO DE TRANSITABILIDAD VIAL INTERURBANA EN EL PUENTE CARROZABLE CAMPUCO ENTRE EL DISTRITO SANTIAGO DE PUPUJA Y ARAPA DEL   DISTRITO DE SANTIAGO DE PUPUJA DE LA PROVINCIA DE AZANGARO DEL DEPARTAMENTO DE PUNO</v>
      </c>
      <c r="D279" s="7">
        <f>Base!I249</f>
        <v>100000.0</v>
      </c>
      <c r="E279" s="7">
        <f>Base!J249</f>
        <v>20000.0</v>
      </c>
      <c r="F279" s="7">
        <f>D279-E279</f>
        <v>80000.0</v>
      </c>
      <c r="G279" s="7">
        <f>Base!L249</f>
        <v>13772.3</v>
      </c>
      <c r="H279" s="7">
        <f>D279-G279</f>
        <v>86227.7</v>
      </c>
      <c r="I279" s="19">
        <f>IF(D279=0,0,G279/D279)</f>
        <v>0.13772299999999998</v>
      </c>
      <c r="J279" s="6" t="str">
        <f>Base!U249</f>
        <v>Expediente técnico</v>
      </c>
      <c r="K279" s="6" t="str">
        <f>Base!R249</f>
        <v>Parcialmente comprometido</v>
      </c>
      <c r="L279" s="7">
        <f>Base!V249</f>
        <v>100000.0</v>
      </c>
      <c r="M279" s="7">
        <f>Base!W249</f>
        <v>452541.0</v>
      </c>
      <c r="N279" s="7">
        <f>Base!X249</f>
        <v>0</v>
      </c>
      <c r="O279" s="7">
        <f>Base!Y249</f>
        <v>1000000.0</v>
      </c>
      <c r="P279" s="6">
        <f>IF(Base!Z249="","",Base!Z249)</f>
        <v/>
      </c>
      <c r="Q279" s="18" t="str">
        <f>Base!S249</f>
        <v>Parcial</v>
      </c>
      <c r="R279" s="7">
        <f>Base!N249</f>
        <v>0.0</v>
      </c>
      <c r="S279" s="7">
        <f>Base!T249</f>
        <v>80000.0</v>
      </c>
    </row>
    <row r="280" spans="1:19">
      <c r="A280" s="18">
        <f>SUBTOTAL(103,$B$6:B280)</f>
        <v>246</v>
      </c>
      <c r="B280" s="18">
        <v>117</v>
      </c>
      <c r="C280" s="6" t="str">
        <f>Base!H250</f>
        <v>2585541: CREACION DEL SERVICIO DE TRANSITABILIDAD VIAL INTERURBANA EN EL PUENTE CARROZABLE SANTA ROSA DE HUAYLLATA ENTRE LOS DISTRITOS DE ILAVE Y PILCUYO DEL   DISTRITO DE ILAVE DE LA PROVINCIA DE EL COLLAO DEL DEPARTAMENTO DE PUNO</v>
      </c>
      <c r="D280" s="7">
        <f>Base!I250</f>
        <v>391951.0</v>
      </c>
      <c r="E280" s="7">
        <f>Base!J250</f>
        <v>130000.0</v>
      </c>
      <c r="F280" s="7">
        <f>D280-E280</f>
        <v>261951.0</v>
      </c>
      <c r="G280" s="7">
        <f>Base!L250</f>
        <v>0.0</v>
      </c>
      <c r="H280" s="7">
        <f>D280-G280</f>
        <v>391951.0</v>
      </c>
      <c r="I280" s="19">
        <f>IF(D280=0,0,G280/D280)</f>
        <v>0.0</v>
      </c>
      <c r="J280" s="6" t="str">
        <f>Base!U250</f>
        <v>Expediente técnico</v>
      </c>
      <c r="K280" s="6" t="str">
        <f>Base!R250</f>
        <v>Solo certificado</v>
      </c>
      <c r="L280" s="7">
        <f>Base!V250</f>
        <v>850000.0</v>
      </c>
      <c r="M280" s="7">
        <f>Base!W250</f>
        <v>454257.0</v>
      </c>
      <c r="N280" s="7">
        <f>Base!X250</f>
        <v>0</v>
      </c>
      <c r="O280" s="7">
        <f>Base!Y250</f>
        <v>1000000.0</v>
      </c>
      <c r="P280" s="6">
        <f>IF(Base!Z250="","",Base!Z250)</f>
        <v/>
      </c>
      <c r="Q280" s="18" t="str">
        <f>Base!S250</f>
        <v>Posible</v>
      </c>
      <c r="R280" s="7">
        <f>Base!N250</f>
        <v>130000.0</v>
      </c>
      <c r="S280" s="7">
        <f>Base!T250</f>
        <v>391951.0</v>
      </c>
    </row>
    <row r="281" spans="1:19">
      <c r="A281" s="18">
        <f>SUBTOTAL(103,$B$6:B281)</f>
        <v>247</v>
      </c>
      <c r="B281" s="18">
        <v>118</v>
      </c>
      <c r="C281" s="6" t="str">
        <f>Base!H251</f>
        <v>2591732: MEJORAMIENTO DEL SERVICIO DE TRANSITABILIDAD VIAL INTERURBANA EN EL TRAMO DESAGUADERO (EMP PE-36C)  - PUENTE CARANCAS - HUANOCOLLO DEL   DISTRITO DE DESAGUADERO DE LA PROVINCIA DE CHUCUITO DEL DEPARTAMENTO DE PUNO</v>
      </c>
      <c r="D281" s="7">
        <f>Base!I251</f>
        <v>0.0</v>
      </c>
      <c r="E281" s="7">
        <f>Base!J251</f>
        <v>0.0</v>
      </c>
      <c r="F281" s="7">
        <f>D281-E281</f>
        <v>0.0</v>
      </c>
      <c r="G281" s="7">
        <f>Base!L251</f>
        <v>0.0</v>
      </c>
      <c r="H281" s="7">
        <f>D281-G281</f>
        <v>0.0</v>
      </c>
      <c r="I281" s="19">
        <f>IF(D281=0,0,G281/D281)</f>
        <v>0</v>
      </c>
      <c r="J281" s="6" t="str">
        <f>Base!U251</f>
        <v>Contrata</v>
      </c>
      <c r="K281" s="6" t="str">
        <f>Base!R251</f>
        <v>Sin PIM</v>
      </c>
      <c r="L281" s="7">
        <f>Base!V251</f>
        <v>800000.0</v>
      </c>
      <c r="M281" s="7">
        <f>Base!W251</f>
        <v>0</v>
      </c>
      <c r="N281" s="7">
        <f>Base!X251</f>
        <v>0</v>
      </c>
      <c r="O281" s="7">
        <f>Base!Y251</f>
        <v>0</v>
      </c>
      <c r="P281" s="6">
        <f>IF(Base!Z251="","",Base!Z251)</f>
        <v/>
      </c>
      <c r="Q281" s="18" t="str">
        <f>Base!S251</f>
        <v>Sin PIM</v>
      </c>
      <c r="R281" s="7">
        <f>Base!N251</f>
        <v>0.0</v>
      </c>
      <c r="S281" s="7">
        <f>Base!T251</f>
        <v>0.0</v>
      </c>
    </row>
    <row r="282" spans="1:19">
      <c r="A282" s="18">
        <f>SUBTOTAL(103,$B$6:B282)</f>
        <v>248</v>
      </c>
      <c r="B282" s="18">
        <v>120</v>
      </c>
      <c r="C282" s="6" t="str">
        <f>Base!H252</f>
        <v>2602159: MEJORAMIENTO DEL SERVICIO DE TRANSITABILIDAD VIAL INTERURBANA EN PU-138: EMP PE-34 B ¿ PASANOCOLLO , ¿ PUCATILLANA ¿ EMP PU-100 (NUÑOA)   DISTRITOS DE ORURILLO, NUÑOA DE LA PROVINCIA DE MELGAR DEL DEPARTAMENTO DE PUNO</v>
      </c>
      <c r="D282" s="7">
        <f>Base!I252</f>
        <v>171047.0</v>
      </c>
      <c r="E282" s="7">
        <f>Base!J252</f>
        <v>170547.0</v>
      </c>
      <c r="F282" s="7">
        <f>D282-E282</f>
        <v>500.0</v>
      </c>
      <c r="G282" s="7">
        <f>Base!L252</f>
        <v>142342.18</v>
      </c>
      <c r="H282" s="7">
        <f>D282-G282</f>
        <v>28704.820000000007</v>
      </c>
      <c r="I282" s="19">
        <f>IF(D282=0,0,G282/D282)</f>
        <v>0.8321816810584225</v>
      </c>
      <c r="J282" s="6" t="str">
        <f>Base!U252</f>
        <v>Expediente técnico</v>
      </c>
      <c r="K282" s="6" t="str">
        <f>Base!R252</f>
        <v>Mayormente comprometido</v>
      </c>
      <c r="L282" s="7">
        <f>Base!V252</f>
        <v>800000.0</v>
      </c>
      <c r="M282" s="7">
        <f>Base!W252</f>
        <v>7856258.0</v>
      </c>
      <c r="N282" s="7">
        <f>Base!X252</f>
        <v>0</v>
      </c>
      <c r="O282" s="7">
        <f>Base!Y252</f>
        <v>3000000.0</v>
      </c>
      <c r="P282" s="6">
        <f>IF(Base!Z252="","",Base!Z252)</f>
        <v/>
      </c>
      <c r="Q282" s="18" t="str">
        <f>Base!S252</f>
        <v>Difícil</v>
      </c>
      <c r="R282" s="7">
        <f>Base!N252</f>
        <v>0.0</v>
      </c>
      <c r="S282" s="7">
        <f>Base!T252</f>
        <v>500.0</v>
      </c>
    </row>
    <row r="283" spans="1:19">
      <c r="A283" s="18">
        <f>SUBTOTAL(103,$B$6:B283)</f>
        <v>249</v>
      </c>
      <c r="B283" s="18">
        <v>122</v>
      </c>
      <c r="C283" s="6" t="str">
        <f>Base!H253</f>
        <v>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v>
      </c>
      <c r="D283" s="7">
        <f>Base!I253</f>
        <v>840279.0</v>
      </c>
      <c r="E283" s="7">
        <f>Base!J253</f>
        <v>668334.0</v>
      </c>
      <c r="F283" s="7">
        <f>D283-E283</f>
        <v>171945.0</v>
      </c>
      <c r="G283" s="7">
        <f>Base!L253</f>
        <v>535432.86</v>
      </c>
      <c r="H283" s="7">
        <f>D283-G283</f>
        <v>304846.14</v>
      </c>
      <c r="I283" s="19">
        <f>IF(D283=0,0,G283/D283)</f>
        <v>0.6372084272009654</v>
      </c>
      <c r="J283" s="6" t="str">
        <f>Base!U253</f>
        <v>Expediente técnico</v>
      </c>
      <c r="K283" s="6" t="str">
        <f>Base!R253</f>
        <v>Mayormente comprometido</v>
      </c>
      <c r="L283" s="7">
        <f>Base!V253</f>
        <v>800000.0</v>
      </c>
      <c r="M283" s="7">
        <f>Base!W253</f>
        <v>5485623.0</v>
      </c>
      <c r="N283" s="7">
        <f>Base!X253</f>
        <v>0</v>
      </c>
      <c r="O283" s="7">
        <f>Base!Y253</f>
        <v>1000000.0</v>
      </c>
      <c r="P283" s="6">
        <f>IF(Base!Z253="","",Base!Z253)</f>
        <v/>
      </c>
      <c r="Q283" s="18" t="str">
        <f>Base!S253</f>
        <v>Difícil</v>
      </c>
      <c r="R283" s="7">
        <f>Base!N253</f>
        <v>0.0</v>
      </c>
      <c r="S283" s="7">
        <f>Base!T253</f>
        <v>171945.0</v>
      </c>
    </row>
    <row r="284" spans="1:19">
      <c r="A284" s="18">
        <f>SUBTOTAL(103,$B$6:B284)</f>
        <v>250</v>
      </c>
      <c r="B284" s="18">
        <v>125</v>
      </c>
      <c r="C284" s="6" t="str">
        <f>Base!H254</f>
        <v>2603281: MEJORAMIENTO DEL SERVICIO DE TRANSITABILIDAD VIAL INTERURBANA EN LA CARRETERA PU 764: EMP PE-34B SAN SEBASTIAN - NICASIO - LARO , EMP PU 764 (LARO) - EMP PU-117 (SANTIAGO DE PUPUJA)   DISTRITOS DE NICASIO, SANTIAGO DE PUPUJA DE LAS PROVINCIAS DE LAMPA, AZANGARO DEL DEPARTAMENTO DE PUNO</v>
      </c>
      <c r="D284" s="7">
        <f>Base!I254</f>
        <v>674368.0</v>
      </c>
      <c r="E284" s="7">
        <f>Base!J254</f>
        <v>173868.0</v>
      </c>
      <c r="F284" s="7">
        <f>D284-E284</f>
        <v>500500.0</v>
      </c>
      <c r="G284" s="7">
        <f>Base!L254</f>
        <v>97687.86</v>
      </c>
      <c r="H284" s="7">
        <f>D284-G284</f>
        <v>576680.14</v>
      </c>
      <c r="I284" s="19">
        <f>IF(D284=0,0,G284/D284)</f>
        <v>0.14485838592578532</v>
      </c>
      <c r="J284" s="6" t="str">
        <f>Base!U254</f>
        <v>Contrata / Expediente técnico</v>
      </c>
      <c r="K284" s="6" t="str">
        <f>Base!R254</f>
        <v>Parcialmente comprometido</v>
      </c>
      <c r="L284" s="7">
        <f>Base!V254</f>
        <v>800000.0</v>
      </c>
      <c r="M284" s="7">
        <f>Base!W254</f>
        <v>8574875.0</v>
      </c>
      <c r="N284" s="7">
        <f>Base!X254</f>
        <v>0</v>
      </c>
      <c r="O284" s="7">
        <f>Base!Y254</f>
        <v>1000000.0</v>
      </c>
      <c r="P284" s="6">
        <f>IF(Base!Z254="","",Base!Z254)</f>
        <v/>
      </c>
      <c r="Q284" s="18" t="str">
        <f>Base!S254</f>
        <v>Parcial</v>
      </c>
      <c r="R284" s="7">
        <f>Base!N254</f>
        <v>0.0</v>
      </c>
      <c r="S284" s="7">
        <f>Base!T254</f>
        <v>500500.0</v>
      </c>
    </row>
    <row r="285" spans="1:19">
      <c r="A285" s="18">
        <f>SUBTOTAL(103,$B$6:B285)</f>
        <v>251</v>
      </c>
      <c r="B285" s="18">
        <v>126</v>
      </c>
      <c r="C285" s="6" t="str">
        <f>Base!H255</f>
        <v>2607527: MEJORAMIENTO DEL SERVICIO DE TRANSITABILIDAD VIAL INTERURBANA EN LA CARRETERA PU ¿ 985 (EMP. PE ¿ 34A; DV. CHOROMA) ¿ C.C. COARITA , PU ¿ 992 (C.C. COARITA) ¿ PALCA   DISTRITOS DE PARATIA, PALCA DE LA PROVINCIA DE LAMPA DEL DEPARTAMENTO DE PUNO</v>
      </c>
      <c r="D285" s="7">
        <f>Base!I255</f>
        <v>520686.0</v>
      </c>
      <c r="E285" s="7">
        <f>Base!J255</f>
        <v>519936.0</v>
      </c>
      <c r="F285" s="7">
        <f>D285-E285</f>
        <v>750.0</v>
      </c>
      <c r="G285" s="7">
        <f>Base!L255</f>
        <v>468290.95000000007</v>
      </c>
      <c r="H285" s="7">
        <f>D285-G285</f>
        <v>52395.04999999993</v>
      </c>
      <c r="I285" s="19">
        <f>IF(D285=0,0,G285/D285)</f>
        <v>0.899373038645172</v>
      </c>
      <c r="J285" s="6" t="str">
        <f>Base!U255</f>
        <v>Expediente técnico</v>
      </c>
      <c r="K285" s="6" t="str">
        <f>Base!R255</f>
        <v>Mayormente comprometido</v>
      </c>
      <c r="L285" s="7">
        <f>Base!V255</f>
        <v>800000.0</v>
      </c>
      <c r="M285" s="7">
        <f>Base!W255</f>
        <v>5500000.0</v>
      </c>
      <c r="N285" s="7">
        <f>Base!X255</f>
        <v>0</v>
      </c>
      <c r="O285" s="7">
        <f>Base!Y255</f>
        <v>1000000.0</v>
      </c>
      <c r="P285" s="6">
        <f>IF(Base!Z255="","",Base!Z255)</f>
        <v/>
      </c>
      <c r="Q285" s="18" t="str">
        <f>Base!S255</f>
        <v>Difícil</v>
      </c>
      <c r="R285" s="7">
        <f>Base!N255</f>
        <v>0.0</v>
      </c>
      <c r="S285" s="7">
        <f>Base!T255</f>
        <v>750.0</v>
      </c>
    </row>
    <row r="286" spans="1:19">
      <c r="A286" s="18">
        <f>SUBTOTAL(103,$B$6:B286)</f>
        <v>252</v>
      </c>
      <c r="B286" s="18">
        <v>127</v>
      </c>
      <c r="C286" s="6" t="str">
        <f>Base!H256</f>
        <v>2614553: MEJORAMIENTO DEL SERVICIO DE TRANSITABILIDAD VIAL INTERURBANA EN LA CARRETERA MAÑAZO PU 1077 - PU 1091 , - EMP PE 34 C(LLAPAPATA - CABANILLAS)   DISTRITOS DE MAÑAZO, CABANILLAS DE LAS PROVINCIAS DE PUNO, SAN ROMAN DEL DEPARTAMENTO DE PUNO</v>
      </c>
      <c r="D286" s="7">
        <f>Base!I256</f>
        <v>321536.0</v>
      </c>
      <c r="E286" s="7">
        <f>Base!J256</f>
        <v>319536.0</v>
      </c>
      <c r="F286" s="7">
        <f>D286-E286</f>
        <v>2000.0</v>
      </c>
      <c r="G286" s="7">
        <f>Base!L256</f>
        <v>219666.12</v>
      </c>
      <c r="H286" s="7">
        <f>D286-G286</f>
        <v>101869.88</v>
      </c>
      <c r="I286" s="19">
        <f>IF(D286=0,0,G286/D286)</f>
        <v>0.6831773736066878</v>
      </c>
      <c r="J286" s="6" t="str">
        <f>Base!U256</f>
        <v>Expediente técnico</v>
      </c>
      <c r="K286" s="6" t="str">
        <f>Base!R256</f>
        <v>Mayormente comprometido</v>
      </c>
      <c r="L286" s="7">
        <f>Base!V256</f>
        <v>157636.0</v>
      </c>
      <c r="M286" s="7">
        <f>Base!W256</f>
        <v>12958615.0</v>
      </c>
      <c r="N286" s="7">
        <f>Base!X256</f>
        <v>0</v>
      </c>
      <c r="O286" s="7">
        <f>Base!Y256</f>
        <v>6000000.0</v>
      </c>
      <c r="P286" s="6">
        <f>IF(Base!Z256="","",Base!Z256)</f>
        <v/>
      </c>
      <c r="Q286" s="18" t="str">
        <f>Base!S256</f>
        <v>Difícil</v>
      </c>
      <c r="R286" s="7">
        <f>Base!N256</f>
        <v>0.0</v>
      </c>
      <c r="S286" s="7">
        <f>Base!T256</f>
        <v>2000.0</v>
      </c>
    </row>
    <row r="287" spans="1:19">
      <c r="A287" s="18">
        <f>SUBTOTAL(103,$B$6:B287)</f>
        <v>253</v>
      </c>
      <c r="B287" s="18">
        <v>129</v>
      </c>
      <c r="C287" s="6" t="str">
        <f>Base!H257</f>
        <v>2645503: MEJORAMIENTO DEL SERVICIO DE TRANSITABILIDAD VIAL INTERURBANA EN LA CARRETERA PU-1040 EMP. PU 122 (VILQUE) - EMP. PU - 1039 , - EMP. PU 1035 - EMP. PU 121 (CABANA)   DISTRITOS DE VILQUE, CABANA DE LAS PROVINCIAS DE PUNO, SAN ROMAN DEL DEPARTAMENTO DE PUNO</v>
      </c>
      <c r="D287" s="7">
        <f>Base!I257</f>
        <v>230847.0</v>
      </c>
      <c r="E287" s="7">
        <f>Base!J257</f>
        <v>230597.0</v>
      </c>
      <c r="F287" s="7">
        <f>D287-E287</f>
        <v>250.0</v>
      </c>
      <c r="G287" s="7">
        <f>Base!L257</f>
        <v>178545.33000000002</v>
      </c>
      <c r="H287" s="7">
        <f>D287-G287</f>
        <v>52301.669999999984</v>
      </c>
      <c r="I287" s="19">
        <f>IF(D287=0,0,G287/D287)</f>
        <v>0.7734357821414184</v>
      </c>
      <c r="J287" s="6" t="str">
        <f>Base!U257</f>
        <v>Expediente técnico</v>
      </c>
      <c r="K287" s="6" t="str">
        <f>Base!R257</f>
        <v>Mayormente comprometido</v>
      </c>
      <c r="L287" s="7">
        <f>Base!V257</f>
        <v>800000.0</v>
      </c>
      <c r="M287" s="7">
        <f>Base!W257</f>
        <v>0</v>
      </c>
      <c r="N287" s="7">
        <f>Base!X257</f>
        <v>0</v>
      </c>
      <c r="O287" s="7">
        <f>Base!Y257</f>
        <v>1000000.0</v>
      </c>
      <c r="P287" s="6">
        <f>IF(Base!Z257="","",Base!Z257)</f>
        <v/>
      </c>
      <c r="Q287" s="18" t="str">
        <f>Base!S257</f>
        <v>Difícil</v>
      </c>
      <c r="R287" s="7">
        <f>Base!N257</f>
        <v>0.0</v>
      </c>
      <c r="S287" s="7">
        <f>Base!T257</f>
        <v>250.0</v>
      </c>
    </row>
    <row r="288" spans="1:19">
      <c r="A288" s="18">
        <f>SUBTOTAL(103,$B$6:B288)</f>
        <v>254</v>
      </c>
      <c r="B288" s="18">
        <v>130</v>
      </c>
      <c r="C288" s="6" t="str">
        <f>Base!H258</f>
        <v>2646859: MEJORAMIENTO DEL SERVICIO DE TRANSITABILIDAD VIAL INTERURBANA EN LA PU - 145 (EMP. PE - 34 I: HUANCANÉ , - EMP. PE - 34 H: HUATASANI)  DE LOS   DISTRITOS DE HUANCANE, HUATASANI DE LA PROVINCIA DE HUANCANE DEL DEPARTAMENTO DE PUNO</v>
      </c>
      <c r="D288" s="7">
        <f>Base!I258</f>
        <v>349206.0</v>
      </c>
      <c r="E288" s="7">
        <f>Base!J258</f>
        <v>349206.0</v>
      </c>
      <c r="F288" s="7">
        <f>D288-E288</f>
        <v>0.0</v>
      </c>
      <c r="G288" s="7">
        <f>Base!L258</f>
        <v>281441.1</v>
      </c>
      <c r="H288" s="7">
        <f>D288-G288</f>
        <v>67764.90000000002</v>
      </c>
      <c r="I288" s="19">
        <f>IF(D288=0,0,G288/D288)</f>
        <v>0.8059457741275923</v>
      </c>
      <c r="J288" s="6" t="str">
        <f>Base!U258</f>
        <v>Expediente técnico</v>
      </c>
      <c r="K288" s="6" t="str">
        <f>Base!R258</f>
        <v>Mayormente comprometido</v>
      </c>
      <c r="L288" s="7">
        <f>Base!V258</f>
        <v>800000.0</v>
      </c>
      <c r="M288" s="7">
        <f>Base!W258</f>
        <v>354785.0</v>
      </c>
      <c r="N288" s="7">
        <f>Base!X258</f>
        <v>0</v>
      </c>
      <c r="O288" s="7">
        <f>Base!Y258</f>
        <v>500000.0</v>
      </c>
      <c r="P288" s="6">
        <f>IF(Base!Z258="","",Base!Z258)</f>
        <v/>
      </c>
      <c r="Q288" s="18" t="str">
        <f>Base!S258</f>
        <v>Difícil</v>
      </c>
      <c r="R288" s="7">
        <f>Base!N258</f>
        <v>55058.59999999998</v>
      </c>
      <c r="S288" s="7">
        <f>Base!T258</f>
        <v>55058.59999999998</v>
      </c>
    </row>
    <row r="289" spans="1:19">
      <c r="A289" s="18">
        <f>SUBTOTAL(103,$B$6:B289)</f>
        <v>255</v>
      </c>
      <c r="B289" s="18">
        <v>131</v>
      </c>
      <c r="C289" s="6" t="str">
        <f>Base!H259</f>
        <v>2649221: MEJORAMIENTO DEL SERVICIO DE TRANSITABILIDAD VIAL INTERURBANA EN POQUERA CHICO ¿ QUIACA ¿ HUERTAPATA EN EL   DISTRITO DE QUIACA DE LA PROVINCIA DE SANDIA DEL DEPARTAMENTO DE PUNO</v>
      </c>
      <c r="D289" s="7">
        <f>Base!I259</f>
        <v>239379.0</v>
      </c>
      <c r="E289" s="7">
        <f>Base!J259</f>
        <v>211500.0</v>
      </c>
      <c r="F289" s="7">
        <f>D289-E289</f>
        <v>27879.0</v>
      </c>
      <c r="G289" s="7">
        <f>Base!L259</f>
        <v>95146.6</v>
      </c>
      <c r="H289" s="7">
        <f>D289-G289</f>
        <v>144232.4</v>
      </c>
      <c r="I289" s="19">
        <f>IF(D289=0,0,G289/D289)</f>
        <v>0.3974726270892602</v>
      </c>
      <c r="J289" s="6" t="str">
        <f>Base!U259</f>
        <v>Expediente técnico</v>
      </c>
      <c r="K289" s="6" t="str">
        <f>Base!R259</f>
        <v>Mayormente comprometido</v>
      </c>
      <c r="L289" s="7">
        <f>Base!V259</f>
        <v>500000.0</v>
      </c>
      <c r="M289" s="7">
        <f>Base!W259</f>
        <v>251485.0</v>
      </c>
      <c r="N289" s="7">
        <f>Base!X259</f>
        <v>0</v>
      </c>
      <c r="O289" s="7">
        <f>Base!Y259</f>
        <v>960621.0</v>
      </c>
      <c r="P289" s="6">
        <f>IF(Base!Z259="","",Base!Z259)</f>
        <v/>
      </c>
      <c r="Q289" s="18" t="str">
        <f>Base!S259</f>
        <v>Difícil</v>
      </c>
      <c r="R289" s="7">
        <f>Base!N259</f>
        <v>0.0</v>
      </c>
      <c r="S289" s="7">
        <f>Base!T259</f>
        <v>27879.0</v>
      </c>
    </row>
    <row r="290" spans="1:19">
      <c r="A290" s="18">
        <f>SUBTOTAL(103,$B$6:B290)</f>
        <v>256</v>
      </c>
      <c r="B290" s="18">
        <v>132</v>
      </c>
      <c r="C290" s="6" t="str">
        <f>Base!H260</f>
        <v>2651270: MEJORAMIENTO DEL SERVICIO DE TRANSITABILIDAD VIAL INTERURBANA EN EL TRAMO ALMOZANCHE (EMP. PU 118), - SAMUCHACA - SANTA CRUZ CAPARA -ESCALLANI (EMP. PU 118) DE LOS DISTRITOS DE COATA, PUSI DE LAS PROVINCIAS DE PUNO, HUANCANE DEL DEPARTAMENTO DE PUNO</v>
      </c>
      <c r="D290" s="7">
        <f>Base!I260</f>
        <v>118786.0</v>
      </c>
      <c r="E290" s="7">
        <f>Base!J260</f>
        <v>112400.0</v>
      </c>
      <c r="F290" s="7">
        <f>D290-E290</f>
        <v>6386.0</v>
      </c>
      <c r="G290" s="7">
        <f>Base!L260</f>
        <v>76261.18</v>
      </c>
      <c r="H290" s="7">
        <f>D290-G290</f>
        <v>42524.82000000001</v>
      </c>
      <c r="I290" s="19">
        <f>IF(D290=0,0,G290/D290)</f>
        <v>0.642004781708282</v>
      </c>
      <c r="J290" s="6" t="str">
        <f>Base!U260</f>
        <v>Expediente técnico</v>
      </c>
      <c r="K290" s="6" t="str">
        <f>Base!R260</f>
        <v>Mayormente comprometido</v>
      </c>
      <c r="L290" s="7">
        <f>Base!V260</f>
        <v>800000.0</v>
      </c>
      <c r="M290" s="7">
        <f>Base!W260</f>
        <v>854254.0</v>
      </c>
      <c r="N290" s="7">
        <f>Base!X260</f>
        <v>0</v>
      </c>
      <c r="O290" s="7">
        <f>Base!Y260</f>
        <v>1000000.0</v>
      </c>
      <c r="P290" s="6">
        <f>IF(Base!Z260="","",Base!Z260)</f>
        <v/>
      </c>
      <c r="Q290" s="18" t="str">
        <f>Base!S260</f>
        <v>Difícil</v>
      </c>
      <c r="R290" s="7">
        <f>Base!N260</f>
        <v>30000.0</v>
      </c>
      <c r="S290" s="7">
        <f>Base!T260</f>
        <v>36386.0</v>
      </c>
    </row>
    <row r="291" spans="1:19">
      <c r="A291" s="18">
        <f>SUBTOTAL(103,$B$6:B291)</f>
        <v>257</v>
      </c>
      <c r="B291" s="18">
        <v>133</v>
      </c>
      <c r="C291" s="6" t="str">
        <f>Base!H261</f>
        <v>2651271: MEJORAMIENTO DEL SERVICIO DE TRANSITABILIDAD VIAL INTERURBANA EN EL TRAMO ALMOZANCHE (EMP PU 118) - SUCASCO - SORAZA , - COYLATA URCUNIMUNI - HATUN AYLLU (EMP PU 118)  DE LOS   DISTRITOS DE COATA, PUSI DE LAS PROVINCIAS DE PUNO, HUANCANE DEL DEPARTAMENTO DE PUNO</v>
      </c>
      <c r="D291" s="7">
        <f>Base!I261</f>
        <v>141416.0</v>
      </c>
      <c r="E291" s="7">
        <f>Base!J261</f>
        <v>130450.0</v>
      </c>
      <c r="F291" s="7">
        <f>D291-E291</f>
        <v>10966.0</v>
      </c>
      <c r="G291" s="7">
        <f>Base!L261</f>
        <v>91615.61</v>
      </c>
      <c r="H291" s="7">
        <f>D291-G291</f>
        <v>49800.39</v>
      </c>
      <c r="I291" s="19">
        <f>IF(D291=0,0,G291/D291)</f>
        <v>0.6478447276121514</v>
      </c>
      <c r="J291" s="6" t="str">
        <f>Base!U261</f>
        <v>Expediente técnico</v>
      </c>
      <c r="K291" s="6" t="str">
        <f>Base!R261</f>
        <v>Mayormente comprometido</v>
      </c>
      <c r="L291" s="7">
        <f>Base!V261</f>
        <v>583691.0</v>
      </c>
      <c r="M291" s="7">
        <f>Base!W261</f>
        <v>7526548.0</v>
      </c>
      <c r="N291" s="7">
        <f>Base!X261</f>
        <v>0</v>
      </c>
      <c r="O291" s="7">
        <f>Base!Y261</f>
        <v>0</v>
      </c>
      <c r="P291" s="6">
        <f>IF(Base!Z261="","",Base!Z261)</f>
        <v/>
      </c>
      <c r="Q291" s="18" t="str">
        <f>Base!S261</f>
        <v>Difícil</v>
      </c>
      <c r="R291" s="7">
        <f>Base!N261</f>
        <v>29500.0</v>
      </c>
      <c r="S291" s="7">
        <f>Base!T261</f>
        <v>40466.0</v>
      </c>
    </row>
    <row r="292" spans="1:19">
      <c r="A292" s="18">
        <f>SUBTOTAL(103,$B$6:B292)</f>
        <v>258</v>
      </c>
      <c r="B292" s="18">
        <v>134</v>
      </c>
      <c r="C292" s="6" t="str">
        <f>Base!H262</f>
        <v>2652984: MEJORAMIENTO DEL SERVICIO DE TRANSITABILIDAD VIAL INTERURBANA EN LA CARRETERA YOROHOCO (HUACULLANI) , ¿ KELLUYO ¿ HITO 31   DISTRITO DE HUACULLANI DE LA PROVINCIA DE CHUCUITO DEL DEPARTAMENTO DE PUNO</v>
      </c>
      <c r="D292" s="7">
        <f>Base!I262</f>
        <v>230550.0</v>
      </c>
      <c r="E292" s="7">
        <f>Base!J262</f>
        <v>189499.0</v>
      </c>
      <c r="F292" s="7">
        <f>D292-E292</f>
        <v>41051.0</v>
      </c>
      <c r="G292" s="7">
        <f>Base!L262</f>
        <v>146384.22999999998</v>
      </c>
      <c r="H292" s="7">
        <f>D292-G292</f>
        <v>84165.77000000002</v>
      </c>
      <c r="I292" s="19">
        <f>IF(D292=0,0,G292/D292)</f>
        <v>0.6349348514422033</v>
      </c>
      <c r="J292" s="6" t="str">
        <f>Base!U262</f>
        <v>Expediente técnico</v>
      </c>
      <c r="K292" s="6" t="str">
        <f>Base!R262</f>
        <v>Mayormente comprometido</v>
      </c>
      <c r="L292" s="7">
        <f>Base!V262</f>
        <v>800000.0</v>
      </c>
      <c r="M292" s="7">
        <f>Base!W262</f>
        <v>0</v>
      </c>
      <c r="N292" s="7">
        <f>Base!X262</f>
        <v>0</v>
      </c>
      <c r="O292" s="7">
        <f>Base!Y262</f>
        <v>1000000.0</v>
      </c>
      <c r="P292" s="6">
        <f>IF(Base!Z262="","",Base!Z262)</f>
        <v/>
      </c>
      <c r="Q292" s="18" t="str">
        <f>Base!S262</f>
        <v>Difícil</v>
      </c>
      <c r="R292" s="7">
        <f>Base!N262</f>
        <v>6325.0</v>
      </c>
      <c r="S292" s="7">
        <f>Base!T262</f>
        <v>47376.0</v>
      </c>
    </row>
    <row r="293" spans="1:19">
      <c r="A293" s="18">
        <f>SUBTOTAL(103,$B$6:B293)</f>
        <v>259</v>
      </c>
      <c r="B293" s="18">
        <v>135</v>
      </c>
      <c r="C293" s="6" t="str">
        <f>Base!H263</f>
        <v>2653737: MEJORAMIENTO DEL SERVICIO DE TRANSITABILIDAD VIAL INTERURBANA EN LA CARRETRA PU¿144 (EMP. PE-34L: SOLITARIO , - EMP. PU-115: INCHUPALLA) DE LOS   DISTRITOS DE VILQUE CHICO, INCHUPALLA DE LA PROVINCIA DE HUANCANE DEL DEPARTAMENTO DE PUNO</v>
      </c>
      <c r="D293" s="7">
        <f>Base!I263</f>
        <v>490000.0</v>
      </c>
      <c r="E293" s="7">
        <f>Base!J263</f>
        <v>490000.0</v>
      </c>
      <c r="F293" s="7">
        <f>D293-E293</f>
        <v>0.0</v>
      </c>
      <c r="G293" s="7">
        <f>Base!L263</f>
        <v>369844.42000000004</v>
      </c>
      <c r="H293" s="7">
        <f>D293-G293</f>
        <v>120155.57999999996</v>
      </c>
      <c r="I293" s="19">
        <f>IF(D293=0,0,G293/D293)</f>
        <v>0.7547845306122449</v>
      </c>
      <c r="J293" s="6" t="str">
        <f>Base!U263</f>
        <v>Expediente técnico</v>
      </c>
      <c r="K293" s="6" t="str">
        <f>Base!R263</f>
        <v>Mayormente comprometido</v>
      </c>
      <c r="L293" s="7">
        <f>Base!V263</f>
        <v>50000.0</v>
      </c>
      <c r="M293" s="7">
        <f>Base!W263</f>
        <v>0</v>
      </c>
      <c r="N293" s="7">
        <f>Base!X263</f>
        <v>0</v>
      </c>
      <c r="O293" s="7">
        <f>Base!Y263</f>
        <v>0</v>
      </c>
      <c r="P293" s="6">
        <f>IF(Base!Z263="","",Base!Z263)</f>
        <v/>
      </c>
      <c r="Q293" s="18" t="str">
        <f>Base!S263</f>
        <v>Difícil</v>
      </c>
      <c r="R293" s="7">
        <f>Base!N263</f>
        <v>0.0</v>
      </c>
      <c r="S293" s="7">
        <f>Base!T263</f>
        <v>0.0</v>
      </c>
    </row>
    <row r="294" spans="1:19">
      <c r="A294" s="18">
        <f>SUBTOTAL(103,$B$6:B294)</f>
        <v>260</v>
      </c>
      <c r="B294" s="18">
        <v>136</v>
      </c>
      <c r="C294" s="6" t="str">
        <f>Base!H264</f>
        <v>2653926: MEJORAMIENTO DEL SERVICIO DE TRANSITABILIDAD VIAL INTERURBANA EN LA CARRETERA PU 672 (EMP PE 3S-PTE. SANTA ROSA) ¿ QUISHUARA ¿ SANTA CRUZ- PU 673 (SANTA CRUZ-EMP. PU 680), PU 683 (MACARI , - LLALLI) DE LOS   DISTRITOS DE MACARI, CUPI DE LA PROVINCIA DE MELGAR DEL DEPARTAMENTO DE PUNO</v>
      </c>
      <c r="D294" s="7">
        <f>Base!I264</f>
        <v>0.0</v>
      </c>
      <c r="E294" s="7">
        <f>Base!J264</f>
        <v>0.0</v>
      </c>
      <c r="F294" s="7">
        <f>D294-E294</f>
        <v>0.0</v>
      </c>
      <c r="G294" s="7">
        <f>Base!L264</f>
        <v>0.0</v>
      </c>
      <c r="H294" s="7">
        <f>D294-G294</f>
        <v>0.0</v>
      </c>
      <c r="I294" s="19">
        <f>IF(D294=0,0,G294/D294)</f>
        <v>0</v>
      </c>
      <c r="J294" s="6" t="str">
        <f>Base!U264</f>
        <v>Contrata</v>
      </c>
      <c r="K294" s="6" t="str">
        <f>Base!R264</f>
        <v>Sin PIM</v>
      </c>
      <c r="L294" s="7">
        <f>Base!V264</f>
        <v>67202.0</v>
      </c>
      <c r="M294" s="7">
        <f>Base!W264</f>
        <v>0</v>
      </c>
      <c r="N294" s="7">
        <f>Base!X264</f>
        <v>5000000.0</v>
      </c>
      <c r="O294" s="7">
        <f>Base!Y264</f>
        <v>0</v>
      </c>
      <c r="P294" s="6">
        <f>IF(Base!Z264="","",Base!Z264)</f>
        <v/>
      </c>
      <c r="Q294" s="18" t="str">
        <f>Base!S264</f>
        <v>Sin PIM</v>
      </c>
      <c r="R294" s="7">
        <f>Base!N264</f>
        <v>0.0</v>
      </c>
      <c r="S294" s="7">
        <f>Base!T264</f>
        <v>0.0</v>
      </c>
    </row>
    <row r="295" spans="1:19">
      <c r="A295" s="18">
        <f>SUBTOTAL(103,$B$6:B295)</f>
        <v>261</v>
      </c>
      <c r="B295" s="18">
        <v>137</v>
      </c>
      <c r="C295" s="6" t="str">
        <f>Base!H265</f>
        <v>2654509: MEJORAMIENTO DEL SERVICIO DE TRANSITABILIDAD VIAL INTERURBANA EN LA CARRETERA PU 141: EMP. PU-111 (DV CAMBRIA) - CAMBRIA , - EMP PU - 112 (DV COLLPANI) DE LOS   DISTRITOS DE PUTINA, MUÑANI DE LAS PROVINCIAS DE SAN ANTONIO DE PUTINA, AZANGARO DEL DEPARTAMENTO DE PUNO</v>
      </c>
      <c r="D295" s="7">
        <f>Base!I265</f>
        <v>601668.0</v>
      </c>
      <c r="E295" s="7">
        <f>Base!J265</f>
        <v>584518.0</v>
      </c>
      <c r="F295" s="7">
        <f>D295-E295</f>
        <v>17150.0</v>
      </c>
      <c r="G295" s="7">
        <f>Base!L265</f>
        <v>242760.63</v>
      </c>
      <c r="H295" s="7">
        <f>D295-G295</f>
        <v>358907.37</v>
      </c>
      <c r="I295" s="19">
        <f>IF(D295=0,0,G295/D295)</f>
        <v>0.4034793773310198</v>
      </c>
      <c r="J295" s="6" t="str">
        <f>Base!U265</f>
        <v>Expediente técnico</v>
      </c>
      <c r="K295" s="6" t="str">
        <f>Base!R265</f>
        <v>Mayormente comprometido</v>
      </c>
      <c r="L295" s="7">
        <f>Base!V265</f>
        <v>50000.0</v>
      </c>
      <c r="M295" s="7">
        <f>Base!W265</f>
        <v>348574.0</v>
      </c>
      <c r="N295" s="7">
        <f>Base!X265</f>
        <v>0</v>
      </c>
      <c r="O295" s="7">
        <f>Base!Y265</f>
        <v>800000.0</v>
      </c>
      <c r="P295" s="6">
        <f>IF(Base!Z265="","",Base!Z265)</f>
        <v/>
      </c>
      <c r="Q295" s="18" t="str">
        <f>Base!S265</f>
        <v>Difícil</v>
      </c>
      <c r="R295" s="7">
        <f>Base!N265</f>
        <v>52323.0</v>
      </c>
      <c r="S295" s="7">
        <f>Base!T265</f>
        <v>69473.0</v>
      </c>
    </row>
    <row r="296" spans="1:19">
      <c r="A296" s="18">
        <f>SUBTOTAL(103,$B$6:B296)</f>
        <v>262</v>
      </c>
      <c r="B296" s="18">
        <v>138</v>
      </c>
      <c r="C296" s="6" t="str">
        <f>Base!H266</f>
        <v>2654549: MEJORAMIENTO DEL SERVICIO DE TRANSITABILIDAD VIAL INTERURBANA EN LA CARRETERA PU-1376 (EMP PE-38 ¿ CUIPACUIPA) ¿ CUIPACUIPA - EMP PU - 132 (FRONTERA CON TACNA)  DEL   DISTRITO DE SANTA ROSA DE LA PROVINCIA DE EL COLLAO DEL DEPARTAMENTO DE PUNO</v>
      </c>
      <c r="D296" s="7">
        <f>Base!I266</f>
        <v>870779.0</v>
      </c>
      <c r="E296" s="7">
        <f>Base!J266</f>
        <v>870779.0</v>
      </c>
      <c r="F296" s="7">
        <f>D296-E296</f>
        <v>0.0</v>
      </c>
      <c r="G296" s="7">
        <f>Base!L266</f>
        <v>391730.07</v>
      </c>
      <c r="H296" s="7">
        <f>D296-G296</f>
        <v>479048.93</v>
      </c>
      <c r="I296" s="19">
        <f>IF(D296=0,0,G296/D296)</f>
        <v>0.4498616411282312</v>
      </c>
      <c r="J296" s="6" t="str">
        <f>Base!U266</f>
        <v>Expediente técnico</v>
      </c>
      <c r="K296" s="6" t="str">
        <f>Base!R266</f>
        <v>Mayormente comprometido</v>
      </c>
      <c r="L296" s="7">
        <f>Base!V266</f>
        <v>50000.0</v>
      </c>
      <c r="M296" s="7">
        <f>Base!W266</f>
        <v>0</v>
      </c>
      <c r="N296" s="7">
        <f>Base!X266</f>
        <v>0</v>
      </c>
      <c r="O296" s="7">
        <f>Base!Y266</f>
        <v>1000000.0</v>
      </c>
      <c r="P296" s="6">
        <f>IF(Base!Z266="","",Base!Z266)</f>
        <v/>
      </c>
      <c r="Q296" s="18" t="str">
        <f>Base!S266</f>
        <v>Difícil</v>
      </c>
      <c r="R296" s="7">
        <f>Base!N266</f>
        <v>0.0</v>
      </c>
      <c r="S296" s="7">
        <f>Base!T266</f>
        <v>0.0</v>
      </c>
    </row>
    <row r="297" spans="1:19">
      <c r="A297" s="18">
        <f>SUBTOTAL(103,$B$6:B297)</f>
        <v>263</v>
      </c>
      <c r="B297" s="18">
        <v>139</v>
      </c>
      <c r="C297" s="6" t="str">
        <f>Base!H267</f>
        <v>2655389: CREACION DEL SERVICIO DE TRANSITABILIDAD VIAL INTERURBANA EN EL PUENTE CHOQUENASA  DE LA CARRETERA PU-1243  DEL   DISTRITO DE ILAVE DE LA PROVINCIA DE EL COLLAO DEL DEPARTAMENTO DE PUNO</v>
      </c>
      <c r="D297" s="7">
        <f>Base!I267</f>
        <v>101523.0</v>
      </c>
      <c r="E297" s="7">
        <f>Base!J267</f>
        <v>99920.23999999999</v>
      </c>
      <c r="F297" s="7">
        <f>D297-E297</f>
        <v>1602.7600000000093</v>
      </c>
      <c r="G297" s="7">
        <f>Base!L267</f>
        <v>99920.23999999999</v>
      </c>
      <c r="H297" s="7">
        <f>D297-G297</f>
        <v>1602.7600000000093</v>
      </c>
      <c r="I297" s="19">
        <f>IF(D297=0,0,G297/D297)</f>
        <v>0.9842128384701003</v>
      </c>
      <c r="J297" s="6" t="str">
        <f>Base!U267</f>
        <v>Expediente técnico</v>
      </c>
      <c r="K297" s="6" t="str">
        <f>Base!R267</f>
        <v>Ejecutado</v>
      </c>
      <c r="L297" s="7">
        <f>Base!V267</f>
        <v>50000.0</v>
      </c>
      <c r="M297" s="7">
        <f>Base!W267</f>
        <v>2859865.0</v>
      </c>
      <c r="N297" s="7">
        <f>Base!X267</f>
        <v>0</v>
      </c>
      <c r="O297" s="7">
        <f>Base!Y267</f>
        <v>2881732.0</v>
      </c>
      <c r="P297" s="6">
        <f>IF(Base!Z267="","",Base!Z267)</f>
        <v/>
      </c>
      <c r="Q297" s="18" t="str">
        <f>Base!S267</f>
        <v>No usar</v>
      </c>
      <c r="R297" s="7">
        <f>Base!N267</f>
        <v>0.0</v>
      </c>
      <c r="S297" s="7">
        <f>Base!T267</f>
        <v>0.0</v>
      </c>
    </row>
    <row r="298" spans="1:19">
      <c r="A298" s="18">
        <f>SUBTOTAL(103,$B$6:B298)</f>
        <v>264</v>
      </c>
      <c r="B298" s="18">
        <v>140</v>
      </c>
      <c r="C298" s="6" t="str">
        <f>Base!H268</f>
        <v>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v>
      </c>
      <c r="D298" s="7">
        <f>Base!I268</f>
        <v>0.0</v>
      </c>
      <c r="E298" s="7">
        <f>Base!J268</f>
        <v>0.0</v>
      </c>
      <c r="F298" s="7">
        <f>D298-E298</f>
        <v>0.0</v>
      </c>
      <c r="G298" s="7">
        <f>Base!L268</f>
        <v>0.0</v>
      </c>
      <c r="H298" s="7">
        <f>D298-G298</f>
        <v>0.0</v>
      </c>
      <c r="I298" s="19">
        <f>IF(D298=0,0,G298/D298)</f>
        <v>0</v>
      </c>
      <c r="J298" s="6" t="str">
        <f>Base!U268</f>
        <v>Contrata</v>
      </c>
      <c r="K298" s="6" t="str">
        <f>Base!R268</f>
        <v>Sin PIM</v>
      </c>
      <c r="L298" s="7">
        <f>Base!V268</f>
        <v>800000.0</v>
      </c>
      <c r="M298" s="7">
        <f>Base!W268</f>
        <v>0</v>
      </c>
      <c r="N298" s="7">
        <f>Base!X268</f>
        <v>0</v>
      </c>
      <c r="O298" s="7">
        <f>Base!Y268</f>
        <v>2500000.0</v>
      </c>
      <c r="P298" s="6">
        <f>IF(Base!Z268="","",Base!Z268)</f>
        <v/>
      </c>
      <c r="Q298" s="18" t="str">
        <f>Base!S268</f>
        <v>Sin PIM</v>
      </c>
      <c r="R298" s="7">
        <f>Base!N268</f>
        <v>0.0</v>
      </c>
      <c r="S298" s="7">
        <f>Base!T268</f>
        <v>0.0</v>
      </c>
    </row>
    <row r="299" spans="1:19">
      <c r="A299" s="18">
        <f>SUBTOTAL(103,$B$6:B299)</f>
        <v>265</v>
      </c>
      <c r="B299" s="18">
        <v>141</v>
      </c>
      <c r="C299" s="6" t="str">
        <f>Base!H269</f>
        <v>2656878: MEJORAMIENTO DEL SERVICIO DE TRANSITABILIDAD VIAL INTERURBANA EN LA CARRETERA PU 535(COASA - TAMBILLO) , ¿ PU 534 (EMP PU 100 -TAYACUCHO - TAMBILLO) DE LOS   DISTRITOS DE COASA, ITUATA DE LA PROVINCIA DE CARABAYA DEL DEPARTAMENTO DE PUNO</v>
      </c>
      <c r="D299" s="7">
        <f>Base!I269</f>
        <v>300000.0</v>
      </c>
      <c r="E299" s="7">
        <f>Base!J269</f>
        <v>300000.0</v>
      </c>
      <c r="F299" s="7">
        <f>D299-E299</f>
        <v>0.0</v>
      </c>
      <c r="G299" s="7">
        <f>Base!L269</f>
        <v>0.0</v>
      </c>
      <c r="H299" s="7">
        <f>D299-G299</f>
        <v>300000.0</v>
      </c>
      <c r="I299" s="19">
        <f>IF(D299=0,0,G299/D299)</f>
        <v>0.0</v>
      </c>
      <c r="J299" s="6" t="str">
        <f>Base!U269</f>
        <v>Expediente técnico</v>
      </c>
      <c r="K299" s="6" t="str">
        <f>Base!R269</f>
        <v>Mayormente comprometido</v>
      </c>
      <c r="L299" s="7">
        <f>Base!V269</f>
        <v>50000.0</v>
      </c>
      <c r="M299" s="7">
        <f>Base!W269</f>
        <v>200000.0</v>
      </c>
      <c r="N299" s="7">
        <f>Base!X269</f>
        <v>0</v>
      </c>
      <c r="O299" s="7">
        <f>Base!Y269</f>
        <v>2000000.0</v>
      </c>
      <c r="P299" s="6">
        <f>IF(Base!Z269="","",Base!Z269)</f>
        <v/>
      </c>
      <c r="Q299" s="18" t="str">
        <f>Base!S269</f>
        <v>Difícil</v>
      </c>
      <c r="R299" s="7">
        <f>Base!N269</f>
        <v>0.0</v>
      </c>
      <c r="S299" s="7">
        <f>Base!T269</f>
        <v>0.0</v>
      </c>
    </row>
    <row r="300" spans="1:19">
      <c r="A300" s="18">
        <f>SUBTOTAL(103,$B$6:B300)</f>
        <v>266</v>
      </c>
      <c r="B300" s="18">
        <v>142</v>
      </c>
      <c r="C300" s="6" t="str">
        <f>Base!H270</f>
        <v>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v>
      </c>
      <c r="D300" s="7">
        <f>Base!I270</f>
        <v>330710.0</v>
      </c>
      <c r="E300" s="7">
        <f>Base!J270</f>
        <v>282398.95</v>
      </c>
      <c r="F300" s="7">
        <f>D300-E300</f>
        <v>48311.04999999999</v>
      </c>
      <c r="G300" s="7">
        <f>Base!L270</f>
        <v>191886.53999999998</v>
      </c>
      <c r="H300" s="7">
        <f>D300-G300</f>
        <v>138823.46000000002</v>
      </c>
      <c r="I300" s="19">
        <f>IF(D300=0,0,G300/D300)</f>
        <v>0.5802259986090532</v>
      </c>
      <c r="J300" s="6" t="str">
        <f>Base!U270</f>
        <v>Expediente técnico</v>
      </c>
      <c r="K300" s="6" t="str">
        <f>Base!R270</f>
        <v>Mayormente comprometido</v>
      </c>
      <c r="L300" s="7">
        <f>Base!V270</f>
        <v>50000.0</v>
      </c>
      <c r="M300" s="7">
        <f>Base!W270</f>
        <v>358745.0</v>
      </c>
      <c r="N300" s="7">
        <f>Base!X270</f>
        <v>0</v>
      </c>
      <c r="O300" s="7">
        <f>Base!Y270</f>
        <v>200000.0</v>
      </c>
      <c r="P300" s="6">
        <f>IF(Base!Z270="","",Base!Z270)</f>
        <v/>
      </c>
      <c r="Q300" s="18" t="str">
        <f>Base!S270</f>
        <v>Difícil</v>
      </c>
      <c r="R300" s="7">
        <f>Base!N270</f>
        <v>0.0</v>
      </c>
      <c r="S300" s="7">
        <f>Base!T270</f>
        <v>48311.04999999999</v>
      </c>
    </row>
    <row r="301" spans="1:19">
      <c r="A301" s="18">
        <f>SUBTOTAL(103,$B$6:B301)</f>
        <v>267</v>
      </c>
      <c r="B301" s="18">
        <v>143</v>
      </c>
      <c r="C301" s="6" t="str">
        <f>Base!H271</f>
        <v>2657484: CONSTRUCCION DE PUENTE; EN EL(LA) CARRETERA PU-111 (PUENTE TINTIRI) DEL  DISTRITO DE AZANGARO, PROVINCIA AZANGARO, DEPARTAMENTO PUNO</v>
      </c>
      <c r="D301" s="7">
        <f>Base!I271</f>
        <v>50000.0</v>
      </c>
      <c r="E301" s="7">
        <f>Base!J271</f>
        <v>49980.0</v>
      </c>
      <c r="F301" s="7">
        <f>D301-E301</f>
        <v>20.0</v>
      </c>
      <c r="G301" s="7">
        <f>Base!L271</f>
        <v>49974.770000000004</v>
      </c>
      <c r="H301" s="7">
        <f>D301-G301</f>
        <v>25.229999999995925</v>
      </c>
      <c r="I301" s="19">
        <f>IF(D301=0,0,G301/D301)</f>
        <v>0.9994954</v>
      </c>
      <c r="J301" s="6" t="str">
        <f>Base!U271</f>
        <v>Expediente técnico</v>
      </c>
      <c r="K301" s="6" t="str">
        <f>Base!R271</f>
        <v>Ejecutado</v>
      </c>
      <c r="L301" s="7">
        <f>Base!V271</f>
        <v>50000.0</v>
      </c>
      <c r="M301" s="7">
        <f>Base!W271</f>
        <v>1143284.0</v>
      </c>
      <c r="N301" s="7">
        <f>Base!X271</f>
        <v>37381.0</v>
      </c>
      <c r="O301" s="7">
        <f>Base!Y271</f>
        <v>0</v>
      </c>
      <c r="P301" s="6">
        <f>IF(Base!Z271="","",Base!Z271)</f>
        <v/>
      </c>
      <c r="Q301" s="18" t="str">
        <f>Base!S271</f>
        <v>No usar</v>
      </c>
      <c r="R301" s="7">
        <f>Base!N271</f>
        <v>0.0</v>
      </c>
      <c r="S301" s="7">
        <f>Base!T271</f>
        <v>0.0</v>
      </c>
    </row>
    <row r="302" spans="1:19">
      <c r="A302" s="18">
        <f>SUBTOTAL(103,$B$6:B302)</f>
        <v>268</v>
      </c>
      <c r="B302" s="18">
        <v>144</v>
      </c>
      <c r="C302" s="6" t="str">
        <f>Base!H272</f>
        <v>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v>
      </c>
      <c r="D302" s="7">
        <f>Base!I272</f>
        <v>278409.0</v>
      </c>
      <c r="E302" s="7">
        <f>Base!J272</f>
        <v>278409.0</v>
      </c>
      <c r="F302" s="7">
        <f>D302-E302</f>
        <v>0.0</v>
      </c>
      <c r="G302" s="7">
        <f>Base!L272</f>
        <v>202805.9</v>
      </c>
      <c r="H302" s="7">
        <f>D302-G302</f>
        <v>75603.1</v>
      </c>
      <c r="I302" s="19">
        <f>IF(D302=0,0,G302/D302)</f>
        <v>0.7284459194925451</v>
      </c>
      <c r="J302" s="6" t="str">
        <f>Base!U272</f>
        <v>Expediente técnico</v>
      </c>
      <c r="K302" s="6" t="str">
        <f>Base!R272</f>
        <v>Mayormente comprometido</v>
      </c>
      <c r="L302" s="7">
        <f>Base!V272</f>
        <v>50000.0</v>
      </c>
      <c r="M302" s="7">
        <f>Base!W272</f>
        <v>385474.0</v>
      </c>
      <c r="N302" s="7">
        <f>Base!X272</f>
        <v>0</v>
      </c>
      <c r="O302" s="7">
        <f>Base!Y272</f>
        <v>5626284.0</v>
      </c>
      <c r="P302" s="6">
        <f>IF(Base!Z272="","",Base!Z272)</f>
        <v/>
      </c>
      <c r="Q302" s="18" t="str">
        <f>Base!S272</f>
        <v>Difícil</v>
      </c>
      <c r="R302" s="7">
        <f>Base!N272</f>
        <v>0.0</v>
      </c>
      <c r="S302" s="7">
        <f>Base!T272</f>
        <v>0.0</v>
      </c>
    </row>
    <row r="303" spans="1:19">
      <c r="A303" s="18">
        <f>SUBTOTAL(103,$B$6:B303)</f>
        <v>269</v>
      </c>
      <c r="B303" s="18">
        <v>145</v>
      </c>
      <c r="C303" s="6" t="str">
        <f>Base!H273</f>
        <v>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v>
      </c>
      <c r="D303" s="7">
        <f>Base!I273</f>
        <v>390297.0</v>
      </c>
      <c r="E303" s="7">
        <f>Base!J273</f>
        <v>389428.6</v>
      </c>
      <c r="F303" s="7">
        <f>D303-E303</f>
        <v>868.4000000000233</v>
      </c>
      <c r="G303" s="7">
        <f>Base!L273</f>
        <v>251034.11000000002</v>
      </c>
      <c r="H303" s="7">
        <f>D303-G303</f>
        <v>139262.88999999998</v>
      </c>
      <c r="I303" s="19">
        <f>IF(D303=0,0,G303/D303)</f>
        <v>0.643187393190314</v>
      </c>
      <c r="J303" s="6" t="str">
        <f>Base!U273</f>
        <v>Expediente técnico</v>
      </c>
      <c r="K303" s="6" t="str">
        <f>Base!R273</f>
        <v>Mayormente comprometido</v>
      </c>
      <c r="L303" s="7">
        <f>Base!V273</f>
        <v>50000.0</v>
      </c>
      <c r="M303" s="7">
        <f>Base!W273</f>
        <v>0</v>
      </c>
      <c r="N303" s="7">
        <f>Base!X273</f>
        <v>0</v>
      </c>
      <c r="O303" s="7">
        <f>Base!Y273</f>
        <v>1000000.0</v>
      </c>
      <c r="P303" s="6">
        <f>IF(Base!Z273="","",Base!Z273)</f>
        <v/>
      </c>
      <c r="Q303" s="18" t="str">
        <f>Base!S273</f>
        <v>Difícil</v>
      </c>
      <c r="R303" s="7">
        <f>Base!N273</f>
        <v>43214.0</v>
      </c>
      <c r="S303" s="7">
        <f>Base!T273</f>
        <v>44082.40000000002</v>
      </c>
    </row>
    <row r="304" spans="1:19">
      <c r="A304" s="18">
        <f>SUBTOTAL(103,$B$6:B304)</f>
        <v>270</v>
      </c>
      <c r="B304" s="18">
        <v>146</v>
      </c>
      <c r="C304" s="6" t="str">
        <f>Base!H274</f>
        <v>2661648: CREACION DEL SERVICIO DE TRANSITABILIDAD VIAL INTERURBANA EN EL PUENTE COLGANTE PEATONAL  DE CENTRO POBLADO COHASIA DISTRITO DE HUANCANE DE LA PROVINCIA DE HUANCANE DEL DEPARTAMENTO DE PUNO</v>
      </c>
      <c r="D304" s="7">
        <f>Base!I274</f>
        <v>159651.0</v>
      </c>
      <c r="E304" s="7">
        <f>Base!J274</f>
        <v>151653.0</v>
      </c>
      <c r="F304" s="7">
        <f>D304-E304</f>
        <v>7998.0</v>
      </c>
      <c r="G304" s="7">
        <f>Base!L274</f>
        <v>12000.0</v>
      </c>
      <c r="H304" s="7">
        <f>D304-G304</f>
        <v>147651.0</v>
      </c>
      <c r="I304" s="19">
        <f>IF(D304=0,0,G304/D304)</f>
        <v>0.07516395136892347</v>
      </c>
      <c r="J304" s="6" t="str">
        <f>Base!U274</f>
        <v>Expediente técnico</v>
      </c>
      <c r="K304" s="6" t="str">
        <f>Base!R274</f>
        <v>Mayormente comprometido</v>
      </c>
      <c r="L304" s="7">
        <f>Base!V274</f>
        <v>50000.0</v>
      </c>
      <c r="M304" s="7">
        <f>Base!W274</f>
        <v>185425.0</v>
      </c>
      <c r="N304" s="7">
        <f>Base!X274</f>
        <v>500000.0</v>
      </c>
      <c r="O304" s="7">
        <f>Base!Y274</f>
        <v>1077676.0</v>
      </c>
      <c r="P304" s="6">
        <f>IF(Base!Z274="","",Base!Z274)</f>
        <v/>
      </c>
      <c r="Q304" s="18" t="str">
        <f>Base!S274</f>
        <v>Difícil</v>
      </c>
      <c r="R304" s="7">
        <f>Base!N274</f>
        <v>40000.0</v>
      </c>
      <c r="S304" s="7">
        <f>Base!T274</f>
        <v>47998.0</v>
      </c>
    </row>
    <row r="305" spans="1:19">
      <c r="A305" s="18">
        <f>SUBTOTAL(103,$B$6:B305)</f>
        <v>271</v>
      </c>
      <c r="B305" s="18">
        <v>147</v>
      </c>
      <c r="C305" s="6" t="str">
        <f>Base!H275</f>
        <v>2661660: MEJORAMIENTO DEL SERVICIO DE TRANSITABILIDAD VIAL INTERURBANA EN LA CARRETERA DESAGUADERO - LLALLAHUA , - VISTA ALEGRE - CHIMU - ANCOPUTO - ALTO PATACOLLO - HUAPACA SAN MIGUEL DE LOS   DISTRITOS DE DESAGUADERO, ZEPITA DE LA PROVINCIA DE CHUCUITO DEL DEPARTAMENTO DE PUNO</v>
      </c>
      <c r="D305" s="7">
        <f>Base!I275</f>
        <v>703231.0</v>
      </c>
      <c r="E305" s="7">
        <f>Base!J275</f>
        <v>681293.0</v>
      </c>
      <c r="F305" s="7">
        <f>D305-E305</f>
        <v>21938.0</v>
      </c>
      <c r="G305" s="7">
        <f>Base!L275</f>
        <v>575338.63</v>
      </c>
      <c r="H305" s="7">
        <f>D305-G305</f>
        <v>127892.37</v>
      </c>
      <c r="I305" s="19">
        <f>IF(D305=0,0,G305/D305)</f>
        <v>0.8181360463347037</v>
      </c>
      <c r="J305" s="6" t="str">
        <f>Base!U275</f>
        <v>Expediente técnico</v>
      </c>
      <c r="K305" s="6" t="str">
        <f>Base!R275</f>
        <v>Mayormente comprometido</v>
      </c>
      <c r="L305" s="7">
        <f>Base!V275</f>
        <v>50000.0</v>
      </c>
      <c r="M305" s="7">
        <f>Base!W275</f>
        <v>5548752.0</v>
      </c>
      <c r="N305" s="7">
        <f>Base!X275</f>
        <v>0</v>
      </c>
      <c r="O305" s="7">
        <f>Base!Y275</f>
        <v>1000000.0</v>
      </c>
      <c r="P305" s="6">
        <f>IF(Base!Z275="","",Base!Z275)</f>
        <v/>
      </c>
      <c r="Q305" s="18" t="str">
        <f>Base!S275</f>
        <v>Difícil</v>
      </c>
      <c r="R305" s="7">
        <f>Base!N275</f>
        <v>61200.0</v>
      </c>
      <c r="S305" s="7">
        <f>Base!T275</f>
        <v>83138.0</v>
      </c>
    </row>
    <row r="306" spans="1:19">
      <c r="A306" s="18">
        <f>SUBTOTAL(103,$B$6:B306)</f>
        <v>272</v>
      </c>
      <c r="B306" s="18">
        <v>148</v>
      </c>
      <c r="C306" s="6" t="str">
        <f>Base!H276</f>
        <v>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v>
      </c>
      <c r="D306" s="7">
        <f>Base!I276</f>
        <v>0.0</v>
      </c>
      <c r="E306" s="7">
        <f>Base!J276</f>
        <v>0.0</v>
      </c>
      <c r="F306" s="7">
        <f>D306-E306</f>
        <v>0.0</v>
      </c>
      <c r="G306" s="7">
        <f>Base!L276</f>
        <v>0.0</v>
      </c>
      <c r="H306" s="7">
        <f>D306-G306</f>
        <v>0.0</v>
      </c>
      <c r="I306" s="19">
        <f>IF(D306=0,0,G306/D306)</f>
        <v>0</v>
      </c>
      <c r="J306" s="6" t="str">
        <f>Base!U276</f>
        <v>Contrata</v>
      </c>
      <c r="K306" s="6" t="str">
        <f>Base!R276</f>
        <v>Sin PIM</v>
      </c>
      <c r="L306" s="7">
        <f>Base!V276</f>
        <v>50000.0</v>
      </c>
      <c r="M306" s="7">
        <f>Base!W276</f>
        <v>0</v>
      </c>
      <c r="N306" s="7">
        <f>Base!X276</f>
        <v>0</v>
      </c>
      <c r="O306" s="7">
        <f>Base!Y276</f>
        <v>500000.0</v>
      </c>
      <c r="P306" s="6">
        <f>IF(Base!Z276="","",Base!Z276)</f>
        <v/>
      </c>
      <c r="Q306" s="18" t="str">
        <f>Base!S276</f>
        <v>Sin PIM</v>
      </c>
      <c r="R306" s="7">
        <f>Base!N276</f>
        <v>0.0</v>
      </c>
      <c r="S306" s="7">
        <f>Base!T276</f>
        <v>0.0</v>
      </c>
    </row>
    <row r="307" spans="1:19">
      <c r="A307" s="18">
        <f>SUBTOTAL(103,$B$6:B307)</f>
        <v>273</v>
      </c>
      <c r="B307" s="18">
        <v>149</v>
      </c>
      <c r="C307" s="6" t="str">
        <f>Base!H277</f>
        <v>2670620: MEJORAMIENTO DEL SERVICIO DE TRANSITABILIDAD VIAL INTERURBANA EN LA CARRETERA JOSÉ DOMINGO CHOQUEHUANCA ¿ QUEQUERANA , ¿ PRIMER CHIMPA JILAHUATA - DV CAYRAHUIRE DE LOS   DISTRITOS DE JOSE DOMINGO CHOQUEHUANCA, AZANGARO DE LA PROVINCIA DE AZANGARO DEL DEPARTAMENTO DE PUNO</v>
      </c>
      <c r="D307" s="7">
        <f>Base!I277</f>
        <v>275790.0</v>
      </c>
      <c r="E307" s="7">
        <f>Base!J277</f>
        <v>274001.9</v>
      </c>
      <c r="F307" s="7">
        <f>D307-E307</f>
        <v>1788.0999999999767</v>
      </c>
      <c r="G307" s="7">
        <f>Base!L277</f>
        <v>155654.05000000002</v>
      </c>
      <c r="H307" s="7">
        <f>D307-G307</f>
        <v>120135.94999999998</v>
      </c>
      <c r="I307" s="19">
        <f>IF(D307=0,0,G307/D307)</f>
        <v>0.5643933790202691</v>
      </c>
      <c r="J307" s="6" t="str">
        <f>Base!U277</f>
        <v>Expediente técnico</v>
      </c>
      <c r="K307" s="6" t="str">
        <f>Base!R277</f>
        <v>Mayormente comprometido</v>
      </c>
      <c r="L307" s="7">
        <f>Base!V277</f>
        <v>50000.0</v>
      </c>
      <c r="M307" s="7">
        <f>Base!W277</f>
        <v>357845.0</v>
      </c>
      <c r="N307" s="7">
        <f>Base!X277</f>
        <v>0</v>
      </c>
      <c r="O307" s="7">
        <f>Base!Y277</f>
        <v>1000000.0</v>
      </c>
      <c r="P307" s="6">
        <f>IF(Base!Z277="","",Base!Z277)</f>
        <v/>
      </c>
      <c r="Q307" s="18" t="str">
        <f>Base!S277</f>
        <v>Difícil</v>
      </c>
      <c r="R307" s="7">
        <f>Base!N277</f>
        <v>74250.00000000003</v>
      </c>
      <c r="S307" s="7">
        <f>Base!T277</f>
        <v>76038.1</v>
      </c>
    </row>
    <row r="308" spans="1:19">
      <c r="A308" s="18">
        <f>SUBTOTAL(103,$B$6:B308)</f>
        <v>274</v>
      </c>
      <c r="B308" s="18">
        <v>150</v>
      </c>
      <c r="C308" s="6" t="str">
        <f>Base!H278</f>
        <v>2673441: MEJORAMIENTO DEL SERVICIO DE TRANSITABILIDAD VIAL INTERURBANA EN LA CARRETERA PU-1115 (EMP. PE-3S: INGENIO - EMP. PU-1116: ICHU) - PU-1116 (EMP. PU-1115: ICHU - EMP. PE-3S: SALLIHUA CALLEJÓN) DEL   DISTRITO DE PUNO DE LA PROVINCIA DE PUNO DEL DEPARTAMENTO DE PUNO</v>
      </c>
      <c r="D308" s="7">
        <f>Base!I278</f>
        <v>255799.0</v>
      </c>
      <c r="E308" s="7">
        <f>Base!J278</f>
        <v>195378.5</v>
      </c>
      <c r="F308" s="7">
        <f>D308-E308</f>
        <v>60420.5</v>
      </c>
      <c r="G308" s="7">
        <f>Base!L278</f>
        <v>138575.17</v>
      </c>
      <c r="H308" s="7">
        <f>D308-G308</f>
        <v>117223.82999999999</v>
      </c>
      <c r="I308" s="19">
        <f>IF(D308=0,0,G308/D308)</f>
        <v>0.5417346041227683</v>
      </c>
      <c r="J308" s="6" t="str">
        <f>Base!U278</f>
        <v>Expediente técnico / Contrata</v>
      </c>
      <c r="K308" s="6" t="str">
        <f>Base!R278</f>
        <v>Mayormente comprometido</v>
      </c>
      <c r="L308" s="7">
        <f>Base!V278</f>
        <v>800000.0</v>
      </c>
      <c r="M308" s="7">
        <f>Base!W278</f>
        <v>285985.0</v>
      </c>
      <c r="N308" s="7">
        <f>Base!X278</f>
        <v>0</v>
      </c>
      <c r="O308" s="7">
        <f>Base!Y278</f>
        <v>1000000.0</v>
      </c>
      <c r="P308" s="6">
        <f>IF(Base!Z278="","",Base!Z278)</f>
        <v/>
      </c>
      <c r="Q308" s="18" t="str">
        <f>Base!S278</f>
        <v>Difícil</v>
      </c>
      <c r="R308" s="7">
        <f>Base!N278</f>
        <v>2430.0</v>
      </c>
      <c r="S308" s="7">
        <f>Base!T278</f>
        <v>62850.5</v>
      </c>
    </row>
    <row r="309" spans="1:19">
      <c r="A309" s="18">
        <f>SUBTOTAL(103,$B$6:B309)</f>
        <v>275</v>
      </c>
      <c r="B309" s="18">
        <v>151</v>
      </c>
      <c r="C309" s="6" t="str">
        <f>Base!H279</f>
        <v>2681264: MEJORAMIENTO DEL SERVICIO DE TRANSITABILIDAD VIAL INTERURBANA EN LA CARRETERA PU-727 (PUCARA - CHIJNAYA) DEL   DISTRITO DE PUCARA DE LA PROVINCIA DE LAMPA DEL DEPARTAMENTO DE PUNO</v>
      </c>
      <c r="D309" s="7">
        <f>Base!I279</f>
        <v>222962.0</v>
      </c>
      <c r="E309" s="7">
        <f>Base!J279</f>
        <v>193349.5</v>
      </c>
      <c r="F309" s="7">
        <f>D309-E309</f>
        <v>29612.5</v>
      </c>
      <c r="G309" s="7">
        <f>Base!L279</f>
        <v>193266.31000000003</v>
      </c>
      <c r="H309" s="7">
        <f>D309-G309</f>
        <v>29695.689999999973</v>
      </c>
      <c r="I309" s="19">
        <f>IF(D309=0,0,G309/D309)</f>
        <v>0.8668127752711225</v>
      </c>
      <c r="J309" s="6" t="str">
        <f>Base!U279</f>
        <v>Expediente técnico</v>
      </c>
      <c r="K309" s="6" t="str">
        <f>Base!R279</f>
        <v>Mayormente comprometido</v>
      </c>
      <c r="L309" s="7">
        <f>Base!V279</f>
        <v>50000.0</v>
      </c>
      <c r="M309" s="7">
        <f>Base!W279</f>
        <v>248565.0</v>
      </c>
      <c r="N309" s="7">
        <f>Base!X279</f>
        <v>0</v>
      </c>
      <c r="O309" s="7">
        <f>Base!Y279</f>
        <v>500000.0</v>
      </c>
      <c r="P309" s="6">
        <f>IF(Base!Z279="","",Base!Z279)</f>
        <v/>
      </c>
      <c r="Q309" s="18" t="str">
        <f>Base!S279</f>
        <v>Difícil</v>
      </c>
      <c r="R309" s="7">
        <f>Base!N279</f>
        <v>0.0</v>
      </c>
      <c r="S309" s="7">
        <f>Base!T279</f>
        <v>29612.5</v>
      </c>
    </row>
    <row r="310" spans="1:19">
      <c r="A310" s="18">
        <f>SUBTOTAL(103,$B$6:B310)</f>
        <v>276</v>
      </c>
      <c r="B310" s="18">
        <v>324</v>
      </c>
      <c r="C310" s="6" t="str">
        <f>Base!H280</f>
        <v>2131661: CONSTRUCCION Y MEJORAMIENTO DE LA CARRETERA DESVIO VILQUECHICO-COJATA-SINA-YANAHUAYA.</v>
      </c>
      <c r="D310" s="7">
        <f>Base!I280</f>
        <v>1308901.0</v>
      </c>
      <c r="E310" s="7">
        <f>Base!J280</f>
        <v>1298673.22</v>
      </c>
      <c r="F310" s="7">
        <f>D310-E310</f>
        <v>10227.780000000028</v>
      </c>
      <c r="G310" s="7">
        <f>Base!L280</f>
        <v>8087.22</v>
      </c>
      <c r="H310" s="7">
        <f>D310-G310</f>
        <v>1300813.78</v>
      </c>
      <c r="I310" s="19">
        <f>IF(D310=0,0,G310/D310)</f>
        <v>0.0061786338309772855</v>
      </c>
      <c r="J310" s="6" t="str">
        <f>Base!U280</f>
        <v>Contrata / Expediente técnico</v>
      </c>
      <c r="K310" s="6" t="str">
        <f>Base!R280</f>
        <v>Parcialmente comprometido</v>
      </c>
      <c r="L310" s="7">
        <f>Base!V280</f>
        <v>4800690.0</v>
      </c>
      <c r="M310" s="7">
        <f>Base!W280</f>
        <v>4000000.0</v>
      </c>
      <c r="N310" s="7">
        <f>Base!X280</f>
        <v>14883202.0</v>
      </c>
      <c r="O310" s="7">
        <f>Base!Y280</f>
        <v>19038629.0</v>
      </c>
      <c r="P310" s="6">
        <f>IF(Base!Z280="","",Base!Z280)</f>
        <v/>
      </c>
      <c r="Q310" s="18" t="str">
        <f>Base!S280</f>
        <v>Parcial</v>
      </c>
      <c r="R310" s="7">
        <f>Base!N280</f>
        <v>1289186.0</v>
      </c>
      <c r="S310" s="7">
        <f>Base!T280</f>
        <v>1299413.78</v>
      </c>
    </row>
    <row r="311" spans="1:19">
      <c r="A311" s="15" t="s">
        <v>242</v>
      </c>
      <c r="B311" s="15"/>
      <c r="C311" s="15"/>
      <c r="D311" s="16">
        <f>SUM(D312:D315)</f>
        <v>493524.0</v>
      </c>
      <c r="E311" s="16">
        <f>SUM(E312:E315)</f>
        <v>220000.0</v>
      </c>
      <c r="F311" s="16">
        <f>D311-E311</f>
        <v>273524.0</v>
      </c>
      <c r="G311" s="16">
        <f>SUM(G312:G315)</f>
        <v>187967.16</v>
      </c>
      <c r="H311" s="16">
        <f>D311-G311</f>
        <v>305556.83999999997</v>
      </c>
      <c r="I311" s="17">
        <f>IF(D311=0,0,G311/D311)</f>
        <v>0.3808673134437231</v>
      </c>
      <c r="J311" s="15"/>
      <c r="K311" s="15"/>
      <c r="L311" s="15"/>
      <c r="M311" s="15"/>
      <c r="N311" s="15"/>
      <c r="O311" s="15"/>
      <c r="P311" s="15"/>
      <c r="Q311" s="15"/>
      <c r="R311" s="16">
        <f>SUM(R312:R315)</f>
        <v>30000.0</v>
      </c>
      <c r="S311" s="16">
        <f>SUM(S312:S315)</f>
        <v>303524.0</v>
      </c>
    </row>
    <row r="312" spans="1:19">
      <c r="A312" s="18">
        <f>SUBTOTAL(103,$B$6:B312)</f>
        <v>277</v>
      </c>
      <c r="B312" s="18">
        <v>68</v>
      </c>
      <c r="C312" s="6" t="str">
        <f>Base!H281</f>
        <v>2645444: REPARACION DE TRIBUNA Y/O PALCO; CONSTRUCCION DE CAMPO DEPORTIVO; EN EL(LA) ESTADIO MUNICIPAL DE PILCUYO  DISTRITO DE PILCUYO, PROVINCIA EL COLLAO, DEPARTAMENTO PUNO</v>
      </c>
      <c r="D312" s="7">
        <f>Base!I281</f>
        <v>48882.0</v>
      </c>
      <c r="E312" s="7">
        <f>Base!J281</f>
        <v>30000.0</v>
      </c>
      <c r="F312" s="7">
        <f>D312-E312</f>
        <v>18882.0</v>
      </c>
      <c r="G312" s="7">
        <f>Base!L281</f>
        <v>0.0</v>
      </c>
      <c r="H312" s="7">
        <f>D312-G312</f>
        <v>48882.0</v>
      </c>
      <c r="I312" s="19">
        <f>IF(D312=0,0,G312/D312)</f>
        <v>0.0</v>
      </c>
      <c r="J312" s="6" t="str">
        <f>Base!U281</f>
        <v>Expediente técnico</v>
      </c>
      <c r="K312" s="6" t="str">
        <f>Base!R281</f>
        <v>Solo certificado</v>
      </c>
      <c r="L312" s="7">
        <f>Base!V281</f>
        <v>1515300.0</v>
      </c>
      <c r="M312" s="7">
        <f>Base!W281</f>
        <v>2254875.0</v>
      </c>
      <c r="N312" s="7">
        <f>Base!X281</f>
        <v>0</v>
      </c>
      <c r="O312" s="7">
        <f>Base!Y281</f>
        <v>541142.0</v>
      </c>
      <c r="P312" s="6">
        <f>IF(Base!Z281="","",Base!Z281)</f>
        <v/>
      </c>
      <c r="Q312" s="18" t="str">
        <f>Base!S281</f>
        <v>Posible</v>
      </c>
      <c r="R312" s="7">
        <f>Base!N281</f>
        <v>30000.0</v>
      </c>
      <c r="S312" s="7">
        <f>Base!T281</f>
        <v>48882.0</v>
      </c>
    </row>
    <row r="313" spans="1:19">
      <c r="A313" s="18">
        <f>SUBTOTAL(103,$B$6:B313)</f>
        <v>278</v>
      </c>
      <c r="B313" s="18">
        <v>70</v>
      </c>
      <c r="C313" s="6" t="str">
        <f>Base!H282</f>
        <v>2646095: CONSTRUCCION DE CAMPO DEPORTIVO Y SERVICIOS HIGIENICOS Y/O VESTIDORES; REPARACION DE SERVICIOS HIGIENICOS Y/O VESTIDORES Y TRIBUNA Y/O PALCO; ADEMÁS DE OTROS ACTIVOS EN EL(LA) ESTADIO MUNICIPAL DE CONIMA  DISTRITO DE CONIMA, PROVINCIA MOHO, DEPARTAMENTO PUNO</v>
      </c>
      <c r="D313" s="7">
        <f>Base!I282</f>
        <v>25425.0</v>
      </c>
      <c r="E313" s="7">
        <f>Base!J282</f>
        <v>0.0</v>
      </c>
      <c r="F313" s="7">
        <f>D313-E313</f>
        <v>25425.0</v>
      </c>
      <c r="G313" s="7">
        <f>Base!L282</f>
        <v>0.0</v>
      </c>
      <c r="H313" s="7">
        <f>D313-G313</f>
        <v>25425.0</v>
      </c>
      <c r="I313" s="19">
        <f>IF(D313=0,0,G313/D313)</f>
        <v>0.0</v>
      </c>
      <c r="J313" s="6" t="str">
        <f>Base!U282</f>
        <v>Expediente técnico</v>
      </c>
      <c r="K313" s="6" t="str">
        <f>Base!R282</f>
        <v>Sin certificar</v>
      </c>
      <c r="L313" s="7">
        <f>Base!V282</f>
        <v>1893433.0</v>
      </c>
      <c r="M313" s="7">
        <f>Base!W282</f>
        <v>354254.0</v>
      </c>
      <c r="N313" s="7">
        <f>Base!X282</f>
        <v>0</v>
      </c>
      <c r="O313" s="7">
        <f>Base!Y282</f>
        <v>3069242.0</v>
      </c>
      <c r="P313" s="6">
        <f>IF(Base!Z282="","",Base!Z282)</f>
        <v/>
      </c>
      <c r="Q313" s="18" t="str">
        <f>Base!S282</f>
        <v>Disponible</v>
      </c>
      <c r="R313" s="7">
        <f>Base!N282</f>
        <v>0.0</v>
      </c>
      <c r="S313" s="7">
        <f>Base!T282</f>
        <v>25425.0</v>
      </c>
    </row>
    <row r="314" spans="1:19">
      <c r="A314" s="18">
        <f>SUBTOTAL(103,$B$6:B314)</f>
        <v>279</v>
      </c>
      <c r="B314" s="18">
        <v>74</v>
      </c>
      <c r="C314" s="6" t="str">
        <f>Base!H283</f>
        <v>2669946: MEJORAMIENTO DEL SERVICIO DE PRÁCTICA DEPORTIVA Y/O RECREATIVA EN ESTADIO MUNICIPAL DE MOHO   DISTRITO DE MOHO DE LA PROVINCIA DE MOHO DEL DEPARTAMENTO DE PUNO</v>
      </c>
      <c r="D314" s="7">
        <f>Base!I283</f>
        <v>50000.0</v>
      </c>
      <c r="E314" s="7">
        <f>Base!J283</f>
        <v>50000.0</v>
      </c>
      <c r="F314" s="7">
        <f>D314-E314</f>
        <v>0.0</v>
      </c>
      <c r="G314" s="7">
        <f>Base!L283</f>
        <v>47967.16</v>
      </c>
      <c r="H314" s="7">
        <f>D314-G314</f>
        <v>2032.8399999999965</v>
      </c>
      <c r="I314" s="19">
        <f>IF(D314=0,0,G314/D314)</f>
        <v>0.9593432000000001</v>
      </c>
      <c r="J314" s="6" t="str">
        <f>Base!U283</f>
        <v>Expediente técnico</v>
      </c>
      <c r="K314" s="6" t="str">
        <f>Base!R283</f>
        <v>Ejecutado</v>
      </c>
      <c r="L314" s="7">
        <f>Base!V283</f>
        <v>50000.0</v>
      </c>
      <c r="M314" s="7">
        <f>Base!W283</f>
        <v>254857.0</v>
      </c>
      <c r="N314" s="7">
        <f>Base!X283</f>
        <v>0</v>
      </c>
      <c r="O314" s="7">
        <f>Base!Y283</f>
        <v>1000000.0</v>
      </c>
      <c r="P314" s="6">
        <f>IF(Base!Z283="","",Base!Z283)</f>
        <v/>
      </c>
      <c r="Q314" s="18" t="str">
        <f>Base!S283</f>
        <v>No usar</v>
      </c>
      <c r="R314" s="7">
        <f>Base!N283</f>
        <v>0.0</v>
      </c>
      <c r="S314" s="7">
        <f>Base!T283</f>
        <v>0.0</v>
      </c>
    </row>
    <row r="315" spans="1:19">
      <c r="A315" s="18">
        <f>SUBTOTAL(103,$B$6:B315)</f>
        <v>280</v>
      </c>
      <c r="B315" s="18">
        <v>246</v>
      </c>
      <c r="C315" s="6" t="str">
        <f>Base!H284</f>
        <v>2527207: RECUPERACION DEL PUENTE COLONIAL DE LAMPA, DISTRITO DE LAMPA - PROVINCIA DE LAMPA - DEPARTAMENTO DE PUNO</v>
      </c>
      <c r="D315" s="7">
        <f>Base!I284</f>
        <v>369217.0</v>
      </c>
      <c r="E315" s="7">
        <f>Base!J284</f>
        <v>140000.0</v>
      </c>
      <c r="F315" s="7">
        <f>D315-E315</f>
        <v>229217.0</v>
      </c>
      <c r="G315" s="7">
        <f>Base!L284</f>
        <v>140000.0</v>
      </c>
      <c r="H315" s="7">
        <f>D315-G315</f>
        <v>229217.0</v>
      </c>
      <c r="I315" s="19">
        <f>IF(D315=0,0,G315/D315)</f>
        <v>0.3791808069509259</v>
      </c>
      <c r="J315" s="6" t="str">
        <f>Base!U284</f>
        <v>Expediente técnico / Contrata</v>
      </c>
      <c r="K315" s="6" t="str">
        <f>Base!R284</f>
        <v>Parcialmente comprometido</v>
      </c>
      <c r="L315" s="7" t="str">
        <f>Base!V284</f>
        <v>No registrado en cartera</v>
      </c>
      <c r="M315" s="7" t="str">
        <f>Base!W284</f>
        <v>No registrado en cartera</v>
      </c>
      <c r="N315" s="7" t="str">
        <f>Base!X284</f>
        <v>No registrado en cartera</v>
      </c>
      <c r="O315" s="7" t="str">
        <f>Base!Y284</f>
        <v>No registrado en cartera</v>
      </c>
      <c r="P315" s="6">
        <f>IF(Base!Z284="","",Base!Z284)</f>
        <v/>
      </c>
      <c r="Q315" s="18" t="str">
        <f>Base!S284</f>
        <v>Parcial</v>
      </c>
      <c r="R315" s="7">
        <f>Base!N284</f>
        <v>0.0</v>
      </c>
      <c r="S315" s="7">
        <f>Base!T284</f>
        <v>229217.0</v>
      </c>
    </row>
    <row r="316" spans="1:19">
      <c r="A316" s="15" t="s">
        <v>271</v>
      </c>
      <c r="B316" s="15"/>
      <c r="C316" s="15"/>
      <c r="D316" s="16">
        <f>SUM(D317:D319)</f>
        <v>1376515.0</v>
      </c>
      <c r="E316" s="16">
        <f>SUM(E317:E319)</f>
        <v>0.0</v>
      </c>
      <c r="F316" s="16">
        <f>D316-E316</f>
        <v>1376515.0</v>
      </c>
      <c r="G316" s="16">
        <f>SUM(G317:G319)</f>
        <v>0.0</v>
      </c>
      <c r="H316" s="16">
        <f>D316-G316</f>
        <v>1376515.0</v>
      </c>
      <c r="I316" s="17">
        <f>IF(D316=0,0,G316/D316)</f>
        <v>0.0</v>
      </c>
      <c r="J316" s="15"/>
      <c r="K316" s="15"/>
      <c r="L316" s="15"/>
      <c r="M316" s="15"/>
      <c r="N316" s="15"/>
      <c r="O316" s="15"/>
      <c r="P316" s="15"/>
      <c r="Q316" s="15"/>
      <c r="R316" s="16">
        <f>SUM(R317:R319)</f>
        <v>0.0</v>
      </c>
      <c r="S316" s="16">
        <f>SUM(S317:S319)</f>
        <v>1376515.0</v>
      </c>
    </row>
    <row r="317" spans="1:19">
      <c r="A317" s="18">
        <f>SUBTOTAL(103,$B$6:B317)</f>
        <v>281</v>
      </c>
      <c r="B317" s="18">
        <v>231</v>
      </c>
      <c r="C317" s="6" t="str">
        <f>Base!H285</f>
        <v>2393101: MEJORAMIENTO Y AMPLIACION DEL SERVICIO ADMINISTRATIVO DE LA UNIDAD  DE  GESTIÓN EDUCATIVA LOCAL MELGAR EN EL DISTRITO DE AYAVIRI, PROVINCIA DE MELGAR, REGIÓN PUNO</v>
      </c>
      <c r="D317" s="7">
        <f>Base!I285</f>
        <v>0.0</v>
      </c>
      <c r="E317" s="7">
        <f>Base!J285</f>
        <v>0.0</v>
      </c>
      <c r="F317" s="7">
        <f>D317-E317</f>
        <v>0.0</v>
      </c>
      <c r="G317" s="7">
        <f>Base!L285</f>
        <v>0.0</v>
      </c>
      <c r="H317" s="7">
        <f>D317-G317</f>
        <v>0.0</v>
      </c>
      <c r="I317" s="19">
        <f>IF(D317=0,0,G317/D317)</f>
        <v>0</v>
      </c>
      <c r="J317" s="6" t="str">
        <f>Base!U285</f>
        <v>Contrata</v>
      </c>
      <c r="K317" s="6" t="str">
        <f>Base!R285</f>
        <v>Sin PIM</v>
      </c>
      <c r="L317" s="7">
        <f>Base!V285</f>
        <v>154969.0</v>
      </c>
      <c r="M317" s="7">
        <f>Base!W285</f>
        <v>0</v>
      </c>
      <c r="N317" s="7">
        <f>Base!X285</f>
        <v>0</v>
      </c>
      <c r="O317" s="7">
        <f>Base!Y285</f>
        <v>0</v>
      </c>
      <c r="P317" s="6">
        <f>IF(Base!Z285="","",Base!Z285)</f>
        <v/>
      </c>
      <c r="Q317" s="18" t="str">
        <f>Base!S285</f>
        <v>Sin PIM</v>
      </c>
      <c r="R317" s="7">
        <f>Base!N285</f>
        <v>0.0</v>
      </c>
      <c r="S317" s="7">
        <f>Base!T285</f>
        <v>0.0</v>
      </c>
    </row>
    <row r="318" spans="1:19">
      <c r="A318" s="18">
        <f>SUBTOTAL(103,$B$6:B318)</f>
        <v>282</v>
      </c>
      <c r="B318" s="18">
        <v>232</v>
      </c>
      <c r="C318" s="6" t="str">
        <f>Base!H286</f>
        <v>2411317: MEJORAMIENTO DE LOS SERVICIOS PÚBLICOS DEL GOBIERNO REGIONAL PUNO - SEDE CENTRAL , DEL DISTRITO DE PUNO - PROVINCIA DE PUNO - DEPARTAMENTO DE PUNO</v>
      </c>
      <c r="D318" s="7">
        <f>Base!I286</f>
        <v>0.0</v>
      </c>
      <c r="E318" s="7">
        <f>Base!J286</f>
        <v>0.0</v>
      </c>
      <c r="F318" s="7">
        <f>D318-E318</f>
        <v>0.0</v>
      </c>
      <c r="G318" s="7">
        <f>Base!L286</f>
        <v>0.0</v>
      </c>
      <c r="H318" s="7">
        <f>D318-G318</f>
        <v>0.0</v>
      </c>
      <c r="I318" s="19">
        <f>IF(D318=0,0,G318/D318)</f>
        <v>0</v>
      </c>
      <c r="J318" s="6" t="str">
        <f>Base!U286</f>
        <v>Contrata</v>
      </c>
      <c r="K318" s="6" t="str">
        <f>Base!R286</f>
        <v>Sin PIM</v>
      </c>
      <c r="L318" s="7">
        <f>Base!V286</f>
        <v>10763553.0</v>
      </c>
      <c r="M318" s="7">
        <f>Base!W286</f>
        <v>0</v>
      </c>
      <c r="N318" s="7">
        <f>Base!X286</f>
        <v>0</v>
      </c>
      <c r="O318" s="7">
        <f>Base!Y286</f>
        <v>0</v>
      </c>
      <c r="P318" s="6">
        <f>IF(Base!Z286="","",Base!Z286)</f>
        <v/>
      </c>
      <c r="Q318" s="18" t="str">
        <f>Base!S286</f>
        <v>Sin PIM</v>
      </c>
      <c r="R318" s="7">
        <f>Base!N286</f>
        <v>0.0</v>
      </c>
      <c r="S318" s="7">
        <f>Base!T286</f>
        <v>0.0</v>
      </c>
    </row>
    <row r="319" spans="1:19">
      <c r="A319" s="18">
        <f>SUBTOTAL(103,$B$6:B319)</f>
        <v>283</v>
      </c>
      <c r="B319" s="18">
        <v>507</v>
      </c>
      <c r="C319" s="6" t="str">
        <f>Base!H287</f>
        <v>2658446: PROYECTOS PARA EL DESARROLLO LOCAL</v>
      </c>
      <c r="D319" s="7">
        <f>Base!I287</f>
        <v>1376515.0</v>
      </c>
      <c r="E319" s="7">
        <f>Base!J287</f>
        <v>0.0</v>
      </c>
      <c r="F319" s="7">
        <f>D319-E319</f>
        <v>1376515.0</v>
      </c>
      <c r="G319" s="7">
        <f>Base!L287</f>
        <v>0.0</v>
      </c>
      <c r="H319" s="7">
        <f>D319-G319</f>
        <v>1376515.0</v>
      </c>
      <c r="I319" s="19">
        <f>IF(D319=0,0,G319/D319)</f>
        <v>0.0</v>
      </c>
      <c r="J319" s="6" t="str">
        <f>Base!U287</f>
        <v>Contrata</v>
      </c>
      <c r="K319" s="6" t="str">
        <f>Base!R287</f>
        <v>Sin certificar</v>
      </c>
      <c r="L319" s="7" t="str">
        <f>Base!V287</f>
        <v>No registrado en cartera</v>
      </c>
      <c r="M319" s="7" t="str">
        <f>Base!W287</f>
        <v>No registrado en cartera</v>
      </c>
      <c r="N319" s="7" t="str">
        <f>Base!X287</f>
        <v>No registrado en cartera</v>
      </c>
      <c r="O319" s="7" t="str">
        <f>Base!Y287</f>
        <v>No registrado en cartera</v>
      </c>
      <c r="P319" s="6">
        <f>IF(Base!Z287="","",Base!Z287)</f>
        <v/>
      </c>
      <c r="Q319" s="18" t="str">
        <f>Base!S287</f>
        <v>Disponible</v>
      </c>
      <c r="R319" s="7">
        <f>Base!N287</f>
        <v>0.0</v>
      </c>
      <c r="S319" s="7">
        <f>Base!T287</f>
        <v>1376515.0</v>
      </c>
    </row>
    <row r="320" spans="1:19">
      <c r="A320" s="15" t="s">
        <v>951</v>
      </c>
      <c r="B320" s="15"/>
      <c r="C320" s="15"/>
      <c r="D320" s="16">
        <f>SUM(D321:D321)</f>
        <v>46429.0</v>
      </c>
      <c r="E320" s="16">
        <f>SUM(E321:E321)</f>
        <v>0.0</v>
      </c>
      <c r="F320" s="16">
        <f>D320-E320</f>
        <v>46429.0</v>
      </c>
      <c r="G320" s="16">
        <f>SUM(G321:G321)</f>
        <v>0.0</v>
      </c>
      <c r="H320" s="16">
        <f>D320-G320</f>
        <v>46429.0</v>
      </c>
      <c r="I320" s="17">
        <f>IF(D320=0,0,G320/D320)</f>
        <v>0.0</v>
      </c>
      <c r="J320" s="15"/>
      <c r="K320" s="15"/>
      <c r="L320" s="15"/>
      <c r="M320" s="15"/>
      <c r="N320" s="15"/>
      <c r="O320" s="15"/>
      <c r="P320" s="15"/>
      <c r="Q320" s="15"/>
      <c r="R320" s="16">
        <f>SUM(R321:R321)</f>
        <v>0.0</v>
      </c>
      <c r="S320" s="16">
        <f>SUM(S321:S321)</f>
        <v>46429.0</v>
      </c>
    </row>
    <row r="321" spans="1:19">
      <c r="A321" s="18">
        <f>SUBTOTAL(103,$B$6:B321)</f>
        <v>284</v>
      </c>
      <c r="B321" s="18">
        <v>225</v>
      </c>
      <c r="C321" s="6" t="str">
        <f>Base!H288</f>
        <v>2343538: CREACION DE LOS SERVICIOS DE PROMOCIÓN DEL COMERCIO EXTERIOR EN LA ZEEDE PUNO - REGIÓN DE PUNO</v>
      </c>
      <c r="D321" s="7">
        <f>Base!I288</f>
        <v>46429.0</v>
      </c>
      <c r="E321" s="7">
        <f>Base!J288</f>
        <v>0.0</v>
      </c>
      <c r="F321" s="7">
        <f>D321-E321</f>
        <v>46429.0</v>
      </c>
      <c r="G321" s="7">
        <f>Base!L288</f>
        <v>0.0</v>
      </c>
      <c r="H321" s="7">
        <f>D321-G321</f>
        <v>46429.0</v>
      </c>
      <c r="I321" s="19">
        <f>IF(D321=0,0,G321/D321)</f>
        <v>0.0</v>
      </c>
      <c r="J321" s="6" t="str">
        <f>Base!U288</f>
        <v>Contrata</v>
      </c>
      <c r="K321" s="6" t="str">
        <f>Base!R288</f>
        <v>Sin certificar</v>
      </c>
      <c r="L321" s="7">
        <f>Base!V288</f>
        <v>800000.0</v>
      </c>
      <c r="M321" s="7">
        <f>Base!W288</f>
        <v>580909.0</v>
      </c>
      <c r="N321" s="7">
        <f>Base!X288</f>
        <v>800000.0</v>
      </c>
      <c r="O321" s="7">
        <f>Base!Y288</f>
        <v>800000.0</v>
      </c>
      <c r="P321" s="6">
        <f>IF(Base!Z288="","",Base!Z288)</f>
        <v/>
      </c>
      <c r="Q321" s="18" t="str">
        <f>Base!S288</f>
        <v>Disponible</v>
      </c>
      <c r="R321" s="7">
        <f>Base!N288</f>
        <v>0.0</v>
      </c>
      <c r="S321" s="7">
        <f>Base!T288</f>
        <v>46429.0</v>
      </c>
    </row>
    <row r="322" spans="1:19">
      <c r="A322" s="15" t="s">
        <v>956</v>
      </c>
      <c r="B322" s="15"/>
      <c r="C322" s="15"/>
      <c r="D322" s="16">
        <f>SUM(D323:D323)</f>
        <v>1349649.0</v>
      </c>
      <c r="E322" s="16">
        <f>SUM(E323:E323)</f>
        <v>0.0</v>
      </c>
      <c r="F322" s="16">
        <f>D322-E322</f>
        <v>1349649.0</v>
      </c>
      <c r="G322" s="16">
        <f>SUM(G323:G323)</f>
        <v>0.0</v>
      </c>
      <c r="H322" s="16">
        <f>D322-G322</f>
        <v>1349649.0</v>
      </c>
      <c r="I322" s="17">
        <f>IF(D322=0,0,G322/D322)</f>
        <v>0.0</v>
      </c>
      <c r="J322" s="15"/>
      <c r="K322" s="15"/>
      <c r="L322" s="15"/>
      <c r="M322" s="15"/>
      <c r="N322" s="15"/>
      <c r="O322" s="15"/>
      <c r="P322" s="15"/>
      <c r="Q322" s="15"/>
      <c r="R322" s="16">
        <f>SUM(R323:R323)</f>
        <v>0.0</v>
      </c>
      <c r="S322" s="16">
        <f>SUM(S323:S323)</f>
        <v>1349649.0</v>
      </c>
    </row>
    <row r="323" spans="1:19">
      <c r="A323" s="18">
        <f>SUBTOTAL(103,$B$6:B323)</f>
        <v>285</v>
      </c>
      <c r="B323" s="18">
        <v>270</v>
      </c>
      <c r="C323" s="6" t="str">
        <f>Base!H289</f>
        <v>2645524: MEJORAMIENTO DE LOS SERVICIOS TURÍSTICOS PÚBLICOS EN RECURSOS TURÍSTICOS  EN 4 UNIDADES PRODUCTORAS  4 DISTRITOS  DE 3 PROVINCIAS DEL DEPARTAMENTO DE PUNO</v>
      </c>
      <c r="D323" s="7">
        <f>Base!I289</f>
        <v>1349649.0</v>
      </c>
      <c r="E323" s="7">
        <f>Base!J289</f>
        <v>0.0</v>
      </c>
      <c r="F323" s="7">
        <f>D323-E323</f>
        <v>1349649.0</v>
      </c>
      <c r="G323" s="7">
        <f>Base!L289</f>
        <v>0.0</v>
      </c>
      <c r="H323" s="7">
        <f>D323-G323</f>
        <v>1349649.0</v>
      </c>
      <c r="I323" s="19">
        <f>IF(D323=0,0,G323/D323)</f>
        <v>0.0</v>
      </c>
      <c r="J323" s="6" t="str">
        <f>Base!U289</f>
        <v>Contrata</v>
      </c>
      <c r="K323" s="6" t="str">
        <f>Base!R289</f>
        <v>Sin certificar</v>
      </c>
      <c r="L323" s="7">
        <f>Base!V289</f>
        <v>1349649.0</v>
      </c>
      <c r="M323" s="7">
        <f>Base!W289</f>
        <v>0</v>
      </c>
      <c r="N323" s="7">
        <f>Base!X289</f>
        <v>0</v>
      </c>
      <c r="O323" s="7">
        <f>Base!Y289</f>
        <v>1000000.0</v>
      </c>
      <c r="P323" s="6">
        <f>IF(Base!Z289="","",Base!Z289)</f>
        <v/>
      </c>
      <c r="Q323" s="18" t="str">
        <f>Base!S289</f>
        <v>Disponible</v>
      </c>
      <c r="R323" s="7">
        <f>Base!N289</f>
        <v>0.0</v>
      </c>
      <c r="S323" s="7">
        <f>Base!T289</f>
        <v>1349649.0</v>
      </c>
    </row>
    <row r="324" spans="1:19">
      <c r="A324" s="15" t="s">
        <v>960</v>
      </c>
      <c r="B324" s="15"/>
      <c r="C324" s="15"/>
      <c r="D324" s="16">
        <f>SUM(D325:D325)</f>
        <v>100000.0</v>
      </c>
      <c r="E324" s="16">
        <f>SUM(E325:E325)</f>
        <v>0.0</v>
      </c>
      <c r="F324" s="16">
        <f>D324-E324</f>
        <v>100000.0</v>
      </c>
      <c r="G324" s="16">
        <f>SUM(G325:G325)</f>
        <v>0.0</v>
      </c>
      <c r="H324" s="16">
        <f>D324-G324</f>
        <v>100000.0</v>
      </c>
      <c r="I324" s="17">
        <f>IF(D324=0,0,G324/D324)</f>
        <v>0.0</v>
      </c>
      <c r="J324" s="15"/>
      <c r="K324" s="15"/>
      <c r="L324" s="15"/>
      <c r="M324" s="15"/>
      <c r="N324" s="15"/>
      <c r="O324" s="15"/>
      <c r="P324" s="15"/>
      <c r="Q324" s="15"/>
      <c r="R324" s="16">
        <f>SUM(R325:R325)</f>
        <v>0.0</v>
      </c>
      <c r="S324" s="16">
        <f>SUM(S325:S325)</f>
        <v>100000.0</v>
      </c>
    </row>
    <row r="325" spans="1:19">
      <c r="A325" s="18">
        <f>SUBTOTAL(103,$B$6:B325)</f>
        <v>286</v>
      </c>
      <c r="B325" s="18">
        <v>153</v>
      </c>
      <c r="C325" s="6" t="str">
        <f>Base!H290</f>
        <v>2625216: MEJORAMIENTO DE LOS SERVICIOS ECOSISTEMICOS EN EL RIO TOROCOCHA DE LA LOCALIDAD DE JULIACA DISTRITO DE JULIACA DE LA PROVINCIA DE SAN ROMAN DEL DEPARTAMENTO DE PUNO</v>
      </c>
      <c r="D325" s="7">
        <f>Base!I290</f>
        <v>100000.0</v>
      </c>
      <c r="E325" s="7">
        <f>Base!J290</f>
        <v>0.0</v>
      </c>
      <c r="F325" s="7">
        <f>D325-E325</f>
        <v>100000.0</v>
      </c>
      <c r="G325" s="7">
        <f>Base!L290</f>
        <v>0.0</v>
      </c>
      <c r="H325" s="7">
        <f>D325-G325</f>
        <v>100000.0</v>
      </c>
      <c r="I325" s="19">
        <f>IF(D325=0,0,G325/D325)</f>
        <v>0.0</v>
      </c>
      <c r="J325" s="6" t="str">
        <f>Base!U290</f>
        <v>Contrata</v>
      </c>
      <c r="K325" s="6" t="str">
        <f>Base!R290</f>
        <v>Sin certificar</v>
      </c>
      <c r="L325" s="7" t="str">
        <f>Base!V290</f>
        <v>No registrado en cartera</v>
      </c>
      <c r="M325" s="7" t="str">
        <f>Base!W290</f>
        <v>No registrado en cartera</v>
      </c>
      <c r="N325" s="7" t="str">
        <f>Base!X290</f>
        <v>No registrado en cartera</v>
      </c>
      <c r="O325" s="7" t="str">
        <f>Base!Y290</f>
        <v>No registrado en cartera</v>
      </c>
      <c r="P325" s="6">
        <f>IF(Base!Z290="","",Base!Z290)</f>
        <v/>
      </c>
      <c r="Q325" s="18" t="str">
        <f>Base!S290</f>
        <v>Disponible</v>
      </c>
      <c r="R325" s="7">
        <f>Base!N290</f>
        <v>0.0</v>
      </c>
      <c r="S325" s="7">
        <f>Base!T290</f>
        <v>100000.0</v>
      </c>
    </row>
    <row r="326" spans="1:19">
      <c r="A326" s="15" t="s">
        <v>964</v>
      </c>
      <c r="B326" s="15"/>
      <c r="C326" s="15"/>
      <c r="D326" s="16">
        <f>SUM(D327:D327)</f>
        <v>0.0</v>
      </c>
      <c r="E326" s="16">
        <f>SUM(E327:E327)</f>
        <v>0.0</v>
      </c>
      <c r="F326" s="16">
        <f>D326-E326</f>
        <v>0.0</v>
      </c>
      <c r="G326" s="16">
        <f>SUM(G327:G327)</f>
        <v>0.0</v>
      </c>
      <c r="H326" s="16">
        <f>D326-G326</f>
        <v>0.0</v>
      </c>
      <c r="I326" s="17">
        <f>IF(D326=0,0,G326/D326)</f>
        <v>0</v>
      </c>
      <c r="J326" s="15"/>
      <c r="K326" s="15"/>
      <c r="L326" s="15"/>
      <c r="M326" s="15"/>
      <c r="N326" s="15"/>
      <c r="O326" s="15"/>
      <c r="P326" s="15"/>
      <c r="Q326" s="15"/>
      <c r="R326" s="16">
        <f>SUM(R327:R327)</f>
        <v>0.0</v>
      </c>
      <c r="S326" s="16">
        <f>SUM(S327:S327)</f>
        <v>0.0</v>
      </c>
    </row>
    <row r="327" spans="1:19">
      <c r="A327" s="18">
        <f>SUBTOTAL(103,$B$6:B327)</f>
        <v>287</v>
      </c>
      <c r="B327" s="18">
        <v>236</v>
      </c>
      <c r="C327" s="6" t="str">
        <f>Base!H291</f>
        <v>2462296: CREACION DEL SERVICIO DE TRANSITABILIDAD A TRAVES DE LA INSTALACION DE PUENTES PEATONALES EN LAS PROVINCIAS DE CARABAYA Y SANDIA DEL  DEPARTAMENTO DE PUNO</v>
      </c>
      <c r="D327" s="7">
        <f>Base!I291</f>
        <v>0.0</v>
      </c>
      <c r="E327" s="7">
        <f>Base!J291</f>
        <v>0.0</v>
      </c>
      <c r="F327" s="7">
        <f>D327-E327</f>
        <v>0.0</v>
      </c>
      <c r="G327" s="7">
        <f>Base!L291</f>
        <v>0.0</v>
      </c>
      <c r="H327" s="7">
        <f>D327-G327</f>
        <v>0.0</v>
      </c>
      <c r="I327" s="19">
        <f>IF(D327=0,0,G327/D327)</f>
        <v>0</v>
      </c>
      <c r="J327" s="6" t="str">
        <f>Base!U291</f>
        <v>Contrata</v>
      </c>
      <c r="K327" s="6" t="str">
        <f>Base!R291</f>
        <v>Sin PIM</v>
      </c>
      <c r="L327" s="7">
        <f>Base!V291</f>
        <v>250000.0</v>
      </c>
      <c r="M327" s="7">
        <f>Base!W291</f>
        <v>0</v>
      </c>
      <c r="N327" s="7">
        <f>Base!X291</f>
        <v>0</v>
      </c>
      <c r="O327" s="7">
        <f>Base!Y291</f>
        <v>0</v>
      </c>
      <c r="P327" s="6">
        <f>IF(Base!Z291="","",Base!Z291)</f>
        <v/>
      </c>
      <c r="Q327" s="18" t="str">
        <f>Base!S291</f>
        <v>Sin PIM</v>
      </c>
      <c r="R327" s="7">
        <f>Base!N291</f>
        <v>0.0</v>
      </c>
      <c r="S327" s="7">
        <f>Base!T291</f>
        <v>0.0</v>
      </c>
    </row>
    <row r="328" spans="1:19">
      <c r="A328" s="8" t="s">
        <v>1426</v>
      </c>
      <c r="B328" s="8"/>
      <c r="C328" s="8"/>
      <c r="D328" s="9">
        <f>D329+D331</f>
        <v>501109.0</v>
      </c>
      <c r="E328" s="9">
        <f>E329+E331</f>
        <v>282553.0</v>
      </c>
      <c r="F328" s="9">
        <f>D328-E328</f>
        <v>218556.0</v>
      </c>
      <c r="G328" s="9">
        <f>G329+G331</f>
        <v>0.0</v>
      </c>
      <c r="H328" s="9">
        <f>D328-G328</f>
        <v>501109.0</v>
      </c>
      <c r="I328" s="14">
        <f>IF(D328=0,0,G328/D328)</f>
        <v>0.0</v>
      </c>
      <c r="J328" s="8"/>
      <c r="K328" s="8"/>
      <c r="L328" s="8"/>
      <c r="M328" s="8"/>
      <c r="N328" s="8"/>
      <c r="O328" s="8"/>
      <c r="P328" s="8"/>
      <c r="Q328" s="8"/>
      <c r="R328" s="9">
        <f>R329+R331</f>
        <v>0.0</v>
      </c>
      <c r="S328" s="9">
        <f>S329+S331</f>
        <v>218556.0</v>
      </c>
    </row>
    <row r="329" spans="1:19">
      <c r="A329" s="15" t="s">
        <v>58</v>
      </c>
      <c r="B329" s="15"/>
      <c r="C329" s="15"/>
      <c r="D329" s="16">
        <f>SUM(D330:D330)</f>
        <v>282553.0</v>
      </c>
      <c r="E329" s="16">
        <f>SUM(E330:E330)</f>
        <v>282553.0</v>
      </c>
      <c r="F329" s="16">
        <f>D329-E329</f>
        <v>0.0</v>
      </c>
      <c r="G329" s="16">
        <f>SUM(G330:G330)</f>
        <v>0.0</v>
      </c>
      <c r="H329" s="16">
        <f>D329-G329</f>
        <v>282553.0</v>
      </c>
      <c r="I329" s="17">
        <f>IF(D329=0,0,G329/D329)</f>
        <v>0.0</v>
      </c>
      <c r="J329" s="15"/>
      <c r="K329" s="15"/>
      <c r="L329" s="15"/>
      <c r="M329" s="15"/>
      <c r="N329" s="15"/>
      <c r="O329" s="15"/>
      <c r="P329" s="15"/>
      <c r="Q329" s="15"/>
      <c r="R329" s="16">
        <f>SUM(R330:R330)</f>
        <v>0.0</v>
      </c>
      <c r="S329" s="16">
        <f>SUM(S330:S330)</f>
        <v>0.0</v>
      </c>
    </row>
    <row r="330" spans="1:19">
      <c r="A330" s="18">
        <f>SUBTOTAL(103,$B$6:B330)</f>
        <v>288</v>
      </c>
      <c r="B330" s="18">
        <v>284</v>
      </c>
      <c r="C330" s="6" t="str">
        <f>Base!H442</f>
        <v>2662519: MEJORAMIENTO DEL SERVICIO DE ATENCIÓN DE SALUD BÁSICOS EN C.S. CLAS PUSI   DISTRITO DE PUSI DE LA PROVINCIA DE HUANCANE DEL DEPARTAMENTO DE PUNO</v>
      </c>
      <c r="D330" s="7">
        <f>Base!I442</f>
        <v>282553.0</v>
      </c>
      <c r="E330" s="7">
        <f>Base!J442</f>
        <v>282553.0</v>
      </c>
      <c r="F330" s="7">
        <f>D330-E330</f>
        <v>0.0</v>
      </c>
      <c r="G330" s="7">
        <f>Base!L442</f>
        <v>0.0</v>
      </c>
      <c r="H330" s="7">
        <f>D330-G330</f>
        <v>282553.0</v>
      </c>
      <c r="I330" s="19">
        <f>IF(D330=0,0,G330/D330)</f>
        <v>0.0</v>
      </c>
      <c r="J330" s="6" t="str">
        <f>Base!U442</f>
        <v>Expediente técnico</v>
      </c>
      <c r="K330" s="6" t="str">
        <f>Base!R442</f>
        <v>Mayormente comprometido</v>
      </c>
      <c r="L330" s="7">
        <f>Base!V442</f>
        <v>50000.0</v>
      </c>
      <c r="M330" s="7">
        <f>Base!W442</f>
        <v>0</v>
      </c>
      <c r="N330" s="7">
        <f>Base!X442</f>
        <v>0</v>
      </c>
      <c r="O330" s="7">
        <f>Base!Y442</f>
        <v>1000000.0</v>
      </c>
      <c r="P330" s="6">
        <f>IF(Base!Z442="","",Base!Z442)</f>
        <v/>
      </c>
      <c r="Q330" s="18" t="str">
        <f>Base!S442</f>
        <v>Difícil</v>
      </c>
      <c r="R330" s="7">
        <f>Base!N442</f>
        <v>0.0</v>
      </c>
      <c r="S330" s="7">
        <f>Base!T442</f>
        <v>0.0</v>
      </c>
    </row>
    <row r="331" spans="1:19">
      <c r="A331" s="15" t="s">
        <v>71</v>
      </c>
      <c r="B331" s="15"/>
      <c r="C331" s="15"/>
      <c r="D331" s="16">
        <f>SUM(D332:D332)</f>
        <v>218556.0</v>
      </c>
      <c r="E331" s="16">
        <f>SUM(E332:E332)</f>
        <v>0.0</v>
      </c>
      <c r="F331" s="16">
        <f>D331-E331</f>
        <v>218556.0</v>
      </c>
      <c r="G331" s="16">
        <f>SUM(G332:G332)</f>
        <v>0.0</v>
      </c>
      <c r="H331" s="16">
        <f>D331-G331</f>
        <v>218556.0</v>
      </c>
      <c r="I331" s="17">
        <f>IF(D331=0,0,G331/D331)</f>
        <v>0.0</v>
      </c>
      <c r="J331" s="15"/>
      <c r="K331" s="15"/>
      <c r="L331" s="15"/>
      <c r="M331" s="15"/>
      <c r="N331" s="15"/>
      <c r="O331" s="15"/>
      <c r="P331" s="15"/>
      <c r="Q331" s="15"/>
      <c r="R331" s="16">
        <f>SUM(R332:R332)</f>
        <v>0.0</v>
      </c>
      <c r="S331" s="16">
        <f>SUM(S332:S332)</f>
        <v>218556.0</v>
      </c>
    </row>
    <row r="332" spans="1:19">
      <c r="A332" s="18">
        <f>SUBTOTAL(103,$B$6:B332)</f>
        <v>289</v>
      </c>
      <c r="B332" s="18">
        <v>532</v>
      </c>
      <c r="C332" s="6" t="str">
        <f>Base!H444</f>
        <v>2617364: 2617364: (MEJORAMIENTO DE INFRAESTRUCTURA DE EDUCACION BASICA REGULAR - nombre no disponible en fuentes)</v>
      </c>
      <c r="D332" s="7">
        <f>Base!I444</f>
        <v>218556.0</v>
      </c>
      <c r="E332" s="7">
        <f>Base!J444</f>
        <v>0.0</v>
      </c>
      <c r="F332" s="7">
        <f>D332-E332</f>
        <v>218556.0</v>
      </c>
      <c r="G332" s="7">
        <f>Base!L444</f>
        <v>0.0</v>
      </c>
      <c r="H332" s="7">
        <f>D332-G332</f>
        <v>218556.0</v>
      </c>
      <c r="I332" s="19">
        <f>IF(D332=0,0,G332/D332)</f>
        <v>0.0</v>
      </c>
      <c r="J332" s="6" t="str">
        <f>Base!U444</f>
        <v>Contrata</v>
      </c>
      <c r="K332" s="6" t="str">
        <f>Base!R444</f>
        <v>Sin certificar</v>
      </c>
      <c r="L332" s="7" t="str">
        <f>Base!V444</f>
        <v>No registrado en cartera</v>
      </c>
      <c r="M332" s="7" t="str">
        <f>Base!W444</f>
        <v>No registrado en cartera</v>
      </c>
      <c r="N332" s="7" t="str">
        <f>Base!X444</f>
        <v>No registrado en cartera</v>
      </c>
      <c r="O332" s="7" t="str">
        <f>Base!Y444</f>
        <v>No registrado en cartera</v>
      </c>
      <c r="P332" s="6">
        <f>IF(Base!Z444="","",Base!Z444)</f>
        <v/>
      </c>
      <c r="Q332" s="18" t="str">
        <f>Base!S444</f>
        <v>Disponible</v>
      </c>
      <c r="R332" s="7">
        <f>Base!N444</f>
        <v>0.0</v>
      </c>
      <c r="S332" s="7">
        <f>Base!T444</f>
        <v>218556.0</v>
      </c>
    </row>
    <row r="334" spans="1:19">
      <c r="A334" s="20" t="s">
        <v>1562</v>
      </c>
      <c r="B334" s="20"/>
      <c r="C334" s="20"/>
      <c r="D334" s="21">
        <f>D5</f>
        <v>770705923.0</v>
      </c>
      <c r="E334" s="21">
        <f>E5</f>
        <v>722932107.94</v>
      </c>
      <c r="F334" s="21">
        <f>D334-E334</f>
        <v>47773815.05999994</v>
      </c>
      <c r="G334" s="21">
        <f>G5</f>
        <v>381711347.51000005</v>
      </c>
      <c r="H334" s="21">
        <f>D334-G334</f>
        <v>388994575.48999995</v>
      </c>
      <c r="I334" s="22">
        <f>IF(D334=0,0,G334/D334)</f>
        <v>0.49527496301595186</v>
      </c>
      <c r="J334" s="20"/>
      <c r="K334" s="20"/>
      <c r="L334" s="20"/>
      <c r="M334" s="20"/>
      <c r="N334" s="20"/>
      <c r="O334" s="20"/>
      <c r="P334" s="20"/>
      <c r="Q334" s="20"/>
      <c r="R334" s="21">
        <f>R5</f>
        <v>174011112.94</v>
      </c>
      <c r="S334" s="21">
        <f>S5</f>
        <v>218395856.22000003</v>
      </c>
    </row>
  </sheetData>
  <conditionalFormatting sqref="Q5:Q33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1563</v>
      </c>
    </row>
    <row r="2" spans="1:19">
      <c r="B2" s="4" t="s">
        <v>1564</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969</v>
      </c>
      <c r="B5" s="11"/>
      <c r="C5" s="11"/>
      <c r="D5" s="12">
        <f>D6+D11+D14+D17+D82+D87</f>
        <v>15438088.0</v>
      </c>
      <c r="E5" s="12">
        <f>E6+E11+E14+E17+E82+E87</f>
        <v>13246423.87</v>
      </c>
      <c r="F5" s="12">
        <f>D5-E5</f>
        <v>2191664.130000001</v>
      </c>
      <c r="G5" s="12">
        <f>G6+G11+G14+G17+G82+G87</f>
        <v>6937956.79</v>
      </c>
      <c r="H5" s="12">
        <f>D5-G5</f>
        <v>8500131.21</v>
      </c>
      <c r="I5" s="13">
        <f>IF(D5=0,0,G5/D5)</f>
        <v>0.4494051847612217</v>
      </c>
      <c r="J5" s="11"/>
      <c r="K5" s="11"/>
      <c r="L5" s="11"/>
      <c r="M5" s="11"/>
      <c r="N5" s="11"/>
      <c r="O5" s="11"/>
      <c r="P5" s="11"/>
      <c r="Q5" s="11"/>
      <c r="R5" s="12">
        <f>R6+R11+R14+R17+R82+R87</f>
        <v>4178010.4699999997</v>
      </c>
      <c r="S5" s="12">
        <f>S6+S11+S14+S17+S82+S87</f>
        <v>6297331.51</v>
      </c>
    </row>
    <row r="6" spans="1:19">
      <c r="A6" s="15" t="s">
        <v>956</v>
      </c>
      <c r="B6" s="15"/>
      <c r="C6" s="15"/>
      <c r="D6" s="16">
        <f>SUM(D7:D10)</f>
        <v>3137774.0</v>
      </c>
      <c r="E6" s="16">
        <f>SUM(E7:E10)</f>
        <v>2421934.02</v>
      </c>
      <c r="F6" s="16">
        <f>D6-E6</f>
        <v>715839.98</v>
      </c>
      <c r="G6" s="16">
        <f>SUM(G7:G10)</f>
        <v>1602346.3900000001</v>
      </c>
      <c r="H6" s="16">
        <f>D6-G6</f>
        <v>1535427.6099999999</v>
      </c>
      <c r="I6" s="17">
        <f>IF(D6=0,0,G6/D6)</f>
        <v>0.5106634161670025</v>
      </c>
      <c r="J6" s="15"/>
      <c r="K6" s="15"/>
      <c r="L6" s="15"/>
      <c r="M6" s="15"/>
      <c r="N6" s="15"/>
      <c r="O6" s="15"/>
      <c r="P6" s="15"/>
      <c r="Q6" s="15"/>
      <c r="R6" s="16">
        <f>SUM(R7:R10)</f>
        <v>320662.22999999975</v>
      </c>
      <c r="S6" s="16">
        <f>SUM(S7:S10)</f>
        <v>1036502.2099999997</v>
      </c>
    </row>
    <row r="7" spans="1:19">
      <c r="A7" s="18">
        <f>SUBTOTAL(103,$B$6:B7)</f>
        <v>1</v>
      </c>
      <c r="B7" s="18">
        <v>20</v>
      </c>
      <c r="C7" s="6" t="str">
        <f>Base!H292</f>
        <v>2526527: MEJORAMIENTO DE LAS CAPACIDADES PARA LA PRODUCTIVIDAD Y LA COMPETITIVIDAD DE ARTESANÍAS EN 13 PROVINCIAS DEL DEPARTAMENTO DE PUNO</v>
      </c>
      <c r="D7" s="7">
        <f>Base!I292</f>
        <v>2659376.0</v>
      </c>
      <c r="E7" s="7">
        <f>Base!J292</f>
        <v>1980094.52</v>
      </c>
      <c r="F7" s="7">
        <f>D7-E7</f>
        <v>679281.48</v>
      </c>
      <c r="G7" s="7">
        <f>Base!L292</f>
        <v>1386716.8900000001</v>
      </c>
      <c r="H7" s="7">
        <f>D7-G7</f>
        <v>1272659.1099999999</v>
      </c>
      <c r="I7" s="19">
        <f>IF(D7=0,0,G7/D7)</f>
        <v>0.5214444629116004</v>
      </c>
      <c r="J7" s="6" t="str">
        <f>Base!U292</f>
        <v>Contrata / Personal/bienes/servicios / Equipamiento</v>
      </c>
      <c r="K7" s="6" t="str">
        <f>Base!R292</f>
        <v>Mayormente comprometido</v>
      </c>
      <c r="L7" s="7">
        <f>Base!V292</f>
        <v>3659376.0</v>
      </c>
      <c r="M7" s="7">
        <f>Base!W292</f>
        <v>55933.0</v>
      </c>
      <c r="N7" s="7">
        <f>Base!X292</f>
        <v>0</v>
      </c>
      <c r="O7" s="7">
        <f>Base!Y292</f>
        <v>1953448.0</v>
      </c>
      <c r="P7" s="6">
        <f>IF(Base!Z292="","",Base!Z292)</f>
        <v/>
      </c>
      <c r="Q7" s="18" t="str">
        <f>Base!S292</f>
        <v>Difícil</v>
      </c>
      <c r="R7" s="7">
        <f>Base!N292</f>
        <v>125022.22999999975</v>
      </c>
      <c r="S7" s="7">
        <f>Base!T292</f>
        <v>804303.7099999997</v>
      </c>
    </row>
    <row r="8" spans="1:19">
      <c r="A8" s="18">
        <f>SUBTOTAL(103,$B$6:B8)</f>
        <v>2</v>
      </c>
      <c r="B8" s="18">
        <v>383</v>
      </c>
      <c r="C8" s="6" t="str">
        <f>Base!H293</f>
        <v>2717147: MEJORAMIENTO DE LOS SERVICIOS TURISTICOS DE AVENTURA Y ALOJAMIENTO RURAL EN LA ASOCIACION DE TURISMO VIVENCIAL COMUNITARIO LUQUINA CHICO, DISTRITO CHUCUITO, PROVINCIA PUNO, REGION PUNO.</v>
      </c>
      <c r="D8" s="7">
        <f>Base!I293</f>
        <v>159946.0</v>
      </c>
      <c r="E8" s="7">
        <f>Base!J293</f>
        <v>154011.0</v>
      </c>
      <c r="F8" s="7">
        <f>D8-E8</f>
        <v>5935.0</v>
      </c>
      <c r="G8" s="7">
        <f>Base!L293</f>
        <v>60441.0</v>
      </c>
      <c r="H8" s="7">
        <f>D8-G8</f>
        <v>99505.0</v>
      </c>
      <c r="I8" s="19">
        <f>IF(D8=0,0,G8/D8)</f>
        <v>0.3778837857777</v>
      </c>
      <c r="J8" s="6" t="str">
        <f>Base!U293</f>
        <v>Equipamiento / Contrata</v>
      </c>
      <c r="K8" s="6" t="str">
        <f>Base!R293</f>
        <v>Mayormente comprometido</v>
      </c>
      <c r="L8" s="7" t="str">
        <f>Base!V293</f>
        <v>No registrado en cartera</v>
      </c>
      <c r="M8" s="7" t="str">
        <f>Base!W293</f>
        <v>No registrado en cartera</v>
      </c>
      <c r="N8" s="7" t="str">
        <f>Base!X293</f>
        <v>No registrado en cartera</v>
      </c>
      <c r="O8" s="7" t="str">
        <f>Base!Y293</f>
        <v>No registrado en cartera</v>
      </c>
      <c r="P8" s="6">
        <f>IF(Base!Z293="","",Base!Z293)</f>
        <v/>
      </c>
      <c r="Q8" s="18" t="str">
        <f>Base!S293</f>
        <v>Difícil</v>
      </c>
      <c r="R8" s="7">
        <f>Base!N293</f>
        <v>63000.0</v>
      </c>
      <c r="S8" s="7">
        <f>Base!T293</f>
        <v>68935.0</v>
      </c>
    </row>
    <row r="9" spans="1:19">
      <c r="A9" s="18">
        <f>SUBTOTAL(103,$B$6:B9)</f>
        <v>3</v>
      </c>
      <c r="B9" s="18">
        <v>475</v>
      </c>
      <c r="C9" s="6" t="str">
        <f>Base!H294</f>
        <v>2723296: MEJORAMIENTO DE LA PRODUCCION Y COMERCIALIZACION DE ARTESANIA DE FIBRA DE ALPACA Y LANA DE OVINO EN LA ASOCIACION DE ARTESANOS EMPRENDEDORES EN TEXTILERIA SAN JUAN BAUTISTA DE NAPA ROSASPATA, DISTRITO DE ROSASPATA, PROVINCIA DE HUANCANE, REGION PU</v>
      </c>
      <c r="D9" s="7">
        <f>Base!I294</f>
        <v>159560.0</v>
      </c>
      <c r="E9" s="7">
        <f>Base!J294</f>
        <v>141270.0</v>
      </c>
      <c r="F9" s="7">
        <f>D9-E9</f>
        <v>18290.0</v>
      </c>
      <c r="G9" s="7">
        <f>Base!L294</f>
        <v>57830.0</v>
      </c>
      <c r="H9" s="7">
        <f>D9-G9</f>
        <v>101730.0</v>
      </c>
      <c r="I9" s="19">
        <f>IF(D9=0,0,G9/D9)</f>
        <v>0.3624341940335924</v>
      </c>
      <c r="J9" s="6" t="str">
        <f>Base!U294</f>
        <v>Equipamiento / Contrata</v>
      </c>
      <c r="K9" s="6" t="str">
        <f>Base!R294</f>
        <v>Parcialmente comprometido</v>
      </c>
      <c r="L9" s="7" t="str">
        <f>Base!V294</f>
        <v>No registrado en cartera</v>
      </c>
      <c r="M9" s="7" t="str">
        <f>Base!W294</f>
        <v>No registrado en cartera</v>
      </c>
      <c r="N9" s="7" t="str">
        <f>Base!X294</f>
        <v>No registrado en cartera</v>
      </c>
      <c r="O9" s="7" t="str">
        <f>Base!Y294</f>
        <v>No registrado en cartera</v>
      </c>
      <c r="P9" s="6">
        <f>IF(Base!Z294="","",Base!Z294)</f>
        <v/>
      </c>
      <c r="Q9" s="18" t="str">
        <f>Base!S294</f>
        <v>Parcial</v>
      </c>
      <c r="R9" s="7">
        <f>Base!N294</f>
        <v>83440.0</v>
      </c>
      <c r="S9" s="7">
        <f>Base!T294</f>
        <v>101730.0</v>
      </c>
    </row>
    <row r="10" spans="1:19">
      <c r="A10" s="18">
        <f>SUBTOTAL(103,$B$6:B10)</f>
        <v>4</v>
      </c>
      <c r="B10" s="18">
        <v>410</v>
      </c>
      <c r="C10" s="6" t="str">
        <f>Base!H295</f>
        <v>2717175: MEJORAMIENTO DE LOS SERVICIOS DE ALOJAMIENTO TURISTICO Y DEL TURISMO VIVENCIAL DE OBSERVACION ASTRONOMICA EN LA ASOCIACION DE TURISMO COMUNITARIO TIKA WASI LLACHON, DISTRITO DE CAPACHICA, PROVINCIA DE PUNO Y DEPARTAMENTO DE PUNO.</v>
      </c>
      <c r="D10" s="7">
        <f>Base!I295</f>
        <v>158892.0</v>
      </c>
      <c r="E10" s="7">
        <f>Base!J295</f>
        <v>146558.5</v>
      </c>
      <c r="F10" s="7">
        <f>D10-E10</f>
        <v>12333.5</v>
      </c>
      <c r="G10" s="7">
        <f>Base!L295</f>
        <v>97358.5</v>
      </c>
      <c r="H10" s="7">
        <f>D10-G10</f>
        <v>61533.5</v>
      </c>
      <c r="I10" s="19">
        <f>IF(D10=0,0,G10/D10)</f>
        <v>0.6127338066107797</v>
      </c>
      <c r="J10" s="6" t="str">
        <f>Base!U295</f>
        <v>Equipamiento / Contrata</v>
      </c>
      <c r="K10" s="6" t="str">
        <f>Base!R295</f>
        <v>Mayormente comprometido</v>
      </c>
      <c r="L10" s="7" t="str">
        <f>Base!V295</f>
        <v>No registrado en cartera</v>
      </c>
      <c r="M10" s="7" t="str">
        <f>Base!W295</f>
        <v>No registrado en cartera</v>
      </c>
      <c r="N10" s="7" t="str">
        <f>Base!X295</f>
        <v>No registrado en cartera</v>
      </c>
      <c r="O10" s="7" t="str">
        <f>Base!Y295</f>
        <v>No registrado en cartera</v>
      </c>
      <c r="P10" s="6">
        <f>IF(Base!Z295="","",Base!Z295)</f>
        <v/>
      </c>
      <c r="Q10" s="18" t="str">
        <f>Base!S295</f>
        <v>Difícil</v>
      </c>
      <c r="R10" s="7">
        <f>Base!N295</f>
        <v>49200.0</v>
      </c>
      <c r="S10" s="7">
        <f>Base!T295</f>
        <v>61533.5</v>
      </c>
    </row>
    <row r="11" spans="1:19">
      <c r="A11" s="15" t="s">
        <v>271</v>
      </c>
      <c r="B11" s="15"/>
      <c r="C11" s="15"/>
      <c r="D11" s="16">
        <f>SUM(D12:D13)</f>
        <v>243160.0</v>
      </c>
      <c r="E11" s="16">
        <f>SUM(E12:E13)</f>
        <v>83160.0</v>
      </c>
      <c r="F11" s="16">
        <f>D11-E11</f>
        <v>160000.0</v>
      </c>
      <c r="G11" s="16">
        <f>SUM(G12:G13)</f>
        <v>83100.4</v>
      </c>
      <c r="H11" s="16">
        <f>D11-G11</f>
        <v>160059.6</v>
      </c>
      <c r="I11" s="17">
        <f>IF(D11=0,0,G11/D11)</f>
        <v>0.34175193288369793</v>
      </c>
      <c r="J11" s="15"/>
      <c r="K11" s="15"/>
      <c r="L11" s="15"/>
      <c r="M11" s="15"/>
      <c r="N11" s="15"/>
      <c r="O11" s="15"/>
      <c r="P11" s="15"/>
      <c r="Q11" s="15"/>
      <c r="R11" s="16">
        <f>SUM(R12:R13)</f>
        <v>59.60000000000582</v>
      </c>
      <c r="S11" s="16">
        <f>SUM(S12:S13)</f>
        <v>160000.0</v>
      </c>
    </row>
    <row r="12" spans="1:19">
      <c r="A12" s="18">
        <f>SUBTOTAL(103,$B$6:B12)</f>
        <v>5</v>
      </c>
      <c r="B12" s="18">
        <v>399</v>
      </c>
      <c r="C12" s="6" t="str">
        <f>Base!H296</f>
        <v>2717164: MEJORAMIENTO DE LA CAPACIDAD PRODUCTIVA Y DE COMERCIALIZACION DE MIEL MEDIANTE EL FORTALECIMIENTO DE PROCESOS PRODUCTIVOS APICOLAS EN LA ASOCIACION DE PRODUCTORES AGROPECUARIOS MONTE SILOE KOLLA MISKI DISTRITO PLATERIA, PROVINCIA DE PUNO, REGION P</v>
      </c>
      <c r="D12" s="7">
        <f>Base!I296</f>
        <v>160000.0</v>
      </c>
      <c r="E12" s="7">
        <f>Base!J296</f>
        <v>0.0</v>
      </c>
      <c r="F12" s="7">
        <f>D12-E12</f>
        <v>160000.0</v>
      </c>
      <c r="G12" s="7">
        <f>Base!L296</f>
        <v>0.0</v>
      </c>
      <c r="H12" s="7">
        <f>D12-G12</f>
        <v>160000.0</v>
      </c>
      <c r="I12" s="19">
        <f>IF(D12=0,0,G12/D12)</f>
        <v>0.0</v>
      </c>
      <c r="J12" s="6" t="str">
        <f>Base!U296</f>
        <v>Equipamiento / Contrata</v>
      </c>
      <c r="K12" s="6" t="str">
        <f>Base!R296</f>
        <v>Sin certificar</v>
      </c>
      <c r="L12" s="7" t="str">
        <f>Base!V296</f>
        <v>No registrado en cartera</v>
      </c>
      <c r="M12" s="7" t="str">
        <f>Base!W296</f>
        <v>No registrado en cartera</v>
      </c>
      <c r="N12" s="7" t="str">
        <f>Base!X296</f>
        <v>No registrado en cartera</v>
      </c>
      <c r="O12" s="7" t="str">
        <f>Base!Y296</f>
        <v>No registrado en cartera</v>
      </c>
      <c r="P12" s="6">
        <f>IF(Base!Z296="","",Base!Z296)</f>
        <v/>
      </c>
      <c r="Q12" s="18" t="str">
        <f>Base!S296</f>
        <v>Disponible</v>
      </c>
      <c r="R12" s="7">
        <f>Base!N296</f>
        <v>0.0</v>
      </c>
      <c r="S12" s="7">
        <f>Base!T296</f>
        <v>160000.0</v>
      </c>
    </row>
    <row r="13" spans="1:19">
      <c r="A13" s="18">
        <f>SUBTOTAL(103,$B$6:B13)</f>
        <v>6</v>
      </c>
      <c r="B13" s="18">
        <v>373</v>
      </c>
      <c r="C13" s="6" t="str">
        <f>Base!H297</f>
        <v>2676438: MEJORAMIENTO DE LA PRODUCCION DE MIEL DE ABEJA DE LA ASOCIACION DE APICULTORES Y PRODUCTORES AGROPECUARIOS DEL VALLE YANAHUAYA, DEL DISTRITO DE YANAHUARA PROVINCIA DE SANDIA DEPARTAMENTO DE PUNO</v>
      </c>
      <c r="D13" s="7">
        <f>Base!I297</f>
        <v>83160.0</v>
      </c>
      <c r="E13" s="7">
        <f>Base!J297</f>
        <v>83160.0</v>
      </c>
      <c r="F13" s="7">
        <f>D13-E13</f>
        <v>0.0</v>
      </c>
      <c r="G13" s="7">
        <f>Base!L297</f>
        <v>83100.4</v>
      </c>
      <c r="H13" s="7">
        <f>D13-G13</f>
        <v>59.60000000000582</v>
      </c>
      <c r="I13" s="19">
        <f>IF(D13=0,0,G13/D13)</f>
        <v>0.9992833092833092</v>
      </c>
      <c r="J13" s="6" t="str">
        <f>Base!U297</f>
        <v>Equipamiento</v>
      </c>
      <c r="K13" s="6" t="str">
        <f>Base!R297</f>
        <v>Ejecutado</v>
      </c>
      <c r="L13" s="7" t="str">
        <f>Base!V297</f>
        <v>No registrado en cartera</v>
      </c>
      <c r="M13" s="7" t="str">
        <f>Base!W297</f>
        <v>No registrado en cartera</v>
      </c>
      <c r="N13" s="7" t="str">
        <f>Base!X297</f>
        <v>No registrado en cartera</v>
      </c>
      <c r="O13" s="7" t="str">
        <f>Base!Y297</f>
        <v>No registrado en cartera</v>
      </c>
      <c r="P13" s="6">
        <f>IF(Base!Z297="","",Base!Z297)</f>
        <v/>
      </c>
      <c r="Q13" s="18" t="str">
        <f>Base!S297</f>
        <v>No usar</v>
      </c>
      <c r="R13" s="7">
        <f>Base!N297</f>
        <v>59.60000000000582</v>
      </c>
      <c r="S13" s="7">
        <f>Base!T297</f>
        <v>0.0</v>
      </c>
    </row>
    <row r="14" spans="1:19">
      <c r="A14" s="15" t="s">
        <v>951</v>
      </c>
      <c r="B14" s="15"/>
      <c r="C14" s="15"/>
      <c r="D14" s="16">
        <f>SUM(D15:D16)</f>
        <v>1098209.0</v>
      </c>
      <c r="E14" s="16">
        <f>SUM(E15:E16)</f>
        <v>995606.03</v>
      </c>
      <c r="F14" s="16">
        <f>D14-E14</f>
        <v>102602.96999999997</v>
      </c>
      <c r="G14" s="16">
        <f>SUM(G15:G16)</f>
        <v>677101.76</v>
      </c>
      <c r="H14" s="16">
        <f>D14-G14</f>
        <v>421107.24</v>
      </c>
      <c r="I14" s="17">
        <f>IF(D14=0,0,G14/D14)</f>
        <v>0.6165509115295904</v>
      </c>
      <c r="J14" s="15"/>
      <c r="K14" s="15"/>
      <c r="L14" s="15"/>
      <c r="M14" s="15"/>
      <c r="N14" s="15"/>
      <c r="O14" s="15"/>
      <c r="P14" s="15"/>
      <c r="Q14" s="15"/>
      <c r="R14" s="16">
        <f>SUM(R15:R16)</f>
        <v>2578.680000000051</v>
      </c>
      <c r="S14" s="16">
        <f>SUM(S15:S16)</f>
        <v>105181.65000000002</v>
      </c>
    </row>
    <row r="15" spans="1:19">
      <c r="A15" s="18">
        <f>SUBTOTAL(103,$B$6:B15)</f>
        <v>7</v>
      </c>
      <c r="B15" s="18">
        <v>216</v>
      </c>
      <c r="C15" s="6" t="str">
        <f>Base!H298</f>
        <v>2016766: INICIATIVA A LA COMPETITIVIDAD</v>
      </c>
      <c r="D15" s="7">
        <f>Base!I298</f>
        <v>928209.0</v>
      </c>
      <c r="E15" s="7">
        <f>Base!J298</f>
        <v>900951.03</v>
      </c>
      <c r="F15" s="7">
        <f>D15-E15</f>
        <v>27257.969999999972</v>
      </c>
      <c r="G15" s="7">
        <f>Base!L298</f>
        <v>633092.52</v>
      </c>
      <c r="H15" s="7">
        <f>D15-G15</f>
        <v>295116.48</v>
      </c>
      <c r="I15" s="19">
        <f>IF(D15=0,0,G15/D15)</f>
        <v>0.6820581571607257</v>
      </c>
      <c r="J15" s="6" t="str">
        <f>Base!U298</f>
        <v>Estudio de preinversión</v>
      </c>
      <c r="K15" s="6" t="str">
        <f>Base!R298</f>
        <v>Mayormente comprometido</v>
      </c>
      <c r="L15" s="7" t="str">
        <f>Base!V298</f>
        <v>No registrado en cartera</v>
      </c>
      <c r="M15" s="7" t="str">
        <f>Base!W298</f>
        <v>No registrado en cartera</v>
      </c>
      <c r="N15" s="7" t="str">
        <f>Base!X298</f>
        <v>No registrado en cartera</v>
      </c>
      <c r="O15" s="7" t="str">
        <f>Base!Y298</f>
        <v>No registrado en cartera</v>
      </c>
      <c r="P15" s="6">
        <f>IF(Base!Z298="","",Base!Z298)</f>
        <v/>
      </c>
      <c r="Q15" s="18" t="str">
        <f>Base!S298</f>
        <v>Difícil</v>
      </c>
      <c r="R15" s="7">
        <f>Base!N298</f>
        <v>1277.920000000042</v>
      </c>
      <c r="S15" s="7">
        <f>Base!T298</f>
        <v>28535.890000000014</v>
      </c>
    </row>
    <row r="16" spans="1:19">
      <c r="A16" s="18">
        <f>SUBTOTAL(103,$B$6:B16)</f>
        <v>8</v>
      </c>
      <c r="B16" s="18">
        <v>493</v>
      </c>
      <c r="C16" s="6" t="str">
        <f>Base!H299</f>
        <v>2016766: INICIATIVA A LA COMPETITIVIDAD</v>
      </c>
      <c r="D16" s="7">
        <f>Base!I299</f>
        <v>170000.0</v>
      </c>
      <c r="E16" s="7">
        <f>Base!J299</f>
        <v>94655.0</v>
      </c>
      <c r="F16" s="7">
        <f>D16-E16</f>
        <v>75345.0</v>
      </c>
      <c r="G16" s="7">
        <f>Base!L299</f>
        <v>44009.24</v>
      </c>
      <c r="H16" s="7">
        <f>D16-G16</f>
        <v>125990.76000000001</v>
      </c>
      <c r="I16" s="19">
        <f>IF(D16=0,0,G16/D16)</f>
        <v>0.2588778823529412</v>
      </c>
      <c r="J16" s="6" t="str">
        <f>Base!U299</f>
        <v>Estudio de preinversión</v>
      </c>
      <c r="K16" s="6" t="str">
        <f>Base!R299</f>
        <v>Mayormente comprometido</v>
      </c>
      <c r="L16" s="7" t="str">
        <f>Base!V299</f>
        <v>No registrado en cartera</v>
      </c>
      <c r="M16" s="7" t="str">
        <f>Base!W299</f>
        <v>No registrado en cartera</v>
      </c>
      <c r="N16" s="7" t="str">
        <f>Base!X299</f>
        <v>No registrado en cartera</v>
      </c>
      <c r="O16" s="7" t="str">
        <f>Base!Y299</f>
        <v>No registrado en cartera</v>
      </c>
      <c r="P16" s="6">
        <f>IF(Base!Z299="","",Base!Z299)</f>
        <v/>
      </c>
      <c r="Q16" s="18" t="str">
        <f>Base!S299</f>
        <v>Difícil</v>
      </c>
      <c r="R16" s="7">
        <f>Base!N299</f>
        <v>1300.7600000000093</v>
      </c>
      <c r="S16" s="7">
        <f>Base!T299</f>
        <v>76645.76000000001</v>
      </c>
    </row>
    <row r="17" spans="1:19">
      <c r="A17" s="15" t="s">
        <v>996</v>
      </c>
      <c r="B17" s="15"/>
      <c r="C17" s="15"/>
      <c r="D17" s="16">
        <f>SUM(D18:D81)</f>
        <v>8596003.0</v>
      </c>
      <c r="E17" s="16">
        <f>SUM(E18:E81)</f>
        <v>7643005.149999999</v>
      </c>
      <c r="F17" s="16">
        <f>D17-E17</f>
        <v>952997.8500000006</v>
      </c>
      <c r="G17" s="16">
        <f>SUM(G18:G81)</f>
        <v>4006476.24</v>
      </c>
      <c r="H17" s="16">
        <f>D17-G17</f>
        <v>4589526.76</v>
      </c>
      <c r="I17" s="17">
        <f>IF(D17=0,0,G17/D17)</f>
        <v>0.4660859518080671</v>
      </c>
      <c r="J17" s="15"/>
      <c r="K17" s="15"/>
      <c r="L17" s="15"/>
      <c r="M17" s="15"/>
      <c r="N17" s="15"/>
      <c r="O17" s="15"/>
      <c r="P17" s="15"/>
      <c r="Q17" s="15"/>
      <c r="R17" s="16">
        <f>SUM(R18:R81)</f>
        <v>2852543.29</v>
      </c>
      <c r="S17" s="16">
        <f>SUM(S18:S81)</f>
        <v>3742340.65</v>
      </c>
    </row>
    <row r="18" spans="1:19">
      <c r="A18" s="18">
        <f>SUBTOTAL(103,$B$6:B18)</f>
        <v>9</v>
      </c>
      <c r="B18" s="18">
        <v>418</v>
      </c>
      <c r="C18" s="6" t="str">
        <f>Base!H300</f>
        <v>2717186: MEJORAMIENTO DE LA PLANTA DE TRANSFORMACION DE GRANOS ANDINOS DEL GRUPO TURISTICO GASTRONOMICO SAMKA S.A.C., DISTRITO PUNO, PROVINCIA PUNO, REGION PUNO.</v>
      </c>
      <c r="D18" s="7">
        <f>Base!I300</f>
        <v>350000.0</v>
      </c>
      <c r="E18" s="7">
        <f>Base!J300</f>
        <v>334060.0</v>
      </c>
      <c r="F18" s="7">
        <f>D18-E18</f>
        <v>15940.0</v>
      </c>
      <c r="G18" s="7">
        <f>Base!L300</f>
        <v>65360.0</v>
      </c>
      <c r="H18" s="7">
        <f>D18-G18</f>
        <v>284640.0</v>
      </c>
      <c r="I18" s="19">
        <f>IF(D18=0,0,G18/D18)</f>
        <v>0.18674285714285715</v>
      </c>
      <c r="J18" s="6" t="str">
        <f>Base!U300</f>
        <v>Equipamiento / Contrata</v>
      </c>
      <c r="K18" s="6" t="str">
        <f>Base!R300</f>
        <v>Mayormente comprometido</v>
      </c>
      <c r="L18" s="7" t="str">
        <f>Base!V300</f>
        <v>No registrado en cartera</v>
      </c>
      <c r="M18" s="7" t="str">
        <f>Base!W300</f>
        <v>No registrado en cartera</v>
      </c>
      <c r="N18" s="7" t="str">
        <f>Base!X300</f>
        <v>No registrado en cartera</v>
      </c>
      <c r="O18" s="7" t="str">
        <f>Base!Y300</f>
        <v>No registrado en cartera</v>
      </c>
      <c r="P18" s="6">
        <f>IF(Base!Z300="","",Base!Z300)</f>
        <v/>
      </c>
      <c r="Q18" s="18" t="str">
        <f>Base!S300</f>
        <v>Difícil</v>
      </c>
      <c r="R18" s="7">
        <f>Base!N300</f>
        <v>126700.0</v>
      </c>
      <c r="S18" s="7">
        <f>Base!T300</f>
        <v>142640.0</v>
      </c>
    </row>
    <row r="19" spans="1:19">
      <c r="A19" s="18">
        <f>SUBTOTAL(103,$B$6:B19)</f>
        <v>10</v>
      </c>
      <c r="B19" s="18">
        <v>424</v>
      </c>
      <c r="C19" s="6" t="str">
        <f>Base!H301</f>
        <v>2717193: AMPLIACION DE LA CAPACIDAD PRODUCCION DE QUESO PARIA  EN GRUPO NEBRASKA S.A.C. EN DISTRITO DE JULIACA PROVINCIA DE SAN ROMAN REGION PUNO</v>
      </c>
      <c r="D19" s="7">
        <f>Base!I301</f>
        <v>349950.0</v>
      </c>
      <c r="E19" s="7">
        <f>Base!J301</f>
        <v>287705.0</v>
      </c>
      <c r="F19" s="7">
        <f>D19-E19</f>
        <v>62245.0</v>
      </c>
      <c r="G19" s="7">
        <f>Base!L301</f>
        <v>136062.0</v>
      </c>
      <c r="H19" s="7">
        <f>D19-G19</f>
        <v>213888.0</v>
      </c>
      <c r="I19" s="19">
        <f>IF(D19=0,0,G19/D19)</f>
        <v>0.3888041148735534</v>
      </c>
      <c r="J19" s="6" t="str">
        <f>Base!U301</f>
        <v>Equipamiento / Contrata</v>
      </c>
      <c r="K19" s="6" t="str">
        <f>Base!R301</f>
        <v>Parcialmente comprometido</v>
      </c>
      <c r="L19" s="7" t="str">
        <f>Base!V301</f>
        <v>No registrado en cartera</v>
      </c>
      <c r="M19" s="7" t="str">
        <f>Base!W301</f>
        <v>No registrado en cartera</v>
      </c>
      <c r="N19" s="7" t="str">
        <f>Base!X301</f>
        <v>No registrado en cartera</v>
      </c>
      <c r="O19" s="7" t="str">
        <f>Base!Y301</f>
        <v>No registrado en cartera</v>
      </c>
      <c r="P19" s="6">
        <f>IF(Base!Z301="","",Base!Z301)</f>
        <v/>
      </c>
      <c r="Q19" s="18" t="str">
        <f>Base!S301</f>
        <v>Parcial</v>
      </c>
      <c r="R19" s="7">
        <f>Base!N301</f>
        <v>142043.0</v>
      </c>
      <c r="S19" s="7">
        <f>Base!T301</f>
        <v>204288.0</v>
      </c>
    </row>
    <row r="20" spans="1:19">
      <c r="A20" s="18">
        <f>SUBTOTAL(103,$B$6:B20)</f>
        <v>11</v>
      </c>
      <c r="B20" s="18">
        <v>413</v>
      </c>
      <c r="C20" s="6" t="str">
        <f>Base!H302</f>
        <v>2717178: MEJORAMIENTO DEL CULTIVO DE HABAS EN CORPORACION PECUARIO AGRICOLA EMMANUEL S.A.C., DISTRITO DE ZEPITA, PROVINCIA DE CHUCUITO Y DEPARTAMENTO DE PUNO</v>
      </c>
      <c r="D20" s="7">
        <f>Base!I302</f>
        <v>349899.0</v>
      </c>
      <c r="E20" s="7">
        <f>Base!J302</f>
        <v>307070.0</v>
      </c>
      <c r="F20" s="7">
        <f>D20-E20</f>
        <v>42829.0</v>
      </c>
      <c r="G20" s="7">
        <f>Base!L302</f>
        <v>10500.0</v>
      </c>
      <c r="H20" s="7">
        <f>D20-G20</f>
        <v>339399.0</v>
      </c>
      <c r="I20" s="19">
        <f>IF(D20=0,0,G20/D20)</f>
        <v>0.030008659641782343</v>
      </c>
      <c r="J20" s="6" t="str">
        <f>Base!U302</f>
        <v>Equipamiento / Contrata</v>
      </c>
      <c r="K20" s="6" t="str">
        <f>Base!R302</f>
        <v>Parcialmente comprometido</v>
      </c>
      <c r="L20" s="7" t="str">
        <f>Base!V302</f>
        <v>No registrado en cartera</v>
      </c>
      <c r="M20" s="7" t="str">
        <f>Base!W302</f>
        <v>No registrado en cartera</v>
      </c>
      <c r="N20" s="7" t="str">
        <f>Base!X302</f>
        <v>No registrado en cartera</v>
      </c>
      <c r="O20" s="7" t="str">
        <f>Base!Y302</f>
        <v>No registrado en cartera</v>
      </c>
      <c r="P20" s="6">
        <f>IF(Base!Z302="","",Base!Z302)</f>
        <v/>
      </c>
      <c r="Q20" s="18" t="str">
        <f>Base!S302</f>
        <v>Parcial</v>
      </c>
      <c r="R20" s="7">
        <f>Base!N302</f>
        <v>255000.0</v>
      </c>
      <c r="S20" s="7">
        <f>Base!T302</f>
        <v>297829.0</v>
      </c>
    </row>
    <row r="21" spans="1:19">
      <c r="A21" s="18">
        <f>SUBTOTAL(103,$B$6:B21)</f>
        <v>12</v>
      </c>
      <c r="B21" s="18">
        <v>394</v>
      </c>
      <c r="C21" s="6" t="str">
        <f>Base!H303</f>
        <v>2717158: MEJORAMIENTO DE LA PRODUCCION DE PACAS EN LA ASOCIACION DE PRODUCTORES AGROPECUARIOS Y FORESTALES SAN PEDRO DE FRAYLIMA, DISTRITO DE AZANGARO, PROVINCIA AZANGARO Y DEPARTAMENTO DE PUNO</v>
      </c>
      <c r="D21" s="7">
        <f>Base!I303</f>
        <v>349792.0</v>
      </c>
      <c r="E21" s="7">
        <f>Base!J303</f>
        <v>321500.0</v>
      </c>
      <c r="F21" s="7">
        <f>D21-E21</f>
        <v>28292.0</v>
      </c>
      <c r="G21" s="7">
        <f>Base!L303</f>
        <v>0.0</v>
      </c>
      <c r="H21" s="7">
        <f>D21-G21</f>
        <v>349792.0</v>
      </c>
      <c r="I21" s="19">
        <f>IF(D21=0,0,G21/D21)</f>
        <v>0.0</v>
      </c>
      <c r="J21" s="6" t="str">
        <f>Base!U303</f>
        <v>Equipamiento / Contrata</v>
      </c>
      <c r="K21" s="6" t="str">
        <f>Base!R303</f>
        <v>Solo certificado</v>
      </c>
      <c r="L21" s="7" t="str">
        <f>Base!V303</f>
        <v>No registrado en cartera</v>
      </c>
      <c r="M21" s="7" t="str">
        <f>Base!W303</f>
        <v>No registrado en cartera</v>
      </c>
      <c r="N21" s="7" t="str">
        <f>Base!X303</f>
        <v>No registrado en cartera</v>
      </c>
      <c r="O21" s="7" t="str">
        <f>Base!Y303</f>
        <v>No registrado en cartera</v>
      </c>
      <c r="P21" s="6">
        <f>IF(Base!Z303="","",Base!Z303)</f>
        <v/>
      </c>
      <c r="Q21" s="18" t="str">
        <f>Base!S303</f>
        <v>Posible</v>
      </c>
      <c r="R21" s="7">
        <f>Base!N303</f>
        <v>321500.0</v>
      </c>
      <c r="S21" s="7">
        <f>Base!T303</f>
        <v>349792.0</v>
      </c>
    </row>
    <row r="22" spans="1:19">
      <c r="A22" s="18">
        <f>SUBTOTAL(103,$B$6:B22)</f>
        <v>13</v>
      </c>
      <c r="B22" s="18">
        <v>408</v>
      </c>
      <c r="C22" s="6" t="str">
        <f>Base!H304</f>
        <v>2717173: MEJORAMIENTO DE LA PRODUCCION DE DERIVADOS DE QUINUA EN HARINA EXTRUIDA Y POP EXTRUIDO DE LA EMPRESA CORPORACION DALSAR SOCIEDAD ANONIMA CERRADA DEL DISTRITO DE PUNO, PROVINCIA PUNO, DEPARTAMENTO PUNO.</v>
      </c>
      <c r="D22" s="7">
        <f>Base!I304</f>
        <v>349792.0</v>
      </c>
      <c r="E22" s="7">
        <f>Base!J304</f>
        <v>329100.0</v>
      </c>
      <c r="F22" s="7">
        <f>D22-E22</f>
        <v>20692.0</v>
      </c>
      <c r="G22" s="7">
        <f>Base!L304</f>
        <v>0.0</v>
      </c>
      <c r="H22" s="7">
        <f>D22-G22</f>
        <v>349792.0</v>
      </c>
      <c r="I22" s="19">
        <f>IF(D22=0,0,G22/D22)</f>
        <v>0.0</v>
      </c>
      <c r="J22" s="6" t="str">
        <f>Base!U304</f>
        <v>Equipamiento / Contrata</v>
      </c>
      <c r="K22" s="6" t="str">
        <f>Base!R304</f>
        <v>Solo certificado</v>
      </c>
      <c r="L22" s="7" t="str">
        <f>Base!V304</f>
        <v>No registrado en cartera</v>
      </c>
      <c r="M22" s="7" t="str">
        <f>Base!W304</f>
        <v>No registrado en cartera</v>
      </c>
      <c r="N22" s="7" t="str">
        <f>Base!X304</f>
        <v>No registrado en cartera</v>
      </c>
      <c r="O22" s="7" t="str">
        <f>Base!Y304</f>
        <v>No registrado en cartera</v>
      </c>
      <c r="P22" s="6">
        <f>IF(Base!Z304="","",Base!Z304)</f>
        <v/>
      </c>
      <c r="Q22" s="18" t="str">
        <f>Base!S304</f>
        <v>Posible</v>
      </c>
      <c r="R22" s="7">
        <f>Base!N304</f>
        <v>329100.0</v>
      </c>
      <c r="S22" s="7">
        <f>Base!T304</f>
        <v>349792.0</v>
      </c>
    </row>
    <row r="23" spans="1:19">
      <c r="A23" s="18">
        <f>SUBTOTAL(103,$B$6:B23)</f>
        <v>14</v>
      </c>
      <c r="B23" s="18">
        <v>421</v>
      </c>
      <c r="C23" s="6" t="str">
        <f>Base!H305</f>
        <v>2717189: MEJORAMIENTO DE LA PRODUCCION DE YOGURT EN EL AEO AGROINDUSTRIA YOGULE S.A.C., DISTRITO DE CABANA, PROVINCIA SAN ROMAN, REGION PUNO</v>
      </c>
      <c r="D23" s="7">
        <f>Base!I305</f>
        <v>346711.0</v>
      </c>
      <c r="E23" s="7">
        <f>Base!J305</f>
        <v>318955.0</v>
      </c>
      <c r="F23" s="7">
        <f>D23-E23</f>
        <v>27756.0</v>
      </c>
      <c r="G23" s="7">
        <f>Base!L305</f>
        <v>112190.0</v>
      </c>
      <c r="H23" s="7">
        <f>D23-G23</f>
        <v>234521.0</v>
      </c>
      <c r="I23" s="19">
        <f>IF(D23=0,0,G23/D23)</f>
        <v>0.3235836186333863</v>
      </c>
      <c r="J23" s="6" t="str">
        <f>Base!U305</f>
        <v>Equipamiento / Contrata</v>
      </c>
      <c r="K23" s="6" t="str">
        <f>Base!R305</f>
        <v>Parcialmente comprometido</v>
      </c>
      <c r="L23" s="7" t="str">
        <f>Base!V305</f>
        <v>No registrado en cartera</v>
      </c>
      <c r="M23" s="7" t="str">
        <f>Base!W305</f>
        <v>No registrado en cartera</v>
      </c>
      <c r="N23" s="7" t="str">
        <f>Base!X305</f>
        <v>No registrado en cartera</v>
      </c>
      <c r="O23" s="7" t="str">
        <f>Base!Y305</f>
        <v>No registrado en cartera</v>
      </c>
      <c r="P23" s="6">
        <f>IF(Base!Z305="","",Base!Z305)</f>
        <v/>
      </c>
      <c r="Q23" s="18" t="str">
        <f>Base!S305</f>
        <v>Parcial</v>
      </c>
      <c r="R23" s="7">
        <f>Base!N305</f>
        <v>200010.0</v>
      </c>
      <c r="S23" s="7">
        <f>Base!T305</f>
        <v>227766.0</v>
      </c>
    </row>
    <row r="24" spans="1:19">
      <c r="A24" s="18">
        <f>SUBTOTAL(103,$B$6:B24)</f>
        <v>15</v>
      </c>
      <c r="B24" s="18">
        <v>387</v>
      </c>
      <c r="C24" s="6" t="str">
        <f>Base!H306</f>
        <v>2717151: MEJORAMIENTO DE LA PRODUCCION DE LECHE FRESCA EN LA ASOCIACION DE PRODUCTORES AGROPECUARIOS SUMAC KANCHAY DE LA LIBERTAD NUNOA MELGAR PUNO, DISTRITO DE NUNOA, PROVINCIA DE MELGAR Y REGION PUNO</v>
      </c>
      <c r="D24" s="7">
        <f>Base!I306</f>
        <v>269980.0</v>
      </c>
      <c r="E24" s="7">
        <f>Base!J306</f>
        <v>259749.0</v>
      </c>
      <c r="F24" s="7">
        <f>D24-E24</f>
        <v>10231.0</v>
      </c>
      <c r="G24" s="7">
        <f>Base!L306</f>
        <v>255066.0</v>
      </c>
      <c r="H24" s="7">
        <f>D24-G24</f>
        <v>14914.0</v>
      </c>
      <c r="I24" s="19">
        <f>IF(D24=0,0,G24/D24)</f>
        <v>0.9447588710274836</v>
      </c>
      <c r="J24" s="6" t="str">
        <f>Base!U306</f>
        <v>Equipamiento / Contrata</v>
      </c>
      <c r="K24" s="6" t="str">
        <f>Base!R306</f>
        <v>Ejecutado</v>
      </c>
      <c r="L24" s="7" t="str">
        <f>Base!V306</f>
        <v>No registrado en cartera</v>
      </c>
      <c r="M24" s="7" t="str">
        <f>Base!W306</f>
        <v>No registrado en cartera</v>
      </c>
      <c r="N24" s="7" t="str">
        <f>Base!X306</f>
        <v>No registrado en cartera</v>
      </c>
      <c r="O24" s="7" t="str">
        <f>Base!Y306</f>
        <v>No registrado en cartera</v>
      </c>
      <c r="P24" s="6">
        <f>IF(Base!Z306="","",Base!Z306)</f>
        <v/>
      </c>
      <c r="Q24" s="18" t="str">
        <f>Base!S306</f>
        <v>No usar</v>
      </c>
      <c r="R24" s="7">
        <f>Base!N306</f>
        <v>1500.0</v>
      </c>
      <c r="S24" s="7">
        <f>Base!T306</f>
        <v>0.0</v>
      </c>
    </row>
    <row r="25" spans="1:19">
      <c r="A25" s="18">
        <f>SUBTOTAL(103,$B$6:B25)</f>
        <v>16</v>
      </c>
      <c r="B25" s="18">
        <v>378</v>
      </c>
      <c r="C25" s="6" t="str">
        <f>Base!H307</f>
        <v>2676440: MEJORAMIENTO DE LA PRODUCCION Y LA PRODUCTIVIDAD DE QUESO TIPO PARIA PASTEURIZADO DE LA EMPRESA DE PRODUCCION AGROPECUARIA MICA ASUNCION SAC DEL, DISTRITO DE AZANGARO, PROVINCIA AZANGARO, DEPARTAMENTO PUNO.</v>
      </c>
      <c r="D25" s="7">
        <f>Base!I307</f>
        <v>209400.0</v>
      </c>
      <c r="E25" s="7">
        <f>Base!J307</f>
        <v>176550.0</v>
      </c>
      <c r="F25" s="7">
        <f>D25-E25</f>
        <v>32850.0</v>
      </c>
      <c r="G25" s="7">
        <f>Base!L307</f>
        <v>136550.0</v>
      </c>
      <c r="H25" s="7">
        <f>D25-G25</f>
        <v>72850.0</v>
      </c>
      <c r="I25" s="19">
        <f>IF(D25=0,0,G25/D25)</f>
        <v>0.6521012416427889</v>
      </c>
      <c r="J25" s="6" t="str">
        <f>Base!U307</f>
        <v>Equipamiento / Contrata</v>
      </c>
      <c r="K25" s="6" t="str">
        <f>Base!R307</f>
        <v>Mayormente comprometido</v>
      </c>
      <c r="L25" s="7" t="str">
        <f>Base!V307</f>
        <v>No registrado en cartera</v>
      </c>
      <c r="M25" s="7" t="str">
        <f>Base!W307</f>
        <v>No registrado en cartera</v>
      </c>
      <c r="N25" s="7" t="str">
        <f>Base!X307</f>
        <v>No registrado en cartera</v>
      </c>
      <c r="O25" s="7" t="str">
        <f>Base!Y307</f>
        <v>No registrado en cartera</v>
      </c>
      <c r="P25" s="6">
        <f>IF(Base!Z307="","",Base!Z307)</f>
        <v/>
      </c>
      <c r="Q25" s="18" t="str">
        <f>Base!S307</f>
        <v>Difícil</v>
      </c>
      <c r="R25" s="7">
        <f>Base!N307</f>
        <v>0.0</v>
      </c>
      <c r="S25" s="7">
        <f>Base!T307</f>
        <v>32850.0</v>
      </c>
    </row>
    <row r="26" spans="1:19">
      <c r="A26" s="18">
        <f>SUBTOTAL(103,$B$6:B26)</f>
        <v>17</v>
      </c>
      <c r="B26" s="18">
        <v>392</v>
      </c>
      <c r="C26" s="6" t="str">
        <f>Base!H308</f>
        <v>2717156: MEJORAMIENTO DE LA PRODUCCION Y LA COMERCIALIZACION DE LECHE FRESCA EN LA ORGANIZACION DE PRODUCTORES SAN JUAN DE FAON DEL DISTRITO DE HUATA, PROVINCIA DE PUNO, DEPARTAMENTO DE PUNO.</v>
      </c>
      <c r="D26" s="7">
        <f>Base!I308</f>
        <v>160000.0</v>
      </c>
      <c r="E26" s="7">
        <f>Base!J308</f>
        <v>143401.0</v>
      </c>
      <c r="F26" s="7">
        <f>D26-E26</f>
        <v>16599.0</v>
      </c>
      <c r="G26" s="7">
        <f>Base!L308</f>
        <v>143401.0</v>
      </c>
      <c r="H26" s="7">
        <f>D26-G26</f>
        <v>16599.0</v>
      </c>
      <c r="I26" s="19">
        <f>IF(D26=0,0,G26/D26)</f>
        <v>0.89625625</v>
      </c>
      <c r="J26" s="6" t="str">
        <f>Base!U308</f>
        <v>Equipamiento / Contrata</v>
      </c>
      <c r="K26" s="6" t="str">
        <f>Base!R308</f>
        <v>Mayormente comprometido</v>
      </c>
      <c r="L26" s="7" t="str">
        <f>Base!V308</f>
        <v>No registrado en cartera</v>
      </c>
      <c r="M26" s="7" t="str">
        <f>Base!W308</f>
        <v>No registrado en cartera</v>
      </c>
      <c r="N26" s="7" t="str">
        <f>Base!X308</f>
        <v>No registrado en cartera</v>
      </c>
      <c r="O26" s="7" t="str">
        <f>Base!Y308</f>
        <v>No registrado en cartera</v>
      </c>
      <c r="P26" s="6">
        <f>IF(Base!Z308="","",Base!Z308)</f>
        <v/>
      </c>
      <c r="Q26" s="18" t="str">
        <f>Base!S308</f>
        <v>Difícil</v>
      </c>
      <c r="R26" s="7">
        <f>Base!N308</f>
        <v>0.0</v>
      </c>
      <c r="S26" s="7">
        <f>Base!T308</f>
        <v>16599.0</v>
      </c>
    </row>
    <row r="27" spans="1:19">
      <c r="A27" s="18">
        <f>SUBTOTAL(103,$B$6:B27)</f>
        <v>18</v>
      </c>
      <c r="B27" s="18">
        <v>393</v>
      </c>
      <c r="C27" s="6" t="str">
        <f>Base!H309</f>
        <v>2717157: MEJORAMIENTO DE LA PRODUCCION Y ENGORDE DE GANADO VACUNO  A  TRAVES DE LA OPTIMIZACION DE LA ALIMENTACION EN LA ASOCIACION DE PRODUCTORES AGROPECUARIOS EL TORITO BRAVO DEL DISTRITO DE QUILCAPUNCO, PROVINCIA DE SAN ANTONIO DE PUTINA, REGION PUNO.</v>
      </c>
      <c r="D27" s="7">
        <f>Base!I309</f>
        <v>160000.0</v>
      </c>
      <c r="E27" s="7">
        <f>Base!J309</f>
        <v>149840.0</v>
      </c>
      <c r="F27" s="7">
        <f>D27-E27</f>
        <v>10160.0</v>
      </c>
      <c r="G27" s="7">
        <f>Base!L309</f>
        <v>18740.0</v>
      </c>
      <c r="H27" s="7">
        <f>D27-G27</f>
        <v>141260.0</v>
      </c>
      <c r="I27" s="19">
        <f>IF(D27=0,0,G27/D27)</f>
        <v>0.117125</v>
      </c>
      <c r="J27" s="6" t="str">
        <f>Base!U309</f>
        <v>Equipamiento / Contrata</v>
      </c>
      <c r="K27" s="6" t="str">
        <f>Base!R309</f>
        <v>Parcialmente comprometido</v>
      </c>
      <c r="L27" s="7" t="str">
        <f>Base!V309</f>
        <v>No registrado en cartera</v>
      </c>
      <c r="M27" s="7" t="str">
        <f>Base!W309</f>
        <v>No registrado en cartera</v>
      </c>
      <c r="N27" s="7" t="str">
        <f>Base!X309</f>
        <v>No registrado en cartera</v>
      </c>
      <c r="O27" s="7" t="str">
        <f>Base!Y309</f>
        <v>No registrado en cartera</v>
      </c>
      <c r="P27" s="6">
        <f>IF(Base!Z309="","",Base!Z309)</f>
        <v/>
      </c>
      <c r="Q27" s="18" t="str">
        <f>Base!S309</f>
        <v>Parcial</v>
      </c>
      <c r="R27" s="7">
        <f>Base!N309</f>
        <v>115800.0</v>
      </c>
      <c r="S27" s="7">
        <f>Base!T309</f>
        <v>125960.0</v>
      </c>
    </row>
    <row r="28" spans="1:19">
      <c r="A28" s="18">
        <f>SUBTOTAL(103,$B$6:B28)</f>
        <v>19</v>
      </c>
      <c r="B28" s="18">
        <v>397</v>
      </c>
      <c r="C28" s="6" t="str">
        <f>Base!H310</f>
        <v>2717161: MEJORAMIENTO DE LA CAPACIDAD DE TRANSFORMACION DE CHIPS DE PAPA NATIVA, EN LA AEO ASOCIACION DE PRODUCTORES MULTIPLES SAN ISIDRO DE TANTAMACO DEL DISTRITO DE MACUSANI, PROVINCIA DE CARABAYA, REGION DE PUNO</v>
      </c>
      <c r="D28" s="7">
        <f>Base!I310</f>
        <v>160000.0</v>
      </c>
      <c r="E28" s="7">
        <f>Base!J310</f>
        <v>148990.0</v>
      </c>
      <c r="F28" s="7">
        <f>D28-E28</f>
        <v>11010.0</v>
      </c>
      <c r="G28" s="7">
        <f>Base!L310</f>
        <v>26000.0</v>
      </c>
      <c r="H28" s="7">
        <f>D28-G28</f>
        <v>134000.0</v>
      </c>
      <c r="I28" s="19">
        <f>IF(D28=0,0,G28/D28)</f>
        <v>0.1625</v>
      </c>
      <c r="J28" s="6" t="str">
        <f>Base!U310</f>
        <v>Equipamiento / Contrata</v>
      </c>
      <c r="K28" s="6" t="str">
        <f>Base!R310</f>
        <v>Mayormente comprometido</v>
      </c>
      <c r="L28" s="7" t="str">
        <f>Base!V310</f>
        <v>No registrado en cartera</v>
      </c>
      <c r="M28" s="7" t="str">
        <f>Base!W310</f>
        <v>No registrado en cartera</v>
      </c>
      <c r="N28" s="7" t="str">
        <f>Base!X310</f>
        <v>No registrado en cartera</v>
      </c>
      <c r="O28" s="7" t="str">
        <f>Base!Y310</f>
        <v>No registrado en cartera</v>
      </c>
      <c r="P28" s="6">
        <f>IF(Base!Z310="","",Base!Z310)</f>
        <v/>
      </c>
      <c r="Q28" s="18" t="str">
        <f>Base!S310</f>
        <v>Difícil</v>
      </c>
      <c r="R28" s="7">
        <f>Base!N310</f>
        <v>1000.0</v>
      </c>
      <c r="S28" s="7">
        <f>Base!T310</f>
        <v>12010.0</v>
      </c>
    </row>
    <row r="29" spans="1:19">
      <c r="A29" s="18">
        <f>SUBTOTAL(103,$B$6:B29)</f>
        <v>20</v>
      </c>
      <c r="B29" s="18">
        <v>404</v>
      </c>
      <c r="C29" s="6" t="str">
        <f>Base!H311</f>
        <v>2717169: CREACION DE UNA PLANTA PROCESADORA DE QUINUA EN LA AEO ASOCIACION DE PRODUCTORES AGROPECUARIOS ROQUE APAZA PAMPA DEL DISTRITO DE PAUCARCOLLA, PROVINCIA DE PUNO, DEPARTAMENTO DE PUNO</v>
      </c>
      <c r="D29" s="7">
        <f>Base!I311</f>
        <v>160000.0</v>
      </c>
      <c r="E29" s="7">
        <f>Base!J311</f>
        <v>150870.0</v>
      </c>
      <c r="F29" s="7">
        <f>D29-E29</f>
        <v>9130.0</v>
      </c>
      <c r="G29" s="7">
        <f>Base!L311</f>
        <v>45270.0</v>
      </c>
      <c r="H29" s="7">
        <f>D29-G29</f>
        <v>114730.0</v>
      </c>
      <c r="I29" s="19">
        <f>IF(D29=0,0,G29/D29)</f>
        <v>0.2829375</v>
      </c>
      <c r="J29" s="6" t="str">
        <f>Base!U311</f>
        <v>Equipamiento / Contrata</v>
      </c>
      <c r="K29" s="6" t="str">
        <f>Base!R311</f>
        <v>Parcialmente comprometido</v>
      </c>
      <c r="L29" s="7" t="str">
        <f>Base!V311</f>
        <v>No registrado en cartera</v>
      </c>
      <c r="M29" s="7" t="str">
        <f>Base!W311</f>
        <v>No registrado en cartera</v>
      </c>
      <c r="N29" s="7" t="str">
        <f>Base!X311</f>
        <v>No registrado en cartera</v>
      </c>
      <c r="O29" s="7" t="str">
        <f>Base!Y311</f>
        <v>No registrado en cartera</v>
      </c>
      <c r="P29" s="6">
        <f>IF(Base!Z311="","",Base!Z311)</f>
        <v/>
      </c>
      <c r="Q29" s="18" t="str">
        <f>Base!S311</f>
        <v>Parcial</v>
      </c>
      <c r="R29" s="7">
        <f>Base!N311</f>
        <v>99600.0</v>
      </c>
      <c r="S29" s="7">
        <f>Base!T311</f>
        <v>108730.0</v>
      </c>
    </row>
    <row r="30" spans="1:19">
      <c r="A30" s="18">
        <f>SUBTOTAL(103,$B$6:B30)</f>
        <v>21</v>
      </c>
      <c r="B30" s="18">
        <v>407</v>
      </c>
      <c r="C30" s="6" t="str">
        <f>Base!H312</f>
        <v>2717172: MEJORAMIENTO DEL PROCESO DE PRODUCCION DE QUESO EN LA ASOCIACION DE PEQUENOS PRODUCTORES AGROPECUARIOS DE DERIVADOS LACTEOS SAN JOSE TATASQA, DISTRITO DE LAMPA, PROVINCIA DE LAMPA Y DEPARTAMENTO DE PUNO</v>
      </c>
      <c r="D30" s="7">
        <f>Base!I312</f>
        <v>160000.0</v>
      </c>
      <c r="E30" s="7">
        <f>Base!J312</f>
        <v>151322.0</v>
      </c>
      <c r="F30" s="7">
        <f>D30-E30</f>
        <v>8678.0</v>
      </c>
      <c r="G30" s="7">
        <f>Base!L312</f>
        <v>96322.0</v>
      </c>
      <c r="H30" s="7">
        <f>D30-G30</f>
        <v>63678.0</v>
      </c>
      <c r="I30" s="19">
        <f>IF(D30=0,0,G30/D30)</f>
        <v>0.6020125</v>
      </c>
      <c r="J30" s="6" t="str">
        <f>Base!U312</f>
        <v>Equipamiento / Contrata</v>
      </c>
      <c r="K30" s="6" t="str">
        <f>Base!R312</f>
        <v>Mayormente comprometido</v>
      </c>
      <c r="L30" s="7" t="str">
        <f>Base!V312</f>
        <v>No registrado en cartera</v>
      </c>
      <c r="M30" s="7" t="str">
        <f>Base!W312</f>
        <v>No registrado en cartera</v>
      </c>
      <c r="N30" s="7" t="str">
        <f>Base!X312</f>
        <v>No registrado en cartera</v>
      </c>
      <c r="O30" s="7" t="str">
        <f>Base!Y312</f>
        <v>No registrado en cartera</v>
      </c>
      <c r="P30" s="6">
        <f>IF(Base!Z312="","",Base!Z312)</f>
        <v/>
      </c>
      <c r="Q30" s="18" t="str">
        <f>Base!S312</f>
        <v>Difícil</v>
      </c>
      <c r="R30" s="7">
        <f>Base!N312</f>
        <v>55000.0</v>
      </c>
      <c r="S30" s="7">
        <f>Base!T312</f>
        <v>63678.0</v>
      </c>
    </row>
    <row r="31" spans="1:19">
      <c r="A31" s="18">
        <f>SUBTOTAL(103,$B$6:B31)</f>
        <v>22</v>
      </c>
      <c r="B31" s="18">
        <v>412</v>
      </c>
      <c r="C31" s="6" t="str">
        <f>Base!H313</f>
        <v>2717177: MEJORAMIENTO TECNOLOGICO DE LA PRODUCCION Y COMPETITIVIDAD EN EL ENGORDE DE VACUNOS DE CARNE DE LA ASOCIACION DE PRODUCTORES AGROPECUARIOS Y OTROS GENERACION ACTIVA DE LA COMUNIDAD DE CHALLACOLLO, DISTRITO HUACULLANI, PROVINCIA CHUCUITO,REGION PUN</v>
      </c>
      <c r="D31" s="7">
        <f>Base!I313</f>
        <v>160000.0</v>
      </c>
      <c r="E31" s="7">
        <f>Base!J313</f>
        <v>145570.62</v>
      </c>
      <c r="F31" s="7">
        <f>D31-E31</f>
        <v>14429.380000000005</v>
      </c>
      <c r="G31" s="7">
        <f>Base!L313</f>
        <v>10545.0</v>
      </c>
      <c r="H31" s="7">
        <f>D31-G31</f>
        <v>149455.0</v>
      </c>
      <c r="I31" s="19">
        <f>IF(D31=0,0,G31/D31)</f>
        <v>0.06590625</v>
      </c>
      <c r="J31" s="6" t="str">
        <f>Base!U313</f>
        <v>Equipamiento / Contrata</v>
      </c>
      <c r="K31" s="6" t="str">
        <f>Base!R313</f>
        <v>Parcialmente comprometido</v>
      </c>
      <c r="L31" s="7" t="str">
        <f>Base!V313</f>
        <v>No registrado en cartera</v>
      </c>
      <c r="M31" s="7" t="str">
        <f>Base!W313</f>
        <v>No registrado en cartera</v>
      </c>
      <c r="N31" s="7" t="str">
        <f>Base!X313</f>
        <v>No registrado en cartera</v>
      </c>
      <c r="O31" s="7" t="str">
        <f>Base!Y313</f>
        <v>No registrado en cartera</v>
      </c>
      <c r="P31" s="6">
        <f>IF(Base!Z313="","",Base!Z313)</f>
        <v/>
      </c>
      <c r="Q31" s="18" t="str">
        <f>Base!S313</f>
        <v>Parcial</v>
      </c>
      <c r="R31" s="7">
        <f>Base!N313</f>
        <v>131450.62</v>
      </c>
      <c r="S31" s="7">
        <f>Base!T313</f>
        <v>145880.0</v>
      </c>
    </row>
    <row r="32" spans="1:19">
      <c r="A32" s="18">
        <f>SUBTOTAL(103,$B$6:B32)</f>
        <v>23</v>
      </c>
      <c r="B32" s="18">
        <v>420</v>
      </c>
      <c r="C32" s="6" t="str">
        <f>Base!H314</f>
        <v>2717188: MEJORAMIENTO DE LA COMPETITIVIDAD DE LA PRODUCCION DE LECHE FRESCA EN LA COOPERATIVA AGROINDUSTRIAL SAGRADO CORAZON DE JESUS DE CCOTA  DISTRITO DE PLATERIA PROVINCIA DE PUNO  DEPARTAMENTO DE  PUNO</v>
      </c>
      <c r="D32" s="7">
        <f>Base!I314</f>
        <v>160000.0</v>
      </c>
      <c r="E32" s="7">
        <f>Base!J314</f>
        <v>154450.0</v>
      </c>
      <c r="F32" s="7">
        <f>D32-E32</f>
        <v>5550.0</v>
      </c>
      <c r="G32" s="7">
        <f>Base!L314</f>
        <v>129270.0</v>
      </c>
      <c r="H32" s="7">
        <f>D32-G32</f>
        <v>30730.0</v>
      </c>
      <c r="I32" s="19">
        <f>IF(D32=0,0,G32/D32)</f>
        <v>0.8079375</v>
      </c>
      <c r="J32" s="6" t="str">
        <f>Base!U314</f>
        <v>Equipamiento / Contrata</v>
      </c>
      <c r="K32" s="6" t="str">
        <f>Base!R314</f>
        <v>Mayormente comprometido</v>
      </c>
      <c r="L32" s="7" t="str">
        <f>Base!V314</f>
        <v>No registrado en cartera</v>
      </c>
      <c r="M32" s="7" t="str">
        <f>Base!W314</f>
        <v>No registrado en cartera</v>
      </c>
      <c r="N32" s="7" t="str">
        <f>Base!X314</f>
        <v>No registrado en cartera</v>
      </c>
      <c r="O32" s="7" t="str">
        <f>Base!Y314</f>
        <v>No registrado en cartera</v>
      </c>
      <c r="P32" s="6">
        <f>IF(Base!Z314="","",Base!Z314)</f>
        <v/>
      </c>
      <c r="Q32" s="18" t="str">
        <f>Base!S314</f>
        <v>Difícil</v>
      </c>
      <c r="R32" s="7">
        <f>Base!N314</f>
        <v>0.0</v>
      </c>
      <c r="S32" s="7">
        <f>Base!T314</f>
        <v>5550.0</v>
      </c>
    </row>
    <row r="33" spans="1:19">
      <c r="A33" s="18">
        <f>SUBTOTAL(103,$B$6:B33)</f>
        <v>24</v>
      </c>
      <c r="B33" s="18">
        <v>423</v>
      </c>
      <c r="C33" s="6" t="str">
        <f>Base!H315</f>
        <v>2717192: MEJORAMIENTO DE LA PRODUCCION Y PROCESAMIENTO DE CULTIVOS FORRAJEROS EN LA ASOCIACION DE PRODUCTORES AGROPECUARIOS ALIANZA RENOVADO CALLANCA, DISTRITO DE PLATERIA, PROVINCIA DE PUNO, DEPARTAMENTO DE PUNO</v>
      </c>
      <c r="D33" s="7">
        <f>Base!I315</f>
        <v>160000.0</v>
      </c>
      <c r="E33" s="7">
        <f>Base!J315</f>
        <v>146000.0</v>
      </c>
      <c r="F33" s="7">
        <f>D33-E33</f>
        <v>14000.0</v>
      </c>
      <c r="G33" s="7">
        <f>Base!L315</f>
        <v>2000.0</v>
      </c>
      <c r="H33" s="7">
        <f>D33-G33</f>
        <v>158000.0</v>
      </c>
      <c r="I33" s="19">
        <f>IF(D33=0,0,G33/D33)</f>
        <v>0.0125</v>
      </c>
      <c r="J33" s="6" t="str">
        <f>Base!U315</f>
        <v>Equipamiento / Contrata</v>
      </c>
      <c r="K33" s="6" t="str">
        <f>Base!R315</f>
        <v>Parcialmente comprometido</v>
      </c>
      <c r="L33" s="7" t="str">
        <f>Base!V315</f>
        <v>No registrado en cartera</v>
      </c>
      <c r="M33" s="7" t="str">
        <f>Base!W315</f>
        <v>No registrado en cartera</v>
      </c>
      <c r="N33" s="7" t="str">
        <f>Base!X315</f>
        <v>No registrado en cartera</v>
      </c>
      <c r="O33" s="7" t="str">
        <f>Base!Y315</f>
        <v>No registrado en cartera</v>
      </c>
      <c r="P33" s="6">
        <f>IF(Base!Z315="","",Base!Z315)</f>
        <v/>
      </c>
      <c r="Q33" s="18" t="str">
        <f>Base!S315</f>
        <v>Parcial</v>
      </c>
      <c r="R33" s="7">
        <f>Base!N315</f>
        <v>144000.0</v>
      </c>
      <c r="S33" s="7">
        <f>Base!T315</f>
        <v>158000.0</v>
      </c>
    </row>
    <row r="34" spans="1:19">
      <c r="A34" s="18">
        <f>SUBTOTAL(103,$B$6:B34)</f>
        <v>25</v>
      </c>
      <c r="B34" s="18">
        <v>425</v>
      </c>
      <c r="C34" s="6" t="str">
        <f>Base!H316</f>
        <v>2717194: MEJORAMIENTO DEL CENTRO DE ENGORDE Y COMERCIALIZACION DE GANADO VACUNO EN LA ASOCIACION DE PRODUCTORES GANADERIA LA CANTUTA, DISTRITO DE VILQUE, PROVINCIA PUNO Y REGION PUNO</v>
      </c>
      <c r="D34" s="7">
        <f>Base!I316</f>
        <v>160000.0</v>
      </c>
      <c r="E34" s="7">
        <f>Base!J316</f>
        <v>92650.0</v>
      </c>
      <c r="F34" s="7">
        <f>D34-E34</f>
        <v>67350.0</v>
      </c>
      <c r="G34" s="7">
        <f>Base!L316</f>
        <v>89300.0</v>
      </c>
      <c r="H34" s="7">
        <f>D34-G34</f>
        <v>70700.0</v>
      </c>
      <c r="I34" s="19">
        <f>IF(D34=0,0,G34/D34)</f>
        <v>0.558125</v>
      </c>
      <c r="J34" s="6" t="str">
        <f>Base!U316</f>
        <v>Equipamiento / Contrata</v>
      </c>
      <c r="K34" s="6" t="str">
        <f>Base!R316</f>
        <v>Mayormente comprometido</v>
      </c>
      <c r="L34" s="7" t="str">
        <f>Base!V316</f>
        <v>No registrado en cartera</v>
      </c>
      <c r="M34" s="7" t="str">
        <f>Base!W316</f>
        <v>No registrado en cartera</v>
      </c>
      <c r="N34" s="7" t="str">
        <f>Base!X316</f>
        <v>No registrado en cartera</v>
      </c>
      <c r="O34" s="7" t="str">
        <f>Base!Y316</f>
        <v>No registrado en cartera</v>
      </c>
      <c r="P34" s="6">
        <f>IF(Base!Z316="","",Base!Z316)</f>
        <v/>
      </c>
      <c r="Q34" s="18" t="str">
        <f>Base!S316</f>
        <v>Difícil</v>
      </c>
      <c r="R34" s="7">
        <f>Base!N316</f>
        <v>10.0</v>
      </c>
      <c r="S34" s="7">
        <f>Base!T316</f>
        <v>67360.0</v>
      </c>
    </row>
    <row r="35" spans="1:19">
      <c r="A35" s="18">
        <f>SUBTOTAL(103,$B$6:B35)</f>
        <v>26</v>
      </c>
      <c r="B35" s="18">
        <v>351</v>
      </c>
      <c r="C35" s="6" t="str">
        <f>Base!H317</f>
        <v>2612522: MEJORAMIENTO DE LA PRODUCCION Y TRANSFORMACION DE QUESOS EN LA ASOCIACION DE PRODUCTORES LACTI SUR DE HUAPACA SANTIAGO DEL DISTRITO DE POMATA, PROVINCIA DE CHUCUITO Y DEPARTAMENTO DE PUN</v>
      </c>
      <c r="D35" s="7">
        <f>Base!I317</f>
        <v>61500.0</v>
      </c>
      <c r="E35" s="7">
        <f>Base!J317</f>
        <v>59000.0</v>
      </c>
      <c r="F35" s="7">
        <f>D35-E35</f>
        <v>2500.0</v>
      </c>
      <c r="G35" s="7">
        <f>Base!L317</f>
        <v>0.0</v>
      </c>
      <c r="H35" s="7">
        <f>D35-G35</f>
        <v>61500.0</v>
      </c>
      <c r="I35" s="19">
        <f>IF(D35=0,0,G35/D35)</f>
        <v>0.0</v>
      </c>
      <c r="J35" s="6" t="str">
        <f>Base!U317</f>
        <v>Equipamiento</v>
      </c>
      <c r="K35" s="6" t="str">
        <f>Base!R317</f>
        <v>Solo certificado</v>
      </c>
      <c r="L35" s="7" t="str">
        <f>Base!V317</f>
        <v>No registrado en cartera</v>
      </c>
      <c r="M35" s="7" t="str">
        <f>Base!W317</f>
        <v>No registrado en cartera</v>
      </c>
      <c r="N35" s="7" t="str">
        <f>Base!X317</f>
        <v>No registrado en cartera</v>
      </c>
      <c r="O35" s="7" t="str">
        <f>Base!Y317</f>
        <v>No registrado en cartera</v>
      </c>
      <c r="P35" s="6">
        <f>IF(Base!Z317="","",Base!Z317)</f>
        <v/>
      </c>
      <c r="Q35" s="18" t="str">
        <f>Base!S317</f>
        <v>Posible</v>
      </c>
      <c r="R35" s="7">
        <f>Base!N317</f>
        <v>59000.0</v>
      </c>
      <c r="S35" s="7">
        <f>Base!T317</f>
        <v>61500.0</v>
      </c>
    </row>
    <row r="36" spans="1:19">
      <c r="A36" s="18">
        <f>SUBTOTAL(103,$B$6:B36)</f>
        <v>27</v>
      </c>
      <c r="B36" s="18">
        <v>352</v>
      </c>
      <c r="C36" s="6" t="str">
        <f>Base!H318</f>
        <v>2612541: MEJORAMIENTO DE LA PRODUCCION Y COMERCIALIZACION DE DERIVADOS LACTEOS EN LA ASOCIACION DE PRODUCTORES AGROPECUARIOS EMPRENDEDORES LOS CLAVELES DE SAN SALVADOR HUATASANI, DEL DISTRITO DE HUATASANI, PROVINCIA DE HUANCANE Y REGION DE PUNO</v>
      </c>
      <c r="D36" s="7">
        <f>Base!I318</f>
        <v>62000.0</v>
      </c>
      <c r="E36" s="7">
        <f>Base!J318</f>
        <v>61766.67</v>
      </c>
      <c r="F36" s="7">
        <f>D36-E36</f>
        <v>233.33000000000175</v>
      </c>
      <c r="G36" s="7">
        <f>Base!L318</f>
        <v>0.0</v>
      </c>
      <c r="H36" s="7">
        <f>D36-G36</f>
        <v>62000.0</v>
      </c>
      <c r="I36" s="19">
        <f>IF(D36=0,0,G36/D36)</f>
        <v>0.0</v>
      </c>
      <c r="J36" s="6" t="str">
        <f>Base!U318</f>
        <v>Equipamiento</v>
      </c>
      <c r="K36" s="6" t="str">
        <f>Base!R318</f>
        <v>Solo certificado</v>
      </c>
      <c r="L36" s="7" t="str">
        <f>Base!V318</f>
        <v>No registrado en cartera</v>
      </c>
      <c r="M36" s="7" t="str">
        <f>Base!W318</f>
        <v>No registrado en cartera</v>
      </c>
      <c r="N36" s="7" t="str">
        <f>Base!X318</f>
        <v>No registrado en cartera</v>
      </c>
      <c r="O36" s="7" t="str">
        <f>Base!Y318</f>
        <v>No registrado en cartera</v>
      </c>
      <c r="P36" s="6">
        <f>IF(Base!Z318="","",Base!Z318)</f>
        <v/>
      </c>
      <c r="Q36" s="18" t="str">
        <f>Base!S318</f>
        <v>Posible</v>
      </c>
      <c r="R36" s="7">
        <f>Base!N318</f>
        <v>61766.67</v>
      </c>
      <c r="S36" s="7">
        <f>Base!T318</f>
        <v>62000.0</v>
      </c>
    </row>
    <row r="37" spans="1:19">
      <c r="A37" s="18">
        <f>SUBTOTAL(103,$B$6:B37)</f>
        <v>28</v>
      </c>
      <c r="B37" s="18">
        <v>353</v>
      </c>
      <c r="C37" s="6" t="str">
        <f>Base!H319</f>
        <v>2680578: MEJORAMIENTO DEL PROCESO Y CALIDAD DEL QUESO TIPO PARIA DE LA ASOCIACION LACTEOS LIKHA QUINSACHATA SOCIEDAD COMERCIAL DE RESPONSABILIDAD LIMITADA, DISTRITO CABANILLA, PROVINCIA LAMPA, REGION PUNO.</v>
      </c>
      <c r="D37" s="7">
        <f>Base!I319</f>
        <v>63755.0</v>
      </c>
      <c r="E37" s="7">
        <f>Base!J319</f>
        <v>60139.48</v>
      </c>
      <c r="F37" s="7">
        <f>D37-E37</f>
        <v>3615.519999999997</v>
      </c>
      <c r="G37" s="7">
        <f>Base!L319</f>
        <v>2139.48</v>
      </c>
      <c r="H37" s="7">
        <f>D37-G37</f>
        <v>61615.52</v>
      </c>
      <c r="I37" s="19">
        <f>IF(D37=0,0,G37/D37)</f>
        <v>0.03355783860089405</v>
      </c>
      <c r="J37" s="6" t="str">
        <f>Base!U319</f>
        <v>Equipamiento / Contrata</v>
      </c>
      <c r="K37" s="6" t="str">
        <f>Base!R319</f>
        <v>Mayormente comprometido</v>
      </c>
      <c r="L37" s="7" t="str">
        <f>Base!V319</f>
        <v>No registrado en cartera</v>
      </c>
      <c r="M37" s="7" t="str">
        <f>Base!W319</f>
        <v>No registrado en cartera</v>
      </c>
      <c r="N37" s="7" t="str">
        <f>Base!X319</f>
        <v>No registrado en cartera</v>
      </c>
      <c r="O37" s="7" t="str">
        <f>Base!Y319</f>
        <v>No registrado en cartera</v>
      </c>
      <c r="P37" s="6">
        <f>IF(Base!Z319="","",Base!Z319)</f>
        <v/>
      </c>
      <c r="Q37" s="18" t="str">
        <f>Base!S319</f>
        <v>Difícil</v>
      </c>
      <c r="R37" s="7">
        <f>Base!N319</f>
        <v>4000.0</v>
      </c>
      <c r="S37" s="7">
        <f>Base!T319</f>
        <v>7615.519999999997</v>
      </c>
    </row>
    <row r="38" spans="1:19">
      <c r="A38" s="18">
        <f>SUBTOTAL(103,$B$6:B38)</f>
        <v>29</v>
      </c>
      <c r="B38" s="18">
        <v>354</v>
      </c>
      <c r="C38" s="6" t="str">
        <f>Base!H320</f>
        <v>2676418: MEJORAMIENTO DE UNA PLANTA PROCESADORA DE LECHE PARA LA ELABORACION DE QUESOS FRESCOS TIPO PARIA DE LA ASOCIACION DE PRODUCTORES AGROPECUARIOS VILLA ACASSO APROAVA, DISTRITO DE PILCUYO, PROVINCIA DE EL COLLAO, REGION DE PUNO</v>
      </c>
      <c r="D38" s="7">
        <f>Base!I320</f>
        <v>65438.0</v>
      </c>
      <c r="E38" s="7">
        <f>Base!J320</f>
        <v>59650.0</v>
      </c>
      <c r="F38" s="7">
        <f>D38-E38</f>
        <v>5788.0</v>
      </c>
      <c r="G38" s="7">
        <f>Base!L320</f>
        <v>0.0</v>
      </c>
      <c r="H38" s="7">
        <f>D38-G38</f>
        <v>65438.0</v>
      </c>
      <c r="I38" s="19">
        <f>IF(D38=0,0,G38/D38)</f>
        <v>0.0</v>
      </c>
      <c r="J38" s="6" t="str">
        <f>Base!U320</f>
        <v>Equipamiento / Contrata</v>
      </c>
      <c r="K38" s="6" t="str">
        <f>Base!R320</f>
        <v>Solo certificado</v>
      </c>
      <c r="L38" s="7" t="str">
        <f>Base!V320</f>
        <v>No registrado en cartera</v>
      </c>
      <c r="M38" s="7" t="str">
        <f>Base!W320</f>
        <v>No registrado en cartera</v>
      </c>
      <c r="N38" s="7" t="str">
        <f>Base!X320</f>
        <v>No registrado en cartera</v>
      </c>
      <c r="O38" s="7" t="str">
        <f>Base!Y320</f>
        <v>No registrado en cartera</v>
      </c>
      <c r="P38" s="6">
        <f>IF(Base!Z320="","",Base!Z320)</f>
        <v/>
      </c>
      <c r="Q38" s="18" t="str">
        <f>Base!S320</f>
        <v>Posible</v>
      </c>
      <c r="R38" s="7">
        <f>Base!N320</f>
        <v>59650.0</v>
      </c>
      <c r="S38" s="7">
        <f>Base!T320</f>
        <v>65438.0</v>
      </c>
    </row>
    <row r="39" spans="1:19">
      <c r="A39" s="18">
        <f>SUBTOTAL(103,$B$6:B39)</f>
        <v>30</v>
      </c>
      <c r="B39" s="18">
        <v>355</v>
      </c>
      <c r="C39" s="6" t="str">
        <f>Base!H321</f>
        <v>2681120: MEJORAMIENTO TECNOLOGICO DEL VALOR AGREGADO DE HABAS EN LA ASOCIACION DE PRODUCTORES AGRARIOS Y PECUARIOS NUEVO PROGRESO TAUCAMAYA, DISTRITO DE COPANI, PROVINCIA DE YUNGUYO, REGION PUNO.</v>
      </c>
      <c r="D39" s="7">
        <f>Base!I321</f>
        <v>61200.0</v>
      </c>
      <c r="E39" s="7">
        <f>Base!J321</f>
        <v>59150.0</v>
      </c>
      <c r="F39" s="7">
        <f>D39-E39</f>
        <v>2050.0</v>
      </c>
      <c r="G39" s="7">
        <f>Base!L321</f>
        <v>59150.0</v>
      </c>
      <c r="H39" s="7">
        <f>D39-G39</f>
        <v>2050.0</v>
      </c>
      <c r="I39" s="19">
        <f>IF(D39=0,0,G39/D39)</f>
        <v>0.9665032679738562</v>
      </c>
      <c r="J39" s="6" t="str">
        <f>Base!U321</f>
        <v>Equipamiento / Contrata</v>
      </c>
      <c r="K39" s="6" t="str">
        <f>Base!R321</f>
        <v>Ejecutado</v>
      </c>
      <c r="L39" s="7" t="str">
        <f>Base!V321</f>
        <v>No registrado en cartera</v>
      </c>
      <c r="M39" s="7" t="str">
        <f>Base!W321</f>
        <v>No registrado en cartera</v>
      </c>
      <c r="N39" s="7" t="str">
        <f>Base!X321</f>
        <v>No registrado en cartera</v>
      </c>
      <c r="O39" s="7" t="str">
        <f>Base!Y321</f>
        <v>No registrado en cartera</v>
      </c>
      <c r="P39" s="6">
        <f>IF(Base!Z321="","",Base!Z321)</f>
        <v/>
      </c>
      <c r="Q39" s="18" t="str">
        <f>Base!S321</f>
        <v>No usar</v>
      </c>
      <c r="R39" s="7">
        <f>Base!N321</f>
        <v>0.0</v>
      </c>
      <c r="S39" s="7">
        <f>Base!T321</f>
        <v>0.0</v>
      </c>
    </row>
    <row r="40" spans="1:19">
      <c r="A40" s="18">
        <f>SUBTOTAL(103,$B$6:B40)</f>
        <v>31</v>
      </c>
      <c r="B40" s="18">
        <v>357</v>
      </c>
      <c r="C40" s="6" t="str">
        <f>Base!H322</f>
        <v>2676423: MEJORAMIENTO EN LA PRODUCCION DE QUESOS TIPO PARIA EN LA ASOCIACION DE PRODUCTORES DE LECHE Y SUS DERIVADOS PIAS MILAN DE LA COMUNIDAD DE HUAYTA, DISTRITO DE LAMPA, PROVINCIA DE LAMPA DEL DEPARTAMENTO DE PUNO.</v>
      </c>
      <c r="D40" s="7">
        <f>Base!I322</f>
        <v>2936.0</v>
      </c>
      <c r="E40" s="7">
        <f>Base!J322</f>
        <v>2936.0</v>
      </c>
      <c r="F40" s="7">
        <f>D40-E40</f>
        <v>0.0</v>
      </c>
      <c r="G40" s="7">
        <f>Base!L322</f>
        <v>2936.0</v>
      </c>
      <c r="H40" s="7">
        <f>D40-G40</f>
        <v>0.0</v>
      </c>
      <c r="I40" s="19">
        <f>IF(D40=0,0,G40/D40)</f>
        <v>1.0</v>
      </c>
      <c r="J40" s="6" t="str">
        <f>Base!U322</f>
        <v>Contrata</v>
      </c>
      <c r="K40" s="6" t="str">
        <f>Base!R322</f>
        <v>Ejecutado</v>
      </c>
      <c r="L40" s="7" t="str">
        <f>Base!V322</f>
        <v>No registrado en cartera</v>
      </c>
      <c r="M40" s="7" t="str">
        <f>Base!W322</f>
        <v>No registrado en cartera</v>
      </c>
      <c r="N40" s="7" t="str">
        <f>Base!X322</f>
        <v>No registrado en cartera</v>
      </c>
      <c r="O40" s="7" t="str">
        <f>Base!Y322</f>
        <v>No registrado en cartera</v>
      </c>
      <c r="P40" s="6">
        <f>IF(Base!Z322="","",Base!Z322)</f>
        <v/>
      </c>
      <c r="Q40" s="18" t="str">
        <f>Base!S322</f>
        <v>No usar</v>
      </c>
      <c r="R40" s="7">
        <f>Base!N322</f>
        <v>0.0</v>
      </c>
      <c r="S40" s="7">
        <f>Base!T322</f>
        <v>0.0</v>
      </c>
    </row>
    <row r="41" spans="1:19">
      <c r="A41" s="18">
        <f>SUBTOTAL(103,$B$6:B41)</f>
        <v>32</v>
      </c>
      <c r="B41" s="18">
        <v>358</v>
      </c>
      <c r="C41" s="6" t="str">
        <f>Base!H323</f>
        <v>2676424: MEJORAMIENTO DE LA PLANTA PROCESADORA DE CAFE PARA LA ELABORACION DE CAFE TOSTADO MOLIDO DE LA COOPERATIVA AGRARIA CAFETALERA SAN IGNACIO LTDA., DISTRITO DE SAN PEDRO DE PUTINA PUNCO, PROVINCIA DE SANDIA, REGION DE PUNO</v>
      </c>
      <c r="D41" s="7">
        <f>Base!I323</f>
        <v>10692.0</v>
      </c>
      <c r="E41" s="7">
        <f>Base!J323</f>
        <v>10691.76</v>
      </c>
      <c r="F41" s="7">
        <f>D41-E41</f>
        <v>0.23999999999978172</v>
      </c>
      <c r="G41" s="7">
        <f>Base!L323</f>
        <v>10691.76</v>
      </c>
      <c r="H41" s="7">
        <f>D41-G41</f>
        <v>0.23999999999978172</v>
      </c>
      <c r="I41" s="19">
        <f>IF(D41=0,0,G41/D41)</f>
        <v>0.9999775533108867</v>
      </c>
      <c r="J41" s="6" t="str">
        <f>Base!U323</f>
        <v>Contrata</v>
      </c>
      <c r="K41" s="6" t="str">
        <f>Base!R323</f>
        <v>Ejecutado</v>
      </c>
      <c r="L41" s="7" t="str">
        <f>Base!V323</f>
        <v>No registrado en cartera</v>
      </c>
      <c r="M41" s="7" t="str">
        <f>Base!W323</f>
        <v>No registrado en cartera</v>
      </c>
      <c r="N41" s="7" t="str">
        <f>Base!X323</f>
        <v>No registrado en cartera</v>
      </c>
      <c r="O41" s="7" t="str">
        <f>Base!Y323</f>
        <v>No registrado en cartera</v>
      </c>
      <c r="P41" s="6">
        <f>IF(Base!Z323="","",Base!Z323)</f>
        <v/>
      </c>
      <c r="Q41" s="18" t="str">
        <f>Base!S323</f>
        <v>No usar</v>
      </c>
      <c r="R41" s="7">
        <f>Base!N323</f>
        <v>0.0</v>
      </c>
      <c r="S41" s="7">
        <f>Base!T323</f>
        <v>0.0</v>
      </c>
    </row>
    <row r="42" spans="1:19">
      <c r="A42" s="18">
        <f>SUBTOTAL(103,$B$6:B42)</f>
        <v>33</v>
      </c>
      <c r="B42" s="18">
        <v>359</v>
      </c>
      <c r="C42" s="6" t="str">
        <f>Base!H324</f>
        <v>2681121: MEJORAMIENTO DE LA PRODUCCION DE PRENDAS DE ARTESANIA TEXTIL EN LA ASOCIACION DE PRODUCTORES RITA POMA DEL TAWANTINSUYO PUNO, DISTRITO PUNO, PROVINCIA PUNO Y REGION PUNO</v>
      </c>
      <c r="D42" s="7">
        <f>Base!I324</f>
        <v>7816.0</v>
      </c>
      <c r="E42" s="7">
        <f>Base!J324</f>
        <v>4500.0</v>
      </c>
      <c r="F42" s="7">
        <f>D42-E42</f>
        <v>3316.0</v>
      </c>
      <c r="G42" s="7">
        <f>Base!L324</f>
        <v>3000.0</v>
      </c>
      <c r="H42" s="7">
        <f>D42-G42</f>
        <v>4816.0</v>
      </c>
      <c r="I42" s="19">
        <f>IF(D42=0,0,G42/D42)</f>
        <v>0.38382804503582396</v>
      </c>
      <c r="J42" s="6" t="str">
        <f>Base!U324</f>
        <v>Contrata</v>
      </c>
      <c r="K42" s="6" t="str">
        <f>Base!R324</f>
        <v>Mayormente comprometido</v>
      </c>
      <c r="L42" s="7" t="str">
        <f>Base!V324</f>
        <v>No registrado en cartera</v>
      </c>
      <c r="M42" s="7" t="str">
        <f>Base!W324</f>
        <v>No registrado en cartera</v>
      </c>
      <c r="N42" s="7" t="str">
        <f>Base!X324</f>
        <v>No registrado en cartera</v>
      </c>
      <c r="O42" s="7" t="str">
        <f>Base!Y324</f>
        <v>No registrado en cartera</v>
      </c>
      <c r="P42" s="6">
        <f>IF(Base!Z324="","",Base!Z324)</f>
        <v/>
      </c>
      <c r="Q42" s="18" t="str">
        <f>Base!S324</f>
        <v>Difícil</v>
      </c>
      <c r="R42" s="7">
        <f>Base!N324</f>
        <v>0.0</v>
      </c>
      <c r="S42" s="7">
        <f>Base!T324</f>
        <v>3316.0</v>
      </c>
    </row>
    <row r="43" spans="1:19">
      <c r="A43" s="18">
        <f>SUBTOTAL(103,$B$6:B43)</f>
        <v>34</v>
      </c>
      <c r="B43" s="18">
        <v>360</v>
      </c>
      <c r="C43" s="6" t="str">
        <f>Base!H325</f>
        <v>2676426: MEJORAMIENTO DE LA PRODUCTIVIDAD Y GENERACION DE VALOR AGREGADO DEL GRANO DE QUINUA PARA SU COMERCIALIZACION EN LA ASOCIACION DE PRODUCTORES AGROPECUARIOS AGROINDUSTRIALES KAPIA DEL DISTRITO DE YUNGUYO, PROVINCIA DE YUNGUYO, DEPARTAMENTO DE PUNO.</v>
      </c>
      <c r="D43" s="7">
        <f>Base!I325</f>
        <v>3546.0</v>
      </c>
      <c r="E43" s="7">
        <f>Base!J325</f>
        <v>3546.0</v>
      </c>
      <c r="F43" s="7">
        <f>D43-E43</f>
        <v>0.0</v>
      </c>
      <c r="G43" s="7">
        <f>Base!L325</f>
        <v>3546.0</v>
      </c>
      <c r="H43" s="7">
        <f>D43-G43</f>
        <v>0.0</v>
      </c>
      <c r="I43" s="19">
        <f>IF(D43=0,0,G43/D43)</f>
        <v>1.0</v>
      </c>
      <c r="J43" s="6" t="str">
        <f>Base!U325</f>
        <v>Contrata</v>
      </c>
      <c r="K43" s="6" t="str">
        <f>Base!R325</f>
        <v>Ejecutado</v>
      </c>
      <c r="L43" s="7" t="str">
        <f>Base!V325</f>
        <v>No registrado en cartera</v>
      </c>
      <c r="M43" s="7" t="str">
        <f>Base!W325</f>
        <v>No registrado en cartera</v>
      </c>
      <c r="N43" s="7" t="str">
        <f>Base!X325</f>
        <v>No registrado en cartera</v>
      </c>
      <c r="O43" s="7" t="str">
        <f>Base!Y325</f>
        <v>No registrado en cartera</v>
      </c>
      <c r="P43" s="6">
        <f>IF(Base!Z325="","",Base!Z325)</f>
        <v/>
      </c>
      <c r="Q43" s="18" t="str">
        <f>Base!S325</f>
        <v>No usar</v>
      </c>
      <c r="R43" s="7">
        <f>Base!N325</f>
        <v>0.0</v>
      </c>
      <c r="S43" s="7">
        <f>Base!T325</f>
        <v>0.0</v>
      </c>
    </row>
    <row r="44" spans="1:19">
      <c r="A44" s="18">
        <f>SUBTOTAL(103,$B$6:B44)</f>
        <v>35</v>
      </c>
      <c r="B44" s="18">
        <v>361</v>
      </c>
      <c r="C44" s="6" t="str">
        <f>Base!H326</f>
        <v>2676427: MEJORAMIENTO DE LA PRODUCCION DE LECHE FRESCA EN LA ASOCIACION DE PRODUCTORES AGROPECUARIOS, AGROINDUSTRIALES, ARTESANALES CCACCALLACTA AMPATUIRE ORURILLO, DISTRITO ORURILLO, PROVINCIA MELGAR, REGION PUNO</v>
      </c>
      <c r="D44" s="7">
        <f>Base!I326</f>
        <v>2555.0</v>
      </c>
      <c r="E44" s="7">
        <f>Base!J326</f>
        <v>2550.0</v>
      </c>
      <c r="F44" s="7">
        <f>D44-E44</f>
        <v>5.0</v>
      </c>
      <c r="G44" s="7">
        <f>Base!L326</f>
        <v>2550.0</v>
      </c>
      <c r="H44" s="7">
        <f>D44-G44</f>
        <v>5.0</v>
      </c>
      <c r="I44" s="19">
        <f>IF(D44=0,0,G44/D44)</f>
        <v>0.9980430528375733</v>
      </c>
      <c r="J44" s="6" t="str">
        <f>Base!U326</f>
        <v>Contrata</v>
      </c>
      <c r="K44" s="6" t="str">
        <f>Base!R326</f>
        <v>Ejecutado</v>
      </c>
      <c r="L44" s="7" t="str">
        <f>Base!V326</f>
        <v>No registrado en cartera</v>
      </c>
      <c r="M44" s="7" t="str">
        <f>Base!W326</f>
        <v>No registrado en cartera</v>
      </c>
      <c r="N44" s="7" t="str">
        <f>Base!X326</f>
        <v>No registrado en cartera</v>
      </c>
      <c r="O44" s="7" t="str">
        <f>Base!Y326</f>
        <v>No registrado en cartera</v>
      </c>
      <c r="P44" s="6">
        <f>IF(Base!Z326="","",Base!Z326)</f>
        <v/>
      </c>
      <c r="Q44" s="18" t="str">
        <f>Base!S326</f>
        <v>No usar</v>
      </c>
      <c r="R44" s="7">
        <f>Base!N326</f>
        <v>0.0</v>
      </c>
      <c r="S44" s="7">
        <f>Base!T326</f>
        <v>0.0</v>
      </c>
    </row>
    <row r="45" spans="1:19">
      <c r="A45" s="18">
        <f>SUBTOTAL(103,$B$6:B45)</f>
        <v>36</v>
      </c>
      <c r="B45" s="18">
        <v>362</v>
      </c>
      <c r="C45" s="6" t="str">
        <f>Base!H327</f>
        <v>2676430: MEJORAMIENTO DEL PROCESO DE PANIFICACION DE GRANOS ANDINOS EN LA ASOCIACION DE PRODUCTORES AGROPECUARIOS AGROINDUSTRIALES Y SERVICIOS MULTIPLES JC3 APAASM JC3 EN EL DISTRITO DE ILAVE PROVINCIA EL COLLAO REGION PUNO</v>
      </c>
      <c r="D45" s="7">
        <f>Base!I327</f>
        <v>73376.0</v>
      </c>
      <c r="E45" s="7">
        <f>Base!J327</f>
        <v>69875.75</v>
      </c>
      <c r="F45" s="7">
        <f>D45-E45</f>
        <v>3500.25</v>
      </c>
      <c r="G45" s="7">
        <f>Base!L327</f>
        <v>69875.75</v>
      </c>
      <c r="H45" s="7">
        <f>D45-G45</f>
        <v>3500.25</v>
      </c>
      <c r="I45" s="19">
        <f>IF(D45=0,0,G45/D45)</f>
        <v>0.9522970726122983</v>
      </c>
      <c r="J45" s="6" t="str">
        <f>Base!U327</f>
        <v>Equipamiento / Contrata</v>
      </c>
      <c r="K45" s="6" t="str">
        <f>Base!R327</f>
        <v>Ejecutado</v>
      </c>
      <c r="L45" s="7" t="str">
        <f>Base!V327</f>
        <v>No registrado en cartera</v>
      </c>
      <c r="M45" s="7" t="str">
        <f>Base!W327</f>
        <v>No registrado en cartera</v>
      </c>
      <c r="N45" s="7" t="str">
        <f>Base!X327</f>
        <v>No registrado en cartera</v>
      </c>
      <c r="O45" s="7" t="str">
        <f>Base!Y327</f>
        <v>No registrado en cartera</v>
      </c>
      <c r="P45" s="6">
        <f>IF(Base!Z327="","",Base!Z327)</f>
        <v/>
      </c>
      <c r="Q45" s="18" t="str">
        <f>Base!S327</f>
        <v>No usar</v>
      </c>
      <c r="R45" s="7">
        <f>Base!N327</f>
        <v>0.0</v>
      </c>
      <c r="S45" s="7">
        <f>Base!T327</f>
        <v>0.0</v>
      </c>
    </row>
    <row r="46" spans="1:19">
      <c r="A46" s="18">
        <f>SUBTOTAL(103,$B$6:B46)</f>
        <v>37</v>
      </c>
      <c r="B46" s="18">
        <v>363</v>
      </c>
      <c r="C46" s="6" t="str">
        <f>Base!H328</f>
        <v>2676431: MEJORAMIENTO DE LA PRODUCCION TEXTIL DE FIBRA DE ALPACA EN LA ASOCIACION DE PRODUCTORES AGROPECUARIOS AGROINDUSTRIALES Y ARTESANOS HUAYLLAPUJO, DISTRITO DE SANTA ROSA, PROVINCIA DE EL COLLAO, REGION PUNO</v>
      </c>
      <c r="D46" s="7">
        <f>Base!I328</f>
        <v>54964.0</v>
      </c>
      <c r="E46" s="7">
        <f>Base!J328</f>
        <v>1977.5</v>
      </c>
      <c r="F46" s="7">
        <f>D46-E46</f>
        <v>52986.5</v>
      </c>
      <c r="G46" s="7">
        <f>Base!L328</f>
        <v>1977.5</v>
      </c>
      <c r="H46" s="7">
        <f>D46-G46</f>
        <v>52986.5</v>
      </c>
      <c r="I46" s="19">
        <f>IF(D46=0,0,G46/D46)</f>
        <v>0.03597809475292919</v>
      </c>
      <c r="J46" s="6" t="str">
        <f>Base!U328</f>
        <v>Equipamiento / Contrata</v>
      </c>
      <c r="K46" s="6" t="str">
        <f>Base!R328</f>
        <v>Parcialmente comprometido</v>
      </c>
      <c r="L46" s="7" t="str">
        <f>Base!V328</f>
        <v>No registrado en cartera</v>
      </c>
      <c r="M46" s="7" t="str">
        <f>Base!W328</f>
        <v>No registrado en cartera</v>
      </c>
      <c r="N46" s="7" t="str">
        <f>Base!X328</f>
        <v>No registrado en cartera</v>
      </c>
      <c r="O46" s="7" t="str">
        <f>Base!Y328</f>
        <v>No registrado en cartera</v>
      </c>
      <c r="P46" s="6">
        <f>IF(Base!Z328="","",Base!Z328)</f>
        <v/>
      </c>
      <c r="Q46" s="18" t="str">
        <f>Base!S328</f>
        <v>Parcial</v>
      </c>
      <c r="R46" s="7">
        <f>Base!N328</f>
        <v>0.0</v>
      </c>
      <c r="S46" s="7">
        <f>Base!T328</f>
        <v>52986.5</v>
      </c>
    </row>
    <row r="47" spans="1:19">
      <c r="A47" s="18">
        <f>SUBTOTAL(103,$B$6:B47)</f>
        <v>38</v>
      </c>
      <c r="B47" s="18">
        <v>364</v>
      </c>
      <c r="C47" s="6" t="str">
        <f>Base!H329</f>
        <v>2676432: CREACION DE LA PLANTA DE PROCESO DE ELABORACION DE PAN DE QUINUA DE LA ASOCIACION DE TRANSFORMADORES DE GRANOS ANDINOS EN PANADERIA Y PASTELERIA ARTESANAL EL SOL DE LAMPA, DEL DISTRITO DE LAMPA, PROVINCIA DE LAMPA, REGION PUNO.</v>
      </c>
      <c r="D47" s="7">
        <f>Base!I329</f>
        <v>73915.0</v>
      </c>
      <c r="E47" s="7">
        <f>Base!J329</f>
        <v>71560.0</v>
      </c>
      <c r="F47" s="7">
        <f>D47-E47</f>
        <v>2355.0</v>
      </c>
      <c r="G47" s="7">
        <f>Base!L329</f>
        <v>69710.0</v>
      </c>
      <c r="H47" s="7">
        <f>D47-G47</f>
        <v>4205.0</v>
      </c>
      <c r="I47" s="19">
        <f>IF(D47=0,0,G47/D47)</f>
        <v>0.9431103294324562</v>
      </c>
      <c r="J47" s="6" t="str">
        <f>Base!U329</f>
        <v>Equipamiento / Contrata</v>
      </c>
      <c r="K47" s="6" t="str">
        <f>Base!R329</f>
        <v>Ejecutado</v>
      </c>
      <c r="L47" s="7" t="str">
        <f>Base!V329</f>
        <v>No registrado en cartera</v>
      </c>
      <c r="M47" s="7" t="str">
        <f>Base!W329</f>
        <v>No registrado en cartera</v>
      </c>
      <c r="N47" s="7" t="str">
        <f>Base!X329</f>
        <v>No registrado en cartera</v>
      </c>
      <c r="O47" s="7" t="str">
        <f>Base!Y329</f>
        <v>No registrado en cartera</v>
      </c>
      <c r="P47" s="6">
        <f>IF(Base!Z329="","",Base!Z329)</f>
        <v/>
      </c>
      <c r="Q47" s="18" t="str">
        <f>Base!S329</f>
        <v>No usar</v>
      </c>
      <c r="R47" s="7">
        <f>Base!N329</f>
        <v>1850.0</v>
      </c>
      <c r="S47" s="7">
        <f>Base!T329</f>
        <v>0.0</v>
      </c>
    </row>
    <row r="48" spans="1:19">
      <c r="A48" s="18">
        <f>SUBTOTAL(103,$B$6:B48)</f>
        <v>39</v>
      </c>
      <c r="B48" s="18">
        <v>365</v>
      </c>
      <c r="C48" s="6" t="str">
        <f>Base!H330</f>
        <v>2681125: MEJORAMIENTO DE LA PRODUCTIVIDAD Y CALIDAD DE LECHE FRESCA EN LA ASOCIACION DE PRODUCTORES AGROPECUARIOS DE GANADO VACUNO LECHERO ARTESANAL KANCHAQ WASI DE COMUNIDAD COLCA ATUNCOLLA, DISTRITO DE ATUNCOLLA, PROVINCIA DE PUNO, REGION PUNO</v>
      </c>
      <c r="D48" s="7">
        <f>Base!I330</f>
        <v>5098.0</v>
      </c>
      <c r="E48" s="7">
        <f>Base!J330</f>
        <v>5097.0</v>
      </c>
      <c r="F48" s="7">
        <f>D48-E48</f>
        <v>1.0</v>
      </c>
      <c r="G48" s="7">
        <f>Base!L330</f>
        <v>5097.0</v>
      </c>
      <c r="H48" s="7">
        <f>D48-G48</f>
        <v>1.0</v>
      </c>
      <c r="I48" s="19">
        <f>IF(D48=0,0,G48/D48)</f>
        <v>0.9998038446449589</v>
      </c>
      <c r="J48" s="6" t="str">
        <f>Base!U330</f>
        <v>Contrata</v>
      </c>
      <c r="K48" s="6" t="str">
        <f>Base!R330</f>
        <v>Ejecutado</v>
      </c>
      <c r="L48" s="7" t="str">
        <f>Base!V330</f>
        <v>No registrado en cartera</v>
      </c>
      <c r="M48" s="7" t="str">
        <f>Base!W330</f>
        <v>No registrado en cartera</v>
      </c>
      <c r="N48" s="7" t="str">
        <f>Base!X330</f>
        <v>No registrado en cartera</v>
      </c>
      <c r="O48" s="7" t="str">
        <f>Base!Y330</f>
        <v>No registrado en cartera</v>
      </c>
      <c r="P48" s="6">
        <f>IF(Base!Z330="","",Base!Z330)</f>
        <v/>
      </c>
      <c r="Q48" s="18" t="str">
        <f>Base!S330</f>
        <v>No usar</v>
      </c>
      <c r="R48" s="7">
        <f>Base!N330</f>
        <v>0.0</v>
      </c>
      <c r="S48" s="7">
        <f>Base!T330</f>
        <v>0.0</v>
      </c>
    </row>
    <row r="49" spans="1:19">
      <c r="A49" s="18">
        <f>SUBTOTAL(103,$B$6:B49)</f>
        <v>40</v>
      </c>
      <c r="B49" s="18">
        <v>366</v>
      </c>
      <c r="C49" s="6" t="str">
        <f>Base!H331</f>
        <v>2681128: MEJORAMIENTO DE LA PRODUCCION DE QUESOS TIPO PARIA DE LA ASOCIACION DE PRODUCTORES ORGANICOS AGROPECUARIOS Y AGROINDUSTRIALES LA LIBERTAD NUNOA, DISTRITO DE NUNOA, PROVINCIA DE MELGAR, REGION PUNO</v>
      </c>
      <c r="D49" s="7">
        <f>Base!I331</f>
        <v>4800.0</v>
      </c>
      <c r="E49" s="7">
        <f>Base!J331</f>
        <v>4800.0</v>
      </c>
      <c r="F49" s="7">
        <f>D49-E49</f>
        <v>0.0</v>
      </c>
      <c r="G49" s="7">
        <f>Base!L331</f>
        <v>4800.0</v>
      </c>
      <c r="H49" s="7">
        <f>D49-G49</f>
        <v>0.0</v>
      </c>
      <c r="I49" s="19">
        <f>IF(D49=0,0,G49/D49)</f>
        <v>1.0</v>
      </c>
      <c r="J49" s="6" t="str">
        <f>Base!U331</f>
        <v>Contrata</v>
      </c>
      <c r="K49" s="6" t="str">
        <f>Base!R331</f>
        <v>Ejecutado</v>
      </c>
      <c r="L49" s="7" t="str">
        <f>Base!V331</f>
        <v>No registrado en cartera</v>
      </c>
      <c r="M49" s="7" t="str">
        <f>Base!W331</f>
        <v>No registrado en cartera</v>
      </c>
      <c r="N49" s="7" t="str">
        <f>Base!X331</f>
        <v>No registrado en cartera</v>
      </c>
      <c r="O49" s="7" t="str">
        <f>Base!Y331</f>
        <v>No registrado en cartera</v>
      </c>
      <c r="P49" s="6">
        <f>IF(Base!Z331="","",Base!Z331)</f>
        <v/>
      </c>
      <c r="Q49" s="18" t="str">
        <f>Base!S331</f>
        <v>No usar</v>
      </c>
      <c r="R49" s="7">
        <f>Base!N331</f>
        <v>0.0</v>
      </c>
      <c r="S49" s="7">
        <f>Base!T331</f>
        <v>0.0</v>
      </c>
    </row>
    <row r="50" spans="1:19">
      <c r="A50" s="18">
        <f>SUBTOTAL(103,$B$6:B50)</f>
        <v>41</v>
      </c>
      <c r="B50" s="18">
        <v>367</v>
      </c>
      <c r="C50" s="6" t="str">
        <f>Base!H332</f>
        <v>2681129: CREACION DE UN TALLER TEXTIL PARA LA ELABORACION DE PRENDAS DE VESTIR Y ARTICULOS DE FIBRA DE ALPACA, DE LA ASOCIACION 24 DE JUNIO CHAJANA EN EL DISTRITO DE COJATA, PROVINCIA DE HUANCANE, DEPARTAMENTO DE PUNO</v>
      </c>
      <c r="D50" s="7">
        <f>Base!I332</f>
        <v>12800.0</v>
      </c>
      <c r="E50" s="7">
        <f>Base!J332</f>
        <v>12800.0</v>
      </c>
      <c r="F50" s="7">
        <f>D50-E50</f>
        <v>0.0</v>
      </c>
      <c r="G50" s="7">
        <f>Base!L332</f>
        <v>12800.0</v>
      </c>
      <c r="H50" s="7">
        <f>D50-G50</f>
        <v>0.0</v>
      </c>
      <c r="I50" s="19">
        <f>IF(D50=0,0,G50/D50)</f>
        <v>1.0</v>
      </c>
      <c r="J50" s="6" t="str">
        <f>Base!U332</f>
        <v>Contrata</v>
      </c>
      <c r="K50" s="6" t="str">
        <f>Base!R332</f>
        <v>Ejecutado</v>
      </c>
      <c r="L50" s="7" t="str">
        <f>Base!V332</f>
        <v>No registrado en cartera</v>
      </c>
      <c r="M50" s="7" t="str">
        <f>Base!W332</f>
        <v>No registrado en cartera</v>
      </c>
      <c r="N50" s="7" t="str">
        <f>Base!X332</f>
        <v>No registrado en cartera</v>
      </c>
      <c r="O50" s="7" t="str">
        <f>Base!Y332</f>
        <v>No registrado en cartera</v>
      </c>
      <c r="P50" s="6">
        <f>IF(Base!Z332="","",Base!Z332)</f>
        <v/>
      </c>
      <c r="Q50" s="18" t="str">
        <f>Base!S332</f>
        <v>No usar</v>
      </c>
      <c r="R50" s="7">
        <f>Base!N332</f>
        <v>0.0</v>
      </c>
      <c r="S50" s="7">
        <f>Base!T332</f>
        <v>0.0</v>
      </c>
    </row>
    <row r="51" spans="1:19">
      <c r="A51" s="18">
        <f>SUBTOTAL(103,$B$6:B51)</f>
        <v>42</v>
      </c>
      <c r="B51" s="18">
        <v>369</v>
      </c>
      <c r="C51" s="6" t="str">
        <f>Base!H333</f>
        <v>2676435: MEJORAMIENTO DEL PROCESO DE ENGORDE Y COMERCIALIZACION DE GANADO VACUNO EN LA ASOCIACION DE PRODUCTORES AGROPECUARIOS STMA. TRINIDAD DE CCACCAPUNCO EN EL DISTRITO DE VILQUE, PROVINCIA PUNO Y REGION PUNO</v>
      </c>
      <c r="D51" s="7">
        <f>Base!I333</f>
        <v>57400.0</v>
      </c>
      <c r="E51" s="7">
        <f>Base!J333</f>
        <v>57400.0</v>
      </c>
      <c r="F51" s="7">
        <f>D51-E51</f>
        <v>0.0</v>
      </c>
      <c r="G51" s="7">
        <f>Base!L333</f>
        <v>57400.0</v>
      </c>
      <c r="H51" s="7">
        <f>D51-G51</f>
        <v>0.0</v>
      </c>
      <c r="I51" s="19">
        <f>IF(D51=0,0,G51/D51)</f>
        <v>1.0</v>
      </c>
      <c r="J51" s="6" t="str">
        <f>Base!U333</f>
        <v>Equipamiento / Contrata</v>
      </c>
      <c r="K51" s="6" t="str">
        <f>Base!R333</f>
        <v>Ejecutado</v>
      </c>
      <c r="L51" s="7" t="str">
        <f>Base!V333</f>
        <v>No registrado en cartera</v>
      </c>
      <c r="M51" s="7" t="str">
        <f>Base!W333</f>
        <v>No registrado en cartera</v>
      </c>
      <c r="N51" s="7" t="str">
        <f>Base!X333</f>
        <v>No registrado en cartera</v>
      </c>
      <c r="O51" s="7" t="str">
        <f>Base!Y333</f>
        <v>No registrado en cartera</v>
      </c>
      <c r="P51" s="6">
        <f>IF(Base!Z333="","",Base!Z333)</f>
        <v/>
      </c>
      <c r="Q51" s="18" t="str">
        <f>Base!S333</f>
        <v>No usar</v>
      </c>
      <c r="R51" s="7">
        <f>Base!N333</f>
        <v>0.0</v>
      </c>
      <c r="S51" s="7">
        <f>Base!T333</f>
        <v>0.0</v>
      </c>
    </row>
    <row r="52" spans="1:19">
      <c r="A52" s="18">
        <f>SUBTOTAL(103,$B$6:B52)</f>
        <v>43</v>
      </c>
      <c r="B52" s="18">
        <v>370</v>
      </c>
      <c r="C52" s="6" t="str">
        <f>Base!H334</f>
        <v>2676436: AMPLIACION DE LA PLANTA PROCESADORA DE LECHE PARA LA ELABORACION DE QUESOS DE LA ASOCIACION DE PRODUCTORES DE LECHE Y DERIVADOS LACTEOS VIRGEN DE ASUNCION ROSASPATA, DISTRITO DE ROSASPATA, PROVINCIA DE HUANCANE, REGION PUNO</v>
      </c>
      <c r="D52" s="7">
        <f>Base!I334</f>
        <v>5898.0</v>
      </c>
      <c r="E52" s="7">
        <f>Base!J334</f>
        <v>5898.0</v>
      </c>
      <c r="F52" s="7">
        <f>D52-E52</f>
        <v>0.0</v>
      </c>
      <c r="G52" s="7">
        <f>Base!L334</f>
        <v>5898.0</v>
      </c>
      <c r="H52" s="7">
        <f>D52-G52</f>
        <v>0.0</v>
      </c>
      <c r="I52" s="19">
        <f>IF(D52=0,0,G52/D52)</f>
        <v>1.0</v>
      </c>
      <c r="J52" s="6" t="str">
        <f>Base!U334</f>
        <v>Contrata</v>
      </c>
      <c r="K52" s="6" t="str">
        <f>Base!R334</f>
        <v>Ejecutado</v>
      </c>
      <c r="L52" s="7" t="str">
        <f>Base!V334</f>
        <v>No registrado en cartera</v>
      </c>
      <c r="M52" s="7" t="str">
        <f>Base!W334</f>
        <v>No registrado en cartera</v>
      </c>
      <c r="N52" s="7" t="str">
        <f>Base!X334</f>
        <v>No registrado en cartera</v>
      </c>
      <c r="O52" s="7" t="str">
        <f>Base!Y334</f>
        <v>No registrado en cartera</v>
      </c>
      <c r="P52" s="6">
        <f>IF(Base!Z334="","",Base!Z334)</f>
        <v/>
      </c>
      <c r="Q52" s="18" t="str">
        <f>Base!S334</f>
        <v>No usar</v>
      </c>
      <c r="R52" s="7">
        <f>Base!N334</f>
        <v>0.0</v>
      </c>
      <c r="S52" s="7">
        <f>Base!T334</f>
        <v>0.0</v>
      </c>
    </row>
    <row r="53" spans="1:19">
      <c r="A53" s="18">
        <f>SUBTOTAL(103,$B$6:B53)</f>
        <v>44</v>
      </c>
      <c r="B53" s="18">
        <v>371</v>
      </c>
      <c r="C53" s="6" t="str">
        <f>Base!H335</f>
        <v>2681276: MEJORAMIENTO EN LA CAPACIDAD TECNICA DE PRODUCCION DE PRENDAS DE TEXTIL DE TEJIDO A MANO DE ALTO RELIEVE DE FIBRA DE ALPACA DE LA ASOCIACION DE MUJERES ARTESANAS VIRGEN DE CANDELARIA PICHACANI QUIRINE DISTRITO MACARI, PROVINCIA MELGAR, REGION PUNO</v>
      </c>
      <c r="D53" s="7">
        <f>Base!I335</f>
        <v>3000.0</v>
      </c>
      <c r="E53" s="7">
        <f>Base!J335</f>
        <v>3000.0</v>
      </c>
      <c r="F53" s="7">
        <f>D53-E53</f>
        <v>0.0</v>
      </c>
      <c r="G53" s="7">
        <f>Base!L335</f>
        <v>3000.0</v>
      </c>
      <c r="H53" s="7">
        <f>D53-G53</f>
        <v>0.0</v>
      </c>
      <c r="I53" s="19">
        <f>IF(D53=0,0,G53/D53)</f>
        <v>1.0</v>
      </c>
      <c r="J53" s="6" t="str">
        <f>Base!U335</f>
        <v>Contrata</v>
      </c>
      <c r="K53" s="6" t="str">
        <f>Base!R335</f>
        <v>Ejecutado</v>
      </c>
      <c r="L53" s="7" t="str">
        <f>Base!V335</f>
        <v>No registrado en cartera</v>
      </c>
      <c r="M53" s="7" t="str">
        <f>Base!W335</f>
        <v>No registrado en cartera</v>
      </c>
      <c r="N53" s="7" t="str">
        <f>Base!X335</f>
        <v>No registrado en cartera</v>
      </c>
      <c r="O53" s="7" t="str">
        <f>Base!Y335</f>
        <v>No registrado en cartera</v>
      </c>
      <c r="P53" s="6">
        <f>IF(Base!Z335="","",Base!Z335)</f>
        <v/>
      </c>
      <c r="Q53" s="18" t="str">
        <f>Base!S335</f>
        <v>No usar</v>
      </c>
      <c r="R53" s="7">
        <f>Base!N335</f>
        <v>0.0</v>
      </c>
      <c r="S53" s="7">
        <f>Base!T335</f>
        <v>0.0</v>
      </c>
    </row>
    <row r="54" spans="1:19">
      <c r="A54" s="18">
        <f>SUBTOTAL(103,$B$6:B54)</f>
        <v>45</v>
      </c>
      <c r="B54" s="18">
        <v>372</v>
      </c>
      <c r="C54" s="6" t="str">
        <f>Base!H336</f>
        <v>2681132: MEJORAMIENTO DE LA CAPACIDAD PRODUCTIVA DE CAFE TOSTADO Y MOLIDO EN LA COOPERATIVA AGRARIA EN INNOVACION TECNOLOGICA MONTANA AZUL LIMITADA, DISTRITO DE SAN PEDRO DE PUTINA PUNCO, PROVINCIA DE SANDIA, REGION PUNO.</v>
      </c>
      <c r="D54" s="7">
        <f>Base!I336</f>
        <v>87790.0</v>
      </c>
      <c r="E54" s="7">
        <f>Base!J336</f>
        <v>87438.0</v>
      </c>
      <c r="F54" s="7">
        <f>D54-E54</f>
        <v>352.0</v>
      </c>
      <c r="G54" s="7">
        <f>Base!L336</f>
        <v>77990.0</v>
      </c>
      <c r="H54" s="7">
        <f>D54-G54</f>
        <v>9800.0</v>
      </c>
      <c r="I54" s="19">
        <f>IF(D54=0,0,G54/D54)</f>
        <v>0.8883699738011163</v>
      </c>
      <c r="J54" s="6" t="str">
        <f>Base!U336</f>
        <v>Equipamiento / Contrata</v>
      </c>
      <c r="K54" s="6" t="str">
        <f>Base!R336</f>
        <v>Mayormente comprometido</v>
      </c>
      <c r="L54" s="7" t="str">
        <f>Base!V336</f>
        <v>No registrado en cartera</v>
      </c>
      <c r="M54" s="7" t="str">
        <f>Base!W336</f>
        <v>No registrado en cartera</v>
      </c>
      <c r="N54" s="7" t="str">
        <f>Base!X336</f>
        <v>No registrado en cartera</v>
      </c>
      <c r="O54" s="7" t="str">
        <f>Base!Y336</f>
        <v>No registrado en cartera</v>
      </c>
      <c r="P54" s="6">
        <f>IF(Base!Z336="","",Base!Z336)</f>
        <v/>
      </c>
      <c r="Q54" s="18" t="str">
        <f>Base!S336</f>
        <v>Difícil</v>
      </c>
      <c r="R54" s="7">
        <f>Base!N336</f>
        <v>10.0</v>
      </c>
      <c r="S54" s="7">
        <f>Base!T336</f>
        <v>362.0</v>
      </c>
    </row>
    <row r="55" spans="1:19">
      <c r="A55" s="18">
        <f>SUBTOTAL(103,$B$6:B55)</f>
        <v>46</v>
      </c>
      <c r="B55" s="18">
        <v>376</v>
      </c>
      <c r="C55" s="6" t="str">
        <f>Base!H337</f>
        <v>2676433: MEJORAMIENTO DE LA CAPACIDAD PRODUCTIVA DE PRENDAS A BASE DE FIBRA DE ALPACA DE LA EMPRESA JOMATEX SRL, DISTRITO JULIACA, PROVINCIA SAN ROMAN, REGION PUNO.</v>
      </c>
      <c r="D55" s="7">
        <f>Base!I337</f>
        <v>14715.0</v>
      </c>
      <c r="E55" s="7">
        <f>Base!J337</f>
        <v>14714.0</v>
      </c>
      <c r="F55" s="7">
        <f>D55-E55</f>
        <v>1.0</v>
      </c>
      <c r="G55" s="7">
        <f>Base!L337</f>
        <v>14714.0</v>
      </c>
      <c r="H55" s="7">
        <f>D55-G55</f>
        <v>1.0</v>
      </c>
      <c r="I55" s="19">
        <f>IF(D55=0,0,G55/D55)</f>
        <v>0.999932042133877</v>
      </c>
      <c r="J55" s="6" t="str">
        <f>Base!U337</f>
        <v>Contrata</v>
      </c>
      <c r="K55" s="6" t="str">
        <f>Base!R337</f>
        <v>Ejecutado</v>
      </c>
      <c r="L55" s="7" t="str">
        <f>Base!V337</f>
        <v>No registrado en cartera</v>
      </c>
      <c r="M55" s="7" t="str">
        <f>Base!W337</f>
        <v>No registrado en cartera</v>
      </c>
      <c r="N55" s="7" t="str">
        <f>Base!X337</f>
        <v>No registrado en cartera</v>
      </c>
      <c r="O55" s="7" t="str">
        <f>Base!Y337</f>
        <v>No registrado en cartera</v>
      </c>
      <c r="P55" s="6">
        <f>IF(Base!Z337="","",Base!Z337)</f>
        <v/>
      </c>
      <c r="Q55" s="18" t="str">
        <f>Base!S337</f>
        <v>No usar</v>
      </c>
      <c r="R55" s="7">
        <f>Base!N337</f>
        <v>0.0</v>
      </c>
      <c r="S55" s="7">
        <f>Base!T337</f>
        <v>0.0</v>
      </c>
    </row>
    <row r="56" spans="1:19">
      <c r="A56" s="18">
        <f>SUBTOTAL(103,$B$6:B56)</f>
        <v>47</v>
      </c>
      <c r="B56" s="18">
        <v>384</v>
      </c>
      <c r="C56" s="6" t="str">
        <f>Base!H338</f>
        <v>2717148: MEJORAMIENTO DE LA PRODUCCION DE LECHE FRESCA EN LA ASOCIACION DE PRODUCTORES AGROPECUARIOS FORUNTANI SAMAN, DISTRITO DE SAMAN, PROVINCIA DE AZANGARO Y REGION DE PUNO</v>
      </c>
      <c r="D56" s="7">
        <f>Base!I338</f>
        <v>159547.0</v>
      </c>
      <c r="E56" s="7">
        <f>Base!J338</f>
        <v>154167.0</v>
      </c>
      <c r="F56" s="7">
        <f>D56-E56</f>
        <v>5380.0</v>
      </c>
      <c r="G56" s="7">
        <f>Base!L338</f>
        <v>116817.0</v>
      </c>
      <c r="H56" s="7">
        <f>D56-G56</f>
        <v>42730.0</v>
      </c>
      <c r="I56" s="19">
        <f>IF(D56=0,0,G56/D56)</f>
        <v>0.7321792324518794</v>
      </c>
      <c r="J56" s="6" t="str">
        <f>Base!U338</f>
        <v>Equipamiento / Contrata</v>
      </c>
      <c r="K56" s="6" t="str">
        <f>Base!R338</f>
        <v>Mayormente comprometido</v>
      </c>
      <c r="L56" s="7" t="str">
        <f>Base!V338</f>
        <v>No registrado en cartera</v>
      </c>
      <c r="M56" s="7" t="str">
        <f>Base!W338</f>
        <v>No registrado en cartera</v>
      </c>
      <c r="N56" s="7" t="str">
        <f>Base!X338</f>
        <v>No registrado en cartera</v>
      </c>
      <c r="O56" s="7" t="str">
        <f>Base!Y338</f>
        <v>No registrado en cartera</v>
      </c>
      <c r="P56" s="6">
        <f>IF(Base!Z338="","",Base!Z338)</f>
        <v/>
      </c>
      <c r="Q56" s="18" t="str">
        <f>Base!S338</f>
        <v>Difícil</v>
      </c>
      <c r="R56" s="7">
        <f>Base!N338</f>
        <v>34950.0</v>
      </c>
      <c r="S56" s="7">
        <f>Base!T338</f>
        <v>40330.0</v>
      </c>
    </row>
    <row r="57" spans="1:19">
      <c r="A57" s="18">
        <f>SUBTOTAL(103,$B$6:B57)</f>
        <v>48</v>
      </c>
      <c r="B57" s="18">
        <v>385</v>
      </c>
      <c r="C57" s="6" t="str">
        <f>Base!H339</f>
        <v>2717149: MEJORAMIENTO EN LA PRODUCCION DE HILOS ARTESANALES DE LA ASOCIACION DE PRODUCTORES DE CAMELIDOS SUDAMERICANOS, ARTESANAL Y AGRICOLA TIKARIY PAMPA DEL DIST,  DISTRITO MACUSANI, PROVINCIA CARABAYA, REGION PUNO</v>
      </c>
      <c r="D57" s="7">
        <f>Base!I339</f>
        <v>158642.0</v>
      </c>
      <c r="E57" s="7">
        <f>Base!J339</f>
        <v>78147.62</v>
      </c>
      <c r="F57" s="7">
        <f>D57-E57</f>
        <v>80494.38</v>
      </c>
      <c r="G57" s="7">
        <f>Base!L339</f>
        <v>0.0</v>
      </c>
      <c r="H57" s="7">
        <f>D57-G57</f>
        <v>158642.0</v>
      </c>
      <c r="I57" s="19">
        <f>IF(D57=0,0,G57/D57)</f>
        <v>0.0</v>
      </c>
      <c r="J57" s="6" t="str">
        <f>Base!U339</f>
        <v>Equipamiento / Contrata</v>
      </c>
      <c r="K57" s="6" t="str">
        <f>Base!R339</f>
        <v>Parcialmente comprometido</v>
      </c>
      <c r="L57" s="7" t="str">
        <f>Base!V339</f>
        <v>No registrado en cartera</v>
      </c>
      <c r="M57" s="7" t="str">
        <f>Base!W339</f>
        <v>No registrado en cartera</v>
      </c>
      <c r="N57" s="7" t="str">
        <f>Base!X339</f>
        <v>No registrado en cartera</v>
      </c>
      <c r="O57" s="7" t="str">
        <f>Base!Y339</f>
        <v>No registrado en cartera</v>
      </c>
      <c r="P57" s="6">
        <f>IF(Base!Z339="","",Base!Z339)</f>
        <v/>
      </c>
      <c r="Q57" s="18" t="str">
        <f>Base!S339</f>
        <v>Parcial</v>
      </c>
      <c r="R57" s="7">
        <f>Base!N339</f>
        <v>59000.0</v>
      </c>
      <c r="S57" s="7">
        <f>Base!T339</f>
        <v>139494.38</v>
      </c>
    </row>
    <row r="58" spans="1:19">
      <c r="A58" s="18">
        <f>SUBTOTAL(103,$B$6:B58)</f>
        <v>49</v>
      </c>
      <c r="B58" s="18">
        <v>388</v>
      </c>
      <c r="C58" s="6" t="str">
        <f>Base!H340</f>
        <v>2717152: MEJORAMIENTO DE LA PRODUCCION DE LECHE EN LA ASOCIACION DE PRODUCTORES AGROPECUARIOS LUZ Y VIDA DE LA COMUNIDAD DE NAUPAPAMPA DE DISTRITO DE ASILLO, PROVINCIA DE AZANGARO, REGION PUNO.</v>
      </c>
      <c r="D58" s="7">
        <f>Base!I340</f>
        <v>159352.0</v>
      </c>
      <c r="E58" s="7">
        <f>Base!J340</f>
        <v>154000.0</v>
      </c>
      <c r="F58" s="7">
        <f>D58-E58</f>
        <v>5352.0</v>
      </c>
      <c r="G58" s="7">
        <f>Base!L340</f>
        <v>150220.0</v>
      </c>
      <c r="H58" s="7">
        <f>D58-G58</f>
        <v>9132.0</v>
      </c>
      <c r="I58" s="19">
        <f>IF(D58=0,0,G58/D58)</f>
        <v>0.9426929062703951</v>
      </c>
      <c r="J58" s="6" t="str">
        <f>Base!U340</f>
        <v>Equipamiento / Contrata</v>
      </c>
      <c r="K58" s="6" t="str">
        <f>Base!R340</f>
        <v>Ejecutado</v>
      </c>
      <c r="L58" s="7" t="str">
        <f>Base!V340</f>
        <v>No registrado en cartera</v>
      </c>
      <c r="M58" s="7" t="str">
        <f>Base!W340</f>
        <v>No registrado en cartera</v>
      </c>
      <c r="N58" s="7" t="str">
        <f>Base!X340</f>
        <v>No registrado en cartera</v>
      </c>
      <c r="O58" s="7" t="str">
        <f>Base!Y340</f>
        <v>No registrado en cartera</v>
      </c>
      <c r="P58" s="6">
        <f>IF(Base!Z340="","",Base!Z340)</f>
        <v/>
      </c>
      <c r="Q58" s="18" t="str">
        <f>Base!S340</f>
        <v>No usar</v>
      </c>
      <c r="R58" s="7">
        <f>Base!N340</f>
        <v>780.0</v>
      </c>
      <c r="S58" s="7">
        <f>Base!T340</f>
        <v>0.0</v>
      </c>
    </row>
    <row r="59" spans="1:19">
      <c r="A59" s="18">
        <f>SUBTOTAL(103,$B$6:B59)</f>
        <v>50</v>
      </c>
      <c r="B59" s="18">
        <v>389</v>
      </c>
      <c r="C59" s="6" t="str">
        <f>Base!H341</f>
        <v>2717153: MEJORAMIENTO Y AMPLIACION DE LA PRODUCCION Y COMERCIALIZACION DE CAFE TOSTADO MOLIDO Y FILTRANTE DE LA COOPERATIVA AGRARIA CAFETALERA SAN JORGE LTDA., DISTRITO DE SAN PEDRO DE PUTINA PUNCO, PROVINCIA DE SANDIA, REGION DE PUNO</v>
      </c>
      <c r="D59" s="7">
        <f>Base!I341</f>
        <v>159613.0</v>
      </c>
      <c r="E59" s="7">
        <f>Base!J341</f>
        <v>149133.25</v>
      </c>
      <c r="F59" s="7">
        <f>D59-E59</f>
        <v>10479.75</v>
      </c>
      <c r="G59" s="7">
        <f>Base!L341</f>
        <v>7133.25</v>
      </c>
      <c r="H59" s="7">
        <f>D59-G59</f>
        <v>152479.75</v>
      </c>
      <c r="I59" s="19">
        <f>IF(D59=0,0,G59/D59)</f>
        <v>0.04469090863526154</v>
      </c>
      <c r="J59" s="6" t="str">
        <f>Base!U341</f>
        <v>Equipamiento / Contrata</v>
      </c>
      <c r="K59" s="6" t="str">
        <f>Base!R341</f>
        <v>Mayormente comprometido</v>
      </c>
      <c r="L59" s="7" t="str">
        <f>Base!V341</f>
        <v>No registrado en cartera</v>
      </c>
      <c r="M59" s="7" t="str">
        <f>Base!W341</f>
        <v>No registrado en cartera</v>
      </c>
      <c r="N59" s="7" t="str">
        <f>Base!X341</f>
        <v>No registrado en cartera</v>
      </c>
      <c r="O59" s="7" t="str">
        <f>Base!Y341</f>
        <v>No registrado en cartera</v>
      </c>
      <c r="P59" s="6">
        <f>IF(Base!Z341="","",Base!Z341)</f>
        <v/>
      </c>
      <c r="Q59" s="18" t="str">
        <f>Base!S341</f>
        <v>Difícil</v>
      </c>
      <c r="R59" s="7">
        <f>Base!N341</f>
        <v>1600.0</v>
      </c>
      <c r="S59" s="7">
        <f>Base!T341</f>
        <v>12079.75</v>
      </c>
    </row>
    <row r="60" spans="1:19">
      <c r="A60" s="18">
        <f>SUBTOTAL(103,$B$6:B60)</f>
        <v>51</v>
      </c>
      <c r="B60" s="18">
        <v>390</v>
      </c>
      <c r="C60" s="6" t="str">
        <f>Base!H342</f>
        <v>2717154: MEJORAMIENTO DE LA CAPACIDAD PRODUCTIVA  DE QUESO PARIA PASTEURIZADO EN LA ASOCIACION DE PRODUCTORES AGROPECUARIOS  VIRGEN DEL CARMEN BALSAPATA, DISTRITO ORURILLO, PROVINCIA MELGAR, REGION PUNO</v>
      </c>
      <c r="D60" s="7">
        <f>Base!I342</f>
        <v>159555.0</v>
      </c>
      <c r="E60" s="7">
        <f>Base!J342</f>
        <v>132645.0</v>
      </c>
      <c r="F60" s="7">
        <f>D60-E60</f>
        <v>26910.0</v>
      </c>
      <c r="G60" s="7">
        <f>Base!L342</f>
        <v>100745.0</v>
      </c>
      <c r="H60" s="7">
        <f>D60-G60</f>
        <v>58810.0</v>
      </c>
      <c r="I60" s="19">
        <f>IF(D60=0,0,G60/D60)</f>
        <v>0.6314123656419417</v>
      </c>
      <c r="J60" s="6" t="str">
        <f>Base!U342</f>
        <v>Equipamiento / Contrata</v>
      </c>
      <c r="K60" s="6" t="str">
        <f>Base!R342</f>
        <v>Mayormente comprometido</v>
      </c>
      <c r="L60" s="7" t="str">
        <f>Base!V342</f>
        <v>No registrado en cartera</v>
      </c>
      <c r="M60" s="7" t="str">
        <f>Base!W342</f>
        <v>No registrado en cartera</v>
      </c>
      <c r="N60" s="7" t="str">
        <f>Base!X342</f>
        <v>No registrado en cartera</v>
      </c>
      <c r="O60" s="7" t="str">
        <f>Base!Y342</f>
        <v>No registrado en cartera</v>
      </c>
      <c r="P60" s="6">
        <f>IF(Base!Z342="","",Base!Z342)</f>
        <v/>
      </c>
      <c r="Q60" s="18" t="str">
        <f>Base!S342</f>
        <v>Difícil</v>
      </c>
      <c r="R60" s="7">
        <f>Base!N342</f>
        <v>25500.0</v>
      </c>
      <c r="S60" s="7">
        <f>Base!T342</f>
        <v>52410.0</v>
      </c>
    </row>
    <row r="61" spans="1:19">
      <c r="A61" s="18">
        <f>SUBTOTAL(103,$B$6:B61)</f>
        <v>52</v>
      </c>
      <c r="B61" s="18">
        <v>391</v>
      </c>
      <c r="C61" s="6" t="str">
        <f>Base!H343</f>
        <v>2717155: MEJORAMIENTO DE LA PRODUCCION DE LECHE FRESCA EN LA ASOCIACION DE PRODUCTORES AGROPECUARIOS Y AGROINDUSTRIALES SAN JUAN DE LA PROVINCIA DE MELGAR PUNO DE DISTRITO DE ORURILLO, PROVINCIA DE MELGAR, REGION PUNO.</v>
      </c>
      <c r="D61" s="7">
        <f>Base!I343</f>
        <v>154799.0</v>
      </c>
      <c r="E61" s="7">
        <f>Base!J343</f>
        <v>147492.0</v>
      </c>
      <c r="F61" s="7">
        <f>D61-E61</f>
        <v>7307.0</v>
      </c>
      <c r="G61" s="7">
        <f>Base!L343</f>
        <v>143262.0</v>
      </c>
      <c r="H61" s="7">
        <f>D61-G61</f>
        <v>11537.0</v>
      </c>
      <c r="I61" s="19">
        <f>IF(D61=0,0,G61/D61)</f>
        <v>0.9254710947745141</v>
      </c>
      <c r="J61" s="6" t="str">
        <f>Base!U343</f>
        <v>Equipamiento / Contrata</v>
      </c>
      <c r="K61" s="6" t="str">
        <f>Base!R343</f>
        <v>Ejecutado</v>
      </c>
      <c r="L61" s="7" t="str">
        <f>Base!V343</f>
        <v>No registrado en cartera</v>
      </c>
      <c r="M61" s="7" t="str">
        <f>Base!W343</f>
        <v>No registrado en cartera</v>
      </c>
      <c r="N61" s="7" t="str">
        <f>Base!X343</f>
        <v>No registrado en cartera</v>
      </c>
      <c r="O61" s="7" t="str">
        <f>Base!Y343</f>
        <v>No registrado en cartera</v>
      </c>
      <c r="P61" s="6">
        <f>IF(Base!Z343="","",Base!Z343)</f>
        <v/>
      </c>
      <c r="Q61" s="18" t="str">
        <f>Base!S343</f>
        <v>No usar</v>
      </c>
      <c r="R61" s="7">
        <f>Base!N343</f>
        <v>1200.0</v>
      </c>
      <c r="S61" s="7">
        <f>Base!T343</f>
        <v>0.0</v>
      </c>
    </row>
    <row r="62" spans="1:19">
      <c r="A62" s="18">
        <f>SUBTOTAL(103,$B$6:B62)</f>
        <v>53</v>
      </c>
      <c r="B62" s="18">
        <v>395</v>
      </c>
      <c r="C62" s="6" t="str">
        <f>Base!H344</f>
        <v>2717159: MEJORAMIENTO DEL PROCESO DE PRODUCCION DE QUESO PARIA DE LA ASOCIACION DE PRODUCTORES AGROPECUARIOS DE DERIVADOS LACTEOS VILLA ORURILLO EN EL DISTRITO DE ORURILLO, PROVINCIA DE MELGAR, REGION DE PUNO.</v>
      </c>
      <c r="D62" s="7">
        <f>Base!I344</f>
        <v>155278.0</v>
      </c>
      <c r="E62" s="7">
        <f>Base!J344</f>
        <v>149541.0</v>
      </c>
      <c r="F62" s="7">
        <f>D62-E62</f>
        <v>5737.0</v>
      </c>
      <c r="G62" s="7">
        <f>Base!L344</f>
        <v>113190.0</v>
      </c>
      <c r="H62" s="7">
        <f>D62-G62</f>
        <v>42088.0</v>
      </c>
      <c r="I62" s="19">
        <f>IF(D62=0,0,G62/D62)</f>
        <v>0.7289506562423524</v>
      </c>
      <c r="J62" s="6" t="str">
        <f>Base!U344</f>
        <v>Equipamiento / Contrata</v>
      </c>
      <c r="K62" s="6" t="str">
        <f>Base!R344</f>
        <v>Mayormente comprometido</v>
      </c>
      <c r="L62" s="7" t="str">
        <f>Base!V344</f>
        <v>No registrado en cartera</v>
      </c>
      <c r="M62" s="7" t="str">
        <f>Base!W344</f>
        <v>No registrado en cartera</v>
      </c>
      <c r="N62" s="7" t="str">
        <f>Base!X344</f>
        <v>No registrado en cartera</v>
      </c>
      <c r="O62" s="7" t="str">
        <f>Base!Y344</f>
        <v>No registrado en cartera</v>
      </c>
      <c r="P62" s="6">
        <f>IF(Base!Z344="","",Base!Z344)</f>
        <v/>
      </c>
      <c r="Q62" s="18" t="str">
        <f>Base!S344</f>
        <v>Difícil</v>
      </c>
      <c r="R62" s="7">
        <f>Base!N344</f>
        <v>0.0</v>
      </c>
      <c r="S62" s="7">
        <f>Base!T344</f>
        <v>5737.0</v>
      </c>
    </row>
    <row r="63" spans="1:19">
      <c r="A63" s="18">
        <f>SUBTOTAL(103,$B$6:B63)</f>
        <v>54</v>
      </c>
      <c r="B63" s="18">
        <v>396</v>
      </c>
      <c r="C63" s="6" t="str">
        <f>Base!H345</f>
        <v>2717160: MEJORAMIENTO DEL SISTEMA PRODUCTIVO DEL CULTIVO DE QUINUA EN LA ASOCIACION AGROPECUARIA ECOLOGICA SURPERU, DISTRITO DE PILCUYO, PROVINCIA DE EL COLLAO REGION PUNO</v>
      </c>
      <c r="D63" s="7">
        <f>Base!I345</f>
        <v>159890.0</v>
      </c>
      <c r="E63" s="7">
        <f>Base!J345</f>
        <v>150349.0</v>
      </c>
      <c r="F63" s="7">
        <f>D63-E63</f>
        <v>9541.0</v>
      </c>
      <c r="G63" s="7">
        <f>Base!L345</f>
        <v>5349.0</v>
      </c>
      <c r="H63" s="7">
        <f>D63-G63</f>
        <v>154541.0</v>
      </c>
      <c r="I63" s="19">
        <f>IF(D63=0,0,G63/D63)</f>
        <v>0.03345424979673525</v>
      </c>
      <c r="J63" s="6" t="str">
        <f>Base!U345</f>
        <v>Equipamiento / Contrata</v>
      </c>
      <c r="K63" s="6" t="str">
        <f>Base!R345</f>
        <v>Parcialmente comprometido</v>
      </c>
      <c r="L63" s="7" t="str">
        <f>Base!V345</f>
        <v>No registrado en cartera</v>
      </c>
      <c r="M63" s="7" t="str">
        <f>Base!W345</f>
        <v>No registrado en cartera</v>
      </c>
      <c r="N63" s="7" t="str">
        <f>Base!X345</f>
        <v>No registrado en cartera</v>
      </c>
      <c r="O63" s="7" t="str">
        <f>Base!Y345</f>
        <v>No registrado en cartera</v>
      </c>
      <c r="P63" s="6">
        <f>IF(Base!Z345="","",Base!Z345)</f>
        <v/>
      </c>
      <c r="Q63" s="18" t="str">
        <f>Base!S345</f>
        <v>Parcial</v>
      </c>
      <c r="R63" s="7">
        <f>Base!N345</f>
        <v>145000.0</v>
      </c>
      <c r="S63" s="7">
        <f>Base!T345</f>
        <v>154541.0</v>
      </c>
    </row>
    <row r="64" spans="1:19">
      <c r="A64" s="18">
        <f>SUBTOTAL(103,$B$6:B64)</f>
        <v>55</v>
      </c>
      <c r="B64" s="18">
        <v>398</v>
      </c>
      <c r="C64" s="6" t="str">
        <f>Base!H346</f>
        <v>2717162: MEJORAMIENTO DE PRODUCCION DE LECHE FRESCA EN LA ASOCIACION DE PRODUCTORES VILLA PALCA, DISTRITO DE PAUCARCOLLA, PROVINCIA DE PUNO Y DEPARTAMENTO DE PUNO</v>
      </c>
      <c r="D64" s="7">
        <f>Base!I346</f>
        <v>159321.0</v>
      </c>
      <c r="E64" s="7">
        <f>Base!J346</f>
        <v>152810.0</v>
      </c>
      <c r="F64" s="7">
        <f>D64-E64</f>
        <v>6511.0</v>
      </c>
      <c r="G64" s="7">
        <f>Base!L346</f>
        <v>130010.0</v>
      </c>
      <c r="H64" s="7">
        <f>D64-G64</f>
        <v>29311.0</v>
      </c>
      <c r="I64" s="19">
        <f>IF(D64=0,0,G64/D64)</f>
        <v>0.8160255082506387</v>
      </c>
      <c r="J64" s="6" t="str">
        <f>Base!U346</f>
        <v>Equipamiento / Contrata</v>
      </c>
      <c r="K64" s="6" t="str">
        <f>Base!R346</f>
        <v>Mayormente comprometido</v>
      </c>
      <c r="L64" s="7" t="str">
        <f>Base!V346</f>
        <v>No registrado en cartera</v>
      </c>
      <c r="M64" s="7" t="str">
        <f>Base!W346</f>
        <v>No registrado en cartera</v>
      </c>
      <c r="N64" s="7" t="str">
        <f>Base!X346</f>
        <v>No registrado en cartera</v>
      </c>
      <c r="O64" s="7" t="str">
        <f>Base!Y346</f>
        <v>No registrado en cartera</v>
      </c>
      <c r="P64" s="6">
        <f>IF(Base!Z346="","",Base!Z346)</f>
        <v/>
      </c>
      <c r="Q64" s="18" t="str">
        <f>Base!S346</f>
        <v>Difícil</v>
      </c>
      <c r="R64" s="7">
        <f>Base!N346</f>
        <v>22800.0</v>
      </c>
      <c r="S64" s="7">
        <f>Base!T346</f>
        <v>29311.0</v>
      </c>
    </row>
    <row r="65" spans="1:19">
      <c r="A65" s="18">
        <f>SUBTOTAL(103,$B$6:B65)</f>
        <v>56</v>
      </c>
      <c r="B65" s="18">
        <v>400</v>
      </c>
      <c r="C65" s="6" t="str">
        <f>Base!H347</f>
        <v>2717165: AMPLIACION DE LA CAPACIDAD PRODUCTIVA DE QUESO PARIA EN LA ASOCIACION DE EMPRENDEDORES RURALES CORIFLOR COMUNIDAD LICAS ACHAYA, EN EL DISTRITO DE ACHAYA, PROVINCIA DE AZANGARO, REGION PUNO</v>
      </c>
      <c r="D65" s="7">
        <f>Base!I347</f>
        <v>146532.0</v>
      </c>
      <c r="E65" s="7">
        <f>Base!J347</f>
        <v>140645.0</v>
      </c>
      <c r="F65" s="7">
        <f>D65-E65</f>
        <v>5887.0</v>
      </c>
      <c r="G65" s="7">
        <f>Base!L347</f>
        <v>109445.0</v>
      </c>
      <c r="H65" s="7">
        <f>D65-G65</f>
        <v>37087.0</v>
      </c>
      <c r="I65" s="19">
        <f>IF(D65=0,0,G65/D65)</f>
        <v>0.7469017006524172</v>
      </c>
      <c r="J65" s="6" t="str">
        <f>Base!U347</f>
        <v>Equipamiento / Contrata</v>
      </c>
      <c r="K65" s="6" t="str">
        <f>Base!R347</f>
        <v>Mayormente comprometido</v>
      </c>
      <c r="L65" s="7" t="str">
        <f>Base!V347</f>
        <v>No registrado en cartera</v>
      </c>
      <c r="M65" s="7" t="str">
        <f>Base!W347</f>
        <v>No registrado en cartera</v>
      </c>
      <c r="N65" s="7" t="str">
        <f>Base!X347</f>
        <v>No registrado en cartera</v>
      </c>
      <c r="O65" s="7" t="str">
        <f>Base!Y347</f>
        <v>No registrado en cartera</v>
      </c>
      <c r="P65" s="6">
        <f>IF(Base!Z347="","",Base!Z347)</f>
        <v/>
      </c>
      <c r="Q65" s="18" t="str">
        <f>Base!S347</f>
        <v>Difícil</v>
      </c>
      <c r="R65" s="7">
        <f>Base!N347</f>
        <v>31200.0</v>
      </c>
      <c r="S65" s="7">
        <f>Base!T347</f>
        <v>37087.0</v>
      </c>
    </row>
    <row r="66" spans="1:19">
      <c r="A66" s="18">
        <f>SUBTOTAL(103,$B$6:B66)</f>
        <v>57</v>
      </c>
      <c r="B66" s="18">
        <v>401</v>
      </c>
      <c r="C66" s="6" t="str">
        <f>Base!H348</f>
        <v>2717166: MEJORAMIENTO DE LA PRODUCCION Y COMERCIALIZACION DE LECHE FRESCA CON INNOVACION TECNOLOGIA EN LA ASOCIACION DE PRODUCTORES AGROPECUARIOS Y CRIADORES DE OVINO BELLON DE ORO DEL DISTRITO DE AZANGARO, PROVINCIA DE AZANGARO, REGION PUNO</v>
      </c>
      <c r="D66" s="7">
        <f>Base!I348</f>
        <v>155656.0</v>
      </c>
      <c r="E66" s="7">
        <f>Base!J348</f>
        <v>151053.0</v>
      </c>
      <c r="F66" s="7">
        <f>D66-E66</f>
        <v>4603.0</v>
      </c>
      <c r="G66" s="7">
        <f>Base!L348</f>
        <v>0.0</v>
      </c>
      <c r="H66" s="7">
        <f>D66-G66</f>
        <v>155656.0</v>
      </c>
      <c r="I66" s="19">
        <f>IF(D66=0,0,G66/D66)</f>
        <v>0.0</v>
      </c>
      <c r="J66" s="6" t="str">
        <f>Base!U348</f>
        <v>Equipamiento / Contrata</v>
      </c>
      <c r="K66" s="6" t="str">
        <f>Base!R348</f>
        <v>Parcialmente comprometido</v>
      </c>
      <c r="L66" s="7" t="str">
        <f>Base!V348</f>
        <v>No registrado en cartera</v>
      </c>
      <c r="M66" s="7" t="str">
        <f>Base!W348</f>
        <v>No registrado en cartera</v>
      </c>
      <c r="N66" s="7" t="str">
        <f>Base!X348</f>
        <v>No registrado en cartera</v>
      </c>
      <c r="O66" s="7" t="str">
        <f>Base!Y348</f>
        <v>No registrado en cartera</v>
      </c>
      <c r="P66" s="6">
        <f>IF(Base!Z348="","",Base!Z348)</f>
        <v/>
      </c>
      <c r="Q66" s="18" t="str">
        <f>Base!S348</f>
        <v>Parcial</v>
      </c>
      <c r="R66" s="7">
        <f>Base!N348</f>
        <v>139383.0</v>
      </c>
      <c r="S66" s="7">
        <f>Base!T348</f>
        <v>143986.0</v>
      </c>
    </row>
    <row r="67" spans="1:19">
      <c r="A67" s="18">
        <f>SUBTOTAL(103,$B$6:B67)</f>
        <v>58</v>
      </c>
      <c r="B67" s="18">
        <v>402</v>
      </c>
      <c r="C67" s="6" t="str">
        <f>Base!H349</f>
        <v>2717167: MEJORAMIENTO DEL CULTIVO DE HABAS EN LA ASOCIACION DE PRODUCTORES AGROPECUARIOS VALLECITO SECTOR CCORCORI, DEL DISTRITO DE COPANI, PROVINCIA DE YUNGUYO, REGION PUNO</v>
      </c>
      <c r="D67" s="7">
        <f>Base!I349</f>
        <v>159060.0</v>
      </c>
      <c r="E67" s="7">
        <f>Base!J349</f>
        <v>151725.0</v>
      </c>
      <c r="F67" s="7">
        <f>D67-E67</f>
        <v>7335.0</v>
      </c>
      <c r="G67" s="7">
        <f>Base!L349</f>
        <v>124900.0</v>
      </c>
      <c r="H67" s="7">
        <f>D67-G67</f>
        <v>34160.0</v>
      </c>
      <c r="I67" s="19">
        <f>IF(D67=0,0,G67/D67)</f>
        <v>0.7852382748648309</v>
      </c>
      <c r="J67" s="6" t="str">
        <f>Base!U349</f>
        <v>Equipamiento / Contrata</v>
      </c>
      <c r="K67" s="6" t="str">
        <f>Base!R349</f>
        <v>Mayormente comprometido</v>
      </c>
      <c r="L67" s="7" t="str">
        <f>Base!V349</f>
        <v>No registrado en cartera</v>
      </c>
      <c r="M67" s="7" t="str">
        <f>Base!W349</f>
        <v>No registrado en cartera</v>
      </c>
      <c r="N67" s="7" t="str">
        <f>Base!X349</f>
        <v>No registrado en cartera</v>
      </c>
      <c r="O67" s="7" t="str">
        <f>Base!Y349</f>
        <v>No registrado en cartera</v>
      </c>
      <c r="P67" s="6">
        <f>IF(Base!Z349="","",Base!Z349)</f>
        <v/>
      </c>
      <c r="Q67" s="18" t="str">
        <f>Base!S349</f>
        <v>Difícil</v>
      </c>
      <c r="R67" s="7">
        <f>Base!N349</f>
        <v>19600.0</v>
      </c>
      <c r="S67" s="7">
        <f>Base!T349</f>
        <v>26935.0</v>
      </c>
    </row>
    <row r="68" spans="1:19">
      <c r="A68" s="18">
        <f>SUBTOTAL(103,$B$6:B68)</f>
        <v>59</v>
      </c>
      <c r="B68" s="18">
        <v>403</v>
      </c>
      <c r="C68" s="6" t="str">
        <f>Base!H350</f>
        <v>2717168: MEJORAMIENTO DEL PROCESO DE PRODUCCION DE LECHE FRESCA DE LA ASOCIACION DE PRODUCTORES AGROPECUARIOS CORANI  CUPI APAC DEL DISTRITO DE CUPI, PROVINCIA DE MELGAR, REGION DE PUNO</v>
      </c>
      <c r="D68" s="7">
        <f>Base!I350</f>
        <v>159862.0</v>
      </c>
      <c r="E68" s="7">
        <f>Base!J350</f>
        <v>86882.5</v>
      </c>
      <c r="F68" s="7">
        <f>D68-E68</f>
        <v>72979.5</v>
      </c>
      <c r="G68" s="7">
        <f>Base!L350</f>
        <v>86872.5</v>
      </c>
      <c r="H68" s="7">
        <f>D68-G68</f>
        <v>72989.5</v>
      </c>
      <c r="I68" s="19">
        <f>IF(D68=0,0,G68/D68)</f>
        <v>0.5434218263252055</v>
      </c>
      <c r="J68" s="6" t="str">
        <f>Base!U350</f>
        <v>Equipamiento / Contrata</v>
      </c>
      <c r="K68" s="6" t="str">
        <f>Base!R350</f>
        <v>Mayormente comprometido</v>
      </c>
      <c r="L68" s="7" t="str">
        <f>Base!V350</f>
        <v>No registrado en cartera</v>
      </c>
      <c r="M68" s="7" t="str">
        <f>Base!W350</f>
        <v>No registrado en cartera</v>
      </c>
      <c r="N68" s="7" t="str">
        <f>Base!X350</f>
        <v>No registrado en cartera</v>
      </c>
      <c r="O68" s="7" t="str">
        <f>Base!Y350</f>
        <v>No registrado en cartera</v>
      </c>
      <c r="P68" s="6">
        <f>IF(Base!Z350="","",Base!Z350)</f>
        <v/>
      </c>
      <c r="Q68" s="18" t="str">
        <f>Base!S350</f>
        <v>Difícil</v>
      </c>
      <c r="R68" s="7">
        <f>Base!N350</f>
        <v>10.0</v>
      </c>
      <c r="S68" s="7">
        <f>Base!T350</f>
        <v>72989.5</v>
      </c>
    </row>
    <row r="69" spans="1:19">
      <c r="A69" s="18">
        <f>SUBTOTAL(103,$B$6:B69)</f>
        <v>60</v>
      </c>
      <c r="B69" s="18">
        <v>405</v>
      </c>
      <c r="C69" s="6" t="str">
        <f>Base!H351</f>
        <v>2717170: MEJORAMIENTO DE LA PRODUCCION DE LECHE EN LA ASOCIACION DE PRODUCTORES AGROPECUARIOS Y ARTESANIA TOTORUMA PAMPA  LLAQUEPA, DEL DISTRITO DE POMATA, PROVINCIA DE CHUCUITO, DEPARTAMENTO DE PUNO.</v>
      </c>
      <c r="D69" s="7">
        <f>Base!I351</f>
        <v>157300.0</v>
      </c>
      <c r="E69" s="7">
        <f>Base!J351</f>
        <v>149830.0</v>
      </c>
      <c r="F69" s="7">
        <f>D69-E69</f>
        <v>7470.0</v>
      </c>
      <c r="G69" s="7">
        <f>Base!L351</f>
        <v>149790.0</v>
      </c>
      <c r="H69" s="7">
        <f>D69-G69</f>
        <v>7510.0</v>
      </c>
      <c r="I69" s="19">
        <f>IF(D69=0,0,G69/D69)</f>
        <v>0.9522568340750159</v>
      </c>
      <c r="J69" s="6" t="str">
        <f>Base!U351</f>
        <v>Equipamiento / Contrata</v>
      </c>
      <c r="K69" s="6" t="str">
        <f>Base!R351</f>
        <v>Ejecutado</v>
      </c>
      <c r="L69" s="7" t="str">
        <f>Base!V351</f>
        <v>No registrado en cartera</v>
      </c>
      <c r="M69" s="7" t="str">
        <f>Base!W351</f>
        <v>No registrado en cartera</v>
      </c>
      <c r="N69" s="7" t="str">
        <f>Base!X351</f>
        <v>No registrado en cartera</v>
      </c>
      <c r="O69" s="7" t="str">
        <f>Base!Y351</f>
        <v>No registrado en cartera</v>
      </c>
      <c r="P69" s="6">
        <f>IF(Base!Z351="","",Base!Z351)</f>
        <v/>
      </c>
      <c r="Q69" s="18" t="str">
        <f>Base!S351</f>
        <v>No usar</v>
      </c>
      <c r="R69" s="7">
        <f>Base!N351</f>
        <v>40.0</v>
      </c>
      <c r="S69" s="7">
        <f>Base!T351</f>
        <v>0.0</v>
      </c>
    </row>
    <row r="70" spans="1:19">
      <c r="A70" s="18">
        <f>SUBTOTAL(103,$B$6:B70)</f>
        <v>61</v>
      </c>
      <c r="B70" s="18">
        <v>406</v>
      </c>
      <c r="C70" s="6" t="str">
        <f>Base!H352</f>
        <v>2717171: MEJORAMIENTO DE LA PRODUCCION DE LECHE DE LA ASOCIACION DE PRODUCTORES AGROPECUARIOS SANTA ANA HUAYTA, DEL DISTRITO DE LAMPA, PROVINCIA DE LAMPA, DEPARTAMENTO DE PUNO</v>
      </c>
      <c r="D70" s="7">
        <f>Base!I352</f>
        <v>159720.0</v>
      </c>
      <c r="E70" s="7">
        <f>Base!J352</f>
        <v>152944.0</v>
      </c>
      <c r="F70" s="7">
        <f>D70-E70</f>
        <v>6776.0</v>
      </c>
      <c r="G70" s="7">
        <f>Base!L352</f>
        <v>146395.0</v>
      </c>
      <c r="H70" s="7">
        <f>D70-G70</f>
        <v>13325.0</v>
      </c>
      <c r="I70" s="19">
        <f>IF(D70=0,0,G70/D70)</f>
        <v>0.916572752316554</v>
      </c>
      <c r="J70" s="6" t="str">
        <f>Base!U352</f>
        <v>Equipamiento / Contrata</v>
      </c>
      <c r="K70" s="6" t="str">
        <f>Base!R352</f>
        <v>Ejecutado</v>
      </c>
      <c r="L70" s="7" t="str">
        <f>Base!V352</f>
        <v>No registrado en cartera</v>
      </c>
      <c r="M70" s="7" t="str">
        <f>Base!W352</f>
        <v>No registrado en cartera</v>
      </c>
      <c r="N70" s="7" t="str">
        <f>Base!X352</f>
        <v>No registrado en cartera</v>
      </c>
      <c r="O70" s="7" t="str">
        <f>Base!Y352</f>
        <v>No registrado en cartera</v>
      </c>
      <c r="P70" s="6">
        <f>IF(Base!Z352="","",Base!Z352)</f>
        <v/>
      </c>
      <c r="Q70" s="18" t="str">
        <f>Base!S352</f>
        <v>No usar</v>
      </c>
      <c r="R70" s="7">
        <f>Base!N352</f>
        <v>15.0</v>
      </c>
      <c r="S70" s="7">
        <f>Base!T352</f>
        <v>0.0</v>
      </c>
    </row>
    <row r="71" spans="1:19">
      <c r="A71" s="18">
        <f>SUBTOTAL(103,$B$6:B71)</f>
        <v>62</v>
      </c>
      <c r="B71" s="18">
        <v>409</v>
      </c>
      <c r="C71" s="6" t="str">
        <f>Base!H353</f>
        <v>2717174: MEJORAMIENTO DEL ENGORDE DE GANADO VACUNO EN EL AEO ASOCIACION CAMPO VERDE TOTORALES ENGORDE AGRO Y AGROPECUARIO, DISTRITO DE ILAVE, PROVINCIA EL COLLAO, REGION PUNO</v>
      </c>
      <c r="D71" s="7">
        <f>Base!I353</f>
        <v>159007.0</v>
      </c>
      <c r="E71" s="7">
        <f>Base!J353</f>
        <v>49260.0</v>
      </c>
      <c r="F71" s="7">
        <f>D71-E71</f>
        <v>109747.0</v>
      </c>
      <c r="G71" s="7">
        <f>Base!L353</f>
        <v>49260.0</v>
      </c>
      <c r="H71" s="7">
        <f>D71-G71</f>
        <v>109747.0</v>
      </c>
      <c r="I71" s="19">
        <f>IF(D71=0,0,G71/D71)</f>
        <v>0.3097976818630626</v>
      </c>
      <c r="J71" s="6" t="str">
        <f>Base!U353</f>
        <v>Equipamiento / Contrata</v>
      </c>
      <c r="K71" s="6" t="str">
        <f>Base!R353</f>
        <v>Parcialmente comprometido</v>
      </c>
      <c r="L71" s="7" t="str">
        <f>Base!V353</f>
        <v>No registrado en cartera</v>
      </c>
      <c r="M71" s="7" t="str">
        <f>Base!W353</f>
        <v>No registrado en cartera</v>
      </c>
      <c r="N71" s="7" t="str">
        <f>Base!X353</f>
        <v>No registrado en cartera</v>
      </c>
      <c r="O71" s="7" t="str">
        <f>Base!Y353</f>
        <v>No registrado en cartera</v>
      </c>
      <c r="P71" s="6">
        <f>IF(Base!Z353="","",Base!Z353)</f>
        <v/>
      </c>
      <c r="Q71" s="18" t="str">
        <f>Base!S353</f>
        <v>Parcial</v>
      </c>
      <c r="R71" s="7">
        <f>Base!N353</f>
        <v>0.0</v>
      </c>
      <c r="S71" s="7">
        <f>Base!T353</f>
        <v>109747.0</v>
      </c>
    </row>
    <row r="72" spans="1:19">
      <c r="A72" s="18">
        <f>SUBTOTAL(103,$B$6:B72)</f>
        <v>63</v>
      </c>
      <c r="B72" s="18">
        <v>411</v>
      </c>
      <c r="C72" s="6" t="str">
        <f>Base!H354</f>
        <v>2717176: AMPLIACION DE LA CAPACIDAD PRODUCTIVA DE QUESOS PARIA DE LA ASOCIACION DE PRODUCTORES AGROPECUARIOS NUEVO AMANECER ALAYTIRA VILLA ORURILO, DISTRITO DE ORURILLO, PROVINCIA DE MELGAR, REGION PUNO.</v>
      </c>
      <c r="D72" s="7">
        <f>Base!I354</f>
        <v>159876.0</v>
      </c>
      <c r="E72" s="7">
        <f>Base!J354</f>
        <v>122810.0</v>
      </c>
      <c r="F72" s="7">
        <f>D72-E72</f>
        <v>37066.0</v>
      </c>
      <c r="G72" s="7">
        <f>Base!L354</f>
        <v>113200.0</v>
      </c>
      <c r="H72" s="7">
        <f>D72-G72</f>
        <v>46676.0</v>
      </c>
      <c r="I72" s="19">
        <f>IF(D72=0,0,G72/D72)</f>
        <v>0.7080487377717731</v>
      </c>
      <c r="J72" s="6" t="str">
        <f>Base!U354</f>
        <v>Equipamiento / Contrata</v>
      </c>
      <c r="K72" s="6" t="str">
        <f>Base!R354</f>
        <v>Mayormente comprometido</v>
      </c>
      <c r="L72" s="7" t="str">
        <f>Base!V354</f>
        <v>No registrado en cartera</v>
      </c>
      <c r="M72" s="7" t="str">
        <f>Base!W354</f>
        <v>No registrado en cartera</v>
      </c>
      <c r="N72" s="7" t="str">
        <f>Base!X354</f>
        <v>No registrado en cartera</v>
      </c>
      <c r="O72" s="7" t="str">
        <f>Base!Y354</f>
        <v>No registrado en cartera</v>
      </c>
      <c r="P72" s="6">
        <f>IF(Base!Z354="","",Base!Z354)</f>
        <v/>
      </c>
      <c r="Q72" s="18" t="str">
        <f>Base!S354</f>
        <v>Difícil</v>
      </c>
      <c r="R72" s="7">
        <f>Base!N354</f>
        <v>0.0</v>
      </c>
      <c r="S72" s="7">
        <f>Base!T354</f>
        <v>37066.0</v>
      </c>
    </row>
    <row r="73" spans="1:19">
      <c r="A73" s="18">
        <f>SUBTOTAL(103,$B$6:B73)</f>
        <v>64</v>
      </c>
      <c r="B73" s="18">
        <v>414</v>
      </c>
      <c r="C73" s="6" t="str">
        <f>Base!H355</f>
        <v>2717179: MEJORAMIENTO DE LA PRODUCCION Y CALIDAD DE LECHE FRESCA EN LA ASOCIACION DE PRODUCTORES DE LECHE MOYANDINA, AYAVIRI, PUNO 2 DEL DISTRITO DE AYAVIRI, MELGAR, PUNO</v>
      </c>
      <c r="D73" s="7">
        <f>Base!I355</f>
        <v>158527.0</v>
      </c>
      <c r="E73" s="7">
        <f>Base!J355</f>
        <v>152744.0</v>
      </c>
      <c r="F73" s="7">
        <f>D73-E73</f>
        <v>5783.0</v>
      </c>
      <c r="G73" s="7">
        <f>Base!L355</f>
        <v>146576.0</v>
      </c>
      <c r="H73" s="7">
        <f>D73-G73</f>
        <v>11951.0</v>
      </c>
      <c r="I73" s="19">
        <f>IF(D73=0,0,G73/D73)</f>
        <v>0.9246122111690753</v>
      </c>
      <c r="J73" s="6" t="str">
        <f>Base!U355</f>
        <v>Equipamiento / Contrata</v>
      </c>
      <c r="K73" s="6" t="str">
        <f>Base!R355</f>
        <v>Ejecutado</v>
      </c>
      <c r="L73" s="7" t="str">
        <f>Base!V355</f>
        <v>No registrado en cartera</v>
      </c>
      <c r="M73" s="7" t="str">
        <f>Base!W355</f>
        <v>No registrado en cartera</v>
      </c>
      <c r="N73" s="7" t="str">
        <f>Base!X355</f>
        <v>No registrado en cartera</v>
      </c>
      <c r="O73" s="7" t="str">
        <f>Base!Y355</f>
        <v>No registrado en cartera</v>
      </c>
      <c r="P73" s="6">
        <f>IF(Base!Z355="","",Base!Z355)</f>
        <v/>
      </c>
      <c r="Q73" s="18" t="str">
        <f>Base!S355</f>
        <v>No usar</v>
      </c>
      <c r="R73" s="7">
        <f>Base!N355</f>
        <v>200.0</v>
      </c>
      <c r="S73" s="7">
        <f>Base!T355</f>
        <v>0.0</v>
      </c>
    </row>
    <row r="74" spans="1:19">
      <c r="A74" s="18">
        <f>SUBTOTAL(103,$B$6:B74)</f>
        <v>65</v>
      </c>
      <c r="B74" s="18">
        <v>415</v>
      </c>
      <c r="C74" s="6" t="str">
        <f>Base!H356</f>
        <v>2717180: MEJORAMIENTO DE LA PRODUCCION DE LECHE EN LA ASOCIACION DE PRODUCTORES AGROPECUARIOS E INDUSTRIALES ARACACHI JAHUERJALAC KELLUYO, DISTRITO DE KELLUYO, PROVINCIA DE CHUCUITO, REGION PUNO</v>
      </c>
      <c r="D74" s="7">
        <f>Base!I356</f>
        <v>158640.0</v>
      </c>
      <c r="E74" s="7">
        <f>Base!J356</f>
        <v>136115.0</v>
      </c>
      <c r="F74" s="7">
        <f>D74-E74</f>
        <v>22525.0</v>
      </c>
      <c r="G74" s="7">
        <f>Base!L356</f>
        <v>43095.0</v>
      </c>
      <c r="H74" s="7">
        <f>D74-G74</f>
        <v>115545.0</v>
      </c>
      <c r="I74" s="19">
        <f>IF(D74=0,0,G74/D74)</f>
        <v>0.27165279878971255</v>
      </c>
      <c r="J74" s="6" t="str">
        <f>Base!U356</f>
        <v>Equipamiento / Contrata</v>
      </c>
      <c r="K74" s="6" t="str">
        <f>Base!R356</f>
        <v>Parcialmente comprometido</v>
      </c>
      <c r="L74" s="7" t="str">
        <f>Base!V356</f>
        <v>No registrado en cartera</v>
      </c>
      <c r="M74" s="7" t="str">
        <f>Base!W356</f>
        <v>No registrado en cartera</v>
      </c>
      <c r="N74" s="7" t="str">
        <f>Base!X356</f>
        <v>No registrado en cartera</v>
      </c>
      <c r="O74" s="7" t="str">
        <f>Base!Y356</f>
        <v>No registrado en cartera</v>
      </c>
      <c r="P74" s="6">
        <f>IF(Base!Z356="","",Base!Z356)</f>
        <v/>
      </c>
      <c r="Q74" s="18" t="str">
        <f>Base!S356</f>
        <v>Parcial</v>
      </c>
      <c r="R74" s="7">
        <f>Base!N356</f>
        <v>93020.0</v>
      </c>
      <c r="S74" s="7">
        <f>Base!T356</f>
        <v>115545.0</v>
      </c>
    </row>
    <row r="75" spans="1:19">
      <c r="A75" s="18">
        <f>SUBTOTAL(103,$B$6:B75)</f>
        <v>66</v>
      </c>
      <c r="B75" s="18">
        <v>416</v>
      </c>
      <c r="C75" s="6" t="str">
        <f>Base!H357</f>
        <v>2717184: MEJORAMIENTO DE LA PRODUCCION Y PRODUCTIVIDAD DE LA QUINUA EN LA ASOCIACION DE PRODUCTORES AGROPECUARIOS LA ESTANCIA SUMA MARKA, DISTRITO DE ACORA, PROVINCIA PUNO, REGION PUNO</v>
      </c>
      <c r="D75" s="7">
        <f>Base!I357</f>
        <v>159041.0</v>
      </c>
      <c r="E75" s="7">
        <f>Base!J357</f>
        <v>146000.0</v>
      </c>
      <c r="F75" s="7">
        <f>D75-E75</f>
        <v>13041.0</v>
      </c>
      <c r="G75" s="7">
        <f>Base!L357</f>
        <v>139000.0</v>
      </c>
      <c r="H75" s="7">
        <f>D75-G75</f>
        <v>20041.0</v>
      </c>
      <c r="I75" s="19">
        <f>IF(D75=0,0,G75/D75)</f>
        <v>0.8739884683823668</v>
      </c>
      <c r="J75" s="6" t="str">
        <f>Base!U357</f>
        <v>Equipamiento / Contrata</v>
      </c>
      <c r="K75" s="6" t="str">
        <f>Base!R357</f>
        <v>Mayormente comprometido</v>
      </c>
      <c r="L75" s="7" t="str">
        <f>Base!V357</f>
        <v>No registrado en cartera</v>
      </c>
      <c r="M75" s="7" t="str">
        <f>Base!W357</f>
        <v>No registrado en cartera</v>
      </c>
      <c r="N75" s="7" t="str">
        <f>Base!X357</f>
        <v>No registrado en cartera</v>
      </c>
      <c r="O75" s="7" t="str">
        <f>Base!Y357</f>
        <v>No registrado en cartera</v>
      </c>
      <c r="P75" s="6">
        <f>IF(Base!Z357="","",Base!Z357)</f>
        <v/>
      </c>
      <c r="Q75" s="18" t="str">
        <f>Base!S357</f>
        <v>Difícil</v>
      </c>
      <c r="R75" s="7">
        <f>Base!N357</f>
        <v>0.0</v>
      </c>
      <c r="S75" s="7">
        <f>Base!T357</f>
        <v>13041.0</v>
      </c>
    </row>
    <row r="76" spans="1:19">
      <c r="A76" s="18">
        <f>SUBTOTAL(103,$B$6:B76)</f>
        <v>67</v>
      </c>
      <c r="B76" s="18">
        <v>419</v>
      </c>
      <c r="C76" s="6" t="str">
        <f>Base!H358</f>
        <v>2717187: MEJORAMIENTO DE LA PRODUCCION DE VACUNOS DE ENGORDE MEDIANTE TECNOLOGIAS SOSTENIBLES EN LA ASOCIACION DE EMPRENDEDORES AGROPECUARIOS TIERRA SANTA ROSASPATA DEL DISTRITO DE ROSASPATA, PROVINCIA DE HUANCANE, REGION PUNO</v>
      </c>
      <c r="D76" s="7">
        <f>Base!I358</f>
        <v>159584.0</v>
      </c>
      <c r="E76" s="7">
        <f>Base!J358</f>
        <v>152800.0</v>
      </c>
      <c r="F76" s="7">
        <f>D76-E76</f>
        <v>6784.0</v>
      </c>
      <c r="G76" s="7">
        <f>Base!L358</f>
        <v>152800.0</v>
      </c>
      <c r="H76" s="7">
        <f>D76-G76</f>
        <v>6784.0</v>
      </c>
      <c r="I76" s="19">
        <f>IF(D76=0,0,G76/D76)</f>
        <v>0.957489472628835</v>
      </c>
      <c r="J76" s="6" t="str">
        <f>Base!U358</f>
        <v>Equipamiento / Contrata</v>
      </c>
      <c r="K76" s="6" t="str">
        <f>Base!R358</f>
        <v>Ejecutado</v>
      </c>
      <c r="L76" s="7" t="str">
        <f>Base!V358</f>
        <v>No registrado en cartera</v>
      </c>
      <c r="M76" s="7" t="str">
        <f>Base!W358</f>
        <v>No registrado en cartera</v>
      </c>
      <c r="N76" s="7" t="str">
        <f>Base!X358</f>
        <v>No registrado en cartera</v>
      </c>
      <c r="O76" s="7" t="str">
        <f>Base!Y358</f>
        <v>No registrado en cartera</v>
      </c>
      <c r="P76" s="6">
        <f>IF(Base!Z358="","",Base!Z358)</f>
        <v/>
      </c>
      <c r="Q76" s="18" t="str">
        <f>Base!S358</f>
        <v>No usar</v>
      </c>
      <c r="R76" s="7">
        <f>Base!N358</f>
        <v>0.0</v>
      </c>
      <c r="S76" s="7">
        <f>Base!T358</f>
        <v>0.0</v>
      </c>
    </row>
    <row r="77" spans="1:19">
      <c r="A77" s="18">
        <f>SUBTOTAL(103,$B$6:B77)</f>
        <v>68</v>
      </c>
      <c r="B77" s="18">
        <v>422</v>
      </c>
      <c r="C77" s="6" t="str">
        <f>Base!H359</f>
        <v>2717190: MEJORAMIENTO DE LA PRODUCCION DE QUESO TIPO PARIA EN LA ASOCIACION DE PRODUCTORES DE LECHE Y DERIVADOS LACTEOS RIDANI LLINQUICHUPA , DISTRITO DE LAMPA, PROVINCIA DE LAMPA Y DEPARTAMENTO DE PUNO</v>
      </c>
      <c r="D77" s="7">
        <f>Base!I359</f>
        <v>159830.0</v>
      </c>
      <c r="E77" s="7">
        <f>Base!J359</f>
        <v>152085.0</v>
      </c>
      <c r="F77" s="7">
        <f>D77-E77</f>
        <v>7745.0</v>
      </c>
      <c r="G77" s="7">
        <f>Base!L359</f>
        <v>97085.0</v>
      </c>
      <c r="H77" s="7">
        <f>D77-G77</f>
        <v>62745.0</v>
      </c>
      <c r="I77" s="19">
        <f>IF(D77=0,0,G77/D77)</f>
        <v>0.6074266408058562</v>
      </c>
      <c r="J77" s="6" t="str">
        <f>Base!U359</f>
        <v>Equipamiento / Contrata</v>
      </c>
      <c r="K77" s="6" t="str">
        <f>Base!R359</f>
        <v>Mayormente comprometido</v>
      </c>
      <c r="L77" s="7" t="str">
        <f>Base!V359</f>
        <v>No registrado en cartera</v>
      </c>
      <c r="M77" s="7" t="str">
        <f>Base!W359</f>
        <v>No registrado en cartera</v>
      </c>
      <c r="N77" s="7" t="str">
        <f>Base!X359</f>
        <v>No registrado en cartera</v>
      </c>
      <c r="O77" s="7" t="str">
        <f>Base!Y359</f>
        <v>No registrado en cartera</v>
      </c>
      <c r="P77" s="6">
        <f>IF(Base!Z359="","",Base!Z359)</f>
        <v/>
      </c>
      <c r="Q77" s="18" t="str">
        <f>Base!S359</f>
        <v>Difícil</v>
      </c>
      <c r="R77" s="7">
        <f>Base!N359</f>
        <v>55000.0</v>
      </c>
      <c r="S77" s="7">
        <f>Base!T359</f>
        <v>62745.0</v>
      </c>
    </row>
    <row r="78" spans="1:19">
      <c r="A78" s="18">
        <f>SUBTOTAL(103,$B$6:B78)</f>
        <v>69</v>
      </c>
      <c r="B78" s="18">
        <v>426</v>
      </c>
      <c r="C78" s="6" t="str">
        <f>Base!H360</f>
        <v>2717191: MEJORAMIENTO DE LA PRODUCTIVIDAD DE LECHE FRESCA EN LA ASOCIACION DE PRODUCTORES AGROPECUARIOS ESQUERICA DEL DISTRITO DE ROSASPATA, PROVINCIA DE HUANCANE, REGION PUNO</v>
      </c>
      <c r="D78" s="7">
        <f>Base!I360</f>
        <v>159880.0</v>
      </c>
      <c r="E78" s="7">
        <f>Base!J360</f>
        <v>154030.0</v>
      </c>
      <c r="F78" s="7">
        <f>D78-E78</f>
        <v>5850.0</v>
      </c>
      <c r="G78" s="7">
        <f>Base!L360</f>
        <v>50840.0</v>
      </c>
      <c r="H78" s="7">
        <f>D78-G78</f>
        <v>109040.0</v>
      </c>
      <c r="I78" s="19">
        <f>IF(D78=0,0,G78/D78)</f>
        <v>0.3179884913685264</v>
      </c>
      <c r="J78" s="6" t="str">
        <f>Base!U360</f>
        <v>Equipamiento / Contrata</v>
      </c>
      <c r="K78" s="6" t="str">
        <f>Base!R360</f>
        <v>Parcialmente comprometido</v>
      </c>
      <c r="L78" s="7" t="str">
        <f>Base!V360</f>
        <v>No registrado en cartera</v>
      </c>
      <c r="M78" s="7" t="str">
        <f>Base!W360</f>
        <v>No registrado en cartera</v>
      </c>
      <c r="N78" s="7" t="str">
        <f>Base!X360</f>
        <v>No registrado en cartera</v>
      </c>
      <c r="O78" s="7" t="str">
        <f>Base!Y360</f>
        <v>No registrado en cartera</v>
      </c>
      <c r="P78" s="6">
        <f>IF(Base!Z360="","",Base!Z360)</f>
        <v/>
      </c>
      <c r="Q78" s="18" t="str">
        <f>Base!S360</f>
        <v>Parcial</v>
      </c>
      <c r="R78" s="7">
        <f>Base!N360</f>
        <v>94210.0</v>
      </c>
      <c r="S78" s="7">
        <f>Base!T360</f>
        <v>100060.0</v>
      </c>
    </row>
    <row r="79" spans="1:19">
      <c r="A79" s="18">
        <f>SUBTOTAL(103,$B$6:B79)</f>
        <v>70</v>
      </c>
      <c r="B79" s="18">
        <v>478</v>
      </c>
      <c r="C79" s="6" t="str">
        <f>Base!H361</f>
        <v>2717181: MEJORAMIENTO DE VACUNO EN PIE EN LA ASOCIACION DE PRODUCTORES AGROPECUARIOS FLORES ANDINOS ANCCACCA PICHACANI, LARAQUERI, DISTRITO PICHACANI, PROVINCIA PUNO Y DEPARTAMENTO PUNO</v>
      </c>
      <c r="D79" s="7">
        <f>Base!I361</f>
        <v>159978.0</v>
      </c>
      <c r="E79" s="7">
        <f>Base!J361</f>
        <v>153229.0</v>
      </c>
      <c r="F79" s="7">
        <f>D79-E79</f>
        <v>6749.0</v>
      </c>
      <c r="G79" s="7">
        <f>Base!L361</f>
        <v>129240.0</v>
      </c>
      <c r="H79" s="7">
        <f>D79-G79</f>
        <v>30738.0</v>
      </c>
      <c r="I79" s="19">
        <f>IF(D79=0,0,G79/D79)</f>
        <v>0.8078610808986235</v>
      </c>
      <c r="J79" s="6" t="str">
        <f>Base!U361</f>
        <v>Equipamiento / Contrata</v>
      </c>
      <c r="K79" s="6" t="str">
        <f>Base!R361</f>
        <v>Mayormente comprometido</v>
      </c>
      <c r="L79" s="7" t="str">
        <f>Base!V361</f>
        <v>No registrado en cartera</v>
      </c>
      <c r="M79" s="7" t="str">
        <f>Base!W361</f>
        <v>No registrado en cartera</v>
      </c>
      <c r="N79" s="7" t="str">
        <f>Base!X361</f>
        <v>No registrado en cartera</v>
      </c>
      <c r="O79" s="7" t="str">
        <f>Base!Y361</f>
        <v>No registrado en cartera</v>
      </c>
      <c r="P79" s="6">
        <f>IF(Base!Z361="","",Base!Z361)</f>
        <v/>
      </c>
      <c r="Q79" s="18" t="str">
        <f>Base!S361</f>
        <v>Difícil</v>
      </c>
      <c r="R79" s="7">
        <f>Base!N361</f>
        <v>17250.0</v>
      </c>
      <c r="S79" s="7">
        <f>Base!T361</f>
        <v>23999.0</v>
      </c>
    </row>
    <row r="80" spans="1:19">
      <c r="A80" s="18">
        <f>SUBTOTAL(103,$B$6:B80)</f>
        <v>71</v>
      </c>
      <c r="B80" s="18">
        <v>487</v>
      </c>
      <c r="C80" s="6" t="str">
        <f>Base!H362</f>
        <v>2326588: MEJORAMIENTO DE LOS SERVICIOS DE APOYO A LA CADENA PRODUCTIVA DE CAFÉS ESPECIALES EN LOS DISTRITOS DE COASA, ITUATA, OLLACHEA, USICAYOS, LIMBANI, PATAMBUCO Y PHARA DE LAS PROVINCIAS DE CARABAYA Y SANDIA - REGIÓN PUNO</v>
      </c>
      <c r="D80" s="7">
        <f>Base!I362</f>
        <v>44000.0</v>
      </c>
      <c r="E80" s="7">
        <f>Base!J362</f>
        <v>43500.0</v>
      </c>
      <c r="F80" s="7">
        <f>D80-E80</f>
        <v>500.0</v>
      </c>
      <c r="G80" s="7">
        <f>Base!L362</f>
        <v>17400.0</v>
      </c>
      <c r="H80" s="7">
        <f>D80-G80</f>
        <v>26600.0</v>
      </c>
      <c r="I80" s="19">
        <f>IF(D80=0,0,G80/D80)</f>
        <v>0.39545454545454545</v>
      </c>
      <c r="J80" s="6" t="str">
        <f>Base!U362</f>
        <v>Contrata</v>
      </c>
      <c r="K80" s="6" t="str">
        <f>Base!R362</f>
        <v>Mayormente comprometido</v>
      </c>
      <c r="L80" s="7">
        <f>Base!V362</f>
        <v>44000.0</v>
      </c>
      <c r="M80" s="7">
        <f>Base!W362</f>
        <v>291221.0</v>
      </c>
      <c r="N80" s="7">
        <f>Base!X362</f>
        <v>0</v>
      </c>
      <c r="O80" s="7">
        <f>Base!Y362</f>
        <v>0</v>
      </c>
      <c r="P80" s="6">
        <f>IF(Base!Z362="","",Base!Z362)</f>
        <v/>
      </c>
      <c r="Q80" s="18" t="str">
        <f>Base!S362</f>
        <v>Difícil</v>
      </c>
      <c r="R80" s="7">
        <f>Base!N362</f>
        <v>0.0</v>
      </c>
      <c r="S80" s="7">
        <f>Base!T362</f>
        <v>500.0</v>
      </c>
    </row>
    <row r="81" spans="1:19">
      <c r="A81" s="18">
        <f>SUBTOTAL(103,$B$6:B81)</f>
        <v>72</v>
      </c>
      <c r="B81" s="18">
        <v>526</v>
      </c>
      <c r="C81" s="6" t="str">
        <f>Base!H363</f>
        <v>2681133: MEJORAMIENTO DE LA PRODUCCION DE QUESOS TIPO PARIA PASTEURIZADO DE LA CENTRAL DE ASOCIACIONES GANADEROS LECHEROS Y AGRARIOS DEL DISTRITO DE VILQUE, DISTRITO DE VILQUE, PROVINCIA DE PUNO, REGION PUNO</v>
      </c>
      <c r="D81" s="7">
        <f>Base!I363</f>
        <v>2795.0</v>
      </c>
      <c r="E81" s="7">
        <f>Base!J363</f>
        <v>2795.0</v>
      </c>
      <c r="F81" s="7">
        <f>D81-E81</f>
        <v>0.0</v>
      </c>
      <c r="G81" s="7">
        <f>Base!L363</f>
        <v>0.0</v>
      </c>
      <c r="H81" s="7">
        <f>D81-G81</f>
        <v>2795.0</v>
      </c>
      <c r="I81" s="19">
        <f>IF(D81=0,0,G81/D81)</f>
        <v>0.0</v>
      </c>
      <c r="J81" s="6" t="str">
        <f>Base!U363</f>
        <v>Contrata</v>
      </c>
      <c r="K81" s="6" t="str">
        <f>Base!R363</f>
        <v>Solo certificado</v>
      </c>
      <c r="L81" s="7" t="str">
        <f>Base!V363</f>
        <v>No registrado en cartera</v>
      </c>
      <c r="M81" s="7" t="str">
        <f>Base!W363</f>
        <v>No registrado en cartera</v>
      </c>
      <c r="N81" s="7" t="str">
        <f>Base!X363</f>
        <v>No registrado en cartera</v>
      </c>
      <c r="O81" s="7" t="str">
        <f>Base!Y363</f>
        <v>No registrado en cartera</v>
      </c>
      <c r="P81" s="6">
        <f>IF(Base!Z363="","",Base!Z363)</f>
        <v/>
      </c>
      <c r="Q81" s="18" t="str">
        <f>Base!S363</f>
        <v>Posible</v>
      </c>
      <c r="R81" s="7">
        <f>Base!N363</f>
        <v>2795.0</v>
      </c>
      <c r="S81" s="7">
        <f>Base!T363</f>
        <v>2795.0</v>
      </c>
    </row>
    <row r="82" spans="1:19">
      <c r="A82" s="15" t="s">
        <v>1189</v>
      </c>
      <c r="B82" s="15"/>
      <c r="C82" s="15"/>
      <c r="D82" s="16">
        <f>SUM(D83:D86)</f>
        <v>1054126.0</v>
      </c>
      <c r="E82" s="16">
        <f>SUM(E83:E86)</f>
        <v>893638.67</v>
      </c>
      <c r="F82" s="16">
        <f>D82-E82</f>
        <v>160487.32999999996</v>
      </c>
      <c r="G82" s="16">
        <f>SUM(G83:G86)</f>
        <v>30322.0</v>
      </c>
      <c r="H82" s="16">
        <f>D82-G82</f>
        <v>1023804.0</v>
      </c>
      <c r="I82" s="17">
        <f>IF(D82=0,0,G82/D82)</f>
        <v>0.028765062241136258</v>
      </c>
      <c r="J82" s="15"/>
      <c r="K82" s="15"/>
      <c r="L82" s="15"/>
      <c r="M82" s="15"/>
      <c r="N82" s="15"/>
      <c r="O82" s="15"/>
      <c r="P82" s="15"/>
      <c r="Q82" s="15"/>
      <c r="R82" s="16">
        <f>SUM(R83:R86)</f>
        <v>680966.67</v>
      </c>
      <c r="S82" s="16">
        <f>SUM(S83:S86)</f>
        <v>841454.0</v>
      </c>
    </row>
    <row r="83" spans="1:19">
      <c r="A83" s="18">
        <f>SUBTOTAL(103,$B$6:B83)</f>
        <v>73</v>
      </c>
      <c r="B83" s="18">
        <v>368</v>
      </c>
      <c r="C83" s="6" t="str">
        <f>Base!H364</f>
        <v>2681278: MEJORAMIENTO DEL PROCESO DE PRODUCCION DE SELECCIONADOR DE TRUCHAS EN MAQUINARIAS ACUITROUT SOCIEDAD COMERCIAL DE RESPONSABILIDAD DE LA COMUNIDAD DE KOLLPAJAHUIRA, DISTRITO DE JULI, PROVINCIA DE CHUCUITO, DEPARTAMENTO DE PUNO</v>
      </c>
      <c r="D83" s="7">
        <f>Base!I364</f>
        <v>179500.0</v>
      </c>
      <c r="E83" s="7">
        <f>Base!J364</f>
        <v>163750.0</v>
      </c>
      <c r="F83" s="7">
        <f>D83-E83</f>
        <v>15750.0</v>
      </c>
      <c r="G83" s="7">
        <f>Base!L364</f>
        <v>3750.0</v>
      </c>
      <c r="H83" s="7">
        <f>D83-G83</f>
        <v>175750.0</v>
      </c>
      <c r="I83" s="19">
        <f>IF(D83=0,0,G83/D83)</f>
        <v>0.020891364902506964</v>
      </c>
      <c r="J83" s="6" t="str">
        <f>Base!U364</f>
        <v>Equipamiento / Contrata</v>
      </c>
      <c r="K83" s="6" t="str">
        <f>Base!R364</f>
        <v>Parcialmente comprometido</v>
      </c>
      <c r="L83" s="7" t="str">
        <f>Base!V364</f>
        <v>No registrado en cartera</v>
      </c>
      <c r="M83" s="7" t="str">
        <f>Base!W364</f>
        <v>No registrado en cartera</v>
      </c>
      <c r="N83" s="7" t="str">
        <f>Base!X364</f>
        <v>No registrado en cartera</v>
      </c>
      <c r="O83" s="7" t="str">
        <f>Base!Y364</f>
        <v>No registrado en cartera</v>
      </c>
      <c r="P83" s="6">
        <f>IF(Base!Z364="","",Base!Z364)</f>
        <v/>
      </c>
      <c r="Q83" s="18" t="str">
        <f>Base!S364</f>
        <v>Parcial</v>
      </c>
      <c r="R83" s="7">
        <f>Base!N364</f>
        <v>160000.0</v>
      </c>
      <c r="S83" s="7">
        <f>Base!T364</f>
        <v>175750.0</v>
      </c>
    </row>
    <row r="84" spans="1:19">
      <c r="A84" s="18">
        <f>SUBTOTAL(103,$B$6:B84)</f>
        <v>74</v>
      </c>
      <c r="B84" s="18">
        <v>375</v>
      </c>
      <c r="C84" s="6" t="str">
        <f>Base!H365</f>
        <v>2681123: MEJORAMIENTO EN EL PROCESO DE VALOR AGREGADO DE TRUCHAS EN LA EMPRESA AMERICAN TROUT FARO S.R.L. EN EL DISTRITO DE POMATA, PROVINCIA DE CHUCUITO Y DEPARTAMENTO DE PUNO.</v>
      </c>
      <c r="D84" s="7">
        <f>Base!I365</f>
        <v>175166.0</v>
      </c>
      <c r="E84" s="7">
        <f>Base!J365</f>
        <v>166872.0</v>
      </c>
      <c r="F84" s="7">
        <f>D84-E84</f>
        <v>8294.0</v>
      </c>
      <c r="G84" s="7">
        <f>Base!L365</f>
        <v>5872.0</v>
      </c>
      <c r="H84" s="7">
        <f>D84-G84</f>
        <v>169294.0</v>
      </c>
      <c r="I84" s="19">
        <f>IF(D84=0,0,G84/D84)</f>
        <v>0.03352248724067456</v>
      </c>
      <c r="J84" s="6" t="str">
        <f>Base!U365</f>
        <v>Equipamiento / Contrata</v>
      </c>
      <c r="K84" s="6" t="str">
        <f>Base!R365</f>
        <v>Mayormente comprometido</v>
      </c>
      <c r="L84" s="7" t="str">
        <f>Base!V365</f>
        <v>No registrado en cartera</v>
      </c>
      <c r="M84" s="7" t="str">
        <f>Base!W365</f>
        <v>No registrado en cartera</v>
      </c>
      <c r="N84" s="7" t="str">
        <f>Base!X365</f>
        <v>No registrado en cartera</v>
      </c>
      <c r="O84" s="7" t="str">
        <f>Base!Y365</f>
        <v>No registrado en cartera</v>
      </c>
      <c r="P84" s="6">
        <f>IF(Base!Z365="","",Base!Z365)</f>
        <v/>
      </c>
      <c r="Q84" s="18" t="str">
        <f>Base!S365</f>
        <v>Difícil</v>
      </c>
      <c r="R84" s="7">
        <f>Base!N365</f>
        <v>6300.0</v>
      </c>
      <c r="S84" s="7">
        <f>Base!T365</f>
        <v>14594.0</v>
      </c>
    </row>
    <row r="85" spans="1:19">
      <c r="A85" s="18">
        <f>SUBTOTAL(103,$B$6:B85)</f>
        <v>75</v>
      </c>
      <c r="B85" s="18">
        <v>417</v>
      </c>
      <c r="C85" s="6" t="str">
        <f>Base!H366</f>
        <v>2717185: MEJORAMIENTO DE VALOR AGREGADO DE LA TRUCHA EN AQUA INDUSTRIAS EL FARO SOCIEDAD COMERCIAL DE RESPONSABILIDAD LIMITADA, DISTRITO DE POMATA, PROVINCIA DE CHUCUITO Y DEPARTAMENTO DE PUNO</v>
      </c>
      <c r="D85" s="7">
        <f>Base!I366</f>
        <v>349792.0</v>
      </c>
      <c r="E85" s="7">
        <f>Base!J366</f>
        <v>325833.33</v>
      </c>
      <c r="F85" s="7">
        <f>D85-E85</f>
        <v>23958.669999999984</v>
      </c>
      <c r="G85" s="7">
        <f>Base!L366</f>
        <v>0.0</v>
      </c>
      <c r="H85" s="7">
        <f>D85-G85</f>
        <v>349792.0</v>
      </c>
      <c r="I85" s="19">
        <f>IF(D85=0,0,G85/D85)</f>
        <v>0.0</v>
      </c>
      <c r="J85" s="6" t="str">
        <f>Base!U366</f>
        <v>Equipamiento / Contrata</v>
      </c>
      <c r="K85" s="6" t="str">
        <f>Base!R366</f>
        <v>Parcialmente comprometido</v>
      </c>
      <c r="L85" s="7" t="str">
        <f>Base!V366</f>
        <v>No registrado en cartera</v>
      </c>
      <c r="M85" s="7" t="str">
        <f>Base!W366</f>
        <v>No registrado en cartera</v>
      </c>
      <c r="N85" s="7" t="str">
        <f>Base!X366</f>
        <v>No registrado en cartera</v>
      </c>
      <c r="O85" s="7" t="str">
        <f>Base!Y366</f>
        <v>No registrado en cartera</v>
      </c>
      <c r="P85" s="6">
        <f>IF(Base!Z366="","",Base!Z366)</f>
        <v/>
      </c>
      <c r="Q85" s="18" t="str">
        <f>Base!S366</f>
        <v>Parcial</v>
      </c>
      <c r="R85" s="7">
        <f>Base!N366</f>
        <v>308833.33</v>
      </c>
      <c r="S85" s="7">
        <f>Base!T366</f>
        <v>332792.0</v>
      </c>
    </row>
    <row r="86" spans="1:19">
      <c r="A86" s="18">
        <f>SUBTOTAL(103,$B$6:B86)</f>
        <v>76</v>
      </c>
      <c r="B86" s="18">
        <v>474</v>
      </c>
      <c r="C86" s="6" t="str">
        <f>Base!H367</f>
        <v>2723300: MEJORAMIENTO DE LA PRODUCCION Y TRANSFORMACION DE FILETE DE TRUCHA DE LA EMPRESA TITIKAKA TROUT PERU SOCIEDAD COMERCIAL DE RESPONSABILIDAD LIMITADA DEL DISTRITO DE POMATA, PROVINCIA DE CHUCUITO, REGION PUNO</v>
      </c>
      <c r="D86" s="7">
        <f>Base!I367</f>
        <v>349668.0</v>
      </c>
      <c r="E86" s="7">
        <f>Base!J367</f>
        <v>237183.34</v>
      </c>
      <c r="F86" s="7">
        <f>D86-E86</f>
        <v>112484.66</v>
      </c>
      <c r="G86" s="7">
        <f>Base!L367</f>
        <v>20700.0</v>
      </c>
      <c r="H86" s="7">
        <f>D86-G86</f>
        <v>328968.0</v>
      </c>
      <c r="I86" s="19">
        <f>IF(D86=0,0,G86/D86)</f>
        <v>0.05919901163389272</v>
      </c>
      <c r="J86" s="6" t="str">
        <f>Base!U367</f>
        <v>Equipamiento / Contrata</v>
      </c>
      <c r="K86" s="6" t="str">
        <f>Base!R367</f>
        <v>Parcialmente comprometido</v>
      </c>
      <c r="L86" s="7" t="str">
        <f>Base!V367</f>
        <v>No registrado en cartera</v>
      </c>
      <c r="M86" s="7" t="str">
        <f>Base!W367</f>
        <v>No registrado en cartera</v>
      </c>
      <c r="N86" s="7" t="str">
        <f>Base!X367</f>
        <v>No registrado en cartera</v>
      </c>
      <c r="O86" s="7" t="str">
        <f>Base!Y367</f>
        <v>No registrado en cartera</v>
      </c>
      <c r="P86" s="6">
        <f>IF(Base!Z367="","",Base!Z367)</f>
        <v/>
      </c>
      <c r="Q86" s="18" t="str">
        <f>Base!S367</f>
        <v>Parcial</v>
      </c>
      <c r="R86" s="7">
        <f>Base!N367</f>
        <v>205833.34</v>
      </c>
      <c r="S86" s="7">
        <f>Base!T367</f>
        <v>318318.0</v>
      </c>
    </row>
    <row r="87" spans="1:19">
      <c r="A87" s="15" t="s">
        <v>1202</v>
      </c>
      <c r="B87" s="15"/>
      <c r="C87" s="15"/>
      <c r="D87" s="16">
        <f>SUM(D88:D94)</f>
        <v>1308816.0</v>
      </c>
      <c r="E87" s="16">
        <f>SUM(E88:E94)</f>
        <v>1209080.0</v>
      </c>
      <c r="F87" s="16">
        <f>D87-E87</f>
        <v>99736.0</v>
      </c>
      <c r="G87" s="16">
        <f>SUM(G88:G94)</f>
        <v>538610.0</v>
      </c>
      <c r="H87" s="16">
        <f>D87-G87</f>
        <v>770206.0</v>
      </c>
      <c r="I87" s="17">
        <f>IF(D87=0,0,G87/D87)</f>
        <v>0.4115246146135133</v>
      </c>
      <c r="J87" s="15"/>
      <c r="K87" s="15"/>
      <c r="L87" s="15"/>
      <c r="M87" s="15"/>
      <c r="N87" s="15"/>
      <c r="O87" s="15"/>
      <c r="P87" s="15"/>
      <c r="Q87" s="15"/>
      <c r="R87" s="16">
        <f>SUM(R88:R94)</f>
        <v>321200.0</v>
      </c>
      <c r="S87" s="16">
        <f>SUM(S88:S94)</f>
        <v>411853.0</v>
      </c>
    </row>
    <row r="88" spans="1:19">
      <c r="A88" s="18">
        <f>SUBTOTAL(103,$B$6:B88)</f>
        <v>77</v>
      </c>
      <c r="B88" s="18">
        <v>356</v>
      </c>
      <c r="C88" s="6" t="str">
        <f>Base!H368</f>
        <v>2676422: MEJORAMIENTO DE LA COMPETITIVIDAD PRODUCTIVA DE LA CERAMICA TRADICIONAL DE CHECCA PUPUJA EN LA ASOCIACION CERAMICA TRADICIONAL ANCESTRAL CHACCA PUPUJA, DISTRITO DE JOSE DOMINGO CHOQUEHUANCA, PROVINCIA DE AZANGARO, REGION PUNO.</v>
      </c>
      <c r="D88" s="7">
        <f>Base!I368</f>
        <v>5365.0</v>
      </c>
      <c r="E88" s="7">
        <f>Base!J368</f>
        <v>5364.0</v>
      </c>
      <c r="F88" s="7">
        <f>D88-E88</f>
        <v>1.0</v>
      </c>
      <c r="G88" s="7">
        <f>Base!L368</f>
        <v>5364.0</v>
      </c>
      <c r="H88" s="7">
        <f>D88-G88</f>
        <v>1.0</v>
      </c>
      <c r="I88" s="19">
        <f>IF(D88=0,0,G88/D88)</f>
        <v>0.9998136067101584</v>
      </c>
      <c r="J88" s="6" t="str">
        <f>Base!U368</f>
        <v>Contrata</v>
      </c>
      <c r="K88" s="6" t="str">
        <f>Base!R368</f>
        <v>Ejecutado</v>
      </c>
      <c r="L88" s="7" t="str">
        <f>Base!V368</f>
        <v>No registrado en cartera</v>
      </c>
      <c r="M88" s="7" t="str">
        <f>Base!W368</f>
        <v>No registrado en cartera</v>
      </c>
      <c r="N88" s="7" t="str">
        <f>Base!X368</f>
        <v>No registrado en cartera</v>
      </c>
      <c r="O88" s="7" t="str">
        <f>Base!Y368</f>
        <v>No registrado en cartera</v>
      </c>
      <c r="P88" s="6">
        <f>IF(Base!Z368="","",Base!Z368)</f>
        <v/>
      </c>
      <c r="Q88" s="18" t="str">
        <f>Base!S368</f>
        <v>No usar</v>
      </c>
      <c r="R88" s="7">
        <f>Base!N368</f>
        <v>0.0</v>
      </c>
      <c r="S88" s="7">
        <f>Base!T368</f>
        <v>0.0</v>
      </c>
    </row>
    <row r="89" spans="1:19">
      <c r="A89" s="18">
        <f>SUBTOTAL(103,$B$6:B89)</f>
        <v>78</v>
      </c>
      <c r="B89" s="18">
        <v>374</v>
      </c>
      <c r="C89" s="6" t="str">
        <f>Base!H369</f>
        <v>2681274: MEJORAMIENTO DEL PROCESO DE PRODUCCION DE ARTICULOS MECANICOS EN LA CORPORACION MARSAD S.A.C. DEL DISTRITO DE PUNO, PROVINCIA DE PUNO, REGION DE PUNO</v>
      </c>
      <c r="D89" s="7">
        <f>Base!I369</f>
        <v>335890.0</v>
      </c>
      <c r="E89" s="7">
        <f>Base!J369</f>
        <v>314900.0</v>
      </c>
      <c r="F89" s="7">
        <f>D89-E89</f>
        <v>20990.0</v>
      </c>
      <c r="G89" s="7">
        <f>Base!L369</f>
        <v>0.0</v>
      </c>
      <c r="H89" s="7">
        <f>D89-G89</f>
        <v>335890.0</v>
      </c>
      <c r="I89" s="19">
        <f>IF(D89=0,0,G89/D89)</f>
        <v>0.0</v>
      </c>
      <c r="J89" s="6" t="str">
        <f>Base!U369</f>
        <v>Equipamiento / Contrata</v>
      </c>
      <c r="K89" s="6" t="str">
        <f>Base!R369</f>
        <v>Mayormente comprometido</v>
      </c>
      <c r="L89" s="7" t="str">
        <f>Base!V369</f>
        <v>No registrado en cartera</v>
      </c>
      <c r="M89" s="7" t="str">
        <f>Base!W369</f>
        <v>No registrado en cartera</v>
      </c>
      <c r="N89" s="7" t="str">
        <f>Base!X369</f>
        <v>No registrado en cartera</v>
      </c>
      <c r="O89" s="7" t="str">
        <f>Base!Y369</f>
        <v>No registrado en cartera</v>
      </c>
      <c r="P89" s="6">
        <f>IF(Base!Z369="","",Base!Z369)</f>
        <v/>
      </c>
      <c r="Q89" s="18" t="str">
        <f>Base!S369</f>
        <v>Difícil</v>
      </c>
      <c r="R89" s="7">
        <f>Base!N369</f>
        <v>1020.0</v>
      </c>
      <c r="S89" s="7">
        <f>Base!T369</f>
        <v>22010.0</v>
      </c>
    </row>
    <row r="90" spans="1:19">
      <c r="A90" s="18">
        <f>SUBTOTAL(103,$B$6:B90)</f>
        <v>79</v>
      </c>
      <c r="B90" s="18">
        <v>377</v>
      </c>
      <c r="C90" s="6" t="str">
        <f>Base!H370</f>
        <v>2681130: MEJORAMIENTO DE LA PRODUCCION DEL ENVASADO DE AGUA DE MESA DE LA EMPRESA GRUPO ANCCASI SOCIEDAD ANONIMA CERRADA DEL DISTRITO DE CORANI, PROVINCIA CARABAYA, DEPARTAMENTO PUNO</v>
      </c>
      <c r="D90" s="7">
        <f>Base!I370</f>
        <v>157066.0</v>
      </c>
      <c r="E90" s="7">
        <f>Base!J370</f>
        <v>157066.0</v>
      </c>
      <c r="F90" s="7">
        <f>D90-E90</f>
        <v>0.0</v>
      </c>
      <c r="G90" s="7">
        <f>Base!L370</f>
        <v>157066.0</v>
      </c>
      <c r="H90" s="7">
        <f>D90-G90</f>
        <v>0.0</v>
      </c>
      <c r="I90" s="19">
        <f>IF(D90=0,0,G90/D90)</f>
        <v>1.0</v>
      </c>
      <c r="J90" s="6" t="str">
        <f>Base!U370</f>
        <v>Equipamiento / Contrata</v>
      </c>
      <c r="K90" s="6" t="str">
        <f>Base!R370</f>
        <v>Ejecutado</v>
      </c>
      <c r="L90" s="7" t="str">
        <f>Base!V370</f>
        <v>No registrado en cartera</v>
      </c>
      <c r="M90" s="7" t="str">
        <f>Base!W370</f>
        <v>No registrado en cartera</v>
      </c>
      <c r="N90" s="7" t="str">
        <f>Base!X370</f>
        <v>No registrado en cartera</v>
      </c>
      <c r="O90" s="7" t="str">
        <f>Base!Y370</f>
        <v>No registrado en cartera</v>
      </c>
      <c r="P90" s="6">
        <f>IF(Base!Z370="","",Base!Z370)</f>
        <v/>
      </c>
      <c r="Q90" s="18" t="str">
        <f>Base!S370</f>
        <v>No usar</v>
      </c>
      <c r="R90" s="7">
        <f>Base!N370</f>
        <v>0.0</v>
      </c>
      <c r="S90" s="7">
        <f>Base!T370</f>
        <v>0.0</v>
      </c>
    </row>
    <row r="91" spans="1:19">
      <c r="A91" s="18">
        <f>SUBTOTAL(103,$B$6:B91)</f>
        <v>80</v>
      </c>
      <c r="B91" s="18">
        <v>386</v>
      </c>
      <c r="C91" s="6" t="str">
        <f>Base!H371</f>
        <v>2717150: MEJORAMIENTO DEL PROCESO PRODUCTIVO Y EL VALOR CULTURAL DE LAS CERAMICAS DE LA ASOCIACION DE ARTESANOS PRODUCTORES MUSUQ PAQARIY PUKARA, DEL DISTRITO DE PUCARA, PROVINCIA DE LAMPA, DEPARTAMENTO DE PUNO</v>
      </c>
      <c r="D91" s="7">
        <f>Base!I371</f>
        <v>159345.0</v>
      </c>
      <c r="E91" s="7">
        <f>Base!J371</f>
        <v>150543.0</v>
      </c>
      <c r="F91" s="7">
        <f>D91-E91</f>
        <v>8802.0</v>
      </c>
      <c r="G91" s="7">
        <f>Base!L371</f>
        <v>150263.0</v>
      </c>
      <c r="H91" s="7">
        <f>D91-G91</f>
        <v>9082.0</v>
      </c>
      <c r="I91" s="19">
        <f>IF(D91=0,0,G91/D91)</f>
        <v>0.9430041733345885</v>
      </c>
      <c r="J91" s="6" t="str">
        <f>Base!U371</f>
        <v>Equipamiento / Contrata</v>
      </c>
      <c r="K91" s="6" t="str">
        <f>Base!R371</f>
        <v>Ejecutado</v>
      </c>
      <c r="L91" s="7" t="str">
        <f>Base!V371</f>
        <v>No registrado en cartera</v>
      </c>
      <c r="M91" s="7" t="str">
        <f>Base!W371</f>
        <v>No registrado en cartera</v>
      </c>
      <c r="N91" s="7" t="str">
        <f>Base!X371</f>
        <v>No registrado en cartera</v>
      </c>
      <c r="O91" s="7" t="str">
        <f>Base!Y371</f>
        <v>No registrado en cartera</v>
      </c>
      <c r="P91" s="6">
        <f>IF(Base!Z371="","",Base!Z371)</f>
        <v/>
      </c>
      <c r="Q91" s="18" t="str">
        <f>Base!S371</f>
        <v>No usar</v>
      </c>
      <c r="R91" s="7">
        <f>Base!N371</f>
        <v>280.0</v>
      </c>
      <c r="S91" s="7">
        <f>Base!T371</f>
        <v>0.0</v>
      </c>
    </row>
    <row r="92" spans="1:19">
      <c r="A92" s="18">
        <f>SUBTOTAL(103,$B$6:B92)</f>
        <v>81</v>
      </c>
      <c r="B92" s="18">
        <v>473</v>
      </c>
      <c r="C92" s="6" t="str">
        <f>Base!H372</f>
        <v>2723295: MEJORAMIENTO DE LA PRODUCCION Y COMERCIALIZACION DE QUESOS TIPO PARIA DE LA ASOCIACION AGROINDUSTRIAL YURAQ WASI DE LA COMUNIDAD CAMPESINA PRIMER JILAHUATA, DISTRITO DE AZANGARO, PROVINCIA DE AZANGARO, REGION PUNO</v>
      </c>
      <c r="D92" s="7">
        <f>Base!I372</f>
        <v>160000.0</v>
      </c>
      <c r="E92" s="7">
        <f>Base!J372</f>
        <v>145797.0</v>
      </c>
      <c r="F92" s="7">
        <f>D92-E92</f>
        <v>14203.0</v>
      </c>
      <c r="G92" s="7">
        <f>Base!L372</f>
        <v>139797.0</v>
      </c>
      <c r="H92" s="7">
        <f>D92-G92</f>
        <v>20203.0</v>
      </c>
      <c r="I92" s="19">
        <f>IF(D92=0,0,G92/D92)</f>
        <v>0.87373125</v>
      </c>
      <c r="J92" s="6" t="str">
        <f>Base!U372</f>
        <v>Equipamiento / Contrata</v>
      </c>
      <c r="K92" s="6" t="str">
        <f>Base!R372</f>
        <v>Mayormente comprometido</v>
      </c>
      <c r="L92" s="7" t="str">
        <f>Base!V372</f>
        <v>No registrado en cartera</v>
      </c>
      <c r="M92" s="7" t="str">
        <f>Base!W372</f>
        <v>No registrado en cartera</v>
      </c>
      <c r="N92" s="7" t="str">
        <f>Base!X372</f>
        <v>No registrado en cartera</v>
      </c>
      <c r="O92" s="7" t="str">
        <f>Base!Y372</f>
        <v>No registrado en cartera</v>
      </c>
      <c r="P92" s="6">
        <f>IF(Base!Z372="","",Base!Z372)</f>
        <v/>
      </c>
      <c r="Q92" s="18" t="str">
        <f>Base!S372</f>
        <v>Difícil</v>
      </c>
      <c r="R92" s="7">
        <f>Base!N372</f>
        <v>0.0</v>
      </c>
      <c r="S92" s="7">
        <f>Base!T372</f>
        <v>14203.0</v>
      </c>
    </row>
    <row r="93" spans="1:19">
      <c r="A93" s="18">
        <f>SUBTOTAL(103,$B$6:B93)</f>
        <v>82</v>
      </c>
      <c r="B93" s="18">
        <v>476</v>
      </c>
      <c r="C93" s="6" t="str">
        <f>Base!H373</f>
        <v>2723301: MEJORAMIENTO DE LA TRANSFORMACION Y COMERCIALIZACION DE HILOS Y PRENDAS DE TONOS Y TENIDOS NATURALES DE FIBRA DE ALPACA EN LA ASOCIACION DE ARTESANAS KISWAR TIKA, DISTRITO DE OCUVIRI, PROVINCIA LAMPA, REGION PUNO</v>
      </c>
      <c r="D93" s="7">
        <f>Base!I373</f>
        <v>141150.0</v>
      </c>
      <c r="E93" s="7">
        <f>Base!J373</f>
        <v>115290.0</v>
      </c>
      <c r="F93" s="7">
        <f>D93-E93</f>
        <v>25860.0</v>
      </c>
      <c r="G93" s="7">
        <f>Base!L373</f>
        <v>0.0</v>
      </c>
      <c r="H93" s="7">
        <f>D93-G93</f>
        <v>141150.0</v>
      </c>
      <c r="I93" s="19">
        <f>IF(D93=0,0,G93/D93)</f>
        <v>0.0</v>
      </c>
      <c r="J93" s="6" t="str">
        <f>Base!U373</f>
        <v>Equipamiento / Contrata</v>
      </c>
      <c r="K93" s="6" t="str">
        <f>Base!R373</f>
        <v>Parcialmente comprometido</v>
      </c>
      <c r="L93" s="7" t="str">
        <f>Base!V373</f>
        <v>No registrado en cartera</v>
      </c>
      <c r="M93" s="7" t="str">
        <f>Base!W373</f>
        <v>No registrado en cartera</v>
      </c>
      <c r="N93" s="7" t="str">
        <f>Base!X373</f>
        <v>No registrado en cartera</v>
      </c>
      <c r="O93" s="7" t="str">
        <f>Base!Y373</f>
        <v>No registrado en cartera</v>
      </c>
      <c r="P93" s="6">
        <f>IF(Base!Z373="","",Base!Z373)</f>
        <v/>
      </c>
      <c r="Q93" s="18" t="str">
        <f>Base!S373</f>
        <v>Parcial</v>
      </c>
      <c r="R93" s="7">
        <f>Base!N373</f>
        <v>85900.0</v>
      </c>
      <c r="S93" s="7">
        <f>Base!T373</f>
        <v>111760.0</v>
      </c>
    </row>
    <row r="94" spans="1:19">
      <c r="A94" s="18">
        <f>SUBTOTAL(103,$B$6:B94)</f>
        <v>83</v>
      </c>
      <c r="B94" s="18">
        <v>477</v>
      </c>
      <c r="C94" s="6" t="str">
        <f>Base!H374</f>
        <v>2723299: MEJORAMIENTO DE LA CAPACIDAD PRODUCTIVA DE HELADOS ARTESANALES A BASE DE GRANOS ANDINOS DEL GRUPO DE PRODUCTORES, COMERCIALIZACION Y TRANSFORMACION DE CEREALES ANDINOS SAN SANTIAGO S.A.C., DEL DISTRITO DE PUNO, PROVINCIA DE PUNO, REGION DE PUNO.</v>
      </c>
      <c r="D94" s="7">
        <f>Base!I374</f>
        <v>350000.0</v>
      </c>
      <c r="E94" s="7">
        <f>Base!J374</f>
        <v>320120.0</v>
      </c>
      <c r="F94" s="7">
        <f>D94-E94</f>
        <v>29880.0</v>
      </c>
      <c r="G94" s="7">
        <f>Base!L374</f>
        <v>86120.0</v>
      </c>
      <c r="H94" s="7">
        <f>D94-G94</f>
        <v>263880.0</v>
      </c>
      <c r="I94" s="19">
        <f>IF(D94=0,0,G94/D94)</f>
        <v>0.24605714285714286</v>
      </c>
      <c r="J94" s="6" t="str">
        <f>Base!U374</f>
        <v>Equipamiento / Contrata</v>
      </c>
      <c r="K94" s="6" t="str">
        <f>Base!R374</f>
        <v>Parcialmente comprometido</v>
      </c>
      <c r="L94" s="7" t="str">
        <f>Base!V374</f>
        <v>No registrado en cartera</v>
      </c>
      <c r="M94" s="7" t="str">
        <f>Base!W374</f>
        <v>No registrado en cartera</v>
      </c>
      <c r="N94" s="7" t="str">
        <f>Base!X374</f>
        <v>No registrado en cartera</v>
      </c>
      <c r="O94" s="7" t="str">
        <f>Base!Y374</f>
        <v>No registrado en cartera</v>
      </c>
      <c r="P94" s="6">
        <f>IF(Base!Z374="","",Base!Z374)</f>
        <v/>
      </c>
      <c r="Q94" s="18" t="str">
        <f>Base!S374</f>
        <v>Parcial</v>
      </c>
      <c r="R94" s="7">
        <f>Base!N374</f>
        <v>234000.0</v>
      </c>
      <c r="S94" s="7">
        <f>Base!T374</f>
        <v>263880.0</v>
      </c>
    </row>
    <row r="95" spans="1:19">
      <c r="A95" s="11" t="s">
        <v>1224</v>
      </c>
      <c r="B95" s="11"/>
      <c r="C95" s="11"/>
      <c r="D95" s="12">
        <f>D96+D100+D102</f>
        <v>18155027.0</v>
      </c>
      <c r="E95" s="12">
        <f>E96+E100+E102</f>
        <v>15578094.31</v>
      </c>
      <c r="F95" s="12">
        <f>D95-E95</f>
        <v>2576932.6899999995</v>
      </c>
      <c r="G95" s="12">
        <f>G96+G100+G102</f>
        <v>8757642.459999999</v>
      </c>
      <c r="H95" s="12">
        <f>D95-G95</f>
        <v>9397384.540000001</v>
      </c>
      <c r="I95" s="13">
        <f>IF(D95=0,0,G95/D95)</f>
        <v>0.4823811311324406</v>
      </c>
      <c r="J95" s="11"/>
      <c r="K95" s="11"/>
      <c r="L95" s="11"/>
      <c r="M95" s="11"/>
      <c r="N95" s="11"/>
      <c r="O95" s="11"/>
      <c r="P95" s="11"/>
      <c r="Q95" s="11"/>
      <c r="R95" s="12">
        <f>R96+R100+R102</f>
        <v>369162.68000000285</v>
      </c>
      <c r="S95" s="12">
        <f>S96+S100+S102</f>
        <v>2946095.3700000015</v>
      </c>
    </row>
    <row r="96" spans="1:19">
      <c r="A96" s="15" t="s">
        <v>1225</v>
      </c>
      <c r="B96" s="15"/>
      <c r="C96" s="15"/>
      <c r="D96" s="16">
        <f>SUM(D97:D99)</f>
        <v>16120710.0</v>
      </c>
      <c r="E96" s="16">
        <f>SUM(E97:E99)</f>
        <v>15413788.110000001</v>
      </c>
      <c r="F96" s="16">
        <f>D96-E96</f>
        <v>706921.8899999987</v>
      </c>
      <c r="G96" s="16">
        <f>SUM(G97:G99)</f>
        <v>8626797.82</v>
      </c>
      <c r="H96" s="16">
        <f>D96-G96</f>
        <v>7493912.18</v>
      </c>
      <c r="I96" s="17">
        <f>IF(D96=0,0,G96/D96)</f>
        <v>0.535137585131176</v>
      </c>
      <c r="J96" s="15"/>
      <c r="K96" s="15"/>
      <c r="L96" s="15"/>
      <c r="M96" s="15"/>
      <c r="N96" s="15"/>
      <c r="O96" s="15"/>
      <c r="P96" s="15"/>
      <c r="Q96" s="15"/>
      <c r="R96" s="16">
        <f>SUM(R97:R99)</f>
        <v>357984.08000000287</v>
      </c>
      <c r="S96" s="16">
        <f>SUM(S97:S99)</f>
        <v>1064905.9700000016</v>
      </c>
    </row>
    <row r="97" spans="1:19">
      <c r="A97" s="18">
        <f>SUBTOTAL(103,$B$6:B97)</f>
        <v>84</v>
      </c>
      <c r="B97" s="18">
        <v>4</v>
      </c>
      <c r="C97" s="6" t="str">
        <f>Base!H375</f>
        <v>2183634: MEJORAMIENTO DE LA DEFENSA RIBEREÑA EN LAS MARGENES DERECHA E IZQUIERDA DEL RIO RAMIS EN LOS TRAMOS DE SACASCO, COLLANA, CHACAMARCA, PATASCACHI, YANAOCO, TUNI GRANDE, RAMIS Y BALSAPATA DE LAS PROVINCIAS DE HUANCANE Y AZANGARO - REGION PUNO</v>
      </c>
      <c r="D97" s="7">
        <f>Base!I375</f>
        <v>10918999.0</v>
      </c>
      <c r="E97" s="7">
        <f>Base!J375</f>
        <v>10451686.22</v>
      </c>
      <c r="F97" s="7">
        <f>D97-E97</f>
        <v>467312.77999999933</v>
      </c>
      <c r="G97" s="7">
        <f>Base!L375</f>
        <v>5853517.839999999</v>
      </c>
      <c r="H97" s="7">
        <f>D97-G97</f>
        <v>5065481.160000001</v>
      </c>
      <c r="I97" s="19">
        <f>IF(D97=0,0,G97/D97)</f>
        <v>0.5360855734119949</v>
      </c>
      <c r="J97" s="6" t="str">
        <f>Base!U375</f>
        <v>Administración directa / Contrata / Personal/bienes/servicios</v>
      </c>
      <c r="K97" s="6" t="str">
        <f>Base!R375</f>
        <v>Mayormente comprometido</v>
      </c>
      <c r="L97" s="7">
        <f>Base!V375</f>
        <v>10517000.0</v>
      </c>
      <c r="M97" s="7">
        <f>Base!W375</f>
        <v>7783178.0</v>
      </c>
      <c r="N97" s="7">
        <f>Base!X375</f>
        <v>1598000.0</v>
      </c>
      <c r="O97" s="7">
        <f>Base!Y375</f>
        <v>2000000.0</v>
      </c>
      <c r="P97" s="6">
        <f>IF(Base!Z375="","",Base!Z375)</f>
        <v/>
      </c>
      <c r="Q97" s="18" t="str">
        <f>Base!S375</f>
        <v>Difícil</v>
      </c>
      <c r="R97" s="7">
        <f>Base!N375</f>
        <v>583.3300000019372</v>
      </c>
      <c r="S97" s="7">
        <f>Base!T375</f>
        <v>467896.11000000127</v>
      </c>
    </row>
    <row r="98" spans="1:19">
      <c r="A98" s="18">
        <f>SUBTOTAL(103,$B$6:B98)</f>
        <v>85</v>
      </c>
      <c r="B98" s="18">
        <v>6</v>
      </c>
      <c r="C98" s="6" t="str">
        <f>Base!H376</f>
        <v>2532916: CREACION DEL SERVICIO DE PROTECCIÓN EN RIBERAS DEL RÍO LORIPONGO Y MOLLA AMBOS MÁRGENES VULNERABLES ANTE EL PELIGRO DE INUNDACIÓN EN LA LOCALIDAD DE LARAQUERI Y CENTRO POBLADO DE HUARIJUYO DEL DISTRITO DE PICHACANI - PROVINCIA DE PUNO - DEPARTAMENTO DE PUNO</v>
      </c>
      <c r="D98" s="7">
        <f>Base!I376</f>
        <v>19658.0</v>
      </c>
      <c r="E98" s="7">
        <f>Base!J376</f>
        <v>3612.0</v>
      </c>
      <c r="F98" s="7">
        <f>D98-E98</f>
        <v>16046.0</v>
      </c>
      <c r="G98" s="7">
        <f>Base!L376</f>
        <v>0.0</v>
      </c>
      <c r="H98" s="7">
        <f>D98-G98</f>
        <v>19658.0</v>
      </c>
      <c r="I98" s="19">
        <f>IF(D98=0,0,G98/D98)</f>
        <v>0.0</v>
      </c>
      <c r="J98" s="6" t="str">
        <f>Base!U376</f>
        <v>Expediente técnico</v>
      </c>
      <c r="K98" s="6" t="str">
        <f>Base!R376</f>
        <v>Solo certificado</v>
      </c>
      <c r="L98" s="7">
        <f>Base!V376</f>
        <v>200000.0</v>
      </c>
      <c r="M98" s="7">
        <f>Base!W376</f>
        <v>2915452.0</v>
      </c>
      <c r="N98" s="7">
        <f>Base!X376</f>
        <v>2124684.0</v>
      </c>
      <c r="O98" s="7">
        <f>Base!Y376</f>
        <v>2000000.0</v>
      </c>
      <c r="P98" s="6">
        <f>IF(Base!Z376="","",Base!Z376)</f>
        <v/>
      </c>
      <c r="Q98" s="18" t="str">
        <f>Base!S376</f>
        <v>Posible</v>
      </c>
      <c r="R98" s="7">
        <f>Base!N376</f>
        <v>3612.0</v>
      </c>
      <c r="S98" s="7">
        <f>Base!T376</f>
        <v>19658.0</v>
      </c>
    </row>
    <row r="99" spans="1:19">
      <c r="A99" s="18">
        <f>SUBTOTAL(103,$B$6:B99)</f>
        <v>86</v>
      </c>
      <c r="B99" s="18">
        <v>303</v>
      </c>
      <c r="C99" s="6" t="str">
        <f>Base!H377</f>
        <v>2520451: CREACION DEL SERVICIO DE PROTECCION EN RIBERAS DEL RIO QUELLOMAYO MARGEN DERECHO VULNERABLES ANTE EL PELIGRO DE INUNDACION EN LA LOCALIDAD DE SAN GABAN, DEL DISTRITO DE SAN GABAN - PROVINCIA DE CARABAYA - DEPARTAMENTO DE PUNO</v>
      </c>
      <c r="D99" s="7">
        <f>Base!I377</f>
        <v>5182053.0</v>
      </c>
      <c r="E99" s="7">
        <f>Base!J377</f>
        <v>4958489.890000001</v>
      </c>
      <c r="F99" s="7">
        <f>D99-E99</f>
        <v>223563.1099999994</v>
      </c>
      <c r="G99" s="7">
        <f>Base!L377</f>
        <v>2773279.980000001</v>
      </c>
      <c r="H99" s="7">
        <f>D99-G99</f>
        <v>2408773.019999999</v>
      </c>
      <c r="I99" s="19">
        <f>IF(D99=0,0,G99/D99)</f>
        <v>0.5351701304482993</v>
      </c>
      <c r="J99" s="6" t="str">
        <f>Base!U377</f>
        <v>Administración directa / Contrata / Personal/bienes/servicios</v>
      </c>
      <c r="K99" s="6" t="str">
        <f>Base!R377</f>
        <v>Mayormente comprometido</v>
      </c>
      <c r="L99" s="7">
        <f>Base!V377</f>
        <v>409040.0</v>
      </c>
      <c r="M99" s="7">
        <f>Base!W377</f>
        <v>29865.0</v>
      </c>
      <c r="N99" s="7">
        <f>Base!X377</f>
        <v>0</v>
      </c>
      <c r="O99" s="7">
        <f>Base!Y377</f>
        <v>0</v>
      </c>
      <c r="P99" s="6">
        <f>IF(Base!Z377="","",Base!Z377)</f>
        <v/>
      </c>
      <c r="Q99" s="18" t="str">
        <f>Base!S377</f>
        <v>Difícil</v>
      </c>
      <c r="R99" s="7">
        <f>Base!N377</f>
        <v>353788.75000000093</v>
      </c>
      <c r="S99" s="7">
        <f>Base!T377</f>
        <v>577351.8600000003</v>
      </c>
    </row>
    <row r="100" spans="1:19">
      <c r="A100" s="15" t="s">
        <v>996</v>
      </c>
      <c r="B100" s="15"/>
      <c r="C100" s="15"/>
      <c r="D100" s="16">
        <f>SUM(D101:D101)</f>
        <v>1800000.0</v>
      </c>
      <c r="E100" s="16">
        <f>SUM(E101:E101)</f>
        <v>26893.0</v>
      </c>
      <c r="F100" s="16">
        <f>D100-E100</f>
        <v>1773107.0</v>
      </c>
      <c r="G100" s="16">
        <f>SUM(G101:G101)</f>
        <v>26892.69</v>
      </c>
      <c r="H100" s="16">
        <f>D100-G100</f>
        <v>1773107.31</v>
      </c>
      <c r="I100" s="17">
        <f>IF(D100=0,0,G100/D100)</f>
        <v>0.014940383333333333</v>
      </c>
      <c r="J100" s="15"/>
      <c r="K100" s="15"/>
      <c r="L100" s="15"/>
      <c r="M100" s="15"/>
      <c r="N100" s="15"/>
      <c r="O100" s="15"/>
      <c r="P100" s="15"/>
      <c r="Q100" s="15"/>
      <c r="R100" s="16">
        <f>SUM(R101:R101)</f>
        <v>0.0</v>
      </c>
      <c r="S100" s="16">
        <f>SUM(S101:S101)</f>
        <v>1773107.0</v>
      </c>
    </row>
    <row r="101" spans="1:19">
      <c r="A101" s="18">
        <f>SUBTOTAL(103,$B$6:B101)</f>
        <v>87</v>
      </c>
      <c r="B101" s="18">
        <v>5</v>
      </c>
      <c r="C101" s="6" t="str">
        <f>Base!H378</f>
        <v>2474102: MEJORAMIENTO DEL SERVICIO DE PROTECCIÓN FRENTE A TORMENTAS ELÉCTRICAS EN 4 PROVINCIAS DEL DEPARTAMENTO DE PUNO</v>
      </c>
      <c r="D101" s="7">
        <f>Base!I378</f>
        <v>1800000.0</v>
      </c>
      <c r="E101" s="7">
        <f>Base!J378</f>
        <v>26893.0</v>
      </c>
      <c r="F101" s="7">
        <f>D101-E101</f>
        <v>1773107.0</v>
      </c>
      <c r="G101" s="7">
        <f>Base!L378</f>
        <v>26892.69</v>
      </c>
      <c r="H101" s="7">
        <f>D101-G101</f>
        <v>1773107.31</v>
      </c>
      <c r="I101" s="19">
        <f>IF(D101=0,0,G101/D101)</f>
        <v>0.014940383333333333</v>
      </c>
      <c r="J101" s="6" t="str">
        <f>Base!U378</f>
        <v>Personal/bienes/servicios / Contrata / Equipamiento / Expediente técnico</v>
      </c>
      <c r="K101" s="6" t="str">
        <f>Base!R378</f>
        <v>Parcialmente comprometido</v>
      </c>
      <c r="L101" s="7">
        <f>Base!V378</f>
        <v>300000.0</v>
      </c>
      <c r="M101" s="7">
        <f>Base!W378</f>
        <v>4508196.0</v>
      </c>
      <c r="N101" s="7">
        <f>Base!X378</f>
        <v>5000000.0</v>
      </c>
      <c r="O101" s="7">
        <f>Base!Y378</f>
        <v>1000000.0</v>
      </c>
      <c r="P101" s="6">
        <f>IF(Base!Z378="","",Base!Z378)</f>
        <v/>
      </c>
      <c r="Q101" s="18" t="str">
        <f>Base!S378</f>
        <v>Parcial</v>
      </c>
      <c r="R101" s="7">
        <f>Base!N378</f>
        <v>0.0</v>
      </c>
      <c r="S101" s="7">
        <f>Base!T378</f>
        <v>1773107.0</v>
      </c>
    </row>
    <row r="102" spans="1:19">
      <c r="A102" s="15" t="s">
        <v>960</v>
      </c>
      <c r="B102" s="15"/>
      <c r="C102" s="15"/>
      <c r="D102" s="16">
        <f>SUM(D103:D109)</f>
        <v>234317.0</v>
      </c>
      <c r="E102" s="16">
        <f>SUM(E103:E109)</f>
        <v>137413.2</v>
      </c>
      <c r="F102" s="16">
        <f>D102-E102</f>
        <v>96903.79999999999</v>
      </c>
      <c r="G102" s="16">
        <f>SUM(G103:G109)</f>
        <v>103951.95</v>
      </c>
      <c r="H102" s="16">
        <f>D102-G102</f>
        <v>130365.05</v>
      </c>
      <c r="I102" s="17">
        <f>IF(D102=0,0,G102/D102)</f>
        <v>0.4436381056432098</v>
      </c>
      <c r="J102" s="15"/>
      <c r="K102" s="15"/>
      <c r="L102" s="15"/>
      <c r="M102" s="15"/>
      <c r="N102" s="15"/>
      <c r="O102" s="15"/>
      <c r="P102" s="15"/>
      <c r="Q102" s="15"/>
      <c r="R102" s="16">
        <f>SUM(R103:R109)</f>
        <v>11178.599999999991</v>
      </c>
      <c r="S102" s="16">
        <f>SUM(S103:S109)</f>
        <v>108082.4</v>
      </c>
    </row>
    <row r="103" spans="1:19">
      <c r="A103" s="18">
        <f>SUBTOTAL(103,$B$6:B103)</f>
        <v>88</v>
      </c>
      <c r="B103" s="18">
        <v>7</v>
      </c>
      <c r="C103" s="6" t="str">
        <f>Base!H379</f>
        <v>2533866: RECUPERACION DE ECOSISTEMAS DEGRADADOS POR VERTIMIENTO DE AGUAS RESIDUALES Y RESIDUOS SOLIDOS EN LA DESEMBOCADURA DEL RIO COATA, EN LOS DISTRITOS DE HUATA, COATA, CAPACHICA, JULIACA Y SAN MIGUEL EN LAS PROVINCIAS DE PUNO Y SAN ROMAN DEL  DEPARTAMENTO DE PUNO</v>
      </c>
      <c r="D103" s="7">
        <f>Base!I379</f>
        <v>32099.0</v>
      </c>
      <c r="E103" s="7">
        <f>Base!J379</f>
        <v>0.0</v>
      </c>
      <c r="F103" s="7">
        <f>D103-E103</f>
        <v>32099.0</v>
      </c>
      <c r="G103" s="7">
        <f>Base!L379</f>
        <v>0.0</v>
      </c>
      <c r="H103" s="7">
        <f>D103-G103</f>
        <v>32099.0</v>
      </c>
      <c r="I103" s="19">
        <f>IF(D103=0,0,G103/D103)</f>
        <v>0.0</v>
      </c>
      <c r="J103" s="6" t="str">
        <f>Base!U379</f>
        <v>Contrata</v>
      </c>
      <c r="K103" s="6" t="str">
        <f>Base!R379</f>
        <v>Sin certificar</v>
      </c>
      <c r="L103" s="7">
        <f>Base!V379</f>
        <v>500000.0</v>
      </c>
      <c r="M103" s="7">
        <f>Base!W379</f>
        <v>0</v>
      </c>
      <c r="N103" s="7">
        <f>Base!X379</f>
        <v>0</v>
      </c>
      <c r="O103" s="7">
        <f>Base!Y379</f>
        <v>0</v>
      </c>
      <c r="P103" s="6">
        <f>IF(Base!Z379="","",Base!Z379)</f>
        <v/>
      </c>
      <c r="Q103" s="18" t="str">
        <f>Base!S379</f>
        <v>Disponible</v>
      </c>
      <c r="R103" s="7">
        <f>Base!N379</f>
        <v>0.0</v>
      </c>
      <c r="S103" s="7">
        <f>Base!T379</f>
        <v>32099.0</v>
      </c>
    </row>
    <row r="104" spans="1:19">
      <c r="A104" s="18">
        <f>SUBTOTAL(103,$B$6:B104)</f>
        <v>89</v>
      </c>
      <c r="B104" s="18">
        <v>152</v>
      </c>
      <c r="C104" s="6" t="str">
        <f>Base!H380</f>
        <v>2250970: MEJORAMIENTO DEL SERVICIO DE CONSERVACION DE LA DIVERSIDAD BIOLOGICA EN SELVA VERDE, SAN GABAN, PUNTA PERDIDA, COTACUCHO, PUNO, JUCUMARINI, CUSHINI, RIO CONDOR, RIO TAVARA, Y PACO PACUNI, DISTRITOS DE AYAPATA, SAN GABAN, SANTA ROSA, VILQUE CHICO-PUNO</v>
      </c>
      <c r="D104" s="7">
        <f>Base!I380</f>
        <v>30000.0</v>
      </c>
      <c r="E104" s="7">
        <f>Base!J380</f>
        <v>23434.0</v>
      </c>
      <c r="F104" s="7">
        <f>D104-E104</f>
        <v>6566.0</v>
      </c>
      <c r="G104" s="7">
        <f>Base!L380</f>
        <v>13106.35</v>
      </c>
      <c r="H104" s="7">
        <f>D104-G104</f>
        <v>16893.65</v>
      </c>
      <c r="I104" s="19">
        <f>IF(D104=0,0,G104/D104)</f>
        <v>0.43687833333333337</v>
      </c>
      <c r="J104" s="6" t="str">
        <f>Base!U380</f>
        <v>Contrata / Personal/bienes/servicios</v>
      </c>
      <c r="K104" s="6" t="str">
        <f>Base!R380</f>
        <v>Mayormente comprometido</v>
      </c>
      <c r="L104" s="7">
        <f>Base!V380</f>
        <v>2080646.0</v>
      </c>
      <c r="M104" s="7">
        <f>Base!W380</f>
        <v>70728.0</v>
      </c>
      <c r="N104" s="7">
        <f>Base!X380</f>
        <v>300000.0</v>
      </c>
      <c r="O104" s="7">
        <f>Base!Y380</f>
        <v>300000.0</v>
      </c>
      <c r="P104" s="6">
        <f>IF(Base!Z380="","",Base!Z380)</f>
        <v/>
      </c>
      <c r="Q104" s="18" t="str">
        <f>Base!S380</f>
        <v>Difícil</v>
      </c>
      <c r="R104" s="7">
        <f>Base!N380</f>
        <v>0.0</v>
      </c>
      <c r="S104" s="7">
        <f>Base!T380</f>
        <v>6566.0</v>
      </c>
    </row>
    <row r="105" spans="1:19">
      <c r="A105" s="18">
        <f>SUBTOTAL(103,$B$6:B105)</f>
        <v>90</v>
      </c>
      <c r="B105" s="18">
        <v>154</v>
      </c>
      <c r="C105" s="6" t="str">
        <f>Base!H381</f>
        <v>2631070: RECUPERACION DE LOS SERVICIOS ECOSISTÉMICOS  EN 19 UNIDADES PRODUCTORAS  19 DISTRITOS  DE 13 PROVINCIAS DEL DEPARTAMENTO DE PUNO</v>
      </c>
      <c r="D105" s="7">
        <f>Base!I381</f>
        <v>90586.0</v>
      </c>
      <c r="E105" s="7">
        <f>Base!J381</f>
        <v>90435.2</v>
      </c>
      <c r="F105" s="7">
        <f>D105-E105</f>
        <v>150.8000000000029</v>
      </c>
      <c r="G105" s="7">
        <f>Base!L381</f>
        <v>78301.59999999999</v>
      </c>
      <c r="H105" s="7">
        <f>D105-G105</f>
        <v>12284.400000000009</v>
      </c>
      <c r="I105" s="19">
        <f>IF(D105=0,0,G105/D105)</f>
        <v>0.8643896407833439</v>
      </c>
      <c r="J105" s="6" t="str">
        <f>Base!U381</f>
        <v>Expediente técnico</v>
      </c>
      <c r="K105" s="6" t="str">
        <f>Base!R381</f>
        <v>Mayormente comprometido</v>
      </c>
      <c r="L105" s="7">
        <f>Base!V381</f>
        <v>100000.0</v>
      </c>
      <c r="M105" s="7">
        <f>Base!W381</f>
        <v>0</v>
      </c>
      <c r="N105" s="7">
        <f>Base!X381</f>
        <v>2000000.0</v>
      </c>
      <c r="O105" s="7">
        <f>Base!Y381</f>
        <v>2000000.0</v>
      </c>
      <c r="P105" s="6">
        <f>IF(Base!Z381="","",Base!Z381)</f>
        <v/>
      </c>
      <c r="Q105" s="18" t="str">
        <f>Base!S381</f>
        <v>Difícil</v>
      </c>
      <c r="R105" s="7">
        <f>Base!N381</f>
        <v>178.59999999999127</v>
      </c>
      <c r="S105" s="7">
        <f>Base!T381</f>
        <v>329.3999999999942</v>
      </c>
    </row>
    <row r="106" spans="1:19">
      <c r="A106" s="18">
        <f>SUBTOTAL(103,$B$6:B106)</f>
        <v>91</v>
      </c>
      <c r="B106" s="18">
        <v>250</v>
      </c>
      <c r="C106" s="6" t="str">
        <f>Base!H382</f>
        <v>2549395: RECUPERACION DE ECOSISTEMAS DEGRADADOS EN LAS UNIDADES HIDROGRAFICAS:  LLALLIMAYO DE LA UH 018 PUCARA  Y UH 019 AZANGARO, DE LA CUENCA RAMIS DEL DEPARTAMENTO DE PUNO, REGION PUNO 5 PROVINCIAS DEL DEPARTAMENTO DE PUNO</v>
      </c>
      <c r="D106" s="7">
        <f>Base!I382</f>
        <v>0.0</v>
      </c>
      <c r="E106" s="7">
        <f>Base!J382</f>
        <v>0.0</v>
      </c>
      <c r="F106" s="7">
        <f>D106-E106</f>
        <v>0.0</v>
      </c>
      <c r="G106" s="7">
        <f>Base!L382</f>
        <v>0.0</v>
      </c>
      <c r="H106" s="7">
        <f>D106-G106</f>
        <v>0.0</v>
      </c>
      <c r="I106" s="19">
        <f>IF(D106=0,0,G106/D106)</f>
        <v>0</v>
      </c>
      <c r="J106" s="6" t="str">
        <f>Base!U382</f>
        <v>Contrata</v>
      </c>
      <c r="K106" s="6" t="str">
        <f>Base!R382</f>
        <v>Sin PIM</v>
      </c>
      <c r="L106" s="7">
        <f>Base!V382</f>
        <v>800000.0</v>
      </c>
      <c r="M106" s="7">
        <f>Base!W382</f>
        <v>0</v>
      </c>
      <c r="N106" s="7">
        <f>Base!X382</f>
        <v>0</v>
      </c>
      <c r="O106" s="7">
        <f>Base!Y382</f>
        <v>0</v>
      </c>
      <c r="P106" s="6">
        <f>IF(Base!Z382="","",Base!Z382)</f>
        <v/>
      </c>
      <c r="Q106" s="18" t="str">
        <f>Base!S382</f>
        <v>Sin PIM</v>
      </c>
      <c r="R106" s="7">
        <f>Base!N382</f>
        <v>0.0</v>
      </c>
      <c r="S106" s="7">
        <f>Base!T382</f>
        <v>0.0</v>
      </c>
    </row>
    <row r="107" spans="1:19">
      <c r="A107" s="18">
        <f>SUBTOTAL(103,$B$6:B107)</f>
        <v>92</v>
      </c>
      <c r="B107" s="18">
        <v>253</v>
      </c>
      <c r="C107" s="6" t="str">
        <f>Base!H383</f>
        <v>2566295: RECUPERACION DE ECOSISTEMAS DEGRADADOS EN ZONAS ALTO ANDINAS EN CABECERA DE CUENCA DE LAS UH0172, UH0178 Y UH0171 CUENCA SUCHES EN 4 PROVINCIAS DEL DEPARTAMENTO DE PUNO</v>
      </c>
      <c r="D107" s="7">
        <f>Base!I383</f>
        <v>0.0</v>
      </c>
      <c r="E107" s="7">
        <f>Base!J383</f>
        <v>0.0</v>
      </c>
      <c r="F107" s="7">
        <f>D107-E107</f>
        <v>0.0</v>
      </c>
      <c r="G107" s="7">
        <f>Base!L383</f>
        <v>0.0</v>
      </c>
      <c r="H107" s="7">
        <f>D107-G107</f>
        <v>0.0</v>
      </c>
      <c r="I107" s="19">
        <f>IF(D107=0,0,G107/D107)</f>
        <v>0</v>
      </c>
      <c r="J107" s="6" t="str">
        <f>Base!U383</f>
        <v>Personal/bienes/servicios</v>
      </c>
      <c r="K107" s="6" t="str">
        <f>Base!R383</f>
        <v>Sin PIM</v>
      </c>
      <c r="L107" s="7">
        <f>Base!V383</f>
        <v>200000.0</v>
      </c>
      <c r="M107" s="7">
        <f>Base!W383</f>
        <v>0</v>
      </c>
      <c r="N107" s="7">
        <f>Base!X383</f>
        <v>0</v>
      </c>
      <c r="O107" s="7">
        <f>Base!Y383</f>
        <v>0</v>
      </c>
      <c r="P107" s="6">
        <f>IF(Base!Z383="","",Base!Z383)</f>
        <v/>
      </c>
      <c r="Q107" s="18" t="str">
        <f>Base!S383</f>
        <v>Sin PIM</v>
      </c>
      <c r="R107" s="7">
        <f>Base!N383</f>
        <v>0.0</v>
      </c>
      <c r="S107" s="7">
        <f>Base!T383</f>
        <v>0.0</v>
      </c>
    </row>
    <row r="108" spans="1:19">
      <c r="A108" s="18">
        <f>SUBTOTAL(103,$B$6:B108)</f>
        <v>93</v>
      </c>
      <c r="B108" s="18">
        <v>465</v>
      </c>
      <c r="C108" s="6" t="str">
        <f>Base!H384</f>
        <v>2260735: MEJORAMIENTO DE LA GESTION INTEGRADA DE LOS RECURSOS HIDRICOS EN CUENCAS DE LA REGION PUNO</v>
      </c>
      <c r="D108" s="7">
        <f>Base!I384</f>
        <v>70632.0</v>
      </c>
      <c r="E108" s="7">
        <f>Base!J384</f>
        <v>12544.0</v>
      </c>
      <c r="F108" s="7">
        <f>D108-E108</f>
        <v>58088.0</v>
      </c>
      <c r="G108" s="7">
        <f>Base!L384</f>
        <v>12544.0</v>
      </c>
      <c r="H108" s="7">
        <f>D108-G108</f>
        <v>58088.0</v>
      </c>
      <c r="I108" s="19">
        <f>IF(D108=0,0,G108/D108)</f>
        <v>0.17759655680144976</v>
      </c>
      <c r="J108" s="6" t="str">
        <f>Base!U384</f>
        <v>Contrata / Personal/bienes/servicios</v>
      </c>
      <c r="K108" s="6" t="str">
        <f>Base!R384</f>
        <v>Parcialmente comprometido</v>
      </c>
      <c r="L108" s="7">
        <f>Base!V384</f>
        <v>70632.0</v>
      </c>
      <c r="M108" s="7">
        <f>Base!W384</f>
        <v>0</v>
      </c>
      <c r="N108" s="7">
        <f>Base!X384</f>
        <v>0</v>
      </c>
      <c r="O108" s="7">
        <f>Base!Y384</f>
        <v>0</v>
      </c>
      <c r="P108" s="6">
        <f>IF(Base!Z384="","",Base!Z384)</f>
        <v/>
      </c>
      <c r="Q108" s="18" t="str">
        <f>Base!S384</f>
        <v>Parcial</v>
      </c>
      <c r="R108" s="7">
        <f>Base!N384</f>
        <v>0.0</v>
      </c>
      <c r="S108" s="7">
        <f>Base!T384</f>
        <v>58088.0</v>
      </c>
    </row>
    <row r="109" spans="1:19">
      <c r="A109" s="18">
        <f>SUBTOTAL(103,$B$6:B109)</f>
        <v>94</v>
      </c>
      <c r="B109" s="18">
        <v>471</v>
      </c>
      <c r="C109" s="6" t="str">
        <f>Base!H385</f>
        <v>2684838: MEJORAMIENTO Y AMPLIACION DEL SERVICIO DE LIMPIEZA PÚBLICA EN 7 UNIDADES PRODUCTORAS  7 DISTRITOS  DE LA PROVINCIA DE MELGAR DEL DEPARTAMENTO DE PUNO</v>
      </c>
      <c r="D109" s="7">
        <f>Base!I385</f>
        <v>11000.0</v>
      </c>
      <c r="E109" s="7">
        <f>Base!J385</f>
        <v>11000.0</v>
      </c>
      <c r="F109" s="7">
        <f>D109-E109</f>
        <v>0.0</v>
      </c>
      <c r="G109" s="7">
        <f>Base!L385</f>
        <v>0.0</v>
      </c>
      <c r="H109" s="7">
        <f>D109-G109</f>
        <v>11000.0</v>
      </c>
      <c r="I109" s="19">
        <f>IF(D109=0,0,G109/D109)</f>
        <v>0.0</v>
      </c>
      <c r="J109" s="6" t="str">
        <f>Base!U385</f>
        <v>Contrata / Administración directa</v>
      </c>
      <c r="K109" s="6" t="str">
        <f>Base!R385</f>
        <v>Solo certificado</v>
      </c>
      <c r="L109" s="7">
        <f>Base!V385</f>
        <v>11000.0</v>
      </c>
      <c r="M109" s="7">
        <f>Base!W385</f>
        <v>164792.0</v>
      </c>
      <c r="N109" s="7">
        <f>Base!X385</f>
        <v>9322563.0</v>
      </c>
      <c r="O109" s="7">
        <f>Base!Y385</f>
        <v>9322563.0</v>
      </c>
      <c r="P109" s="6">
        <f>IF(Base!Z385="","",Base!Z385)</f>
        <v/>
      </c>
      <c r="Q109" s="18" t="str">
        <f>Base!S385</f>
        <v>Posible</v>
      </c>
      <c r="R109" s="7">
        <f>Base!N385</f>
        <v>11000.0</v>
      </c>
      <c r="S109" s="7">
        <f>Base!T385</f>
        <v>11000.0</v>
      </c>
    </row>
    <row r="110" spans="1:19">
      <c r="A110" s="11" t="s">
        <v>1261</v>
      </c>
      <c r="B110" s="11"/>
      <c r="C110" s="11"/>
      <c r="D110" s="12">
        <f>D111</f>
        <v>13183082.0</v>
      </c>
      <c r="E110" s="12">
        <f>E111</f>
        <v>12706540.85</v>
      </c>
      <c r="F110" s="12">
        <f>D110-E110</f>
        <v>476541.1500000004</v>
      </c>
      <c r="G110" s="12">
        <f>G111</f>
        <v>3714211.519999999</v>
      </c>
      <c r="H110" s="12">
        <f>D110-G110</f>
        <v>9468870.48</v>
      </c>
      <c r="I110" s="13">
        <f>IF(D110=0,0,G110/D110)</f>
        <v>0.28174075834467227</v>
      </c>
      <c r="J110" s="11"/>
      <c r="K110" s="11"/>
      <c r="L110" s="11"/>
      <c r="M110" s="11"/>
      <c r="N110" s="11"/>
      <c r="O110" s="11"/>
      <c r="P110" s="11"/>
      <c r="Q110" s="11"/>
      <c r="R110" s="12">
        <f>R111</f>
        <v>6205893.729999999</v>
      </c>
      <c r="S110" s="12">
        <f>S111</f>
        <v>6651033.819999999</v>
      </c>
    </row>
    <row r="111" spans="1:19">
      <c r="A111" s="15" t="s">
        <v>271</v>
      </c>
      <c r="B111" s="15"/>
      <c r="C111" s="15"/>
      <c r="D111" s="16">
        <f>SUM(D112:D114)</f>
        <v>13183082.0</v>
      </c>
      <c r="E111" s="16">
        <f>SUM(E112:E114)</f>
        <v>12706540.85</v>
      </c>
      <c r="F111" s="16">
        <f>D111-E111</f>
        <v>476541.1500000004</v>
      </c>
      <c r="G111" s="16">
        <f>SUM(G112:G114)</f>
        <v>3714211.519999999</v>
      </c>
      <c r="H111" s="16">
        <f>D111-G111</f>
        <v>9468870.48</v>
      </c>
      <c r="I111" s="17">
        <f>IF(D111=0,0,G111/D111)</f>
        <v>0.28174075834467227</v>
      </c>
      <c r="J111" s="15"/>
      <c r="K111" s="15"/>
      <c r="L111" s="15"/>
      <c r="M111" s="15"/>
      <c r="N111" s="15"/>
      <c r="O111" s="15"/>
      <c r="P111" s="15"/>
      <c r="Q111" s="15"/>
      <c r="R111" s="16">
        <f>SUM(R112:R114)</f>
        <v>6205893.729999999</v>
      </c>
      <c r="S111" s="16">
        <f>SUM(S112:S114)</f>
        <v>6651033.819999999</v>
      </c>
    </row>
    <row r="112" spans="1:19">
      <c r="A112" s="18">
        <f>SUBTOTAL(103,$B$6:B112)</f>
        <v>95</v>
      </c>
      <c r="B112" s="18">
        <v>59</v>
      </c>
      <c r="C112" s="6" t="str">
        <f>Base!H386</f>
        <v>2324613: MEJORAMIENTO DE LAS CAPACIDADES TECNOLÓGICAS EN EL MANEJO DE CADENA PRODUCTIVA DE TRUCHA EN LA REGIÓN PUNO</v>
      </c>
      <c r="D112" s="7">
        <f>Base!I386</f>
        <v>550560.0</v>
      </c>
      <c r="E112" s="7">
        <f>Base!J386</f>
        <v>519500.0</v>
      </c>
      <c r="F112" s="7">
        <f>D112-E112</f>
        <v>31060.0</v>
      </c>
      <c r="G112" s="7">
        <f>Base!L386</f>
        <v>517920.09</v>
      </c>
      <c r="H112" s="7">
        <f>D112-G112</f>
        <v>32639.909999999974</v>
      </c>
      <c r="I112" s="19">
        <f>IF(D112=0,0,G112/D112)</f>
        <v>0.9407150719267655</v>
      </c>
      <c r="J112" s="6" t="str">
        <f>Base!U386</f>
        <v>Personal/bienes/servicios / Contrata</v>
      </c>
      <c r="K112" s="6" t="str">
        <f>Base!R386</f>
        <v>Ejecutado</v>
      </c>
      <c r="L112" s="7">
        <f>Base!V386</f>
        <v>100560.0</v>
      </c>
      <c r="M112" s="7">
        <f>Base!W386</f>
        <v>93700.0</v>
      </c>
      <c r="N112" s="7">
        <f>Base!X386</f>
        <v>0</v>
      </c>
      <c r="O112" s="7">
        <f>Base!Y386</f>
        <v>0</v>
      </c>
      <c r="P112" s="6">
        <f>IF(Base!Z386="","",Base!Z386)</f>
        <v/>
      </c>
      <c r="Q112" s="18" t="str">
        <f>Base!S386</f>
        <v>No usar</v>
      </c>
      <c r="R112" s="7">
        <f>Base!N386</f>
        <v>341.0599999999977</v>
      </c>
      <c r="S112" s="7">
        <f>Base!T386</f>
        <v>0.0</v>
      </c>
    </row>
    <row r="113" spans="1:19">
      <c r="A113" s="18">
        <f>SUBTOTAL(103,$B$6:B113)</f>
        <v>96</v>
      </c>
      <c r="B113" s="18">
        <v>60</v>
      </c>
      <c r="C113" s="6" t="str">
        <f>Base!H387</f>
        <v>2603148: MEJORAMIENTO DE LOS SERVICIOS DE APOYO AL DESARROLLO PRODUCTIVO EN 19 UNIDADES PRODUCTORAS 19 DISTRITOS DE 7 PROVINCIAS DEL DEPARTAMENTO DE PUNO</v>
      </c>
      <c r="D113" s="7">
        <f>Base!I387</f>
        <v>12532522.0</v>
      </c>
      <c r="E113" s="7">
        <f>Base!J387</f>
        <v>12187040.85</v>
      </c>
      <c r="F113" s="7">
        <f>D113-E113</f>
        <v>345481.1500000004</v>
      </c>
      <c r="G113" s="7">
        <f>Base!L387</f>
        <v>3196291.4299999992</v>
      </c>
      <c r="H113" s="7">
        <f>D113-G113</f>
        <v>9336230.57</v>
      </c>
      <c r="I113" s="19">
        <f>IF(D113=0,0,G113/D113)</f>
        <v>0.25503976214843266</v>
      </c>
      <c r="J113" s="6" t="str">
        <f>Base!U387</f>
        <v>Administración directa / Personal/bienes/servicios / Contrata / Equipamiento</v>
      </c>
      <c r="K113" s="6" t="str">
        <f>Base!R387</f>
        <v>Parcialmente comprometido</v>
      </c>
      <c r="L113" s="7">
        <f>Base!V387</f>
        <v>1000000.0</v>
      </c>
      <c r="M113" s="7">
        <f>Base!W387</f>
        <v>4832260.0</v>
      </c>
      <c r="N113" s="7">
        <f>Base!X387</f>
        <v>1000000.0</v>
      </c>
      <c r="O113" s="7">
        <f>Base!Y387</f>
        <v>1000000.0</v>
      </c>
      <c r="P113" s="6">
        <f>IF(Base!Z387="","",Base!Z387)</f>
        <v/>
      </c>
      <c r="Q113" s="18" t="str">
        <f>Base!S387</f>
        <v>Parcial</v>
      </c>
      <c r="R113" s="7">
        <f>Base!N387</f>
        <v>6205552.669999999</v>
      </c>
      <c r="S113" s="7">
        <f>Base!T387</f>
        <v>6551033.819999999</v>
      </c>
    </row>
    <row r="114" spans="1:19">
      <c r="A114" s="18">
        <f>SUBTOTAL(103,$B$6:B114)</f>
        <v>97</v>
      </c>
      <c r="B114" s="18">
        <v>61</v>
      </c>
      <c r="C114" s="6" t="str">
        <f>Base!H388</f>
        <v>2603160: MEJORAMIENTO DE LOS SERVICIOS DE APOYO AL DESARROLLO PRODUCTIVO EN 4 UNIDADES PRODUCTORAS  4 DISTRITOS  DE LAS PROVINCIAS DE SANDIA, CARABAYA DEL DEPARTAMENTO DE PUNO</v>
      </c>
      <c r="D114" s="7">
        <f>Base!I388</f>
        <v>100000.0</v>
      </c>
      <c r="E114" s="7">
        <f>Base!J388</f>
        <v>0.0</v>
      </c>
      <c r="F114" s="7">
        <f>D114-E114</f>
        <v>100000.0</v>
      </c>
      <c r="G114" s="7">
        <f>Base!L388</f>
        <v>0.0</v>
      </c>
      <c r="H114" s="7">
        <f>D114-G114</f>
        <v>100000.0</v>
      </c>
      <c r="I114" s="19">
        <f>IF(D114=0,0,G114/D114)</f>
        <v>0.0</v>
      </c>
      <c r="J114" s="6" t="str">
        <f>Base!U388</f>
        <v>Personal/bienes/servicios</v>
      </c>
      <c r="K114" s="6" t="str">
        <f>Base!R388</f>
        <v>Sin certificar</v>
      </c>
      <c r="L114" s="7">
        <f>Base!V388</f>
        <v>100000.0</v>
      </c>
      <c r="M114" s="7">
        <f>Base!W388</f>
        <v>0</v>
      </c>
      <c r="N114" s="7">
        <f>Base!X388</f>
        <v>0</v>
      </c>
      <c r="O114" s="7">
        <f>Base!Y388</f>
        <v>0</v>
      </c>
      <c r="P114" s="6">
        <f>IF(Base!Z388="","",Base!Z388)</f>
        <v/>
      </c>
      <c r="Q114" s="18" t="str">
        <f>Base!S388</f>
        <v>Disponible</v>
      </c>
      <c r="R114" s="7">
        <f>Base!N388</f>
        <v>0.0</v>
      </c>
      <c r="S114" s="7">
        <f>Base!T388</f>
        <v>100000.0</v>
      </c>
    </row>
    <row r="115" spans="1:19">
      <c r="A115" s="11" t="s">
        <v>1274</v>
      </c>
      <c r="B115" s="11"/>
      <c r="C115" s="11"/>
      <c r="D115" s="12">
        <f>D116+D118</f>
        <v>5603985.0</v>
      </c>
      <c r="E115" s="12">
        <f>E116+E118</f>
        <v>5402769.95</v>
      </c>
      <c r="F115" s="12">
        <f>D115-E115</f>
        <v>201215.0499999998</v>
      </c>
      <c r="G115" s="12">
        <f>G116+G118</f>
        <v>3499541.36</v>
      </c>
      <c r="H115" s="12">
        <f>D115-G115</f>
        <v>2104443.64</v>
      </c>
      <c r="I115" s="13">
        <f>IF(D115=0,0,G115/D115)</f>
        <v>0.6244737200402928</v>
      </c>
      <c r="J115" s="11"/>
      <c r="K115" s="11"/>
      <c r="L115" s="11"/>
      <c r="M115" s="11"/>
      <c r="N115" s="11"/>
      <c r="O115" s="11"/>
      <c r="P115" s="11"/>
      <c r="Q115" s="11"/>
      <c r="R115" s="12">
        <f>R116+R118</f>
        <v>1324600.5100000007</v>
      </c>
      <c r="S115" s="12">
        <f>S116+S118</f>
        <v>1522323.6700000004</v>
      </c>
    </row>
    <row r="116" spans="1:19">
      <c r="A116" s="15" t="s">
        <v>271</v>
      </c>
      <c r="B116" s="15"/>
      <c r="C116" s="15"/>
      <c r="D116" s="16">
        <f>SUM(D117:D117)</f>
        <v>1332387.0</v>
      </c>
      <c r="E116" s="16">
        <f>SUM(E117:E117)</f>
        <v>1332216.6099999999</v>
      </c>
      <c r="F116" s="16">
        <f>D116-E116</f>
        <v>170.39000000013039</v>
      </c>
      <c r="G116" s="16">
        <f>SUM(G117:G117)</f>
        <v>1212326.0</v>
      </c>
      <c r="H116" s="16">
        <f>D116-G116</f>
        <v>120061.0</v>
      </c>
      <c r="I116" s="17">
        <f>IF(D116=0,0,G116/D116)</f>
        <v>0.9098902946366183</v>
      </c>
      <c r="J116" s="15"/>
      <c r="K116" s="15"/>
      <c r="L116" s="15"/>
      <c r="M116" s="15"/>
      <c r="N116" s="15"/>
      <c r="O116" s="15"/>
      <c r="P116" s="15"/>
      <c r="Q116" s="15"/>
      <c r="R116" s="16">
        <f>SUM(R117:R117)</f>
        <v>3321.5</v>
      </c>
      <c r="S116" s="16">
        <f>SUM(S117:S117)</f>
        <v>0.0</v>
      </c>
    </row>
    <row r="117" spans="1:19">
      <c r="A117" s="18">
        <f>SUBTOTAL(103,$B$6:B117)</f>
        <v>98</v>
      </c>
      <c r="B117" s="18">
        <v>218</v>
      </c>
      <c r="C117" s="6" t="str">
        <f>Base!H389</f>
        <v>2187217: MEJORAMIENTO DE LA CADENA DE VALOR DE LA FIBRA DE ALPACA EN LA REGION PUNO</v>
      </c>
      <c r="D117" s="7">
        <f>Base!I389</f>
        <v>1332387.0</v>
      </c>
      <c r="E117" s="7">
        <f>Base!J389</f>
        <v>1332216.6099999999</v>
      </c>
      <c r="F117" s="7">
        <f>D117-E117</f>
        <v>170.39000000013039</v>
      </c>
      <c r="G117" s="7">
        <f>Base!L389</f>
        <v>1212326.0</v>
      </c>
      <c r="H117" s="7">
        <f>D117-G117</f>
        <v>120061.0</v>
      </c>
      <c r="I117" s="19">
        <f>IF(D117=0,0,G117/D117)</f>
        <v>0.9098902946366183</v>
      </c>
      <c r="J117" s="6" t="str">
        <f>Base!U389</f>
        <v>Contrata / Personal/bienes/servicios</v>
      </c>
      <c r="K117" s="6" t="str">
        <f>Base!R389</f>
        <v>Ejecutado</v>
      </c>
      <c r="L117" s="7">
        <f>Base!V389</f>
        <v>630478.0</v>
      </c>
      <c r="M117" s="7">
        <f>Base!W389</f>
        <v>188781.0</v>
      </c>
      <c r="N117" s="7">
        <f>Base!X389</f>
        <v>2845395.0</v>
      </c>
      <c r="O117" s="7">
        <f>Base!Y389</f>
        <v>2772809.0</v>
      </c>
      <c r="P117" s="6">
        <f>IF(Base!Z389="","",Base!Z389)</f>
        <v/>
      </c>
      <c r="Q117" s="18" t="str">
        <f>Base!S389</f>
        <v>No usar</v>
      </c>
      <c r="R117" s="7">
        <f>Base!N389</f>
        <v>3321.5</v>
      </c>
      <c r="S117" s="7">
        <f>Base!T389</f>
        <v>0.0</v>
      </c>
    </row>
    <row r="118" spans="1:19">
      <c r="A118" s="15" t="s">
        <v>996</v>
      </c>
      <c r="B118" s="15"/>
      <c r="C118" s="15"/>
      <c r="D118" s="16">
        <f>SUM(D119:D119)</f>
        <v>4271598.0</v>
      </c>
      <c r="E118" s="16">
        <f>SUM(E119:E119)</f>
        <v>4070553.3400000003</v>
      </c>
      <c r="F118" s="16">
        <f>D118-E118</f>
        <v>201044.65999999968</v>
      </c>
      <c r="G118" s="16">
        <f>SUM(G119:G119)</f>
        <v>2287215.36</v>
      </c>
      <c r="H118" s="16">
        <f>D118-G118</f>
        <v>1984382.6400000001</v>
      </c>
      <c r="I118" s="17">
        <f>IF(D118=0,0,G118/D118)</f>
        <v>0.5354472401195056</v>
      </c>
      <c r="J118" s="15"/>
      <c r="K118" s="15"/>
      <c r="L118" s="15"/>
      <c r="M118" s="15"/>
      <c r="N118" s="15"/>
      <c r="O118" s="15"/>
      <c r="P118" s="15"/>
      <c r="Q118" s="15"/>
      <c r="R118" s="16">
        <f>SUM(R119:R119)</f>
        <v>1321279.0100000007</v>
      </c>
      <c r="S118" s="16">
        <f>SUM(S119:S119)</f>
        <v>1522323.6700000004</v>
      </c>
    </row>
    <row r="119" spans="1:19">
      <c r="A119" s="18">
        <f>SUBTOTAL(103,$B$6:B119)</f>
        <v>99</v>
      </c>
      <c r="B119" s="18">
        <v>264</v>
      </c>
      <c r="C119" s="6" t="str">
        <f>Base!H390</f>
        <v>2603155: MEJORAMIENTO DE LOS SERVICIOS DE APOYO AL DESARROLLO PRODUCTIVO EN 37 UNIDADES PRODUCTORAS 37 DISTRITOS DE 11 PROVINCIAS DEL DEPARTAMENTO DE PUNO</v>
      </c>
      <c r="D119" s="7">
        <f>Base!I390</f>
        <v>4271598.0</v>
      </c>
      <c r="E119" s="7">
        <f>Base!J390</f>
        <v>4070553.3400000003</v>
      </c>
      <c r="F119" s="7">
        <f>D119-E119</f>
        <v>201044.65999999968</v>
      </c>
      <c r="G119" s="7">
        <f>Base!L390</f>
        <v>2287215.36</v>
      </c>
      <c r="H119" s="7">
        <f>D119-G119</f>
        <v>1984382.6400000001</v>
      </c>
      <c r="I119" s="19">
        <f>IF(D119=0,0,G119/D119)</f>
        <v>0.5354472401195056</v>
      </c>
      <c r="J119" s="6" t="str">
        <f>Base!U390</f>
        <v>Personal/bienes/servicios / Contrata / Equipamiento</v>
      </c>
      <c r="K119" s="6" t="str">
        <f>Base!R390</f>
        <v>Mayormente comprometido</v>
      </c>
      <c r="L119" s="7">
        <f>Base!V390</f>
        <v>1500000.0</v>
      </c>
      <c r="M119" s="7">
        <f>Base!W390</f>
        <v>4950944.0</v>
      </c>
      <c r="N119" s="7">
        <f>Base!X390</f>
        <v>5144103.0</v>
      </c>
      <c r="O119" s="7">
        <f>Base!Y390</f>
        <v>4718085.0</v>
      </c>
      <c r="P119" s="6">
        <f>IF(Base!Z390="","",Base!Z390)</f>
        <v/>
      </c>
      <c r="Q119" s="18" t="str">
        <f>Base!S390</f>
        <v>Difícil</v>
      </c>
      <c r="R119" s="7">
        <f>Base!N390</f>
        <v>1321279.0100000007</v>
      </c>
      <c r="S119" s="7">
        <f>Base!T390</f>
        <v>1522323.6700000004</v>
      </c>
    </row>
    <row r="120" spans="1:19">
      <c r="A120" s="11" t="s">
        <v>1283</v>
      </c>
      <c r="B120" s="11"/>
      <c r="C120" s="11"/>
      <c r="D120" s="12">
        <f>D121+D149+D162+D165</f>
        <v>74669674.0</v>
      </c>
      <c r="E120" s="12">
        <f>E121+E149+E162+E165</f>
        <v>67480327.27000001</v>
      </c>
      <c r="F120" s="12">
        <f>D120-E120</f>
        <v>7189346.729999989</v>
      </c>
      <c r="G120" s="12">
        <f>G121+G149+G162+G165</f>
        <v>23520432.650000006</v>
      </c>
      <c r="H120" s="12">
        <f>D120-G120</f>
        <v>51149241.349999994</v>
      </c>
      <c r="I120" s="13">
        <f>IF(D120=0,0,G120/D120)</f>
        <v>0.3149931075097503</v>
      </c>
      <c r="J120" s="11"/>
      <c r="K120" s="11"/>
      <c r="L120" s="11"/>
      <c r="M120" s="11"/>
      <c r="N120" s="11"/>
      <c r="O120" s="11"/>
      <c r="P120" s="11"/>
      <c r="Q120" s="11"/>
      <c r="R120" s="12">
        <f>R121+R149+R162+R165</f>
        <v>40882365.68</v>
      </c>
      <c r="S120" s="12">
        <f>S121+S149+S162+S165</f>
        <v>47699719.49999999</v>
      </c>
    </row>
    <row r="121" spans="1:19">
      <c r="A121" s="15" t="s">
        <v>58</v>
      </c>
      <c r="B121" s="15"/>
      <c r="C121" s="15"/>
      <c r="D121" s="16">
        <f>SUM(D122:D148)</f>
        <v>52935028.0</v>
      </c>
      <c r="E121" s="16">
        <f>SUM(E122:E148)</f>
        <v>48878434.080000006</v>
      </c>
      <c r="F121" s="16">
        <f>D121-E121</f>
        <v>4056593.9199999943</v>
      </c>
      <c r="G121" s="16">
        <f>SUM(G122:G148)</f>
        <v>17052641.130000003</v>
      </c>
      <c r="H121" s="16">
        <f>D121-G121</f>
        <v>35882386.87</v>
      </c>
      <c r="I121" s="17">
        <f>IF(D121=0,0,G121/D121)</f>
        <v>0.3221428565221502</v>
      </c>
      <c r="J121" s="15"/>
      <c r="K121" s="15"/>
      <c r="L121" s="15"/>
      <c r="M121" s="15"/>
      <c r="N121" s="15"/>
      <c r="O121" s="15"/>
      <c r="P121" s="15"/>
      <c r="Q121" s="15"/>
      <c r="R121" s="16">
        <f>SUM(R122:R148)</f>
        <v>28837113.13</v>
      </c>
      <c r="S121" s="16">
        <f>SUM(S122:S148)</f>
        <v>32530441.549999997</v>
      </c>
    </row>
    <row r="122" spans="1:19">
      <c r="A122" s="18">
        <f>SUBTOTAL(103,$B$6:B122)</f>
        <v>100</v>
      </c>
      <c r="B122" s="18">
        <v>195</v>
      </c>
      <c r="C122" s="6" t="str">
        <f>Base!H391</f>
        <v>2154443: MEJORAMIENTO DEL ESTADO NUTRICIONAL DEL NIÑO MENOR DE TRES AÑOS Y LA MADRE GESTANTE EN LAS PROVINCIAS DE AZANGARO, LAMPA Y SAN ROMAN DE LA REGION PUNO</v>
      </c>
      <c r="D122" s="7">
        <f>Base!I391</f>
        <v>0.0</v>
      </c>
      <c r="E122" s="7">
        <f>Base!J391</f>
        <v>0.0</v>
      </c>
      <c r="F122" s="7">
        <f>D122-E122</f>
        <v>0.0</v>
      </c>
      <c r="G122" s="7">
        <f>Base!L391</f>
        <v>0.0</v>
      </c>
      <c r="H122" s="7">
        <f>D122-G122</f>
        <v>0.0</v>
      </c>
      <c r="I122" s="19">
        <f>IF(D122=0,0,G122/D122)</f>
        <v>0</v>
      </c>
      <c r="J122" s="6" t="str">
        <f>Base!U391</f>
        <v>Personal/bienes/servicios</v>
      </c>
      <c r="K122" s="6" t="str">
        <f>Base!R391</f>
        <v>Sin PIM</v>
      </c>
      <c r="L122" s="7">
        <f>Base!V391</f>
        <v>4098.0</v>
      </c>
      <c r="M122" s="7">
        <f>Base!W391</f>
        <v>0</v>
      </c>
      <c r="N122" s="7">
        <f>Base!X391</f>
        <v>0</v>
      </c>
      <c r="O122" s="7">
        <f>Base!Y391</f>
        <v>0</v>
      </c>
      <c r="P122" s="6">
        <f>IF(Base!Z391="","",Base!Z391)</f>
        <v/>
      </c>
      <c r="Q122" s="18" t="str">
        <f>Base!S391</f>
        <v>Sin PIM</v>
      </c>
      <c r="R122" s="7">
        <f>Base!N391</f>
        <v>0.0</v>
      </c>
      <c r="S122" s="7">
        <f>Base!T391</f>
        <v>0.0</v>
      </c>
    </row>
    <row r="123" spans="1:19">
      <c r="A123" s="18">
        <f>SUBTOTAL(103,$B$6:B123)</f>
        <v>101</v>
      </c>
      <c r="B123" s="18">
        <v>196</v>
      </c>
      <c r="C123" s="6" t="str">
        <f>Base!H392</f>
        <v>2159149: MEJORAMIENTO DE LAS CAPACIDADES PARA PREVENIR LA DESNUTRICION CRONICA, EN MENORES DE 3 AÑOS EN LAS PROVINCIAS DE CARABAYA, MELGAR Y SANDIA DE LA REGION PUNO</v>
      </c>
      <c r="D123" s="7">
        <f>Base!I392</f>
        <v>0.0</v>
      </c>
      <c r="E123" s="7">
        <f>Base!J392</f>
        <v>0.0</v>
      </c>
      <c r="F123" s="7">
        <f>D123-E123</f>
        <v>0.0</v>
      </c>
      <c r="G123" s="7">
        <f>Base!L392</f>
        <v>0.0</v>
      </c>
      <c r="H123" s="7">
        <f>D123-G123</f>
        <v>0.0</v>
      </c>
      <c r="I123" s="19">
        <f>IF(D123=0,0,G123/D123)</f>
        <v>0</v>
      </c>
      <c r="J123" s="6" t="str">
        <f>Base!U392</f>
        <v>Personal/bienes/servicios</v>
      </c>
      <c r="K123" s="6" t="str">
        <f>Base!R392</f>
        <v>Sin PIM</v>
      </c>
      <c r="L123" s="7">
        <f>Base!V392</f>
        <v>87917.0</v>
      </c>
      <c r="M123" s="7">
        <f>Base!W392</f>
        <v>0</v>
      </c>
      <c r="N123" s="7">
        <f>Base!X392</f>
        <v>0</v>
      </c>
      <c r="O123" s="7">
        <f>Base!Y392</f>
        <v>0</v>
      </c>
      <c r="P123" s="6">
        <f>IF(Base!Z392="","",Base!Z392)</f>
        <v/>
      </c>
      <c r="Q123" s="18" t="str">
        <f>Base!S392</f>
        <v>Sin PIM</v>
      </c>
      <c r="R123" s="7">
        <f>Base!N392</f>
        <v>0.0</v>
      </c>
      <c r="S123" s="7">
        <f>Base!T392</f>
        <v>0.0</v>
      </c>
    </row>
    <row r="124" spans="1:19">
      <c r="A124" s="18">
        <f>SUBTOTAL(103,$B$6:B124)</f>
        <v>102</v>
      </c>
      <c r="B124" s="18">
        <v>239</v>
      </c>
      <c r="C124" s="6" t="str">
        <f>Base!H393</f>
        <v>2488048: CREACION DEL SERVICIO DE ANÁLISIS DE BIOLOGIA MOLECULAR DE DIAGNÓSTICO COVID-19 EN EL LABORATORIO DE REFERENCIA REGIONAL DE LA DIRESA PUNO,  DISTRITO DE PUNO - PROVINCIA DE PUNO - DEPARTAMENTO DE PUNO</v>
      </c>
      <c r="D124" s="7">
        <f>Base!I393</f>
        <v>0.0</v>
      </c>
      <c r="E124" s="7">
        <f>Base!J393</f>
        <v>0.0</v>
      </c>
      <c r="F124" s="7">
        <f>D124-E124</f>
        <v>0.0</v>
      </c>
      <c r="G124" s="7">
        <f>Base!L393</f>
        <v>0.0</v>
      </c>
      <c r="H124" s="7">
        <f>D124-G124</f>
        <v>0.0</v>
      </c>
      <c r="I124" s="19">
        <f>IF(D124=0,0,G124/D124)</f>
        <v>0</v>
      </c>
      <c r="J124" s="6" t="str">
        <f>Base!U393</f>
        <v>Administración directa</v>
      </c>
      <c r="K124" s="6" t="str">
        <f>Base!R393</f>
        <v>Sin PIM</v>
      </c>
      <c r="L124" s="7">
        <f>Base!V393</f>
        <v>276105.0</v>
      </c>
      <c r="M124" s="7">
        <f>Base!W393</f>
        <v>0</v>
      </c>
      <c r="N124" s="7">
        <f>Base!X393</f>
        <v>0</v>
      </c>
      <c r="O124" s="7">
        <f>Base!Y393</f>
        <v>0</v>
      </c>
      <c r="P124" s="6">
        <f>IF(Base!Z393="","",Base!Z393)</f>
        <v/>
      </c>
      <c r="Q124" s="18" t="str">
        <f>Base!S393</f>
        <v>Sin PIM</v>
      </c>
      <c r="R124" s="7">
        <f>Base!N393</f>
        <v>0.0</v>
      </c>
      <c r="S124" s="7">
        <f>Base!T393</f>
        <v>0.0</v>
      </c>
    </row>
    <row r="125" spans="1:19">
      <c r="A125" s="18">
        <f>SUBTOTAL(103,$B$6:B125)</f>
        <v>103</v>
      </c>
      <c r="B125" s="18">
        <v>249</v>
      </c>
      <c r="C125" s="6" t="str">
        <f>Base!H394</f>
        <v>2544369: ADQUISICION DE AMBULANCIA RURAL Y AMBULANCIA RURAL; EN CINCUENTA Y CINCO ESTABLECIMIENTOS DE SALUD I.4, ESTABLECIMIENTOS DE SALUD I.2, ESTABLECIMIENTOS DE SALUD I.3 A NIVEL DEPARTAMENTAL (PUNO)</v>
      </c>
      <c r="D125" s="7">
        <f>Base!I394</f>
        <v>0.0</v>
      </c>
      <c r="E125" s="7">
        <f>Base!J394</f>
        <v>0.0</v>
      </c>
      <c r="F125" s="7">
        <f>D125-E125</f>
        <v>0.0</v>
      </c>
      <c r="G125" s="7">
        <f>Base!L394</f>
        <v>0.0</v>
      </c>
      <c r="H125" s="7">
        <f>D125-G125</f>
        <v>0.0</v>
      </c>
      <c r="I125" s="19">
        <f>IF(D125=0,0,G125/D125)</f>
        <v>0</v>
      </c>
      <c r="J125" s="6" t="str">
        <f>Base!U394</f>
        <v>Personal/bienes/servicios</v>
      </c>
      <c r="K125" s="6" t="str">
        <f>Base!R394</f>
        <v>Sin PIM</v>
      </c>
      <c r="L125" s="7">
        <f>Base!V394</f>
        <v>89896.0</v>
      </c>
      <c r="M125" s="7">
        <f>Base!W394</f>
        <v>0</v>
      </c>
      <c r="N125" s="7">
        <f>Base!X394</f>
        <v>0</v>
      </c>
      <c r="O125" s="7">
        <f>Base!Y394</f>
        <v>0</v>
      </c>
      <c r="P125" s="6">
        <f>IF(Base!Z394="","",Base!Z394)</f>
        <v/>
      </c>
      <c r="Q125" s="18" t="str">
        <f>Base!S394</f>
        <v>Sin PIM</v>
      </c>
      <c r="R125" s="7">
        <f>Base!N394</f>
        <v>0.0</v>
      </c>
      <c r="S125" s="7">
        <f>Base!T394</f>
        <v>0.0</v>
      </c>
    </row>
    <row r="126" spans="1:19">
      <c r="A126" s="18">
        <f>SUBTOTAL(103,$B$6:B126)</f>
        <v>104</v>
      </c>
      <c r="B126" s="18">
        <v>254</v>
      </c>
      <c r="C126" s="6" t="str">
        <f>Base!H395</f>
        <v>2567368: ADQUISICION DE MAMOGRAFO; EN EL(LA) EESS SAN MARTIN DE P. (MACUSANI) - MACUSANI  DISTRITO DE MACUSANI, PROVINCIA CARABAYA, DEPARTAMENTO PUNO</v>
      </c>
      <c r="D126" s="7">
        <f>Base!I395</f>
        <v>2390440.0</v>
      </c>
      <c r="E126" s="7">
        <f>Base!J395</f>
        <v>2386020.0</v>
      </c>
      <c r="F126" s="7">
        <f>D126-E126</f>
        <v>4420.0</v>
      </c>
      <c r="G126" s="7">
        <f>Base!L395</f>
        <v>824976.09</v>
      </c>
      <c r="H126" s="7">
        <f>D126-G126</f>
        <v>1565463.9100000001</v>
      </c>
      <c r="I126" s="19">
        <f>IF(D126=0,0,G126/D126)</f>
        <v>0.34511474456585395</v>
      </c>
      <c r="J126" s="6" t="str">
        <f>Base!U395</f>
        <v>Equipamiento / Contrata / Personal/bienes/servicios</v>
      </c>
      <c r="K126" s="6" t="str">
        <f>Base!R395</f>
        <v>Mayormente comprometido</v>
      </c>
      <c r="L126" s="7">
        <f>Base!V395</f>
        <v>21175.0</v>
      </c>
      <c r="M126" s="7">
        <f>Base!W395</f>
        <v>2971.0</v>
      </c>
      <c r="N126" s="7">
        <f>Base!X395</f>
        <v>1.0</v>
      </c>
      <c r="O126" s="7">
        <f>Base!Y395</f>
        <v>0</v>
      </c>
      <c r="P126" s="6">
        <f>IF(Base!Z395="","",Base!Z395)</f>
        <v/>
      </c>
      <c r="Q126" s="18" t="str">
        <f>Base!S395</f>
        <v>Difícil</v>
      </c>
      <c r="R126" s="7">
        <f>Base!N395</f>
        <v>0.0</v>
      </c>
      <c r="S126" s="7">
        <f>Base!T395</f>
        <v>4420.0</v>
      </c>
    </row>
    <row r="127" spans="1:19">
      <c r="A127" s="18">
        <f>SUBTOTAL(103,$B$6:B127)</f>
        <v>105</v>
      </c>
      <c r="B127" s="18">
        <v>255</v>
      </c>
      <c r="C127" s="6" t="str">
        <f>Base!H396</f>
        <v>2567375: ADQUISICION DE TOMOGRAFO COMPUTARIZADO MULTICORTE; EN EL(LA) EESS SAN MARTIN DE P. (MACUSANI) - MACUSANI  DISTRITO DE MACUSANI, PROVINCIA CARABAYA, DEPARTAMENTO PUNO</v>
      </c>
      <c r="D127" s="7">
        <f>Base!I396</f>
        <v>20600.0</v>
      </c>
      <c r="E127" s="7">
        <f>Base!J396</f>
        <v>20600.0</v>
      </c>
      <c r="F127" s="7">
        <f>D127-E127</f>
        <v>0.0</v>
      </c>
      <c r="G127" s="7">
        <f>Base!L396</f>
        <v>17783.6</v>
      </c>
      <c r="H127" s="7">
        <f>D127-G127</f>
        <v>2816.4000000000015</v>
      </c>
      <c r="I127" s="19">
        <f>IF(D127=0,0,G127/D127)</f>
        <v>0.8632815533980582</v>
      </c>
      <c r="J127" s="6" t="str">
        <f>Base!U396</f>
        <v>Contrata</v>
      </c>
      <c r="K127" s="6" t="str">
        <f>Base!R396</f>
        <v>Mayormente comprometido</v>
      </c>
      <c r="L127" s="7">
        <f>Base!V396</f>
        <v>40062.0</v>
      </c>
      <c r="M127" s="7">
        <f>Base!W396</f>
        <v>0</v>
      </c>
      <c r="N127" s="7">
        <f>Base!X396</f>
        <v>0</v>
      </c>
      <c r="O127" s="7">
        <f>Base!Y396</f>
        <v>0</v>
      </c>
      <c r="P127" s="6">
        <f>IF(Base!Z396="","",Base!Z396)</f>
        <v/>
      </c>
      <c r="Q127" s="18" t="str">
        <f>Base!S396</f>
        <v>Difícil</v>
      </c>
      <c r="R127" s="7">
        <f>Base!N396</f>
        <v>0.0</v>
      </c>
      <c r="S127" s="7">
        <f>Base!T396</f>
        <v>0.0</v>
      </c>
    </row>
    <row r="128" spans="1:19">
      <c r="A128" s="18">
        <f>SUBTOTAL(103,$B$6:B128)</f>
        <v>106</v>
      </c>
      <c r="B128" s="18">
        <v>263</v>
      </c>
      <c r="C128" s="6" t="str">
        <f>Base!H397</f>
        <v>2600443: ADQUISICION DE SISTEMA DE CIRUGIA LAPAROSCOPICA, TOMOGRAFO, MESA DE OPERACIONES HIDRAULICA/ELECTRICA Y LAMPARA QUIRURGICA DE TECHO; ADEMÁS DE OTROS ACTIVOS EN EL(LA) YUNGUYO  DISTRITO DE YUNGUYO, PROVINCIA YUNGUYO, DEPARTAMENTO PUNO</v>
      </c>
      <c r="D128" s="7">
        <f>Base!I397</f>
        <v>3517960.0</v>
      </c>
      <c r="E128" s="7">
        <f>Base!J397</f>
        <v>3461030.1</v>
      </c>
      <c r="F128" s="7">
        <f>D128-E128</f>
        <v>56929.89999999991</v>
      </c>
      <c r="G128" s="7">
        <f>Base!L397</f>
        <v>2179648.5100000007</v>
      </c>
      <c r="H128" s="7">
        <f>D128-G128</f>
        <v>1338311.4899999993</v>
      </c>
      <c r="I128" s="19">
        <f>IF(D128=0,0,G128/D128)</f>
        <v>0.6195773999704376</v>
      </c>
      <c r="J128" s="6" t="str">
        <f>Base!U397</f>
        <v>Equipamiento / Contrata / Personal/bienes/servicios</v>
      </c>
      <c r="K128" s="6" t="str">
        <f>Base!R397</f>
        <v>Mayormente comprometido</v>
      </c>
      <c r="L128" s="7">
        <f>Base!V397</f>
        <v>2000000.0</v>
      </c>
      <c r="M128" s="7">
        <f>Base!W397</f>
        <v>64020.0</v>
      </c>
      <c r="N128" s="7">
        <f>Base!X397</f>
        <v>1401972.0</v>
      </c>
      <c r="O128" s="7">
        <f>Base!Y397</f>
        <v>495265.0</v>
      </c>
      <c r="P128" s="6">
        <f>IF(Base!Z397="","",Base!Z397)</f>
        <v/>
      </c>
      <c r="Q128" s="18" t="str">
        <f>Base!S397</f>
        <v>Difícil</v>
      </c>
      <c r="R128" s="7">
        <f>Base!N397</f>
        <v>1228353.0</v>
      </c>
      <c r="S128" s="7">
        <f>Base!T397</f>
        <v>1285282.9</v>
      </c>
    </row>
    <row r="129" spans="1:19">
      <c r="A129" s="18">
        <f>SUBTOTAL(103,$B$6:B129)</f>
        <v>107</v>
      </c>
      <c r="B129" s="18">
        <v>281</v>
      </c>
      <c r="C129" s="6" t="str">
        <f>Base!H398</f>
        <v>2650340: ADQUISICION DE MESA DE OPERACIONES HIDRAULICA/ELECTRICA, ESTERILIZADOR CON GENERADOR ELECTRICO DE VAPOR (INS), EQUIPOS BIOMEDICOS Y COCHE DE PARO; ADEMÁS DE OTROS ACTIVOS EN EL(LA) PUTINA  DISTRITO DE PUTINA, PROVINCIA SAN ANTONIO DE PUTINA, DEPARTAMENTO PUNO</v>
      </c>
      <c r="D129" s="7">
        <f>Base!I398</f>
        <v>2170829.0</v>
      </c>
      <c r="E129" s="7">
        <f>Base!J398</f>
        <v>2170829.0</v>
      </c>
      <c r="F129" s="7">
        <f>D129-E129</f>
        <v>0.0</v>
      </c>
      <c r="G129" s="7">
        <f>Base!L398</f>
        <v>147448.3</v>
      </c>
      <c r="H129" s="7">
        <f>D129-G129</f>
        <v>2023380.7</v>
      </c>
      <c r="I129" s="19">
        <f>IF(D129=0,0,G129/D129)</f>
        <v>0.06792257704314802</v>
      </c>
      <c r="J129" s="6" t="str">
        <f>Base!U398</f>
        <v>Equipamiento / Contrata</v>
      </c>
      <c r="K129" s="6" t="str">
        <f>Base!R398</f>
        <v>Parcialmente comprometido</v>
      </c>
      <c r="L129" s="7">
        <f>Base!V398</f>
        <v>2421000.0</v>
      </c>
      <c r="M129" s="7">
        <f>Base!W398</f>
        <v>2508625.0</v>
      </c>
      <c r="N129" s="7">
        <f>Base!X398</f>
        <v>546908.0</v>
      </c>
      <c r="O129" s="7">
        <f>Base!Y398</f>
        <v>170650.0</v>
      </c>
      <c r="P129" s="6">
        <f>IF(Base!Z398="","",Base!Z398)</f>
        <v/>
      </c>
      <c r="Q129" s="18" t="str">
        <f>Base!S398</f>
        <v>Parcial</v>
      </c>
      <c r="R129" s="7">
        <f>Base!N398</f>
        <v>2020000.0</v>
      </c>
      <c r="S129" s="7">
        <f>Base!T398</f>
        <v>2020000.0</v>
      </c>
    </row>
    <row r="130" spans="1:19">
      <c r="A130" s="18">
        <f>SUBTOTAL(103,$B$6:B130)</f>
        <v>108</v>
      </c>
      <c r="B130" s="18">
        <v>285</v>
      </c>
      <c r="C130" s="6" t="str">
        <f>Base!H399</f>
        <v>2684028: ADQUISICION DE AMBULANCIA URBANA; EN ONCE ESTABLECIMIENTOS DE SALUD II.1, ESTABLECIMIENTOS DE SALUD II.2 A NIVEL DEPARTAMENTAL (PUNO)</v>
      </c>
      <c r="D130" s="7">
        <f>Base!I399</f>
        <v>31336.0</v>
      </c>
      <c r="E130" s="7">
        <f>Base!J399</f>
        <v>0.0</v>
      </c>
      <c r="F130" s="7">
        <f>D130-E130</f>
        <v>31336.0</v>
      </c>
      <c r="G130" s="7">
        <f>Base!L399</f>
        <v>0.0</v>
      </c>
      <c r="H130" s="7">
        <f>D130-G130</f>
        <v>31336.0</v>
      </c>
      <c r="I130" s="19">
        <f>IF(D130=0,0,G130/D130)</f>
        <v>0.0</v>
      </c>
      <c r="J130" s="6" t="str">
        <f>Base!U399</f>
        <v>Contrata</v>
      </c>
      <c r="K130" s="6" t="str">
        <f>Base!R399</f>
        <v>Sin certificar</v>
      </c>
      <c r="L130" s="7">
        <f>Base!V399</f>
        <v>513444.0</v>
      </c>
      <c r="M130" s="7">
        <f>Base!W399</f>
        <v>0</v>
      </c>
      <c r="N130" s="7">
        <f>Base!X399</f>
        <v>0</v>
      </c>
      <c r="O130" s="7">
        <f>Base!Y399</f>
        <v>0</v>
      </c>
      <c r="P130" s="6">
        <f>IF(Base!Z399="","",Base!Z399)</f>
        <v/>
      </c>
      <c r="Q130" s="18" t="str">
        <f>Base!S399</f>
        <v>Disponible</v>
      </c>
      <c r="R130" s="7">
        <f>Base!N399</f>
        <v>0.0</v>
      </c>
      <c r="S130" s="7">
        <f>Base!T399</f>
        <v>31336.0</v>
      </c>
    </row>
    <row r="131" spans="1:19">
      <c r="A131" s="18">
        <f>SUBTOTAL(103,$B$6:B131)</f>
        <v>109</v>
      </c>
      <c r="B131" s="18">
        <v>287</v>
      </c>
      <c r="C131" s="6" t="str">
        <f>Base!H400</f>
        <v>2685776: ADQUISICION DE ANALIZADOR DE GASES Y ELECTROLITOS, ESPECTROFOTOMETRO, EQUIPO DE RAYOS X DENTAL Y BIDESTILADOR DE AGUA; ADEMÁS DE OTROS ACTIVOS EN EL(LA) MOHO  DISTRITO DE MOHO, PROVINCIA MOHO, DEPARTAMENTO PUNO</v>
      </c>
      <c r="D131" s="7">
        <f>Base!I400</f>
        <v>1263865.0</v>
      </c>
      <c r="E131" s="7">
        <f>Base!J400</f>
        <v>1181167.9400000002</v>
      </c>
      <c r="F131" s="7">
        <f>D131-E131</f>
        <v>82697.05999999982</v>
      </c>
      <c r="G131" s="7">
        <f>Base!L400</f>
        <v>146441.28000000003</v>
      </c>
      <c r="H131" s="7">
        <f>D131-G131</f>
        <v>1117423.72</v>
      </c>
      <c r="I131" s="19">
        <f>IF(D131=0,0,G131/D131)</f>
        <v>0.11586781816095867</v>
      </c>
      <c r="J131" s="6" t="str">
        <f>Base!U400</f>
        <v>Equipamiento / Contrata / Personal/bienes/servicios</v>
      </c>
      <c r="K131" s="6" t="str">
        <f>Base!R400</f>
        <v>Parcialmente comprometido</v>
      </c>
      <c r="L131" s="7">
        <f>Base!V400</f>
        <v>894000.0</v>
      </c>
      <c r="M131" s="7">
        <f>Base!W400</f>
        <v>0</v>
      </c>
      <c r="N131" s="7">
        <f>Base!X400</f>
        <v>825648.0</v>
      </c>
      <c r="O131" s="7">
        <f>Base!Y400</f>
        <v>825648.0</v>
      </c>
      <c r="P131" s="6">
        <f>IF(Base!Z400="","",Base!Z400)</f>
        <v/>
      </c>
      <c r="Q131" s="18" t="str">
        <f>Base!S400</f>
        <v>Parcial</v>
      </c>
      <c r="R131" s="7">
        <f>Base!N400</f>
        <v>1027198.8300000002</v>
      </c>
      <c r="S131" s="7">
        <f>Base!T400</f>
        <v>1109895.8900000001</v>
      </c>
    </row>
    <row r="132" spans="1:19">
      <c r="A132" s="18">
        <f>SUBTOTAL(103,$B$6:B132)</f>
        <v>110</v>
      </c>
      <c r="B132" s="18">
        <v>313</v>
      </c>
      <c r="C132" s="6" t="str">
        <f>Base!H401</f>
        <v>2694246: ADQUISICION DE MAMOGRAFO, COLONOVIDEOENDOSCOPIO, MESA DE OPERACIONES HIDRAULICA/ELECTRICA Y CALDERO; ADEMÁS DE OTROS ACTIVOS EN EL(LA) HOSPITAL REGIONAL MANUEL NUÑEZ BUTRON HOSPITAL REGIONAL MANUEL NUÑEZ BUTRON DISTRITO DE PUNO, PROVINCIA PUNO, DEPARTAMENTO PUNO</v>
      </c>
      <c r="D132" s="7">
        <f>Base!I401</f>
        <v>8483998.0</v>
      </c>
      <c r="E132" s="7">
        <f>Base!J401</f>
        <v>8474782.309999999</v>
      </c>
      <c r="F132" s="7">
        <f>D132-E132</f>
        <v>9215.690000001341</v>
      </c>
      <c r="G132" s="7">
        <f>Base!L401</f>
        <v>5322446.09</v>
      </c>
      <c r="H132" s="7">
        <f>D132-G132</f>
        <v>3161551.91</v>
      </c>
      <c r="I132" s="19">
        <f>IF(D132=0,0,G132/D132)</f>
        <v>0.627351172171422</v>
      </c>
      <c r="J132" s="6" t="str">
        <f>Base!U401</f>
        <v>Equipamiento / Contrata / Personal/bienes/servicios</v>
      </c>
      <c r="K132" s="6" t="str">
        <f>Base!R401</f>
        <v>Mayormente comprometido</v>
      </c>
      <c r="L132" s="7">
        <f>Base!V401</f>
        <v>2578971.0</v>
      </c>
      <c r="M132" s="7">
        <f>Base!W401</f>
        <v>22487.0</v>
      </c>
      <c r="N132" s="7">
        <f>Base!X401</f>
        <v>500000.0</v>
      </c>
      <c r="O132" s="7">
        <f>Base!Y401</f>
        <v>500000.0</v>
      </c>
      <c r="P132" s="6">
        <f>IF(Base!Z401="","",Base!Z401)</f>
        <v/>
      </c>
      <c r="Q132" s="18" t="str">
        <f>Base!S401</f>
        <v>Difícil</v>
      </c>
      <c r="R132" s="7">
        <f>Base!N401</f>
        <v>3150026.999999998</v>
      </c>
      <c r="S132" s="7">
        <f>Base!T401</f>
        <v>3159242.6899999995</v>
      </c>
    </row>
    <row r="133" spans="1:19">
      <c r="A133" s="18">
        <f>SUBTOTAL(103,$B$6:B133)</f>
        <v>111</v>
      </c>
      <c r="B133" s="18">
        <v>314</v>
      </c>
      <c r="C133" s="6" t="str">
        <f>Base!H402</f>
        <v>2611144: ADQUISICION DE ANALIZADOR DE GASES Y ELECTROLITOS, ASPIRADOR DE SECRECIONES, BOMBA DE INFUSION Y COCHE DE PARO EQUIPADO; ADEMÁS DE OTROS ACTIVOS EN EL(LA) CARLOS MONJE MEDRANO  DISTRITO DE JULIACA, PROVINCIA SAN ROMAN, DEPARTAMENTO PUNO</v>
      </c>
      <c r="D133" s="7">
        <f>Base!I402</f>
        <v>4219373.0</v>
      </c>
      <c r="E133" s="7">
        <f>Base!J402</f>
        <v>4183621.0300000003</v>
      </c>
      <c r="F133" s="7">
        <f>D133-E133</f>
        <v>35751.96999999974</v>
      </c>
      <c r="G133" s="7">
        <f>Base!L402</f>
        <v>3829328.0800000005</v>
      </c>
      <c r="H133" s="7">
        <f>D133-G133</f>
        <v>390044.91999999946</v>
      </c>
      <c r="I133" s="19">
        <f>IF(D133=0,0,G133/D133)</f>
        <v>0.9075585590560494</v>
      </c>
      <c r="J133" s="6" t="str">
        <f>Base!U402</f>
        <v>Equipamiento / Contrata</v>
      </c>
      <c r="K133" s="6" t="str">
        <f>Base!R402</f>
        <v>Ejecutado</v>
      </c>
      <c r="L133" s="7">
        <f>Base!V402</f>
        <v>3305500.0</v>
      </c>
      <c r="M133" s="7">
        <f>Base!W402</f>
        <v>177809.0</v>
      </c>
      <c r="N133" s="7">
        <f>Base!X402</f>
        <v>150483.0</v>
      </c>
      <c r="O133" s="7">
        <f>Base!Y402</f>
        <v>0</v>
      </c>
      <c r="P133" s="6">
        <f>IF(Base!Z402="","",Base!Z402)</f>
        <v/>
      </c>
      <c r="Q133" s="18" t="str">
        <f>Base!S402</f>
        <v>No usar</v>
      </c>
      <c r="R133" s="7">
        <f>Base!N402</f>
        <v>326806.53000000026</v>
      </c>
      <c r="S133" s="7">
        <f>Base!T402</f>
        <v>0.0</v>
      </c>
    </row>
    <row r="134" spans="1:19">
      <c r="A134" s="18">
        <f>SUBTOTAL(103,$B$6:B134)</f>
        <v>112</v>
      </c>
      <c r="B134" s="18">
        <v>343</v>
      </c>
      <c r="C134" s="6" t="str">
        <f>Base!H403</f>
        <v>2692290: ADQUISICION DE EQUIPO DE ANESTESIA, VENTILADOR MECANICO, SISTEMA DE CIRUGIA LAPAROSCOPICA Y SISTEMA DE VIDEO GASTROENDOSCOPIA; ADEMÁS DE OTROS ACTIVOS EN EL(LA) HOSPITAL SAN MARTIN DE PORRES  DISTRITO DE MACUSANI, PROVINCIA CARABAYA, DEPARTAMENTO PUNO</v>
      </c>
      <c r="D134" s="7">
        <f>Base!I403</f>
        <v>13926334.0</v>
      </c>
      <c r="E134" s="7">
        <f>Base!J403</f>
        <v>13763618.01</v>
      </c>
      <c r="F134" s="7">
        <f>D134-E134</f>
        <v>162715.99000000022</v>
      </c>
      <c r="G134" s="7">
        <f>Base!L403</f>
        <v>182925.47999999998</v>
      </c>
      <c r="H134" s="7">
        <f>D134-G134</f>
        <v>13743408.52</v>
      </c>
      <c r="I134" s="19">
        <f>IF(D134=0,0,G134/D134)</f>
        <v>0.013135221372688605</v>
      </c>
      <c r="J134" s="6" t="str">
        <f>Base!U403</f>
        <v>Equipamiento / Contrata / Personal/bienes/servicios</v>
      </c>
      <c r="K134" s="6" t="str">
        <f>Base!R403</f>
        <v>Parcialmente comprometido</v>
      </c>
      <c r="L134" s="7">
        <f>Base!V403</f>
        <v>923830.0</v>
      </c>
      <c r="M134" s="7">
        <f>Base!W403</f>
        <v>1124828.0</v>
      </c>
      <c r="N134" s="7">
        <f>Base!X403</f>
        <v>450000.0</v>
      </c>
      <c r="O134" s="7">
        <f>Base!Y403</f>
        <v>450000.0</v>
      </c>
      <c r="P134" s="6">
        <f>IF(Base!Z403="","",Base!Z403)</f>
        <v/>
      </c>
      <c r="Q134" s="18" t="str">
        <f>Base!S403</f>
        <v>Parcial</v>
      </c>
      <c r="R134" s="7">
        <f>Base!N403</f>
        <v>13520822.01</v>
      </c>
      <c r="S134" s="7">
        <f>Base!T403</f>
        <v>13683538.0</v>
      </c>
    </row>
    <row r="135" spans="1:19">
      <c r="A135" s="18">
        <f>SUBTOTAL(103,$B$6:B135)</f>
        <v>113</v>
      </c>
      <c r="B135" s="18">
        <v>344</v>
      </c>
      <c r="C135" s="6" t="str">
        <f>Base!H404</f>
        <v>2668521: ADQUISICION DE AMBULANCIA ACUATICA; EN DOS ESTABLECIMIENTOS DE SALUD I.2 A NIVEL PROVINCIAL (PUNO - YUNGUYO)</v>
      </c>
      <c r="D135" s="7">
        <f>Base!I404</f>
        <v>1175365.0</v>
      </c>
      <c r="E135" s="7">
        <f>Base!J404</f>
        <v>285679.94</v>
      </c>
      <c r="F135" s="7">
        <f>D135-E135</f>
        <v>889685.06</v>
      </c>
      <c r="G135" s="7">
        <f>Base!L404</f>
        <v>278011.27999999997</v>
      </c>
      <c r="H135" s="7">
        <f>D135-G135</f>
        <v>897353.72</v>
      </c>
      <c r="I135" s="19">
        <f>IF(D135=0,0,G135/D135)</f>
        <v>0.23653186882372707</v>
      </c>
      <c r="J135" s="6" t="str">
        <f>Base!U404</f>
        <v>Equipamiento / Contrata / Personal/bienes/servicios</v>
      </c>
      <c r="K135" s="6" t="str">
        <f>Base!R404</f>
        <v>Parcialmente comprometido</v>
      </c>
      <c r="L135" s="7">
        <f>Base!V404</f>
        <v>300000.0</v>
      </c>
      <c r="M135" s="7">
        <f>Base!W404</f>
        <v>163232.0</v>
      </c>
      <c r="N135" s="7">
        <f>Base!X404</f>
        <v>0</v>
      </c>
      <c r="O135" s="7">
        <f>Base!Y404</f>
        <v>0</v>
      </c>
      <c r="P135" s="6">
        <f>IF(Base!Z404="","",Base!Z404)</f>
        <v/>
      </c>
      <c r="Q135" s="18" t="str">
        <f>Base!S404</f>
        <v>Parcial</v>
      </c>
      <c r="R135" s="7">
        <f>Base!N404</f>
        <v>2820.0</v>
      </c>
      <c r="S135" s="7">
        <f>Base!T404</f>
        <v>892505.06</v>
      </c>
    </row>
    <row r="136" spans="1:19">
      <c r="A136" s="18">
        <f>SUBTOTAL(103,$B$6:B136)</f>
        <v>114</v>
      </c>
      <c r="B136" s="18">
        <v>346</v>
      </c>
      <c r="C136" s="6" t="str">
        <f>Base!H405</f>
        <v>2613817: ADQUISICION DE ECOCARDIOGRAFO, ARCO EN C, BOMBA DE INFUSION Y EQUIPO ECOGRAFO; ADEMÁS DE OTROS ACTIVOS EN SIETE ESTABLECIMIENTOS DE SALUD II.1 A NIVEL DEPARTAMENTAL (PUNO)</v>
      </c>
      <c r="D136" s="7">
        <f>Base!I405</f>
        <v>392605.0</v>
      </c>
      <c r="E136" s="7">
        <f>Base!J405</f>
        <v>337020.27999999997</v>
      </c>
      <c r="F136" s="7">
        <f>D136-E136</f>
        <v>55584.72000000003</v>
      </c>
      <c r="G136" s="7">
        <f>Base!L405</f>
        <v>298073.85</v>
      </c>
      <c r="H136" s="7">
        <f>D136-G136</f>
        <v>94531.15000000002</v>
      </c>
      <c r="I136" s="19">
        <f>IF(D136=0,0,G136/D136)</f>
        <v>0.7592207180244774</v>
      </c>
      <c r="J136" s="6" t="str">
        <f>Base!U405</f>
        <v>Contrata / Equipamiento / Personal/bienes/servicios</v>
      </c>
      <c r="K136" s="6" t="str">
        <f>Base!R405</f>
        <v>Mayormente comprometido</v>
      </c>
      <c r="L136" s="7">
        <f>Base!V405</f>
        <v>587684.0</v>
      </c>
      <c r="M136" s="7">
        <f>Base!W405</f>
        <v>31681.0</v>
      </c>
      <c r="N136" s="7">
        <f>Base!X405</f>
        <v>755677.0</v>
      </c>
      <c r="O136" s="7">
        <f>Base!Y405</f>
        <v>0</v>
      </c>
      <c r="P136" s="6">
        <f>IF(Base!Z405="","",Base!Z405)</f>
        <v/>
      </c>
      <c r="Q136" s="18" t="str">
        <f>Base!S405</f>
        <v>Difícil</v>
      </c>
      <c r="R136" s="7">
        <f>Base!N405</f>
        <v>23314.209999999963</v>
      </c>
      <c r="S136" s="7">
        <f>Base!T405</f>
        <v>78898.93</v>
      </c>
    </row>
    <row r="137" spans="1:19">
      <c r="A137" s="18">
        <f>SUBTOTAL(103,$B$6:B137)</f>
        <v>115</v>
      </c>
      <c r="B137" s="18">
        <v>379</v>
      </c>
      <c r="C137" s="6" t="str">
        <f>Base!H406</f>
        <v>2692846: ADQUISICION DE EQUIPO ECOGRAFO, MESA HIDRAULICA PARA OPERACION QUIRURGICA, LAVADORA SECADORA AUTOMATICA Y INCUBADORA DE TRANSPORTE (SAMU); ADEMÁS DE OTROS ACTIVOS EN EL(LA) CARLOS CORNEJO ROSELLO  DISTRITO DE AZANGARO, PROVINCIA AZANGARO, DEPARTAMENTO PUNO</v>
      </c>
      <c r="D137" s="7">
        <f>Base!I406</f>
        <v>167074.0</v>
      </c>
      <c r="E137" s="7">
        <f>Base!J406</f>
        <v>63765.14</v>
      </c>
      <c r="F137" s="7">
        <f>D137-E137</f>
        <v>103308.86</v>
      </c>
      <c r="G137" s="7">
        <f>Base!L406</f>
        <v>62264.09000000001</v>
      </c>
      <c r="H137" s="7">
        <f>D137-G137</f>
        <v>104809.90999999999</v>
      </c>
      <c r="I137" s="19">
        <f>IF(D137=0,0,G137/D137)</f>
        <v>0.3726737254150856</v>
      </c>
      <c r="J137" s="6" t="str">
        <f>Base!U406</f>
        <v>Contrata / Equipamiento / Personal/bienes/servicios</v>
      </c>
      <c r="K137" s="6" t="str">
        <f>Base!R406</f>
        <v>Parcialmente comprometido</v>
      </c>
      <c r="L137" s="7">
        <f>Base!V406</f>
        <v>295210.0</v>
      </c>
      <c r="M137" s="7">
        <f>Base!W406</f>
        <v>0</v>
      </c>
      <c r="N137" s="7">
        <f>Base!X406</f>
        <v>1200001.0</v>
      </c>
      <c r="O137" s="7">
        <f>Base!Y406</f>
        <v>1200001.0</v>
      </c>
      <c r="P137" s="6">
        <f>IF(Base!Z406="","",Base!Z406)</f>
        <v/>
      </c>
      <c r="Q137" s="18" t="str">
        <f>Base!S406</f>
        <v>Parcial</v>
      </c>
      <c r="R137" s="7">
        <f>Base!N406</f>
        <v>0.0</v>
      </c>
      <c r="S137" s="7">
        <f>Base!T406</f>
        <v>103308.86</v>
      </c>
    </row>
    <row r="138" spans="1:19">
      <c r="A138" s="18">
        <f>SUBTOTAL(103,$B$6:B138)</f>
        <v>116</v>
      </c>
      <c r="B138" s="18">
        <v>380</v>
      </c>
      <c r="C138" s="6" t="str">
        <f>Base!H407</f>
        <v>2691682: ADQUISICION DE MESA DE OPERACIONES HIDRAULICA/ELECTRICA, EQUIPO ECOGRAFO - ULTRASONIDO, EQUIPO ECOGRAFO Y ELECTROENCEFALOGRAFO; ADEMÁS DE OTROS ACTIVOS EN EL(LA) ANTONIO BARRIONUEVO (LAMPA)  DISTRITO DE LAMPA, PROVINCIA LAMPA, DEPARTAMENTO PUNO</v>
      </c>
      <c r="D138" s="7">
        <f>Base!I407</f>
        <v>2967206.0</v>
      </c>
      <c r="E138" s="7">
        <f>Base!J407</f>
        <v>2958279.0300000003</v>
      </c>
      <c r="F138" s="7">
        <f>D138-E138</f>
        <v>8926.96999999974</v>
      </c>
      <c r="G138" s="7">
        <f>Base!L407</f>
        <v>886710.6400000001</v>
      </c>
      <c r="H138" s="7">
        <f>D138-G138</f>
        <v>2080495.3599999999</v>
      </c>
      <c r="I138" s="19">
        <f>IF(D138=0,0,G138/D138)</f>
        <v>0.2988368990895813</v>
      </c>
      <c r="J138" s="6" t="str">
        <f>Base!U407</f>
        <v>Equipamiento / Contrata / Personal/bienes/servicios</v>
      </c>
      <c r="K138" s="6" t="str">
        <f>Base!R407</f>
        <v>Parcialmente comprometido</v>
      </c>
      <c r="L138" s="7">
        <f>Base!V407</f>
        <v>309908.0</v>
      </c>
      <c r="M138" s="7">
        <f>Base!W407</f>
        <v>29240.0</v>
      </c>
      <c r="N138" s="7">
        <f>Base!X407</f>
        <v>1302067.0</v>
      </c>
      <c r="O138" s="7">
        <f>Base!Y407</f>
        <v>604135.0</v>
      </c>
      <c r="P138" s="6">
        <f>IF(Base!Z407="","",Base!Z407)</f>
        <v/>
      </c>
      <c r="Q138" s="18" t="str">
        <f>Base!S407</f>
        <v>Parcial</v>
      </c>
      <c r="R138" s="7">
        <f>Base!N407</f>
        <v>1541678.3300000003</v>
      </c>
      <c r="S138" s="7">
        <f>Base!T407</f>
        <v>1550605.3</v>
      </c>
    </row>
    <row r="139" spans="1:19">
      <c r="A139" s="18">
        <f>SUBTOTAL(103,$B$6:B139)</f>
        <v>117</v>
      </c>
      <c r="B139" s="18">
        <v>382</v>
      </c>
      <c r="C139" s="6" t="str">
        <f>Base!H408</f>
        <v>2711034: ADQUISICION DE ESTERILIZADOR; EN SIETE ESTABLECIMIENTOS DE SALUD II.1, ESTABLECIMIENTOS DE SALUD II.2  DISTRITO DE PUNO, PROVINCIA PUNO, DEPARTAMENTO PUNO</v>
      </c>
      <c r="D139" s="7">
        <f>Base!I408</f>
        <v>2040218.0</v>
      </c>
      <c r="E139" s="7">
        <f>Base!J408</f>
        <v>2014066.28</v>
      </c>
      <c r="F139" s="7">
        <f>D139-E139</f>
        <v>26151.719999999972</v>
      </c>
      <c r="G139" s="7">
        <f>Base!L408</f>
        <v>153737.12999999998</v>
      </c>
      <c r="H139" s="7">
        <f>D139-G139</f>
        <v>1886480.87</v>
      </c>
      <c r="I139" s="19">
        <f>IF(D139=0,0,G139/D139)</f>
        <v>0.07535328577632389</v>
      </c>
      <c r="J139" s="6" t="str">
        <f>Base!U408</f>
        <v>Equipamiento / Contrata / Expediente técnico / Personal/bienes/servicios</v>
      </c>
      <c r="K139" s="6" t="str">
        <f>Base!R408</f>
        <v>Parcialmente comprometido</v>
      </c>
      <c r="L139" s="7">
        <f>Base!V408</f>
        <v>40218.0</v>
      </c>
      <c r="M139" s="7">
        <f>Base!W408</f>
        <v>3757795.0</v>
      </c>
      <c r="N139" s="7">
        <f>Base!X408</f>
        <v>698171.0</v>
      </c>
      <c r="O139" s="7">
        <f>Base!Y408</f>
        <v>0</v>
      </c>
      <c r="P139" s="6">
        <f>IF(Base!Z408="","",Base!Z408)</f>
        <v/>
      </c>
      <c r="Q139" s="18" t="str">
        <f>Base!S408</f>
        <v>Parcial</v>
      </c>
      <c r="R139" s="7">
        <f>Base!N408</f>
        <v>1800324.3</v>
      </c>
      <c r="S139" s="7">
        <f>Base!T408</f>
        <v>1826476.02</v>
      </c>
    </row>
    <row r="140" spans="1:19">
      <c r="A140" s="18">
        <f>SUBTOTAL(103,$B$6:B140)</f>
        <v>118</v>
      </c>
      <c r="B140" s="18">
        <v>437</v>
      </c>
      <c r="C140" s="6" t="str">
        <f>Base!H409</f>
        <v>2693367: ADQUISICION DE EQUIPO DE ANESTESIA, ELECTROBISTURI, ELECTROBISTURI Y ELECTROBISTURI; ADEMÁS DE OTROS ACTIVOS EN EL(LA) SAN JUAN DE DIOS (AYAVIRI) JR SANTA ROSA DISTRITO DE AYAVIRI, PROVINCIA MELGAR, DEPARTAMENTO PUNO</v>
      </c>
      <c r="D140" s="7">
        <f>Base!I409</f>
        <v>3974680.0</v>
      </c>
      <c r="E140" s="7">
        <f>Base!J409</f>
        <v>3830379.2</v>
      </c>
      <c r="F140" s="7">
        <f>D140-E140</f>
        <v>144300.7999999998</v>
      </c>
      <c r="G140" s="7">
        <f>Base!L409</f>
        <v>141890.09000000003</v>
      </c>
      <c r="H140" s="7">
        <f>D140-G140</f>
        <v>3832789.91</v>
      </c>
      <c r="I140" s="19">
        <f>IF(D140=0,0,G140/D140)</f>
        <v>0.035698493966809915</v>
      </c>
      <c r="J140" s="6" t="str">
        <f>Base!U409</f>
        <v>Equipamiento / Contrata / Personal/bienes/servicios</v>
      </c>
      <c r="K140" s="6" t="str">
        <f>Base!R409</f>
        <v>Parcialmente comprometido</v>
      </c>
      <c r="L140" s="7">
        <f>Base!V409</f>
        <v>2900000.0</v>
      </c>
      <c r="M140" s="7">
        <f>Base!W409</f>
        <v>66882.0</v>
      </c>
      <c r="N140" s="7">
        <f>Base!X409</f>
        <v>1.0</v>
      </c>
      <c r="O140" s="7">
        <f>Base!Y409</f>
        <v>0</v>
      </c>
      <c r="P140" s="6">
        <f>IF(Base!Z409="","",Base!Z409)</f>
        <v/>
      </c>
      <c r="Q140" s="18" t="str">
        <f>Base!S409</f>
        <v>Parcial</v>
      </c>
      <c r="R140" s="7">
        <f>Base!N409</f>
        <v>3641800.0</v>
      </c>
      <c r="S140" s="7">
        <f>Base!T409</f>
        <v>3786100.8</v>
      </c>
    </row>
    <row r="141" spans="1:19">
      <c r="A141" s="18">
        <f>SUBTOTAL(103,$B$6:B141)</f>
        <v>119</v>
      </c>
      <c r="B141" s="18">
        <v>454</v>
      </c>
      <c r="C141" s="6" t="str">
        <f>Base!H410</f>
        <v>2707256: ADQUISICION DE SISTEMA DE VIDEO GASTROENDOSCOPIA, GRUPO ELECTROGENO, EQUIPO ECOGRAFO - ULTRASONIDO Y LAVADORA SECADORA AUTOMATICA; ADEMAS DE OTROS ACTIVOS EN EL(LA) CARLOS MONJE MEDRANO DISTRITO DE JULIACA, PROVINCIA SAN ROMAN, DEPARTAMENTO PUNO</v>
      </c>
      <c r="D141" s="7">
        <f>Base!I410</f>
        <v>80738.0</v>
      </c>
      <c r="E141" s="7">
        <f>Base!J410</f>
        <v>0.0</v>
      </c>
      <c r="F141" s="7">
        <f>D141-E141</f>
        <v>80738.0</v>
      </c>
      <c r="G141" s="7">
        <f>Base!L410</f>
        <v>0.0</v>
      </c>
      <c r="H141" s="7">
        <f>D141-G141</f>
        <v>80738.0</v>
      </c>
      <c r="I141" s="19">
        <f>IF(D141=0,0,G141/D141)</f>
        <v>0.0</v>
      </c>
      <c r="J141" s="6" t="str">
        <f>Base!U410</f>
        <v>Expediente técnico</v>
      </c>
      <c r="K141" s="6" t="str">
        <f>Base!R410</f>
        <v>Sin certificar</v>
      </c>
      <c r="L141" s="7" t="str">
        <f>Base!V410</f>
        <v>No registrado en cartera</v>
      </c>
      <c r="M141" s="7" t="str">
        <f>Base!W410</f>
        <v>No registrado en cartera</v>
      </c>
      <c r="N141" s="7" t="str">
        <f>Base!X410</f>
        <v>No registrado en cartera</v>
      </c>
      <c r="O141" s="7" t="str">
        <f>Base!Y410</f>
        <v>No registrado en cartera</v>
      </c>
      <c r="P141" s="6">
        <f>IF(Base!Z410="","",Base!Z410)</f>
        <v/>
      </c>
      <c r="Q141" s="18" t="str">
        <f>Base!S410</f>
        <v>Disponible</v>
      </c>
      <c r="R141" s="7">
        <f>Base!N410</f>
        <v>0.0</v>
      </c>
      <c r="S141" s="7">
        <f>Base!T410</f>
        <v>80738.0</v>
      </c>
    </row>
    <row r="142" spans="1:19">
      <c r="A142" s="18">
        <f>SUBTOTAL(103,$B$6:B142)</f>
        <v>120</v>
      </c>
      <c r="B142" s="18">
        <v>462</v>
      </c>
      <c r="C142" s="6" t="str">
        <f>Base!H411</f>
        <v>2650340: ADQUISICION DE MESA DE OPERACIONES HIDRAULICA/ELECTRICA, ESTERILIZADOR CON GENERADOR ELECTRICO DE VAPOR (INS), EQUIPOS BIOMEDICOS Y COCHE DE PARO; ADEMÁS DE OTROS ACTIVOS EN EL(LA) PUTINA  DISTRITO DE PUTINA, PROVINCIA SAN ANTONIO DE PUTINA, DEPARTAMENTO PUNO</v>
      </c>
      <c r="D142" s="7">
        <f>Base!I411</f>
        <v>5872577.0</v>
      </c>
      <c r="E142" s="7">
        <f>Base!J411</f>
        <v>3724247.82</v>
      </c>
      <c r="F142" s="7">
        <f>D142-E142</f>
        <v>2148329.18</v>
      </c>
      <c r="G142" s="7">
        <f>Base!L411</f>
        <v>2558179.3000000003</v>
      </c>
      <c r="H142" s="7">
        <f>D142-G142</f>
        <v>3314397.6999999997</v>
      </c>
      <c r="I142" s="19">
        <f>IF(D142=0,0,G142/D142)</f>
        <v>0.43561443298231767</v>
      </c>
      <c r="J142" s="6" t="str">
        <f>Base!U411</f>
        <v>Administración directa / Contrata / Personal/bienes/servicios / Equipamiento</v>
      </c>
      <c r="K142" s="6" t="str">
        <f>Base!R411</f>
        <v>Mayormente comprometido</v>
      </c>
      <c r="L142" s="7">
        <f>Base!V411</f>
        <v>2421000.0</v>
      </c>
      <c r="M142" s="7">
        <f>Base!W411</f>
        <v>2508625.0</v>
      </c>
      <c r="N142" s="7">
        <f>Base!X411</f>
        <v>546908.0</v>
      </c>
      <c r="O142" s="7">
        <f>Base!Y411</f>
        <v>170650.0</v>
      </c>
      <c r="P142" s="6">
        <f>IF(Base!Z411="","",Base!Z411)</f>
        <v/>
      </c>
      <c r="Q142" s="18" t="str">
        <f>Base!S411</f>
        <v>Difícil</v>
      </c>
      <c r="R142" s="7">
        <f>Base!N411</f>
        <v>553968.9199999995</v>
      </c>
      <c r="S142" s="7">
        <f>Base!T411</f>
        <v>2702298.0999999996</v>
      </c>
    </row>
    <row r="143" spans="1:19">
      <c r="A143" s="18">
        <f>SUBTOTAL(103,$B$6:B143)</f>
        <v>121</v>
      </c>
      <c r="B143" s="18">
        <v>482</v>
      </c>
      <c r="C143" s="6" t="str">
        <f>Base!H412</f>
        <v>2531093: ADQUISICION DE INCUBADORA NEONATAL Y CUNA DE CALOR RADIANTE; EN EL(LA) EESS YUNGUYO - YUNGUYO EN LA LOCALIDAD YUNGUYO, DISTRITO DE YUNGUYO, PROVINCIA YUNGUYO, DEPARTAMENTO PUNO</v>
      </c>
      <c r="D143" s="7">
        <f>Base!I412</f>
        <v>13758.0</v>
      </c>
      <c r="E143" s="7">
        <f>Base!J412</f>
        <v>13758.0</v>
      </c>
      <c r="F143" s="7">
        <f>D143-E143</f>
        <v>0.0</v>
      </c>
      <c r="G143" s="7">
        <f>Base!L412</f>
        <v>13212.64</v>
      </c>
      <c r="H143" s="7">
        <f>D143-G143</f>
        <v>545.3600000000006</v>
      </c>
      <c r="I143" s="19">
        <f>IF(D143=0,0,G143/D143)</f>
        <v>0.960360517517081</v>
      </c>
      <c r="J143" s="6" t="str">
        <f>Base!U412</f>
        <v>Contrata</v>
      </c>
      <c r="K143" s="6" t="str">
        <f>Base!R412</f>
        <v>Ejecutado</v>
      </c>
      <c r="L143" s="7">
        <f>Base!V412</f>
        <v>27014.0</v>
      </c>
      <c r="M143" s="7">
        <f>Base!W412</f>
        <v>0</v>
      </c>
      <c r="N143" s="7">
        <f>Base!X412</f>
        <v>0</v>
      </c>
      <c r="O143" s="7">
        <f>Base!Y412</f>
        <v>0</v>
      </c>
      <c r="P143" s="6">
        <f>IF(Base!Z412="","",Base!Z412)</f>
        <v/>
      </c>
      <c r="Q143" s="18" t="str">
        <f>Base!S412</f>
        <v>No usar</v>
      </c>
      <c r="R143" s="7">
        <f>Base!N412</f>
        <v>0.0</v>
      </c>
      <c r="S143" s="7">
        <f>Base!T412</f>
        <v>0.0</v>
      </c>
    </row>
    <row r="144" spans="1:19">
      <c r="A144" s="18">
        <f>SUBTOTAL(103,$B$6:B144)</f>
        <v>122</v>
      </c>
      <c r="B144" s="18">
        <v>485</v>
      </c>
      <c r="C144" s="6" t="str">
        <f>Base!H413</f>
        <v>2639523: ADQUISICION DE TOMOGRAFO COMPUTARIZADO MULTICORTE; EN EL(LA) CARLOS MONJE MEDRANO  DISTRITO DE JULIACA, PROVINCIA SAN ROMAN, DEPARTAMENTO PUNO</v>
      </c>
      <c r="D144" s="7">
        <f>Base!I413</f>
        <v>10277.0</v>
      </c>
      <c r="E144" s="7">
        <f>Base!J413</f>
        <v>9570.0</v>
      </c>
      <c r="F144" s="7">
        <f>D144-E144</f>
        <v>707.0</v>
      </c>
      <c r="G144" s="7">
        <f>Base!L413</f>
        <v>9564.68</v>
      </c>
      <c r="H144" s="7">
        <f>D144-G144</f>
        <v>712.3199999999997</v>
      </c>
      <c r="I144" s="19">
        <f>IF(D144=0,0,G144/D144)</f>
        <v>0.9306879439525153</v>
      </c>
      <c r="J144" s="6" t="str">
        <f>Base!U413</f>
        <v>Contrata</v>
      </c>
      <c r="K144" s="6" t="str">
        <f>Base!R413</f>
        <v>Ejecutado</v>
      </c>
      <c r="L144" s="7">
        <f>Base!V413</f>
        <v>10277.0</v>
      </c>
      <c r="M144" s="7">
        <f>Base!W413</f>
        <v>27636.0</v>
      </c>
      <c r="N144" s="7">
        <f>Base!X413</f>
        <v>0</v>
      </c>
      <c r="O144" s="7">
        <f>Base!Y413</f>
        <v>0</v>
      </c>
      <c r="P144" s="6">
        <f>IF(Base!Z413="","",Base!Z413)</f>
        <v/>
      </c>
      <c r="Q144" s="18" t="str">
        <f>Base!S413</f>
        <v>No usar</v>
      </c>
      <c r="R144" s="7">
        <f>Base!N413</f>
        <v>0.0</v>
      </c>
      <c r="S144" s="7">
        <f>Base!T413</f>
        <v>0.0</v>
      </c>
    </row>
    <row r="145" spans="1:19">
      <c r="A145" s="18">
        <f>SUBTOTAL(103,$B$6:B145)</f>
        <v>123</v>
      </c>
      <c r="B145" s="18">
        <v>494</v>
      </c>
      <c r="C145" s="6" t="str">
        <f>Base!H414</f>
        <v>2695768: REPARACION DE SALA DE CUIDADOS INTENSIVOS; EN EL(LA) CARLOS MONJE MEDRANO DISTRITO DE JULIACA, PROVINCIA SAN ROMAN, DEPARTAMENTO PUNO</v>
      </c>
      <c r="D145" s="7">
        <f>Base!I414</f>
        <v>114255.0</v>
      </c>
      <c r="E145" s="7">
        <f>Base!J414</f>
        <v>0.0</v>
      </c>
      <c r="F145" s="7">
        <f>D145-E145</f>
        <v>114255.0</v>
      </c>
      <c r="G145" s="7">
        <f>Base!L414</f>
        <v>0.0</v>
      </c>
      <c r="H145" s="7">
        <f>D145-G145</f>
        <v>114255.0</v>
      </c>
      <c r="I145" s="19">
        <f>IF(D145=0,0,G145/D145)</f>
        <v>0.0</v>
      </c>
      <c r="J145" s="6" t="str">
        <f>Base!U414</f>
        <v>Expediente técnico</v>
      </c>
      <c r="K145" s="6" t="str">
        <f>Base!R414</f>
        <v>Sin certificar</v>
      </c>
      <c r="L145" s="7" t="str">
        <f>Base!V414</f>
        <v>No registrado en cartera</v>
      </c>
      <c r="M145" s="7" t="str">
        <f>Base!W414</f>
        <v>No registrado en cartera</v>
      </c>
      <c r="N145" s="7" t="str">
        <f>Base!X414</f>
        <v>No registrado en cartera</v>
      </c>
      <c r="O145" s="7" t="str">
        <f>Base!Y414</f>
        <v>No registrado en cartera</v>
      </c>
      <c r="P145" s="6">
        <f>IF(Base!Z414="","",Base!Z414)</f>
        <v/>
      </c>
      <c r="Q145" s="18" t="str">
        <f>Base!S414</f>
        <v>Disponible</v>
      </c>
      <c r="R145" s="7">
        <f>Base!N414</f>
        <v>0.0</v>
      </c>
      <c r="S145" s="7">
        <f>Base!T414</f>
        <v>114255.0</v>
      </c>
    </row>
    <row r="146" spans="1:19">
      <c r="A146" s="18">
        <f>SUBTOTAL(103,$B$6:B146)</f>
        <v>124</v>
      </c>
      <c r="B146" s="18">
        <v>497</v>
      </c>
      <c r="C146" s="6" t="str">
        <f>Base!H415</f>
        <v>2694640: ADQUISICION DE EQUIPO ECOGRAFO, EQUIPO ECOGRAFO, EQUIPO ECOGRAFO Y EQUIPO ECOGRAFO; ADEMAS DE OTROS ACTIVOS EN NUEVE ESTABLECIMIENTOS DE SALUD I.2, ESTABLECIMIENTOS DE SALUD I.3, ESTABLECIMIENTOS DE SALUD I.1 A NIVEL PROVINCIAL (PUNO - MELGAR)</v>
      </c>
      <c r="D146" s="7">
        <f>Base!I415</f>
        <v>36445.0</v>
      </c>
      <c r="E146" s="7">
        <f>Base!J415</f>
        <v>0.0</v>
      </c>
      <c r="F146" s="7">
        <f>D146-E146</f>
        <v>36445.0</v>
      </c>
      <c r="G146" s="7">
        <f>Base!L415</f>
        <v>0.0</v>
      </c>
      <c r="H146" s="7">
        <f>D146-G146</f>
        <v>36445.0</v>
      </c>
      <c r="I146" s="19">
        <f>IF(D146=0,0,G146/D146)</f>
        <v>0.0</v>
      </c>
      <c r="J146" s="6" t="str">
        <f>Base!U415</f>
        <v>Expediente técnico</v>
      </c>
      <c r="K146" s="6" t="str">
        <f>Base!R415</f>
        <v>Sin certificar</v>
      </c>
      <c r="L146" s="7" t="str">
        <f>Base!V415</f>
        <v>No registrado en cartera</v>
      </c>
      <c r="M146" s="7" t="str">
        <f>Base!W415</f>
        <v>No registrado en cartera</v>
      </c>
      <c r="N146" s="7" t="str">
        <f>Base!X415</f>
        <v>No registrado en cartera</v>
      </c>
      <c r="O146" s="7" t="str">
        <f>Base!Y415</f>
        <v>No registrado en cartera</v>
      </c>
      <c r="P146" s="6">
        <f>IF(Base!Z415="","",Base!Z415)</f>
        <v/>
      </c>
      <c r="Q146" s="18" t="str">
        <f>Base!S415</f>
        <v>Disponible</v>
      </c>
      <c r="R146" s="7">
        <f>Base!N415</f>
        <v>0.0</v>
      </c>
      <c r="S146" s="7">
        <f>Base!T415</f>
        <v>36445.0</v>
      </c>
    </row>
    <row r="147" spans="1:19">
      <c r="A147" s="18">
        <f>SUBTOTAL(103,$B$6:B147)</f>
        <v>125</v>
      </c>
      <c r="B147" s="18">
        <v>498</v>
      </c>
      <c r="C147" s="6" t="str">
        <f>Base!H416</f>
        <v>2694772: ADQUISICION DE ANALIZADOR BIOQUIMICO SEMI AUTOMATICO, DETECTOR DE LATIDOS FETALES (TELEMEDICINA), ANALIZADOR BIOQUIMICO SEMI AUTOMATICO Y ANALIZADOR BIOQUIMICO SEMI AUTOMATICO; ADEMAS DE OTROS ACTIVOS EN CATORCE ESTABLECIMIENTOS DE SALUD I.2, ESTA</v>
      </c>
      <c r="D147" s="7">
        <f>Base!I416</f>
        <v>39485.0</v>
      </c>
      <c r="E147" s="7">
        <f>Base!J416</f>
        <v>0.0</v>
      </c>
      <c r="F147" s="7">
        <f>D147-E147</f>
        <v>39485.0</v>
      </c>
      <c r="G147" s="7">
        <f>Base!L416</f>
        <v>0.0</v>
      </c>
      <c r="H147" s="7">
        <f>D147-G147</f>
        <v>39485.0</v>
      </c>
      <c r="I147" s="19">
        <f>IF(D147=0,0,G147/D147)</f>
        <v>0.0</v>
      </c>
      <c r="J147" s="6" t="str">
        <f>Base!U416</f>
        <v>Expediente técnico</v>
      </c>
      <c r="K147" s="6" t="str">
        <f>Base!R416</f>
        <v>Sin certificar</v>
      </c>
      <c r="L147" s="7" t="str">
        <f>Base!V416</f>
        <v>No registrado en cartera</v>
      </c>
      <c r="M147" s="7" t="str">
        <f>Base!W416</f>
        <v>No registrado en cartera</v>
      </c>
      <c r="N147" s="7" t="str">
        <f>Base!X416</f>
        <v>No registrado en cartera</v>
      </c>
      <c r="O147" s="7" t="str">
        <f>Base!Y416</f>
        <v>No registrado en cartera</v>
      </c>
      <c r="P147" s="6">
        <f>IF(Base!Z416="","",Base!Z416)</f>
        <v/>
      </c>
      <c r="Q147" s="18" t="str">
        <f>Base!S416</f>
        <v>Disponible</v>
      </c>
      <c r="R147" s="7">
        <f>Base!N416</f>
        <v>0.0</v>
      </c>
      <c r="S147" s="7">
        <f>Base!T416</f>
        <v>39485.0</v>
      </c>
    </row>
    <row r="148" spans="1:19">
      <c r="A148" s="18">
        <f>SUBTOTAL(103,$B$6:B148)</f>
        <v>126</v>
      </c>
      <c r="B148" s="18">
        <v>524</v>
      </c>
      <c r="C148" s="6" t="str">
        <f>Base!H417</f>
        <v>2733644: ADQUISICION DE PATRULLEROS Y PATRULLEROS; EN EL(LA) FRENTE POLICIAL PUNO - COMISARIAS EN LAS 13 PROVINCIAS DE LA REGION PUNO, DISTRITO DE PUNO, PROVINCIA PUNO, DEPARTAMENTO PUNO</v>
      </c>
      <c r="D148" s="7">
        <f>Base!I417</f>
        <v>25610.0</v>
      </c>
      <c r="E148" s="7">
        <f>Base!J417</f>
        <v>0.0</v>
      </c>
      <c r="F148" s="7">
        <f>D148-E148</f>
        <v>25610.0</v>
      </c>
      <c r="G148" s="7">
        <f>Base!L417</f>
        <v>0.0</v>
      </c>
      <c r="H148" s="7">
        <f>D148-G148</f>
        <v>25610.0</v>
      </c>
      <c r="I148" s="19">
        <f>IF(D148=0,0,G148/D148)</f>
        <v>0.0</v>
      </c>
      <c r="J148" s="6" t="str">
        <f>Base!U417</f>
        <v>Expediente técnico</v>
      </c>
      <c r="K148" s="6" t="str">
        <f>Base!R417</f>
        <v>Sin certificar</v>
      </c>
      <c r="L148" s="7" t="str">
        <f>Base!V417</f>
        <v>No registrado en cartera</v>
      </c>
      <c r="M148" s="7" t="str">
        <f>Base!W417</f>
        <v>No registrado en cartera</v>
      </c>
      <c r="N148" s="7" t="str">
        <f>Base!X417</f>
        <v>No registrado en cartera</v>
      </c>
      <c r="O148" s="7" t="str">
        <f>Base!Y417</f>
        <v>No registrado en cartera</v>
      </c>
      <c r="P148" s="6">
        <f>IF(Base!Z417="","",Base!Z417)</f>
        <v/>
      </c>
      <c r="Q148" s="18" t="str">
        <f>Base!S417</f>
        <v>Disponible</v>
      </c>
      <c r="R148" s="7">
        <f>Base!N417</f>
        <v>0.0</v>
      </c>
      <c r="S148" s="7">
        <f>Base!T417</f>
        <v>25610.0</v>
      </c>
    </row>
    <row r="149" spans="1:19">
      <c r="A149" s="15" t="s">
        <v>71</v>
      </c>
      <c r="B149" s="15"/>
      <c r="C149" s="15"/>
      <c r="D149" s="16">
        <f>SUM(D150:D161)</f>
        <v>9798393.0</v>
      </c>
      <c r="E149" s="16">
        <f>SUM(E150:E161)</f>
        <v>7621399.41</v>
      </c>
      <c r="F149" s="16">
        <f>D149-E149</f>
        <v>2176993.59</v>
      </c>
      <c r="G149" s="16">
        <f>SUM(G150:G161)</f>
        <v>606651.9199999999</v>
      </c>
      <c r="H149" s="16">
        <f>D149-G149</f>
        <v>9191741.08</v>
      </c>
      <c r="I149" s="17">
        <f>IF(D149=0,0,G149/D149)</f>
        <v>0.061913409678505435</v>
      </c>
      <c r="J149" s="15"/>
      <c r="K149" s="15"/>
      <c r="L149" s="15"/>
      <c r="M149" s="15"/>
      <c r="N149" s="15"/>
      <c r="O149" s="15"/>
      <c r="P149" s="15"/>
      <c r="Q149" s="15"/>
      <c r="R149" s="16">
        <f>SUM(R150:R161)</f>
        <v>6997418.149999999</v>
      </c>
      <c r="S149" s="16">
        <f>SUM(S150:S161)</f>
        <v>9165684.33</v>
      </c>
    </row>
    <row r="150" spans="1:19">
      <c r="A150" s="18">
        <f>SUBTOTAL(103,$B$6:B150)</f>
        <v>127</v>
      </c>
      <c r="B150" s="18">
        <v>512</v>
      </c>
      <c r="C150" s="6" t="str">
        <f>Base!H418</f>
        <v>2721991: RENOVACION DE AULA DE EDUCACION PRIMARIA, AMBIENTE ADMINISTRATIVO, SERVICIOS HIGIENICOS Y/O VESTIDORES Y AMBIENTE DE USOS MULTIPLES; ADEMAS DE OTROS ACTIVOS EN CUATRO II.EE. PRIMARIA A NIVEL DISTRITAL (PUNO - SANDIA - SAN PEDRO DE PUTINA PUNCO)</v>
      </c>
      <c r="D150" s="7">
        <f>Base!I418</f>
        <v>3254770.0</v>
      </c>
      <c r="E150" s="7">
        <f>Base!J418</f>
        <v>2925559.55</v>
      </c>
      <c r="F150" s="7">
        <f>D150-E150</f>
        <v>329210.4500000002</v>
      </c>
      <c r="G150" s="7">
        <f>Base!L418</f>
        <v>0.0</v>
      </c>
      <c r="H150" s="7">
        <f>D150-G150</f>
        <v>3254770.0</v>
      </c>
      <c r="I150" s="19">
        <f>IF(D150=0,0,G150/D150)</f>
        <v>0.0</v>
      </c>
      <c r="J150" s="6" t="str">
        <f>Base!U418</f>
        <v>Contrata / Expediente técnico / Personal/bienes/servicios</v>
      </c>
      <c r="K150" s="6" t="str">
        <f>Base!R418</f>
        <v>Solo certificado</v>
      </c>
      <c r="L150" s="7" t="str">
        <f>Base!V418</f>
        <v>No registrado en cartera</v>
      </c>
      <c r="M150" s="7" t="str">
        <f>Base!W418</f>
        <v>No registrado en cartera</v>
      </c>
      <c r="N150" s="7" t="str">
        <f>Base!X418</f>
        <v>No registrado en cartera</v>
      </c>
      <c r="O150" s="7" t="str">
        <f>Base!Y418</f>
        <v>No registrado en cartera</v>
      </c>
      <c r="P150" s="6">
        <f>IF(Base!Z418="","",Base!Z418)</f>
        <v/>
      </c>
      <c r="Q150" s="18" t="str">
        <f>Base!S418</f>
        <v>Posible</v>
      </c>
      <c r="R150" s="7">
        <f>Base!N418</f>
        <v>2925559.55</v>
      </c>
      <c r="S150" s="7">
        <f>Base!T418</f>
        <v>3254770.0</v>
      </c>
    </row>
    <row r="151" spans="1:19">
      <c r="A151" s="18">
        <f>SUBTOTAL(103,$B$6:B151)</f>
        <v>128</v>
      </c>
      <c r="B151" s="18">
        <v>513</v>
      </c>
      <c r="C151" s="6" t="str">
        <f>Base!H419</f>
        <v>2721892: CONSTRUCCION DE AULA DE EDUCACION SECUNDARIA, AMBIENTE ADMINISTRATIVO Y SERVICIOS HIGIENICOS Y/O VESTIDORES; ADQUISICION DE MOBILIARIO DE AULA; EN EL(LA) IE PUERTO DE EDEN DISTRITO DE SAN PEDRO DE PUTINA PUNCO, PROVINCIA SANDIA, DEPARTAMENTO PUNO</v>
      </c>
      <c r="D151" s="7">
        <f>Base!I419</f>
        <v>1007572.0</v>
      </c>
      <c r="E151" s="7">
        <f>Base!J419</f>
        <v>838299.38</v>
      </c>
      <c r="F151" s="7">
        <f>D151-E151</f>
        <v>169272.62</v>
      </c>
      <c r="G151" s="7">
        <f>Base!L419</f>
        <v>0.0</v>
      </c>
      <c r="H151" s="7">
        <f>D151-G151</f>
        <v>1007572.0</v>
      </c>
      <c r="I151" s="19">
        <f>IF(D151=0,0,G151/D151)</f>
        <v>0.0</v>
      </c>
      <c r="J151" s="6" t="str">
        <f>Base!U419</f>
        <v>Contrata / Expediente técnico / Personal/bienes/servicios</v>
      </c>
      <c r="K151" s="6" t="str">
        <f>Base!R419</f>
        <v>Solo certificado</v>
      </c>
      <c r="L151" s="7" t="str">
        <f>Base!V419</f>
        <v>No registrado en cartera</v>
      </c>
      <c r="M151" s="7" t="str">
        <f>Base!W419</f>
        <v>No registrado en cartera</v>
      </c>
      <c r="N151" s="7" t="str">
        <f>Base!X419</f>
        <v>No registrado en cartera</v>
      </c>
      <c r="O151" s="7" t="str">
        <f>Base!Y419</f>
        <v>No registrado en cartera</v>
      </c>
      <c r="P151" s="6">
        <f>IF(Base!Z419="","",Base!Z419)</f>
        <v/>
      </c>
      <c r="Q151" s="18" t="str">
        <f>Base!S419</f>
        <v>Posible</v>
      </c>
      <c r="R151" s="7">
        <f>Base!N419</f>
        <v>838299.38</v>
      </c>
      <c r="S151" s="7">
        <f>Base!T419</f>
        <v>1007572.0</v>
      </c>
    </row>
    <row r="152" spans="1:19">
      <c r="A152" s="18">
        <f>SUBTOTAL(103,$B$6:B152)</f>
        <v>129</v>
      </c>
      <c r="B152" s="18">
        <v>515</v>
      </c>
      <c r="C152" s="6" t="str">
        <f>Base!H420</f>
        <v>2719529: RENOVACION DE AULA DE EDUCACION PRIMARIA, SERVICIOS HIGIENICOS Y/O VESTIDORES Y AMBIENTE DE USOS MULTIPLES; ADQUISICION DE MOBILIARIO DE AULA; EN TRES II.EE. PRIMARIA A NIVEL DISTRITAL (PUNO - SANDIA - ALTO INAMBARI)</v>
      </c>
      <c r="D152" s="7">
        <f>Base!I420</f>
        <v>1688098.0</v>
      </c>
      <c r="E152" s="7">
        <f>Base!J420</f>
        <v>1486603.23</v>
      </c>
      <c r="F152" s="7">
        <f>D152-E152</f>
        <v>201494.77000000002</v>
      </c>
      <c r="G152" s="7">
        <f>Base!L420</f>
        <v>0.0</v>
      </c>
      <c r="H152" s="7">
        <f>D152-G152</f>
        <v>1688098.0</v>
      </c>
      <c r="I152" s="19">
        <f>IF(D152=0,0,G152/D152)</f>
        <v>0.0</v>
      </c>
      <c r="J152" s="6" t="str">
        <f>Base!U420</f>
        <v>Contrata / Expediente técnico / Personal/bienes/servicios</v>
      </c>
      <c r="K152" s="6" t="str">
        <f>Base!R420</f>
        <v>Solo certificado</v>
      </c>
      <c r="L152" s="7" t="str">
        <f>Base!V420</f>
        <v>No registrado en cartera</v>
      </c>
      <c r="M152" s="7" t="str">
        <f>Base!W420</f>
        <v>No registrado en cartera</v>
      </c>
      <c r="N152" s="7" t="str">
        <f>Base!X420</f>
        <v>No registrado en cartera</v>
      </c>
      <c r="O152" s="7" t="str">
        <f>Base!Y420</f>
        <v>No registrado en cartera</v>
      </c>
      <c r="P152" s="6">
        <f>IF(Base!Z420="","",Base!Z420)</f>
        <v/>
      </c>
      <c r="Q152" s="18" t="str">
        <f>Base!S420</f>
        <v>Posible</v>
      </c>
      <c r="R152" s="7">
        <f>Base!N420</f>
        <v>1486603.23</v>
      </c>
      <c r="S152" s="7">
        <f>Base!T420</f>
        <v>1688098.0</v>
      </c>
    </row>
    <row r="153" spans="1:19">
      <c r="A153" s="18">
        <f>SUBTOTAL(103,$B$6:B153)</f>
        <v>130</v>
      </c>
      <c r="B153" s="18">
        <v>509</v>
      </c>
      <c r="C153" s="6" t="str">
        <f>Base!H421</f>
        <v>2723359: CONSTRUCCION DE AULA DE EDUCACION SECUNDARIA; ADQUISICION DE MOBILIARIO DE AULA; EN EL(LA) IE SECUNDARIA SANTA ROSA DISTRITO DE ALTO INAMBARI, PROVINCIA SANDIA, DEPARTAMENTO PUNO</v>
      </c>
      <c r="D153" s="7">
        <f>Base!I421</f>
        <v>680748.0</v>
      </c>
      <c r="E153" s="7">
        <f>Base!J421</f>
        <v>538302.9199999999</v>
      </c>
      <c r="F153" s="7">
        <f>D153-E153</f>
        <v>142445.08000000007</v>
      </c>
      <c r="G153" s="7">
        <f>Base!L421</f>
        <v>0.0</v>
      </c>
      <c r="H153" s="7">
        <f>D153-G153</f>
        <v>680748.0</v>
      </c>
      <c r="I153" s="19">
        <f>IF(D153=0,0,G153/D153)</f>
        <v>0.0</v>
      </c>
      <c r="J153" s="6" t="str">
        <f>Base!U421</f>
        <v>Contrata / Expediente técnico / Personal/bienes/servicios</v>
      </c>
      <c r="K153" s="6" t="str">
        <f>Base!R421</f>
        <v>Solo certificado</v>
      </c>
      <c r="L153" s="7" t="str">
        <f>Base!V421</f>
        <v>No registrado en cartera</v>
      </c>
      <c r="M153" s="7" t="str">
        <f>Base!W421</f>
        <v>No registrado en cartera</v>
      </c>
      <c r="N153" s="7" t="str">
        <f>Base!X421</f>
        <v>No registrado en cartera</v>
      </c>
      <c r="O153" s="7" t="str">
        <f>Base!Y421</f>
        <v>No registrado en cartera</v>
      </c>
      <c r="P153" s="6">
        <f>IF(Base!Z421="","",Base!Z421)</f>
        <v/>
      </c>
      <c r="Q153" s="18" t="str">
        <f>Base!S421</f>
        <v>Posible</v>
      </c>
      <c r="R153" s="7">
        <f>Base!N421</f>
        <v>538302.9199999999</v>
      </c>
      <c r="S153" s="7">
        <f>Base!T421</f>
        <v>680748.0</v>
      </c>
    </row>
    <row r="154" spans="1:19">
      <c r="A154" s="18">
        <f>SUBTOTAL(103,$B$6:B154)</f>
        <v>131</v>
      </c>
      <c r="B154" s="18">
        <v>510</v>
      </c>
      <c r="C154" s="6" t="str">
        <f>Base!H422</f>
        <v>2721888: CONSTRUCCION DE AULA DE EDUCACION SECUNDARIA; ADQUISICION DE MOBILIARIO DE AULA; EN EL(LA) IE I.E. SECUNDARIA JOSE MARIA ARGUEDAS EN LA LOCALIDAD CCAPUNA, DISTRITO DE SANDIA, PROVINCIA SANDIA, DEPARTAMENTO PUNO</v>
      </c>
      <c r="D154" s="7">
        <f>Base!I422</f>
        <v>670100.0</v>
      </c>
      <c r="E154" s="7">
        <f>Base!J422</f>
        <v>532791.97</v>
      </c>
      <c r="F154" s="7">
        <f>D154-E154</f>
        <v>137308.03000000003</v>
      </c>
      <c r="G154" s="7">
        <f>Base!L422</f>
        <v>0.0</v>
      </c>
      <c r="H154" s="7">
        <f>D154-G154</f>
        <v>670100.0</v>
      </c>
      <c r="I154" s="19">
        <f>IF(D154=0,0,G154/D154)</f>
        <v>0.0</v>
      </c>
      <c r="J154" s="6" t="str">
        <f>Base!U422</f>
        <v>Contrata / Expediente técnico / Personal/bienes/servicios</v>
      </c>
      <c r="K154" s="6" t="str">
        <f>Base!R422</f>
        <v>Solo certificado</v>
      </c>
      <c r="L154" s="7" t="str">
        <f>Base!V422</f>
        <v>No registrado en cartera</v>
      </c>
      <c r="M154" s="7" t="str">
        <f>Base!W422</f>
        <v>No registrado en cartera</v>
      </c>
      <c r="N154" s="7" t="str">
        <f>Base!X422</f>
        <v>No registrado en cartera</v>
      </c>
      <c r="O154" s="7" t="str">
        <f>Base!Y422</f>
        <v>No registrado en cartera</v>
      </c>
      <c r="P154" s="6">
        <f>IF(Base!Z422="","",Base!Z422)</f>
        <v/>
      </c>
      <c r="Q154" s="18" t="str">
        <f>Base!S422</f>
        <v>Posible</v>
      </c>
      <c r="R154" s="7">
        <f>Base!N422</f>
        <v>532791.97</v>
      </c>
      <c r="S154" s="7">
        <f>Base!T422</f>
        <v>670100.0</v>
      </c>
    </row>
    <row r="155" spans="1:19">
      <c r="A155" s="18">
        <f>SUBTOTAL(103,$B$6:B155)</f>
        <v>132</v>
      </c>
      <c r="B155" s="18">
        <v>511</v>
      </c>
      <c r="C155" s="6" t="str">
        <f>Base!H423</f>
        <v>2721886: CONSTRUCCION DE AULA DE EDUCACION INICIAL; ADQUISICION DE MOBILIARIO DE AULA; EN EL(LA) IE INICIAL N° 1048 DE HUENCALLA DISTRITO DE SANDIA, PROVINCIA SANDIA, DEPARTAMENTO PUNO</v>
      </c>
      <c r="D155" s="7">
        <f>Base!I423</f>
        <v>388514.0</v>
      </c>
      <c r="E155" s="7">
        <f>Base!J423</f>
        <v>269223.83999999997</v>
      </c>
      <c r="F155" s="7">
        <f>D155-E155</f>
        <v>119290.16000000003</v>
      </c>
      <c r="G155" s="7">
        <f>Base!L423</f>
        <v>0.0</v>
      </c>
      <c r="H155" s="7">
        <f>D155-G155</f>
        <v>388514.0</v>
      </c>
      <c r="I155" s="19">
        <f>IF(D155=0,0,G155/D155)</f>
        <v>0.0</v>
      </c>
      <c r="J155" s="6" t="str">
        <f>Base!U423</f>
        <v>Contrata / Expediente técnico / Personal/bienes/servicios</v>
      </c>
      <c r="K155" s="6" t="str">
        <f>Base!R423</f>
        <v>Solo certificado</v>
      </c>
      <c r="L155" s="7" t="str">
        <f>Base!V423</f>
        <v>No registrado en cartera</v>
      </c>
      <c r="M155" s="7" t="str">
        <f>Base!W423</f>
        <v>No registrado en cartera</v>
      </c>
      <c r="N155" s="7" t="str">
        <f>Base!X423</f>
        <v>No registrado en cartera</v>
      </c>
      <c r="O155" s="7" t="str">
        <f>Base!Y423</f>
        <v>No registrado en cartera</v>
      </c>
      <c r="P155" s="6">
        <f>IF(Base!Z423="","",Base!Z423)</f>
        <v/>
      </c>
      <c r="Q155" s="18" t="str">
        <f>Base!S423</f>
        <v>Posible</v>
      </c>
      <c r="R155" s="7">
        <f>Base!N423</f>
        <v>269223.83999999997</v>
      </c>
      <c r="S155" s="7">
        <f>Base!T423</f>
        <v>388514.0</v>
      </c>
    </row>
    <row r="156" spans="1:19">
      <c r="A156" s="18">
        <f>SUBTOTAL(103,$B$6:B156)</f>
        <v>133</v>
      </c>
      <c r="B156" s="18">
        <v>514</v>
      </c>
      <c r="C156" s="6" t="str">
        <f>Base!H424</f>
        <v>2721889: CONSTRUCCION DE AULA DE EDUCACION INICIAL Y AMBIENTE ADMINISTRATIVO; ADQUISICION DE MOBILIARIO DE AULA Y EQUIPAMIENTO DE AULA; EN EL(LA) IE 1027 EN LA LOCALIDAD ISILLUMA, DISTRITO DE ALTO INAMBARI, PROVINCIA SANDIA, DEPARTAMENTO PUNO</v>
      </c>
      <c r="D156" s="7">
        <f>Base!I424</f>
        <v>542416.0</v>
      </c>
      <c r="E156" s="7">
        <f>Base!J424</f>
        <v>401911.51</v>
      </c>
      <c r="F156" s="7">
        <f>D156-E156</f>
        <v>140504.49</v>
      </c>
      <c r="G156" s="7">
        <f>Base!L424</f>
        <v>0.0</v>
      </c>
      <c r="H156" s="7">
        <f>D156-G156</f>
        <v>542416.0</v>
      </c>
      <c r="I156" s="19">
        <f>IF(D156=0,0,G156/D156)</f>
        <v>0.0</v>
      </c>
      <c r="J156" s="6" t="str">
        <f>Base!U424</f>
        <v>Contrata / Expediente técnico / Personal/bienes/servicios</v>
      </c>
      <c r="K156" s="6" t="str">
        <f>Base!R424</f>
        <v>Solo certificado</v>
      </c>
      <c r="L156" s="7" t="str">
        <f>Base!V424</f>
        <v>No registrado en cartera</v>
      </c>
      <c r="M156" s="7" t="str">
        <f>Base!W424</f>
        <v>No registrado en cartera</v>
      </c>
      <c r="N156" s="7" t="str">
        <f>Base!X424</f>
        <v>No registrado en cartera</v>
      </c>
      <c r="O156" s="7" t="str">
        <f>Base!Y424</f>
        <v>No registrado en cartera</v>
      </c>
      <c r="P156" s="6">
        <f>IF(Base!Z424="","",Base!Z424)</f>
        <v/>
      </c>
      <c r="Q156" s="18" t="str">
        <f>Base!S424</f>
        <v>Posible</v>
      </c>
      <c r="R156" s="7">
        <f>Base!N424</f>
        <v>401911.51</v>
      </c>
      <c r="S156" s="7">
        <f>Base!T424</f>
        <v>542416.0</v>
      </c>
    </row>
    <row r="157" spans="1:19">
      <c r="A157" s="18">
        <f>SUBTOTAL(103,$B$6:B157)</f>
        <v>134</v>
      </c>
      <c r="B157" s="18">
        <v>516</v>
      </c>
      <c r="C157" s="6" t="str">
        <f>Base!H425</f>
        <v>2729834: CONSTRUCCION DE AULA DE EDUCACION PRIMARIA, SERVICIOS HIGIENICOS Y/O VESTIDORES PARA ESTUDIANTES Y AMBIENTE DE GESTION ADMINISTRATIVA Y DIRECCION; ADQUISICION DE MOBILIARIO DE AULA; EN EL(LA) I.E. 72544 DISTRITO DE ALTO INAMBARI, PROVINCIA SANDIA,</v>
      </c>
      <c r="D157" s="7">
        <f>Base!I425</f>
        <v>928545.0</v>
      </c>
      <c r="E157" s="7">
        <f>Base!J425</f>
        <v>0.0</v>
      </c>
      <c r="F157" s="7">
        <f>D157-E157</f>
        <v>928545.0</v>
      </c>
      <c r="G157" s="7">
        <f>Base!L425</f>
        <v>0.0</v>
      </c>
      <c r="H157" s="7">
        <f>D157-G157</f>
        <v>928545.0</v>
      </c>
      <c r="I157" s="19">
        <f>IF(D157=0,0,G157/D157)</f>
        <v>0.0</v>
      </c>
      <c r="J157" s="6" t="str">
        <f>Base!U425</f>
        <v>Contrata / Expediente técnico</v>
      </c>
      <c r="K157" s="6" t="str">
        <f>Base!R425</f>
        <v>Sin certificar</v>
      </c>
      <c r="L157" s="7" t="str">
        <f>Base!V425</f>
        <v>No registrado en cartera</v>
      </c>
      <c r="M157" s="7" t="str">
        <f>Base!W425</f>
        <v>No registrado en cartera</v>
      </c>
      <c r="N157" s="7" t="str">
        <f>Base!X425</f>
        <v>No registrado en cartera</v>
      </c>
      <c r="O157" s="7" t="str">
        <f>Base!Y425</f>
        <v>No registrado en cartera</v>
      </c>
      <c r="P157" s="6">
        <f>IF(Base!Z425="","",Base!Z425)</f>
        <v/>
      </c>
      <c r="Q157" s="18" t="str">
        <f>Base!S425</f>
        <v>Disponible</v>
      </c>
      <c r="R157" s="7">
        <f>Base!N425</f>
        <v>0.0</v>
      </c>
      <c r="S157" s="7">
        <f>Base!T425</f>
        <v>928545.0</v>
      </c>
    </row>
    <row r="158" spans="1:19">
      <c r="A158" s="18">
        <f>SUBTOTAL(103,$B$6:B158)</f>
        <v>135</v>
      </c>
      <c r="B158" s="18">
        <v>348</v>
      </c>
      <c r="C158" s="6" t="str">
        <f>Base!H426</f>
        <v>2693441: ADQUISICION DE EQUIPO DE AULA DE EDUCACION SECUNDARIA; EN EL(LA) I.E. GLORIOSO SAN CARLOS  DISTRITO DE PUNO, PROVINCIA PUNO, DEPARTAMENTO PUNO</v>
      </c>
      <c r="D158" s="7">
        <f>Base!I426</f>
        <v>70059.0</v>
      </c>
      <c r="E158" s="7">
        <f>Base!J426</f>
        <v>70057.9</v>
      </c>
      <c r="F158" s="7">
        <f>D158-E158</f>
        <v>1.1000000000058208</v>
      </c>
      <c r="G158" s="7">
        <f>Base!L426</f>
        <v>70029.94</v>
      </c>
      <c r="H158" s="7">
        <f>D158-G158</f>
        <v>29.05999999999767</v>
      </c>
      <c r="I158" s="19">
        <f>IF(D158=0,0,G158/D158)</f>
        <v>0.9995852067543071</v>
      </c>
      <c r="J158" s="6" t="str">
        <f>Base!U426</f>
        <v>Otro (SOFTWARES) / Contrata / Personal/bienes/servicios</v>
      </c>
      <c r="K158" s="6" t="str">
        <f>Base!R426</f>
        <v>Ejecutado</v>
      </c>
      <c r="L158" s="7">
        <f>Base!V426</f>
        <v>105988.0</v>
      </c>
      <c r="M158" s="7">
        <f>Base!W426</f>
        <v>0</v>
      </c>
      <c r="N158" s="7">
        <f>Base!X426</f>
        <v>35929.0</v>
      </c>
      <c r="O158" s="7">
        <f>Base!Y426</f>
        <v>0</v>
      </c>
      <c r="P158" s="6">
        <f>IF(Base!Z426="","",Base!Z426)</f>
        <v/>
      </c>
      <c r="Q158" s="18" t="str">
        <f>Base!S426</f>
        <v>No usar</v>
      </c>
      <c r="R158" s="7">
        <f>Base!N426</f>
        <v>0.0</v>
      </c>
      <c r="S158" s="7">
        <f>Base!T426</f>
        <v>0.0</v>
      </c>
    </row>
    <row r="159" spans="1:19">
      <c r="A159" s="18">
        <f>SUBTOTAL(103,$B$6:B159)</f>
        <v>136</v>
      </c>
      <c r="B159" s="18">
        <v>349</v>
      </c>
      <c r="C159" s="6" t="str">
        <f>Base!H427</f>
        <v>2692840: ADQUISICION DE EQUIPO DE AULA DE EDUCACION PRIMARIA; EN EL(LA) I.E. GLORIOSO SAN CARLOS  DISTRITO DE PUNO, PROVINCIA PUNO, DEPARTAMENTO PUNO</v>
      </c>
      <c r="D159" s="7">
        <f>Base!I427</f>
        <v>100785.0</v>
      </c>
      <c r="E159" s="7">
        <f>Base!J427</f>
        <v>100589.42</v>
      </c>
      <c r="F159" s="7">
        <f>D159-E159</f>
        <v>195.58000000000175</v>
      </c>
      <c r="G159" s="7">
        <f>Base!L427</f>
        <v>88974.89</v>
      </c>
      <c r="H159" s="7">
        <f>D159-G159</f>
        <v>11810.11</v>
      </c>
      <c r="I159" s="19">
        <f>IF(D159=0,0,G159/D159)</f>
        <v>0.8828187726348167</v>
      </c>
      <c r="J159" s="6" t="str">
        <f>Base!U427</f>
        <v>Contrata / Otro (SOFTWARES) / Personal/bienes/servicios</v>
      </c>
      <c r="K159" s="6" t="str">
        <f>Base!R427</f>
        <v>Mayormente comprometido</v>
      </c>
      <c r="L159" s="7">
        <f>Base!V427</f>
        <v>155899.0</v>
      </c>
      <c r="M159" s="7">
        <f>Base!W427</f>
        <v>0</v>
      </c>
      <c r="N159" s="7">
        <f>Base!X427</f>
        <v>55114.0</v>
      </c>
      <c r="O159" s="7">
        <f>Base!Y427</f>
        <v>0</v>
      </c>
      <c r="P159" s="6">
        <f>IF(Base!Z427="","",Base!Z427)</f>
        <v/>
      </c>
      <c r="Q159" s="18" t="str">
        <f>Base!S427</f>
        <v>Difícil</v>
      </c>
      <c r="R159" s="7">
        <f>Base!N427</f>
        <v>4725.75</v>
      </c>
      <c r="S159" s="7">
        <f>Base!T427</f>
        <v>4921.330000000002</v>
      </c>
    </row>
    <row r="160" spans="1:19">
      <c r="A160" s="18">
        <f>SUBTOTAL(103,$B$6:B160)</f>
        <v>137</v>
      </c>
      <c r="B160" s="18">
        <v>461</v>
      </c>
      <c r="C160" s="6" t="str">
        <f>Base!H428</f>
        <v>2699544: ADQUISICION DE EQUIPAMIENTO DE AULA; EN SIETE II.EE. INICIAL  DISTRITO DE SAN JUAN DE SALINAS, PROVINCIA AZANGARO, DEPARTAMENTO PUNO</v>
      </c>
      <c r="D160" s="7">
        <f>Base!I428</f>
        <v>195079.0</v>
      </c>
      <c r="E160" s="7">
        <f>Base!J428</f>
        <v>186354.0</v>
      </c>
      <c r="F160" s="7">
        <f>D160-E160</f>
        <v>8725.0</v>
      </c>
      <c r="G160" s="7">
        <f>Base!L428</f>
        <v>176804.43</v>
      </c>
      <c r="H160" s="7">
        <f>D160-G160</f>
        <v>18274.570000000007</v>
      </c>
      <c r="I160" s="19">
        <f>IF(D160=0,0,G160/D160)</f>
        <v>0.9063222079260197</v>
      </c>
      <c r="J160" s="6" t="str">
        <f>Base!U428</f>
        <v>Administración directa / Equipamiento / Contrata / Personal/bienes/servicios</v>
      </c>
      <c r="K160" s="6" t="str">
        <f>Base!R428</f>
        <v>Ejecutado</v>
      </c>
      <c r="L160" s="7">
        <f>Base!V428</f>
        <v>195079.0</v>
      </c>
      <c r="M160" s="7">
        <f>Base!W428</f>
        <v>23547.0</v>
      </c>
      <c r="N160" s="7">
        <f>Base!X428</f>
        <v>1.0</v>
      </c>
      <c r="O160" s="7">
        <f>Base!Y428</f>
        <v>0</v>
      </c>
      <c r="P160" s="6">
        <f>IF(Base!Z428="","",Base!Z428)</f>
        <v/>
      </c>
      <c r="Q160" s="18" t="str">
        <f>Base!S428</f>
        <v>No usar</v>
      </c>
      <c r="R160" s="7">
        <f>Base!N428</f>
        <v>0.0</v>
      </c>
      <c r="S160" s="7">
        <f>Base!T428</f>
        <v>0.0</v>
      </c>
    </row>
    <row r="161" spans="1:19">
      <c r="A161" s="18">
        <f>SUBTOTAL(103,$B$6:B161)</f>
        <v>138</v>
      </c>
      <c r="B161" s="18">
        <v>345</v>
      </c>
      <c r="C161" s="6" t="str">
        <f>Base!H443</f>
        <v>2699546: ADQUISICION DE EQUIPAMIENTO DE AULA DE INNOVACION PEDAGOGICA; EN OCHO II.EE. PRIMARIA  DISTRITO DE SAN JUAN DE SALINAS, PROVINCIA AZANGARO, DEPARTAMENTO PUNO</v>
      </c>
      <c r="D161" s="7">
        <f>Base!I443</f>
        <v>271707.0</v>
      </c>
      <c r="E161" s="7">
        <f>Base!J443</f>
        <v>271705.69</v>
      </c>
      <c r="F161" s="7">
        <f>D161-E161</f>
        <v>1.3099999999976717</v>
      </c>
      <c r="G161" s="7">
        <f>Base!L443</f>
        <v>270842.66</v>
      </c>
      <c r="H161" s="7">
        <f>D161-G161</f>
        <v>864.3400000000256</v>
      </c>
      <c r="I161" s="19">
        <f>IF(D161=0,0,G161/D161)</f>
        <v>0.9968188526611386</v>
      </c>
      <c r="J161" s="6" t="str">
        <f>Base!U443</f>
        <v>Equipamiento / Administración directa / Contrata / Personal/bienes/servicios</v>
      </c>
      <c r="K161" s="6" t="str">
        <f>Base!R443</f>
        <v>Ejecutado</v>
      </c>
      <c r="L161" s="7">
        <f>Base!V443</f>
        <v>267733.0</v>
      </c>
      <c r="M161" s="7">
        <f>Base!W443</f>
        <v>20886.0</v>
      </c>
      <c r="N161" s="7">
        <f>Base!X443</f>
        <v>0</v>
      </c>
      <c r="O161" s="7">
        <f>Base!Y443</f>
        <v>0</v>
      </c>
      <c r="P161" s="6">
        <f>IF(Base!Z443="","",Base!Z443)</f>
        <v/>
      </c>
      <c r="Q161" s="18" t="str">
        <f>Base!S443</f>
        <v>No usar</v>
      </c>
      <c r="R161" s="7">
        <f>Base!N443</f>
        <v>0.0</v>
      </c>
      <c r="S161" s="7">
        <f>Base!T443</f>
        <v>0.0</v>
      </c>
    </row>
    <row r="162" spans="1:19">
      <c r="A162" s="15" t="s">
        <v>1225</v>
      </c>
      <c r="B162" s="15"/>
      <c r="C162" s="15"/>
      <c r="D162" s="16">
        <f>SUM(D163:D164)</f>
        <v>11936253.0</v>
      </c>
      <c r="E162" s="16">
        <f>SUM(E163:E164)</f>
        <v>10980493.78</v>
      </c>
      <c r="F162" s="16">
        <f>D162-E162</f>
        <v>955759.2200000007</v>
      </c>
      <c r="G162" s="16">
        <f>SUM(G163:G164)</f>
        <v>5861139.600000001</v>
      </c>
      <c r="H162" s="16">
        <f>D162-G162</f>
        <v>6075113.399999999</v>
      </c>
      <c r="I162" s="17">
        <f>IF(D162=0,0,G162/D162)</f>
        <v>0.4910368102954923</v>
      </c>
      <c r="J162" s="15"/>
      <c r="K162" s="15"/>
      <c r="L162" s="15"/>
      <c r="M162" s="15"/>
      <c r="N162" s="15"/>
      <c r="O162" s="15"/>
      <c r="P162" s="15"/>
      <c r="Q162" s="15"/>
      <c r="R162" s="16">
        <f>SUM(R163:R164)</f>
        <v>5047834.3999999985</v>
      </c>
      <c r="S162" s="16">
        <f>SUM(S163:S164)</f>
        <v>6003593.619999999</v>
      </c>
    </row>
    <row r="163" spans="1:19">
      <c r="A163" s="18">
        <f>SUBTOTAL(103,$B$6:B163)</f>
        <v>139</v>
      </c>
      <c r="B163" s="18">
        <v>3</v>
      </c>
      <c r="C163" s="6" t="str">
        <f>Base!H429</f>
        <v>2683535: MEJORAMIENTO DEL SERVICIO DE SEGURIDAD CIUDADANA LOCAL EN 73 UNIDADES PRODUCTORAS 73 DISTRITOS DE 11 PROVINCIAS DEL DEPARTAMENTO DE PUNO 11 PROVINCIAS DEL DEPARTAMENTO DE PUNO</v>
      </c>
      <c r="D163" s="7">
        <f>Base!I429</f>
        <v>6654893.0</v>
      </c>
      <c r="E163" s="7">
        <f>Base!J429</f>
        <v>6543805.6899999995</v>
      </c>
      <c r="F163" s="7">
        <f>D163-E163</f>
        <v>111087.31000000052</v>
      </c>
      <c r="G163" s="7">
        <f>Base!L429</f>
        <v>5720622.970000001</v>
      </c>
      <c r="H163" s="7">
        <f>D163-G163</f>
        <v>934270.0299999993</v>
      </c>
      <c r="I163" s="19">
        <f>IF(D163=0,0,G163/D163)</f>
        <v>0.8596115624999532</v>
      </c>
      <c r="J163" s="6" t="str">
        <f>Base!U429</f>
        <v>Equipamiento / Contrata / Personal/bienes/servicios</v>
      </c>
      <c r="K163" s="6" t="str">
        <f>Base!R429</f>
        <v>Mayormente comprometido</v>
      </c>
      <c r="L163" s="7">
        <f>Base!V429</f>
        <v>100000.0</v>
      </c>
      <c r="M163" s="7">
        <f>Base!W429</f>
        <v>218816.0</v>
      </c>
      <c r="N163" s="7">
        <f>Base!X429</f>
        <v>309853.0</v>
      </c>
      <c r="O163" s="7">
        <f>Base!Y429</f>
        <v>0</v>
      </c>
      <c r="P163" s="6">
        <f>IF(Base!Z429="","",Base!Z429)</f>
        <v/>
      </c>
      <c r="Q163" s="18" t="str">
        <f>Base!S429</f>
        <v>Difícil</v>
      </c>
      <c r="R163" s="7">
        <f>Base!N429</f>
        <v>788055.9999999991</v>
      </c>
      <c r="S163" s="7">
        <f>Base!T429</f>
        <v>899143.3099999996</v>
      </c>
    </row>
    <row r="164" spans="1:19">
      <c r="A164" s="18">
        <f>SUBTOTAL(103,$B$6:B164)</f>
        <v>140</v>
      </c>
      <c r="B164" s="18">
        <v>286</v>
      </c>
      <c r="C164" s="6" t="str">
        <f>Base!H430</f>
        <v>2685431: ADQUISICION DE AMBULANCIA URBANA, CAMIONETA, CAMIÓN PLATAFORMA Y CAMION CISTERNA; ADEMÁS DE OTROS ACTIVOS EN CINCO COMPAÑÍA DE BOMBEROS A NIVEL DEPARTAMENTAL (PUNO)</v>
      </c>
      <c r="D164" s="7">
        <f>Base!I430</f>
        <v>5281360.0</v>
      </c>
      <c r="E164" s="7">
        <f>Base!J430</f>
        <v>4436688.09</v>
      </c>
      <c r="F164" s="7">
        <f>D164-E164</f>
        <v>844671.9100000001</v>
      </c>
      <c r="G164" s="7">
        <f>Base!L430</f>
        <v>140516.63</v>
      </c>
      <c r="H164" s="7">
        <f>D164-G164</f>
        <v>5140843.37</v>
      </c>
      <c r="I164" s="19">
        <f>IF(D164=0,0,G164/D164)</f>
        <v>0.026606145008103974</v>
      </c>
      <c r="J164" s="6" t="str">
        <f>Base!U430</f>
        <v>Equipamiento / Contrata / Personal/bienes/servicios</v>
      </c>
      <c r="K164" s="6" t="str">
        <f>Base!R430</f>
        <v>Parcialmente comprometido</v>
      </c>
      <c r="L164" s="7">
        <f>Base!V430</f>
        <v>5358341.0</v>
      </c>
      <c r="M164" s="7">
        <f>Base!W430</f>
        <v>6902686.0</v>
      </c>
      <c r="N164" s="7">
        <f>Base!X430</f>
        <v>800000.0</v>
      </c>
      <c r="O164" s="7">
        <f>Base!Y430</f>
        <v>800000.0</v>
      </c>
      <c r="P164" s="6">
        <f>IF(Base!Z430="","",Base!Z430)</f>
        <v/>
      </c>
      <c r="Q164" s="18" t="str">
        <f>Base!S430</f>
        <v>Parcial</v>
      </c>
      <c r="R164" s="7">
        <f>Base!N430</f>
        <v>4259778.399999999</v>
      </c>
      <c r="S164" s="7">
        <f>Base!T430</f>
        <v>5104450.31</v>
      </c>
    </row>
    <row r="165" spans="1:19">
      <c r="A165" s="15" t="s">
        <v>277</v>
      </c>
      <c r="B165" s="15"/>
      <c r="C165" s="15"/>
      <c r="D165" s="16">
        <f>SUM(D166:D166)</f>
        <v>0.0</v>
      </c>
      <c r="E165" s="16">
        <f>SUM(E166:E166)</f>
        <v>0.0</v>
      </c>
      <c r="F165" s="16">
        <f>D165-E165</f>
        <v>0.0</v>
      </c>
      <c r="G165" s="16">
        <f>SUM(G166:G166)</f>
        <v>0.0</v>
      </c>
      <c r="H165" s="16">
        <f>D165-G165</f>
        <v>0.0</v>
      </c>
      <c r="I165" s="17">
        <f>IF(D165=0,0,G165/D165)</f>
        <v>0</v>
      </c>
      <c r="J165" s="15"/>
      <c r="K165" s="15"/>
      <c r="L165" s="15"/>
      <c r="M165" s="15"/>
      <c r="N165" s="15"/>
      <c r="O165" s="15"/>
      <c r="P165" s="15"/>
      <c r="Q165" s="15"/>
      <c r="R165" s="16">
        <f>SUM(R166:R166)</f>
        <v>0.0</v>
      </c>
      <c r="S165" s="16">
        <f>SUM(S166:S166)</f>
        <v>0.0</v>
      </c>
    </row>
    <row r="166" spans="1:19">
      <c r="A166" s="18">
        <f>SUBTOTAL(103,$B$6:B166)</f>
        <v>141</v>
      </c>
      <c r="B166" s="18">
        <v>266</v>
      </c>
      <c r="C166" s="6" t="str">
        <f>Base!H431</f>
        <v>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v>
      </c>
      <c r="D166" s="7">
        <f>Base!I431</f>
        <v>0.0</v>
      </c>
      <c r="E166" s="7">
        <f>Base!J431</f>
        <v>0.0</v>
      </c>
      <c r="F166" s="7">
        <f>D166-E166</f>
        <v>0.0</v>
      </c>
      <c r="G166" s="7">
        <f>Base!L431</f>
        <v>0.0</v>
      </c>
      <c r="H166" s="7">
        <f>D166-G166</f>
        <v>0.0</v>
      </c>
      <c r="I166" s="19">
        <f>IF(D166=0,0,G166/D166)</f>
        <v>0</v>
      </c>
      <c r="J166" s="6" t="str">
        <f>Base!U431</f>
        <v>Contrata</v>
      </c>
      <c r="K166" s="6" t="str">
        <f>Base!R431</f>
        <v>Sin PIM</v>
      </c>
      <c r="L166" s="7">
        <f>Base!V431</f>
        <v>200000.0</v>
      </c>
      <c r="M166" s="7">
        <f>Base!W431</f>
        <v>0</v>
      </c>
      <c r="N166" s="7">
        <f>Base!X431</f>
        <v>0</v>
      </c>
      <c r="O166" s="7">
        <f>Base!Y431</f>
        <v>0</v>
      </c>
      <c r="P166" s="6">
        <f>IF(Base!Z431="","",Base!Z431)</f>
        <v/>
      </c>
      <c r="Q166" s="18" t="str">
        <f>Base!S431</f>
        <v>Sin PIM</v>
      </c>
      <c r="R166" s="7">
        <f>Base!N431</f>
        <v>0.0</v>
      </c>
      <c r="S166" s="7">
        <f>Base!T431</f>
        <v>0.0</v>
      </c>
    </row>
    <row r="167" spans="1:19">
      <c r="A167" s="11" t="s">
        <v>1411</v>
      </c>
      <c r="B167" s="11"/>
      <c r="C167" s="11"/>
      <c r="D167" s="12">
        <f>SUM(D168:D177)</f>
        <v>7151039.0</v>
      </c>
      <c r="E167" s="12">
        <f>SUM(E168:E177)</f>
        <v>5777500.990000001</v>
      </c>
      <c r="F167" s="12">
        <f>D167-E167</f>
        <v>1373538.0099999988</v>
      </c>
      <c r="G167" s="12">
        <f>SUM(G168:G177)</f>
        <v>5400403.3100000005</v>
      </c>
      <c r="H167" s="12">
        <f>D167-G167</f>
        <v>1750635.6899999995</v>
      </c>
      <c r="I167" s="13">
        <f>IF(D167=0,0,G167/D167)</f>
        <v>0.7551914218339462</v>
      </c>
      <c r="J167" s="11"/>
      <c r="K167" s="11"/>
      <c r="L167" s="11"/>
      <c r="M167" s="11"/>
      <c r="N167" s="11"/>
      <c r="O167" s="11"/>
      <c r="P167" s="11"/>
      <c r="Q167" s="11"/>
      <c r="R167" s="12">
        <f>SUM(R168:R177)</f>
        <v>4011.7800000004936</v>
      </c>
      <c r="S167" s="12">
        <f>SUM(S168:S177)</f>
        <v>1273568.87</v>
      </c>
    </row>
    <row r="168" spans="1:19">
      <c r="A168" s="18">
        <f>SUBTOTAL(103,$B$6:B168)</f>
        <v>142</v>
      </c>
      <c r="B168" s="18">
        <v>213</v>
      </c>
      <c r="C168" s="6" t="str">
        <f>Base!H432</f>
        <v>2001621: ESTUDIOS DE PRE-INVERSION</v>
      </c>
      <c r="D168" s="7">
        <f>Base!I432</f>
        <v>185239.0</v>
      </c>
      <c r="E168" s="7">
        <f>Base!J432</f>
        <v>0.0</v>
      </c>
      <c r="F168" s="7">
        <f>D168-E168</f>
        <v>185239.0</v>
      </c>
      <c r="G168" s="7">
        <f>Base!L432</f>
        <v>0.0</v>
      </c>
      <c r="H168" s="7">
        <f>D168-G168</f>
        <v>185239.0</v>
      </c>
      <c r="I168" s="19">
        <f>IF(D168=0,0,G168/D168)</f>
        <v>0.0</v>
      </c>
      <c r="J168" s="6" t="str">
        <f>Base!U432</f>
        <v>Estudio de preinversión</v>
      </c>
      <c r="K168" s="6" t="str">
        <f>Base!R432</f>
        <v>Sin certificar</v>
      </c>
      <c r="L168" s="7" t="str">
        <f>Base!V432</f>
        <v>No registrado en cartera</v>
      </c>
      <c r="M168" s="7" t="str">
        <f>Base!W432</f>
        <v>No registrado en cartera</v>
      </c>
      <c r="N168" s="7" t="str">
        <f>Base!X432</f>
        <v>No registrado en cartera</v>
      </c>
      <c r="O168" s="7" t="str">
        <f>Base!Y432</f>
        <v>No registrado en cartera</v>
      </c>
      <c r="P168" s="6">
        <f>IF(Base!Z432="","",Base!Z432)</f>
        <v/>
      </c>
      <c r="Q168" s="18" t="str">
        <f>Base!S432</f>
        <v>Disponible</v>
      </c>
      <c r="R168" s="7">
        <f>Base!N432</f>
        <v>0.0</v>
      </c>
      <c r="S168" s="7">
        <f>Base!T432</f>
        <v>185239.0</v>
      </c>
    </row>
    <row r="169" spans="1:19">
      <c r="A169" s="18">
        <f>SUBTOTAL(103,$B$6:B169)</f>
        <v>143</v>
      </c>
      <c r="B169" s="18">
        <v>214</v>
      </c>
      <c r="C169" s="6" t="str">
        <f>Base!H433</f>
        <v>2001621: ESTUDIOS DE PRE-INVERSION</v>
      </c>
      <c r="D169" s="7">
        <f>Base!I433</f>
        <v>39457.0</v>
      </c>
      <c r="E169" s="7">
        <f>Base!J433</f>
        <v>0.0</v>
      </c>
      <c r="F169" s="7">
        <f>D169-E169</f>
        <v>39457.0</v>
      </c>
      <c r="G169" s="7">
        <f>Base!L433</f>
        <v>0.0</v>
      </c>
      <c r="H169" s="7">
        <f>D169-G169</f>
        <v>39457.0</v>
      </c>
      <c r="I169" s="19">
        <f>IF(D169=0,0,G169/D169)</f>
        <v>0.0</v>
      </c>
      <c r="J169" s="6" t="str">
        <f>Base!U433</f>
        <v>Estudio de preinversión</v>
      </c>
      <c r="K169" s="6" t="str">
        <f>Base!R433</f>
        <v>Sin certificar</v>
      </c>
      <c r="L169" s="7" t="str">
        <f>Base!V433</f>
        <v>No registrado en cartera</v>
      </c>
      <c r="M169" s="7" t="str">
        <f>Base!W433</f>
        <v>No registrado en cartera</v>
      </c>
      <c r="N169" s="7" t="str">
        <f>Base!X433</f>
        <v>No registrado en cartera</v>
      </c>
      <c r="O169" s="7" t="str">
        <f>Base!Y433</f>
        <v>No registrado en cartera</v>
      </c>
      <c r="P169" s="6">
        <f>IF(Base!Z433="","",Base!Z433)</f>
        <v/>
      </c>
      <c r="Q169" s="18" t="str">
        <f>Base!S433</f>
        <v>Disponible</v>
      </c>
      <c r="R169" s="7">
        <f>Base!N433</f>
        <v>0.0</v>
      </c>
      <c r="S169" s="7">
        <f>Base!T433</f>
        <v>39457.0</v>
      </c>
    </row>
    <row r="170" spans="1:19">
      <c r="A170" s="18">
        <f>SUBTOTAL(103,$B$6:B170)</f>
        <v>144</v>
      </c>
      <c r="B170" s="18">
        <v>215</v>
      </c>
      <c r="C170" s="6" t="str">
        <f>Base!H434</f>
        <v>2001621: ESTUDIOS DE PRE-INVERSION</v>
      </c>
      <c r="D170" s="7">
        <f>Base!I434</f>
        <v>0.0</v>
      </c>
      <c r="E170" s="7">
        <f>Base!J434</f>
        <v>0.0</v>
      </c>
      <c r="F170" s="7">
        <f>D170-E170</f>
        <v>0.0</v>
      </c>
      <c r="G170" s="7">
        <f>Base!L434</f>
        <v>0.0</v>
      </c>
      <c r="H170" s="7">
        <f>D170-G170</f>
        <v>0.0</v>
      </c>
      <c r="I170" s="19">
        <f>IF(D170=0,0,G170/D170)</f>
        <v>0</v>
      </c>
      <c r="J170" s="6" t="str">
        <f>Base!U434</f>
        <v>Estudio de preinversión</v>
      </c>
      <c r="K170" s="6" t="str">
        <f>Base!R434</f>
        <v>Sin PIM</v>
      </c>
      <c r="L170" s="7" t="str">
        <f>Base!V434</f>
        <v>No registrado en cartera</v>
      </c>
      <c r="M170" s="7" t="str">
        <f>Base!W434</f>
        <v>No registrado en cartera</v>
      </c>
      <c r="N170" s="7" t="str">
        <f>Base!X434</f>
        <v>No registrado en cartera</v>
      </c>
      <c r="O170" s="7" t="str">
        <f>Base!Y434</f>
        <v>No registrado en cartera</v>
      </c>
      <c r="P170" s="6">
        <f>IF(Base!Z434="","",Base!Z434)</f>
        <v/>
      </c>
      <c r="Q170" s="18" t="str">
        <f>Base!S434</f>
        <v>Sin PIM</v>
      </c>
      <c r="R170" s="7">
        <f>Base!N434</f>
        <v>0.0</v>
      </c>
      <c r="S170" s="7">
        <f>Base!T434</f>
        <v>0.0</v>
      </c>
    </row>
    <row r="171" spans="1:19">
      <c r="A171" s="18">
        <f>SUBTOTAL(103,$B$6:B171)</f>
        <v>145</v>
      </c>
      <c r="B171" s="18">
        <v>428</v>
      </c>
      <c r="C171" s="6" t="str">
        <f>Base!H435</f>
        <v>2001621: ESTUDIOS DE PRE-INVERSION</v>
      </c>
      <c r="D171" s="7">
        <f>Base!I435</f>
        <v>1185238.0</v>
      </c>
      <c r="E171" s="7">
        <f>Base!J435</f>
        <v>1131681.4100000001</v>
      </c>
      <c r="F171" s="7">
        <f>D171-E171</f>
        <v>53556.58999999985</v>
      </c>
      <c r="G171" s="7">
        <f>Base!L435</f>
        <v>1093656.38</v>
      </c>
      <c r="H171" s="7">
        <f>D171-G171</f>
        <v>91581.62000000011</v>
      </c>
      <c r="I171" s="19">
        <f>IF(D171=0,0,G171/D171)</f>
        <v>0.9227314514046967</v>
      </c>
      <c r="J171" s="6" t="str">
        <f>Base!U435</f>
        <v>Estudio de preinversión</v>
      </c>
      <c r="K171" s="6" t="str">
        <f>Base!R435</f>
        <v>Ejecutado</v>
      </c>
      <c r="L171" s="7" t="str">
        <f>Base!V435</f>
        <v>No registrado en cartera</v>
      </c>
      <c r="M171" s="7" t="str">
        <f>Base!W435</f>
        <v>No registrado en cartera</v>
      </c>
      <c r="N171" s="7" t="str">
        <f>Base!X435</f>
        <v>No registrado en cartera</v>
      </c>
      <c r="O171" s="7" t="str">
        <f>Base!Y435</f>
        <v>No registrado en cartera</v>
      </c>
      <c r="P171" s="6">
        <f>IF(Base!Z435="","",Base!Z435)</f>
        <v/>
      </c>
      <c r="Q171" s="18" t="str">
        <f>Base!S435</f>
        <v>No usar</v>
      </c>
      <c r="R171" s="7">
        <f>Base!N435</f>
        <v>0.0</v>
      </c>
      <c r="S171" s="7">
        <f>Base!T435</f>
        <v>0.0</v>
      </c>
    </row>
    <row r="172" spans="1:19">
      <c r="A172" s="18">
        <f>SUBTOTAL(103,$B$6:B172)</f>
        <v>146</v>
      </c>
      <c r="B172" s="18">
        <v>429</v>
      </c>
      <c r="C172" s="6" t="str">
        <f>Base!H436</f>
        <v>2001621: ESTUDIOS DE PRE-INVERSION</v>
      </c>
      <c r="D172" s="7">
        <f>Base!I436</f>
        <v>303086.0</v>
      </c>
      <c r="E172" s="7">
        <f>Base!J436</f>
        <v>276239.45</v>
      </c>
      <c r="F172" s="7">
        <f>D172-E172</f>
        <v>26846.54999999999</v>
      </c>
      <c r="G172" s="7">
        <f>Base!L436</f>
        <v>275941.0</v>
      </c>
      <c r="H172" s="7">
        <f>D172-G172</f>
        <v>27145.0</v>
      </c>
      <c r="I172" s="19">
        <f>IF(D172=0,0,G172/D172)</f>
        <v>0.9104379615026759</v>
      </c>
      <c r="J172" s="6" t="str">
        <f>Base!U436</f>
        <v>Estudio de preinversión</v>
      </c>
      <c r="K172" s="6" t="str">
        <f>Base!R436</f>
        <v>Ejecutado</v>
      </c>
      <c r="L172" s="7" t="str">
        <f>Base!V436</f>
        <v>No registrado en cartera</v>
      </c>
      <c r="M172" s="7" t="str">
        <f>Base!W436</f>
        <v>No registrado en cartera</v>
      </c>
      <c r="N172" s="7" t="str">
        <f>Base!X436</f>
        <v>No registrado en cartera</v>
      </c>
      <c r="O172" s="7" t="str">
        <f>Base!Y436</f>
        <v>No registrado en cartera</v>
      </c>
      <c r="P172" s="6">
        <f>IF(Base!Z436="","",Base!Z436)</f>
        <v/>
      </c>
      <c r="Q172" s="18" t="str">
        <f>Base!S436</f>
        <v>No usar</v>
      </c>
      <c r="R172" s="7">
        <f>Base!N436</f>
        <v>0.0</v>
      </c>
      <c r="S172" s="7">
        <f>Base!T436</f>
        <v>0.0</v>
      </c>
    </row>
    <row r="173" spans="1:19">
      <c r="A173" s="18">
        <f>SUBTOTAL(103,$B$6:B173)</f>
        <v>147</v>
      </c>
      <c r="B173" s="18">
        <v>430</v>
      </c>
      <c r="C173" s="6" t="str">
        <f>Base!H437</f>
        <v>2001621: ESTUDIOS DE PRE-INVERSION</v>
      </c>
      <c r="D173" s="7">
        <f>Base!I437</f>
        <v>1857675.0</v>
      </c>
      <c r="E173" s="7">
        <f>Base!J437</f>
        <v>1434566.03</v>
      </c>
      <c r="F173" s="7">
        <f>D173-E173</f>
        <v>423108.97</v>
      </c>
      <c r="G173" s="7">
        <f>Base!L437</f>
        <v>1386835.53</v>
      </c>
      <c r="H173" s="7">
        <f>D173-G173</f>
        <v>470839.47</v>
      </c>
      <c r="I173" s="19">
        <f>IF(D173=0,0,G173/D173)</f>
        <v>0.7465436795994994</v>
      </c>
      <c r="J173" s="6" t="str">
        <f>Base!U437</f>
        <v>Estudio de preinversión</v>
      </c>
      <c r="K173" s="6" t="str">
        <f>Base!R437</f>
        <v>Mayormente comprometido</v>
      </c>
      <c r="L173" s="7" t="str">
        <f>Base!V437</f>
        <v>No registrado en cartera</v>
      </c>
      <c r="M173" s="7" t="str">
        <f>Base!W437</f>
        <v>No registrado en cartera</v>
      </c>
      <c r="N173" s="7" t="str">
        <f>Base!X437</f>
        <v>No registrado en cartera</v>
      </c>
      <c r="O173" s="7" t="str">
        <f>Base!Y437</f>
        <v>No registrado en cartera</v>
      </c>
      <c r="P173" s="6">
        <f>IF(Base!Z437="","",Base!Z437)</f>
        <v/>
      </c>
      <c r="Q173" s="18" t="str">
        <f>Base!S437</f>
        <v>Difícil</v>
      </c>
      <c r="R173" s="7">
        <f>Base!N437</f>
        <v>3937.250000000233</v>
      </c>
      <c r="S173" s="7">
        <f>Base!T437</f>
        <v>427046.2200000002</v>
      </c>
    </row>
    <row r="174" spans="1:19">
      <c r="A174" s="18">
        <f>SUBTOTAL(103,$B$6:B174)</f>
        <v>148</v>
      </c>
      <c r="B174" s="18">
        <v>431</v>
      </c>
      <c r="C174" s="6" t="str">
        <f>Base!H438</f>
        <v>2001621: ESTUDIOS DE PRE-INVERSION</v>
      </c>
      <c r="D174" s="7">
        <f>Base!I438</f>
        <v>969006.0</v>
      </c>
      <c r="E174" s="7">
        <f>Base!J438</f>
        <v>950663.4400000001</v>
      </c>
      <c r="F174" s="7">
        <f>D174-E174</f>
        <v>18342.55999999994</v>
      </c>
      <c r="G174" s="7">
        <f>Base!L438</f>
        <v>931576.3500000001</v>
      </c>
      <c r="H174" s="7">
        <f>D174-G174</f>
        <v>37429.64999999991</v>
      </c>
      <c r="I174" s="19">
        <f>IF(D174=0,0,G174/D174)</f>
        <v>0.9613731493922639</v>
      </c>
      <c r="J174" s="6" t="str">
        <f>Base!U438</f>
        <v>Estudio de preinversión</v>
      </c>
      <c r="K174" s="6" t="str">
        <f>Base!R438</f>
        <v>Ejecutado</v>
      </c>
      <c r="L174" s="7" t="str">
        <f>Base!V438</f>
        <v>No registrado en cartera</v>
      </c>
      <c r="M174" s="7" t="str">
        <f>Base!W438</f>
        <v>No registrado en cartera</v>
      </c>
      <c r="N174" s="7" t="str">
        <f>Base!X438</f>
        <v>No registrado en cartera</v>
      </c>
      <c r="O174" s="7" t="str">
        <f>Base!Y438</f>
        <v>No registrado en cartera</v>
      </c>
      <c r="P174" s="6">
        <f>IF(Base!Z438="","",Base!Z438)</f>
        <v/>
      </c>
      <c r="Q174" s="18" t="str">
        <f>Base!S438</f>
        <v>No usar</v>
      </c>
      <c r="R174" s="7">
        <f>Base!N438</f>
        <v>30.100000000093132</v>
      </c>
      <c r="S174" s="7">
        <f>Base!T438</f>
        <v>0.0</v>
      </c>
    </row>
    <row r="175" spans="1:19">
      <c r="A175" s="18">
        <f>SUBTOTAL(103,$B$6:B175)</f>
        <v>149</v>
      </c>
      <c r="B175" s="18">
        <v>432</v>
      </c>
      <c r="C175" s="6" t="str">
        <f>Base!H439</f>
        <v>2001621: ESTUDIOS DE PRE-INVERSION</v>
      </c>
      <c r="D175" s="7">
        <f>Base!I439</f>
        <v>1758508.0</v>
      </c>
      <c r="E175" s="7">
        <f>Base!J439</f>
        <v>1286418.4700000002</v>
      </c>
      <c r="F175" s="7">
        <f>D175-E175</f>
        <v>472089.5299999998</v>
      </c>
      <c r="G175" s="7">
        <f>Base!L439</f>
        <v>1212625.87</v>
      </c>
      <c r="H175" s="7">
        <f>D175-G175</f>
        <v>545882.1299999999</v>
      </c>
      <c r="I175" s="19">
        <f>IF(D175=0,0,G175/D175)</f>
        <v>0.6895765444342591</v>
      </c>
      <c r="J175" s="6" t="str">
        <f>Base!U439</f>
        <v>Estudio de preinversión</v>
      </c>
      <c r="K175" s="6" t="str">
        <f>Base!R439</f>
        <v>Mayormente comprometido</v>
      </c>
      <c r="L175" s="7" t="str">
        <f>Base!V439</f>
        <v>No registrado en cartera</v>
      </c>
      <c r="M175" s="7" t="str">
        <f>Base!W439</f>
        <v>No registrado en cartera</v>
      </c>
      <c r="N175" s="7" t="str">
        <f>Base!X439</f>
        <v>No registrado en cartera</v>
      </c>
      <c r="O175" s="7" t="str">
        <f>Base!Y439</f>
        <v>No registrado en cartera</v>
      </c>
      <c r="P175" s="6">
        <f>IF(Base!Z439="","",Base!Z439)</f>
        <v/>
      </c>
      <c r="Q175" s="18" t="str">
        <f>Base!S439</f>
        <v>Difícil</v>
      </c>
      <c r="R175" s="7">
        <f>Base!N439</f>
        <v>44.43000000016764</v>
      </c>
      <c r="S175" s="7">
        <f>Base!T439</f>
        <v>472133.95999999996</v>
      </c>
    </row>
    <row r="176" spans="1:19">
      <c r="A176" s="18">
        <f>SUBTOTAL(103,$B$6:B176)</f>
        <v>150</v>
      </c>
      <c r="B176" s="18">
        <v>436</v>
      </c>
      <c r="C176" s="6" t="str">
        <f>Base!H440</f>
        <v>2001621: ESTUDIOS DE PRE-INVERSION</v>
      </c>
      <c r="D176" s="7">
        <f>Base!I440</f>
        <v>768405.0</v>
      </c>
      <c r="E176" s="7">
        <f>Base!J440</f>
        <v>618712.31</v>
      </c>
      <c r="F176" s="7">
        <f>D176-E176</f>
        <v>149692.68999999994</v>
      </c>
      <c r="G176" s="7">
        <f>Base!L440</f>
        <v>420548.3</v>
      </c>
      <c r="H176" s="7">
        <f>D176-G176</f>
        <v>347856.7</v>
      </c>
      <c r="I176" s="19">
        <f>IF(D176=0,0,G176/D176)</f>
        <v>0.5473003168901815</v>
      </c>
      <c r="J176" s="6" t="str">
        <f>Base!U440</f>
        <v>Estudio de preinversión / Equipamiento</v>
      </c>
      <c r="K176" s="6" t="str">
        <f>Base!R440</f>
        <v>Mayormente comprometido</v>
      </c>
      <c r="L176" s="7" t="str">
        <f>Base!V440</f>
        <v>No registrado en cartera</v>
      </c>
      <c r="M176" s="7" t="str">
        <f>Base!W440</f>
        <v>No registrado en cartera</v>
      </c>
      <c r="N176" s="7" t="str">
        <f>Base!X440</f>
        <v>No registrado en cartera</v>
      </c>
      <c r="O176" s="7" t="str">
        <f>Base!Y440</f>
        <v>No registrado en cartera</v>
      </c>
      <c r="P176" s="6">
        <f>IF(Base!Z440="","",Base!Z440)</f>
        <v/>
      </c>
      <c r="Q176" s="18" t="str">
        <f>Base!S440</f>
        <v>Difícil</v>
      </c>
      <c r="R176" s="7">
        <f>Base!N440</f>
        <v>0.0</v>
      </c>
      <c r="S176" s="7">
        <f>Base!T440</f>
        <v>149692.68999999994</v>
      </c>
    </row>
    <row r="177" spans="1:19">
      <c r="A177" s="18">
        <f>SUBTOTAL(103,$B$6:B177)</f>
        <v>151</v>
      </c>
      <c r="B177" s="18">
        <v>481</v>
      </c>
      <c r="C177" s="6" t="str">
        <f>Base!H441</f>
        <v>2001621: ESTUDIOS DE PRE-INVERSION</v>
      </c>
      <c r="D177" s="7">
        <f>Base!I441</f>
        <v>84425.0</v>
      </c>
      <c r="E177" s="7">
        <f>Base!J441</f>
        <v>79219.88</v>
      </c>
      <c r="F177" s="7">
        <f>D177-E177</f>
        <v>5205.119999999995</v>
      </c>
      <c r="G177" s="7">
        <f>Base!L441</f>
        <v>79219.88</v>
      </c>
      <c r="H177" s="7">
        <f>D177-G177</f>
        <v>5205.119999999995</v>
      </c>
      <c r="I177" s="19">
        <f>IF(D177=0,0,G177/D177)</f>
        <v>0.9383462244595796</v>
      </c>
      <c r="J177" s="6" t="str">
        <f>Base!U441</f>
        <v>Estudio de preinversión</v>
      </c>
      <c r="K177" s="6" t="str">
        <f>Base!R441</f>
        <v>Ejecutado</v>
      </c>
      <c r="L177" s="7" t="str">
        <f>Base!V441</f>
        <v>No registrado en cartera</v>
      </c>
      <c r="M177" s="7" t="str">
        <f>Base!W441</f>
        <v>No registrado en cartera</v>
      </c>
      <c r="N177" s="7" t="str">
        <f>Base!X441</f>
        <v>No registrado en cartera</v>
      </c>
      <c r="O177" s="7" t="str">
        <f>Base!Y441</f>
        <v>No registrado en cartera</v>
      </c>
      <c r="P177" s="6">
        <f>IF(Base!Z441="","",Base!Z441)</f>
        <v/>
      </c>
      <c r="Q177" s="18" t="str">
        <f>Base!S441</f>
        <v>No usar</v>
      </c>
      <c r="R177" s="7">
        <f>Base!N441</f>
        <v>0.0</v>
      </c>
      <c r="S177" s="7">
        <f>Base!T441</f>
        <v>0.0</v>
      </c>
    </row>
    <row r="179" spans="1:19">
      <c r="A179" s="20" t="s">
        <v>1565</v>
      </c>
      <c r="B179" s="20"/>
      <c r="C179" s="20"/>
      <c r="D179" s="21">
        <f>D5+D95+D110+D115+D120+D167</f>
        <v>134200895.0</v>
      </c>
      <c r="E179" s="21">
        <f>E5+E95+E110+E115+E120+E167</f>
        <v>120191657.24000001</v>
      </c>
      <c r="F179" s="21">
        <f>D179-E179</f>
        <v>14009237.75999999</v>
      </c>
      <c r="G179" s="21">
        <f>G5+G95+G110+G115+G120+G167</f>
        <v>51830188.09</v>
      </c>
      <c r="H179" s="21">
        <f>D179-G179</f>
        <v>82370706.91</v>
      </c>
      <c r="I179" s="22">
        <f>IF(D179=0,0,G179/D179)</f>
        <v>0.3862134309163885</v>
      </c>
      <c r="J179" s="20"/>
      <c r="K179" s="20"/>
      <c r="L179" s="20"/>
      <c r="M179" s="20"/>
      <c r="N179" s="20"/>
      <c r="O179" s="20"/>
      <c r="P179" s="20"/>
      <c r="Q179" s="20"/>
      <c r="R179" s="21">
        <f>R5+R95+R110+R115+R120+R167</f>
        <v>52964044.85</v>
      </c>
      <c r="S179" s="21">
        <f>S5+S95+S110+S115+S120+S167</f>
        <v>66390072.73999999</v>
      </c>
    </row>
  </sheetData>
  <conditionalFormatting sqref="Q5:Q17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1566</v>
      </c>
    </row>
    <row r="2" spans="1:19">
      <c r="B2" s="4" t="s">
        <v>1567</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1441</v>
      </c>
      <c r="B5" s="11"/>
      <c r="C5" s="11"/>
      <c r="D5" s="12">
        <f>D6+D8</f>
        <v>120166.0</v>
      </c>
      <c r="E5" s="12">
        <f>E6+E8</f>
        <v>19362.0</v>
      </c>
      <c r="F5" s="12">
        <f>D5-E5</f>
        <v>100804.0</v>
      </c>
      <c r="G5" s="12">
        <f>G6+G8</f>
        <v>18148.25</v>
      </c>
      <c r="H5" s="12">
        <f>D5-G5</f>
        <v>102017.75</v>
      </c>
      <c r="I5" s="13">
        <f>IF(D5=0,0,G5/D5)</f>
        <v>0.15102649667959323</v>
      </c>
      <c r="J5" s="11"/>
      <c r="K5" s="11"/>
      <c r="L5" s="11"/>
      <c r="M5" s="11"/>
      <c r="N5" s="11"/>
      <c r="O5" s="11"/>
      <c r="P5" s="11"/>
      <c r="Q5" s="11"/>
      <c r="R5" s="12">
        <f>R6+R8</f>
        <v>0.0</v>
      </c>
      <c r="S5" s="12">
        <f>S6+S8</f>
        <v>100804.0</v>
      </c>
    </row>
    <row r="6" spans="1:19">
      <c r="A6" s="15" t="s">
        <v>58</v>
      </c>
      <c r="B6" s="15"/>
      <c r="C6" s="15"/>
      <c r="D6" s="16">
        <f>SUM(D7:D7)</f>
        <v>100000.0</v>
      </c>
      <c r="E6" s="16">
        <f>SUM(E7:E7)</f>
        <v>0.0</v>
      </c>
      <c r="F6" s="16">
        <f>D6-E6</f>
        <v>100000.0</v>
      </c>
      <c r="G6" s="16">
        <f>SUM(G7:G7)</f>
        <v>0.0</v>
      </c>
      <c r="H6" s="16">
        <f>D6-G6</f>
        <v>100000.0</v>
      </c>
      <c r="I6" s="17">
        <f>IF(D6=0,0,G6/D6)</f>
        <v>0.0</v>
      </c>
      <c r="J6" s="15"/>
      <c r="K6" s="15"/>
      <c r="L6" s="15"/>
      <c r="M6" s="15"/>
      <c r="N6" s="15"/>
      <c r="O6" s="15"/>
      <c r="P6" s="15"/>
      <c r="Q6" s="15"/>
      <c r="R6" s="16">
        <f>SUM(R7:R7)</f>
        <v>0.0</v>
      </c>
      <c r="S6" s="16">
        <f>SUM(S7:S7)</f>
        <v>100000.0</v>
      </c>
    </row>
    <row r="7" spans="1:19">
      <c r="A7" s="18">
        <f>SUBTOTAL(103,$B$6:B7)</f>
        <v>1</v>
      </c>
      <c r="B7" s="18">
        <v>533</v>
      </c>
      <c r="C7" s="6" t="str">
        <f>Base!H445</f>
        <v>2681141: MEJORAMIENTO DEL SERVICIO DE ATENCIÓN DE SALUD BÁSICOS EN HUACULLANI   DISTRITO DE HUACULLANI DE LA PROVINCIA DE CHUCUITO DEL DEPARTAMENTO DE PUNO</v>
      </c>
      <c r="D7" s="7">
        <f>Base!I445</f>
        <v>100000.0</v>
      </c>
      <c r="E7" s="7">
        <f>Base!J445</f>
        <v>0.0</v>
      </c>
      <c r="F7" s="7">
        <f>D7-E7</f>
        <v>100000.0</v>
      </c>
      <c r="G7" s="7">
        <f>Base!L445</f>
        <v>0.0</v>
      </c>
      <c r="H7" s="7">
        <f>D7-G7</f>
        <v>100000.0</v>
      </c>
      <c r="I7" s="19">
        <f>IF(D7=0,0,G7/D7)</f>
        <v>0.0</v>
      </c>
      <c r="J7" s="6" t="str">
        <f>Base!U445</f>
        <v>Expediente técnico</v>
      </c>
      <c r="K7" s="6" t="str">
        <f>Base!R445</f>
        <v>Sin certificar</v>
      </c>
      <c r="L7" s="7">
        <f>Base!V445</f>
        <v>100000.0</v>
      </c>
      <c r="M7" s="7">
        <f>Base!W445</f>
        <v>0</v>
      </c>
      <c r="N7" s="7">
        <f>Base!X445</f>
        <v>3681052.0</v>
      </c>
      <c r="O7" s="7">
        <f>Base!Y445</f>
        <v>4156140.0</v>
      </c>
      <c r="P7" s="6">
        <f>IF(Base!Z445="","",Base!Z445)</f>
        <v/>
      </c>
      <c r="Q7" s="18" t="str">
        <f>Base!S445</f>
        <v>Disponible</v>
      </c>
      <c r="R7" s="7">
        <f>Base!N445</f>
        <v>0.0</v>
      </c>
      <c r="S7" s="7">
        <f>Base!T445</f>
        <v>100000.0</v>
      </c>
    </row>
    <row r="8" spans="1:19">
      <c r="A8" s="15" t="s">
        <v>71</v>
      </c>
      <c r="B8" s="15"/>
      <c r="C8" s="15"/>
      <c r="D8" s="16">
        <f>SUM(D9:D9)</f>
        <v>20166.0</v>
      </c>
      <c r="E8" s="16">
        <f>SUM(E9:E9)</f>
        <v>19362.0</v>
      </c>
      <c r="F8" s="16">
        <f>D8-E8</f>
        <v>804.0</v>
      </c>
      <c r="G8" s="16">
        <f>SUM(G9:G9)</f>
        <v>18148.25</v>
      </c>
      <c r="H8" s="16">
        <f>D8-G8</f>
        <v>2017.75</v>
      </c>
      <c r="I8" s="17">
        <f>IF(D8=0,0,G8/D8)</f>
        <v>0.8999429733214321</v>
      </c>
      <c r="J8" s="15"/>
      <c r="K8" s="15"/>
      <c r="L8" s="15"/>
      <c r="M8" s="15"/>
      <c r="N8" s="15"/>
      <c r="O8" s="15"/>
      <c r="P8" s="15"/>
      <c r="Q8" s="15"/>
      <c r="R8" s="16">
        <f>SUM(R9:R9)</f>
        <v>0.0</v>
      </c>
      <c r="S8" s="16">
        <f>SUM(S9:S9)</f>
        <v>804.0</v>
      </c>
    </row>
    <row r="9" spans="1:19">
      <c r="A9" s="18">
        <f>SUBTOTAL(103,$B$6:B9)</f>
        <v>2</v>
      </c>
      <c r="B9" s="18">
        <v>499</v>
      </c>
      <c r="C9" s="6" t="str">
        <f>Base!H446</f>
        <v>2231037: MEJORAMIENTO DE LOS SERVICIOS EDUCATIVOS EN LA I.E.I. N 596 MUNAYPATA DEL CENTRO POBLADO DE MUNAYPATA, DISTRITO DE OLLACHEA  PROVINCIA DE CARABAYA  PUNO</v>
      </c>
      <c r="D9" s="7">
        <f>Base!I446</f>
        <v>20166.0</v>
      </c>
      <c r="E9" s="7">
        <f>Base!J446</f>
        <v>19362.0</v>
      </c>
      <c r="F9" s="7">
        <f>D9-E9</f>
        <v>804.0</v>
      </c>
      <c r="G9" s="7">
        <f>Base!L446</f>
        <v>18148.25</v>
      </c>
      <c r="H9" s="7">
        <f>D9-G9</f>
        <v>2017.75</v>
      </c>
      <c r="I9" s="19">
        <f>IF(D9=0,0,G9/D9)</f>
        <v>0.8999429733214321</v>
      </c>
      <c r="J9" s="6" t="str">
        <f>Base!U446</f>
        <v>Contrata / Personal/bienes/servicios</v>
      </c>
      <c r="K9" s="6" t="str">
        <f>Base!R446</f>
        <v>Mayormente comprometido</v>
      </c>
      <c r="L9" s="7">
        <f>Base!V446</f>
        <v>20166.0</v>
      </c>
      <c r="M9" s="7">
        <f>Base!W446</f>
        <v>0</v>
      </c>
      <c r="N9" s="7">
        <f>Base!X446</f>
        <v>0</v>
      </c>
      <c r="O9" s="7">
        <f>Base!Y446</f>
        <v>0</v>
      </c>
      <c r="P9" s="6">
        <f>IF(Base!Z446="","",Base!Z446)</f>
        <v/>
      </c>
      <c r="Q9" s="18" t="str">
        <f>Base!S446</f>
        <v>Difícil</v>
      </c>
      <c r="R9" s="7">
        <f>Base!N446</f>
        <v>0.0</v>
      </c>
      <c r="S9" s="7">
        <f>Base!T446</f>
        <v>804.0</v>
      </c>
    </row>
    <row r="11" spans="1:19">
      <c r="A11" s="20" t="s">
        <v>1568</v>
      </c>
      <c r="B11" s="20"/>
      <c r="C11" s="20"/>
      <c r="D11" s="21">
        <f>D5</f>
        <v>120166.0</v>
      </c>
      <c r="E11" s="21">
        <f>E5</f>
        <v>19362.0</v>
      </c>
      <c r="F11" s="21">
        <f>D11-E11</f>
        <v>100804.0</v>
      </c>
      <c r="G11" s="21">
        <f>G5</f>
        <v>18148.25</v>
      </c>
      <c r="H11" s="21">
        <f>D11-G11</f>
        <v>102017.75</v>
      </c>
      <c r="I11" s="22">
        <f>IF(D11=0,0,G11/D11)</f>
        <v>0.15102649667959323</v>
      </c>
      <c r="J11" s="20"/>
      <c r="K11" s="20"/>
      <c r="L11" s="20"/>
      <c r="M11" s="20"/>
      <c r="N11" s="20"/>
      <c r="O11" s="20"/>
      <c r="P11" s="20"/>
      <c r="Q11" s="20"/>
      <c r="R11" s="21">
        <f>R5</f>
        <v>0.0</v>
      </c>
      <c r="S11" s="21">
        <f>S5</f>
        <v>100804.0</v>
      </c>
    </row>
  </sheetData>
  <conditionalFormatting sqref="Q5:Q11">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3"/>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1569</v>
      </c>
    </row>
    <row r="2" spans="1:19">
      <c r="B2" s="4" t="s">
        <v>1570</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1450</v>
      </c>
      <c r="B5" s="11"/>
      <c r="C5" s="11"/>
      <c r="D5" s="12">
        <f>D6+D9</f>
        <v>2582404.0</v>
      </c>
      <c r="E5" s="12">
        <f>E6+E9</f>
        <v>1853925.82</v>
      </c>
      <c r="F5" s="12">
        <f>D5-E5</f>
        <v>728478.1799999999</v>
      </c>
      <c r="G5" s="12">
        <f>G6+G9</f>
        <v>1562395.52</v>
      </c>
      <c r="H5" s="12">
        <f>D5-G5</f>
        <v>1020008.48</v>
      </c>
      <c r="I5" s="13">
        <f>IF(D5=0,0,G5/D5)</f>
        <v>0.6050159154028572</v>
      </c>
      <c r="J5" s="11"/>
      <c r="K5" s="11"/>
      <c r="L5" s="11"/>
      <c r="M5" s="11"/>
      <c r="N5" s="11"/>
      <c r="O5" s="11"/>
      <c r="P5" s="11"/>
      <c r="Q5" s="11"/>
      <c r="R5" s="12">
        <f>R6+R9</f>
        <v>24500.0</v>
      </c>
      <c r="S5" s="12">
        <f>S6+S9</f>
        <v>752978.1799999999</v>
      </c>
    </row>
    <row r="6" spans="1:19">
      <c r="A6" s="15" t="s">
        <v>1189</v>
      </c>
      <c r="B6" s="15"/>
      <c r="C6" s="15"/>
      <c r="D6" s="16">
        <f>SUM(D7:D8)</f>
        <v>2462454.0</v>
      </c>
      <c r="E6" s="16">
        <f>SUM(E7:E8)</f>
        <v>1739634.6</v>
      </c>
      <c r="F6" s="16">
        <f>D6-E6</f>
        <v>722819.3999999999</v>
      </c>
      <c r="G6" s="16">
        <f>SUM(G7:G8)</f>
        <v>1492104.3</v>
      </c>
      <c r="H6" s="16">
        <f>D6-G6</f>
        <v>970349.7</v>
      </c>
      <c r="I6" s="17">
        <f>IF(D6=0,0,G6/D6)</f>
        <v>0.6059419993226269</v>
      </c>
      <c r="J6" s="15"/>
      <c r="K6" s="15"/>
      <c r="L6" s="15"/>
      <c r="M6" s="15"/>
      <c r="N6" s="15"/>
      <c r="O6" s="15"/>
      <c r="P6" s="15"/>
      <c r="Q6" s="15"/>
      <c r="R6" s="16">
        <f>SUM(R7:R8)</f>
        <v>24500.0</v>
      </c>
      <c r="S6" s="16">
        <f>SUM(S7:S8)</f>
        <v>747319.3999999999</v>
      </c>
    </row>
    <row r="7" spans="1:19">
      <c r="A7" s="18">
        <f>SUBTOTAL(103,$B$6:B7)</f>
        <v>1</v>
      </c>
      <c r="B7" s="18">
        <v>5</v>
      </c>
      <c r="C7" s="6" t="str">
        <f>Base!H447</f>
        <v>2336682: RECUPERACION DE LA BIOMASA DEL CARACHI GRIS Y AMARILLO EN ZONAS DE DESOVE DE LA CUENCA DEL LAGO TITICACA DE LA REGION PUNO</v>
      </c>
      <c r="D7" s="7">
        <f>Base!I447</f>
        <v>2417454.0</v>
      </c>
      <c r="E7" s="7">
        <f>Base!J447</f>
        <v>1739634.6</v>
      </c>
      <c r="F7" s="7">
        <f>D7-E7</f>
        <v>677819.3999999999</v>
      </c>
      <c r="G7" s="7">
        <f>Base!L447</f>
        <v>1492104.3</v>
      </c>
      <c r="H7" s="7">
        <f>D7-G7</f>
        <v>925349.7</v>
      </c>
      <c r="I7" s="19">
        <f>IF(D7=0,0,G7/D7)</f>
        <v>0.6172213824957993</v>
      </c>
      <c r="J7" s="6" t="str">
        <f>Base!U447</f>
        <v>Contrata / Personal/bienes/servicios / Equipamiento</v>
      </c>
      <c r="K7" s="6" t="str">
        <f>Base!R447</f>
        <v>Mayormente comprometido</v>
      </c>
      <c r="L7" s="7">
        <f>Base!V447</f>
        <v>1050000.0</v>
      </c>
      <c r="M7" s="7">
        <f>Base!W447</f>
        <v>2062045.0</v>
      </c>
      <c r="N7" s="7">
        <f>Base!X447</f>
        <v>1715201.0</v>
      </c>
      <c r="O7" s="7">
        <f>Base!Y447</f>
        <v>0</v>
      </c>
      <c r="P7" s="6">
        <f>IF(Base!Z447="","",Base!Z447)</f>
        <v/>
      </c>
      <c r="Q7" s="18" t="str">
        <f>Base!S447</f>
        <v>Difícil</v>
      </c>
      <c r="R7" s="7">
        <f>Base!N447</f>
        <v>24500.0</v>
      </c>
      <c r="S7" s="7">
        <f>Base!T447</f>
        <v>702319.3999999999</v>
      </c>
    </row>
    <row r="8" spans="1:19">
      <c r="A8" s="18">
        <f>SUBTOTAL(103,$B$6:B8)</f>
        <v>2</v>
      </c>
      <c r="B8" s="18">
        <v>24</v>
      </c>
      <c r="C8" s="6" t="str">
        <f>Base!H449</f>
        <v>2714101: (EXPEDIENTE TECNICO - nombre no disponible en fuentes)</v>
      </c>
      <c r="D8" s="7">
        <f>Base!I449</f>
        <v>45000.0</v>
      </c>
      <c r="E8" s="7">
        <f>Base!J449</f>
        <v>0.0</v>
      </c>
      <c r="F8" s="7">
        <f>D8-E8</f>
        <v>45000.0</v>
      </c>
      <c r="G8" s="7">
        <f>Base!L449</f>
        <v>0.0</v>
      </c>
      <c r="H8" s="7">
        <f>D8-G8</f>
        <v>45000.0</v>
      </c>
      <c r="I8" s="19">
        <f>IF(D8=0,0,G8/D8)</f>
        <v>0.0</v>
      </c>
      <c r="J8" s="6" t="str">
        <f>Base!U449</f>
        <v>Expediente técnico</v>
      </c>
      <c r="K8" s="6" t="str">
        <f>Base!R449</f>
        <v>Sin certificar</v>
      </c>
      <c r="L8" s="7" t="str">
        <f>Base!V449</f>
        <v>No registrado en cartera</v>
      </c>
      <c r="M8" s="7" t="str">
        <f>Base!W449</f>
        <v>No registrado en cartera</v>
      </c>
      <c r="N8" s="7" t="str">
        <f>Base!X449</f>
        <v>No registrado en cartera</v>
      </c>
      <c r="O8" s="7" t="str">
        <f>Base!Y449</f>
        <v>No registrado en cartera</v>
      </c>
      <c r="P8" s="6">
        <f>IF(Base!Z449="","",Base!Z449)</f>
        <v/>
      </c>
      <c r="Q8" s="18" t="str">
        <f>Base!S449</f>
        <v>Disponible</v>
      </c>
      <c r="R8" s="7">
        <f>Base!N449</f>
        <v>0.0</v>
      </c>
      <c r="S8" s="7">
        <f>Base!T449</f>
        <v>45000.0</v>
      </c>
    </row>
    <row r="9" spans="1:19">
      <c r="A9" s="15" t="s">
        <v>1202</v>
      </c>
      <c r="B9" s="15"/>
      <c r="C9" s="15"/>
      <c r="D9" s="16">
        <f>SUM(D10:D11)</f>
        <v>119950.0</v>
      </c>
      <c r="E9" s="16">
        <f>SUM(E10:E11)</f>
        <v>114291.22</v>
      </c>
      <c r="F9" s="16">
        <f>D9-E9</f>
        <v>5658.779999999999</v>
      </c>
      <c r="G9" s="16">
        <f>SUM(G10:G11)</f>
        <v>70291.22</v>
      </c>
      <c r="H9" s="16">
        <f>D9-G9</f>
        <v>49658.78</v>
      </c>
      <c r="I9" s="17">
        <f>IF(D9=0,0,G9/D9)</f>
        <v>0.5860043351396416</v>
      </c>
      <c r="J9" s="15"/>
      <c r="K9" s="15"/>
      <c r="L9" s="15"/>
      <c r="M9" s="15"/>
      <c r="N9" s="15"/>
      <c r="O9" s="15"/>
      <c r="P9" s="15"/>
      <c r="Q9" s="15"/>
      <c r="R9" s="16">
        <f>SUM(R10:R11)</f>
        <v>0.0</v>
      </c>
      <c r="S9" s="16">
        <f>SUM(S10:S11)</f>
        <v>5658.779999999999</v>
      </c>
    </row>
    <row r="10" spans="1:19">
      <c r="A10" s="18">
        <f>SUBTOTAL(103,$B$6:B10)</f>
        <v>3</v>
      </c>
      <c r="B10" s="18">
        <v>15</v>
      </c>
      <c r="C10" s="6" t="str">
        <f>Base!H448</f>
        <v>2230619: MEJORAMIENTO DE LA PRODUCCIÓN Y PRODUCTIVIDAD DE LAS MYPE DE LAS PRINCIPALES LINEAS DE PRODUCCION  EN LAS PROVINCIAS DE PUNO, SAN ROMÁN Y EL COLLAO DE LA REGIÓN PUNO</v>
      </c>
      <c r="D10" s="7">
        <f>Base!I448</f>
        <v>119950.0</v>
      </c>
      <c r="E10" s="7">
        <f>Base!J448</f>
        <v>114291.22</v>
      </c>
      <c r="F10" s="7">
        <f>D10-E10</f>
        <v>5658.779999999999</v>
      </c>
      <c r="G10" s="7">
        <f>Base!L448</f>
        <v>70291.22</v>
      </c>
      <c r="H10" s="7">
        <f>D10-G10</f>
        <v>49658.78</v>
      </c>
      <c r="I10" s="19">
        <f>IF(D10=0,0,G10/D10)</f>
        <v>0.5860043351396416</v>
      </c>
      <c r="J10" s="6" t="str">
        <f>Base!U448</f>
        <v>Contrata</v>
      </c>
      <c r="K10" s="6" t="str">
        <f>Base!R448</f>
        <v>Mayormente comprometido</v>
      </c>
      <c r="L10" s="7">
        <f>Base!V448</f>
        <v>287404.0</v>
      </c>
      <c r="M10" s="7">
        <f>Base!W448</f>
        <v>77681.0</v>
      </c>
      <c r="N10" s="7">
        <f>Base!X448</f>
        <v>0</v>
      </c>
      <c r="O10" s="7">
        <f>Base!Y448</f>
        <v>0</v>
      </c>
      <c r="P10" s="6">
        <f>IF(Base!Z448="","",Base!Z448)</f>
        <v/>
      </c>
      <c r="Q10" s="18" t="str">
        <f>Base!S448</f>
        <v>Difícil</v>
      </c>
      <c r="R10" s="7">
        <f>Base!N448</f>
        <v>0.0</v>
      </c>
      <c r="S10" s="7">
        <f>Base!T448</f>
        <v>5658.779999999999</v>
      </c>
    </row>
    <row r="11" spans="1:19">
      <c r="A11" s="18">
        <f>SUBTOTAL(103,$B$6:B11)</f>
        <v>4</v>
      </c>
      <c r="B11" s="18">
        <v>14</v>
      </c>
      <c r="C11" s="6" t="str">
        <f>Base!H450</f>
        <v>2230619: MEJORAMIENTO DE LA PRODUCCIÓN Y PRODUCTIVIDAD DE LAS MYPE DE LAS PRINCIPALES LINEAS DE PRODUCCION  EN LAS PROVINCIAS DE PUNO, SAN ROMÁN Y EL COLLAO DE LA REGIÓN PUNO</v>
      </c>
      <c r="D11" s="7">
        <f>Base!I450</f>
        <v>0.0</v>
      </c>
      <c r="E11" s="7">
        <f>Base!J450</f>
        <v>0.0</v>
      </c>
      <c r="F11" s="7">
        <f>D11-E11</f>
        <v>0.0</v>
      </c>
      <c r="G11" s="7">
        <f>Base!L450</f>
        <v>0.0</v>
      </c>
      <c r="H11" s="7">
        <f>D11-G11</f>
        <v>0.0</v>
      </c>
      <c r="I11" s="19">
        <f>IF(D11=0,0,G11/D11)</f>
        <v>0</v>
      </c>
      <c r="J11" s="6" t="str">
        <f>Base!U450</f>
        <v>Contrata</v>
      </c>
      <c r="K11" s="6" t="str">
        <f>Base!R450</f>
        <v>Sin PIM</v>
      </c>
      <c r="L11" s="7">
        <f>Base!V450</f>
        <v>287404.0</v>
      </c>
      <c r="M11" s="7">
        <f>Base!W450</f>
        <v>77681.0</v>
      </c>
      <c r="N11" s="7">
        <f>Base!X450</f>
        <v>0</v>
      </c>
      <c r="O11" s="7">
        <f>Base!Y450</f>
        <v>0</v>
      </c>
      <c r="P11" s="6">
        <f>IF(Base!Z450="","",Base!Z450)</f>
        <v/>
      </c>
      <c r="Q11" s="18" t="str">
        <f>Base!S450</f>
        <v>Sin PIM</v>
      </c>
      <c r="R11" s="7">
        <f>Base!N450</f>
        <v>0.0</v>
      </c>
      <c r="S11" s="7">
        <f>Base!T450</f>
        <v>0.0</v>
      </c>
    </row>
    <row r="13" spans="1:19">
      <c r="A13" s="20" t="s">
        <v>1571</v>
      </c>
      <c r="B13" s="20"/>
      <c r="C13" s="20"/>
      <c r="D13" s="21">
        <f>D5</f>
        <v>2582404.0</v>
      </c>
      <c r="E13" s="21">
        <f>E5</f>
        <v>1853925.82</v>
      </c>
      <c r="F13" s="21">
        <f>D13-E13</f>
        <v>728478.1799999999</v>
      </c>
      <c r="G13" s="21">
        <f>G5</f>
        <v>1562395.52</v>
      </c>
      <c r="H13" s="21">
        <f>D13-G13</f>
        <v>1020008.48</v>
      </c>
      <c r="I13" s="22">
        <f>IF(D13=0,0,G13/D13)</f>
        <v>0.6050159154028572</v>
      </c>
      <c r="J13" s="20"/>
      <c r="K13" s="20"/>
      <c r="L13" s="20"/>
      <c r="M13" s="20"/>
      <c r="N13" s="20"/>
      <c r="O13" s="20"/>
      <c r="P13" s="20"/>
      <c r="Q13" s="20"/>
      <c r="R13" s="21">
        <f>R5</f>
        <v>24500.0</v>
      </c>
      <c r="S13" s="21">
        <f>S5</f>
        <v>752978.1799999999</v>
      </c>
    </row>
  </sheetData>
  <conditionalFormatting sqref="Q5:Q13">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50"/>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1572</v>
      </c>
    </row>
    <row r="2" spans="1:19">
      <c r="B2" s="4" t="s">
        <v>1573</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1461</v>
      </c>
      <c r="B5" s="11"/>
      <c r="C5" s="11"/>
      <c r="D5" s="12">
        <f>D6+D47</f>
        <v>45637342.0</v>
      </c>
      <c r="E5" s="12">
        <f>E6+E47</f>
        <v>42133906.760000005</v>
      </c>
      <c r="F5" s="12">
        <f>D5-E5</f>
        <v>3503435.2399999946</v>
      </c>
      <c r="G5" s="12">
        <f>G6+G47</f>
        <v>33578061.609999985</v>
      </c>
      <c r="H5" s="12">
        <f>D5-G5</f>
        <v>12059280.390000015</v>
      </c>
      <c r="I5" s="13">
        <f>IF(D5=0,0,G5/D5)</f>
        <v>0.735758485014311</v>
      </c>
      <c r="J5" s="11"/>
      <c r="K5" s="11"/>
      <c r="L5" s="11"/>
      <c r="M5" s="11"/>
      <c r="N5" s="11"/>
      <c r="O5" s="11"/>
      <c r="P5" s="11"/>
      <c r="Q5" s="11"/>
      <c r="R5" s="12">
        <f>R6+R47</f>
        <v>2946314.1900000023</v>
      </c>
      <c r="S5" s="12">
        <f>S6+S47</f>
        <v>6009941.760000001</v>
      </c>
    </row>
    <row r="6" spans="1:19">
      <c r="A6" s="15" t="s">
        <v>996</v>
      </c>
      <c r="B6" s="15"/>
      <c r="C6" s="15"/>
      <c r="D6" s="16">
        <f>SUM(D7:D46)</f>
        <v>45637342.0</v>
      </c>
      <c r="E6" s="16">
        <f>SUM(E7:E46)</f>
        <v>42133906.760000005</v>
      </c>
      <c r="F6" s="16">
        <f>D6-E6</f>
        <v>3503435.2399999946</v>
      </c>
      <c r="G6" s="16">
        <f>SUM(G7:G46)</f>
        <v>33578061.609999985</v>
      </c>
      <c r="H6" s="16">
        <f>D6-G6</f>
        <v>12059280.390000015</v>
      </c>
      <c r="I6" s="17">
        <f>IF(D6=0,0,G6/D6)</f>
        <v>0.735758485014311</v>
      </c>
      <c r="J6" s="15"/>
      <c r="K6" s="15"/>
      <c r="L6" s="15"/>
      <c r="M6" s="15"/>
      <c r="N6" s="15"/>
      <c r="O6" s="15"/>
      <c r="P6" s="15"/>
      <c r="Q6" s="15"/>
      <c r="R6" s="16">
        <f>SUM(R7:R46)</f>
        <v>2946314.1900000023</v>
      </c>
      <c r="S6" s="16">
        <f>SUM(S7:S46)</f>
        <v>6009941.760000001</v>
      </c>
    </row>
    <row r="7" spans="1:19">
      <c r="A7" s="18">
        <f>SUBTOTAL(103,$B$6:B7)</f>
        <v>1</v>
      </c>
      <c r="B7" s="18">
        <v>3</v>
      </c>
      <c r="C7" s="6" t="str">
        <f>Base!H451</f>
        <v>2454391: AMPLIACION DEL SERVICIO DE AGUA PARA RIEGO MEDIANTE LA CONSTRUCCIÓN DE LA REPRESA SAPANCCOTA DEL DISTRITO DE PUCARA - PROVINCIA DE LAMPA - DEPARTAMENTO DE PUNO</v>
      </c>
      <c r="D7" s="7">
        <f>Base!I451</f>
        <v>7885949.0</v>
      </c>
      <c r="E7" s="7">
        <f>Base!J451</f>
        <v>7535969.87</v>
      </c>
      <c r="F7" s="7">
        <f>D7-E7</f>
        <v>349979.1299999999</v>
      </c>
      <c r="G7" s="7">
        <f>Base!L451</f>
        <v>6423232.3</v>
      </c>
      <c r="H7" s="7">
        <f>D7-G7</f>
        <v>1462716.7000000002</v>
      </c>
      <c r="I7" s="19">
        <f>IF(D7=0,0,G7/D7)</f>
        <v>0.8145160842404636</v>
      </c>
      <c r="J7" s="6" t="str">
        <f>Base!U451</f>
        <v>Administración directa / Contrata / Personal/bienes/servicios / Equipamiento</v>
      </c>
      <c r="K7" s="6" t="str">
        <f>Base!R451</f>
        <v>Mayormente comprometido</v>
      </c>
      <c r="L7" s="7">
        <f>Base!V451</f>
        <v>2780000.0</v>
      </c>
      <c r="M7" s="7">
        <f>Base!W451</f>
        <v>108325.0</v>
      </c>
      <c r="N7" s="7">
        <f>Base!X451</f>
        <v>0</v>
      </c>
      <c r="O7" s="7">
        <f>Base!Y451</f>
        <v>0</v>
      </c>
      <c r="P7" s="6">
        <f>IF(Base!Z451="","",Base!Z451)</f>
        <v/>
      </c>
      <c r="Q7" s="18" t="str">
        <f>Base!S451</f>
        <v>Difícil</v>
      </c>
      <c r="R7" s="7">
        <f>Base!N451</f>
        <v>156681.73000000045</v>
      </c>
      <c r="S7" s="7">
        <f>Base!T451</f>
        <v>506660.86000000034</v>
      </c>
    </row>
    <row r="8" spans="1:19">
      <c r="A8" s="18">
        <f>SUBTOTAL(103,$B$6:B8)</f>
        <v>2</v>
      </c>
      <c r="B8" s="18">
        <v>12</v>
      </c>
      <c r="C8" s="6" t="str">
        <f>Base!H452</f>
        <v>2566500: MEJORAMIENTO Y AMPLIACION DEL SISTEMA DE RIEGO CHAJANA DEL DISTRITO DE ACORA - PROVINCIA DE PUNO - DEPARTAMENTO DE PUNO</v>
      </c>
      <c r="D8" s="7">
        <f>Base!I452</f>
        <v>7723291.0</v>
      </c>
      <c r="E8" s="7">
        <f>Base!J452</f>
        <v>7122044.049999999</v>
      </c>
      <c r="F8" s="7">
        <f>D8-E8</f>
        <v>601246.9500000011</v>
      </c>
      <c r="G8" s="7">
        <f>Base!L452</f>
        <v>5496208.600000001</v>
      </c>
      <c r="H8" s="7">
        <f>D8-G8</f>
        <v>2227082.3999999994</v>
      </c>
      <c r="I8" s="19">
        <f>IF(D8=0,0,G8/D8)</f>
        <v>0.7116407500377754</v>
      </c>
      <c r="J8" s="6" t="str">
        <f>Base!U452</f>
        <v>Administración directa / Contrata / Personal/bienes/servicios</v>
      </c>
      <c r="K8" s="6" t="str">
        <f>Base!R452</f>
        <v>Mayormente comprometido</v>
      </c>
      <c r="L8" s="7">
        <f>Base!V452</f>
        <v>4665000.0</v>
      </c>
      <c r="M8" s="7">
        <f>Base!W452</f>
        <v>62456.0</v>
      </c>
      <c r="N8" s="7">
        <f>Base!X452</f>
        <v>0</v>
      </c>
      <c r="O8" s="7">
        <f>Base!Y452</f>
        <v>0</v>
      </c>
      <c r="P8" s="6">
        <f>IF(Base!Z452="","",Base!Z452)</f>
        <v/>
      </c>
      <c r="Q8" s="18" t="str">
        <f>Base!S452</f>
        <v>Difícil</v>
      </c>
      <c r="R8" s="7">
        <f>Base!N452</f>
        <v>114617.25</v>
      </c>
      <c r="S8" s="7">
        <f>Base!T452</f>
        <v>715864.2000000011</v>
      </c>
    </row>
    <row r="9" spans="1:19">
      <c r="A9" s="18">
        <f>SUBTOTAL(103,$B$6:B9)</f>
        <v>3</v>
      </c>
      <c r="B9" s="18">
        <v>6</v>
      </c>
      <c r="C9" s="6" t="str">
        <f>Base!H453</f>
        <v>2477014: CREACION DEL SERVICIO DE AGUA PARA RIEGO TECNIFICADO EN LAS COMUNIDADES DE IPARO, ARICATO, QUENEQUE, MORORIA, CCAPUNA Y APABUCO DEL DISTRITO DE SANDIA - PROVINCIA DE SANDIA - DEPARTAMENTO DE PUNO</v>
      </c>
      <c r="D9" s="7">
        <f>Base!I453</f>
        <v>5062649.0</v>
      </c>
      <c r="E9" s="7">
        <f>Base!J453</f>
        <v>4785961.130000002</v>
      </c>
      <c r="F9" s="7">
        <f>D9-E9</f>
        <v>276687.86999999825</v>
      </c>
      <c r="G9" s="7">
        <f>Base!L453</f>
        <v>4676286.710000001</v>
      </c>
      <c r="H9" s="7">
        <f>D9-G9</f>
        <v>386362.2899999991</v>
      </c>
      <c r="I9" s="19">
        <f>IF(D9=0,0,G9/D9)</f>
        <v>0.9236837691098081</v>
      </c>
      <c r="J9" s="6" t="str">
        <f>Base!U453</f>
        <v>Administración directa / Contrata / Equipamiento / Personal/bienes/servicios</v>
      </c>
      <c r="K9" s="6" t="str">
        <f>Base!R453</f>
        <v>Ejecutado</v>
      </c>
      <c r="L9" s="7">
        <f>Base!V453</f>
        <v>1750000.0</v>
      </c>
      <c r="M9" s="7">
        <f>Base!W453</f>
        <v>0</v>
      </c>
      <c r="N9" s="7">
        <f>Base!X453</f>
        <v>0</v>
      </c>
      <c r="O9" s="7">
        <f>Base!Y453</f>
        <v>0</v>
      </c>
      <c r="P9" s="6">
        <f>IF(Base!Z453="","",Base!Z453)</f>
        <v/>
      </c>
      <c r="Q9" s="18" t="str">
        <f>Base!S453</f>
        <v>No usar</v>
      </c>
      <c r="R9" s="7">
        <f>Base!N453</f>
        <v>2177.0200000004843</v>
      </c>
      <c r="S9" s="7">
        <f>Base!T453</f>
        <v>0.0</v>
      </c>
    </row>
    <row r="10" spans="1:19">
      <c r="A10" s="18">
        <f>SUBTOTAL(103,$B$6:B10)</f>
        <v>4</v>
      </c>
      <c r="B10" s="18">
        <v>8</v>
      </c>
      <c r="C10" s="6" t="str">
        <f>Base!H454</f>
        <v>2540745: MEJORAMIENTO Y AMPLIACION DEL SERVICIO DE AGUA PARA LOS SISTEMAS DE RIEGO HUALLATIRI, HUAYRAPATA Y HUARANCA GRANDE DEL DISTRITO DE HUAYRAPATA - PROVINCIA DE MOHO - DEPARTAMENTO DE PUNO</v>
      </c>
      <c r="D10" s="7">
        <f>Base!I454</f>
        <v>4860569.0</v>
      </c>
      <c r="E10" s="7">
        <f>Base!J454</f>
        <v>4504302.750000001</v>
      </c>
      <c r="F10" s="7">
        <f>D10-E10</f>
        <v>356266.24999999907</v>
      </c>
      <c r="G10" s="7">
        <f>Base!L454</f>
        <v>4364263.45</v>
      </c>
      <c r="H10" s="7">
        <f>D10-G10</f>
        <v>496305.5499999998</v>
      </c>
      <c r="I10" s="19">
        <f>IF(D10=0,0,G10/D10)</f>
        <v>0.8978914711425762</v>
      </c>
      <c r="J10" s="6" t="str">
        <f>Base!U454</f>
        <v>Administración directa / Contrata / Personal/bienes/servicios</v>
      </c>
      <c r="K10" s="6" t="str">
        <f>Base!R454</f>
        <v>Mayormente comprometido</v>
      </c>
      <c r="L10" s="7">
        <f>Base!V454</f>
        <v>1580000.0</v>
      </c>
      <c r="M10" s="7">
        <f>Base!W454</f>
        <v>285490.0</v>
      </c>
      <c r="N10" s="7">
        <f>Base!X454</f>
        <v>0</v>
      </c>
      <c r="O10" s="7">
        <f>Base!Y454</f>
        <v>0</v>
      </c>
      <c r="P10" s="6">
        <f>IF(Base!Z454="","",Base!Z454)</f>
        <v/>
      </c>
      <c r="Q10" s="18" t="str">
        <f>Base!S454</f>
        <v>Difícil</v>
      </c>
      <c r="R10" s="7">
        <f>Base!N454</f>
        <v>18168.460000000894</v>
      </c>
      <c r="S10" s="7">
        <f>Base!T454</f>
        <v>374434.70999999996</v>
      </c>
    </row>
    <row r="11" spans="1:19">
      <c r="A11" s="18">
        <f>SUBTOTAL(103,$B$6:B11)</f>
        <v>5</v>
      </c>
      <c r="B11" s="18">
        <v>33</v>
      </c>
      <c r="C11" s="6" t="str">
        <f>Base!H455</f>
        <v>2651742: MEJORAMIENTO Y AMPLIACION DEL SERVICIO DE PROVISIÓN DE AGUA PARA RIEGO EN LA MICROCUENCA DEL RÍO CONDORIRI   DISTRITO DE AZANGARO DE LA PROVINCIA DE AZANGARO DEL DEPARTAMENTO DE PUNO</v>
      </c>
      <c r="D11" s="7">
        <f>Base!I455</f>
        <v>4471000.0</v>
      </c>
      <c r="E11" s="7">
        <f>Base!J455</f>
        <v>4168004.45</v>
      </c>
      <c r="F11" s="7">
        <f>D11-E11</f>
        <v>302995.5499999998</v>
      </c>
      <c r="G11" s="7">
        <f>Base!L455</f>
        <v>1249313.7</v>
      </c>
      <c r="H11" s="7">
        <f>D11-G11</f>
        <v>3221686.3</v>
      </c>
      <c r="I11" s="19">
        <f>IF(D11=0,0,G11/D11)</f>
        <v>0.2794260120778349</v>
      </c>
      <c r="J11" s="6" t="str">
        <f>Base!U455</f>
        <v>Administración directa / Contrata / Personal/bienes/servicios / Equipamiento</v>
      </c>
      <c r="K11" s="6" t="str">
        <f>Base!R455</f>
        <v>Mayormente comprometido</v>
      </c>
      <c r="L11" s="7">
        <f>Base!V455</f>
        <v>5730000.0</v>
      </c>
      <c r="M11" s="7">
        <f>Base!W455</f>
        <v>7379001.0</v>
      </c>
      <c r="N11" s="7">
        <f>Base!X455</f>
        <v>1300000.0</v>
      </c>
      <c r="O11" s="7">
        <f>Base!Y455</f>
        <v>1500000.0</v>
      </c>
      <c r="P11" s="6">
        <f>IF(Base!Z455="","",Base!Z455)</f>
        <v/>
      </c>
      <c r="Q11" s="18" t="str">
        <f>Base!S455</f>
        <v>Difícil</v>
      </c>
      <c r="R11" s="7">
        <f>Base!N455</f>
        <v>1185387.48</v>
      </c>
      <c r="S11" s="7">
        <f>Base!T455</f>
        <v>1488383.0299999998</v>
      </c>
    </row>
    <row r="12" spans="1:19">
      <c r="A12" s="18">
        <f>SUBTOTAL(103,$B$6:B12)</f>
        <v>6</v>
      </c>
      <c r="B12" s="18">
        <v>9</v>
      </c>
      <c r="C12" s="6" t="str">
        <f>Base!H456</f>
        <v>2540745: MEJORAMIENTO Y AMPLIACION DEL SERVICIO DE AGUA PARA LOS SISTEMAS DE RIEGO HUALLATIRI, HUAYRAPATA Y HUARANCA GRANDE DEL DISTRITO DE HUAYRAPATA - PROVINCIA DE MOHO - DEPARTAMENTO DE PUNO</v>
      </c>
      <c r="D12" s="7">
        <f>Base!I456</f>
        <v>3664997.0</v>
      </c>
      <c r="E12" s="7">
        <f>Base!J456</f>
        <v>3273867.98</v>
      </c>
      <c r="F12" s="7">
        <f>D12-E12</f>
        <v>391129.02</v>
      </c>
      <c r="G12" s="7">
        <f>Base!L456</f>
        <v>3096526.6799999997</v>
      </c>
      <c r="H12" s="7">
        <f>D12-G12</f>
        <v>568470.3200000003</v>
      </c>
      <c r="I12" s="19">
        <f>IF(D12=0,0,G12/D12)</f>
        <v>0.8448920094613992</v>
      </c>
      <c r="J12" s="6" t="str">
        <f>Base!U456</f>
        <v>Administración directa / Contrata / Personal/bienes/servicios</v>
      </c>
      <c r="K12" s="6" t="str">
        <f>Base!R456</f>
        <v>Mayormente comprometido</v>
      </c>
      <c r="L12" s="7">
        <f>Base!V456</f>
        <v>1580000.0</v>
      </c>
      <c r="M12" s="7">
        <f>Base!W456</f>
        <v>285490.0</v>
      </c>
      <c r="N12" s="7">
        <f>Base!X456</f>
        <v>0</v>
      </c>
      <c r="O12" s="7">
        <f>Base!Y456</f>
        <v>0</v>
      </c>
      <c r="P12" s="6">
        <f>IF(Base!Z456="","",Base!Z456)</f>
        <v/>
      </c>
      <c r="Q12" s="18" t="str">
        <f>Base!S456</f>
        <v>Difícil</v>
      </c>
      <c r="R12" s="7">
        <f>Base!N456</f>
        <v>2188.2599999997765</v>
      </c>
      <c r="S12" s="7">
        <f>Base!T456</f>
        <v>393317.2799999998</v>
      </c>
    </row>
    <row r="13" spans="1:19">
      <c r="A13" s="18">
        <f>SUBTOTAL(103,$B$6:B13)</f>
        <v>7</v>
      </c>
      <c r="B13" s="18">
        <v>28</v>
      </c>
      <c r="C13" s="6" t="str">
        <f>Base!H457</f>
        <v>2651742: MEJORAMIENTO Y AMPLIACION DEL SERVICIO DE PROVISIÓN DE AGUA PARA RIEGO EN LA MICROCUENCA DEL RÍO CONDORIRI   DISTRITO DE AZANGARO DE LA PROVINCIA DE AZANGARO DEL DEPARTAMENTO DE PUNO</v>
      </c>
      <c r="D13" s="7">
        <f>Base!I457</f>
        <v>1999000.0</v>
      </c>
      <c r="E13" s="7">
        <f>Base!J457</f>
        <v>1989475.51</v>
      </c>
      <c r="F13" s="7">
        <f>D13-E13</f>
        <v>9524.48999999999</v>
      </c>
      <c r="G13" s="7">
        <f>Base!L457</f>
        <v>706719.2200000001</v>
      </c>
      <c r="H13" s="7">
        <f>D13-G13</f>
        <v>1292280.7799999998</v>
      </c>
      <c r="I13" s="19">
        <f>IF(D13=0,0,G13/D13)</f>
        <v>0.3535363781890946</v>
      </c>
      <c r="J13" s="6" t="str">
        <f>Base!U457</f>
        <v>Administración directa / Contrata / Personal/bienes/servicios</v>
      </c>
      <c r="K13" s="6" t="str">
        <f>Base!R457</f>
        <v>Mayormente comprometido</v>
      </c>
      <c r="L13" s="7">
        <f>Base!V457</f>
        <v>5730000.0</v>
      </c>
      <c r="M13" s="7">
        <f>Base!W457</f>
        <v>7379001.0</v>
      </c>
      <c r="N13" s="7">
        <f>Base!X457</f>
        <v>1300000.0</v>
      </c>
      <c r="O13" s="7">
        <f>Base!Y457</f>
        <v>1500000.0</v>
      </c>
      <c r="P13" s="6">
        <f>IF(Base!Z457="","",Base!Z457)</f>
        <v/>
      </c>
      <c r="Q13" s="18" t="str">
        <f>Base!S457</f>
        <v>Difícil</v>
      </c>
      <c r="R13" s="7">
        <f>Base!N457</f>
        <v>754724.99</v>
      </c>
      <c r="S13" s="7">
        <f>Base!T457</f>
        <v>764249.48</v>
      </c>
    </row>
    <row r="14" spans="1:19">
      <c r="A14" s="18">
        <f>SUBTOTAL(103,$B$6:B14)</f>
        <v>8</v>
      </c>
      <c r="B14" s="18">
        <v>5</v>
      </c>
      <c r="C14" s="6" t="str">
        <f>Base!H458</f>
        <v>2470845: MEJORAMIENTO Y AMPLIACION DEL SERVICIO DE AGUA PARA RIEGO TECNIFICADO EN LAS COMUNIDADES DE SAN JUAN DE TAHUACO Y MACHACMARCA DEL DISTRITO DE YUNGUYO - PROVINCIA DE YUNGUYO - DEPARTAMENTO DE PUNO</v>
      </c>
      <c r="D14" s="7">
        <f>Base!I458</f>
        <v>1998145.0</v>
      </c>
      <c r="E14" s="7">
        <f>Base!J458</f>
        <v>1935732.31</v>
      </c>
      <c r="F14" s="7">
        <f>D14-E14</f>
        <v>62412.689999999944</v>
      </c>
      <c r="G14" s="7">
        <f>Base!L458</f>
        <v>1849231.35</v>
      </c>
      <c r="H14" s="7">
        <f>D14-G14</f>
        <v>148913.6499999999</v>
      </c>
      <c r="I14" s="19">
        <f>IF(D14=0,0,G14/D14)</f>
        <v>0.9254740521834002</v>
      </c>
      <c r="J14" s="6" t="str">
        <f>Base!U458</f>
        <v>Administración directa / Contrata / Personal/bienes/servicios / Equipamiento</v>
      </c>
      <c r="K14" s="6" t="str">
        <f>Base!R458</f>
        <v>Ejecutado</v>
      </c>
      <c r="L14" s="7">
        <f>Base!V458</f>
        <v>1850000.0</v>
      </c>
      <c r="M14" s="7">
        <f>Base!W458</f>
        <v>0</v>
      </c>
      <c r="N14" s="7">
        <f>Base!X458</f>
        <v>0</v>
      </c>
      <c r="O14" s="7">
        <f>Base!Y458</f>
        <v>0</v>
      </c>
      <c r="P14" s="6">
        <f>IF(Base!Z458="","",Base!Z458)</f>
        <v/>
      </c>
      <c r="Q14" s="18" t="str">
        <f>Base!S458</f>
        <v>No usar</v>
      </c>
      <c r="R14" s="7">
        <f>Base!N458</f>
        <v>3346.410000000149</v>
      </c>
      <c r="S14" s="7">
        <f>Base!T458</f>
        <v>0.0</v>
      </c>
    </row>
    <row r="15" spans="1:19">
      <c r="A15" s="18">
        <f>SUBTOTAL(103,$B$6:B15)</f>
        <v>9</v>
      </c>
      <c r="B15" s="18">
        <v>21</v>
      </c>
      <c r="C15" s="6" t="str">
        <f>Base!H459</f>
        <v>2477014: CREACION DEL SERVICIO DE AGUA PARA RIEGO TECNIFICADO EN LAS COMUNIDADES DE IPARO, ARICATO, QUENEQUE, MORORIA, CCAPUNA Y APABUCO DEL DISTRITO DE SANDIA - PROVINCIA DE SANDIA - DEPARTAMENTO DE PUNO</v>
      </c>
      <c r="D15" s="7">
        <f>Base!I459</f>
        <v>1888290.0</v>
      </c>
      <c r="E15" s="7">
        <f>Base!J459</f>
        <v>1816163.81</v>
      </c>
      <c r="F15" s="7">
        <f>D15-E15</f>
        <v>72126.18999999994</v>
      </c>
      <c r="G15" s="7">
        <f>Base!L459</f>
        <v>1807695.78</v>
      </c>
      <c r="H15" s="7">
        <f>D15-G15</f>
        <v>80594.21999999997</v>
      </c>
      <c r="I15" s="19">
        <f>IF(D15=0,0,G15/D15)</f>
        <v>0.9573189393578317</v>
      </c>
      <c r="J15" s="6" t="str">
        <f>Base!U459</f>
        <v>Administración directa / Contrata / Personal/bienes/servicios</v>
      </c>
      <c r="K15" s="6" t="str">
        <f>Base!R459</f>
        <v>Ejecutado</v>
      </c>
      <c r="L15" s="7">
        <f>Base!V459</f>
        <v>1750000.0</v>
      </c>
      <c r="M15" s="7">
        <f>Base!W459</f>
        <v>0</v>
      </c>
      <c r="N15" s="7">
        <f>Base!X459</f>
        <v>0</v>
      </c>
      <c r="O15" s="7">
        <f>Base!Y459</f>
        <v>0</v>
      </c>
      <c r="P15" s="6">
        <f>IF(Base!Z459="","",Base!Z459)</f>
        <v/>
      </c>
      <c r="Q15" s="18" t="str">
        <f>Base!S459</f>
        <v>No usar</v>
      </c>
      <c r="R15" s="7">
        <f>Base!N459</f>
        <v>268.75</v>
      </c>
      <c r="S15" s="7">
        <f>Base!T459</f>
        <v>0.0</v>
      </c>
    </row>
    <row r="16" spans="1:19">
      <c r="A16" s="18">
        <f>SUBTOTAL(103,$B$6:B16)</f>
        <v>10</v>
      </c>
      <c r="B16" s="18">
        <v>17</v>
      </c>
      <c r="C16" s="6" t="str">
        <f>Base!H460</f>
        <v>2651742: MEJORAMIENTO Y AMPLIACION DEL SERVICIO DE PROVISIÓN DE AGUA PARA RIEGO EN LA MICROCUENCA DEL RÍO CONDORIRI   DISTRITO DE AZANGARO DE LA PROVINCIA DE AZANGARO DEL DEPARTAMENTO DE PUNO</v>
      </c>
      <c r="D16" s="7">
        <f>Base!I460</f>
        <v>1733600.0</v>
      </c>
      <c r="E16" s="7">
        <f>Base!J460</f>
        <v>1432971.5100000002</v>
      </c>
      <c r="F16" s="7">
        <f>D16-E16</f>
        <v>300628.48999999976</v>
      </c>
      <c r="G16" s="7">
        <f>Base!L460</f>
        <v>1216702.31</v>
      </c>
      <c r="H16" s="7">
        <f>D16-G16</f>
        <v>516897.68999999994</v>
      </c>
      <c r="I16" s="19">
        <f>IF(D16=0,0,G16/D16)</f>
        <v>0.7018356656668205</v>
      </c>
      <c r="J16" s="6" t="str">
        <f>Base!U460</f>
        <v>Administración directa / Contrata / Personal/bienes/servicios</v>
      </c>
      <c r="K16" s="6" t="str">
        <f>Base!R460</f>
        <v>Mayormente comprometido</v>
      </c>
      <c r="L16" s="7">
        <f>Base!V460</f>
        <v>5730000.0</v>
      </c>
      <c r="M16" s="7">
        <f>Base!W460</f>
        <v>7379001.0</v>
      </c>
      <c r="N16" s="7">
        <f>Base!X460</f>
        <v>1300000.0</v>
      </c>
      <c r="O16" s="7">
        <f>Base!Y460</f>
        <v>1500000.0</v>
      </c>
      <c r="P16" s="6">
        <f>IF(Base!Z460="","",Base!Z460)</f>
        <v/>
      </c>
      <c r="Q16" s="18" t="str">
        <f>Base!S460</f>
        <v>Difícil</v>
      </c>
      <c r="R16" s="7">
        <f>Base!N460</f>
        <v>135510.00000000023</v>
      </c>
      <c r="S16" s="7">
        <f>Base!T460</f>
        <v>436138.49</v>
      </c>
    </row>
    <row r="17" spans="1:19">
      <c r="A17" s="18">
        <f>SUBTOTAL(103,$B$6:B17)</f>
        <v>11</v>
      </c>
      <c r="B17" s="18">
        <v>40</v>
      </c>
      <c r="C17" s="6" t="str">
        <f>Base!H461</f>
        <v>2651742: MEJORAMIENTO Y AMPLIACION DEL SERVICIO DE PROVISIÓN DE AGUA PARA RIEGO EN LA MICROCUENCA DEL RÍO CONDORIRI   DISTRITO DE AZANGARO DE LA PROVINCIA DE AZANGARO DEL DEPARTAMENTO DE PUNO</v>
      </c>
      <c r="D17" s="7">
        <f>Base!I461</f>
        <v>681232.0</v>
      </c>
      <c r="E17" s="7">
        <f>Base!J461</f>
        <v>500567.77</v>
      </c>
      <c r="F17" s="7">
        <f>D17-E17</f>
        <v>180664.22999999998</v>
      </c>
      <c r="G17" s="7">
        <f>Base!L461</f>
        <v>87757.47</v>
      </c>
      <c r="H17" s="7">
        <f>D17-G17</f>
        <v>593474.53</v>
      </c>
      <c r="I17" s="19">
        <f>IF(D17=0,0,G17/D17)</f>
        <v>0.12882170831669681</v>
      </c>
      <c r="J17" s="6" t="str">
        <f>Base!U461</f>
        <v>Administración directa / Personal/bienes/servicios / Equipamiento / Contrata</v>
      </c>
      <c r="K17" s="6" t="str">
        <f>Base!R461</f>
        <v>Parcialmente comprometido</v>
      </c>
      <c r="L17" s="7">
        <f>Base!V461</f>
        <v>5730000.0</v>
      </c>
      <c r="M17" s="7">
        <f>Base!W461</f>
        <v>7379001.0</v>
      </c>
      <c r="N17" s="7">
        <f>Base!X461</f>
        <v>1300000.0</v>
      </c>
      <c r="O17" s="7">
        <f>Base!Y461</f>
        <v>1500000.0</v>
      </c>
      <c r="P17" s="6">
        <f>IF(Base!Z461="","",Base!Z461)</f>
        <v/>
      </c>
      <c r="Q17" s="18" t="str">
        <f>Base!S461</f>
        <v>Parcial</v>
      </c>
      <c r="R17" s="7">
        <f>Base!N461</f>
        <v>268748.47000000003</v>
      </c>
      <c r="S17" s="7">
        <f>Base!T461</f>
        <v>449412.7</v>
      </c>
    </row>
    <row r="18" spans="1:19">
      <c r="A18" s="18">
        <f>SUBTOTAL(103,$B$6:B18)</f>
        <v>12</v>
      </c>
      <c r="B18" s="18">
        <v>36</v>
      </c>
      <c r="C18" s="6" t="str">
        <f>Base!H462</f>
        <v>2001621: (ESTUDIOS DE PRE - INVERSION - nombre no disponible en fuentes)</v>
      </c>
      <c r="D18" s="7">
        <f>Base!I462</f>
        <v>390300.0</v>
      </c>
      <c r="E18" s="7">
        <f>Base!J462</f>
        <v>369779.36</v>
      </c>
      <c r="F18" s="7">
        <f>D18-E18</f>
        <v>20520.640000000014</v>
      </c>
      <c r="G18" s="7">
        <f>Base!L462</f>
        <v>221110.69999999998</v>
      </c>
      <c r="H18" s="7">
        <f>D18-G18</f>
        <v>169189.30000000002</v>
      </c>
      <c r="I18" s="19">
        <f>IF(D18=0,0,G18/D18)</f>
        <v>0.566514732257238</v>
      </c>
      <c r="J18" s="6" t="str">
        <f>Base!U462</f>
        <v>Estudio de preinversión</v>
      </c>
      <c r="K18" s="6" t="str">
        <f>Base!R462</f>
        <v>Mayormente comprometido</v>
      </c>
      <c r="L18" s="7" t="str">
        <f>Base!V462</f>
        <v>No registrado en cartera</v>
      </c>
      <c r="M18" s="7" t="str">
        <f>Base!W462</f>
        <v>No registrado en cartera</v>
      </c>
      <c r="N18" s="7" t="str">
        <f>Base!X462</f>
        <v>No registrado en cartera</v>
      </c>
      <c r="O18" s="7" t="str">
        <f>Base!Y462</f>
        <v>No registrado en cartera</v>
      </c>
      <c r="P18" s="6">
        <f>IF(Base!Z462="","",Base!Z462)</f>
        <v/>
      </c>
      <c r="Q18" s="18" t="str">
        <f>Base!S462</f>
        <v>Difícil</v>
      </c>
      <c r="R18" s="7">
        <f>Base!N462</f>
        <v>119658.65999999997</v>
      </c>
      <c r="S18" s="7">
        <f>Base!T462</f>
        <v>140179.3</v>
      </c>
    </row>
    <row r="19" spans="1:19">
      <c r="A19" s="18">
        <f>SUBTOTAL(103,$B$6:B19)</f>
        <v>13</v>
      </c>
      <c r="B19" s="18">
        <v>30</v>
      </c>
      <c r="C19" s="6" t="str">
        <f>Base!H463</f>
        <v>2540745: MEJORAMIENTO Y AMPLIACION DEL SERVICIO DE AGUA PARA LOS SISTEMAS DE RIEGO HUALLATIRI, HUAYRAPATA Y HUARANCA GRANDE DEL DISTRITO DE HUAYRAPATA - PROVINCIA DE MOHO - DEPARTAMENTO DE PUNO</v>
      </c>
      <c r="D19" s="7">
        <f>Base!I463</f>
        <v>318683.0</v>
      </c>
      <c r="E19" s="7">
        <f>Base!J463</f>
        <v>303987.53</v>
      </c>
      <c r="F19" s="7">
        <f>D19-E19</f>
        <v>14695.469999999972</v>
      </c>
      <c r="G19" s="7">
        <f>Base!L463</f>
        <v>288256.93</v>
      </c>
      <c r="H19" s="7">
        <f>D19-G19</f>
        <v>30426.070000000007</v>
      </c>
      <c r="I19" s="19">
        <f>IF(D19=0,0,G19/D19)</f>
        <v>0.9045255943994502</v>
      </c>
      <c r="J19" s="6" t="str">
        <f>Base!U463</f>
        <v>Administración directa</v>
      </c>
      <c r="K19" s="6" t="str">
        <f>Base!R463</f>
        <v>Ejecutado</v>
      </c>
      <c r="L19" s="7">
        <f>Base!V463</f>
        <v>1580000.0</v>
      </c>
      <c r="M19" s="7">
        <f>Base!W463</f>
        <v>285490.0</v>
      </c>
      <c r="N19" s="7">
        <f>Base!X463</f>
        <v>0</v>
      </c>
      <c r="O19" s="7">
        <f>Base!Y463</f>
        <v>0</v>
      </c>
      <c r="P19" s="6">
        <f>IF(Base!Z463="","",Base!Z463)</f>
        <v/>
      </c>
      <c r="Q19" s="18" t="str">
        <f>Base!S463</f>
        <v>No usar</v>
      </c>
      <c r="R19" s="7">
        <f>Base!N463</f>
        <v>0.0</v>
      </c>
      <c r="S19" s="7">
        <f>Base!T463</f>
        <v>0.0</v>
      </c>
    </row>
    <row r="20" spans="1:19">
      <c r="A20" s="18">
        <f>SUBTOTAL(103,$B$6:B20)</f>
        <v>14</v>
      </c>
      <c r="B20" s="18">
        <v>13</v>
      </c>
      <c r="C20" s="6" t="str">
        <f>Base!H464</f>
        <v>2566500: MEJORAMIENTO Y AMPLIACION DEL SISTEMA DE RIEGO CHAJANA DEL DISTRITO DE ACORA - PROVINCIA DE PUNO - DEPARTAMENTO DE PUNO</v>
      </c>
      <c r="D20" s="7">
        <f>Base!I464</f>
        <v>304784.0</v>
      </c>
      <c r="E20" s="7">
        <f>Base!J464</f>
        <v>301167.4</v>
      </c>
      <c r="F20" s="7">
        <f>D20-E20</f>
        <v>3616.5999999999767</v>
      </c>
      <c r="G20" s="7">
        <f>Base!L464</f>
        <v>299374.49</v>
      </c>
      <c r="H20" s="7">
        <f>D20-G20</f>
        <v>5409.510000000009</v>
      </c>
      <c r="I20" s="19">
        <f>IF(D20=0,0,G20/D20)</f>
        <v>0.9822513320909234</v>
      </c>
      <c r="J20" s="6" t="str">
        <f>Base!U464</f>
        <v>Administración directa</v>
      </c>
      <c r="K20" s="6" t="str">
        <f>Base!R464</f>
        <v>Ejecutado</v>
      </c>
      <c r="L20" s="7">
        <f>Base!V464</f>
        <v>4665000.0</v>
      </c>
      <c r="M20" s="7">
        <f>Base!W464</f>
        <v>62456.0</v>
      </c>
      <c r="N20" s="7">
        <f>Base!X464</f>
        <v>0</v>
      </c>
      <c r="O20" s="7">
        <f>Base!Y464</f>
        <v>0</v>
      </c>
      <c r="P20" s="6">
        <f>IF(Base!Z464="","",Base!Z464)</f>
        <v/>
      </c>
      <c r="Q20" s="18" t="str">
        <f>Base!S464</f>
        <v>No usar</v>
      </c>
      <c r="R20" s="7">
        <f>Base!N464</f>
        <v>505.04000000003725</v>
      </c>
      <c r="S20" s="7">
        <f>Base!T464</f>
        <v>0.0</v>
      </c>
    </row>
    <row r="21" spans="1:19">
      <c r="A21" s="18">
        <f>SUBTOTAL(103,$B$6:B21)</f>
        <v>15</v>
      </c>
      <c r="B21" s="18">
        <v>43</v>
      </c>
      <c r="C21" s="6" t="str">
        <f>Base!H465</f>
        <v>2651727: MEJORAMIENTO Y AMPLIACION DEL SERVICIO DE PROVISIÓN DE AGUA PARA RIEGO EN 16 UNIDADES PRODUCTORAS  3 DISTRITOS  DE LA PROVINCIA DE MOHO DEL DEPARTAMENTO DE PUNO</v>
      </c>
      <c r="D21" s="7">
        <f>Base!I465</f>
        <v>300185.0</v>
      </c>
      <c r="E21" s="7">
        <f>Base!J465</f>
        <v>113445.37</v>
      </c>
      <c r="F21" s="7">
        <f>D21-E21</f>
        <v>186739.63</v>
      </c>
      <c r="G21" s="7">
        <f>Base!L465</f>
        <v>12801.369999999999</v>
      </c>
      <c r="H21" s="7">
        <f>D21-G21</f>
        <v>287383.63</v>
      </c>
      <c r="I21" s="19">
        <f>IF(D21=0,0,G21/D21)</f>
        <v>0.04264493562303246</v>
      </c>
      <c r="J21" s="6" t="str">
        <f>Base!U465</f>
        <v>Administración directa / Equipamiento / Contrata / Personal/bienes/servicios</v>
      </c>
      <c r="K21" s="6" t="str">
        <f>Base!R465</f>
        <v>Parcialmente comprometido</v>
      </c>
      <c r="L21" s="7">
        <f>Base!V465</f>
        <v>6500000.0</v>
      </c>
      <c r="M21" s="7">
        <f>Base!W465</f>
        <v>4715948.0</v>
      </c>
      <c r="N21" s="7">
        <f>Base!X465</f>
        <v>5327000.0</v>
      </c>
      <c r="O21" s="7">
        <f>Base!Y465</f>
        <v>7815000.0</v>
      </c>
      <c r="P21" s="6">
        <f>IF(Base!Z465="","",Base!Z465)</f>
        <v/>
      </c>
      <c r="Q21" s="18" t="str">
        <f>Base!S465</f>
        <v>Parcial</v>
      </c>
      <c r="R21" s="7">
        <f>Base!N465</f>
        <v>80294.0</v>
      </c>
      <c r="S21" s="7">
        <f>Base!T465</f>
        <v>267033.63</v>
      </c>
    </row>
    <row r="22" spans="1:19">
      <c r="A22" s="18">
        <f>SUBTOTAL(103,$B$6:B22)</f>
        <v>16</v>
      </c>
      <c r="B22" s="18">
        <v>42</v>
      </c>
      <c r="C22" s="6" t="str">
        <f>Base!H466</f>
        <v>2651727: MEJORAMIENTO Y AMPLIACION DEL SERVICIO DE PROVISIÓN DE AGUA PARA RIEGO EN 16 UNIDADES PRODUCTORAS  3 DISTRITOS  DE LA PROVINCIA DE MOHO DEL DEPARTAMENTO DE PUNO</v>
      </c>
      <c r="D22" s="7">
        <f>Base!I466</f>
        <v>292185.0</v>
      </c>
      <c r="E22" s="7">
        <f>Base!J466</f>
        <v>72896.23000000001</v>
      </c>
      <c r="F22" s="7">
        <f>D22-E22</f>
        <v>219288.77</v>
      </c>
      <c r="G22" s="7">
        <f>Base!L466</f>
        <v>12396.83</v>
      </c>
      <c r="H22" s="7">
        <f>D22-G22</f>
        <v>279788.17</v>
      </c>
      <c r="I22" s="19">
        <f>IF(D22=0,0,G22/D22)</f>
        <v>0.04242801649639783</v>
      </c>
      <c r="J22" s="6" t="str">
        <f>Base!U466</f>
        <v>Administración directa / Contrata / Personal/bienes/servicios</v>
      </c>
      <c r="K22" s="6" t="str">
        <f>Base!R466</f>
        <v>Parcialmente comprometido</v>
      </c>
      <c r="L22" s="7">
        <f>Base!V466</f>
        <v>6500000.0</v>
      </c>
      <c r="M22" s="7">
        <f>Base!W466</f>
        <v>4715948.0</v>
      </c>
      <c r="N22" s="7">
        <f>Base!X466</f>
        <v>5327000.0</v>
      </c>
      <c r="O22" s="7">
        <f>Base!Y466</f>
        <v>7815000.0</v>
      </c>
      <c r="P22" s="6">
        <f>IF(Base!Z466="","",Base!Z466)</f>
        <v/>
      </c>
      <c r="Q22" s="18" t="str">
        <f>Base!S466</f>
        <v>Parcial</v>
      </c>
      <c r="R22" s="7">
        <f>Base!N466</f>
        <v>43406.00000000001</v>
      </c>
      <c r="S22" s="7">
        <f>Base!T466</f>
        <v>262694.77</v>
      </c>
    </row>
    <row r="23" spans="1:19">
      <c r="A23" s="18">
        <f>SUBTOTAL(103,$B$6:B23)</f>
        <v>17</v>
      </c>
      <c r="B23" s="18">
        <v>14</v>
      </c>
      <c r="C23" s="6" t="str">
        <f>Base!H467</f>
        <v>2634779: CREACION DEL SERVICIO DE PROVISIÓN DE AGUA PARA RIEGO EN LAS COMUNIDADES , MEDIANTE POZOS TUBULARES EN LOS   DISTRITOS DE HUANCANE, VILQUE CHICO DE LA PROVINCIA DE HUANCANE DEL DEPARTAMENTO DE PUNO</v>
      </c>
      <c r="D23" s="7">
        <f>Base!I467</f>
        <v>267289.0</v>
      </c>
      <c r="E23" s="7">
        <f>Base!J467</f>
        <v>267284.07</v>
      </c>
      <c r="F23" s="7">
        <f>D23-E23</f>
        <v>4.929999999993015</v>
      </c>
      <c r="G23" s="7">
        <f>Base!L467</f>
        <v>245284.07</v>
      </c>
      <c r="H23" s="7">
        <f>D23-G23</f>
        <v>22004.929999999993</v>
      </c>
      <c r="I23" s="19">
        <f>IF(D23=0,0,G23/D23)</f>
        <v>0.9176736416388254</v>
      </c>
      <c r="J23" s="6" t="str">
        <f>Base!U467</f>
        <v>Expediente técnico</v>
      </c>
      <c r="K23" s="6" t="str">
        <f>Base!R467</f>
        <v>Ejecutado</v>
      </c>
      <c r="L23" s="7">
        <f>Base!V467</f>
        <v>7834316.0</v>
      </c>
      <c r="M23" s="7">
        <f>Base!W467</f>
        <v>8107762.0</v>
      </c>
      <c r="N23" s="7">
        <f>Base!X467</f>
        <v>700000.0</v>
      </c>
      <c r="O23" s="7">
        <f>Base!Y467</f>
        <v>900000.0</v>
      </c>
      <c r="P23" s="6">
        <f>IF(Base!Z467="","",Base!Z467)</f>
        <v/>
      </c>
      <c r="Q23" s="18" t="str">
        <f>Base!S467</f>
        <v>No usar</v>
      </c>
      <c r="R23" s="7">
        <f>Base!N467</f>
        <v>0.0</v>
      </c>
      <c r="S23" s="7">
        <f>Base!T467</f>
        <v>0.0</v>
      </c>
    </row>
    <row r="24" spans="1:19">
      <c r="A24" s="18">
        <f>SUBTOTAL(103,$B$6:B24)</f>
        <v>18</v>
      </c>
      <c r="B24" s="18">
        <v>19</v>
      </c>
      <c r="C24" s="6" t="str">
        <f>Base!H468</f>
        <v>2651727: MEJORAMIENTO Y AMPLIACION DEL SERVICIO DE PROVISIÓN DE AGUA PARA RIEGO EN 16 UNIDADES PRODUCTORAS  3 DISTRITOS  DE LA PROVINCIA DE MOHO DEL DEPARTAMENTO DE PUNO</v>
      </c>
      <c r="D24" s="7">
        <f>Base!I468</f>
        <v>262883.0</v>
      </c>
      <c r="E24" s="7">
        <f>Base!J468</f>
        <v>262882.9</v>
      </c>
      <c r="F24" s="7">
        <f>D24-E24</f>
        <v>0.09999999997671694</v>
      </c>
      <c r="G24" s="7">
        <f>Base!L468</f>
        <v>262822.9</v>
      </c>
      <c r="H24" s="7">
        <f>D24-G24</f>
        <v>60.09999999997672</v>
      </c>
      <c r="I24" s="19">
        <f>IF(D24=0,0,G24/D24)</f>
        <v>0.9997713811847857</v>
      </c>
      <c r="J24" s="6" t="str">
        <f>Base!U468</f>
        <v>Expediente técnico</v>
      </c>
      <c r="K24" s="6" t="str">
        <f>Base!R468</f>
        <v>Ejecutado</v>
      </c>
      <c r="L24" s="7">
        <f>Base!V468</f>
        <v>6500000.0</v>
      </c>
      <c r="M24" s="7">
        <f>Base!W468</f>
        <v>4715948.0</v>
      </c>
      <c r="N24" s="7">
        <f>Base!X468</f>
        <v>5327000.0</v>
      </c>
      <c r="O24" s="7">
        <f>Base!Y468</f>
        <v>7815000.0</v>
      </c>
      <c r="P24" s="6">
        <f>IF(Base!Z468="","",Base!Z468)</f>
        <v/>
      </c>
      <c r="Q24" s="18" t="str">
        <f>Base!S468</f>
        <v>No usar</v>
      </c>
      <c r="R24" s="7">
        <f>Base!N468</f>
        <v>60.0</v>
      </c>
      <c r="S24" s="7">
        <f>Base!T468</f>
        <v>0.0</v>
      </c>
    </row>
    <row r="25" spans="1:19">
      <c r="A25" s="18">
        <f>SUBTOTAL(103,$B$6:B25)</f>
        <v>19</v>
      </c>
      <c r="B25" s="18">
        <v>35</v>
      </c>
      <c r="C25" s="6" t="str">
        <f>Base!H469</f>
        <v>2001621: (ESTUDIOS DE PRE - INVERSION - nombre no disponible en fuentes)</v>
      </c>
      <c r="D25" s="7">
        <f>Base!I469</f>
        <v>230000.0</v>
      </c>
      <c r="E25" s="7">
        <f>Base!J469</f>
        <v>210073.85</v>
      </c>
      <c r="F25" s="7">
        <f>D25-E25</f>
        <v>19926.149999999994</v>
      </c>
      <c r="G25" s="7">
        <f>Base!L469</f>
        <v>192936.75</v>
      </c>
      <c r="H25" s="7">
        <f>D25-G25</f>
        <v>37063.25</v>
      </c>
      <c r="I25" s="19">
        <f>IF(D25=0,0,G25/D25)</f>
        <v>0.8388554347826087</v>
      </c>
      <c r="J25" s="6" t="str">
        <f>Base!U469</f>
        <v>Estudio de preinversión</v>
      </c>
      <c r="K25" s="6" t="str">
        <f>Base!R469</f>
        <v>Mayormente comprometido</v>
      </c>
      <c r="L25" s="7" t="str">
        <f>Base!V469</f>
        <v>No registrado en cartera</v>
      </c>
      <c r="M25" s="7" t="str">
        <f>Base!W469</f>
        <v>No registrado en cartera</v>
      </c>
      <c r="N25" s="7" t="str">
        <f>Base!X469</f>
        <v>No registrado en cartera</v>
      </c>
      <c r="O25" s="7" t="str">
        <f>Base!Y469</f>
        <v>No registrado en cartera</v>
      </c>
      <c r="P25" s="6">
        <f>IF(Base!Z469="","",Base!Z469)</f>
        <v/>
      </c>
      <c r="Q25" s="18" t="str">
        <f>Base!S469</f>
        <v>Difícil</v>
      </c>
      <c r="R25" s="7">
        <f>Base!N469</f>
        <v>630.7000000000116</v>
      </c>
      <c r="S25" s="7">
        <f>Base!T469</f>
        <v>20556.850000000006</v>
      </c>
    </row>
    <row r="26" spans="1:19">
      <c r="A26" s="18">
        <f>SUBTOTAL(103,$B$6:B26)</f>
        <v>20</v>
      </c>
      <c r="B26" s="18">
        <v>22</v>
      </c>
      <c r="C26" s="6" t="str">
        <f>Base!H470</f>
        <v>2477014: CREACION DEL SERVICIO DE AGUA PARA RIEGO TECNIFICADO EN LAS COMUNIDADES DE IPARO, ARICATO, QUENEQUE, MORORIA, CCAPUNA Y APABUCO DEL DISTRITO DE SANDIA - PROVINCIA DE SANDIA - DEPARTAMENTO DE PUNO</v>
      </c>
      <c r="D26" s="7">
        <f>Base!I470</f>
        <v>190283.0</v>
      </c>
      <c r="E26" s="7">
        <f>Base!J470</f>
        <v>190281.56</v>
      </c>
      <c r="F26" s="7">
        <f>D26-E26</f>
        <v>1.4400000000023283</v>
      </c>
      <c r="G26" s="7">
        <f>Base!L470</f>
        <v>190281.56</v>
      </c>
      <c r="H26" s="7">
        <f>D26-G26</f>
        <v>1.4400000000023283</v>
      </c>
      <c r="I26" s="19">
        <f>IF(D26=0,0,G26/D26)</f>
        <v>0.9999924323244851</v>
      </c>
      <c r="J26" s="6" t="str">
        <f>Base!U470</f>
        <v>Contrata</v>
      </c>
      <c r="K26" s="6" t="str">
        <f>Base!R470</f>
        <v>Ejecutado</v>
      </c>
      <c r="L26" s="7">
        <f>Base!V470</f>
        <v>1750000.0</v>
      </c>
      <c r="M26" s="7">
        <f>Base!W470</f>
        <v>0</v>
      </c>
      <c r="N26" s="7">
        <f>Base!X470</f>
        <v>0</v>
      </c>
      <c r="O26" s="7">
        <f>Base!Y470</f>
        <v>0</v>
      </c>
      <c r="P26" s="6">
        <f>IF(Base!Z470="","",Base!Z470)</f>
        <v/>
      </c>
      <c r="Q26" s="18" t="str">
        <f>Base!S470</f>
        <v>No usar</v>
      </c>
      <c r="R26" s="7">
        <f>Base!N470</f>
        <v>0.0</v>
      </c>
      <c r="S26" s="7">
        <f>Base!T470</f>
        <v>0.0</v>
      </c>
    </row>
    <row r="27" spans="1:19">
      <c r="A27" s="18">
        <f>SUBTOTAL(103,$B$6:B27)</f>
        <v>21</v>
      </c>
      <c r="B27" s="18">
        <v>31</v>
      </c>
      <c r="C27" s="6" t="str">
        <f>Base!H471</f>
        <v>2566500: MEJORAMIENTO Y AMPLIACION DEL SISTEMA DE RIEGO CHAJANA DEL DISTRITO DE ACORA - PROVINCIA DE PUNO - DEPARTAMENTO DE PUNO</v>
      </c>
      <c r="D27" s="7">
        <f>Base!I471</f>
        <v>176980.0</v>
      </c>
      <c r="E27" s="7">
        <f>Base!J471</f>
        <v>174789.06</v>
      </c>
      <c r="F27" s="7">
        <f>D27-E27</f>
        <v>2190.9400000000023</v>
      </c>
      <c r="G27" s="7">
        <f>Base!L471</f>
        <v>171789.06</v>
      </c>
      <c r="H27" s="7">
        <f>D27-G27</f>
        <v>5190.940000000002</v>
      </c>
      <c r="I27" s="19">
        <f>IF(D27=0,0,G27/D27)</f>
        <v>0.9706693411684936</v>
      </c>
      <c r="J27" s="6" t="str">
        <f>Base!U471</f>
        <v>Contrata / Personal/bienes/servicios</v>
      </c>
      <c r="K27" s="6" t="str">
        <f>Base!R471</f>
        <v>Ejecutado</v>
      </c>
      <c r="L27" s="7">
        <f>Base!V471</f>
        <v>4665000.0</v>
      </c>
      <c r="M27" s="7">
        <f>Base!W471</f>
        <v>62456.0</v>
      </c>
      <c r="N27" s="7">
        <f>Base!X471</f>
        <v>0</v>
      </c>
      <c r="O27" s="7">
        <f>Base!Y471</f>
        <v>0</v>
      </c>
      <c r="P27" s="6">
        <f>IF(Base!Z471="","",Base!Z471)</f>
        <v/>
      </c>
      <c r="Q27" s="18" t="str">
        <f>Base!S471</f>
        <v>No usar</v>
      </c>
      <c r="R27" s="7">
        <f>Base!N471</f>
        <v>0.0</v>
      </c>
      <c r="S27" s="7">
        <f>Base!T471</f>
        <v>0.0</v>
      </c>
    </row>
    <row r="28" spans="1:19">
      <c r="A28" s="18">
        <f>SUBTOTAL(103,$B$6:B28)</f>
        <v>22</v>
      </c>
      <c r="B28" s="18">
        <v>37</v>
      </c>
      <c r="C28" s="6" t="str">
        <f>Base!H472</f>
        <v>2470845: MEJORAMIENTO Y AMPLIACION DEL SERVICIO DE AGUA PARA RIEGO TECNIFICADO EN LAS COMUNIDADES DE SAN JUAN DE TAHUACO Y MACHACMARCA DEL DISTRITO DE YUNGUYO - PROVINCIA DE YUNGUYO - DEPARTAMENTO DE PUNO</v>
      </c>
      <c r="D28" s="7">
        <f>Base!I472</f>
        <v>154443.0</v>
      </c>
      <c r="E28" s="7">
        <f>Base!J472</f>
        <v>109916.87999999999</v>
      </c>
      <c r="F28" s="7">
        <f>D28-E28</f>
        <v>44526.12000000001</v>
      </c>
      <c r="G28" s="7">
        <f>Base!L472</f>
        <v>90449.34999999999</v>
      </c>
      <c r="H28" s="7">
        <f>D28-G28</f>
        <v>63993.65000000001</v>
      </c>
      <c r="I28" s="19">
        <f>IF(D28=0,0,G28/D28)</f>
        <v>0.5856487506717688</v>
      </c>
      <c r="J28" s="6" t="str">
        <f>Base!U472</f>
        <v>Contrata / Personal/bienes/servicios</v>
      </c>
      <c r="K28" s="6" t="str">
        <f>Base!R472</f>
        <v>Mayormente comprometido</v>
      </c>
      <c r="L28" s="7">
        <f>Base!V472</f>
        <v>1850000.0</v>
      </c>
      <c r="M28" s="7">
        <f>Base!W472</f>
        <v>0</v>
      </c>
      <c r="N28" s="7">
        <f>Base!X472</f>
        <v>0</v>
      </c>
      <c r="O28" s="7">
        <f>Base!Y472</f>
        <v>0</v>
      </c>
      <c r="P28" s="6">
        <f>IF(Base!Z472="","",Base!Z472)</f>
        <v/>
      </c>
      <c r="Q28" s="18" t="str">
        <f>Base!S472</f>
        <v>Difícil</v>
      </c>
      <c r="R28" s="7">
        <f>Base!N472</f>
        <v>17495.98999999999</v>
      </c>
      <c r="S28" s="7">
        <f>Base!T472</f>
        <v>62022.11</v>
      </c>
    </row>
    <row r="29" spans="1:19">
      <c r="A29" s="18">
        <f>SUBTOTAL(103,$B$6:B29)</f>
        <v>23</v>
      </c>
      <c r="B29" s="18">
        <v>20</v>
      </c>
      <c r="C29" s="6" t="str">
        <f>Base!H473</f>
        <v>2668257: (EXPEDIENTE TECNICO - nombre no disponible en fuentes)</v>
      </c>
      <c r="D29" s="7">
        <f>Base!I473</f>
        <v>152639.0</v>
      </c>
      <c r="E29" s="7">
        <f>Base!J473</f>
        <v>152604.55</v>
      </c>
      <c r="F29" s="7">
        <f>D29-E29</f>
        <v>34.45000000001164</v>
      </c>
      <c r="G29" s="7">
        <f>Base!L473</f>
        <v>152604.55</v>
      </c>
      <c r="H29" s="7">
        <f>D29-G29</f>
        <v>34.45000000001164</v>
      </c>
      <c r="I29" s="19">
        <f>IF(D29=0,0,G29/D29)</f>
        <v>0.9997743040769397</v>
      </c>
      <c r="J29" s="6" t="str">
        <f>Base!U473</f>
        <v>Expediente técnico</v>
      </c>
      <c r="K29" s="6" t="str">
        <f>Base!R473</f>
        <v>Ejecutado</v>
      </c>
      <c r="L29" s="7" t="str">
        <f>Base!V473</f>
        <v>No registrado en cartera</v>
      </c>
      <c r="M29" s="7" t="str">
        <f>Base!W473</f>
        <v>No registrado en cartera</v>
      </c>
      <c r="N29" s="7" t="str">
        <f>Base!X473</f>
        <v>No registrado en cartera</v>
      </c>
      <c r="O29" s="7" t="str">
        <f>Base!Y473</f>
        <v>No registrado en cartera</v>
      </c>
      <c r="P29" s="6">
        <f>IF(Base!Z473="","",Base!Z473)</f>
        <v/>
      </c>
      <c r="Q29" s="18" t="str">
        <f>Base!S473</f>
        <v>No usar</v>
      </c>
      <c r="R29" s="7">
        <f>Base!N473</f>
        <v>0.0</v>
      </c>
      <c r="S29" s="7">
        <f>Base!T473</f>
        <v>0.0</v>
      </c>
    </row>
    <row r="30" spans="1:19">
      <c r="A30" s="18">
        <f>SUBTOTAL(103,$B$6:B30)</f>
        <v>24</v>
      </c>
      <c r="B30" s="18">
        <v>4</v>
      </c>
      <c r="C30" s="6" t="str">
        <f>Base!H474</f>
        <v>2470845: MEJORAMIENTO Y AMPLIACION DEL SERVICIO DE AGUA PARA RIEGO TECNIFICADO EN LAS COMUNIDADES DE SAN JUAN DE TAHUACO Y MACHACMARCA DEL DISTRITO DE YUNGUYO - PROVINCIA DE YUNGUYO - DEPARTAMENTO DE PUNO</v>
      </c>
      <c r="D30" s="7">
        <f>Base!I474</f>
        <v>150000.0</v>
      </c>
      <c r="E30" s="7">
        <f>Base!J474</f>
        <v>149949.14</v>
      </c>
      <c r="F30" s="7">
        <f>D30-E30</f>
        <v>50.85999999998603</v>
      </c>
      <c r="G30" s="7">
        <f>Base!L474</f>
        <v>148925.24</v>
      </c>
      <c r="H30" s="7">
        <f>D30-G30</f>
        <v>1074.7600000000093</v>
      </c>
      <c r="I30" s="19">
        <f>IF(D30=0,0,G30/D30)</f>
        <v>0.9928349333333333</v>
      </c>
      <c r="J30" s="6" t="str">
        <f>Base!U474</f>
        <v>Administración directa / Equipamiento</v>
      </c>
      <c r="K30" s="6" t="str">
        <f>Base!R474</f>
        <v>Ejecutado</v>
      </c>
      <c r="L30" s="7">
        <f>Base!V474</f>
        <v>1850000.0</v>
      </c>
      <c r="M30" s="7">
        <f>Base!W474</f>
        <v>0</v>
      </c>
      <c r="N30" s="7">
        <f>Base!X474</f>
        <v>0</v>
      </c>
      <c r="O30" s="7">
        <f>Base!Y474</f>
        <v>0</v>
      </c>
      <c r="P30" s="6">
        <f>IF(Base!Z474="","",Base!Z474)</f>
        <v/>
      </c>
      <c r="Q30" s="18" t="str">
        <f>Base!S474</f>
        <v>No usar</v>
      </c>
      <c r="R30" s="7">
        <f>Base!N474</f>
        <v>0.0</v>
      </c>
      <c r="S30" s="7">
        <f>Base!T474</f>
        <v>0.0</v>
      </c>
    </row>
    <row r="31" spans="1:19">
      <c r="A31" s="18">
        <f>SUBTOTAL(103,$B$6:B31)</f>
        <v>25</v>
      </c>
      <c r="B31" s="18">
        <v>41</v>
      </c>
      <c r="C31" s="6" t="str">
        <f>Base!H475</f>
        <v>2681358: MEJORAMIENTO Y AMPLIACION DEL SERVICIO DE PROVISIÓN DE AGUA PARA RIEGO EN LOS SECTORES DE ALBERTONI Y AGUADA DE LA COMUNIDAD DE LLUSTA,   DISTRITO DE SANTA ROSA DE LA PROVINCIA DE EL COLLAO DEL DEPARTAMENTO DE PUNO</v>
      </c>
      <c r="D31" s="7">
        <f>Base!I475</f>
        <v>150000.0</v>
      </c>
      <c r="E31" s="7">
        <f>Base!J475</f>
        <v>149147.0</v>
      </c>
      <c r="F31" s="7">
        <f>D31-E31</f>
        <v>853.0</v>
      </c>
      <c r="G31" s="7">
        <f>Base!L475</f>
        <v>88700.4</v>
      </c>
      <c r="H31" s="7">
        <f>D31-G31</f>
        <v>61299.600000000006</v>
      </c>
      <c r="I31" s="19">
        <f>IF(D31=0,0,G31/D31)</f>
        <v>0.591336</v>
      </c>
      <c r="J31" s="6" t="str">
        <f>Base!U475</f>
        <v>Expediente técnico</v>
      </c>
      <c r="K31" s="6" t="str">
        <f>Base!R475</f>
        <v>Mayormente comprometido</v>
      </c>
      <c r="L31" s="7">
        <f>Base!V475</f>
        <v>150000.0</v>
      </c>
      <c r="M31" s="7">
        <f>Base!W475</f>
        <v>414813.0</v>
      </c>
      <c r="N31" s="7">
        <f>Base!X475</f>
        <v>900000.0</v>
      </c>
      <c r="O31" s="7">
        <f>Base!Y475</f>
        <v>1046334.0</v>
      </c>
      <c r="P31" s="6">
        <f>IF(Base!Z475="","",Base!Z475)</f>
        <v/>
      </c>
      <c r="Q31" s="18" t="str">
        <f>Base!S475</f>
        <v>Difícil</v>
      </c>
      <c r="R31" s="7">
        <f>Base!N475</f>
        <v>41396.600000000006</v>
      </c>
      <c r="S31" s="7">
        <f>Base!T475</f>
        <v>42249.600000000006</v>
      </c>
    </row>
    <row r="32" spans="1:19">
      <c r="A32" s="18">
        <f>SUBTOTAL(103,$B$6:B32)</f>
        <v>26</v>
      </c>
      <c r="B32" s="18">
        <v>39</v>
      </c>
      <c r="C32" s="6" t="str">
        <f>Base!H476</f>
        <v>2540745: MEJORAMIENTO Y AMPLIACION DEL SERVICIO DE AGUA PARA LOS SISTEMAS DE RIEGO HUALLATIRI, HUAYRAPATA Y HUARANCA GRANDE DEL DISTRITO DE HUAYRAPATA - PROVINCIA DE MOHO - DEPARTAMENTO DE PUNO</v>
      </c>
      <c r="D32" s="7">
        <f>Base!I476</f>
        <v>69000.0</v>
      </c>
      <c r="E32" s="7">
        <f>Base!J476</f>
        <v>43756.53999999999</v>
      </c>
      <c r="F32" s="7">
        <f>D32-E32</f>
        <v>25243.460000000006</v>
      </c>
      <c r="G32" s="7">
        <f>Base!L476</f>
        <v>40656.53999999999</v>
      </c>
      <c r="H32" s="7">
        <f>D32-G32</f>
        <v>28343.460000000006</v>
      </c>
      <c r="I32" s="19">
        <f>IF(D32=0,0,G32/D32)</f>
        <v>0.5892252173913043</v>
      </c>
      <c r="J32" s="6" t="str">
        <f>Base!U476</f>
        <v>Contrata / Personal/bienes/servicios</v>
      </c>
      <c r="K32" s="6" t="str">
        <f>Base!R476</f>
        <v>Mayormente comprometido</v>
      </c>
      <c r="L32" s="7">
        <f>Base!V476</f>
        <v>1580000.0</v>
      </c>
      <c r="M32" s="7">
        <f>Base!W476</f>
        <v>285490.0</v>
      </c>
      <c r="N32" s="7">
        <f>Base!X476</f>
        <v>0</v>
      </c>
      <c r="O32" s="7">
        <f>Base!Y476</f>
        <v>0</v>
      </c>
      <c r="P32" s="6">
        <f>IF(Base!Z476="","",Base!Z476)</f>
        <v/>
      </c>
      <c r="Q32" s="18" t="str">
        <f>Base!S476</f>
        <v>Difícil</v>
      </c>
      <c r="R32" s="7">
        <f>Base!N476</f>
        <v>0.0</v>
      </c>
      <c r="S32" s="7">
        <f>Base!T476</f>
        <v>25243.460000000006</v>
      </c>
    </row>
    <row r="33" spans="1:19">
      <c r="A33" s="18">
        <f>SUBTOTAL(103,$B$6:B33)</f>
        <v>27</v>
      </c>
      <c r="B33" s="18">
        <v>1</v>
      </c>
      <c r="C33" s="6" t="str">
        <f>Base!H477</f>
        <v>2001621: (ESTUDIOS DE PRE - INVERSION - nombre no disponible en fuentes)</v>
      </c>
      <c r="D33" s="7">
        <f>Base!I477</f>
        <v>57914.0</v>
      </c>
      <c r="E33" s="7">
        <f>Base!J477</f>
        <v>15000.0</v>
      </c>
      <c r="F33" s="7">
        <f>D33-E33</f>
        <v>42914.0</v>
      </c>
      <c r="G33" s="7">
        <f>Base!L477</f>
        <v>10000.0</v>
      </c>
      <c r="H33" s="7">
        <f>D33-G33</f>
        <v>47914.0</v>
      </c>
      <c r="I33" s="19">
        <f>IF(D33=0,0,G33/D33)</f>
        <v>0.17266982076872603</v>
      </c>
      <c r="J33" s="6" t="str">
        <f>Base!U477</f>
        <v>Estudio de preinversión</v>
      </c>
      <c r="K33" s="6" t="str">
        <f>Base!R477</f>
        <v>Parcialmente comprometido</v>
      </c>
      <c r="L33" s="7" t="str">
        <f>Base!V477</f>
        <v>No registrado en cartera</v>
      </c>
      <c r="M33" s="7" t="str">
        <f>Base!W477</f>
        <v>No registrado en cartera</v>
      </c>
      <c r="N33" s="7" t="str">
        <f>Base!X477</f>
        <v>No registrado en cartera</v>
      </c>
      <c r="O33" s="7" t="str">
        <f>Base!Y477</f>
        <v>No registrado en cartera</v>
      </c>
      <c r="P33" s="6">
        <f>IF(Base!Z477="","",Base!Z477)</f>
        <v/>
      </c>
      <c r="Q33" s="18" t="str">
        <f>Base!S477</f>
        <v>Parcial</v>
      </c>
      <c r="R33" s="7">
        <f>Base!N477</f>
        <v>0.0</v>
      </c>
      <c r="S33" s="7">
        <f>Base!T477</f>
        <v>42914.0</v>
      </c>
    </row>
    <row r="34" spans="1:19">
      <c r="A34" s="18">
        <f>SUBTOTAL(103,$B$6:B34)</f>
        <v>28</v>
      </c>
      <c r="B34" s="18">
        <v>27</v>
      </c>
      <c r="C34" s="6" t="str">
        <f>Base!H478</f>
        <v>2477014: CREACION DEL SERVICIO DE AGUA PARA RIEGO TECNIFICADO EN LAS COMUNIDADES DE IPARO, ARICATO, QUENEQUE, MORORIA, CCAPUNA Y APABUCO DEL DISTRITO DE SANDIA - PROVINCIA DE SANDIA - DEPARTAMENTO DE PUNO</v>
      </c>
      <c r="D34" s="7">
        <f>Base!I478</f>
        <v>49820.0</v>
      </c>
      <c r="E34" s="7">
        <f>Base!J478</f>
        <v>49819.22</v>
      </c>
      <c r="F34" s="7">
        <f>D34-E34</f>
        <v>0.7799999999988358</v>
      </c>
      <c r="G34" s="7">
        <f>Base!L478</f>
        <v>49819.22</v>
      </c>
      <c r="H34" s="7">
        <f>D34-G34</f>
        <v>0.7799999999988358</v>
      </c>
      <c r="I34" s="19">
        <f>IF(D34=0,0,G34/D34)</f>
        <v>0.9999843436370935</v>
      </c>
      <c r="J34" s="6" t="str">
        <f>Base!U478</f>
        <v>Administración directa</v>
      </c>
      <c r="K34" s="6" t="str">
        <f>Base!R478</f>
        <v>Ejecutado</v>
      </c>
      <c r="L34" s="7">
        <f>Base!V478</f>
        <v>1750000.0</v>
      </c>
      <c r="M34" s="7">
        <f>Base!W478</f>
        <v>0</v>
      </c>
      <c r="N34" s="7">
        <f>Base!X478</f>
        <v>0</v>
      </c>
      <c r="O34" s="7">
        <f>Base!Y478</f>
        <v>0</v>
      </c>
      <c r="P34" s="6">
        <f>IF(Base!Z478="","",Base!Z478)</f>
        <v/>
      </c>
      <c r="Q34" s="18" t="str">
        <f>Base!S478</f>
        <v>No usar</v>
      </c>
      <c r="R34" s="7">
        <f>Base!N478</f>
        <v>0.0</v>
      </c>
      <c r="S34" s="7">
        <f>Base!T478</f>
        <v>0.0</v>
      </c>
    </row>
    <row r="35" spans="1:19">
      <c r="A35" s="18">
        <f>SUBTOTAL(103,$B$6:B35)</f>
        <v>29</v>
      </c>
      <c r="B35" s="18">
        <v>7</v>
      </c>
      <c r="C35" s="6" t="str">
        <f>Base!H479</f>
        <v>2540745: MEJORAMIENTO Y AMPLIACION DEL SERVICIO DE AGUA PARA LOS SISTEMAS DE RIEGO HUALLATIRI, HUAYRAPATA Y HUARANCA GRANDE DEL DISTRITO DE HUAYRAPATA - PROVINCIA DE MOHO - DEPARTAMENTO DE PUNO</v>
      </c>
      <c r="D35" s="7">
        <f>Base!I479</f>
        <v>45545.0</v>
      </c>
      <c r="E35" s="7">
        <f>Base!J479</f>
        <v>41539.479999999996</v>
      </c>
      <c r="F35" s="7">
        <f>D35-E35</f>
        <v>4005.520000000004</v>
      </c>
      <c r="G35" s="7">
        <f>Base!L479</f>
        <v>36436.479999999996</v>
      </c>
      <c r="H35" s="7">
        <f>D35-G35</f>
        <v>9108.520000000004</v>
      </c>
      <c r="I35" s="19">
        <f>IF(D35=0,0,G35/D35)</f>
        <v>0.8000105390273355</v>
      </c>
      <c r="J35" s="6" t="str">
        <f>Base!U479</f>
        <v>Administración directa</v>
      </c>
      <c r="K35" s="6" t="str">
        <f>Base!R479</f>
        <v>Mayormente comprometido</v>
      </c>
      <c r="L35" s="7">
        <f>Base!V479</f>
        <v>1580000.0</v>
      </c>
      <c r="M35" s="7">
        <f>Base!W479</f>
        <v>285490.0</v>
      </c>
      <c r="N35" s="7">
        <f>Base!X479</f>
        <v>0</v>
      </c>
      <c r="O35" s="7">
        <f>Base!Y479</f>
        <v>0</v>
      </c>
      <c r="P35" s="6">
        <f>IF(Base!Z479="","",Base!Z479)</f>
        <v/>
      </c>
      <c r="Q35" s="18" t="str">
        <f>Base!S479</f>
        <v>Difícil</v>
      </c>
      <c r="R35" s="7">
        <f>Base!N479</f>
        <v>0.5</v>
      </c>
      <c r="S35" s="7">
        <f>Base!T479</f>
        <v>4006.020000000004</v>
      </c>
    </row>
    <row r="36" spans="1:19">
      <c r="A36" s="18">
        <f>SUBTOTAL(103,$B$6:B36)</f>
        <v>30</v>
      </c>
      <c r="B36" s="18">
        <v>23</v>
      </c>
      <c r="C36" s="6" t="str">
        <f>Base!H480</f>
        <v>2477014: CREACION DEL SERVICIO DE AGUA PARA RIEGO TECNIFICADO EN LAS COMUNIDADES DE IPARO, ARICATO, QUENEQUE, MORORIA, CCAPUNA Y APABUCO DEL DISTRITO DE SANDIA - PROVINCIA DE SANDIA - DEPARTAMENTO DE PUNO</v>
      </c>
      <c r="D36" s="7">
        <f>Base!I480</f>
        <v>41248.0</v>
      </c>
      <c r="E36" s="7">
        <f>Base!J480</f>
        <v>27287.93</v>
      </c>
      <c r="F36" s="7">
        <f>D36-E36</f>
        <v>13960.07</v>
      </c>
      <c r="G36" s="7">
        <f>Base!L480</f>
        <v>27287.93</v>
      </c>
      <c r="H36" s="7">
        <f>D36-G36</f>
        <v>13960.07</v>
      </c>
      <c r="I36" s="19">
        <f>IF(D36=0,0,G36/D36)</f>
        <v>0.661557651280062</v>
      </c>
      <c r="J36" s="6" t="str">
        <f>Base!U480</f>
        <v>Administración directa</v>
      </c>
      <c r="K36" s="6" t="str">
        <f>Base!R480</f>
        <v>Mayormente comprometido</v>
      </c>
      <c r="L36" s="7">
        <f>Base!V480</f>
        <v>1750000.0</v>
      </c>
      <c r="M36" s="7">
        <f>Base!W480</f>
        <v>0</v>
      </c>
      <c r="N36" s="7">
        <f>Base!X480</f>
        <v>0</v>
      </c>
      <c r="O36" s="7">
        <f>Base!Y480</f>
        <v>0</v>
      </c>
      <c r="P36" s="6">
        <f>IF(Base!Z480="","",Base!Z480)</f>
        <v/>
      </c>
      <c r="Q36" s="18" t="str">
        <f>Base!S480</f>
        <v>Difícil</v>
      </c>
      <c r="R36" s="7">
        <f>Base!N480</f>
        <v>0.0</v>
      </c>
      <c r="S36" s="7">
        <f>Base!T480</f>
        <v>13960.07</v>
      </c>
    </row>
    <row r="37" spans="1:19">
      <c r="A37" s="18">
        <f>SUBTOTAL(103,$B$6:B37)</f>
        <v>31</v>
      </c>
      <c r="B37" s="18">
        <v>2</v>
      </c>
      <c r="C37" s="6" t="str">
        <f>Base!H481</f>
        <v>2429723: MEJORAMIENTO Y AMPLIACION DEL SERVICIO DE AGUA PARA EL SISTEMA DE RIEGO PRESURIZADO EN LA MICROCUENCA YANAMAYO DEL DISTRITO DE AZANGARO - PROVINCIA DE AZANGARO - DEPARTAMENTO DE PUNO</v>
      </c>
      <c r="D37" s="7">
        <f>Base!I481</f>
        <v>32000.0</v>
      </c>
      <c r="E37" s="7">
        <f>Base!J481</f>
        <v>31660.629999999997</v>
      </c>
      <c r="F37" s="7">
        <f>D37-E37</f>
        <v>339.3700000000026</v>
      </c>
      <c r="G37" s="7">
        <f>Base!L481</f>
        <v>31233.949999999997</v>
      </c>
      <c r="H37" s="7">
        <f>D37-G37</f>
        <v>766.0500000000029</v>
      </c>
      <c r="I37" s="19">
        <f>IF(D37=0,0,G37/D37)</f>
        <v>0.9760609374999999</v>
      </c>
      <c r="J37" s="6" t="str">
        <f>Base!U481</f>
        <v>Contrata / Personal/bienes/servicios</v>
      </c>
      <c r="K37" s="6" t="str">
        <f>Base!R481</f>
        <v>Ejecutado</v>
      </c>
      <c r="L37" s="7">
        <f>Base!V481</f>
        <v>20000.0</v>
      </c>
      <c r="M37" s="7">
        <f>Base!W481</f>
        <v>0</v>
      </c>
      <c r="N37" s="7">
        <f>Base!X481</f>
        <v>0</v>
      </c>
      <c r="O37" s="7">
        <f>Base!Y481</f>
        <v>0</v>
      </c>
      <c r="P37" s="6">
        <f>IF(Base!Z481="","",Base!Z481)</f>
        <v/>
      </c>
      <c r="Q37" s="18" t="str">
        <f>Base!S481</f>
        <v>No usar</v>
      </c>
      <c r="R37" s="7">
        <f>Base!N481</f>
        <v>426.6800000000003</v>
      </c>
      <c r="S37" s="7">
        <f>Base!T481</f>
        <v>0.0</v>
      </c>
    </row>
    <row r="38" spans="1:19">
      <c r="A38" s="18">
        <f>SUBTOTAL(103,$B$6:B38)</f>
        <v>32</v>
      </c>
      <c r="B38" s="18">
        <v>29</v>
      </c>
      <c r="C38" s="6" t="str">
        <f>Base!H482</f>
        <v>2540745: MEJORAMIENTO Y AMPLIACION DEL SERVICIO DE AGUA PARA LOS SISTEMAS DE RIEGO HUALLATIRI, HUAYRAPATA Y HUARANCA GRANDE DEL DISTRITO DE HUAYRAPATA - PROVINCIA DE MOHO - DEPARTAMENTO DE PUNO</v>
      </c>
      <c r="D38" s="7">
        <f>Base!I482</f>
        <v>21135.0</v>
      </c>
      <c r="E38" s="7">
        <f>Base!J482</f>
        <v>20274.0</v>
      </c>
      <c r="F38" s="7">
        <f>D38-E38</f>
        <v>861.0</v>
      </c>
      <c r="G38" s="7">
        <f>Base!L482</f>
        <v>20274.0</v>
      </c>
      <c r="H38" s="7">
        <f>D38-G38</f>
        <v>861.0</v>
      </c>
      <c r="I38" s="19">
        <f>IF(D38=0,0,G38/D38)</f>
        <v>0.9592618878637331</v>
      </c>
      <c r="J38" s="6" t="str">
        <f>Base!U482</f>
        <v>Administración directa</v>
      </c>
      <c r="K38" s="6" t="str">
        <f>Base!R482</f>
        <v>Ejecutado</v>
      </c>
      <c r="L38" s="7">
        <f>Base!V482</f>
        <v>1580000.0</v>
      </c>
      <c r="M38" s="7">
        <f>Base!W482</f>
        <v>285490.0</v>
      </c>
      <c r="N38" s="7">
        <f>Base!X482</f>
        <v>0</v>
      </c>
      <c r="O38" s="7">
        <f>Base!Y482</f>
        <v>0</v>
      </c>
      <c r="P38" s="6">
        <f>IF(Base!Z482="","",Base!Z482)</f>
        <v/>
      </c>
      <c r="Q38" s="18" t="str">
        <f>Base!S482</f>
        <v>No usar</v>
      </c>
      <c r="R38" s="7">
        <f>Base!N482</f>
        <v>0.0</v>
      </c>
      <c r="S38" s="7">
        <f>Base!T482</f>
        <v>0.0</v>
      </c>
    </row>
    <row r="39" spans="1:19">
      <c r="A39" s="18">
        <f>SUBTOTAL(103,$B$6:B39)</f>
        <v>33</v>
      </c>
      <c r="B39" s="18">
        <v>26</v>
      </c>
      <c r="C39" s="6" t="str">
        <f>Base!H483</f>
        <v>2454391: AMPLIACION DEL SERVICIO DE AGUA PARA RIEGO MEDIANTE LA CONSTRUCCIÓN DE LA REPRESA SAPANCCOTA DEL DISTRITO DE PUCARA - PROVINCIA DE LAMPA - DEPARTAMENTO DE PUNO</v>
      </c>
      <c r="D39" s="7">
        <f>Base!I483</f>
        <v>5726.0</v>
      </c>
      <c r="E39" s="7">
        <f>Base!J483</f>
        <v>5726.0</v>
      </c>
      <c r="F39" s="7">
        <f>D39-E39</f>
        <v>0.0</v>
      </c>
      <c r="G39" s="7">
        <f>Base!L483</f>
        <v>5104.8</v>
      </c>
      <c r="H39" s="7">
        <f>D39-G39</f>
        <v>621.1999999999998</v>
      </c>
      <c r="I39" s="19">
        <f>IF(D39=0,0,G39/D39)</f>
        <v>0.8915123995808593</v>
      </c>
      <c r="J39" s="6" t="str">
        <f>Base!U483</f>
        <v>Administración directa / Equipamiento</v>
      </c>
      <c r="K39" s="6" t="str">
        <f>Base!R483</f>
        <v>Mayormente comprometido</v>
      </c>
      <c r="L39" s="7">
        <f>Base!V483</f>
        <v>2780000.0</v>
      </c>
      <c r="M39" s="7">
        <f>Base!W483</f>
        <v>108325.0</v>
      </c>
      <c r="N39" s="7">
        <f>Base!X483</f>
        <v>0</v>
      </c>
      <c r="O39" s="7">
        <f>Base!Y483</f>
        <v>0</v>
      </c>
      <c r="P39" s="6">
        <f>IF(Base!Z483="","",Base!Z483)</f>
        <v/>
      </c>
      <c r="Q39" s="18" t="str">
        <f>Base!S483</f>
        <v>Difícil</v>
      </c>
      <c r="R39" s="7">
        <f>Base!N483</f>
        <v>621.1999999999998</v>
      </c>
      <c r="S39" s="7">
        <f>Base!T483</f>
        <v>621.1999999999998</v>
      </c>
    </row>
    <row r="40" spans="1:19">
      <c r="A40" s="18">
        <f>SUBTOTAL(103,$B$6:B40)</f>
        <v>34</v>
      </c>
      <c r="B40" s="18">
        <v>38</v>
      </c>
      <c r="C40" s="6" t="str">
        <f>Base!H484</f>
        <v>2651742: MEJORAMIENTO Y AMPLIACION DEL SERVICIO DE PROVISIÓN DE AGUA PARA RIEGO EN LA MICROCUENCA DEL RÍO CONDORIRI   DISTRITO DE AZANGARO DE LA PROVINCIA DE AZANGARO DEL DEPARTAMENTO DE PUNO</v>
      </c>
      <c r="D40" s="7">
        <f>Base!I484</f>
        <v>2400.0</v>
      </c>
      <c r="E40" s="7">
        <f>Base!J484</f>
        <v>2400.0</v>
      </c>
      <c r="F40" s="7">
        <f>D40-E40</f>
        <v>0.0</v>
      </c>
      <c r="G40" s="7">
        <f>Base!L484</f>
        <v>2400.0</v>
      </c>
      <c r="H40" s="7">
        <f>D40-G40</f>
        <v>0.0</v>
      </c>
      <c r="I40" s="19">
        <f>IF(D40=0,0,G40/D40)</f>
        <v>1.0</v>
      </c>
      <c r="J40" s="6" t="str">
        <f>Base!U484</f>
        <v>Expediente técnico</v>
      </c>
      <c r="K40" s="6" t="str">
        <f>Base!R484</f>
        <v>Ejecutado</v>
      </c>
      <c r="L40" s="7">
        <f>Base!V484</f>
        <v>5730000.0</v>
      </c>
      <c r="M40" s="7">
        <f>Base!W484</f>
        <v>7379001.0</v>
      </c>
      <c r="N40" s="7">
        <f>Base!X484</f>
        <v>1300000.0</v>
      </c>
      <c r="O40" s="7">
        <f>Base!Y484</f>
        <v>1500000.0</v>
      </c>
      <c r="P40" s="6">
        <f>IF(Base!Z484="","",Base!Z484)</f>
        <v/>
      </c>
      <c r="Q40" s="18" t="str">
        <f>Base!S484</f>
        <v>No usar</v>
      </c>
      <c r="R40" s="7">
        <f>Base!N484</f>
        <v>0.0</v>
      </c>
      <c r="S40" s="7">
        <f>Base!T484</f>
        <v>0.0</v>
      </c>
    </row>
    <row r="41" spans="1:19">
      <c r="A41" s="18">
        <f>SUBTOTAL(103,$B$6:B41)</f>
        <v>35</v>
      </c>
      <c r="B41" s="18">
        <v>32</v>
      </c>
      <c r="C41" s="6" t="str">
        <f>Base!H485</f>
        <v>2429723: MEJORAMIENTO Y AMPLIACION DEL SERVICIO DE AGUA PARA EL SISTEMA DE RIEGO PRESURIZADO EN LA MICROCUENCA YANAMAYO DEL DISTRITO DE AZANGARO - PROVINCIA DE AZANGARO - DEPARTAMENTO DE PUNO</v>
      </c>
      <c r="D41" s="7">
        <f>Base!I485</f>
        <v>2081.0</v>
      </c>
      <c r="E41" s="7">
        <f>Base!J485</f>
        <v>2080.85</v>
      </c>
      <c r="F41" s="7">
        <f>D41-E41</f>
        <v>0.15000000000009095</v>
      </c>
      <c r="G41" s="7">
        <f>Base!L485</f>
        <v>2080.85</v>
      </c>
      <c r="H41" s="7">
        <f>D41-G41</f>
        <v>0.15000000000009095</v>
      </c>
      <c r="I41" s="19">
        <f>IF(D41=0,0,G41/D41)</f>
        <v>0.9999279192695819</v>
      </c>
      <c r="J41" s="6" t="str">
        <f>Base!U485</f>
        <v>Administración directa</v>
      </c>
      <c r="K41" s="6" t="str">
        <f>Base!R485</f>
        <v>Ejecutado</v>
      </c>
      <c r="L41" s="7">
        <f>Base!V485</f>
        <v>20000.0</v>
      </c>
      <c r="M41" s="7">
        <f>Base!W485</f>
        <v>0</v>
      </c>
      <c r="N41" s="7">
        <f>Base!X485</f>
        <v>0</v>
      </c>
      <c r="O41" s="7">
        <f>Base!Y485</f>
        <v>0</v>
      </c>
      <c r="P41" s="6">
        <f>IF(Base!Z485="","",Base!Z485)</f>
        <v/>
      </c>
      <c r="Q41" s="18" t="str">
        <f>Base!S485</f>
        <v>No usar</v>
      </c>
      <c r="R41" s="7">
        <f>Base!N485</f>
        <v>0.0</v>
      </c>
      <c r="S41" s="7">
        <f>Base!T485</f>
        <v>0.0</v>
      </c>
    </row>
    <row r="42" spans="1:19">
      <c r="A42" s="18">
        <f>SUBTOTAL(103,$B$6:B42)</f>
        <v>36</v>
      </c>
      <c r="B42" s="18">
        <v>25</v>
      </c>
      <c r="C42" s="6" t="str">
        <f>Base!H486</f>
        <v>2477014: CREACION DEL SERVICIO DE AGUA PARA RIEGO TECNIFICADO EN LAS COMUNIDADES DE IPARO, ARICATO, QUENEQUE, MORORIA, CCAPUNA Y APABUCO DEL DISTRITO DE SANDIA - PROVINCIA DE SANDIA - DEPARTAMENTO DE PUNO</v>
      </c>
      <c r="D42" s="7">
        <f>Base!I486</f>
        <v>1097.0</v>
      </c>
      <c r="E42" s="7">
        <f>Base!J486</f>
        <v>1096.07</v>
      </c>
      <c r="F42" s="7">
        <f>D42-E42</f>
        <v>0.9300000000000637</v>
      </c>
      <c r="G42" s="7">
        <f>Base!L486</f>
        <v>1096.07</v>
      </c>
      <c r="H42" s="7">
        <f>D42-G42</f>
        <v>0.9300000000000637</v>
      </c>
      <c r="I42" s="19">
        <f>IF(D42=0,0,G42/D42)</f>
        <v>0.9991522333637192</v>
      </c>
      <c r="J42" s="6" t="str">
        <f>Base!U486</f>
        <v>Administración directa</v>
      </c>
      <c r="K42" s="6" t="str">
        <f>Base!R486</f>
        <v>Ejecutado</v>
      </c>
      <c r="L42" s="7">
        <f>Base!V486</f>
        <v>1750000.0</v>
      </c>
      <c r="M42" s="7">
        <f>Base!W486</f>
        <v>0</v>
      </c>
      <c r="N42" s="7">
        <f>Base!X486</f>
        <v>0</v>
      </c>
      <c r="O42" s="7">
        <f>Base!Y486</f>
        <v>0</v>
      </c>
      <c r="P42" s="6">
        <f>IF(Base!Z486="","",Base!Z486)</f>
        <v/>
      </c>
      <c r="Q42" s="18" t="str">
        <f>Base!S486</f>
        <v>No usar</v>
      </c>
      <c r="R42" s="7">
        <f>Base!N486</f>
        <v>0.0</v>
      </c>
      <c r="S42" s="7">
        <f>Base!T486</f>
        <v>0.0</v>
      </c>
    </row>
    <row r="43" spans="1:19">
      <c r="A43" s="18">
        <f>SUBTOTAL(103,$B$6:B43)</f>
        <v>37</v>
      </c>
      <c r="B43" s="18">
        <v>10</v>
      </c>
      <c r="C43" s="6" t="str">
        <f>Base!H487</f>
        <v>2541758: CREACION DEL SERVICIO DE AGUA PARA RIEGO MEDIANTE SIEMBRA Y COSECHA DE AGUA EN LAS COMUNIDADES DE CAYATTOCCO, CARABAYA, QQUETE Y UPINA DEL DISTRITO DE ITUATA - PROVINCIA DE CARABAYA - DEPARTAMENTO DE PUNO</v>
      </c>
      <c r="D43" s="7">
        <f>Base!I487</f>
        <v>0.0</v>
      </c>
      <c r="E43" s="7">
        <f>Base!J487</f>
        <v>0.0</v>
      </c>
      <c r="F43" s="7">
        <f>D43-E43</f>
        <v>0.0</v>
      </c>
      <c r="G43" s="7">
        <f>Base!L487</f>
        <v>0.0</v>
      </c>
      <c r="H43" s="7">
        <f>D43-G43</f>
        <v>0.0</v>
      </c>
      <c r="I43" s="19">
        <f>IF(D43=0,0,G43/D43)</f>
        <v>0</v>
      </c>
      <c r="J43" s="6" t="str">
        <f>Base!U487</f>
        <v>Administración directa</v>
      </c>
      <c r="K43" s="6" t="str">
        <f>Base!R487</f>
        <v>Sin PIM</v>
      </c>
      <c r="L43" s="7">
        <f>Base!V487</f>
        <v>1315000.0</v>
      </c>
      <c r="M43" s="7">
        <f>Base!W487</f>
        <v>0</v>
      </c>
      <c r="N43" s="7">
        <f>Base!X487</f>
        <v>0</v>
      </c>
      <c r="O43" s="7">
        <f>Base!Y487</f>
        <v>0</v>
      </c>
      <c r="P43" s="6">
        <f>IF(Base!Z487="","",Base!Z487)</f>
        <v/>
      </c>
      <c r="Q43" s="18" t="str">
        <f>Base!S487</f>
        <v>Sin PIM</v>
      </c>
      <c r="R43" s="7">
        <f>Base!N487</f>
        <v>0.0</v>
      </c>
      <c r="S43" s="7">
        <f>Base!T487</f>
        <v>0.0</v>
      </c>
    </row>
    <row r="44" spans="1:19">
      <c r="A44" s="18">
        <f>SUBTOTAL(103,$B$6:B44)</f>
        <v>38</v>
      </c>
      <c r="B44" s="18">
        <v>11</v>
      </c>
      <c r="C44" s="6" t="str">
        <f>Base!H488</f>
        <v>2541758: CREACION DEL SERVICIO DE AGUA PARA RIEGO MEDIANTE SIEMBRA Y COSECHA DE AGUA EN LAS COMUNIDADES DE CAYATTOCCO, CARABAYA, QQUETE Y UPINA DEL DISTRITO DE ITUATA - PROVINCIA DE CARABAYA - DEPARTAMENTO DE PUNO</v>
      </c>
      <c r="D44" s="7">
        <f>Base!I488</f>
        <v>0.0</v>
      </c>
      <c r="E44" s="7">
        <f>Base!J488</f>
        <v>0.0</v>
      </c>
      <c r="F44" s="7">
        <f>D44-E44</f>
        <v>0.0</v>
      </c>
      <c r="G44" s="7">
        <f>Base!L488</f>
        <v>0.0</v>
      </c>
      <c r="H44" s="7">
        <f>D44-G44</f>
        <v>0.0</v>
      </c>
      <c r="I44" s="19">
        <f>IF(D44=0,0,G44/D44)</f>
        <v>0</v>
      </c>
      <c r="J44" s="6" t="str">
        <f>Base!U488</f>
        <v>Administración directa</v>
      </c>
      <c r="K44" s="6" t="str">
        <f>Base!R488</f>
        <v>Sin PIM</v>
      </c>
      <c r="L44" s="7">
        <f>Base!V488</f>
        <v>1315000.0</v>
      </c>
      <c r="M44" s="7">
        <f>Base!W488</f>
        <v>0</v>
      </c>
      <c r="N44" s="7">
        <f>Base!X488</f>
        <v>0</v>
      </c>
      <c r="O44" s="7">
        <f>Base!Y488</f>
        <v>0</v>
      </c>
      <c r="P44" s="6">
        <f>IF(Base!Z488="","",Base!Z488)</f>
        <v/>
      </c>
      <c r="Q44" s="18" t="str">
        <f>Base!S488</f>
        <v>Sin PIM</v>
      </c>
      <c r="R44" s="7">
        <f>Base!N488</f>
        <v>0.0</v>
      </c>
      <c r="S44" s="7">
        <f>Base!T488</f>
        <v>0.0</v>
      </c>
    </row>
    <row r="45" spans="1:19">
      <c r="A45" s="18">
        <f>SUBTOTAL(103,$B$6:B45)</f>
        <v>39</v>
      </c>
      <c r="B45" s="18">
        <v>15</v>
      </c>
      <c r="C45" s="6" t="str">
        <f>Base!H490</f>
        <v>2634779: CREACION DEL SERVICIO DE PROVISIÓN DE AGUA PARA RIEGO EN LAS COMUNIDADES , MEDIANTE POZOS TUBULARES EN LOS   DISTRITOS DE HUANCANE, VILQUE CHICO DE LA PROVINCIA DE HUANCANE DEL DEPARTAMENTO DE PUNO</v>
      </c>
      <c r="D45" s="7">
        <f>Base!I490</f>
        <v>0.0</v>
      </c>
      <c r="E45" s="7">
        <f>Base!J490</f>
        <v>0.0</v>
      </c>
      <c r="F45" s="7">
        <f>D45-E45</f>
        <v>0.0</v>
      </c>
      <c r="G45" s="7">
        <f>Base!L490</f>
        <v>0.0</v>
      </c>
      <c r="H45" s="7">
        <f>D45-G45</f>
        <v>0.0</v>
      </c>
      <c r="I45" s="19">
        <f>IF(D45=0,0,G45/D45)</f>
        <v>0</v>
      </c>
      <c r="J45" s="6" t="str">
        <f>Base!U490</f>
        <v>Administración directa</v>
      </c>
      <c r="K45" s="6" t="str">
        <f>Base!R490</f>
        <v>Sin PIM</v>
      </c>
      <c r="L45" s="7">
        <f>Base!V490</f>
        <v>7834316.0</v>
      </c>
      <c r="M45" s="7">
        <f>Base!W490</f>
        <v>8107762.0</v>
      </c>
      <c r="N45" s="7">
        <f>Base!X490</f>
        <v>700000.0</v>
      </c>
      <c r="O45" s="7">
        <f>Base!Y490</f>
        <v>900000.0</v>
      </c>
      <c r="P45" s="6">
        <f>IF(Base!Z490="","",Base!Z490)</f>
        <v/>
      </c>
      <c r="Q45" s="18" t="str">
        <f>Base!S490</f>
        <v>Sin PIM</v>
      </c>
      <c r="R45" s="7">
        <f>Base!N490</f>
        <v>0.0</v>
      </c>
      <c r="S45" s="7">
        <f>Base!T490</f>
        <v>0.0</v>
      </c>
    </row>
    <row r="46" spans="1:19">
      <c r="A46" s="18">
        <f>SUBTOTAL(103,$B$6:B46)</f>
        <v>40</v>
      </c>
      <c r="B46" s="18">
        <v>16</v>
      </c>
      <c r="C46" s="6" t="str">
        <f>Base!H491</f>
        <v>2651727: MEJORAMIENTO Y AMPLIACION DEL SERVICIO DE PROVISIÓN DE AGUA PARA RIEGO EN 16 UNIDADES PRODUCTORAS  3 DISTRITOS  DE LA PROVINCIA DE MOHO DEL DEPARTAMENTO DE PUNO</v>
      </c>
      <c r="D46" s="7">
        <f>Base!I491</f>
        <v>0.0</v>
      </c>
      <c r="E46" s="7">
        <f>Base!J491</f>
        <v>0.0</v>
      </c>
      <c r="F46" s="7">
        <f>D46-E46</f>
        <v>0.0</v>
      </c>
      <c r="G46" s="7">
        <f>Base!L491</f>
        <v>0.0</v>
      </c>
      <c r="H46" s="7">
        <f>D46-G46</f>
        <v>0.0</v>
      </c>
      <c r="I46" s="19">
        <f>IF(D46=0,0,G46/D46)</f>
        <v>0</v>
      </c>
      <c r="J46" s="6" t="str">
        <f>Base!U491</f>
        <v>Administración directa</v>
      </c>
      <c r="K46" s="6" t="str">
        <f>Base!R491</f>
        <v>Sin PIM</v>
      </c>
      <c r="L46" s="7">
        <f>Base!V491</f>
        <v>6500000.0</v>
      </c>
      <c r="M46" s="7">
        <f>Base!W491</f>
        <v>4715948.0</v>
      </c>
      <c r="N46" s="7">
        <f>Base!X491</f>
        <v>5327000.0</v>
      </c>
      <c r="O46" s="7">
        <f>Base!Y491</f>
        <v>7815000.0</v>
      </c>
      <c r="P46" s="6">
        <f>IF(Base!Z491="","",Base!Z491)</f>
        <v/>
      </c>
      <c r="Q46" s="18" t="str">
        <f>Base!S491</f>
        <v>Sin PIM</v>
      </c>
      <c r="R46" s="7">
        <f>Base!N491</f>
        <v>0.0</v>
      </c>
      <c r="S46" s="7">
        <f>Base!T491</f>
        <v>0.0</v>
      </c>
    </row>
    <row r="47" spans="1:19">
      <c r="A47" s="15" t="s">
        <v>271</v>
      </c>
      <c r="B47" s="15"/>
      <c r="C47" s="15"/>
      <c r="D47" s="16">
        <f>SUM(D48:D48)</f>
        <v>0.0</v>
      </c>
      <c r="E47" s="16">
        <f>SUM(E48:E48)</f>
        <v>0.0</v>
      </c>
      <c r="F47" s="16">
        <f>D47-E47</f>
        <v>0.0</v>
      </c>
      <c r="G47" s="16">
        <f>SUM(G48:G48)</f>
        <v>0.0</v>
      </c>
      <c r="H47" s="16">
        <f>D47-G47</f>
        <v>0.0</v>
      </c>
      <c r="I47" s="17">
        <f>IF(D47=0,0,G47/D47)</f>
        <v>0</v>
      </c>
      <c r="J47" s="15"/>
      <c r="K47" s="15"/>
      <c r="L47" s="15"/>
      <c r="M47" s="15"/>
      <c r="N47" s="15"/>
      <c r="O47" s="15"/>
      <c r="P47" s="15"/>
      <c r="Q47" s="15"/>
      <c r="R47" s="16">
        <f>SUM(R48:R48)</f>
        <v>0.0</v>
      </c>
      <c r="S47" s="16">
        <f>SUM(S48:S48)</f>
        <v>0.0</v>
      </c>
    </row>
    <row r="48" spans="1:19">
      <c r="A48" s="18">
        <f>SUBTOTAL(103,$B$6:B48)</f>
        <v>41</v>
      </c>
      <c r="B48" s="18">
        <v>18</v>
      </c>
      <c r="C48" s="6" t="str">
        <f>Base!H489</f>
        <v>2616977: ADQUISICION DE MAQUINA PERFORADORA; EN EL(LA) REGIÓN PUNO - PROGRAMA REGIONAL DE RIEGO Y DRENAJE, PARA LA EXPLORACIÓN Y CAPTACIÓN DE AGUAS SUBTERRÁNEAS MEDIANTE POZOS TUBULARES PARA RIEGO, EN EL  DISTRITO DE PUNO, PROVINCIA PUNO, DEPARTAMENTO PUNO</v>
      </c>
      <c r="D48" s="7">
        <f>Base!I489</f>
        <v>0.0</v>
      </c>
      <c r="E48" s="7">
        <f>Base!J489</f>
        <v>0.0</v>
      </c>
      <c r="F48" s="7">
        <f>D48-E48</f>
        <v>0.0</v>
      </c>
      <c r="G48" s="7">
        <f>Base!L489</f>
        <v>0.0</v>
      </c>
      <c r="H48" s="7">
        <f>D48-G48</f>
        <v>0.0</v>
      </c>
      <c r="I48" s="19">
        <f>IF(D48=0,0,G48/D48)</f>
        <v>0</v>
      </c>
      <c r="J48" s="6" t="str">
        <f>Base!U489</f>
        <v>Contrata</v>
      </c>
      <c r="K48" s="6" t="str">
        <f>Base!R489</f>
        <v>Sin PIM</v>
      </c>
      <c r="L48" s="7">
        <f>Base!V489</f>
        <v>50000.0</v>
      </c>
      <c r="M48" s="7">
        <f>Base!W489</f>
        <v>27160.0</v>
      </c>
      <c r="N48" s="7">
        <f>Base!X489</f>
        <v>200000.0</v>
      </c>
      <c r="O48" s="7">
        <f>Base!Y489</f>
        <v>200000.0</v>
      </c>
      <c r="P48" s="6">
        <f>IF(Base!Z489="","",Base!Z489)</f>
        <v/>
      </c>
      <c r="Q48" s="18" t="str">
        <f>Base!S489</f>
        <v>Sin PIM</v>
      </c>
      <c r="R48" s="7">
        <f>Base!N489</f>
        <v>0.0</v>
      </c>
      <c r="S48" s="7">
        <f>Base!T489</f>
        <v>0.0</v>
      </c>
    </row>
    <row r="50" spans="1:19">
      <c r="A50" s="20" t="s">
        <v>1574</v>
      </c>
      <c r="B50" s="20"/>
      <c r="C50" s="20"/>
      <c r="D50" s="21">
        <f>D5</f>
        <v>45637342.0</v>
      </c>
      <c r="E50" s="21">
        <f>E5</f>
        <v>42133906.760000005</v>
      </c>
      <c r="F50" s="21">
        <f>D50-E50</f>
        <v>3503435.2399999946</v>
      </c>
      <c r="G50" s="21">
        <f>G5</f>
        <v>33578061.609999985</v>
      </c>
      <c r="H50" s="21">
        <f>D50-G50</f>
        <v>12059280.390000015</v>
      </c>
      <c r="I50" s="22">
        <f>IF(D50=0,0,G50/D50)</f>
        <v>0.735758485014311</v>
      </c>
      <c r="J50" s="20"/>
      <c r="K50" s="20"/>
      <c r="L50" s="20"/>
      <c r="M50" s="20"/>
      <c r="N50" s="20"/>
      <c r="O50" s="20"/>
      <c r="P50" s="20"/>
      <c r="Q50" s="20"/>
      <c r="R50" s="21">
        <f>R5</f>
        <v>2946314.1900000023</v>
      </c>
      <c r="S50" s="21">
        <f>S5</f>
        <v>6009941.760000001</v>
      </c>
    </row>
  </sheetData>
  <conditionalFormatting sqref="Q5:Q50">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1575</v>
      </c>
    </row>
    <row r="2" spans="1:19">
      <c r="B2" s="4" t="s">
        <v>1576</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1502</v>
      </c>
      <c r="B5" s="11"/>
      <c r="C5" s="11"/>
      <c r="D5" s="12">
        <f>D6</f>
        <v>20087412.0</v>
      </c>
      <c r="E5" s="12">
        <f>E6</f>
        <v>19634938.96</v>
      </c>
      <c r="F5" s="12">
        <f>D5-E5</f>
        <v>452473.0399999991</v>
      </c>
      <c r="G5" s="12">
        <f>G6</f>
        <v>15129329.829999996</v>
      </c>
      <c r="H5" s="12">
        <f>D5-G5</f>
        <v>4958082.170000004</v>
      </c>
      <c r="I5" s="13">
        <f>IF(D5=0,0,G5/D5)</f>
        <v>0.753174666303454</v>
      </c>
      <c r="J5" s="11"/>
      <c r="K5" s="11"/>
      <c r="L5" s="11"/>
      <c r="M5" s="11"/>
      <c r="N5" s="11"/>
      <c r="O5" s="11"/>
      <c r="P5" s="11"/>
      <c r="Q5" s="11"/>
      <c r="R5" s="12">
        <f>R6</f>
        <v>1775258.5200000019</v>
      </c>
      <c r="S5" s="12">
        <f>S6</f>
        <v>2225313.000000001</v>
      </c>
    </row>
    <row r="6" spans="1:19">
      <c r="A6" s="15" t="s">
        <v>996</v>
      </c>
      <c r="B6" s="15"/>
      <c r="C6" s="15"/>
      <c r="D6" s="16">
        <f>SUM(D7:D12)</f>
        <v>20087412.0</v>
      </c>
      <c r="E6" s="16">
        <f>SUM(E7:E12)</f>
        <v>19634938.96</v>
      </c>
      <c r="F6" s="16">
        <f>D6-E6</f>
        <v>452473.0399999991</v>
      </c>
      <c r="G6" s="16">
        <f>SUM(G7:G12)</f>
        <v>15129329.829999996</v>
      </c>
      <c r="H6" s="16">
        <f>D6-G6</f>
        <v>4958082.170000004</v>
      </c>
      <c r="I6" s="17">
        <f>IF(D6=0,0,G6/D6)</f>
        <v>0.753174666303454</v>
      </c>
      <c r="J6" s="15"/>
      <c r="K6" s="15"/>
      <c r="L6" s="15"/>
      <c r="M6" s="15"/>
      <c r="N6" s="15"/>
      <c r="O6" s="15"/>
      <c r="P6" s="15"/>
      <c r="Q6" s="15"/>
      <c r="R6" s="16">
        <f>SUM(R7:R12)</f>
        <v>1775258.5200000019</v>
      </c>
      <c r="S6" s="16">
        <f>SUM(S7:S12)</f>
        <v>2225313.000000001</v>
      </c>
    </row>
    <row r="7" spans="1:19">
      <c r="A7" s="18">
        <f>SUBTOTAL(103,$B$6:B7)</f>
        <v>1</v>
      </c>
      <c r="B7" s="18">
        <v>4</v>
      </c>
      <c r="C7" s="6" t="str">
        <f>Base!H492</f>
        <v>2559663: AMPLIACION PARA EL MEJORAMIENTO DE LA PRODUCTIVIDAD DE CARNE Y LANA DE OVINOS 6 PROVINCIAS DEL DEPARTAMENTO DE PUNO</v>
      </c>
      <c r="D7" s="7">
        <f>Base!I492</f>
        <v>10473026.0</v>
      </c>
      <c r="E7" s="7">
        <f>Base!J492</f>
        <v>10363410.32</v>
      </c>
      <c r="F7" s="7">
        <f>D7-E7</f>
        <v>109615.6799999997</v>
      </c>
      <c r="G7" s="7">
        <f>Base!L492</f>
        <v>8610776.95</v>
      </c>
      <c r="H7" s="7">
        <f>D7-G7</f>
        <v>1862249.0500000007</v>
      </c>
      <c r="I7" s="19">
        <f>IF(D7=0,0,G7/D7)</f>
        <v>0.8221861523116623</v>
      </c>
      <c r="J7" s="6" t="str">
        <f>Base!U492</f>
        <v>Contrata / Personal/bienes/servicios / Equipamiento</v>
      </c>
      <c r="K7" s="6" t="str">
        <f>Base!R492</f>
        <v>Mayormente comprometido</v>
      </c>
      <c r="L7" s="7">
        <f>Base!V492</f>
        <v>3820398.0</v>
      </c>
      <c r="M7" s="7">
        <f>Base!W492</f>
        <v>9531185.0</v>
      </c>
      <c r="N7" s="7">
        <f>Base!X492</f>
        <v>1200000.0</v>
      </c>
      <c r="O7" s="7">
        <f>Base!Y492</f>
        <v>610419.0</v>
      </c>
      <c r="P7" s="6">
        <f>IF(Base!Z492="","",Base!Z492)</f>
        <v/>
      </c>
      <c r="Q7" s="18" t="str">
        <f>Base!S492</f>
        <v>Difícil</v>
      </c>
      <c r="R7" s="7">
        <f>Base!N492</f>
        <v>931710.7200000025</v>
      </c>
      <c r="S7" s="7">
        <f>Base!T492</f>
        <v>1041326.4000000022</v>
      </c>
    </row>
    <row r="8" spans="1:19">
      <c r="A8" s="18">
        <f>SUBTOTAL(103,$B$6:B8)</f>
        <v>2</v>
      </c>
      <c r="B8" s="18">
        <v>5</v>
      </c>
      <c r="C8" s="6" t="str">
        <f>Base!H493</f>
        <v>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v>
      </c>
      <c r="D8" s="7">
        <f>Base!I493</f>
        <v>5701948.0</v>
      </c>
      <c r="E8" s="7">
        <f>Base!J493</f>
        <v>5519793.0</v>
      </c>
      <c r="F8" s="7">
        <f>D8-E8</f>
        <v>182155.0</v>
      </c>
      <c r="G8" s="7">
        <f>Base!L493</f>
        <v>2802264.63</v>
      </c>
      <c r="H8" s="7">
        <f>D8-G8</f>
        <v>2899683.37</v>
      </c>
      <c r="I8" s="19">
        <f>IF(D8=0,0,G8/D8)</f>
        <v>0.49145741595679227</v>
      </c>
      <c r="J8" s="6" t="str">
        <f>Base!U493</f>
        <v>Contrata / Equipamiento / Personal/bienes/servicios / Otro (ANIMALES REPRODUCTORES)</v>
      </c>
      <c r="K8" s="6" t="str">
        <f>Base!R493</f>
        <v>Mayormente comprometido</v>
      </c>
      <c r="L8" s="7">
        <f>Base!V493</f>
        <v>5141948.0</v>
      </c>
      <c r="M8" s="7">
        <f>Base!W493</f>
        <v>7818572.0</v>
      </c>
      <c r="N8" s="7">
        <f>Base!X493</f>
        <v>2825581.0</v>
      </c>
      <c r="O8" s="7">
        <f>Base!Y493</f>
        <v>9181810.0</v>
      </c>
      <c r="P8" s="6">
        <f>IF(Base!Z493="","",Base!Z493)</f>
        <v/>
      </c>
      <c r="Q8" s="18" t="str">
        <f>Base!S493</f>
        <v>Difícil</v>
      </c>
      <c r="R8" s="7">
        <f>Base!N493</f>
        <v>843179.3399999989</v>
      </c>
      <c r="S8" s="7">
        <f>Base!T493</f>
        <v>1025334.3399999989</v>
      </c>
    </row>
    <row r="9" spans="1:19">
      <c r="A9" s="18">
        <f>SUBTOTAL(103,$B$6:B9)</f>
        <v>3</v>
      </c>
      <c r="B9" s="18">
        <v>8</v>
      </c>
      <c r="C9" s="6" t="str">
        <f>Base!H494</f>
        <v>2479852: MEJORAMIENTO DE LA TRANSFERENCIA TECNOLÓGICA EN LA PRODUCCIÓN Y VALOR AGREGADO DE LA CADENA PRODUCTIVA DE VACUNOS DE CARNE EN LA REGIÓN PUNO 9 PROVINCIAS DEL DEPARTAMENTO DE PUNO</v>
      </c>
      <c r="D9" s="7">
        <f>Base!I494</f>
        <v>2603149.0</v>
      </c>
      <c r="E9" s="7">
        <f>Base!J494</f>
        <v>2600805.44</v>
      </c>
      <c r="F9" s="7">
        <f>D9-E9</f>
        <v>2343.560000000056</v>
      </c>
      <c r="G9" s="7">
        <f>Base!L494</f>
        <v>2578514.2399999993</v>
      </c>
      <c r="H9" s="7">
        <f>D9-G9</f>
        <v>24634.760000000708</v>
      </c>
      <c r="I9" s="19">
        <f>IF(D9=0,0,G9/D9)</f>
        <v>0.9905365539967168</v>
      </c>
      <c r="J9" s="6" t="str">
        <f>Base!U494</f>
        <v>Equipamiento / Administración directa</v>
      </c>
      <c r="K9" s="6" t="str">
        <f>Base!R494</f>
        <v>Ejecutado</v>
      </c>
      <c r="L9" s="7">
        <f>Base!V494</f>
        <v>6632458.0</v>
      </c>
      <c r="M9" s="7">
        <f>Base!W494</f>
        <v>451100.0</v>
      </c>
      <c r="N9" s="7">
        <f>Base!X494</f>
        <v>500000.0</v>
      </c>
      <c r="O9" s="7">
        <f>Base!Y494</f>
        <v>500000.0</v>
      </c>
      <c r="P9" s="6">
        <f>IF(Base!Z494="","",Base!Z494)</f>
        <v/>
      </c>
      <c r="Q9" s="18" t="str">
        <f>Base!S494</f>
        <v>No usar</v>
      </c>
      <c r="R9" s="7">
        <f>Base!N494</f>
        <v>75.00000000046566</v>
      </c>
      <c r="S9" s="7">
        <f>Base!T494</f>
        <v>0.0</v>
      </c>
    </row>
    <row r="10" spans="1:19">
      <c r="A10" s="18">
        <f>SUBTOTAL(103,$B$6:B10)</f>
        <v>4</v>
      </c>
      <c r="B10" s="18">
        <v>2</v>
      </c>
      <c r="C10" s="6" t="str">
        <f>Base!H495</f>
        <v>2479852: MEJORAMIENTO DE LA TRANSFERENCIA TECNOLÓGICA EN LA PRODUCCIÓN Y VALOR AGREGADO DE LA CADENA PRODUCTIVA DE VACUNOS DE CARNE EN LA REGIÓN PUNO 9 PROVINCIAS DEL DEPARTAMENTO DE PUNO</v>
      </c>
      <c r="D10" s="7">
        <f>Base!I495</f>
        <v>1279289.0</v>
      </c>
      <c r="E10" s="7">
        <f>Base!J495</f>
        <v>1150930.2</v>
      </c>
      <c r="F10" s="7">
        <f>D10-E10</f>
        <v>128358.80000000005</v>
      </c>
      <c r="G10" s="7">
        <f>Base!L495</f>
        <v>1137774.01</v>
      </c>
      <c r="H10" s="7">
        <f>D10-G10</f>
        <v>141514.99</v>
      </c>
      <c r="I10" s="19">
        <f>IF(D10=0,0,G10/D10)</f>
        <v>0.8893799680916509</v>
      </c>
      <c r="J10" s="6" t="str">
        <f>Base!U495</f>
        <v>Contrata / Personal/bienes/servicios</v>
      </c>
      <c r="K10" s="6" t="str">
        <f>Base!R495</f>
        <v>Mayormente comprometido</v>
      </c>
      <c r="L10" s="7">
        <f>Base!V495</f>
        <v>6632458.0</v>
      </c>
      <c r="M10" s="7">
        <f>Base!W495</f>
        <v>451100.0</v>
      </c>
      <c r="N10" s="7">
        <f>Base!X495</f>
        <v>500000.0</v>
      </c>
      <c r="O10" s="7">
        <f>Base!Y495</f>
        <v>500000.0</v>
      </c>
      <c r="P10" s="6">
        <f>IF(Base!Z495="","",Base!Z495)</f>
        <v/>
      </c>
      <c r="Q10" s="18" t="str">
        <f>Base!S495</f>
        <v>Difícil</v>
      </c>
      <c r="R10" s="7">
        <f>Base!N495</f>
        <v>293.45999999996275</v>
      </c>
      <c r="S10" s="7">
        <f>Base!T495</f>
        <v>128652.26000000001</v>
      </c>
    </row>
    <row r="11" spans="1:19">
      <c r="A11" s="18">
        <f>SUBTOTAL(103,$B$6:B11)</f>
        <v>5</v>
      </c>
      <c r="B11" s="18">
        <v>1</v>
      </c>
      <c r="C11" s="6" t="str">
        <f>Base!H496</f>
        <v>2325694: MEJORAMIENTO DE LA TECNIFICACION DE PROCESOS PARA LA CADENA PRODUCTIVA DE LA LECHE EN LA REGION PUNO</v>
      </c>
      <c r="D11" s="7">
        <f>Base!I496</f>
        <v>30000.0</v>
      </c>
      <c r="E11" s="7">
        <f>Base!J496</f>
        <v>0.0</v>
      </c>
      <c r="F11" s="7">
        <f>D11-E11</f>
        <v>30000.0</v>
      </c>
      <c r="G11" s="7">
        <f>Base!L496</f>
        <v>0.0</v>
      </c>
      <c r="H11" s="7">
        <f>D11-G11</f>
        <v>30000.0</v>
      </c>
      <c r="I11" s="19">
        <f>IF(D11=0,0,G11/D11)</f>
        <v>0.0</v>
      </c>
      <c r="J11" s="6" t="str">
        <f>Base!U496</f>
        <v>Contrata</v>
      </c>
      <c r="K11" s="6" t="str">
        <f>Base!R496</f>
        <v>Sin certificar</v>
      </c>
      <c r="L11" s="7">
        <f>Base!V496</f>
        <v>2215165.0</v>
      </c>
      <c r="M11" s="7">
        <f>Base!W496</f>
        <v>30192.0</v>
      </c>
      <c r="N11" s="7">
        <f>Base!X496</f>
        <v>745055.0</v>
      </c>
      <c r="O11" s="7">
        <f>Base!Y496</f>
        <v>1459918.0</v>
      </c>
      <c r="P11" s="6">
        <f>IF(Base!Z496="","",Base!Z496)</f>
        <v/>
      </c>
      <c r="Q11" s="18" t="str">
        <f>Base!S496</f>
        <v>Disponible</v>
      </c>
      <c r="R11" s="7">
        <f>Base!N496</f>
        <v>0.0</v>
      </c>
      <c r="S11" s="7">
        <f>Base!T496</f>
        <v>30000.0</v>
      </c>
    </row>
    <row r="12" spans="1:19">
      <c r="A12" s="18">
        <f>SUBTOTAL(103,$B$6:B12)</f>
        <v>6</v>
      </c>
      <c r="B12" s="18">
        <v>3</v>
      </c>
      <c r="C12" s="6" t="str">
        <f>Base!H497</f>
        <v>2538654: MEJORAMIENTO DE LA PRESTACIÓN DE SERVICIOS DE INNOVACIÓN Y TRANSFERENCIA TECNOLÓGICA PARA EL DESARROLLO COMPETITIVO DE LA PRODUCCIÓN PECUARIA 8 PROVINCIAS DEL DEPARTAMENTO DE PUNO</v>
      </c>
      <c r="D12" s="7">
        <f>Base!I497</f>
        <v>0.0</v>
      </c>
      <c r="E12" s="7">
        <f>Base!J497</f>
        <v>0.0</v>
      </c>
      <c r="F12" s="7">
        <f>D12-E12</f>
        <v>0.0</v>
      </c>
      <c r="G12" s="7">
        <f>Base!L497</f>
        <v>0.0</v>
      </c>
      <c r="H12" s="7">
        <f>D12-G12</f>
        <v>0.0</v>
      </c>
      <c r="I12" s="19">
        <f>IF(D12=0,0,G12/D12)</f>
        <v>0</v>
      </c>
      <c r="J12" s="6" t="str">
        <f>Base!U497</f>
        <v>Contrata / Personal/bienes/servicios</v>
      </c>
      <c r="K12" s="6" t="str">
        <f>Base!R497</f>
        <v>Sin PIM</v>
      </c>
      <c r="L12" s="7">
        <f>Base!V497</f>
        <v>500000.0</v>
      </c>
      <c r="M12" s="7">
        <f>Base!W497</f>
        <v>0</v>
      </c>
      <c r="N12" s="7">
        <f>Base!X497</f>
        <v>0</v>
      </c>
      <c r="O12" s="7">
        <f>Base!Y497</f>
        <v>0</v>
      </c>
      <c r="P12" s="6">
        <f>IF(Base!Z497="","",Base!Z497)</f>
        <v/>
      </c>
      <c r="Q12" s="18" t="str">
        <f>Base!S497</f>
        <v>Sin PIM</v>
      </c>
      <c r="R12" s="7">
        <f>Base!N497</f>
        <v>0.0</v>
      </c>
      <c r="S12" s="7">
        <f>Base!T497</f>
        <v>0.0</v>
      </c>
    </row>
    <row r="14" spans="1:19">
      <c r="A14" s="20" t="s">
        <v>1577</v>
      </c>
      <c r="B14" s="20"/>
      <c r="C14" s="20"/>
      <c r="D14" s="21">
        <f>D5</f>
        <v>20087412.0</v>
      </c>
      <c r="E14" s="21">
        <f>E5</f>
        <v>19634938.96</v>
      </c>
      <c r="F14" s="21">
        <f>D14-E14</f>
        <v>452473.0399999991</v>
      </c>
      <c r="G14" s="21">
        <f>G5</f>
        <v>15129329.829999996</v>
      </c>
      <c r="H14" s="21">
        <f>D14-G14</f>
        <v>4958082.170000004</v>
      </c>
      <c r="I14" s="22">
        <f>IF(D14=0,0,G14/D14)</f>
        <v>0.753174666303454</v>
      </c>
      <c r="J14" s="20"/>
      <c r="K14" s="20"/>
      <c r="L14" s="20"/>
      <c r="M14" s="20"/>
      <c r="N14" s="20"/>
      <c r="O14" s="20"/>
      <c r="P14" s="20"/>
      <c r="Q14" s="20"/>
      <c r="R14" s="21">
        <f>R5</f>
        <v>1775258.5200000019</v>
      </c>
      <c r="S14" s="21">
        <f>S5</f>
        <v>2225313.000000001</v>
      </c>
    </row>
  </sheetData>
  <conditionalFormatting sqref="Q5:Q1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1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1578</v>
      </c>
    </row>
    <row r="2" spans="1:19">
      <c r="B2" s="4" t="s">
        <v>1579</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1517</v>
      </c>
      <c r="B5" s="11"/>
      <c r="C5" s="11"/>
      <c r="D5" s="12">
        <f>D6+D15</f>
        <v>14581394.0</v>
      </c>
      <c r="E5" s="12">
        <f>E6+E15</f>
        <v>12563071.239999996</v>
      </c>
      <c r="F5" s="12">
        <f>D5-E5</f>
        <v>2018322.7600000035</v>
      </c>
      <c r="G5" s="12">
        <f>G6+G15</f>
        <v>11236500.850000001</v>
      </c>
      <c r="H5" s="12">
        <f>D5-G5</f>
        <v>3344893.1499999985</v>
      </c>
      <c r="I5" s="13">
        <f>IF(D5=0,0,G5/D5)</f>
        <v>0.7706053927354272</v>
      </c>
      <c r="J5" s="11"/>
      <c r="K5" s="11"/>
      <c r="L5" s="11"/>
      <c r="M5" s="11"/>
      <c r="N5" s="11"/>
      <c r="O5" s="11"/>
      <c r="P5" s="11"/>
      <c r="Q5" s="11"/>
      <c r="R5" s="12">
        <f>R6+R15</f>
        <v>365557.0699999982</v>
      </c>
      <c r="S5" s="12">
        <f>S6+S15</f>
        <v>2368535.41</v>
      </c>
    </row>
    <row r="6" spans="1:19">
      <c r="A6" s="15" t="s">
        <v>996</v>
      </c>
      <c r="B6" s="15"/>
      <c r="C6" s="15"/>
      <c r="D6" s="16">
        <f>SUM(D7:D14)</f>
        <v>14427894.0</v>
      </c>
      <c r="E6" s="16">
        <f>SUM(E7:E14)</f>
        <v>12473219.739999996</v>
      </c>
      <c r="F6" s="16">
        <f>D6-E6</f>
        <v>1954674.2600000035</v>
      </c>
      <c r="G6" s="16">
        <f>SUM(G7:G14)</f>
        <v>11200700.350000001</v>
      </c>
      <c r="H6" s="16">
        <f>D6-G6</f>
        <v>3227193.6499999985</v>
      </c>
      <c r="I6" s="17">
        <f>IF(D6=0,0,G6/D6)</f>
        <v>0.77632261160222</v>
      </c>
      <c r="J6" s="15"/>
      <c r="K6" s="15"/>
      <c r="L6" s="15"/>
      <c r="M6" s="15"/>
      <c r="N6" s="15"/>
      <c r="O6" s="15"/>
      <c r="P6" s="15"/>
      <c r="Q6" s="15"/>
      <c r="R6" s="16">
        <f>SUM(R7:R14)</f>
        <v>363057.0699999982</v>
      </c>
      <c r="S6" s="16">
        <f>SUM(S7:S14)</f>
        <v>2302386.91</v>
      </c>
    </row>
    <row r="7" spans="1:19">
      <c r="A7" s="18">
        <f>SUBTOTAL(103,$B$6:B7)</f>
        <v>1</v>
      </c>
      <c r="B7" s="18">
        <v>27</v>
      </c>
      <c r="C7" s="6" t="str">
        <f>Base!H498</f>
        <v>2557255: MEJORAMIENTO DE CAPACIDADES PARA LA CONSERVACIÓN Y MANEJO DE CAMÉLIDOS SUDAMERICANOS DOMÉSTICOS DE LAS RAZAS SURI Y HUACAYA DE COLOR EN ZONAS ALTOANDINAS 6 PROVINCIAS DEL DEPARTAMENTO DE PUNO</v>
      </c>
      <c r="D7" s="7">
        <f>Base!I498</f>
        <v>7439155.0</v>
      </c>
      <c r="E7" s="7">
        <f>Base!J498</f>
        <v>6108586.439999999</v>
      </c>
      <c r="F7" s="7">
        <f>D7-E7</f>
        <v>1330568.5600000015</v>
      </c>
      <c r="G7" s="7">
        <f>Base!L498</f>
        <v>5504731.600000001</v>
      </c>
      <c r="H7" s="7">
        <f>D7-G7</f>
        <v>1934423.3999999994</v>
      </c>
      <c r="I7" s="19">
        <f>IF(D7=0,0,G7/D7)</f>
        <v>0.7399673215573543</v>
      </c>
      <c r="J7" s="6" t="str">
        <f>Base!U498</f>
        <v>Contrata / Personal/bienes/servicios / Equipamiento</v>
      </c>
      <c r="K7" s="6" t="str">
        <f>Base!R498</f>
        <v>Mayormente comprometido</v>
      </c>
      <c r="L7" s="7">
        <f>Base!V498</f>
        <v>500000.0</v>
      </c>
      <c r="M7" s="7">
        <f>Base!W498</f>
        <v>4356339.0</v>
      </c>
      <c r="N7" s="7">
        <f>Base!X498</f>
        <v>4468789.0</v>
      </c>
      <c r="O7" s="7">
        <f>Base!Y498</f>
        <v>15297612.0</v>
      </c>
      <c r="P7" s="6">
        <f>IF(Base!Z498="","",Base!Z498)</f>
        <v/>
      </c>
      <c r="Q7" s="18" t="str">
        <f>Base!S498</f>
        <v>Difícil</v>
      </c>
      <c r="R7" s="7">
        <f>Base!N498</f>
        <v>200338.76999999862</v>
      </c>
      <c r="S7" s="7">
        <f>Base!T498</f>
        <v>1530907.33</v>
      </c>
    </row>
    <row r="8" spans="1:19">
      <c r="A8" s="18">
        <f>SUBTOTAL(103,$B$6:B8)</f>
        <v>2</v>
      </c>
      <c r="B8" s="18">
        <v>3</v>
      </c>
      <c r="C8" s="6" t="str">
        <f>Base!H499</f>
        <v>2470873: MEJORAMIENTO DE CAPACIDADES PARA EL DESARROLLO INTEGRAL DE LOS CULTIVOS DE FRUTALES EN LA SELVA DE LAS PROVINCIAS DE SANDIA Y CARABAYA DEL  DEPARTAMENTO DE PUNO</v>
      </c>
      <c r="D8" s="7">
        <f>Base!I499</f>
        <v>4417847.0</v>
      </c>
      <c r="E8" s="7">
        <f>Base!J499</f>
        <v>4295083.77</v>
      </c>
      <c r="F8" s="7">
        <f>D8-E8</f>
        <v>122763.23000000045</v>
      </c>
      <c r="G8" s="7">
        <f>Base!L499</f>
        <v>3703840.5300000007</v>
      </c>
      <c r="H8" s="7">
        <f>D8-G8</f>
        <v>714006.4699999993</v>
      </c>
      <c r="I8" s="19">
        <f>IF(D8=0,0,G8/D8)</f>
        <v>0.8383813495578277</v>
      </c>
      <c r="J8" s="6" t="str">
        <f>Base!U499</f>
        <v>Contrata / Personal/bienes/servicios / Expediente técnico</v>
      </c>
      <c r="K8" s="6" t="str">
        <f>Base!R499</f>
        <v>Mayormente comprometido</v>
      </c>
      <c r="L8" s="7">
        <f>Base!V499</f>
        <v>8534000.0</v>
      </c>
      <c r="M8" s="7">
        <f>Base!W499</f>
        <v>7018517.0</v>
      </c>
      <c r="N8" s="7">
        <f>Base!X499</f>
        <v>6966429.0</v>
      </c>
      <c r="O8" s="7">
        <f>Base!Y499</f>
        <v>5165856.0</v>
      </c>
      <c r="P8" s="6">
        <f>IF(Base!Z499="","",Base!Z499)</f>
        <v/>
      </c>
      <c r="Q8" s="18" t="str">
        <f>Base!S499</f>
        <v>Difícil</v>
      </c>
      <c r="R8" s="7">
        <f>Base!N499</f>
        <v>147374.34999999963</v>
      </c>
      <c r="S8" s="7">
        <f>Base!T499</f>
        <v>270137.5800000001</v>
      </c>
    </row>
    <row r="9" spans="1:19">
      <c r="A9" s="18">
        <f>SUBTOTAL(103,$B$6:B9)</f>
        <v>3</v>
      </c>
      <c r="B9" s="18">
        <v>26</v>
      </c>
      <c r="C9" s="6" t="str">
        <f>Base!H500</f>
        <v>2511053: MEJORAMIENTO DE CAPACIDADES PRODUCTIVAS PARA PROMOVER LA SEGURIDAD ALIMENTARIA EN LA REACTIVACIÓN  ECONÓMICA DE LAS 13 PROVINCIAS DEL DEPARTAMENTO DE PUNO</v>
      </c>
      <c r="D9" s="7">
        <f>Base!I500</f>
        <v>2000000.0</v>
      </c>
      <c r="E9" s="7">
        <f>Base!J500</f>
        <v>1999999.53</v>
      </c>
      <c r="F9" s="7">
        <f>D9-E9</f>
        <v>0.4699999999720603</v>
      </c>
      <c r="G9" s="7">
        <f>Base!L500</f>
        <v>1956578.2200000002</v>
      </c>
      <c r="H9" s="7">
        <f>D9-G9</f>
        <v>43421.779999999795</v>
      </c>
      <c r="I9" s="19">
        <f>IF(D9=0,0,G9/D9)</f>
        <v>0.9782891100000001</v>
      </c>
      <c r="J9" s="6" t="str">
        <f>Base!U500</f>
        <v>Personal/bienes/servicios / Contrata / Otro (OTROS ANIMALES)</v>
      </c>
      <c r="K9" s="6" t="str">
        <f>Base!R500</f>
        <v>Ejecutado</v>
      </c>
      <c r="L9" s="7">
        <f>Base!V500</f>
        <v>2000000.0</v>
      </c>
      <c r="M9" s="7">
        <f>Base!W500</f>
        <v>37016.0</v>
      </c>
      <c r="N9" s="7">
        <f>Base!X500</f>
        <v>0</v>
      </c>
      <c r="O9" s="7">
        <f>Base!Y500</f>
        <v>0</v>
      </c>
      <c r="P9" s="6">
        <f>IF(Base!Z500="","",Base!Z500)</f>
        <v/>
      </c>
      <c r="Q9" s="18" t="str">
        <f>Base!S500</f>
        <v>No usar</v>
      </c>
      <c r="R9" s="7">
        <f>Base!N500</f>
        <v>15343.949999999953</v>
      </c>
      <c r="S9" s="7">
        <f>Base!T500</f>
        <v>0.0</v>
      </c>
    </row>
    <row r="10" spans="1:19">
      <c r="A10" s="18">
        <f>SUBTOTAL(103,$B$6:B10)</f>
        <v>4</v>
      </c>
      <c r="B10" s="18">
        <v>34</v>
      </c>
      <c r="C10" s="6" t="str">
        <f>Base!H501</f>
        <v>2629018: MEJORAMIENTO DE LOS SERVICIOS DE APOYO AL DESARROLLO PRODUCTIVO DE PASTOS Y FORRAJES EN 14 UNIDADES PRODUCTORAS DE 84 DISTRITOS DE 13 PROVINCIAS DEL DEPARTAMENTO DE PUNO</v>
      </c>
      <c r="D10" s="7">
        <f>Base!I501</f>
        <v>431850.0</v>
      </c>
      <c r="E10" s="7">
        <f>Base!J501</f>
        <v>0.0</v>
      </c>
      <c r="F10" s="7">
        <f>D10-E10</f>
        <v>431850.0</v>
      </c>
      <c r="G10" s="7">
        <f>Base!L501</f>
        <v>0.0</v>
      </c>
      <c r="H10" s="7">
        <f>D10-G10</f>
        <v>431850.0</v>
      </c>
      <c r="I10" s="19">
        <f>IF(D10=0,0,G10/D10)</f>
        <v>0.0</v>
      </c>
      <c r="J10" s="6" t="str">
        <f>Base!U501</f>
        <v>Personal/bienes/servicios / Otro (SEMILLAS Y ALMACIGOS) / Contrata</v>
      </c>
      <c r="K10" s="6" t="str">
        <f>Base!R501</f>
        <v>Sin certificar</v>
      </c>
      <c r="L10" s="7">
        <f>Base!V501</f>
        <v>500000.0</v>
      </c>
      <c r="M10" s="7">
        <f>Base!W501</f>
        <v>0</v>
      </c>
      <c r="N10" s="7">
        <f>Base!X501</f>
        <v>0</v>
      </c>
      <c r="O10" s="7">
        <f>Base!Y501</f>
        <v>0</v>
      </c>
      <c r="P10" s="6">
        <f>IF(Base!Z501="","",Base!Z501)</f>
        <v/>
      </c>
      <c r="Q10" s="18" t="str">
        <f>Base!S501</f>
        <v>Disponible</v>
      </c>
      <c r="R10" s="7">
        <f>Base!N501</f>
        <v>0.0</v>
      </c>
      <c r="S10" s="7">
        <f>Base!T501</f>
        <v>431850.0</v>
      </c>
    </row>
    <row r="11" spans="1:19">
      <c r="A11" s="18">
        <f>SUBTOTAL(103,$B$6:B11)</f>
        <v>5</v>
      </c>
      <c r="B11" s="18">
        <v>12</v>
      </c>
      <c r="C11" s="6" t="str">
        <f>Base!H503</f>
        <v>2629018: MEJORAMIENTO DE LOS SERVICIOS DE APOYO AL DESARROLLO PRODUCTIVO DE PASTOS Y FORRAJES EN 14 UNIDADES PRODUCTORAS DE 84 DISTRITOS DE 13 PROVINCIAS DEL DEPARTAMENTO DE PUNO</v>
      </c>
      <c r="D11" s="7">
        <f>Base!I503</f>
        <v>68150.0</v>
      </c>
      <c r="E11" s="7">
        <f>Base!J503</f>
        <v>39550.0</v>
      </c>
      <c r="F11" s="7">
        <f>D11-E11</f>
        <v>28600.0</v>
      </c>
      <c r="G11" s="7">
        <f>Base!L503</f>
        <v>35550.0</v>
      </c>
      <c r="H11" s="7">
        <f>D11-G11</f>
        <v>32600.0</v>
      </c>
      <c r="I11" s="19">
        <f>IF(D11=0,0,G11/D11)</f>
        <v>0.5216434336023478</v>
      </c>
      <c r="J11" s="6" t="str">
        <f>Base!U503</f>
        <v>Expediente técnico</v>
      </c>
      <c r="K11" s="6" t="str">
        <f>Base!R503</f>
        <v>Mayormente comprometido</v>
      </c>
      <c r="L11" s="7">
        <f>Base!V503</f>
        <v>500000.0</v>
      </c>
      <c r="M11" s="7">
        <f>Base!W503</f>
        <v>0</v>
      </c>
      <c r="N11" s="7">
        <f>Base!X503</f>
        <v>0</v>
      </c>
      <c r="O11" s="7">
        <f>Base!Y503</f>
        <v>0</v>
      </c>
      <c r="P11" s="6">
        <f>IF(Base!Z503="","",Base!Z503)</f>
        <v/>
      </c>
      <c r="Q11" s="18" t="str">
        <f>Base!S503</f>
        <v>Difícil</v>
      </c>
      <c r="R11" s="7">
        <f>Base!N503</f>
        <v>0.0</v>
      </c>
      <c r="S11" s="7">
        <f>Base!T503</f>
        <v>28600.0</v>
      </c>
    </row>
    <row r="12" spans="1:19">
      <c r="A12" s="18">
        <f>SUBTOTAL(103,$B$6:B12)</f>
        <v>6</v>
      </c>
      <c r="B12" s="18">
        <v>32</v>
      </c>
      <c r="C12" s="6" t="str">
        <f>Base!H504</f>
        <v>2313145: (SUPERVISION Y LIQUIDACION DE OBRAS - nombre no disponible en fuentes)</v>
      </c>
      <c r="D12" s="7">
        <f>Base!I504</f>
        <v>40000.0</v>
      </c>
      <c r="E12" s="7">
        <f>Base!J504</f>
        <v>0.0</v>
      </c>
      <c r="F12" s="7">
        <f>D12-E12</f>
        <v>40000.0</v>
      </c>
      <c r="G12" s="7">
        <f>Base!L504</f>
        <v>0.0</v>
      </c>
      <c r="H12" s="7">
        <f>D12-G12</f>
        <v>40000.0</v>
      </c>
      <c r="I12" s="19">
        <f>IF(D12=0,0,G12/D12)</f>
        <v>0.0</v>
      </c>
      <c r="J12" s="6" t="str">
        <f>Base!U504</f>
        <v>Contrata</v>
      </c>
      <c r="K12" s="6" t="str">
        <f>Base!R504</f>
        <v>Sin certificar</v>
      </c>
      <c r="L12" s="7" t="str">
        <f>Base!V504</f>
        <v>No registrado en cartera</v>
      </c>
      <c r="M12" s="7" t="str">
        <f>Base!W504</f>
        <v>No registrado en cartera</v>
      </c>
      <c r="N12" s="7" t="str">
        <f>Base!X504</f>
        <v>No registrado en cartera</v>
      </c>
      <c r="O12" s="7" t="str">
        <f>Base!Y504</f>
        <v>No registrado en cartera</v>
      </c>
      <c r="P12" s="6">
        <f>IF(Base!Z504="","",Base!Z504)</f>
        <v/>
      </c>
      <c r="Q12" s="18" t="str">
        <f>Base!S504</f>
        <v>Disponible</v>
      </c>
      <c r="R12" s="7">
        <f>Base!N504</f>
        <v>0.0</v>
      </c>
      <c r="S12" s="7">
        <f>Base!T504</f>
        <v>40000.0</v>
      </c>
    </row>
    <row r="13" spans="1:19">
      <c r="A13" s="18">
        <f>SUBTOTAL(103,$B$6:B13)</f>
        <v>7</v>
      </c>
      <c r="B13" s="18">
        <v>30</v>
      </c>
      <c r="C13" s="6" t="str">
        <f>Base!H505</f>
        <v>2318520: MEJORAMIENTO DE LA CAPACIDAD AGROPRODUCTIVA DE GRANOS ANDINOS ORGANICOS DE QUINUA, CAÑIHUA, HABA Y TARWI EN LA REGION PUNO</v>
      </c>
      <c r="D13" s="7">
        <f>Base!I505</f>
        <v>30892.0</v>
      </c>
      <c r="E13" s="7">
        <f>Base!J505</f>
        <v>30000.0</v>
      </c>
      <c r="F13" s="7">
        <f>D13-E13</f>
        <v>892.0</v>
      </c>
      <c r="G13" s="7">
        <f>Base!L505</f>
        <v>0.0</v>
      </c>
      <c r="H13" s="7">
        <f>D13-G13</f>
        <v>30892.0</v>
      </c>
      <c r="I13" s="19">
        <f>IF(D13=0,0,G13/D13)</f>
        <v>0.0</v>
      </c>
      <c r="J13" s="6" t="str">
        <f>Base!U505</f>
        <v>Contrata</v>
      </c>
      <c r="K13" s="6" t="str">
        <f>Base!R505</f>
        <v>Mayormente comprometido</v>
      </c>
      <c r="L13" s="7">
        <f>Base!V505</f>
        <v>770194.0</v>
      </c>
      <c r="M13" s="7">
        <f>Base!W505</f>
        <v>0</v>
      </c>
      <c r="N13" s="7">
        <f>Base!X505</f>
        <v>0</v>
      </c>
      <c r="O13" s="7">
        <f>Base!Y505</f>
        <v>0</v>
      </c>
      <c r="P13" s="6">
        <f>IF(Base!Z505="","",Base!Z505)</f>
        <v/>
      </c>
      <c r="Q13" s="18" t="str">
        <f>Base!S505</f>
        <v>Difícil</v>
      </c>
      <c r="R13" s="7">
        <f>Base!N505</f>
        <v>0.0</v>
      </c>
      <c r="S13" s="7">
        <f>Base!T505</f>
        <v>892.0</v>
      </c>
    </row>
    <row r="14" spans="1:19">
      <c r="A14" s="18">
        <f>SUBTOTAL(103,$B$6:B14)</f>
        <v>8</v>
      </c>
      <c r="B14" s="18">
        <v>11</v>
      </c>
      <c r="C14" s="6" t="str">
        <f>Base!H507</f>
        <v>2557255: MEJORAMIENTO DE CAPACIDADES PARA LA CONSERVACIÓN Y MANEJO DE CAMÉLIDOS SUDAMERICANOS DOMÉSTICOS DE LAS RAZAS SURI Y HUACAYA DE COLOR EN ZONAS ALTOANDINAS 6 PROVINCIAS DEL DEPARTAMENTO DE PUNO</v>
      </c>
      <c r="D14" s="7">
        <f>Base!I507</f>
        <v>0.0</v>
      </c>
      <c r="E14" s="7">
        <f>Base!J507</f>
        <v>0.0</v>
      </c>
      <c r="F14" s="7">
        <f>D14-E14</f>
        <v>0.0</v>
      </c>
      <c r="G14" s="7">
        <f>Base!L507</f>
        <v>0.0</v>
      </c>
      <c r="H14" s="7">
        <f>D14-G14</f>
        <v>0.0</v>
      </c>
      <c r="I14" s="19">
        <f>IF(D14=0,0,G14/D14)</f>
        <v>0</v>
      </c>
      <c r="J14" s="6" t="str">
        <f>Base!U507</f>
        <v>Personal/bienes/servicios</v>
      </c>
      <c r="K14" s="6" t="str">
        <f>Base!R507</f>
        <v>Sin PIM</v>
      </c>
      <c r="L14" s="7">
        <f>Base!V507</f>
        <v>500000.0</v>
      </c>
      <c r="M14" s="7">
        <f>Base!W507</f>
        <v>4356339.0</v>
      </c>
      <c r="N14" s="7">
        <f>Base!X507</f>
        <v>4468789.0</v>
      </c>
      <c r="O14" s="7">
        <f>Base!Y507</f>
        <v>15297612.0</v>
      </c>
      <c r="P14" s="6">
        <f>IF(Base!Z507="","",Base!Z507)</f>
        <v/>
      </c>
      <c r="Q14" s="18" t="str">
        <f>Base!S507</f>
        <v>Sin PIM</v>
      </c>
      <c r="R14" s="7">
        <f>Base!N507</f>
        <v>0.0</v>
      </c>
      <c r="S14" s="7">
        <f>Base!T507</f>
        <v>0.0</v>
      </c>
    </row>
    <row r="15" spans="1:19">
      <c r="A15" s="15" t="s">
        <v>271</v>
      </c>
      <c r="B15" s="15"/>
      <c r="C15" s="15"/>
      <c r="D15" s="16">
        <f>SUM(D16:D17)</f>
        <v>153500.0</v>
      </c>
      <c r="E15" s="16">
        <f>SUM(E16:E17)</f>
        <v>89851.5</v>
      </c>
      <c r="F15" s="16">
        <f>D15-E15</f>
        <v>63648.5</v>
      </c>
      <c r="G15" s="16">
        <f>SUM(G16:G17)</f>
        <v>35800.5</v>
      </c>
      <c r="H15" s="16">
        <f>D15-G15</f>
        <v>117699.5</v>
      </c>
      <c r="I15" s="17">
        <f>IF(D15=0,0,G15/D15)</f>
        <v>0.23322801302931595</v>
      </c>
      <c r="J15" s="15"/>
      <c r="K15" s="15"/>
      <c r="L15" s="15"/>
      <c r="M15" s="15"/>
      <c r="N15" s="15"/>
      <c r="O15" s="15"/>
      <c r="P15" s="15"/>
      <c r="Q15" s="15"/>
      <c r="R15" s="16">
        <f>SUM(R16:R17)</f>
        <v>2500.0</v>
      </c>
      <c r="S15" s="16">
        <f>SUM(S16:S17)</f>
        <v>66148.5</v>
      </c>
    </row>
    <row r="16" spans="1:19">
      <c r="A16" s="18">
        <f>SUBTOTAL(103,$B$6:B16)</f>
        <v>9</v>
      </c>
      <c r="B16" s="18">
        <v>31</v>
      </c>
      <c r="C16" s="6" t="str">
        <f>Base!H502</f>
        <v>2001621: (ESTUDIOS DE PRE - INVERSION - nombre no disponible en fuentes)</v>
      </c>
      <c r="D16" s="7">
        <f>Base!I502</f>
        <v>133500.0</v>
      </c>
      <c r="E16" s="7">
        <f>Base!J502</f>
        <v>69851.5</v>
      </c>
      <c r="F16" s="7">
        <f>D16-E16</f>
        <v>63648.5</v>
      </c>
      <c r="G16" s="7">
        <f>Base!L502</f>
        <v>35800.5</v>
      </c>
      <c r="H16" s="7">
        <f>D16-G16</f>
        <v>97699.5</v>
      </c>
      <c r="I16" s="19">
        <f>IF(D16=0,0,G16/D16)</f>
        <v>0.26816853932584267</v>
      </c>
      <c r="J16" s="6" t="str">
        <f>Base!U502</f>
        <v>Estudio de preinversión</v>
      </c>
      <c r="K16" s="6" t="str">
        <f>Base!R502</f>
        <v>Mayormente comprometido</v>
      </c>
      <c r="L16" s="7" t="str">
        <f>Base!V502</f>
        <v>No registrado en cartera</v>
      </c>
      <c r="M16" s="7" t="str">
        <f>Base!W502</f>
        <v>No registrado en cartera</v>
      </c>
      <c r="N16" s="7" t="str">
        <f>Base!X502</f>
        <v>No registrado en cartera</v>
      </c>
      <c r="O16" s="7" t="str">
        <f>Base!Y502</f>
        <v>No registrado en cartera</v>
      </c>
      <c r="P16" s="6">
        <f>IF(Base!Z502="","",Base!Z502)</f>
        <v/>
      </c>
      <c r="Q16" s="18" t="str">
        <f>Base!S502</f>
        <v>Difícil</v>
      </c>
      <c r="R16" s="7">
        <f>Base!N502</f>
        <v>0.0</v>
      </c>
      <c r="S16" s="7">
        <f>Base!T502</f>
        <v>63648.5</v>
      </c>
    </row>
    <row r="17" spans="1:19">
      <c r="A17" s="18">
        <f>SUBTOTAL(103,$B$6:B17)</f>
        <v>10</v>
      </c>
      <c r="B17" s="18">
        <v>29</v>
      </c>
      <c r="C17" s="6" t="str">
        <f>Base!H506</f>
        <v>2615902: REMODELACION DE AUDITORIO; ADQUISICION DE EQUIPOS COMPLEMENTARIOS; REPARACION DE ESCALERA DE ACCESO Y ; EN EL(LA) DIRECCIÓN REGIONAL AGRARIA SEDE CENTRAL  DISTRITO DE PUNO, PROVINCIA PUNO, DEPARTAMENTO PUNO</v>
      </c>
      <c r="D17" s="7">
        <f>Base!I506</f>
        <v>20000.0</v>
      </c>
      <c r="E17" s="7">
        <f>Base!J506</f>
        <v>20000.0</v>
      </c>
      <c r="F17" s="7">
        <f>D17-E17</f>
        <v>0.0</v>
      </c>
      <c r="G17" s="7">
        <f>Base!L506</f>
        <v>0.0</v>
      </c>
      <c r="H17" s="7">
        <f>D17-G17</f>
        <v>20000.0</v>
      </c>
      <c r="I17" s="19">
        <f>IF(D17=0,0,G17/D17)</f>
        <v>0.0</v>
      </c>
      <c r="J17" s="6" t="str">
        <f>Base!U506</f>
        <v>Expediente técnico</v>
      </c>
      <c r="K17" s="6" t="str">
        <f>Base!R506</f>
        <v>Mayormente comprometido</v>
      </c>
      <c r="L17" s="7">
        <f>Base!V506</f>
        <v>20000.0</v>
      </c>
      <c r="M17" s="7">
        <f>Base!W506</f>
        <v>0</v>
      </c>
      <c r="N17" s="7">
        <f>Base!X506</f>
        <v>0</v>
      </c>
      <c r="O17" s="7">
        <f>Base!Y506</f>
        <v>0</v>
      </c>
      <c r="P17" s="6">
        <f>IF(Base!Z506="","",Base!Z506)</f>
        <v/>
      </c>
      <c r="Q17" s="18" t="str">
        <f>Base!S506</f>
        <v>Difícil</v>
      </c>
      <c r="R17" s="7">
        <f>Base!N506</f>
        <v>2500.0</v>
      </c>
      <c r="S17" s="7">
        <f>Base!T506</f>
        <v>2500.0</v>
      </c>
    </row>
    <row r="19" spans="1:19">
      <c r="A19" s="20" t="s">
        <v>1580</v>
      </c>
      <c r="B19" s="20"/>
      <c r="C19" s="20"/>
      <c r="D19" s="21">
        <f>D5</f>
        <v>14581394.0</v>
      </c>
      <c r="E19" s="21">
        <f>E5</f>
        <v>12563071.239999996</v>
      </c>
      <c r="F19" s="21">
        <f>D19-E19</f>
        <v>2018322.7600000035</v>
      </c>
      <c r="G19" s="21">
        <f>G5</f>
        <v>11236500.850000001</v>
      </c>
      <c r="H19" s="21">
        <f>D19-G19</f>
        <v>3344893.1499999985</v>
      </c>
      <c r="I19" s="22">
        <f>IF(D19=0,0,G19/D19)</f>
        <v>0.7706053927354272</v>
      </c>
      <c r="J19" s="20"/>
      <c r="K19" s="20"/>
      <c r="L19" s="20"/>
      <c r="M19" s="20"/>
      <c r="N19" s="20"/>
      <c r="O19" s="20"/>
      <c r="P19" s="20"/>
      <c r="Q19" s="20"/>
      <c r="R19" s="21">
        <f>R5</f>
        <v>365557.0699999982</v>
      </c>
      <c r="S19" s="21">
        <f>S5</f>
        <v>2368535.41</v>
      </c>
    </row>
  </sheetData>
  <conditionalFormatting sqref="Q5:Q1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1581</v>
      </c>
    </row>
    <row r="2" spans="1:19">
      <c r="B2" s="4" t="s">
        <v>1582</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1536</v>
      </c>
      <c r="B5" s="11"/>
      <c r="C5" s="11"/>
      <c r="D5" s="12">
        <f>D6</f>
        <v>32592.0</v>
      </c>
      <c r="E5" s="12">
        <f>E6</f>
        <v>0.0</v>
      </c>
      <c r="F5" s="12">
        <f>D5-E5</f>
        <v>32592.0</v>
      </c>
      <c r="G5" s="12">
        <f>G6</f>
        <v>0.0</v>
      </c>
      <c r="H5" s="12">
        <f>D5-G5</f>
        <v>32592.0</v>
      </c>
      <c r="I5" s="13">
        <f>IF(D5=0,0,G5/D5)</f>
        <v>0.0</v>
      </c>
      <c r="J5" s="11"/>
      <c r="K5" s="11"/>
      <c r="L5" s="11"/>
      <c r="M5" s="11"/>
      <c r="N5" s="11"/>
      <c r="O5" s="11"/>
      <c r="P5" s="11"/>
      <c r="Q5" s="11"/>
      <c r="R5" s="12">
        <f>R6</f>
        <v>0.0</v>
      </c>
      <c r="S5" s="12">
        <f>S6</f>
        <v>32592.0</v>
      </c>
    </row>
    <row r="6" spans="1:19">
      <c r="A6" s="15" t="s">
        <v>71</v>
      </c>
      <c r="B6" s="15"/>
      <c r="C6" s="15"/>
      <c r="D6" s="16">
        <f>SUM(D7:D7)</f>
        <v>32592.0</v>
      </c>
      <c r="E6" s="16">
        <f>SUM(E7:E7)</f>
        <v>0.0</v>
      </c>
      <c r="F6" s="16">
        <f>D6-E6</f>
        <v>32592.0</v>
      </c>
      <c r="G6" s="16">
        <f>SUM(G7:G7)</f>
        <v>0.0</v>
      </c>
      <c r="H6" s="16">
        <f>D6-G6</f>
        <v>32592.0</v>
      </c>
      <c r="I6" s="17">
        <f>IF(D6=0,0,G6/D6)</f>
        <v>0.0</v>
      </c>
      <c r="J6" s="15"/>
      <c r="K6" s="15"/>
      <c r="L6" s="15"/>
      <c r="M6" s="15"/>
      <c r="N6" s="15"/>
      <c r="O6" s="15"/>
      <c r="P6" s="15"/>
      <c r="Q6" s="15"/>
      <c r="R6" s="16">
        <f>SUM(R7:R7)</f>
        <v>0.0</v>
      </c>
      <c r="S6" s="16">
        <f>SUM(S7:S7)</f>
        <v>32592.0</v>
      </c>
    </row>
    <row r="7" spans="1:19">
      <c r="A7" s="18">
        <f>SUBTOTAL(103,$B$6:B7)</f>
        <v>1</v>
      </c>
      <c r="B7" s="18">
        <v>63</v>
      </c>
      <c r="C7" s="6" t="str">
        <f>Base!H508</f>
        <v>2393101: MEJORAMIENTO Y AMPLIACION DEL SERVICIO ADMINISTRATIVO DE LA UNIDAD  DE  GESTIÓN EDUCATIVA LOCAL MELGAR EN EL DISTRITO DE AYAVIRI, PROVINCIA DE MELGAR, REGIÓN PUNO</v>
      </c>
      <c r="D7" s="7">
        <f>Base!I508</f>
        <v>32592.0</v>
      </c>
      <c r="E7" s="7">
        <f>Base!J508</f>
        <v>0.0</v>
      </c>
      <c r="F7" s="7">
        <f>D7-E7</f>
        <v>32592.0</v>
      </c>
      <c r="G7" s="7">
        <f>Base!L508</f>
        <v>0.0</v>
      </c>
      <c r="H7" s="7">
        <f>D7-G7</f>
        <v>32592.0</v>
      </c>
      <c r="I7" s="19">
        <f>IF(D7=0,0,G7/D7)</f>
        <v>0.0</v>
      </c>
      <c r="J7" s="6" t="str">
        <f>Base!U508</f>
        <v>Administración directa / Contrata / Personal/bienes/servicios</v>
      </c>
      <c r="K7" s="6" t="str">
        <f>Base!R508</f>
        <v>Sin certificar</v>
      </c>
      <c r="L7" s="7">
        <f>Base!V508</f>
        <v>154969.0</v>
      </c>
      <c r="M7" s="7">
        <f>Base!W508</f>
        <v>0</v>
      </c>
      <c r="N7" s="7">
        <f>Base!X508</f>
        <v>0</v>
      </c>
      <c r="O7" s="7">
        <f>Base!Y508</f>
        <v>0</v>
      </c>
      <c r="P7" s="6">
        <f>IF(Base!Z508="","",Base!Z508)</f>
        <v/>
      </c>
      <c r="Q7" s="18" t="str">
        <f>Base!S508</f>
        <v>Disponible</v>
      </c>
      <c r="R7" s="7">
        <f>Base!N508</f>
        <v>0.0</v>
      </c>
      <c r="S7" s="7">
        <f>Base!T508</f>
        <v>32592.0</v>
      </c>
    </row>
    <row r="9" spans="1:19">
      <c r="A9" s="20" t="s">
        <v>1583</v>
      </c>
      <c r="B9" s="20"/>
      <c r="C9" s="20"/>
      <c r="D9" s="21">
        <f>D5</f>
        <v>32592.0</v>
      </c>
      <c r="E9" s="21">
        <f>E5</f>
        <v>0.0</v>
      </c>
      <c r="F9" s="21">
        <f>D9-E9</f>
        <v>32592.0</v>
      </c>
      <c r="G9" s="21">
        <f>G5</f>
        <v>0.0</v>
      </c>
      <c r="H9" s="21">
        <f>D9-G9</f>
        <v>32592.0</v>
      </c>
      <c r="I9" s="22">
        <f>IF(D9=0,0,G9/D9)</f>
        <v>0.0</v>
      </c>
      <c r="J9" s="20"/>
      <c r="K9" s="20"/>
      <c r="L9" s="20"/>
      <c r="M9" s="20"/>
      <c r="N9" s="20"/>
      <c r="O9" s="20"/>
      <c r="P9" s="20"/>
      <c r="Q9" s="20"/>
      <c r="R9" s="21">
        <f>R5</f>
        <v>0.0</v>
      </c>
      <c r="S9" s="21">
        <f>S5</f>
        <v>32592.0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1584</v>
      </c>
    </row>
    <row r="2" spans="1:19">
      <c r="B2" s="4" t="s">
        <v>1585</v>
      </c>
    </row>
    <row r="4" spans="1:19" ht="44" customHeight="1">
      <c r="A4" s="5" t="s">
        <v>1544</v>
      </c>
      <c r="B4" s="5" t="s">
        <v>1545</v>
      </c>
      <c r="C4" s="5" t="s">
        <v>1546</v>
      </c>
      <c r="D4" s="5" t="s">
        <v>1547</v>
      </c>
      <c r="E4" s="5" t="s">
        <v>1548</v>
      </c>
      <c r="F4" s="5" t="s">
        <v>1549</v>
      </c>
      <c r="G4" s="5" t="s">
        <v>1550</v>
      </c>
      <c r="H4" s="5" t="s">
        <v>1551</v>
      </c>
      <c r="I4" s="5" t="s">
        <v>1552</v>
      </c>
      <c r="J4" s="10" t="s">
        <v>1553</v>
      </c>
      <c r="K4" s="10" t="s">
        <v>1554</v>
      </c>
      <c r="L4" s="10" t="s">
        <v>46</v>
      </c>
      <c r="M4" s="10" t="s">
        <v>47</v>
      </c>
      <c r="N4" s="10" t="s">
        <v>48</v>
      </c>
      <c r="O4" s="10" t="s">
        <v>49</v>
      </c>
      <c r="P4" s="10" t="s">
        <v>1555</v>
      </c>
      <c r="Q4" s="10" t="s">
        <v>1556</v>
      </c>
      <c r="R4" s="10" t="s">
        <v>1557</v>
      </c>
      <c r="S4" s="10" t="s">
        <v>1558</v>
      </c>
    </row>
    <row r="5" spans="1:19">
      <c r="A5" s="11" t="s">
        <v>1539</v>
      </c>
      <c r="B5" s="11"/>
      <c r="C5" s="11"/>
      <c r="D5" s="12">
        <f>D6</f>
        <v>41800.0</v>
      </c>
      <c r="E5" s="12">
        <f>E6</f>
        <v>41500.0</v>
      </c>
      <c r="F5" s="12">
        <f>D5-E5</f>
        <v>300.0</v>
      </c>
      <c r="G5" s="12">
        <f>G6</f>
        <v>41500.0</v>
      </c>
      <c r="H5" s="12">
        <f>D5-G5</f>
        <v>300.0</v>
      </c>
      <c r="I5" s="13">
        <f>IF(D5=0,0,G5/D5)</f>
        <v>0.992822966507177</v>
      </c>
      <c r="J5" s="11"/>
      <c r="K5" s="11"/>
      <c r="L5" s="11"/>
      <c r="M5" s="11"/>
      <c r="N5" s="11"/>
      <c r="O5" s="11"/>
      <c r="P5" s="11"/>
      <c r="Q5" s="11"/>
      <c r="R5" s="12">
        <f>R6</f>
        <v>0.0</v>
      </c>
      <c r="S5" s="12">
        <f>S6</f>
        <v>0.0</v>
      </c>
    </row>
    <row r="6" spans="1:19">
      <c r="A6" s="15" t="s">
        <v>58</v>
      </c>
      <c r="B6" s="15"/>
      <c r="C6" s="15"/>
      <c r="D6" s="16">
        <f>SUM(D7:D7)</f>
        <v>41800.0</v>
      </c>
      <c r="E6" s="16">
        <f>SUM(E7:E7)</f>
        <v>41500.0</v>
      </c>
      <c r="F6" s="16">
        <f>D6-E6</f>
        <v>300.0</v>
      </c>
      <c r="G6" s="16">
        <f>SUM(G7:G7)</f>
        <v>41500.0</v>
      </c>
      <c r="H6" s="16">
        <f>D6-G6</f>
        <v>300.0</v>
      </c>
      <c r="I6" s="17">
        <f>IF(D6=0,0,G6/D6)</f>
        <v>0.992822966507177</v>
      </c>
      <c r="J6" s="15"/>
      <c r="K6" s="15"/>
      <c r="L6" s="15"/>
      <c r="M6" s="15"/>
      <c r="N6" s="15"/>
      <c r="O6" s="15"/>
      <c r="P6" s="15"/>
      <c r="Q6" s="15"/>
      <c r="R6" s="16">
        <f>SUM(R7:R7)</f>
        <v>0.0</v>
      </c>
      <c r="S6" s="16">
        <f>SUM(S7:S7)</f>
        <v>0.0</v>
      </c>
    </row>
    <row r="7" spans="1:19">
      <c r="A7" s="18">
        <f>SUBTOTAL(103,$B$6:B7)</f>
        <v>1</v>
      </c>
      <c r="B7" s="18">
        <v>121</v>
      </c>
      <c r="C7" s="6" t="str">
        <f>Base!H509</f>
        <v>2730957: ADQUISICION DE UNIDAD DENTAL Y AUTOCLAVE; EN EL(LA) ANANEA  DISTRITO DE ANANEA, PROVINCIA SAN ANTONIO DE PUTINA, DEPARTAMENTO PUNO</v>
      </c>
      <c r="D7" s="7">
        <f>Base!I509</f>
        <v>41800.0</v>
      </c>
      <c r="E7" s="7">
        <f>Base!J509</f>
        <v>41500.0</v>
      </c>
      <c r="F7" s="7">
        <f>D7-E7</f>
        <v>300.0</v>
      </c>
      <c r="G7" s="7">
        <f>Base!L509</f>
        <v>41500.0</v>
      </c>
      <c r="H7" s="7">
        <f>D7-G7</f>
        <v>300.0</v>
      </c>
      <c r="I7" s="19">
        <f>IF(D7=0,0,G7/D7)</f>
        <v>0.992822966507177</v>
      </c>
      <c r="J7" s="6" t="str">
        <f>Base!U509</f>
        <v>Equipamiento</v>
      </c>
      <c r="K7" s="6" t="str">
        <f>Base!R509</f>
        <v>Ejecutado</v>
      </c>
      <c r="L7" s="7">
        <f>Base!V509</f>
        <v>43800.0</v>
      </c>
      <c r="M7" s="7">
        <f>Base!W509</f>
        <v>0</v>
      </c>
      <c r="N7" s="7">
        <f>Base!X509</f>
        <v>0</v>
      </c>
      <c r="O7" s="7">
        <f>Base!Y509</f>
        <v>0</v>
      </c>
      <c r="P7" s="6">
        <f>IF(Base!Z509="","",Base!Z509)</f>
        <v/>
      </c>
      <c r="Q7" s="18" t="str">
        <f>Base!S509</f>
        <v>No usar</v>
      </c>
      <c r="R7" s="7">
        <f>Base!N509</f>
        <v>0.0</v>
      </c>
      <c r="S7" s="7">
        <f>Base!T509</f>
        <v>0.0</v>
      </c>
    </row>
    <row r="9" spans="1:19">
      <c r="A9" s="20" t="s">
        <v>1586</v>
      </c>
      <c r="B9" s="20"/>
      <c r="C9" s="20"/>
      <c r="D9" s="21">
        <f>D5</f>
        <v>41800.0</v>
      </c>
      <c r="E9" s="21">
        <f>E5</f>
        <v>41500.0</v>
      </c>
      <c r="F9" s="21">
        <f>D9-E9</f>
        <v>300.0</v>
      </c>
      <c r="G9" s="21">
        <f>G5</f>
        <v>41500.0</v>
      </c>
      <c r="H9" s="21">
        <f>D9-G9</f>
        <v>300.0</v>
      </c>
      <c r="I9" s="22">
        <f>IF(D9=0,0,G9/D9)</f>
        <v>0.992822966507177</v>
      </c>
      <c r="J9" s="20"/>
      <c r="K9" s="20"/>
      <c r="L9" s="20"/>
      <c r="M9" s="20"/>
      <c r="N9" s="20"/>
      <c r="O9" s="20"/>
      <c r="P9" s="20"/>
      <c r="Q9" s="20"/>
      <c r="R9" s="21">
        <f>R5</f>
        <v>0.0</v>
      </c>
      <c r="S9" s="21">
        <f>S5</f>
        <v>0.0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93"/>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1" t="s">
        <v>1618</v>
      </c>
    </row>
    <row r="2" spans="1:14">
      <c r="A2" s="2" t="s">
        <v>1619</v>
      </c>
    </row>
    <row r="3" spans="1:14">
      <c r="A3" s="2" t="s">
        <v>1620</v>
      </c>
    </row>
    <row r="4" spans="1:14" ht="46" customHeight="1">
      <c r="A4" s="5" t="s">
        <v>1544</v>
      </c>
      <c r="B4" s="5" t="s">
        <v>1621</v>
      </c>
      <c r="C4" s="5" t="s">
        <v>1622</v>
      </c>
      <c r="D4" s="5" t="s">
        <v>1623</v>
      </c>
      <c r="E4" s="5" t="s">
        <v>1624</v>
      </c>
      <c r="F4" s="5" t="s">
        <v>1625</v>
      </c>
      <c r="G4" s="5" t="s">
        <v>1626</v>
      </c>
      <c r="H4" s="5" t="s">
        <v>1627</v>
      </c>
      <c r="I4" s="5" t="s">
        <v>1628</v>
      </c>
      <c r="J4" s="5" t="s">
        <v>1629</v>
      </c>
      <c r="K4" s="5" t="s">
        <v>1630</v>
      </c>
      <c r="L4" s="5" t="s">
        <v>33</v>
      </c>
      <c r="M4" s="5" t="s">
        <v>1631</v>
      </c>
      <c r="N4" s="5" t="s">
        <v>1632</v>
      </c>
    </row>
    <row r="5" spans="1:14">
      <c r="A5" s="11" t="s">
        <v>1601</v>
      </c>
      <c r="B5" s="11"/>
      <c r="C5" s="11"/>
      <c r="D5" s="12">
        <f>D6+D81+D217+D300+D320+D331+D335+D337+D339+D342+D348+D357+D359+D426+D431+D439+D445</f>
        <v>7618330795.0</v>
      </c>
      <c r="E5" s="12">
        <f>E6+E81+E217+E300+E320+E331+E335+E337+E339+E342+E348+E357+E359+E426+E431+E439+E445</f>
        <v>2327687674.0</v>
      </c>
      <c r="F5" s="12">
        <f>F6+F81+F217+F300+F320+F331+F335+F337+F339+F342+F348+F357+F359+F426+F431+F439+F445</f>
        <v>112127099.0</v>
      </c>
      <c r="G5" s="12">
        <f>G6+G81+G217+G300+G320+G331+G335+G337+G339+G342+G348+G357+G359+G426+G431+G439+G445</f>
        <v>86065132.0</v>
      </c>
      <c r="H5" s="12">
        <f>H6+H81+H217+H300+H320+H331+H335+H337+H339+H342+H348+H357+H359+H426+H431+H439+H445</f>
        <v>593390307.0</v>
      </c>
      <c r="I5" s="12">
        <f>I6+I81+I217+I300+I320+I331+I335+I337+I339+I342+I348+I357+I359+I426+I431+I439+I445</f>
        <v>100705416.0</v>
      </c>
      <c r="J5" s="12">
        <f>J6+J81+J217+J300+J320+J331+J335+J337+J339+J342+J348+J357+J359+J426+J431+J439+J445</f>
        <v>12739030.0</v>
      </c>
      <c r="K5" s="12">
        <f>K6+K81+K217+K300+K320+K331+K335+K337+K339+K342+K348+K357+K359+K426+K431+K439+K445</f>
        <v>0.0</v>
      </c>
      <c r="L5" s="12">
        <f>L6+L81+L217+L300+L320+L331+L335+L337+L339+L342+L348+L357+L359+L426+L431+L439+L445</f>
        <v>905026984.0</v>
      </c>
      <c r="M5" s="12">
        <f>M6+M81+M217+M300+M320+M331+M335+M337+M339+M342+M348+M357+M359+M426+M431+M439+M445</f>
        <v>4656714083.0</v>
      </c>
      <c r="N5" s="11"/>
    </row>
    <row r="6" spans="1:14">
      <c r="A6" s="15" t="s">
        <v>58</v>
      </c>
      <c r="B6" s="15"/>
      <c r="C6" s="15"/>
      <c r="D6" s="16">
        <f>SUM(D7:D80)</f>
        <v>1674331985.0</v>
      </c>
      <c r="E6" s="16">
        <f>SUM(E7:E80)</f>
        <v>403119733.0</v>
      </c>
      <c r="F6" s="16">
        <f>SUM(F7:F80)</f>
        <v>109909702.0</v>
      </c>
      <c r="G6" s="16">
        <f>SUM(G7:G80)</f>
        <v>57506088.0</v>
      </c>
      <c r="H6" s="16">
        <f>SUM(H7:H80)</f>
        <v>92336809.0</v>
      </c>
      <c r="I6" s="16">
        <f>SUM(I7:I80)</f>
        <v>36785019.0</v>
      </c>
      <c r="J6" s="16">
        <f>SUM(J7:J80)</f>
        <v>12739030.0</v>
      </c>
      <c r="K6" s="16">
        <f>SUM(K7:K80)</f>
        <v>0.0</v>
      </c>
      <c r="L6" s="16">
        <f>SUM(L7:L80)</f>
        <v>309276648.0</v>
      </c>
      <c r="M6" s="16">
        <f>SUM(M7:M80)</f>
        <v>1115282455.0</v>
      </c>
      <c r="N6" s="15"/>
    </row>
    <row r="7" spans="1:14">
      <c r="A7" s="18">
        <v>1</v>
      </c>
      <c r="B7" s="18" t="s">
        <v>1633</v>
      </c>
      <c r="C7" s="6" t="s">
        <v>435</v>
      </c>
      <c r="D7" s="6" t="s">
        <v>69</v>
      </c>
      <c r="E7" s="6" t="s">
        <v>69</v>
      </c>
      <c r="F7" s="7">
        <f>INDEX('Rubro por CUI'!$E$5:$E$460,MATCH("001|2251136",'Rubro por CUI'!$N$5:$N$460,0))</f>
        <v>56150305.0</v>
      </c>
      <c r="G7" s="7">
        <f>INDEX('Rubro por CUI'!$F$5:$F$460,MATCH("001|2251136",'Rubro por CUI'!$N$5:$N$460,0))</f>
        <v>0.0</v>
      </c>
      <c r="H7" s="7">
        <f>INDEX('Rubro por CUI'!$G$5:$G$460,MATCH("001|2251136",'Rubro por CUI'!$N$5:$N$460,0))</f>
        <v>0.0</v>
      </c>
      <c r="I7" s="7">
        <f>INDEX('Rubro por CUI'!$H$5:$H$460,MATCH("001|2251136",'Rubro por CUI'!$N$5:$N$460,0))</f>
        <v>0.0</v>
      </c>
      <c r="J7" s="7">
        <f>INDEX('Rubro por CUI'!$I$5:$I$460,MATCH("001|2251136",'Rubro por CUI'!$N$5:$N$460,0))</f>
        <v>0.0</v>
      </c>
      <c r="K7" s="7">
        <f>L7-SUM(F7:J7)</f>
        <v>0.0</v>
      </c>
      <c r="L7" s="7">
        <f>SUMIFS(Base!$I$5:$I$509,Base!$A$5:$A$509,"001",Base!$F$5:$F$509,"2251136")</f>
        <v>56150305.0</v>
      </c>
      <c r="M7" s="6" t="s">
        <v>69</v>
      </c>
      <c r="N7" s="6" t="s">
        <v>1634</v>
      </c>
    </row>
    <row r="8" spans="1:14">
      <c r="A8" s="18">
        <v>2</v>
      </c>
      <c r="B8" s="18" t="s">
        <v>1635</v>
      </c>
      <c r="C8" s="6" t="s">
        <v>67</v>
      </c>
      <c r="D8" s="6" t="s">
        <v>69</v>
      </c>
      <c r="E8" s="6" t="s">
        <v>69</v>
      </c>
      <c r="F8" s="7">
        <f>INDEX('Rubro por CUI'!$E$5:$E$460,MATCH("001|2279375",'Rubro por CUI'!$N$5:$N$460,0))</f>
        <v>53759397.0</v>
      </c>
      <c r="G8" s="7">
        <f>INDEX('Rubro por CUI'!$F$5:$F$460,MATCH("001|2279375",'Rubro por CUI'!$N$5:$N$460,0))</f>
        <v>0.0</v>
      </c>
      <c r="H8" s="7">
        <f>INDEX('Rubro por CUI'!$G$5:$G$460,MATCH("001|2279375",'Rubro por CUI'!$N$5:$N$460,0))</f>
        <v>0.0</v>
      </c>
      <c r="I8" s="7">
        <f>INDEX('Rubro por CUI'!$H$5:$H$460,MATCH("001|2279375",'Rubro por CUI'!$N$5:$N$460,0))</f>
        <v>0.0</v>
      </c>
      <c r="J8" s="7">
        <f>INDEX('Rubro por CUI'!$I$5:$I$460,MATCH("001|2279375",'Rubro por CUI'!$N$5:$N$460,0))</f>
        <v>0.0</v>
      </c>
      <c r="K8" s="7">
        <f>L8-SUM(F8:J8)</f>
        <v>0.0</v>
      </c>
      <c r="L8" s="7">
        <f>SUMIFS(Base!$I$5:$I$509,Base!$A$5:$A$509,"001",Base!$F$5:$F$509,"2279375")</f>
        <v>53759397.0</v>
      </c>
      <c r="M8" s="6" t="s">
        <v>69</v>
      </c>
      <c r="N8" s="6" t="s">
        <v>1634</v>
      </c>
    </row>
    <row r="9" spans="1:14">
      <c r="A9" s="18">
        <v>3</v>
      </c>
      <c r="B9" s="18" t="s">
        <v>1636</v>
      </c>
      <c r="C9" s="6" t="s">
        <v>447</v>
      </c>
      <c r="D9" s="6" t="s">
        <v>69</v>
      </c>
      <c r="E9" s="6" t="s">
        <v>69</v>
      </c>
      <c r="F9" s="7">
        <f>INDEX('Rubro por CUI'!$E$5:$E$460,MATCH("001|2278822",'Rubro por CUI'!$N$5:$N$460,0))</f>
        <v>0.0</v>
      </c>
      <c r="G9" s="7">
        <f>INDEX('Rubro por CUI'!$F$5:$F$460,MATCH("001|2278822",'Rubro por CUI'!$N$5:$N$460,0))</f>
        <v>0.0</v>
      </c>
      <c r="H9" s="7">
        <f>INDEX('Rubro por CUI'!$G$5:$G$460,MATCH("001|2278822",'Rubro por CUI'!$N$5:$N$460,0))</f>
        <v>7112293.0</v>
      </c>
      <c r="I9" s="7">
        <f>INDEX('Rubro por CUI'!$H$5:$H$460,MATCH("001|2278822",'Rubro por CUI'!$N$5:$N$460,0))</f>
        <v>25711893.0</v>
      </c>
      <c r="J9" s="7">
        <f>INDEX('Rubro por CUI'!$I$5:$I$460,MATCH("001|2278822",'Rubro por CUI'!$N$5:$N$460,0))</f>
        <v>8695575.0</v>
      </c>
      <c r="K9" s="7">
        <f>L9-SUM(F9:J9)</f>
        <v>0.0</v>
      </c>
      <c r="L9" s="7">
        <f>SUMIFS(Base!$I$5:$I$509,Base!$A$5:$A$509,"001",Base!$F$5:$F$509,"2278822")</f>
        <v>41519761.0</v>
      </c>
      <c r="M9" s="6" t="s">
        <v>69</v>
      </c>
      <c r="N9" s="6" t="s">
        <v>1634</v>
      </c>
    </row>
    <row r="10" spans="1:14">
      <c r="A10" s="18">
        <v>4</v>
      </c>
      <c r="B10" s="18" t="s">
        <v>1637</v>
      </c>
      <c r="C10" s="6" t="s">
        <v>441</v>
      </c>
      <c r="D10" s="23">
        <v>72127265</v>
      </c>
      <c r="E10" s="23">
        <v>1106876</v>
      </c>
      <c r="F10" s="7">
        <f>INDEX('Rubro por CUI'!$E$5:$E$460,MATCH("001|2357089",'Rubro por CUI'!$N$5:$N$460,0))</f>
        <v>0.0</v>
      </c>
      <c r="G10" s="7">
        <f>INDEX('Rubro por CUI'!$F$5:$F$460,MATCH("001|2357089",'Rubro por CUI'!$N$5:$N$460,0))</f>
        <v>17494338.0</v>
      </c>
      <c r="H10" s="7">
        <f>INDEX('Rubro por CUI'!$G$5:$G$460,MATCH("001|2357089",'Rubro por CUI'!$N$5:$N$460,0))</f>
        <v>1259199.0</v>
      </c>
      <c r="I10" s="7">
        <f>INDEX('Rubro por CUI'!$H$5:$H$460,MATCH("001|2357089",'Rubro por CUI'!$N$5:$N$460,0))</f>
        <v>0.0</v>
      </c>
      <c r="J10" s="7">
        <f>INDEX('Rubro por CUI'!$I$5:$I$460,MATCH("001|2357089",'Rubro por CUI'!$N$5:$N$460,0))</f>
        <v>0.0</v>
      </c>
      <c r="K10" s="7">
        <f>L10-SUM(F10:J10)</f>
        <v>0.0</v>
      </c>
      <c r="L10" s="7">
        <f>SUMIFS(Base!$I$5:$I$509,Base!$A$5:$A$509,"001",Base!$F$5:$F$509,"2357089")</f>
        <v>18753537.0</v>
      </c>
      <c r="M10" s="7">
        <f>D10-E10-L10</f>
        <v>52266852.0</v>
      </c>
      <c r="N10" s="6" t="s">
        <v>63</v>
      </c>
    </row>
    <row r="11" spans="1:14">
      <c r="A11" s="18">
        <v>5</v>
      </c>
      <c r="B11" s="18" t="s">
        <v>1638</v>
      </c>
      <c r="C11" s="6" t="s">
        <v>444</v>
      </c>
      <c r="D11" s="23">
        <v>68871991</v>
      </c>
      <c r="E11" s="23">
        <v>1956708</v>
      </c>
      <c r="F11" s="7">
        <f>INDEX('Rubro por CUI'!$E$5:$E$460,MATCH("001|2435272",'Rubro por CUI'!$N$5:$N$460,0))</f>
        <v>0.0</v>
      </c>
      <c r="G11" s="7">
        <f>INDEX('Rubro por CUI'!$F$5:$F$460,MATCH("001|2435272",'Rubro por CUI'!$N$5:$N$460,0))</f>
        <v>16479574.0</v>
      </c>
      <c r="H11" s="7">
        <f>INDEX('Rubro por CUI'!$G$5:$G$460,MATCH("001|2435272",'Rubro por CUI'!$N$5:$N$460,0))</f>
        <v>1004712.0</v>
      </c>
      <c r="I11" s="7">
        <f>INDEX('Rubro por CUI'!$H$5:$H$460,MATCH("001|2435272",'Rubro por CUI'!$N$5:$N$460,0))</f>
        <v>0.0</v>
      </c>
      <c r="J11" s="7">
        <f>INDEX('Rubro por CUI'!$I$5:$I$460,MATCH("001|2435272",'Rubro por CUI'!$N$5:$N$460,0))</f>
        <v>0.0</v>
      </c>
      <c r="K11" s="7">
        <f>L11-SUM(F11:J11)</f>
        <v>0.0</v>
      </c>
      <c r="L11" s="7">
        <f>SUMIFS(Base!$I$5:$I$509,Base!$A$5:$A$509,"001",Base!$F$5:$F$509,"2435272")</f>
        <v>17484286.0</v>
      </c>
      <c r="M11" s="7">
        <f>D11-E11-L11</f>
        <v>49430997.0</v>
      </c>
      <c r="N11" s="6" t="s">
        <v>63</v>
      </c>
    </row>
    <row r="12" spans="1:14">
      <c r="A12" s="18">
        <v>6</v>
      </c>
      <c r="B12" s="18" t="s">
        <v>1639</v>
      </c>
      <c r="C12" s="6" t="s">
        <v>1322</v>
      </c>
      <c r="D12" s="23">
        <v>22506725</v>
      </c>
      <c r="E12" s="23">
        <v>54370</v>
      </c>
      <c r="F12" s="7">
        <f>INDEX('Rubro por CUI'!$E$5:$E$460,MATCH("001|2692290",'Rubro por CUI'!$N$5:$N$460,0))</f>
        <v>0.0</v>
      </c>
      <c r="G12" s="7">
        <f>INDEX('Rubro por CUI'!$F$5:$F$460,MATCH("001|2692290",'Rubro por CUI'!$N$5:$N$460,0))</f>
        <v>5457504.0</v>
      </c>
      <c r="H12" s="7">
        <f>INDEX('Rubro por CUI'!$G$5:$G$460,MATCH("001|2692290",'Rubro por CUI'!$N$5:$N$460,0))</f>
        <v>4923830.0</v>
      </c>
      <c r="I12" s="7">
        <f>INDEX('Rubro por CUI'!$H$5:$H$460,MATCH("001|2692290",'Rubro por CUI'!$N$5:$N$460,0))</f>
        <v>3545000.0</v>
      </c>
      <c r="J12" s="7">
        <f>INDEX('Rubro por CUI'!$I$5:$I$460,MATCH("001|2692290",'Rubro por CUI'!$N$5:$N$460,0))</f>
        <v>0.0</v>
      </c>
      <c r="K12" s="7">
        <f>L12-SUM(F12:J12)</f>
        <v>0.0</v>
      </c>
      <c r="L12" s="7">
        <f>SUMIFS(Base!$I$5:$I$509,Base!$A$5:$A$509,"001",Base!$F$5:$F$509,"2692290")</f>
        <v>13926334.0</v>
      </c>
      <c r="M12" s="7">
        <f>D12-E12-L12</f>
        <v>8526021.0</v>
      </c>
      <c r="N12" s="6" t="s">
        <v>63</v>
      </c>
    </row>
    <row r="13" spans="1:14">
      <c r="A13" s="18">
        <v>7</v>
      </c>
      <c r="B13" s="18" t="s">
        <v>1640</v>
      </c>
      <c r="C13" s="6" t="s">
        <v>615</v>
      </c>
      <c r="D13" s="23">
        <v>46902164</v>
      </c>
      <c r="E13" s="23">
        <v>1401737</v>
      </c>
      <c r="F13" s="7">
        <f>INDEX('Rubro por CUI'!$E$5:$E$460,MATCH("001|2357091",'Rubro por CUI'!$N$5:$N$460,0))</f>
        <v>0.0</v>
      </c>
      <c r="G13" s="7">
        <f>INDEX('Rubro por CUI'!$F$5:$F$460,MATCH("001|2357091",'Rubro por CUI'!$N$5:$N$460,0))</f>
        <v>194638.0</v>
      </c>
      <c r="H13" s="7">
        <f>INDEX('Rubro por CUI'!$G$5:$G$460,MATCH("001|2357091",'Rubro por CUI'!$N$5:$N$460,0))</f>
        <v>8204552.0</v>
      </c>
      <c r="I13" s="7">
        <f>INDEX('Rubro por CUI'!$H$5:$H$460,MATCH("001|2357091",'Rubro por CUI'!$N$5:$N$460,0))</f>
        <v>2000000.0</v>
      </c>
      <c r="J13" s="7">
        <f>INDEX('Rubro por CUI'!$I$5:$I$460,MATCH("001|2357091",'Rubro por CUI'!$N$5:$N$460,0))</f>
        <v>0.0</v>
      </c>
      <c r="K13" s="7">
        <f>L13-SUM(F13:J13)</f>
        <v>0.0</v>
      </c>
      <c r="L13" s="7">
        <f>SUMIFS(Base!$I$5:$I$509,Base!$A$5:$A$509,"001",Base!$F$5:$F$509,"2357091")</f>
        <v>10399190.0</v>
      </c>
      <c r="M13" s="7">
        <f>D13-E13-L13</f>
        <v>35101237.0</v>
      </c>
      <c r="N13" s="6" t="s">
        <v>63</v>
      </c>
    </row>
    <row r="14" spans="1:14">
      <c r="A14" s="18">
        <v>8</v>
      </c>
      <c r="B14" s="18" t="s">
        <v>1641</v>
      </c>
      <c r="C14" s="6" t="s">
        <v>438</v>
      </c>
      <c r="D14" s="23">
        <v>68991637</v>
      </c>
      <c r="E14" s="23">
        <v>24057584</v>
      </c>
      <c r="F14" s="7">
        <f>INDEX('Rubro por CUI'!$E$5:$E$460,MATCH("001|2490087",'Rubro por CUI'!$N$5:$N$460,0))</f>
        <v>0.0</v>
      </c>
      <c r="G14" s="7">
        <f>INDEX('Rubro por CUI'!$F$5:$F$460,MATCH("001|2490087",'Rubro por CUI'!$N$5:$N$460,0))</f>
        <v>0.0</v>
      </c>
      <c r="H14" s="7">
        <f>INDEX('Rubro por CUI'!$G$5:$G$460,MATCH("001|2490087",'Rubro por CUI'!$N$5:$N$460,0))</f>
        <v>8766661.0</v>
      </c>
      <c r="I14" s="7">
        <f>INDEX('Rubro por CUI'!$H$5:$H$460,MATCH("001|2490087",'Rubro por CUI'!$N$5:$N$460,0))</f>
        <v>0.0</v>
      </c>
      <c r="J14" s="7">
        <f>INDEX('Rubro por CUI'!$I$5:$I$460,MATCH("001|2490087",'Rubro por CUI'!$N$5:$N$460,0))</f>
        <v>0.0</v>
      </c>
      <c r="K14" s="7">
        <f>L14-SUM(F14:J14)</f>
        <v>0.0</v>
      </c>
      <c r="L14" s="7">
        <f>SUMIFS(Base!$I$5:$I$509,Base!$A$5:$A$509,"001",Base!$F$5:$F$509,"2490087")</f>
        <v>8766661.0</v>
      </c>
      <c r="M14" s="7">
        <f>D14-E14-L14</f>
        <v>36167392.0</v>
      </c>
      <c r="N14" s="6" t="s">
        <v>63</v>
      </c>
    </row>
    <row r="15" spans="1:14">
      <c r="A15" s="18">
        <v>9</v>
      </c>
      <c r="B15" s="18" t="s">
        <v>1642</v>
      </c>
      <c r="C15" s="6" t="s">
        <v>1316</v>
      </c>
      <c r="D15" s="23">
        <v>12836207</v>
      </c>
      <c r="E15" s="23">
        <v>129383</v>
      </c>
      <c r="F15" s="7">
        <f>INDEX('Rubro por CUI'!$E$5:$E$460,MATCH("001|2694246",'Rubro por CUI'!$N$5:$N$460,0))</f>
        <v>0.0</v>
      </c>
      <c r="G15" s="7">
        <f>INDEX('Rubro por CUI'!$F$5:$F$460,MATCH("001|2694246",'Rubro por CUI'!$N$5:$N$460,0))</f>
        <v>0.0</v>
      </c>
      <c r="H15" s="7">
        <f>INDEX('Rubro por CUI'!$G$5:$G$460,MATCH("001|2694246",'Rubro por CUI'!$N$5:$N$460,0))</f>
        <v>7233998.0</v>
      </c>
      <c r="I15" s="7">
        <f>INDEX('Rubro por CUI'!$H$5:$H$460,MATCH("001|2694246",'Rubro por CUI'!$N$5:$N$460,0))</f>
        <v>1250000.0</v>
      </c>
      <c r="J15" s="7">
        <f>INDEX('Rubro por CUI'!$I$5:$I$460,MATCH("001|2694246",'Rubro por CUI'!$N$5:$N$460,0))</f>
        <v>0.0</v>
      </c>
      <c r="K15" s="7">
        <f>L15-SUM(F15:J15)</f>
        <v>0.0</v>
      </c>
      <c r="L15" s="7">
        <f>SUMIFS(Base!$I$5:$I$509,Base!$A$5:$A$509,"001",Base!$F$5:$F$509,"2694246")</f>
        <v>8483998.0</v>
      </c>
      <c r="M15" s="7">
        <f>D15-E15-L15</f>
        <v>4222826.0</v>
      </c>
      <c r="N15" s="6" t="s">
        <v>63</v>
      </c>
    </row>
    <row r="16" spans="1:14">
      <c r="A16" s="18">
        <v>10</v>
      </c>
      <c r="B16" s="18" t="s">
        <v>1643</v>
      </c>
      <c r="C16" s="6" t="s">
        <v>288</v>
      </c>
      <c r="D16" s="23">
        <v>24608400</v>
      </c>
      <c r="E16" s="23">
        <v>6604292</v>
      </c>
      <c r="F16" s="7">
        <f>INDEX('Rubro por CUI'!$E$5:$E$460,MATCH("001|2504553",'Rubro por CUI'!$N$5:$N$460,0))</f>
        <v>0.0</v>
      </c>
      <c r="G16" s="7">
        <f>INDEX('Rubro por CUI'!$F$5:$F$460,MATCH("001|2504553",'Rubro por CUI'!$N$5:$N$460,0))</f>
        <v>0.0</v>
      </c>
      <c r="H16" s="7">
        <f>INDEX('Rubro por CUI'!$G$5:$G$460,MATCH("001|2504553",'Rubro por CUI'!$N$5:$N$460,0))</f>
        <v>8256172.0</v>
      </c>
      <c r="I16" s="7">
        <f>INDEX('Rubro por CUI'!$H$5:$H$460,MATCH("001|2504553",'Rubro por CUI'!$N$5:$N$460,0))</f>
        <v>0.0</v>
      </c>
      <c r="J16" s="7">
        <f>INDEX('Rubro por CUI'!$I$5:$I$460,MATCH("001|2504553",'Rubro por CUI'!$N$5:$N$460,0))</f>
        <v>0.0</v>
      </c>
      <c r="K16" s="7">
        <f>L16-SUM(F16:J16)</f>
        <v>0.0</v>
      </c>
      <c r="L16" s="7">
        <f>SUMIFS(Base!$I$5:$I$509,Base!$A$5:$A$509,"001",Base!$F$5:$F$509,"2504553")</f>
        <v>8256172.0</v>
      </c>
      <c r="M16" s="7">
        <f>D16-E16-L16</f>
        <v>9747936.0</v>
      </c>
      <c r="N16" s="6" t="s">
        <v>63</v>
      </c>
    </row>
    <row r="17" spans="1:14">
      <c r="A17" s="18">
        <v>11</v>
      </c>
      <c r="B17" s="18" t="s">
        <v>1644</v>
      </c>
      <c r="C17" s="6" t="s">
        <v>1307</v>
      </c>
      <c r="D17" s="23">
        <v>27963593</v>
      </c>
      <c r="E17" s="23">
        <v>125886</v>
      </c>
      <c r="F17" s="7">
        <f>INDEX('Rubro por CUI'!$E$5:$E$460,MATCH("001|2650340",'Rubro por CUI'!$N$5:$N$460,0))</f>
        <v>0.0</v>
      </c>
      <c r="G17" s="7">
        <f>INDEX('Rubro por CUI'!$F$5:$F$460,MATCH("001|2650340",'Rubro por CUI'!$N$5:$N$460,0))</f>
        <v>2800000.0</v>
      </c>
      <c r="H17" s="7">
        <f>INDEX('Rubro por CUI'!$G$5:$G$460,MATCH("001|2650340",'Rubro por CUI'!$N$5:$N$460,0))</f>
        <v>5243406.0</v>
      </c>
      <c r="I17" s="7">
        <f>INDEX('Rubro por CUI'!$H$5:$H$460,MATCH("001|2650340",'Rubro por CUI'!$N$5:$N$460,0))</f>
        <v>0.0</v>
      </c>
      <c r="J17" s="7">
        <f>INDEX('Rubro por CUI'!$I$5:$I$460,MATCH("001|2650340",'Rubro por CUI'!$N$5:$N$460,0))</f>
        <v>0.0</v>
      </c>
      <c r="K17" s="7">
        <f>L17-SUM(F17:J17)</f>
        <v>0.0</v>
      </c>
      <c r="L17" s="7">
        <f>SUMIFS(Base!$I$5:$I$509,Base!$A$5:$A$509,"001",Base!$F$5:$F$509,"2650340")</f>
        <v>8043406.0</v>
      </c>
      <c r="M17" s="7">
        <f>D17-E17-L17</f>
        <v>19794301.0</v>
      </c>
      <c r="N17" s="6" t="s">
        <v>63</v>
      </c>
    </row>
    <row r="18" spans="1:14">
      <c r="A18" s="18">
        <v>12</v>
      </c>
      <c r="B18" s="18" t="s">
        <v>1645</v>
      </c>
      <c r="C18" s="6" t="s">
        <v>291</v>
      </c>
      <c r="D18" s="23">
        <v>28883068</v>
      </c>
      <c r="E18" s="23">
        <v>1373606</v>
      </c>
      <c r="F18" s="7">
        <f>INDEX('Rubro por CUI'!$E$5:$E$460,MATCH("001|2470517",'Rubro por CUI'!$N$5:$N$460,0))</f>
        <v>0.0</v>
      </c>
      <c r="G18" s="7">
        <f>INDEX('Rubro por CUI'!$F$5:$F$460,MATCH("001|2470517",'Rubro por CUI'!$N$5:$N$460,0))</f>
        <v>6994018.0</v>
      </c>
      <c r="H18" s="7">
        <f>INDEX('Rubro por CUI'!$G$5:$G$460,MATCH("001|2470517",'Rubro por CUI'!$N$5:$N$460,0))</f>
        <v>380974.0</v>
      </c>
      <c r="I18" s="7">
        <f>INDEX('Rubro por CUI'!$H$5:$H$460,MATCH("001|2470517",'Rubro por CUI'!$N$5:$N$460,0))</f>
        <v>0.0</v>
      </c>
      <c r="J18" s="7">
        <f>INDEX('Rubro por CUI'!$I$5:$I$460,MATCH("001|2470517",'Rubro por CUI'!$N$5:$N$460,0))</f>
        <v>0.0</v>
      </c>
      <c r="K18" s="7">
        <f>L18-SUM(F18:J18)</f>
        <v>0.0</v>
      </c>
      <c r="L18" s="7">
        <f>SUMIFS(Base!$I$5:$I$509,Base!$A$5:$A$509,"001",Base!$F$5:$F$509,"2470517")</f>
        <v>7374992.0</v>
      </c>
      <c r="M18" s="7">
        <f>D18-E18-L18</f>
        <v>20134470.0</v>
      </c>
      <c r="N18" s="6" t="s">
        <v>63</v>
      </c>
    </row>
    <row r="19" spans="1:14">
      <c r="A19" s="18">
        <v>13</v>
      </c>
      <c r="B19" s="18" t="s">
        <v>1646</v>
      </c>
      <c r="C19" s="6" t="s">
        <v>294</v>
      </c>
      <c r="D19" s="23">
        <v>42042394</v>
      </c>
      <c r="E19" s="23">
        <v>5813649</v>
      </c>
      <c r="F19" s="7">
        <f>INDEX('Rubro por CUI'!$E$5:$E$460,MATCH("001|2357092",'Rubro por CUI'!$N$5:$N$460,0))</f>
        <v>0.0</v>
      </c>
      <c r="G19" s="7">
        <f>INDEX('Rubro por CUI'!$F$5:$F$460,MATCH("001|2357092",'Rubro por CUI'!$N$5:$N$460,0))</f>
        <v>0.0</v>
      </c>
      <c r="H19" s="7">
        <f>INDEX('Rubro por CUI'!$G$5:$G$460,MATCH("001|2357092",'Rubro por CUI'!$N$5:$N$460,0))</f>
        <v>6997430.0</v>
      </c>
      <c r="I19" s="7">
        <f>INDEX('Rubro por CUI'!$H$5:$H$460,MATCH("001|2357092",'Rubro por CUI'!$N$5:$N$460,0))</f>
        <v>0.0</v>
      </c>
      <c r="J19" s="7">
        <f>INDEX('Rubro por CUI'!$I$5:$I$460,MATCH("001|2357092",'Rubro por CUI'!$N$5:$N$460,0))</f>
        <v>0.0</v>
      </c>
      <c r="K19" s="7">
        <f>L19-SUM(F19:J19)</f>
        <v>0.0</v>
      </c>
      <c r="L19" s="7">
        <f>SUMIFS(Base!$I$5:$I$509,Base!$A$5:$A$509,"001",Base!$F$5:$F$509,"2357092")</f>
        <v>6997430.0</v>
      </c>
      <c r="M19" s="7">
        <f>D19-E19-L19</f>
        <v>29231315.0</v>
      </c>
      <c r="N19" s="6" t="s">
        <v>63</v>
      </c>
    </row>
    <row r="20" spans="1:14">
      <c r="A20" s="18">
        <v>14</v>
      </c>
      <c r="B20" s="18" t="s">
        <v>1647</v>
      </c>
      <c r="C20" s="6" t="s">
        <v>297</v>
      </c>
      <c r="D20" s="23">
        <v>11646888</v>
      </c>
      <c r="E20" s="23">
        <v>4919726</v>
      </c>
      <c r="F20" s="7">
        <f>INDEX('Rubro por CUI'!$E$5:$E$460,MATCH("001|2494039",'Rubro por CUI'!$N$5:$N$460,0))</f>
        <v>0.0</v>
      </c>
      <c r="G20" s="7">
        <f>INDEX('Rubro por CUI'!$F$5:$F$460,MATCH("001|2494039",'Rubro por CUI'!$N$5:$N$460,0))</f>
        <v>1378470.0</v>
      </c>
      <c r="H20" s="7">
        <f>INDEX('Rubro por CUI'!$G$5:$G$460,MATCH("001|2494039",'Rubro por CUI'!$N$5:$N$460,0))</f>
        <v>2487115.0</v>
      </c>
      <c r="I20" s="7">
        <f>INDEX('Rubro por CUI'!$H$5:$H$460,MATCH("001|2494039",'Rubro por CUI'!$N$5:$N$460,0))</f>
        <v>2822702.0</v>
      </c>
      <c r="J20" s="7">
        <f>INDEX('Rubro por CUI'!$I$5:$I$460,MATCH("001|2494039",'Rubro por CUI'!$N$5:$N$460,0))</f>
        <v>0.0</v>
      </c>
      <c r="K20" s="7">
        <f>L20-SUM(F20:J20)</f>
        <v>0.0</v>
      </c>
      <c r="L20" s="7">
        <f>SUMIFS(Base!$I$5:$I$509,Base!$A$5:$A$509,"001",Base!$F$5:$F$509,"2494039")</f>
        <v>6688287.0</v>
      </c>
      <c r="M20" s="7">
        <f>D20-E20-L20</f>
        <v>38875.0</v>
      </c>
      <c r="N20" s="6" t="s">
        <v>63</v>
      </c>
    </row>
    <row r="21" spans="1:14">
      <c r="A21" s="18">
        <v>15</v>
      </c>
      <c r="B21" s="18" t="s">
        <v>1648</v>
      </c>
      <c r="C21" s="6" t="s">
        <v>1319</v>
      </c>
      <c r="D21" s="23">
        <v>19114730</v>
      </c>
      <c r="E21" s="23">
        <v>14717548</v>
      </c>
      <c r="F21" s="7">
        <f>INDEX('Rubro por CUI'!$E$5:$E$460,MATCH("001|2611144",'Rubro por CUI'!$N$5:$N$460,0))</f>
        <v>0.0</v>
      </c>
      <c r="G21" s="7">
        <f>INDEX('Rubro por CUI'!$F$5:$F$460,MATCH("001|2611144",'Rubro por CUI'!$N$5:$N$460,0))</f>
        <v>787495.0</v>
      </c>
      <c r="H21" s="7">
        <f>INDEX('Rubro por CUI'!$G$5:$G$460,MATCH("001|2611144",'Rubro por CUI'!$N$5:$N$460,0))</f>
        <v>3431878.0</v>
      </c>
      <c r="I21" s="7">
        <f>INDEX('Rubro por CUI'!$H$5:$H$460,MATCH("001|2611144",'Rubro por CUI'!$N$5:$N$460,0))</f>
        <v>0.0</v>
      </c>
      <c r="J21" s="7">
        <f>INDEX('Rubro por CUI'!$I$5:$I$460,MATCH("001|2611144",'Rubro por CUI'!$N$5:$N$460,0))</f>
        <v>0.0</v>
      </c>
      <c r="K21" s="7">
        <f>L21-SUM(F21:J21)</f>
        <v>0.0</v>
      </c>
      <c r="L21" s="7">
        <f>SUMIFS(Base!$I$5:$I$509,Base!$A$5:$A$509,"001",Base!$F$5:$F$509,"2611144")</f>
        <v>4219373.0</v>
      </c>
      <c r="M21" s="7">
        <f>D21-E21-L21</f>
        <v>177809.0</v>
      </c>
      <c r="N21" s="6" t="s">
        <v>63</v>
      </c>
    </row>
    <row r="22" spans="1:14">
      <c r="A22" s="18">
        <v>16</v>
      </c>
      <c r="B22" s="18" t="s">
        <v>1649</v>
      </c>
      <c r="C22" s="6" t="s">
        <v>454</v>
      </c>
      <c r="D22" s="23">
        <v>106793895</v>
      </c>
      <c r="E22" s="23">
        <v>98606986</v>
      </c>
      <c r="F22" s="7">
        <f>INDEX('Rubro por CUI'!$E$5:$E$460,MATCH("001|2227389",'Rubro por CUI'!$N$5:$N$460,0))</f>
        <v>0.0</v>
      </c>
      <c r="G22" s="7">
        <f>INDEX('Rubro por CUI'!$F$5:$F$460,MATCH("001|2227389",'Rubro por CUI'!$N$5:$N$460,0))</f>
        <v>0.0</v>
      </c>
      <c r="H22" s="7">
        <f>INDEX('Rubro por CUI'!$G$5:$G$460,MATCH("001|2227389",'Rubro por CUI'!$N$5:$N$460,0))</f>
        <v>25106.0</v>
      </c>
      <c r="I22" s="7">
        <f>INDEX('Rubro por CUI'!$H$5:$H$460,MATCH("001|2227389",'Rubro por CUI'!$N$5:$N$460,0))</f>
        <v>0.0</v>
      </c>
      <c r="J22" s="7">
        <f>INDEX('Rubro por CUI'!$I$5:$I$460,MATCH("001|2227389",'Rubro por CUI'!$N$5:$N$460,0))</f>
        <v>4043455.0</v>
      </c>
      <c r="K22" s="7">
        <f>L22-SUM(F22:J22)</f>
        <v>0.0</v>
      </c>
      <c r="L22" s="7">
        <f>SUMIFS(Base!$I$5:$I$509,Base!$A$5:$A$509,"001",Base!$F$5:$F$509,"2227389")</f>
        <v>4068561.0</v>
      </c>
      <c r="M22" s="7">
        <f>D22-E22-L22</f>
        <v>4118348.0</v>
      </c>
      <c r="N22" s="6" t="s">
        <v>63</v>
      </c>
    </row>
    <row r="23" spans="1:14">
      <c r="A23" s="18">
        <v>17</v>
      </c>
      <c r="B23" s="18" t="s">
        <v>1650</v>
      </c>
      <c r="C23" s="6" t="s">
        <v>1343</v>
      </c>
      <c r="D23" s="23">
        <v>4092545</v>
      </c>
      <c r="E23" s="23">
        <v>50982</v>
      </c>
      <c r="F23" s="7">
        <f>INDEX('Rubro por CUI'!$E$5:$E$460,MATCH("001|2693367",'Rubro por CUI'!$N$5:$N$460,0))</f>
        <v>0.0</v>
      </c>
      <c r="G23" s="7">
        <f>INDEX('Rubro por CUI'!$F$5:$F$460,MATCH("001|2693367",'Rubro por CUI'!$N$5:$N$460,0))</f>
        <v>0.0</v>
      </c>
      <c r="H23" s="7">
        <f>INDEX('Rubro por CUI'!$G$5:$G$460,MATCH("001|2693367",'Rubro por CUI'!$N$5:$N$460,0))</f>
        <v>2900000.0</v>
      </c>
      <c r="I23" s="7">
        <f>INDEX('Rubro por CUI'!$H$5:$H$460,MATCH("001|2693367",'Rubro por CUI'!$N$5:$N$460,0))</f>
        <v>1074680.0</v>
      </c>
      <c r="J23" s="7">
        <f>INDEX('Rubro por CUI'!$I$5:$I$460,MATCH("001|2693367",'Rubro por CUI'!$N$5:$N$460,0))</f>
        <v>0.0</v>
      </c>
      <c r="K23" s="7">
        <f>L23-SUM(F23:J23)</f>
        <v>0.0</v>
      </c>
      <c r="L23" s="7">
        <f>SUMIFS(Base!$I$5:$I$509,Base!$A$5:$A$509,"001",Base!$F$5:$F$509,"2693367")</f>
        <v>3974680.0</v>
      </c>
      <c r="M23" s="7">
        <f>D23-E23-L23</f>
        <v>66883.0</v>
      </c>
      <c r="N23" s="6" t="s">
        <v>63</v>
      </c>
    </row>
    <row r="24" spans="1:14">
      <c r="A24" s="18">
        <v>18</v>
      </c>
      <c r="B24" s="18" t="s">
        <v>1651</v>
      </c>
      <c r="C24" s="6" t="s">
        <v>463</v>
      </c>
      <c r="D24" s="23">
        <v>49835557</v>
      </c>
      <c r="E24" s="23">
        <v>45446465</v>
      </c>
      <c r="F24" s="7">
        <f>INDEX('Rubro por CUI'!$E$5:$E$460,MATCH("001|2450812",'Rubro por CUI'!$N$5:$N$460,0))</f>
        <v>0.0</v>
      </c>
      <c r="G24" s="7">
        <f>INDEX('Rubro por CUI'!$F$5:$F$460,MATCH("001|2450812",'Rubro por CUI'!$N$5:$N$460,0))</f>
        <v>2305743.0</v>
      </c>
      <c r="H24" s="7">
        <f>INDEX('Rubro por CUI'!$G$5:$G$460,MATCH("001|2450812",'Rubro por CUI'!$N$5:$N$460,0))</f>
        <v>1561183.0</v>
      </c>
      <c r="I24" s="7">
        <f>INDEX('Rubro por CUI'!$H$5:$H$460,MATCH("001|2450812",'Rubro por CUI'!$N$5:$N$460,0))</f>
        <v>0.0</v>
      </c>
      <c r="J24" s="7">
        <f>INDEX('Rubro por CUI'!$I$5:$I$460,MATCH("001|2450812",'Rubro por CUI'!$N$5:$N$460,0))</f>
        <v>0.0</v>
      </c>
      <c r="K24" s="7">
        <f>L24-SUM(F24:J24)</f>
        <v>0.0</v>
      </c>
      <c r="L24" s="7">
        <f>SUMIFS(Base!$I$5:$I$509,Base!$A$5:$A$509,"001",Base!$F$5:$F$509,"2450812")</f>
        <v>3866926.0</v>
      </c>
      <c r="M24" s="7">
        <f>D24-E24-L24</f>
        <v>522166.0</v>
      </c>
      <c r="N24" s="6" t="s">
        <v>63</v>
      </c>
    </row>
    <row r="25" spans="1:14">
      <c r="A25" s="18">
        <v>19</v>
      </c>
      <c r="B25" s="18" t="s">
        <v>1652</v>
      </c>
      <c r="C25" s="6" t="s">
        <v>1304</v>
      </c>
      <c r="D25" s="23">
        <v>5993824</v>
      </c>
      <c r="E25" s="23">
        <v>19342</v>
      </c>
      <c r="F25" s="7">
        <f>INDEX('Rubro por CUI'!$E$5:$E$460,MATCH("001|2600443",'Rubro por CUI'!$N$5:$N$460,0))</f>
        <v>0.0</v>
      </c>
      <c r="G25" s="7">
        <f>INDEX('Rubro por CUI'!$F$5:$F$460,MATCH("001|2600443",'Rubro por CUI'!$N$5:$N$460,0))</f>
        <v>1138241.0</v>
      </c>
      <c r="H25" s="7">
        <f>INDEX('Rubro por CUI'!$G$5:$G$460,MATCH("001|2600443",'Rubro por CUI'!$N$5:$N$460,0))</f>
        <v>2379719.0</v>
      </c>
      <c r="I25" s="7">
        <f>INDEX('Rubro por CUI'!$H$5:$H$460,MATCH("001|2600443",'Rubro por CUI'!$N$5:$N$460,0))</f>
        <v>0.0</v>
      </c>
      <c r="J25" s="7">
        <f>INDEX('Rubro por CUI'!$I$5:$I$460,MATCH("001|2600443",'Rubro por CUI'!$N$5:$N$460,0))</f>
        <v>0.0</v>
      </c>
      <c r="K25" s="7">
        <f>L25-SUM(F25:J25)</f>
        <v>0.0</v>
      </c>
      <c r="L25" s="7">
        <f>SUMIFS(Base!$I$5:$I$509,Base!$A$5:$A$509,"001",Base!$F$5:$F$509,"2600443")</f>
        <v>3517960.0</v>
      </c>
      <c r="M25" s="7">
        <f>D25-E25-L25</f>
        <v>2456522.0</v>
      </c>
      <c r="N25" s="6" t="s">
        <v>63</v>
      </c>
    </row>
    <row r="26" spans="1:14">
      <c r="A26" s="18">
        <v>20</v>
      </c>
      <c r="B26" s="18" t="s">
        <v>1653</v>
      </c>
      <c r="C26" s="6" t="s">
        <v>300</v>
      </c>
      <c r="D26" s="23">
        <v>5512025</v>
      </c>
      <c r="E26" s="23">
        <v>1934037</v>
      </c>
      <c r="F26" s="7">
        <f>INDEX('Rubro por CUI'!$E$5:$E$460,MATCH("001|2290342",'Rubro por CUI'!$N$5:$N$460,0))</f>
        <v>0.0</v>
      </c>
      <c r="G26" s="7">
        <f>INDEX('Rubro por CUI'!$F$5:$F$460,MATCH("001|2290342",'Rubro por CUI'!$N$5:$N$460,0))</f>
        <v>77657.0</v>
      </c>
      <c r="H26" s="7">
        <f>INDEX('Rubro por CUI'!$G$5:$G$460,MATCH("001|2290342",'Rubro por CUI'!$N$5:$N$460,0))</f>
        <v>3240369.0</v>
      </c>
      <c r="I26" s="7">
        <f>INDEX('Rubro por CUI'!$H$5:$H$460,MATCH("001|2290342",'Rubro por CUI'!$N$5:$N$460,0))</f>
        <v>0.0</v>
      </c>
      <c r="J26" s="7">
        <f>INDEX('Rubro por CUI'!$I$5:$I$460,MATCH("001|2290342",'Rubro por CUI'!$N$5:$N$460,0))</f>
        <v>0.0</v>
      </c>
      <c r="K26" s="7">
        <f>L26-SUM(F26:J26)</f>
        <v>0.0</v>
      </c>
      <c r="L26" s="7">
        <f>SUMIFS(Base!$I$5:$I$509,Base!$A$5:$A$509,"001",Base!$F$5:$F$509,"2290342")</f>
        <v>3318026.0</v>
      </c>
      <c r="M26" s="7">
        <f>D26-E26-L26</f>
        <v>259962.0</v>
      </c>
      <c r="N26" s="6" t="s">
        <v>63</v>
      </c>
    </row>
    <row r="27" spans="1:14">
      <c r="A27" s="18">
        <v>21</v>
      </c>
      <c r="B27" s="18" t="s">
        <v>1654</v>
      </c>
      <c r="C27" s="6" t="s">
        <v>1335</v>
      </c>
      <c r="D27" s="23">
        <v>6870041</v>
      </c>
      <c r="E27" s="23">
        <v>49796</v>
      </c>
      <c r="F27" s="7">
        <f>INDEX('Rubro por CUI'!$E$5:$E$460,MATCH("001|2691682",'Rubro por CUI'!$N$5:$N$460,0))</f>
        <v>0.0</v>
      </c>
      <c r="G27" s="7">
        <f>INDEX('Rubro por CUI'!$F$5:$F$460,MATCH("001|2691682",'Rubro por CUI'!$N$5:$N$460,0))</f>
        <v>0.0</v>
      </c>
      <c r="H27" s="7">
        <f>INDEX('Rubro por CUI'!$G$5:$G$460,MATCH("001|2691682",'Rubro por CUI'!$N$5:$N$460,0))</f>
        <v>2967206.0</v>
      </c>
      <c r="I27" s="7">
        <f>INDEX('Rubro por CUI'!$H$5:$H$460,MATCH("001|2691682",'Rubro por CUI'!$N$5:$N$460,0))</f>
        <v>0.0</v>
      </c>
      <c r="J27" s="7">
        <f>INDEX('Rubro por CUI'!$I$5:$I$460,MATCH("001|2691682",'Rubro por CUI'!$N$5:$N$460,0))</f>
        <v>0.0</v>
      </c>
      <c r="K27" s="7">
        <f>L27-SUM(F27:J27)</f>
        <v>0.0</v>
      </c>
      <c r="L27" s="7">
        <f>SUMIFS(Base!$I$5:$I$509,Base!$A$5:$A$509,"001",Base!$F$5:$F$509,"2691682")</f>
        <v>2967206.0</v>
      </c>
      <c r="M27" s="7">
        <f>D27-E27-L27</f>
        <v>3853039.0</v>
      </c>
      <c r="N27" s="6" t="s">
        <v>63</v>
      </c>
    </row>
    <row r="28" spans="1:14">
      <c r="A28" s="18">
        <v>22</v>
      </c>
      <c r="B28" s="18" t="s">
        <v>1655</v>
      </c>
      <c r="C28" s="6" t="s">
        <v>1298</v>
      </c>
      <c r="D28" s="23">
        <v>2601973</v>
      </c>
      <c r="E28" s="23">
        <v>208561</v>
      </c>
      <c r="F28" s="7">
        <f>INDEX('Rubro por CUI'!$E$5:$E$460,MATCH("001|2567368",'Rubro por CUI'!$N$5:$N$460,0))</f>
        <v>0.0</v>
      </c>
      <c r="G28" s="7">
        <f>INDEX('Rubro por CUI'!$F$5:$F$460,MATCH("001|2567368",'Rubro por CUI'!$N$5:$N$460,0))</f>
        <v>0.0</v>
      </c>
      <c r="H28" s="7">
        <f>INDEX('Rubro por CUI'!$G$5:$G$460,MATCH("001|2567368",'Rubro por CUI'!$N$5:$N$460,0))</f>
        <v>2390440.0</v>
      </c>
      <c r="I28" s="7">
        <f>INDEX('Rubro por CUI'!$H$5:$H$460,MATCH("001|2567368",'Rubro por CUI'!$N$5:$N$460,0))</f>
        <v>0.0</v>
      </c>
      <c r="J28" s="7">
        <f>INDEX('Rubro por CUI'!$I$5:$I$460,MATCH("001|2567368",'Rubro por CUI'!$N$5:$N$460,0))</f>
        <v>0.0</v>
      </c>
      <c r="K28" s="7">
        <f>L28-SUM(F28:J28)</f>
        <v>0.0</v>
      </c>
      <c r="L28" s="7">
        <f>SUMIFS(Base!$I$5:$I$509,Base!$A$5:$A$509,"001",Base!$F$5:$F$509,"2567368")</f>
        <v>2390440.0</v>
      </c>
      <c r="M28" s="7">
        <f>D28-E28-L28</f>
        <v>2972.0</v>
      </c>
      <c r="N28" s="6" t="s">
        <v>63</v>
      </c>
    </row>
    <row r="29" spans="1:14">
      <c r="A29" s="18">
        <v>23</v>
      </c>
      <c r="B29" s="18" t="s">
        <v>1656</v>
      </c>
      <c r="C29" s="6" t="s">
        <v>1338</v>
      </c>
      <c r="D29" s="23">
        <v>6505986</v>
      </c>
      <c r="E29" s="23">
        <v>9802</v>
      </c>
      <c r="F29" s="7">
        <f>INDEX('Rubro por CUI'!$E$5:$E$460,MATCH("001|2711034",'Rubro por CUI'!$N$5:$N$460,0))</f>
        <v>0.0</v>
      </c>
      <c r="G29" s="7">
        <f>INDEX('Rubro por CUI'!$F$5:$F$460,MATCH("001|2711034",'Rubro por CUI'!$N$5:$N$460,0))</f>
        <v>0.0</v>
      </c>
      <c r="H29" s="7">
        <f>INDEX('Rubro por CUI'!$G$5:$G$460,MATCH("001|2711034",'Rubro por CUI'!$N$5:$N$460,0))</f>
        <v>2040218.0</v>
      </c>
      <c r="I29" s="7">
        <f>INDEX('Rubro por CUI'!$H$5:$H$460,MATCH("001|2711034",'Rubro por CUI'!$N$5:$N$460,0))</f>
        <v>0.0</v>
      </c>
      <c r="J29" s="7">
        <f>INDEX('Rubro por CUI'!$I$5:$I$460,MATCH("001|2711034",'Rubro por CUI'!$N$5:$N$460,0))</f>
        <v>0.0</v>
      </c>
      <c r="K29" s="7">
        <f>L29-SUM(F29:J29)</f>
        <v>0.0</v>
      </c>
      <c r="L29" s="7">
        <f>SUMIFS(Base!$I$5:$I$509,Base!$A$5:$A$509,"001",Base!$F$5:$F$509,"2711034")</f>
        <v>2040218.0</v>
      </c>
      <c r="M29" s="7">
        <f>D29-E29-L29</f>
        <v>4455966.0</v>
      </c>
      <c r="N29" s="6" t="s">
        <v>63</v>
      </c>
    </row>
    <row r="30" spans="1:14">
      <c r="A30" s="18">
        <v>24</v>
      </c>
      <c r="B30" s="18" t="s">
        <v>1657</v>
      </c>
      <c r="C30" s="6" t="s">
        <v>642</v>
      </c>
      <c r="D30" s="23">
        <v>16187288</v>
      </c>
      <c r="E30" s="23">
        <v>312095</v>
      </c>
      <c r="F30" s="7">
        <f>INDEX('Rubro por CUI'!$E$5:$E$460,MATCH("001|2599489",'Rubro por CUI'!$N$5:$N$460,0))</f>
        <v>0.0</v>
      </c>
      <c r="G30" s="7">
        <f>INDEX('Rubro por CUI'!$F$5:$F$460,MATCH("001|2599489",'Rubro por CUI'!$N$5:$N$460,0))</f>
        <v>1371247.0</v>
      </c>
      <c r="H30" s="7">
        <f>INDEX('Rubro por CUI'!$G$5:$G$460,MATCH("001|2599489",'Rubro por CUI'!$N$5:$N$460,0))</f>
        <v>379449.0</v>
      </c>
      <c r="I30" s="7">
        <f>INDEX('Rubro por CUI'!$H$5:$H$460,MATCH("001|2599489",'Rubro por CUI'!$N$5:$N$460,0))</f>
        <v>0.0</v>
      </c>
      <c r="J30" s="7">
        <f>INDEX('Rubro por CUI'!$I$5:$I$460,MATCH("001|2599489",'Rubro por CUI'!$N$5:$N$460,0))</f>
        <v>0.0</v>
      </c>
      <c r="K30" s="7">
        <f>L30-SUM(F30:J30)</f>
        <v>0.0</v>
      </c>
      <c r="L30" s="7">
        <f>SUMIFS(Base!$I$5:$I$509,Base!$A$5:$A$509,"001",Base!$F$5:$F$509,"2599489")</f>
        <v>1750696.0</v>
      </c>
      <c r="M30" s="7">
        <f>D30-E30-L30</f>
        <v>14124497.0</v>
      </c>
      <c r="N30" s="6" t="s">
        <v>63</v>
      </c>
    </row>
    <row r="31" spans="1:14">
      <c r="A31" s="18">
        <v>25</v>
      </c>
      <c r="B31" s="18" t="s">
        <v>1658</v>
      </c>
      <c r="C31" s="6" t="s">
        <v>459</v>
      </c>
      <c r="D31" s="23">
        <v>45573974</v>
      </c>
      <c r="E31" s="23">
        <v>0</v>
      </c>
      <c r="F31" s="7">
        <f>INDEX('Rubro por CUI'!$E$5:$E$460,MATCH("001|2657043",'Rubro por CUI'!$N$5:$N$460,0))</f>
        <v>0.0</v>
      </c>
      <c r="G31" s="7">
        <f>INDEX('Rubro por CUI'!$F$5:$F$460,MATCH("001|2657043",'Rubro por CUI'!$N$5:$N$460,0))</f>
        <v>0.0</v>
      </c>
      <c r="H31" s="7">
        <f>INDEX('Rubro por CUI'!$G$5:$G$460,MATCH("001|2657043",'Rubro por CUI'!$N$5:$N$460,0))</f>
        <v>1382457.0</v>
      </c>
      <c r="I31" s="7">
        <f>INDEX('Rubro por CUI'!$H$5:$H$460,MATCH("001|2657043",'Rubro por CUI'!$N$5:$N$460,0))</f>
        <v>0.0</v>
      </c>
      <c r="J31" s="7">
        <f>INDEX('Rubro por CUI'!$I$5:$I$460,MATCH("001|2657043",'Rubro por CUI'!$N$5:$N$460,0))</f>
        <v>0.0</v>
      </c>
      <c r="K31" s="7">
        <f>L31-SUM(F31:J31)</f>
        <v>0.0</v>
      </c>
      <c r="L31" s="7">
        <f>SUMIFS(Base!$I$5:$I$509,Base!$A$5:$A$509,"001",Base!$F$5:$F$509,"2657043")</f>
        <v>1382457.0</v>
      </c>
      <c r="M31" s="7">
        <f>D31-E31-L31</f>
        <v>44191517.0</v>
      </c>
      <c r="N31" s="6" t="s">
        <v>63</v>
      </c>
    </row>
    <row r="32" spans="1:14">
      <c r="A32" s="18">
        <v>26</v>
      </c>
      <c r="B32" s="18" t="s">
        <v>1659</v>
      </c>
      <c r="C32" s="6" t="s">
        <v>1313</v>
      </c>
      <c r="D32" s="23">
        <v>4296409</v>
      </c>
      <c r="E32" s="23">
        <v>98788</v>
      </c>
      <c r="F32" s="7">
        <f>INDEX('Rubro por CUI'!$E$5:$E$460,MATCH("001|2685776",'Rubro por CUI'!$N$5:$N$460,0))</f>
        <v>0.0</v>
      </c>
      <c r="G32" s="7">
        <f>INDEX('Rubro por CUI'!$F$5:$F$460,MATCH("001|2685776",'Rubro por CUI'!$N$5:$N$460,0))</f>
        <v>1027163.0</v>
      </c>
      <c r="H32" s="7">
        <f>INDEX('Rubro por CUI'!$G$5:$G$460,MATCH("001|2685776",'Rubro por CUI'!$N$5:$N$460,0))</f>
        <v>236702.0</v>
      </c>
      <c r="I32" s="7">
        <f>INDEX('Rubro por CUI'!$H$5:$H$460,MATCH("001|2685776",'Rubro por CUI'!$N$5:$N$460,0))</f>
        <v>0.0</v>
      </c>
      <c r="J32" s="7">
        <f>INDEX('Rubro por CUI'!$I$5:$I$460,MATCH("001|2685776",'Rubro por CUI'!$N$5:$N$460,0))</f>
        <v>0.0</v>
      </c>
      <c r="K32" s="7">
        <f>L32-SUM(F32:J32)</f>
        <v>0.0</v>
      </c>
      <c r="L32" s="7">
        <f>SUMIFS(Base!$I$5:$I$509,Base!$A$5:$A$509,"001",Base!$F$5:$F$509,"2685776")</f>
        <v>1263865.0</v>
      </c>
      <c r="M32" s="7">
        <f>D32-E32-L32</f>
        <v>2933756.0</v>
      </c>
      <c r="N32" s="6" t="s">
        <v>63</v>
      </c>
    </row>
    <row r="33" spans="1:14">
      <c r="A33" s="18">
        <v>27</v>
      </c>
      <c r="B33" s="18" t="s">
        <v>1660</v>
      </c>
      <c r="C33" s="6" t="s">
        <v>1325</v>
      </c>
      <c r="D33" s="23">
        <v>1783210</v>
      </c>
      <c r="E33" s="23">
        <v>575356</v>
      </c>
      <c r="F33" s="7">
        <f>INDEX('Rubro por CUI'!$E$5:$E$460,MATCH("001|2668521",'Rubro por CUI'!$N$5:$N$460,0))</f>
        <v>0.0</v>
      </c>
      <c r="G33" s="7">
        <f>INDEX('Rubro por CUI'!$F$5:$F$460,MATCH("001|2668521",'Rubro por CUI'!$N$5:$N$460,0))</f>
        <v>0.0</v>
      </c>
      <c r="H33" s="7">
        <f>INDEX('Rubro por CUI'!$G$5:$G$460,MATCH("001|2668521",'Rubro por CUI'!$N$5:$N$460,0))</f>
        <v>1044621.0</v>
      </c>
      <c r="I33" s="7">
        <f>INDEX('Rubro por CUI'!$H$5:$H$460,MATCH("001|2668521",'Rubro por CUI'!$N$5:$N$460,0))</f>
        <v>130744.0</v>
      </c>
      <c r="J33" s="7">
        <f>INDEX('Rubro por CUI'!$I$5:$I$460,MATCH("001|2668521",'Rubro por CUI'!$N$5:$N$460,0))</f>
        <v>0.0</v>
      </c>
      <c r="K33" s="7">
        <f>L33-SUM(F33:J33)</f>
        <v>0.0</v>
      </c>
      <c r="L33" s="7">
        <f>SUMIFS(Base!$I$5:$I$509,Base!$A$5:$A$509,"001",Base!$F$5:$F$509,"2668521")</f>
        <v>1175365.0</v>
      </c>
      <c r="M33" s="7">
        <f>D33-E33-L33</f>
        <v>32489.0</v>
      </c>
      <c r="N33" s="6" t="s">
        <v>63</v>
      </c>
    </row>
    <row r="34" spans="1:14">
      <c r="A34" s="18">
        <v>28</v>
      </c>
      <c r="B34" s="18" t="s">
        <v>1661</v>
      </c>
      <c r="C34" s="6" t="s">
        <v>450</v>
      </c>
      <c r="D34" s="6" t="s">
        <v>69</v>
      </c>
      <c r="E34" s="6" t="s">
        <v>69</v>
      </c>
      <c r="F34" s="7">
        <f>INDEX('Rubro por CUI'!$E$5:$E$460,MATCH("001|2427364",'Rubro por CUI'!$N$5:$N$460,0))</f>
        <v>0.0</v>
      </c>
      <c r="G34" s="7">
        <f>INDEX('Rubro por CUI'!$F$5:$F$460,MATCH("001|2427364",'Rubro por CUI'!$N$5:$N$460,0))</f>
        <v>0.0</v>
      </c>
      <c r="H34" s="7">
        <f>INDEX('Rubro por CUI'!$G$5:$G$460,MATCH("001|2427364",'Rubro por CUI'!$N$5:$N$460,0))</f>
        <v>966193.0</v>
      </c>
      <c r="I34" s="7">
        <f>INDEX('Rubro por CUI'!$H$5:$H$460,MATCH("001|2427364",'Rubro por CUI'!$N$5:$N$460,0))</f>
        <v>0.0</v>
      </c>
      <c r="J34" s="7">
        <f>INDEX('Rubro por CUI'!$I$5:$I$460,MATCH("001|2427364",'Rubro por CUI'!$N$5:$N$460,0))</f>
        <v>0.0</v>
      </c>
      <c r="K34" s="7">
        <f>L34-SUM(F34:J34)</f>
        <v>0.0</v>
      </c>
      <c r="L34" s="7">
        <f>SUMIFS(Base!$I$5:$I$509,Base!$A$5:$A$509,"001",Base!$F$5:$F$509,"2427364")</f>
        <v>966193.0</v>
      </c>
      <c r="M34" s="6" t="s">
        <v>69</v>
      </c>
      <c r="N34" s="6" t="s">
        <v>1634</v>
      </c>
    </row>
    <row r="35" spans="1:14">
      <c r="A35" s="18">
        <v>29</v>
      </c>
      <c r="B35" s="18" t="s">
        <v>1662</v>
      </c>
      <c r="C35" s="6" t="s">
        <v>649</v>
      </c>
      <c r="D35" s="23">
        <v>41154331</v>
      </c>
      <c r="E35" s="23">
        <v>0</v>
      </c>
      <c r="F35" s="7">
        <f>INDEX('Rubro por CUI'!$E$5:$E$460,MATCH("001|2623878",'Rubro por CUI'!$N$5:$N$460,0))</f>
        <v>0.0</v>
      </c>
      <c r="G35" s="7">
        <f>INDEX('Rubro por CUI'!$F$5:$F$460,MATCH("001|2623878",'Rubro por CUI'!$N$5:$N$460,0))</f>
        <v>0.0</v>
      </c>
      <c r="H35" s="7">
        <f>INDEX('Rubro por CUI'!$G$5:$G$460,MATCH("001|2623878",'Rubro por CUI'!$N$5:$N$460,0))</f>
        <v>656461.0</v>
      </c>
      <c r="I35" s="7">
        <f>INDEX('Rubro por CUI'!$H$5:$H$460,MATCH("001|2623878",'Rubro por CUI'!$N$5:$N$460,0))</f>
        <v>0.0</v>
      </c>
      <c r="J35" s="7">
        <f>INDEX('Rubro por CUI'!$I$5:$I$460,MATCH("001|2623878",'Rubro por CUI'!$N$5:$N$460,0))</f>
        <v>0.0</v>
      </c>
      <c r="K35" s="7">
        <f>L35-SUM(F35:J35)</f>
        <v>0.0</v>
      </c>
      <c r="L35" s="7">
        <f>SUMIFS(Base!$I$5:$I$509,Base!$A$5:$A$509,"001",Base!$F$5:$F$509,"2623878")</f>
        <v>656461.0</v>
      </c>
      <c r="M35" s="7">
        <f>D35-E35-L35</f>
        <v>40497870.0</v>
      </c>
      <c r="N35" s="6" t="s">
        <v>63</v>
      </c>
    </row>
    <row r="36" spans="1:14">
      <c r="A36" s="18">
        <v>30</v>
      </c>
      <c r="B36" s="18" t="s">
        <v>1663</v>
      </c>
      <c r="C36" s="6" t="s">
        <v>627</v>
      </c>
      <c r="D36" s="6" t="s">
        <v>69</v>
      </c>
      <c r="E36" s="6" t="s">
        <v>69</v>
      </c>
      <c r="F36" s="7">
        <f>INDEX('Rubro por CUI'!$E$5:$E$460,MATCH("001|2551456",'Rubro por CUI'!$N$5:$N$460,0))</f>
        <v>0.0</v>
      </c>
      <c r="G36" s="7">
        <f>INDEX('Rubro por CUI'!$F$5:$F$460,MATCH("001|2551456",'Rubro por CUI'!$N$5:$N$460,0))</f>
        <v>0.0</v>
      </c>
      <c r="H36" s="7">
        <f>INDEX('Rubro por CUI'!$G$5:$G$460,MATCH("001|2551456",'Rubro por CUI'!$N$5:$N$460,0))</f>
        <v>654662.0</v>
      </c>
      <c r="I36" s="7">
        <f>INDEX('Rubro por CUI'!$H$5:$H$460,MATCH("001|2551456",'Rubro por CUI'!$N$5:$N$460,0))</f>
        <v>0.0</v>
      </c>
      <c r="J36" s="7">
        <f>INDEX('Rubro por CUI'!$I$5:$I$460,MATCH("001|2551456",'Rubro por CUI'!$N$5:$N$460,0))</f>
        <v>0.0</v>
      </c>
      <c r="K36" s="7">
        <f>L36-SUM(F36:J36)</f>
        <v>0.0</v>
      </c>
      <c r="L36" s="7">
        <f>SUMIFS(Base!$I$5:$I$509,Base!$A$5:$A$509,"001",Base!$F$5:$F$509,"2551456")</f>
        <v>654662.0</v>
      </c>
      <c r="M36" s="6" t="s">
        <v>69</v>
      </c>
      <c r="N36" s="6" t="s">
        <v>1634</v>
      </c>
    </row>
    <row r="37" spans="1:14">
      <c r="A37" s="18">
        <v>31</v>
      </c>
      <c r="B37" s="18" t="s">
        <v>1664</v>
      </c>
      <c r="C37" s="6" t="s">
        <v>652</v>
      </c>
      <c r="D37" s="23">
        <v>35956133</v>
      </c>
      <c r="E37" s="23">
        <v>0</v>
      </c>
      <c r="F37" s="7">
        <f>INDEX('Rubro por CUI'!$E$5:$E$460,MATCH("001|2623879",'Rubro por CUI'!$N$5:$N$460,0))</f>
        <v>0.0</v>
      </c>
      <c r="G37" s="7">
        <f>INDEX('Rubro por CUI'!$F$5:$F$460,MATCH("001|2623879",'Rubro por CUI'!$N$5:$N$460,0))</f>
        <v>0.0</v>
      </c>
      <c r="H37" s="7">
        <f>INDEX('Rubro por CUI'!$G$5:$G$460,MATCH("001|2623879",'Rubro por CUI'!$N$5:$N$460,0))</f>
        <v>606461.0</v>
      </c>
      <c r="I37" s="7">
        <f>INDEX('Rubro por CUI'!$H$5:$H$460,MATCH("001|2623879",'Rubro por CUI'!$N$5:$N$460,0))</f>
        <v>0.0</v>
      </c>
      <c r="J37" s="7">
        <f>INDEX('Rubro por CUI'!$I$5:$I$460,MATCH("001|2623879",'Rubro por CUI'!$N$5:$N$460,0))</f>
        <v>0.0</v>
      </c>
      <c r="K37" s="7">
        <f>L37-SUM(F37:J37)</f>
        <v>0.0</v>
      </c>
      <c r="L37" s="7">
        <f>SUMIFS(Base!$I$5:$I$509,Base!$A$5:$A$509,"001",Base!$F$5:$F$509,"2623879")</f>
        <v>606461.0</v>
      </c>
      <c r="M37" s="7">
        <f>D37-E37-L37</f>
        <v>35349672.0</v>
      </c>
      <c r="N37" s="6" t="s">
        <v>63</v>
      </c>
    </row>
    <row r="38" spans="1:14">
      <c r="A38" s="18">
        <v>32</v>
      </c>
      <c r="B38" s="18" t="s">
        <v>1665</v>
      </c>
      <c r="C38" s="6" t="s">
        <v>466</v>
      </c>
      <c r="D38" s="23">
        <v>8561610</v>
      </c>
      <c r="E38" s="23">
        <v>3026129</v>
      </c>
      <c r="F38" s="7">
        <f>INDEX('Rubro por CUI'!$E$5:$E$460,MATCH("001|2308220",'Rubro por CUI'!$N$5:$N$460,0))</f>
        <v>0.0</v>
      </c>
      <c r="G38" s="7">
        <f>INDEX('Rubro por CUI'!$F$5:$F$460,MATCH("001|2308220",'Rubro por CUI'!$N$5:$N$460,0))</f>
        <v>0.0</v>
      </c>
      <c r="H38" s="7">
        <f>INDEX('Rubro por CUI'!$G$5:$G$460,MATCH("001|2308220",'Rubro por CUI'!$N$5:$N$460,0))</f>
        <v>407088.0</v>
      </c>
      <c r="I38" s="7">
        <f>INDEX('Rubro por CUI'!$H$5:$H$460,MATCH("001|2308220",'Rubro por CUI'!$N$5:$N$460,0))</f>
        <v>0.0</v>
      </c>
      <c r="J38" s="7">
        <f>INDEX('Rubro por CUI'!$I$5:$I$460,MATCH("001|2308220",'Rubro por CUI'!$N$5:$N$460,0))</f>
        <v>0.0</v>
      </c>
      <c r="K38" s="7">
        <f>L38-SUM(F38:J38)</f>
        <v>0.0</v>
      </c>
      <c r="L38" s="7">
        <f>SUMIFS(Base!$I$5:$I$509,Base!$A$5:$A$509,"001",Base!$F$5:$F$509,"2308220")</f>
        <v>407088.0</v>
      </c>
      <c r="M38" s="7">
        <f>D38-E38-L38</f>
        <v>5128393.0</v>
      </c>
      <c r="N38" s="6" t="s">
        <v>63</v>
      </c>
    </row>
    <row r="39" spans="1:14">
      <c r="A39" s="18">
        <v>33</v>
      </c>
      <c r="B39" s="18" t="s">
        <v>1666</v>
      </c>
      <c r="C39" s="6" t="s">
        <v>1328</v>
      </c>
      <c r="D39" s="23">
        <v>31357909</v>
      </c>
      <c r="E39" s="23">
        <v>29982868</v>
      </c>
      <c r="F39" s="7">
        <f>INDEX('Rubro por CUI'!$E$5:$E$460,MATCH("001|2613817",'Rubro por CUI'!$N$5:$N$460,0))</f>
        <v>0.0</v>
      </c>
      <c r="G39" s="7">
        <f>INDEX('Rubro por CUI'!$F$5:$F$460,MATCH("001|2613817",'Rubro por CUI'!$N$5:$N$460,0))</f>
        <v>0.0</v>
      </c>
      <c r="H39" s="7">
        <f>INDEX('Rubro por CUI'!$G$5:$G$460,MATCH("001|2613817",'Rubro por CUI'!$N$5:$N$460,0))</f>
        <v>392605.0</v>
      </c>
      <c r="I39" s="7">
        <f>INDEX('Rubro por CUI'!$H$5:$H$460,MATCH("001|2613817",'Rubro por CUI'!$N$5:$N$460,0))</f>
        <v>0.0</v>
      </c>
      <c r="J39" s="7">
        <f>INDEX('Rubro por CUI'!$I$5:$I$460,MATCH("001|2613817",'Rubro por CUI'!$N$5:$N$460,0))</f>
        <v>0.0</v>
      </c>
      <c r="K39" s="7">
        <f>L39-SUM(F39:J39)</f>
        <v>0.0</v>
      </c>
      <c r="L39" s="7">
        <f>SUMIFS(Base!$I$5:$I$509,Base!$A$5:$A$509,"001",Base!$F$5:$F$509,"2613817")</f>
        <v>392605.0</v>
      </c>
      <c r="M39" s="7">
        <f>D39-E39-L39</f>
        <v>982436.0</v>
      </c>
      <c r="N39" s="6" t="s">
        <v>63</v>
      </c>
    </row>
    <row r="40" spans="1:14">
      <c r="A40" s="18">
        <v>34</v>
      </c>
      <c r="B40" s="18" t="s">
        <v>1667</v>
      </c>
      <c r="C40" s="6" t="s">
        <v>688</v>
      </c>
      <c r="D40" s="23">
        <v>4287781</v>
      </c>
      <c r="E40" s="23">
        <v>23839</v>
      </c>
      <c r="F40" s="7">
        <f>INDEX('Rubro por CUI'!$E$5:$E$460,MATCH("001|2658003",'Rubro por CUI'!$N$5:$N$460,0))</f>
        <v>0.0</v>
      </c>
      <c r="G40" s="7">
        <f>INDEX('Rubro por CUI'!$F$5:$F$460,MATCH("001|2658003",'Rubro por CUI'!$N$5:$N$460,0))</f>
        <v>0.0</v>
      </c>
      <c r="H40" s="7">
        <f>INDEX('Rubro por CUI'!$G$5:$G$460,MATCH("001|2658003",'Rubro por CUI'!$N$5:$N$460,0))</f>
        <v>340317.0</v>
      </c>
      <c r="I40" s="7">
        <f>INDEX('Rubro por CUI'!$H$5:$H$460,MATCH("001|2658003",'Rubro por CUI'!$N$5:$N$460,0))</f>
        <v>0.0</v>
      </c>
      <c r="J40" s="7">
        <f>INDEX('Rubro por CUI'!$I$5:$I$460,MATCH("001|2658003",'Rubro por CUI'!$N$5:$N$460,0))</f>
        <v>0.0</v>
      </c>
      <c r="K40" s="7">
        <f>L40-SUM(F40:J40)</f>
        <v>0.0</v>
      </c>
      <c r="L40" s="7">
        <f>SUMIFS(Base!$I$5:$I$509,Base!$A$5:$A$509,"001",Base!$F$5:$F$509,"2658003")</f>
        <v>340317.0</v>
      </c>
      <c r="M40" s="7">
        <f>D40-E40-L40</f>
        <v>3923625.0</v>
      </c>
      <c r="N40" s="6" t="s">
        <v>63</v>
      </c>
    </row>
    <row r="41" spans="1:14">
      <c r="A41" s="18">
        <v>35</v>
      </c>
      <c r="B41" s="18" t="s">
        <v>1668</v>
      </c>
      <c r="C41" s="6" t="s">
        <v>679</v>
      </c>
      <c r="D41" s="23">
        <v>2780218</v>
      </c>
      <c r="E41" s="23">
        <v>13312</v>
      </c>
      <c r="F41" s="7">
        <f>INDEX('Rubro por CUI'!$E$5:$E$460,MATCH("001|2649790",'Rubro por CUI'!$N$5:$N$460,0))</f>
        <v>0.0</v>
      </c>
      <c r="G41" s="7">
        <f>INDEX('Rubro por CUI'!$F$5:$F$460,MATCH("001|2649790",'Rubro por CUI'!$N$5:$N$460,0))</f>
        <v>0.0</v>
      </c>
      <c r="H41" s="7">
        <f>INDEX('Rubro por CUI'!$G$5:$G$460,MATCH("001|2649790",'Rubro por CUI'!$N$5:$N$460,0))</f>
        <v>304060.0</v>
      </c>
      <c r="I41" s="7">
        <f>INDEX('Rubro por CUI'!$H$5:$H$460,MATCH("001|2649790",'Rubro por CUI'!$N$5:$N$460,0))</f>
        <v>0.0</v>
      </c>
      <c r="J41" s="7">
        <f>INDEX('Rubro por CUI'!$I$5:$I$460,MATCH("001|2649790",'Rubro por CUI'!$N$5:$N$460,0))</f>
        <v>0.0</v>
      </c>
      <c r="K41" s="7">
        <f>L41-SUM(F41:J41)</f>
        <v>0.0</v>
      </c>
      <c r="L41" s="7">
        <f>SUMIFS(Base!$I$5:$I$509,Base!$A$5:$A$509,"001",Base!$F$5:$F$509,"2649790")</f>
        <v>304060.0</v>
      </c>
      <c r="M41" s="7">
        <f>D41-E41-L41</f>
        <v>2462846.0</v>
      </c>
      <c r="N41" s="6" t="s">
        <v>63</v>
      </c>
    </row>
    <row r="42" spans="1:14">
      <c r="A42" s="18">
        <v>36</v>
      </c>
      <c r="B42" s="18" t="s">
        <v>1669</v>
      </c>
      <c r="C42" s="6" t="s">
        <v>1429</v>
      </c>
      <c r="D42" s="23">
        <v>35809218</v>
      </c>
      <c r="E42" s="23">
        <v>0</v>
      </c>
      <c r="F42" s="7">
        <f>INDEX('Rubro por CUI'!$E$5:$E$460,MATCH("001|2662519",'Rubro por CUI'!$N$5:$N$460,0))</f>
        <v>0.0</v>
      </c>
      <c r="G42" s="7">
        <f>INDEX('Rubro por CUI'!$F$5:$F$460,MATCH("001|2662519",'Rubro por CUI'!$N$5:$N$460,0))</f>
        <v>0.0</v>
      </c>
      <c r="H42" s="7">
        <f>INDEX('Rubro por CUI'!$G$5:$G$460,MATCH("001|2662519",'Rubro por CUI'!$N$5:$N$460,0))</f>
        <v>282553.0</v>
      </c>
      <c r="I42" s="7">
        <f>INDEX('Rubro por CUI'!$H$5:$H$460,MATCH("001|2662519",'Rubro por CUI'!$N$5:$N$460,0))</f>
        <v>0.0</v>
      </c>
      <c r="J42" s="7">
        <f>INDEX('Rubro por CUI'!$I$5:$I$460,MATCH("001|2662519",'Rubro por CUI'!$N$5:$N$460,0))</f>
        <v>0.0</v>
      </c>
      <c r="K42" s="7">
        <f>L42-SUM(F42:J42)</f>
        <v>0.0</v>
      </c>
      <c r="L42" s="7">
        <f>SUMIFS(Base!$I$5:$I$509,Base!$A$5:$A$509,"001",Base!$F$5:$F$509,"2662519")</f>
        <v>282553.0</v>
      </c>
      <c r="M42" s="7">
        <f>D42-E42-L42</f>
        <v>35526665.0</v>
      </c>
      <c r="N42" s="6" t="s">
        <v>63</v>
      </c>
    </row>
    <row r="43" spans="1:14">
      <c r="A43" s="18">
        <v>37</v>
      </c>
      <c r="B43" s="18" t="s">
        <v>1670</v>
      </c>
      <c r="C43" s="6" t="s">
        <v>624</v>
      </c>
      <c r="D43" s="23">
        <v>18274830</v>
      </c>
      <c r="E43" s="23">
        <v>650331</v>
      </c>
      <c r="F43" s="7">
        <f>INDEX('Rubro por CUI'!$E$5:$E$460,MATCH("001|2517448",'Rubro por CUI'!$N$5:$N$460,0))</f>
        <v>0.0</v>
      </c>
      <c r="G43" s="7">
        <f>INDEX('Rubro por CUI'!$F$5:$F$460,MATCH("001|2517448",'Rubro por CUI'!$N$5:$N$460,0))</f>
        <v>0.0</v>
      </c>
      <c r="H43" s="7">
        <f>INDEX('Rubro por CUI'!$G$5:$G$460,MATCH("001|2517448",'Rubro por CUI'!$N$5:$N$460,0))</f>
        <v>200000.0</v>
      </c>
      <c r="I43" s="7">
        <f>INDEX('Rubro por CUI'!$H$5:$H$460,MATCH("001|2517448",'Rubro por CUI'!$N$5:$N$460,0))</f>
        <v>0.0</v>
      </c>
      <c r="J43" s="7">
        <f>INDEX('Rubro por CUI'!$I$5:$I$460,MATCH("001|2517448",'Rubro por CUI'!$N$5:$N$460,0))</f>
        <v>0.0</v>
      </c>
      <c r="K43" s="7">
        <f>L43-SUM(F43:J43)</f>
        <v>0.0</v>
      </c>
      <c r="L43" s="7">
        <f>SUMIFS(Base!$I$5:$I$509,Base!$A$5:$A$509,"001",Base!$F$5:$F$509,"2517448")</f>
        <v>200000.0</v>
      </c>
      <c r="M43" s="7">
        <f>D43-E43-L43</f>
        <v>17424499.0</v>
      </c>
      <c r="N43" s="6" t="s">
        <v>63</v>
      </c>
    </row>
    <row r="44" spans="1:14">
      <c r="A44" s="18">
        <v>38</v>
      </c>
      <c r="B44" s="18" t="s">
        <v>1671</v>
      </c>
      <c r="C44" s="6" t="s">
        <v>621</v>
      </c>
      <c r="D44" s="23">
        <v>30034470</v>
      </c>
      <c r="E44" s="23">
        <v>719219</v>
      </c>
      <c r="F44" s="7">
        <f>INDEX('Rubro por CUI'!$E$5:$E$460,MATCH("001|2476464",'Rubro por CUI'!$N$5:$N$460,0))</f>
        <v>0.0</v>
      </c>
      <c r="G44" s="7">
        <f>INDEX('Rubro por CUI'!$F$5:$F$460,MATCH("001|2476464",'Rubro por CUI'!$N$5:$N$460,0))</f>
        <v>0.0</v>
      </c>
      <c r="H44" s="7">
        <f>INDEX('Rubro por CUI'!$G$5:$G$460,MATCH("001|2476464",'Rubro por CUI'!$N$5:$N$460,0))</f>
        <v>184669.0</v>
      </c>
      <c r="I44" s="7">
        <f>INDEX('Rubro por CUI'!$H$5:$H$460,MATCH("001|2476464",'Rubro por CUI'!$N$5:$N$460,0))</f>
        <v>0.0</v>
      </c>
      <c r="J44" s="7">
        <f>INDEX('Rubro por CUI'!$I$5:$I$460,MATCH("001|2476464",'Rubro por CUI'!$N$5:$N$460,0))</f>
        <v>0.0</v>
      </c>
      <c r="K44" s="7">
        <f>L44-SUM(F44:J44)</f>
        <v>0.0</v>
      </c>
      <c r="L44" s="7">
        <f>SUMIFS(Base!$I$5:$I$509,Base!$A$5:$A$509,"001",Base!$F$5:$F$509,"2476464")</f>
        <v>184669.0</v>
      </c>
      <c r="M44" s="7">
        <f>D44-E44-L44</f>
        <v>29130582.0</v>
      </c>
      <c r="N44" s="6" t="s">
        <v>63</v>
      </c>
    </row>
    <row r="45" spans="1:14">
      <c r="A45" s="18">
        <v>39</v>
      </c>
      <c r="B45" s="18" t="s">
        <v>1672</v>
      </c>
      <c r="C45" s="6" t="s">
        <v>61</v>
      </c>
      <c r="D45" s="23">
        <v>139379920</v>
      </c>
      <c r="E45" s="23">
        <v>91151956</v>
      </c>
      <c r="F45" s="7">
        <f>INDEX('Rubro por CUI'!$E$5:$E$460,MATCH("001|2108576",'Rubro por CUI'!$N$5:$N$460,0))</f>
        <v>0.0</v>
      </c>
      <c r="G45" s="7">
        <f>INDEX('Rubro por CUI'!$F$5:$F$460,MATCH("001|2108576",'Rubro por CUI'!$N$5:$N$460,0))</f>
        <v>0.0</v>
      </c>
      <c r="H45" s="7">
        <f>INDEX('Rubro por CUI'!$G$5:$G$460,MATCH("001|2108576",'Rubro por CUI'!$N$5:$N$460,0))</f>
        <v>167354.0</v>
      </c>
      <c r="I45" s="7">
        <f>INDEX('Rubro por CUI'!$H$5:$H$460,MATCH("001|2108576",'Rubro por CUI'!$N$5:$N$460,0))</f>
        <v>0.0</v>
      </c>
      <c r="J45" s="7">
        <f>INDEX('Rubro por CUI'!$I$5:$I$460,MATCH("001|2108576",'Rubro por CUI'!$N$5:$N$460,0))</f>
        <v>0.0</v>
      </c>
      <c r="K45" s="7">
        <f>L45-SUM(F45:J45)</f>
        <v>0.0</v>
      </c>
      <c r="L45" s="7">
        <f>SUMIFS(Base!$I$5:$I$509,Base!$A$5:$A$509,"001",Base!$F$5:$F$509,"2108576")</f>
        <v>167354.0</v>
      </c>
      <c r="M45" s="7">
        <f>D45-E45-L45</f>
        <v>48060610.0</v>
      </c>
      <c r="N45" s="6" t="s">
        <v>63</v>
      </c>
    </row>
    <row r="46" spans="1:14">
      <c r="A46" s="18">
        <v>40</v>
      </c>
      <c r="B46" s="18" t="s">
        <v>1673</v>
      </c>
      <c r="C46" s="6" t="s">
        <v>1332</v>
      </c>
      <c r="D46" s="23">
        <v>6345012</v>
      </c>
      <c r="E46" s="23">
        <v>49798</v>
      </c>
      <c r="F46" s="7">
        <f>INDEX('Rubro por CUI'!$E$5:$E$460,MATCH("001|2692846",'Rubro por CUI'!$N$5:$N$460,0))</f>
        <v>0.0</v>
      </c>
      <c r="G46" s="7">
        <f>INDEX('Rubro por CUI'!$F$5:$F$460,MATCH("001|2692846",'Rubro por CUI'!$N$5:$N$460,0))</f>
        <v>0.0</v>
      </c>
      <c r="H46" s="7">
        <f>INDEX('Rubro por CUI'!$G$5:$G$460,MATCH("001|2692846",'Rubro por CUI'!$N$5:$N$460,0))</f>
        <v>167074.0</v>
      </c>
      <c r="I46" s="7">
        <f>INDEX('Rubro por CUI'!$H$5:$H$460,MATCH("001|2692846",'Rubro por CUI'!$N$5:$N$460,0))</f>
        <v>0.0</v>
      </c>
      <c r="J46" s="7">
        <f>INDEX('Rubro por CUI'!$I$5:$I$460,MATCH("001|2692846",'Rubro por CUI'!$N$5:$N$460,0))</f>
        <v>0.0</v>
      </c>
      <c r="K46" s="7">
        <f>L46-SUM(F46:J46)</f>
        <v>0.0</v>
      </c>
      <c r="L46" s="7">
        <f>SUMIFS(Base!$I$5:$I$509,Base!$A$5:$A$509,"001",Base!$F$5:$F$509,"2692846")</f>
        <v>167074.0</v>
      </c>
      <c r="M46" s="7">
        <f>D46-E46-L46</f>
        <v>6128140.0</v>
      </c>
      <c r="N46" s="6" t="s">
        <v>63</v>
      </c>
    </row>
    <row r="47" spans="1:14">
      <c r="A47" s="18">
        <v>41</v>
      </c>
      <c r="B47" s="18" t="s">
        <v>1674</v>
      </c>
      <c r="C47" s="6" t="s">
        <v>639</v>
      </c>
      <c r="D47" s="23">
        <v>38899304</v>
      </c>
      <c r="E47" s="23">
        <v>484453</v>
      </c>
      <c r="F47" s="7">
        <f>INDEX('Rubro por CUI'!$E$5:$E$460,MATCH("001|2594994",'Rubro por CUI'!$N$5:$N$460,0))</f>
        <v>0.0</v>
      </c>
      <c r="G47" s="7">
        <f>INDEX('Rubro por CUI'!$F$5:$F$460,MATCH("001|2594994",'Rubro por CUI'!$N$5:$N$460,0))</f>
        <v>0.0</v>
      </c>
      <c r="H47" s="7">
        <f>INDEX('Rubro por CUI'!$G$5:$G$460,MATCH("001|2594994",'Rubro por CUI'!$N$5:$N$460,0))</f>
        <v>154665.0</v>
      </c>
      <c r="I47" s="7">
        <f>INDEX('Rubro por CUI'!$H$5:$H$460,MATCH("001|2594994",'Rubro por CUI'!$N$5:$N$460,0))</f>
        <v>0.0</v>
      </c>
      <c r="J47" s="7">
        <f>INDEX('Rubro por CUI'!$I$5:$I$460,MATCH("001|2594994",'Rubro por CUI'!$N$5:$N$460,0))</f>
        <v>0.0</v>
      </c>
      <c r="K47" s="7">
        <f>L47-SUM(F47:J47)</f>
        <v>0.0</v>
      </c>
      <c r="L47" s="7">
        <f>SUMIFS(Base!$I$5:$I$509,Base!$A$5:$A$509,"001",Base!$F$5:$F$509,"2594994")</f>
        <v>154665.0</v>
      </c>
      <c r="M47" s="7">
        <f>D47-E47-L47</f>
        <v>38260186.0</v>
      </c>
      <c r="N47" s="6" t="s">
        <v>63</v>
      </c>
    </row>
    <row r="48" spans="1:14">
      <c r="A48" s="18">
        <v>42</v>
      </c>
      <c r="B48" s="18" t="s">
        <v>1675</v>
      </c>
      <c r="C48" s="6" t="s">
        <v>491</v>
      </c>
      <c r="D48" s="23">
        <v>7724196</v>
      </c>
      <c r="E48" s="23">
        <v>0</v>
      </c>
      <c r="F48" s="7">
        <f>INDEX('Rubro por CUI'!$E$5:$E$460,MATCH("001|2681074",'Rubro por CUI'!$N$5:$N$460,0))</f>
        <v>0.0</v>
      </c>
      <c r="G48" s="7">
        <f>INDEX('Rubro por CUI'!$F$5:$F$460,MATCH("001|2681074",'Rubro por CUI'!$N$5:$N$460,0))</f>
        <v>0.0</v>
      </c>
      <c r="H48" s="7">
        <f>INDEX('Rubro por CUI'!$G$5:$G$460,MATCH("001|2681074",'Rubro por CUI'!$N$5:$N$460,0))</f>
        <v>0.0</v>
      </c>
      <c r="I48" s="7">
        <f>INDEX('Rubro por CUI'!$H$5:$H$460,MATCH("001|2681074",'Rubro por CUI'!$N$5:$N$460,0))</f>
        <v>150000.0</v>
      </c>
      <c r="J48" s="7">
        <f>INDEX('Rubro por CUI'!$I$5:$I$460,MATCH("001|2681074",'Rubro por CUI'!$N$5:$N$460,0))</f>
        <v>0.0</v>
      </c>
      <c r="K48" s="7">
        <f>L48-SUM(F48:J48)</f>
        <v>0.0</v>
      </c>
      <c r="L48" s="7">
        <f>SUMIFS(Base!$I$5:$I$509,Base!$A$5:$A$509,"001",Base!$F$5:$F$509,"2681074")</f>
        <v>150000.0</v>
      </c>
      <c r="M48" s="7">
        <f>D48-E48-L48</f>
        <v>7574196.0</v>
      </c>
      <c r="N48" s="6" t="s">
        <v>63</v>
      </c>
    </row>
    <row r="49" spans="1:14">
      <c r="A49" s="18">
        <v>43</v>
      </c>
      <c r="B49" s="18" t="s">
        <v>1676</v>
      </c>
      <c r="C49" s="6" t="s">
        <v>484</v>
      </c>
      <c r="D49" s="23">
        <v>1743263</v>
      </c>
      <c r="E49" s="23">
        <v>15134</v>
      </c>
      <c r="F49" s="7">
        <f>INDEX('Rubro por CUI'!$E$5:$E$460,MATCH("001|2699927",'Rubro por CUI'!$N$5:$N$460,0))</f>
        <v>0.0</v>
      </c>
      <c r="G49" s="7">
        <f>INDEX('Rubro por CUI'!$F$5:$F$460,MATCH("001|2699927",'Rubro por CUI'!$N$5:$N$460,0))</f>
        <v>0.0</v>
      </c>
      <c r="H49" s="7">
        <f>INDEX('Rubro por CUI'!$G$5:$G$460,MATCH("001|2699927",'Rubro por CUI'!$N$5:$N$460,0))</f>
        <v>123816.0</v>
      </c>
      <c r="I49" s="7">
        <f>INDEX('Rubro por CUI'!$H$5:$H$460,MATCH("001|2699927",'Rubro por CUI'!$N$5:$N$460,0))</f>
        <v>0.0</v>
      </c>
      <c r="J49" s="7">
        <f>INDEX('Rubro por CUI'!$I$5:$I$460,MATCH("001|2699927",'Rubro por CUI'!$N$5:$N$460,0))</f>
        <v>0.0</v>
      </c>
      <c r="K49" s="7">
        <f>L49-SUM(F49:J49)</f>
        <v>0.0</v>
      </c>
      <c r="L49" s="7">
        <f>SUMIFS(Base!$I$5:$I$509,Base!$A$5:$A$509,"001",Base!$F$5:$F$509,"2699927")</f>
        <v>123816.0</v>
      </c>
      <c r="M49" s="7">
        <f>D49-E49-L49</f>
        <v>1604313.0</v>
      </c>
      <c r="N49" s="6" t="s">
        <v>63</v>
      </c>
    </row>
    <row r="50" spans="1:14">
      <c r="A50" s="18">
        <v>44</v>
      </c>
      <c r="B50" s="18" t="s">
        <v>1677</v>
      </c>
      <c r="C50" s="6" t="s">
        <v>1356</v>
      </c>
      <c r="D50" s="6" t="s">
        <v>69</v>
      </c>
      <c r="E50" s="6" t="s">
        <v>69</v>
      </c>
      <c r="F50" s="7">
        <f>INDEX('Rubro por CUI'!$E$5:$E$460,MATCH("001|2695768",'Rubro por CUI'!$N$5:$N$460,0))</f>
        <v>0.0</v>
      </c>
      <c r="G50" s="7">
        <f>INDEX('Rubro por CUI'!$F$5:$F$460,MATCH("001|2695768",'Rubro por CUI'!$N$5:$N$460,0))</f>
        <v>0.0</v>
      </c>
      <c r="H50" s="7">
        <f>INDEX('Rubro por CUI'!$G$5:$G$460,MATCH("001|2695768",'Rubro por CUI'!$N$5:$N$460,0))</f>
        <v>114255.0</v>
      </c>
      <c r="I50" s="7">
        <f>INDEX('Rubro por CUI'!$H$5:$H$460,MATCH("001|2695768",'Rubro por CUI'!$N$5:$N$460,0))</f>
        <v>0.0</v>
      </c>
      <c r="J50" s="7">
        <f>INDEX('Rubro por CUI'!$I$5:$I$460,MATCH("001|2695768",'Rubro por CUI'!$N$5:$N$460,0))</f>
        <v>0.0</v>
      </c>
      <c r="K50" s="7">
        <f>L50-SUM(F50:J50)</f>
        <v>0.0</v>
      </c>
      <c r="L50" s="7">
        <f>SUMIFS(Base!$I$5:$I$509,Base!$A$5:$A$509,"001",Base!$F$5:$F$509,"2695768")</f>
        <v>114255.0</v>
      </c>
      <c r="M50" s="6" t="s">
        <v>69</v>
      </c>
      <c r="N50" s="6" t="s">
        <v>1634</v>
      </c>
    </row>
    <row r="51" spans="1:14">
      <c r="A51" s="18">
        <v>45</v>
      </c>
      <c r="B51" s="18" t="s">
        <v>1678</v>
      </c>
      <c r="C51" s="6" t="s">
        <v>633</v>
      </c>
      <c r="D51" s="23">
        <v>45907158</v>
      </c>
      <c r="E51" s="23">
        <v>9919</v>
      </c>
      <c r="F51" s="7">
        <f>INDEX('Rubro por CUI'!$E$5:$E$460,MATCH("001|2578405",'Rubro por CUI'!$N$5:$N$460,0))</f>
        <v>0.0</v>
      </c>
      <c r="G51" s="7">
        <f>INDEX('Rubro por CUI'!$F$5:$F$460,MATCH("001|2578405",'Rubro por CUI'!$N$5:$N$460,0))</f>
        <v>0.0</v>
      </c>
      <c r="H51" s="7">
        <f>INDEX('Rubro por CUI'!$G$5:$G$460,MATCH("001|2578405",'Rubro por CUI'!$N$5:$N$460,0))</f>
        <v>100000.0</v>
      </c>
      <c r="I51" s="7">
        <f>INDEX('Rubro por CUI'!$H$5:$H$460,MATCH("001|2578405",'Rubro por CUI'!$N$5:$N$460,0))</f>
        <v>0.0</v>
      </c>
      <c r="J51" s="7">
        <f>INDEX('Rubro por CUI'!$I$5:$I$460,MATCH("001|2578405",'Rubro por CUI'!$N$5:$N$460,0))</f>
        <v>0.0</v>
      </c>
      <c r="K51" s="7">
        <f>L51-SUM(F51:J51)</f>
        <v>0.0</v>
      </c>
      <c r="L51" s="7">
        <f>SUMIFS(Base!$I$5:$I$509,Base!$A$5:$A$509,"001",Base!$F$5:$F$509,"2578405")</f>
        <v>100000.0</v>
      </c>
      <c r="M51" s="7">
        <f>D51-E51-L51</f>
        <v>45797239.0</v>
      </c>
      <c r="N51" s="6" t="s">
        <v>63</v>
      </c>
    </row>
    <row r="52" spans="1:14">
      <c r="A52" s="18">
        <v>46</v>
      </c>
      <c r="B52" s="18" t="s">
        <v>1679</v>
      </c>
      <c r="C52" s="6" t="s">
        <v>1444</v>
      </c>
      <c r="D52" s="23">
        <v>12824561</v>
      </c>
      <c r="E52" s="23">
        <v>0</v>
      </c>
      <c r="F52" s="7">
        <f>INDEX('Rubro por CUI'!$E$5:$E$460,MATCH("001|2681141",'Rubro por CUI'!$N$5:$N$460,0))</f>
        <v>0.0</v>
      </c>
      <c r="G52" s="7">
        <f>INDEX('Rubro por CUI'!$F$5:$F$460,MATCH("001|2681141",'Rubro por CUI'!$N$5:$N$460,0))</f>
        <v>0.0</v>
      </c>
      <c r="H52" s="7">
        <f>INDEX('Rubro por CUI'!$G$5:$G$460,MATCH("001|2681141",'Rubro por CUI'!$N$5:$N$460,0))</f>
        <v>0.0</v>
      </c>
      <c r="I52" s="7">
        <f>INDEX('Rubro por CUI'!$H$5:$H$460,MATCH("001|2681141",'Rubro por CUI'!$N$5:$N$460,0))</f>
        <v>100000.0</v>
      </c>
      <c r="J52" s="7">
        <f>INDEX('Rubro por CUI'!$I$5:$I$460,MATCH("001|2681141",'Rubro por CUI'!$N$5:$N$460,0))</f>
        <v>0.0</v>
      </c>
      <c r="K52" s="7">
        <f>L52-SUM(F52:J52)</f>
        <v>0.0</v>
      </c>
      <c r="L52" s="7">
        <f>SUMIFS(Base!$I$5:$I$509,Base!$A$5:$A$509,"001",Base!$F$5:$F$509,"2681141")</f>
        <v>100000.0</v>
      </c>
      <c r="M52" s="7">
        <f>D52-E52-L52</f>
        <v>12724561.0</v>
      </c>
      <c r="N52" s="6" t="s">
        <v>63</v>
      </c>
    </row>
    <row r="53" spans="1:14">
      <c r="A53" s="18">
        <v>47</v>
      </c>
      <c r="B53" s="18" t="s">
        <v>1680</v>
      </c>
      <c r="C53" s="6" t="s">
        <v>630</v>
      </c>
      <c r="D53" s="23">
        <v>28827777</v>
      </c>
      <c r="E53" s="23">
        <v>952971</v>
      </c>
      <c r="F53" s="7">
        <f>INDEX('Rubro por CUI'!$E$5:$E$460,MATCH("001|2570943",'Rubro por CUI'!$N$5:$N$460,0))</f>
        <v>0.0</v>
      </c>
      <c r="G53" s="7">
        <f>INDEX('Rubro por CUI'!$F$5:$F$460,MATCH("001|2570943",'Rubro por CUI'!$N$5:$N$460,0))</f>
        <v>0.0</v>
      </c>
      <c r="H53" s="7">
        <f>INDEX('Rubro por CUI'!$G$5:$G$460,MATCH("001|2570943",'Rubro por CUI'!$N$5:$N$460,0))</f>
        <v>82568.0</v>
      </c>
      <c r="I53" s="7">
        <f>INDEX('Rubro por CUI'!$H$5:$H$460,MATCH("001|2570943",'Rubro por CUI'!$N$5:$N$460,0))</f>
        <v>0.0</v>
      </c>
      <c r="J53" s="7">
        <f>INDEX('Rubro por CUI'!$I$5:$I$460,MATCH("001|2570943",'Rubro por CUI'!$N$5:$N$460,0))</f>
        <v>0.0</v>
      </c>
      <c r="K53" s="7">
        <f>L53-SUM(F53:J53)</f>
        <v>0.0</v>
      </c>
      <c r="L53" s="7">
        <f>SUMIFS(Base!$I$5:$I$509,Base!$A$5:$A$509,"001",Base!$F$5:$F$509,"2570943")</f>
        <v>82568.0</v>
      </c>
      <c r="M53" s="7">
        <f>D53-E53-L53</f>
        <v>27792238.0</v>
      </c>
      <c r="N53" s="6" t="s">
        <v>63</v>
      </c>
    </row>
    <row r="54" spans="1:14">
      <c r="A54" s="18">
        <v>48</v>
      </c>
      <c r="B54" s="18" t="s">
        <v>1681</v>
      </c>
      <c r="C54" s="6" t="s">
        <v>664</v>
      </c>
      <c r="D54" s="23">
        <v>2982411</v>
      </c>
      <c r="E54" s="23">
        <v>193359</v>
      </c>
      <c r="F54" s="7">
        <f>INDEX('Rubro por CUI'!$E$5:$E$460,MATCH("001|2649780",'Rubro por CUI'!$N$5:$N$460,0))</f>
        <v>0.0</v>
      </c>
      <c r="G54" s="7">
        <f>INDEX('Rubro por CUI'!$F$5:$F$460,MATCH("001|2649780",'Rubro por CUI'!$N$5:$N$460,0))</f>
        <v>0.0</v>
      </c>
      <c r="H54" s="7">
        <f>INDEX('Rubro por CUI'!$G$5:$G$460,MATCH("001|2649780",'Rubro por CUI'!$N$5:$N$460,0))</f>
        <v>82042.0</v>
      </c>
      <c r="I54" s="7">
        <f>INDEX('Rubro por CUI'!$H$5:$H$460,MATCH("001|2649780",'Rubro por CUI'!$N$5:$N$460,0))</f>
        <v>0.0</v>
      </c>
      <c r="J54" s="7">
        <f>INDEX('Rubro por CUI'!$I$5:$I$460,MATCH("001|2649780",'Rubro por CUI'!$N$5:$N$460,0))</f>
        <v>0.0</v>
      </c>
      <c r="K54" s="7">
        <f>L54-SUM(F54:J54)</f>
        <v>0.0</v>
      </c>
      <c r="L54" s="7">
        <f>SUMIFS(Base!$I$5:$I$509,Base!$A$5:$A$509,"001",Base!$F$5:$F$509,"2649780")</f>
        <v>82042.0</v>
      </c>
      <c r="M54" s="7">
        <f>D54-E54-L54</f>
        <v>2707010.0</v>
      </c>
      <c r="N54" s="6" t="s">
        <v>63</v>
      </c>
    </row>
    <row r="55" spans="1:14">
      <c r="A55" s="18">
        <v>49</v>
      </c>
      <c r="B55" s="18" t="s">
        <v>1682</v>
      </c>
      <c r="C55" s="6" t="s">
        <v>1346</v>
      </c>
      <c r="D55" s="6" t="s">
        <v>69</v>
      </c>
      <c r="E55" s="6" t="s">
        <v>69</v>
      </c>
      <c r="F55" s="7">
        <f>INDEX('Rubro por CUI'!$E$5:$E$460,MATCH("001|2707256",'Rubro por CUI'!$N$5:$N$460,0))</f>
        <v>0.0</v>
      </c>
      <c r="G55" s="7">
        <f>INDEX('Rubro por CUI'!$F$5:$F$460,MATCH("001|2707256",'Rubro por CUI'!$N$5:$N$460,0))</f>
        <v>0.0</v>
      </c>
      <c r="H55" s="7">
        <f>INDEX('Rubro por CUI'!$G$5:$G$460,MATCH("001|2707256",'Rubro por CUI'!$N$5:$N$460,0))</f>
        <v>80738.0</v>
      </c>
      <c r="I55" s="7">
        <f>INDEX('Rubro por CUI'!$H$5:$H$460,MATCH("001|2707256",'Rubro por CUI'!$N$5:$N$460,0))</f>
        <v>0.0</v>
      </c>
      <c r="J55" s="7">
        <f>INDEX('Rubro por CUI'!$I$5:$I$460,MATCH("001|2707256",'Rubro por CUI'!$N$5:$N$460,0))</f>
        <v>0.0</v>
      </c>
      <c r="K55" s="7">
        <f>L55-SUM(F55:J55)</f>
        <v>0.0</v>
      </c>
      <c r="L55" s="7">
        <f>SUMIFS(Base!$I$5:$I$509,Base!$A$5:$A$509,"001",Base!$F$5:$F$509,"2707256")</f>
        <v>80738.0</v>
      </c>
      <c r="M55" s="6" t="s">
        <v>69</v>
      </c>
      <c r="N55" s="6" t="s">
        <v>1634</v>
      </c>
    </row>
    <row r="56" spans="1:14">
      <c r="A56" s="18">
        <v>50</v>
      </c>
      <c r="B56" s="18" t="s">
        <v>1683</v>
      </c>
      <c r="C56" s="6" t="s">
        <v>670</v>
      </c>
      <c r="D56" s="23">
        <v>2951562</v>
      </c>
      <c r="E56" s="23">
        <v>172240</v>
      </c>
      <c r="F56" s="7">
        <f>INDEX('Rubro por CUI'!$E$5:$E$460,MATCH("001|2649786",'Rubro por CUI'!$N$5:$N$460,0))</f>
        <v>0.0</v>
      </c>
      <c r="G56" s="7">
        <f>INDEX('Rubro por CUI'!$F$5:$F$460,MATCH("001|2649786",'Rubro por CUI'!$N$5:$N$460,0))</f>
        <v>0.0</v>
      </c>
      <c r="H56" s="7">
        <f>INDEX('Rubro por CUI'!$G$5:$G$460,MATCH("001|2649786",'Rubro por CUI'!$N$5:$N$460,0))</f>
        <v>72190.0</v>
      </c>
      <c r="I56" s="7">
        <f>INDEX('Rubro por CUI'!$H$5:$H$460,MATCH("001|2649786",'Rubro por CUI'!$N$5:$N$460,0))</f>
        <v>0.0</v>
      </c>
      <c r="J56" s="7">
        <f>INDEX('Rubro por CUI'!$I$5:$I$460,MATCH("001|2649786",'Rubro por CUI'!$N$5:$N$460,0))</f>
        <v>0.0</v>
      </c>
      <c r="K56" s="7">
        <f>L56-SUM(F56:J56)</f>
        <v>0.0</v>
      </c>
      <c r="L56" s="7">
        <f>SUMIFS(Base!$I$5:$I$509,Base!$A$5:$A$509,"001",Base!$F$5:$F$509,"2649786")</f>
        <v>72190.0</v>
      </c>
      <c r="M56" s="7">
        <f>D56-E56-L56</f>
        <v>2707132.0</v>
      </c>
      <c r="N56" s="6" t="s">
        <v>63</v>
      </c>
    </row>
    <row r="57" spans="1:14">
      <c r="A57" s="18">
        <v>51</v>
      </c>
      <c r="B57" s="18" t="s">
        <v>1684</v>
      </c>
      <c r="C57" s="6" t="s">
        <v>673</v>
      </c>
      <c r="D57" s="23">
        <v>2972555</v>
      </c>
      <c r="E57" s="23">
        <v>213553</v>
      </c>
      <c r="F57" s="7">
        <f>INDEX('Rubro por CUI'!$E$5:$E$460,MATCH("001|2649788",'Rubro por CUI'!$N$5:$N$460,0))</f>
        <v>0.0</v>
      </c>
      <c r="G57" s="7">
        <f>INDEX('Rubro por CUI'!$F$5:$F$460,MATCH("001|2649788",'Rubro por CUI'!$N$5:$N$460,0))</f>
        <v>0.0</v>
      </c>
      <c r="H57" s="7">
        <f>INDEX('Rubro por CUI'!$G$5:$G$460,MATCH("001|2649788",'Rubro por CUI'!$N$5:$N$460,0))</f>
        <v>69837.0</v>
      </c>
      <c r="I57" s="7">
        <f>INDEX('Rubro por CUI'!$H$5:$H$460,MATCH("001|2649788",'Rubro por CUI'!$N$5:$N$460,0))</f>
        <v>0.0</v>
      </c>
      <c r="J57" s="7">
        <f>INDEX('Rubro por CUI'!$I$5:$I$460,MATCH("001|2649788",'Rubro por CUI'!$N$5:$N$460,0))</f>
        <v>0.0</v>
      </c>
      <c r="K57" s="7">
        <f>L57-SUM(F57:J57)</f>
        <v>0.0</v>
      </c>
      <c r="L57" s="7">
        <f>SUMIFS(Base!$I$5:$I$509,Base!$A$5:$A$509,"001",Base!$F$5:$F$509,"2649788")</f>
        <v>69837.0</v>
      </c>
      <c r="M57" s="7">
        <f>D57-E57-L57</f>
        <v>2689165.0</v>
      </c>
      <c r="N57" s="6" t="s">
        <v>63</v>
      </c>
    </row>
    <row r="58" spans="1:14">
      <c r="A58" s="18">
        <v>52</v>
      </c>
      <c r="B58" s="18" t="s">
        <v>1685</v>
      </c>
      <c r="C58" s="6" t="s">
        <v>658</v>
      </c>
      <c r="D58" s="23">
        <v>2781791</v>
      </c>
      <c r="E58" s="23">
        <v>180556</v>
      </c>
      <c r="F58" s="7">
        <f>INDEX('Rubro por CUI'!$E$5:$E$460,MATCH("001|2649778",'Rubro por CUI'!$N$5:$N$460,0))</f>
        <v>0.0</v>
      </c>
      <c r="G58" s="7">
        <f>INDEX('Rubro por CUI'!$F$5:$F$460,MATCH("001|2649778",'Rubro por CUI'!$N$5:$N$460,0))</f>
        <v>0.0</v>
      </c>
      <c r="H58" s="7">
        <f>INDEX('Rubro por CUI'!$G$5:$G$460,MATCH("001|2649778",'Rubro por CUI'!$N$5:$N$460,0))</f>
        <v>50000.0</v>
      </c>
      <c r="I58" s="7">
        <f>INDEX('Rubro por CUI'!$H$5:$H$460,MATCH("001|2649778",'Rubro por CUI'!$N$5:$N$460,0))</f>
        <v>0.0</v>
      </c>
      <c r="J58" s="7">
        <f>INDEX('Rubro por CUI'!$I$5:$I$460,MATCH("001|2649778",'Rubro por CUI'!$N$5:$N$460,0))</f>
        <v>0.0</v>
      </c>
      <c r="K58" s="7">
        <f>L58-SUM(F58:J58)</f>
        <v>0.0</v>
      </c>
      <c r="L58" s="7">
        <f>SUMIFS(Base!$I$5:$I$509,Base!$A$5:$A$509,"001",Base!$F$5:$F$509,"2649778")</f>
        <v>50000.0</v>
      </c>
      <c r="M58" s="7">
        <f>D58-E58-L58</f>
        <v>2551235.0</v>
      </c>
      <c r="N58" s="6" t="s">
        <v>63</v>
      </c>
    </row>
    <row r="59" spans="1:14">
      <c r="A59" s="18">
        <v>53</v>
      </c>
      <c r="B59" s="18" t="s">
        <v>1686</v>
      </c>
      <c r="C59" s="6" t="s">
        <v>676</v>
      </c>
      <c r="D59" s="23">
        <v>2938428</v>
      </c>
      <c r="E59" s="23">
        <v>217701</v>
      </c>
      <c r="F59" s="7">
        <f>INDEX('Rubro por CUI'!$E$5:$E$460,MATCH("001|2649789",'Rubro por CUI'!$N$5:$N$460,0))</f>
        <v>0.0</v>
      </c>
      <c r="G59" s="7">
        <f>INDEX('Rubro por CUI'!$F$5:$F$460,MATCH("001|2649789",'Rubro por CUI'!$N$5:$N$460,0))</f>
        <v>0.0</v>
      </c>
      <c r="H59" s="7">
        <f>INDEX('Rubro por CUI'!$G$5:$G$460,MATCH("001|2649789",'Rubro por CUI'!$N$5:$N$460,0))</f>
        <v>50000.0</v>
      </c>
      <c r="I59" s="7">
        <f>INDEX('Rubro por CUI'!$H$5:$H$460,MATCH("001|2649789",'Rubro por CUI'!$N$5:$N$460,0))</f>
        <v>0.0</v>
      </c>
      <c r="J59" s="7">
        <f>INDEX('Rubro por CUI'!$I$5:$I$460,MATCH("001|2649789",'Rubro por CUI'!$N$5:$N$460,0))</f>
        <v>0.0</v>
      </c>
      <c r="K59" s="7">
        <f>L59-SUM(F59:J59)</f>
        <v>0.0</v>
      </c>
      <c r="L59" s="7">
        <f>SUMIFS(Base!$I$5:$I$509,Base!$A$5:$A$509,"001",Base!$F$5:$F$509,"2649789")</f>
        <v>50000.0</v>
      </c>
      <c r="M59" s="7">
        <f>D59-E59-L59</f>
        <v>2670727.0</v>
      </c>
      <c r="N59" s="6" t="s">
        <v>63</v>
      </c>
    </row>
    <row r="60" spans="1:14">
      <c r="A60" s="18">
        <v>54</v>
      </c>
      <c r="B60" s="18" t="s">
        <v>1687</v>
      </c>
      <c r="C60" s="6" t="s">
        <v>1362</v>
      </c>
      <c r="D60" s="6" t="s">
        <v>69</v>
      </c>
      <c r="E60" s="6" t="s">
        <v>69</v>
      </c>
      <c r="F60" s="7">
        <f>INDEX('Rubro por CUI'!$E$5:$E$460,MATCH("001|2694772",'Rubro por CUI'!$N$5:$N$460,0))</f>
        <v>0.0</v>
      </c>
      <c r="G60" s="7">
        <f>INDEX('Rubro por CUI'!$F$5:$F$460,MATCH("001|2694772",'Rubro por CUI'!$N$5:$N$460,0))</f>
        <v>0.0</v>
      </c>
      <c r="H60" s="7">
        <f>INDEX('Rubro por CUI'!$G$5:$G$460,MATCH("001|2694772",'Rubro por CUI'!$N$5:$N$460,0))</f>
        <v>39485.0</v>
      </c>
      <c r="I60" s="7">
        <f>INDEX('Rubro por CUI'!$H$5:$H$460,MATCH("001|2694772",'Rubro por CUI'!$N$5:$N$460,0))</f>
        <v>0.0</v>
      </c>
      <c r="J60" s="7">
        <f>INDEX('Rubro por CUI'!$I$5:$I$460,MATCH("001|2694772",'Rubro por CUI'!$N$5:$N$460,0))</f>
        <v>0.0</v>
      </c>
      <c r="K60" s="7">
        <f>L60-SUM(F60:J60)</f>
        <v>0.0</v>
      </c>
      <c r="L60" s="7">
        <f>SUMIFS(Base!$I$5:$I$509,Base!$A$5:$A$509,"001",Base!$F$5:$F$509,"2694772")</f>
        <v>39485.0</v>
      </c>
      <c r="M60" s="6" t="s">
        <v>69</v>
      </c>
      <c r="N60" s="6" t="s">
        <v>1634</v>
      </c>
    </row>
    <row r="61" spans="1:14">
      <c r="A61" s="18">
        <v>55</v>
      </c>
      <c r="B61" s="18" t="s">
        <v>1688</v>
      </c>
      <c r="C61" s="6" t="s">
        <v>1359</v>
      </c>
      <c r="D61" s="6" t="s">
        <v>69</v>
      </c>
      <c r="E61" s="6" t="s">
        <v>69</v>
      </c>
      <c r="F61" s="7">
        <f>INDEX('Rubro por CUI'!$E$5:$E$460,MATCH("001|2694640",'Rubro por CUI'!$N$5:$N$460,0))</f>
        <v>0.0</v>
      </c>
      <c r="G61" s="7">
        <f>INDEX('Rubro por CUI'!$F$5:$F$460,MATCH("001|2694640",'Rubro por CUI'!$N$5:$N$460,0))</f>
        <v>0.0</v>
      </c>
      <c r="H61" s="7">
        <f>INDEX('Rubro por CUI'!$G$5:$G$460,MATCH("001|2694640",'Rubro por CUI'!$N$5:$N$460,0))</f>
        <v>36445.0</v>
      </c>
      <c r="I61" s="7">
        <f>INDEX('Rubro por CUI'!$H$5:$H$460,MATCH("001|2694640",'Rubro por CUI'!$N$5:$N$460,0))</f>
        <v>0.0</v>
      </c>
      <c r="J61" s="7">
        <f>INDEX('Rubro por CUI'!$I$5:$I$460,MATCH("001|2694640",'Rubro por CUI'!$N$5:$N$460,0))</f>
        <v>0.0</v>
      </c>
      <c r="K61" s="7">
        <f>L61-SUM(F61:J61)</f>
        <v>0.0</v>
      </c>
      <c r="L61" s="7">
        <f>SUMIFS(Base!$I$5:$I$509,Base!$A$5:$A$509,"001",Base!$F$5:$F$509,"2694640")</f>
        <v>36445.0</v>
      </c>
      <c r="M61" s="6" t="s">
        <v>69</v>
      </c>
      <c r="N61" s="6" t="s">
        <v>1634</v>
      </c>
    </row>
    <row r="62" spans="1:14">
      <c r="A62" s="18">
        <v>56</v>
      </c>
      <c r="B62" s="18" t="s">
        <v>1689</v>
      </c>
      <c r="C62" s="6" t="s">
        <v>1310</v>
      </c>
      <c r="D62" s="23">
        <v>7847467</v>
      </c>
      <c r="E62" s="23">
        <v>25099</v>
      </c>
      <c r="F62" s="7">
        <f>INDEX('Rubro por CUI'!$E$5:$E$460,MATCH("001|2684028",'Rubro por CUI'!$N$5:$N$460,0))</f>
        <v>0.0</v>
      </c>
      <c r="G62" s="7">
        <f>INDEX('Rubro por CUI'!$F$5:$F$460,MATCH("001|2684028",'Rubro por CUI'!$N$5:$N$460,0))</f>
        <v>0.0</v>
      </c>
      <c r="H62" s="7">
        <f>INDEX('Rubro por CUI'!$G$5:$G$460,MATCH("001|2684028",'Rubro por CUI'!$N$5:$N$460,0))</f>
        <v>31336.0</v>
      </c>
      <c r="I62" s="7">
        <f>INDEX('Rubro por CUI'!$H$5:$H$460,MATCH("001|2684028",'Rubro por CUI'!$N$5:$N$460,0))</f>
        <v>0.0</v>
      </c>
      <c r="J62" s="7">
        <f>INDEX('Rubro por CUI'!$I$5:$I$460,MATCH("001|2684028",'Rubro por CUI'!$N$5:$N$460,0))</f>
        <v>0.0</v>
      </c>
      <c r="K62" s="7">
        <f>L62-SUM(F62:J62)</f>
        <v>0.0</v>
      </c>
      <c r="L62" s="7">
        <f>SUMIFS(Base!$I$5:$I$509,Base!$A$5:$A$509,"001",Base!$F$5:$F$509,"2684028")</f>
        <v>31336.0</v>
      </c>
      <c r="M62" s="7">
        <f>D62-E62-L62</f>
        <v>7791032.0</v>
      </c>
      <c r="N62" s="6" t="s">
        <v>63</v>
      </c>
    </row>
    <row r="63" spans="1:14">
      <c r="A63" s="18">
        <v>57</v>
      </c>
      <c r="B63" s="18" t="s">
        <v>1690</v>
      </c>
      <c r="C63" s="6" t="s">
        <v>1365</v>
      </c>
      <c r="D63" s="6" t="s">
        <v>69</v>
      </c>
      <c r="E63" s="6" t="s">
        <v>69</v>
      </c>
      <c r="F63" s="7">
        <f>INDEX('Rubro por CUI'!$E$5:$E$460,MATCH("001|2733644",'Rubro por CUI'!$N$5:$N$460,0))</f>
        <v>0.0</v>
      </c>
      <c r="G63" s="7">
        <f>INDEX('Rubro por CUI'!$F$5:$F$460,MATCH("001|2733644",'Rubro por CUI'!$N$5:$N$460,0))</f>
        <v>0.0</v>
      </c>
      <c r="H63" s="7">
        <f>INDEX('Rubro por CUI'!$G$5:$G$460,MATCH("001|2733644",'Rubro por CUI'!$N$5:$N$460,0))</f>
        <v>25610.0</v>
      </c>
      <c r="I63" s="7">
        <f>INDEX('Rubro por CUI'!$H$5:$H$460,MATCH("001|2733644",'Rubro por CUI'!$N$5:$N$460,0))</f>
        <v>0.0</v>
      </c>
      <c r="J63" s="7">
        <f>INDEX('Rubro por CUI'!$I$5:$I$460,MATCH("001|2733644",'Rubro por CUI'!$N$5:$N$460,0))</f>
        <v>0.0</v>
      </c>
      <c r="K63" s="7">
        <f>L63-SUM(F63:J63)</f>
        <v>0.0</v>
      </c>
      <c r="L63" s="7">
        <f>SUMIFS(Base!$I$5:$I$509,Base!$A$5:$A$509,"001",Base!$F$5:$F$509,"2733644")</f>
        <v>25610.0</v>
      </c>
      <c r="M63" s="6" t="s">
        <v>69</v>
      </c>
      <c r="N63" s="6" t="s">
        <v>1634</v>
      </c>
    </row>
    <row r="64" spans="1:14">
      <c r="A64" s="18">
        <v>58</v>
      </c>
      <c r="B64" s="18" t="s">
        <v>1691</v>
      </c>
      <c r="C64" s="6" t="s">
        <v>1301</v>
      </c>
      <c r="D64" s="23">
        <v>5257013</v>
      </c>
      <c r="E64" s="23">
        <v>5071855</v>
      </c>
      <c r="F64" s="7">
        <f>INDEX('Rubro por CUI'!$E$5:$E$460,MATCH("001|2567375",'Rubro por CUI'!$N$5:$N$460,0))</f>
        <v>0.0</v>
      </c>
      <c r="G64" s="7">
        <f>INDEX('Rubro por CUI'!$F$5:$F$460,MATCH("001|2567375",'Rubro por CUI'!$N$5:$N$460,0))</f>
        <v>0.0</v>
      </c>
      <c r="H64" s="7">
        <f>INDEX('Rubro por CUI'!$G$5:$G$460,MATCH("001|2567375",'Rubro por CUI'!$N$5:$N$460,0))</f>
        <v>20600.0</v>
      </c>
      <c r="I64" s="7">
        <f>INDEX('Rubro por CUI'!$H$5:$H$460,MATCH("001|2567375",'Rubro por CUI'!$N$5:$N$460,0))</f>
        <v>0.0</v>
      </c>
      <c r="J64" s="7">
        <f>INDEX('Rubro por CUI'!$I$5:$I$460,MATCH("001|2567375",'Rubro por CUI'!$N$5:$N$460,0))</f>
        <v>0.0</v>
      </c>
      <c r="K64" s="7">
        <f>L64-SUM(F64:J64)</f>
        <v>0.0</v>
      </c>
      <c r="L64" s="7">
        <f>SUMIFS(Base!$I$5:$I$509,Base!$A$5:$A$509,"001",Base!$F$5:$F$509,"2567375")</f>
        <v>20600.0</v>
      </c>
      <c r="M64" s="7">
        <f>D64-E64-L64</f>
        <v>164558.0</v>
      </c>
      <c r="N64" s="6" t="s">
        <v>63</v>
      </c>
    </row>
    <row r="65" spans="1:14">
      <c r="A65" s="18">
        <v>59</v>
      </c>
      <c r="B65" s="18" t="s">
        <v>1692</v>
      </c>
      <c r="C65" s="6" t="s">
        <v>1350</v>
      </c>
      <c r="D65" s="23">
        <v>443418</v>
      </c>
      <c r="E65" s="23">
        <v>416404</v>
      </c>
      <c r="F65" s="7">
        <f>INDEX('Rubro por CUI'!$E$5:$E$460,MATCH("001|2531093",'Rubro por CUI'!$N$5:$N$460,0))</f>
        <v>0.0</v>
      </c>
      <c r="G65" s="7">
        <f>INDEX('Rubro por CUI'!$F$5:$F$460,MATCH("001|2531093",'Rubro por CUI'!$N$5:$N$460,0))</f>
        <v>0.0</v>
      </c>
      <c r="H65" s="7">
        <f>INDEX('Rubro por CUI'!$G$5:$G$460,MATCH("001|2531093",'Rubro por CUI'!$N$5:$N$460,0))</f>
        <v>13758.0</v>
      </c>
      <c r="I65" s="7">
        <f>INDEX('Rubro por CUI'!$H$5:$H$460,MATCH("001|2531093",'Rubro por CUI'!$N$5:$N$460,0))</f>
        <v>0.0</v>
      </c>
      <c r="J65" s="7">
        <f>INDEX('Rubro por CUI'!$I$5:$I$460,MATCH("001|2531093",'Rubro por CUI'!$N$5:$N$460,0))</f>
        <v>0.0</v>
      </c>
      <c r="K65" s="7">
        <f>L65-SUM(F65:J65)</f>
        <v>0.0</v>
      </c>
      <c r="L65" s="7">
        <f>SUMIFS(Base!$I$5:$I$509,Base!$A$5:$A$509,"001",Base!$F$5:$F$509,"2531093")</f>
        <v>13758.0</v>
      </c>
      <c r="M65" s="7">
        <f>D65-E65-L65</f>
        <v>13256.0</v>
      </c>
      <c r="N65" s="6" t="s">
        <v>63</v>
      </c>
    </row>
    <row r="66" spans="1:14">
      <c r="A66" s="18">
        <v>60</v>
      </c>
      <c r="B66" s="18" t="s">
        <v>1693</v>
      </c>
      <c r="C66" s="6" t="s">
        <v>1353</v>
      </c>
      <c r="D66" s="23">
        <v>5554650</v>
      </c>
      <c r="E66" s="23">
        <v>5516737</v>
      </c>
      <c r="F66" s="7">
        <f>INDEX('Rubro por CUI'!$E$5:$E$460,MATCH("001|2639523",'Rubro por CUI'!$N$5:$N$460,0))</f>
        <v>0.0</v>
      </c>
      <c r="G66" s="7">
        <f>INDEX('Rubro por CUI'!$F$5:$F$460,MATCH("001|2639523",'Rubro por CUI'!$N$5:$N$460,0))</f>
        <v>0.0</v>
      </c>
      <c r="H66" s="7">
        <f>INDEX('Rubro por CUI'!$G$5:$G$460,MATCH("001|2639523",'Rubro por CUI'!$N$5:$N$460,0))</f>
        <v>10277.0</v>
      </c>
      <c r="I66" s="7">
        <f>INDEX('Rubro por CUI'!$H$5:$H$460,MATCH("001|2639523",'Rubro por CUI'!$N$5:$N$460,0))</f>
        <v>0.0</v>
      </c>
      <c r="J66" s="7">
        <f>INDEX('Rubro por CUI'!$I$5:$I$460,MATCH("001|2639523",'Rubro por CUI'!$N$5:$N$460,0))</f>
        <v>0.0</v>
      </c>
      <c r="K66" s="7">
        <f>L66-SUM(F66:J66)</f>
        <v>0.0</v>
      </c>
      <c r="L66" s="7">
        <f>SUMIFS(Base!$I$5:$I$509,Base!$A$5:$A$509,"001",Base!$F$5:$F$509,"2639523")</f>
        <v>10277.0</v>
      </c>
      <c r="M66" s="7">
        <f>D66-E66-L66</f>
        <v>27636.0</v>
      </c>
      <c r="N66" s="6" t="s">
        <v>63</v>
      </c>
    </row>
    <row r="67" spans="1:14">
      <c r="A67" s="18">
        <v>61</v>
      </c>
      <c r="B67" s="18" t="s">
        <v>1694</v>
      </c>
      <c r="C67" s="6" t="s">
        <v>304</v>
      </c>
      <c r="D67" s="23">
        <v>46367641</v>
      </c>
      <c r="E67" s="23">
        <v>1709482</v>
      </c>
      <c r="F67" s="7">
        <f>INDEX('Rubro por CUI'!$E$5:$E$460,MATCH("001|2451529",'Rubro por CUI'!$N$5:$N$460,0))</f>
        <v>0.0</v>
      </c>
      <c r="G67" s="7">
        <f>INDEX('Rubro por CUI'!$F$5:$F$460,MATCH("001|2451529",'Rubro por CUI'!$N$5:$N$460,0))</f>
        <v>0.0</v>
      </c>
      <c r="H67" s="7">
        <f>INDEX('Rubro por CUI'!$G$5:$G$460,MATCH("001|2451529",'Rubro por CUI'!$N$5:$N$460,0))</f>
        <v>0.0</v>
      </c>
      <c r="I67" s="7">
        <f>INDEX('Rubro por CUI'!$H$5:$H$460,MATCH("001|2451529",'Rubro por CUI'!$N$5:$N$460,0))</f>
        <v>0.0</v>
      </c>
      <c r="J67" s="7">
        <f>INDEX('Rubro por CUI'!$I$5:$I$460,MATCH("001|2451529",'Rubro por CUI'!$N$5:$N$460,0))</f>
        <v>0.0</v>
      </c>
      <c r="K67" s="7">
        <f>L67-SUM(F67:J67)</f>
        <v>0.0</v>
      </c>
      <c r="L67" s="7">
        <f>SUMIFS(Base!$I$5:$I$509,Base!$A$5:$A$509,"001",Base!$F$5:$F$509,"2451529")</f>
        <v>0.0</v>
      </c>
      <c r="M67" s="7">
        <f>D67-E67-L67</f>
        <v>44658159.0</v>
      </c>
      <c r="N67" s="6" t="s">
        <v>63</v>
      </c>
    </row>
    <row r="68" spans="1:14">
      <c r="A68" s="18">
        <v>62</v>
      </c>
      <c r="B68" s="18" t="s">
        <v>1695</v>
      </c>
      <c r="C68" s="6" t="s">
        <v>487</v>
      </c>
      <c r="D68" s="6" t="s">
        <v>69</v>
      </c>
      <c r="E68" s="6" t="s">
        <v>69</v>
      </c>
      <c r="F68" s="7">
        <f>INDEX('Rubro por CUI'!$E$5:$E$460,MATCH("001|2719323",'Rubro por CUI'!$N$5:$N$460,0))</f>
        <v>0.0</v>
      </c>
      <c r="G68" s="7">
        <f>INDEX('Rubro por CUI'!$F$5:$F$460,MATCH("001|2719323",'Rubro por CUI'!$N$5:$N$460,0))</f>
        <v>0.0</v>
      </c>
      <c r="H68" s="7">
        <f>INDEX('Rubro por CUI'!$G$5:$G$460,MATCH("001|2719323",'Rubro por CUI'!$N$5:$N$460,0))</f>
        <v>0.0</v>
      </c>
      <c r="I68" s="7">
        <f>INDEX('Rubro por CUI'!$H$5:$H$460,MATCH("001|2719323",'Rubro por CUI'!$N$5:$N$460,0))</f>
        <v>0.0</v>
      </c>
      <c r="J68" s="7">
        <f>INDEX('Rubro por CUI'!$I$5:$I$460,MATCH("001|2719323",'Rubro por CUI'!$N$5:$N$460,0))</f>
        <v>0.0</v>
      </c>
      <c r="K68" s="7">
        <f>L68-SUM(F68:J68)</f>
        <v>0.0</v>
      </c>
      <c r="L68" s="7">
        <f>SUMIFS(Base!$I$5:$I$509,Base!$A$5:$A$509,"001",Base!$F$5:$F$509,"2719323")</f>
        <v>0.0</v>
      </c>
      <c r="M68" s="6" t="s">
        <v>69</v>
      </c>
      <c r="N68" s="6" t="s">
        <v>1634</v>
      </c>
    </row>
    <row r="69" spans="1:14">
      <c r="A69" s="18">
        <v>63</v>
      </c>
      <c r="B69" s="18" t="s">
        <v>1696</v>
      </c>
      <c r="C69" s="6" t="s">
        <v>618</v>
      </c>
      <c r="D69" s="23">
        <v>237836345</v>
      </c>
      <c r="E69" s="23">
        <v>1660119</v>
      </c>
      <c r="F69" s="7">
        <f>INDEX('Rubro por CUI'!$E$5:$E$460,MATCH("001|2380088",'Rubro por CUI'!$N$5:$N$460,0))</f>
        <v>0.0</v>
      </c>
      <c r="G69" s="7">
        <f>INDEX('Rubro por CUI'!$F$5:$F$460,MATCH("001|2380088",'Rubro por CUI'!$N$5:$N$460,0))</f>
        <v>0.0</v>
      </c>
      <c r="H69" s="7">
        <f>INDEX('Rubro por CUI'!$G$5:$G$460,MATCH("001|2380088",'Rubro por CUI'!$N$5:$N$460,0))</f>
        <v>0.0</v>
      </c>
      <c r="I69" s="7">
        <f>INDEX('Rubro por CUI'!$H$5:$H$460,MATCH("001|2380088",'Rubro por CUI'!$N$5:$N$460,0))</f>
        <v>0.0</v>
      </c>
      <c r="J69" s="7">
        <f>INDEX('Rubro por CUI'!$I$5:$I$460,MATCH("001|2380088",'Rubro por CUI'!$N$5:$N$460,0))</f>
        <v>0.0</v>
      </c>
      <c r="K69" s="7">
        <f>L69-SUM(F69:J69)</f>
        <v>0.0</v>
      </c>
      <c r="L69" s="7">
        <f>SUMIFS(Base!$I$5:$I$509,Base!$A$5:$A$509,"001",Base!$F$5:$F$509,"2380088")</f>
        <v>0.0</v>
      </c>
      <c r="M69" s="7">
        <f>D69-E69-L69</f>
        <v>236176226.0</v>
      </c>
      <c r="N69" s="6" t="s">
        <v>63</v>
      </c>
    </row>
    <row r="70" spans="1:14">
      <c r="A70" s="18">
        <v>64</v>
      </c>
      <c r="B70" s="18" t="s">
        <v>1697</v>
      </c>
      <c r="C70" s="6" t="s">
        <v>636</v>
      </c>
      <c r="D70" s="23">
        <v>34839869</v>
      </c>
      <c r="E70" s="23">
        <v>0</v>
      </c>
      <c r="F70" s="7">
        <f>INDEX('Rubro por CUI'!$E$5:$E$460,MATCH("001|2585395",'Rubro por CUI'!$N$5:$N$460,0))</f>
        <v>0.0</v>
      </c>
      <c r="G70" s="7">
        <f>INDEX('Rubro por CUI'!$F$5:$F$460,MATCH("001|2585395",'Rubro por CUI'!$N$5:$N$460,0))</f>
        <v>0.0</v>
      </c>
      <c r="H70" s="7">
        <f>INDEX('Rubro por CUI'!$G$5:$G$460,MATCH("001|2585395",'Rubro por CUI'!$N$5:$N$460,0))</f>
        <v>0.0</v>
      </c>
      <c r="I70" s="7">
        <f>INDEX('Rubro por CUI'!$H$5:$H$460,MATCH("001|2585395",'Rubro por CUI'!$N$5:$N$460,0))</f>
        <v>0.0</v>
      </c>
      <c r="J70" s="7">
        <f>INDEX('Rubro por CUI'!$I$5:$I$460,MATCH("001|2585395",'Rubro por CUI'!$N$5:$N$460,0))</f>
        <v>0.0</v>
      </c>
      <c r="K70" s="7">
        <f>L70-SUM(F70:J70)</f>
        <v>0.0</v>
      </c>
      <c r="L70" s="7">
        <f>SUMIFS(Base!$I$5:$I$509,Base!$A$5:$A$509,"001",Base!$F$5:$F$509,"2585395")</f>
        <v>0.0</v>
      </c>
      <c r="M70" s="7">
        <f>D70-E70-L70</f>
        <v>34839869.0</v>
      </c>
      <c r="N70" s="6" t="s">
        <v>63</v>
      </c>
    </row>
    <row r="71" spans="1:14">
      <c r="A71" s="18">
        <v>65</v>
      </c>
      <c r="B71" s="18" t="s">
        <v>1698</v>
      </c>
      <c r="C71" s="6" t="s">
        <v>646</v>
      </c>
      <c r="D71" s="23">
        <v>40554510</v>
      </c>
      <c r="E71" s="23">
        <v>0</v>
      </c>
      <c r="F71" s="7">
        <f>INDEX('Rubro por CUI'!$E$5:$E$460,MATCH("001|2603161",'Rubro por CUI'!$N$5:$N$460,0))</f>
        <v>0.0</v>
      </c>
      <c r="G71" s="7">
        <f>INDEX('Rubro por CUI'!$F$5:$F$460,MATCH("001|2603161",'Rubro por CUI'!$N$5:$N$460,0))</f>
        <v>0.0</v>
      </c>
      <c r="H71" s="7">
        <f>INDEX('Rubro por CUI'!$G$5:$G$460,MATCH("001|2603161",'Rubro por CUI'!$N$5:$N$460,0))</f>
        <v>0.0</v>
      </c>
      <c r="I71" s="7">
        <f>INDEX('Rubro por CUI'!$H$5:$H$460,MATCH("001|2603161",'Rubro por CUI'!$N$5:$N$460,0))</f>
        <v>0.0</v>
      </c>
      <c r="J71" s="7">
        <f>INDEX('Rubro por CUI'!$I$5:$I$460,MATCH("001|2603161",'Rubro por CUI'!$N$5:$N$460,0))</f>
        <v>0.0</v>
      </c>
      <c r="K71" s="7">
        <f>L71-SUM(F71:J71)</f>
        <v>0.0</v>
      </c>
      <c r="L71" s="7">
        <f>SUMIFS(Base!$I$5:$I$509,Base!$A$5:$A$509,"001",Base!$F$5:$F$509,"2603161")</f>
        <v>0.0</v>
      </c>
      <c r="M71" s="7">
        <f>D71-E71-L71</f>
        <v>40554510.0</v>
      </c>
      <c r="N71" s="6" t="s">
        <v>63</v>
      </c>
    </row>
    <row r="72" spans="1:14">
      <c r="A72" s="18">
        <v>66</v>
      </c>
      <c r="B72" s="18" t="s">
        <v>1699</v>
      </c>
      <c r="C72" s="6" t="s">
        <v>655</v>
      </c>
      <c r="D72" s="23">
        <v>25288416</v>
      </c>
      <c r="E72" s="23">
        <v>0</v>
      </c>
      <c r="F72" s="7">
        <f>INDEX('Rubro por CUI'!$E$5:$E$460,MATCH("001|2632832",'Rubro por CUI'!$N$5:$N$460,0))</f>
        <v>0.0</v>
      </c>
      <c r="G72" s="7">
        <f>INDEX('Rubro por CUI'!$F$5:$F$460,MATCH("001|2632832",'Rubro por CUI'!$N$5:$N$460,0))</f>
        <v>0.0</v>
      </c>
      <c r="H72" s="7">
        <f>INDEX('Rubro por CUI'!$G$5:$G$460,MATCH("001|2632832",'Rubro por CUI'!$N$5:$N$460,0))</f>
        <v>0.0</v>
      </c>
      <c r="I72" s="7">
        <f>INDEX('Rubro por CUI'!$H$5:$H$460,MATCH("001|2632832",'Rubro por CUI'!$N$5:$N$460,0))</f>
        <v>0.0</v>
      </c>
      <c r="J72" s="7">
        <f>INDEX('Rubro por CUI'!$I$5:$I$460,MATCH("001|2632832",'Rubro por CUI'!$N$5:$N$460,0))</f>
        <v>0.0</v>
      </c>
      <c r="K72" s="7">
        <f>L72-SUM(F72:J72)</f>
        <v>0.0</v>
      </c>
      <c r="L72" s="7">
        <f>SUMIFS(Base!$I$5:$I$509,Base!$A$5:$A$509,"001",Base!$F$5:$F$509,"2632832")</f>
        <v>0.0</v>
      </c>
      <c r="M72" s="7">
        <f>D72-E72-L72</f>
        <v>25288416.0</v>
      </c>
      <c r="N72" s="6" t="s">
        <v>63</v>
      </c>
    </row>
    <row r="73" spans="1:14">
      <c r="A73" s="18">
        <v>67</v>
      </c>
      <c r="B73" s="18" t="s">
        <v>1700</v>
      </c>
      <c r="C73" s="6" t="s">
        <v>661</v>
      </c>
      <c r="D73" s="23">
        <v>2929159</v>
      </c>
      <c r="E73" s="23">
        <v>0</v>
      </c>
      <c r="F73" s="7">
        <f>INDEX('Rubro por CUI'!$E$5:$E$460,MATCH("001|2649779",'Rubro por CUI'!$N$5:$N$460,0))</f>
        <v>0.0</v>
      </c>
      <c r="G73" s="7">
        <f>INDEX('Rubro por CUI'!$F$5:$F$460,MATCH("001|2649779",'Rubro por CUI'!$N$5:$N$460,0))</f>
        <v>0.0</v>
      </c>
      <c r="H73" s="7">
        <f>INDEX('Rubro por CUI'!$G$5:$G$460,MATCH("001|2649779",'Rubro por CUI'!$N$5:$N$460,0))</f>
        <v>0.0</v>
      </c>
      <c r="I73" s="7">
        <f>INDEX('Rubro por CUI'!$H$5:$H$460,MATCH("001|2649779",'Rubro por CUI'!$N$5:$N$460,0))</f>
        <v>0.0</v>
      </c>
      <c r="J73" s="7">
        <f>INDEX('Rubro por CUI'!$I$5:$I$460,MATCH("001|2649779",'Rubro por CUI'!$N$5:$N$460,0))</f>
        <v>0.0</v>
      </c>
      <c r="K73" s="7">
        <f>L73-SUM(F73:J73)</f>
        <v>0.0</v>
      </c>
      <c r="L73" s="7">
        <f>SUMIFS(Base!$I$5:$I$509,Base!$A$5:$A$509,"001",Base!$F$5:$F$509,"2649779")</f>
        <v>0.0</v>
      </c>
      <c r="M73" s="7">
        <f>D73-E73-L73</f>
        <v>2929159.0</v>
      </c>
      <c r="N73" s="6" t="s">
        <v>63</v>
      </c>
    </row>
    <row r="74" spans="1:14">
      <c r="A74" s="18">
        <v>68</v>
      </c>
      <c r="B74" s="18" t="s">
        <v>1701</v>
      </c>
      <c r="C74" s="6" t="s">
        <v>667</v>
      </c>
      <c r="D74" s="23">
        <v>2802338</v>
      </c>
      <c r="E74" s="23">
        <v>0</v>
      </c>
      <c r="F74" s="7">
        <f>INDEX('Rubro por CUI'!$E$5:$E$460,MATCH("001|2649782",'Rubro por CUI'!$N$5:$N$460,0))</f>
        <v>0.0</v>
      </c>
      <c r="G74" s="7">
        <f>INDEX('Rubro por CUI'!$F$5:$F$460,MATCH("001|2649782",'Rubro por CUI'!$N$5:$N$460,0))</f>
        <v>0.0</v>
      </c>
      <c r="H74" s="7">
        <f>INDEX('Rubro por CUI'!$G$5:$G$460,MATCH("001|2649782",'Rubro por CUI'!$N$5:$N$460,0))</f>
        <v>0.0</v>
      </c>
      <c r="I74" s="7">
        <f>INDEX('Rubro por CUI'!$H$5:$H$460,MATCH("001|2649782",'Rubro por CUI'!$N$5:$N$460,0))</f>
        <v>0.0</v>
      </c>
      <c r="J74" s="7">
        <f>INDEX('Rubro por CUI'!$I$5:$I$460,MATCH("001|2649782",'Rubro por CUI'!$N$5:$N$460,0))</f>
        <v>0.0</v>
      </c>
      <c r="K74" s="7">
        <f>L74-SUM(F74:J74)</f>
        <v>0.0</v>
      </c>
      <c r="L74" s="7">
        <f>SUMIFS(Base!$I$5:$I$509,Base!$A$5:$A$509,"001",Base!$F$5:$F$509,"2649782")</f>
        <v>0.0</v>
      </c>
      <c r="M74" s="7">
        <f>D74-E74-L74</f>
        <v>2802338.0</v>
      </c>
      <c r="N74" s="6" t="s">
        <v>63</v>
      </c>
    </row>
    <row r="75" spans="1:14">
      <c r="A75" s="18">
        <v>69</v>
      </c>
      <c r="B75" s="18" t="s">
        <v>1702</v>
      </c>
      <c r="C75" s="6" t="s">
        <v>682</v>
      </c>
      <c r="D75" s="23">
        <v>3061549</v>
      </c>
      <c r="E75" s="23">
        <v>0</v>
      </c>
      <c r="F75" s="7">
        <f>INDEX('Rubro por CUI'!$E$5:$E$460,MATCH("001|2649793",'Rubro por CUI'!$N$5:$N$460,0))</f>
        <v>0.0</v>
      </c>
      <c r="G75" s="7">
        <f>INDEX('Rubro por CUI'!$F$5:$F$460,MATCH("001|2649793",'Rubro por CUI'!$N$5:$N$460,0))</f>
        <v>0.0</v>
      </c>
      <c r="H75" s="7">
        <f>INDEX('Rubro por CUI'!$G$5:$G$460,MATCH("001|2649793",'Rubro por CUI'!$N$5:$N$460,0))</f>
        <v>0.0</v>
      </c>
      <c r="I75" s="7">
        <f>INDEX('Rubro por CUI'!$H$5:$H$460,MATCH("001|2649793",'Rubro por CUI'!$N$5:$N$460,0))</f>
        <v>0.0</v>
      </c>
      <c r="J75" s="7">
        <f>INDEX('Rubro por CUI'!$I$5:$I$460,MATCH("001|2649793",'Rubro por CUI'!$N$5:$N$460,0))</f>
        <v>0.0</v>
      </c>
      <c r="K75" s="7">
        <f>L75-SUM(F75:J75)</f>
        <v>0.0</v>
      </c>
      <c r="L75" s="7">
        <f>SUMIFS(Base!$I$5:$I$509,Base!$A$5:$A$509,"001",Base!$F$5:$F$509,"2649793")</f>
        <v>0.0</v>
      </c>
      <c r="M75" s="7">
        <f>D75-E75-L75</f>
        <v>3061549.0</v>
      </c>
      <c r="N75" s="6" t="s">
        <v>63</v>
      </c>
    </row>
    <row r="76" spans="1:14">
      <c r="A76" s="18">
        <v>70</v>
      </c>
      <c r="B76" s="18" t="s">
        <v>1703</v>
      </c>
      <c r="C76" s="6" t="s">
        <v>685</v>
      </c>
      <c r="D76" s="23">
        <v>3135488</v>
      </c>
      <c r="E76" s="23">
        <v>0</v>
      </c>
      <c r="F76" s="7">
        <f>INDEX('Rubro por CUI'!$E$5:$E$460,MATCH("001|2649794",'Rubro por CUI'!$N$5:$N$460,0))</f>
        <v>0.0</v>
      </c>
      <c r="G76" s="7">
        <f>INDEX('Rubro por CUI'!$F$5:$F$460,MATCH("001|2649794",'Rubro por CUI'!$N$5:$N$460,0))</f>
        <v>0.0</v>
      </c>
      <c r="H76" s="7">
        <f>INDEX('Rubro por CUI'!$G$5:$G$460,MATCH("001|2649794",'Rubro por CUI'!$N$5:$N$460,0))</f>
        <v>0.0</v>
      </c>
      <c r="I76" s="7">
        <f>INDEX('Rubro por CUI'!$H$5:$H$460,MATCH("001|2649794",'Rubro por CUI'!$N$5:$N$460,0))</f>
        <v>0.0</v>
      </c>
      <c r="J76" s="7">
        <f>INDEX('Rubro por CUI'!$I$5:$I$460,MATCH("001|2649794",'Rubro por CUI'!$N$5:$N$460,0))</f>
        <v>0.0</v>
      </c>
      <c r="K76" s="7">
        <f>L76-SUM(F76:J76)</f>
        <v>0.0</v>
      </c>
      <c r="L76" s="7">
        <f>SUMIFS(Base!$I$5:$I$509,Base!$A$5:$A$509,"001",Base!$F$5:$F$509,"2649794")</f>
        <v>0.0</v>
      </c>
      <c r="M76" s="7">
        <f>D76-E76-L76</f>
        <v>3135488.0</v>
      </c>
      <c r="N76" s="6" t="s">
        <v>63</v>
      </c>
    </row>
    <row r="77" spans="1:14">
      <c r="A77" s="18">
        <v>71</v>
      </c>
      <c r="B77" s="18" t="s">
        <v>1704</v>
      </c>
      <c r="C77" s="6" t="s">
        <v>1286</v>
      </c>
      <c r="D77" s="23">
        <v>9190454</v>
      </c>
      <c r="E77" s="23">
        <v>9186356</v>
      </c>
      <c r="F77" s="7">
        <f>INDEX('Rubro por CUI'!$E$5:$E$460,MATCH("001|2154443",'Rubro por CUI'!$N$5:$N$460,0))</f>
        <v>0.0</v>
      </c>
      <c r="G77" s="7">
        <f>INDEX('Rubro por CUI'!$F$5:$F$460,MATCH("001|2154443",'Rubro por CUI'!$N$5:$N$460,0))</f>
        <v>0.0</v>
      </c>
      <c r="H77" s="7">
        <f>INDEX('Rubro por CUI'!$G$5:$G$460,MATCH("001|2154443",'Rubro por CUI'!$N$5:$N$460,0))</f>
        <v>0.0</v>
      </c>
      <c r="I77" s="7">
        <f>INDEX('Rubro por CUI'!$H$5:$H$460,MATCH("001|2154443",'Rubro por CUI'!$N$5:$N$460,0))</f>
        <v>0.0</v>
      </c>
      <c r="J77" s="7">
        <f>INDEX('Rubro por CUI'!$I$5:$I$460,MATCH("001|2154443",'Rubro por CUI'!$N$5:$N$460,0))</f>
        <v>0.0</v>
      </c>
      <c r="K77" s="7">
        <f>L77-SUM(F77:J77)</f>
        <v>0.0</v>
      </c>
      <c r="L77" s="7">
        <f>SUMIFS(Base!$I$5:$I$509,Base!$A$5:$A$509,"001",Base!$F$5:$F$509,"2154443")</f>
        <v>0.0</v>
      </c>
      <c r="M77" s="7">
        <f>D77-E77-L77</f>
        <v>4098.0</v>
      </c>
      <c r="N77" s="6" t="s">
        <v>63</v>
      </c>
    </row>
    <row r="78" spans="1:14">
      <c r="A78" s="18">
        <v>72</v>
      </c>
      <c r="B78" s="18" t="s">
        <v>1705</v>
      </c>
      <c r="C78" s="6" t="s">
        <v>1289</v>
      </c>
      <c r="D78" s="23">
        <v>10250391</v>
      </c>
      <c r="E78" s="23">
        <v>10162474</v>
      </c>
      <c r="F78" s="7">
        <f>INDEX('Rubro por CUI'!$E$5:$E$460,MATCH("001|2159149",'Rubro por CUI'!$N$5:$N$460,0))</f>
        <v>0.0</v>
      </c>
      <c r="G78" s="7">
        <f>INDEX('Rubro por CUI'!$F$5:$F$460,MATCH("001|2159149",'Rubro por CUI'!$N$5:$N$460,0))</f>
        <v>0.0</v>
      </c>
      <c r="H78" s="7">
        <f>INDEX('Rubro por CUI'!$G$5:$G$460,MATCH("001|2159149",'Rubro por CUI'!$N$5:$N$460,0))</f>
        <v>0.0</v>
      </c>
      <c r="I78" s="7">
        <f>INDEX('Rubro por CUI'!$H$5:$H$460,MATCH("001|2159149",'Rubro por CUI'!$N$5:$N$460,0))</f>
        <v>0.0</v>
      </c>
      <c r="J78" s="7">
        <f>INDEX('Rubro por CUI'!$I$5:$I$460,MATCH("001|2159149",'Rubro por CUI'!$N$5:$N$460,0))</f>
        <v>0.0</v>
      </c>
      <c r="K78" s="7">
        <f>L78-SUM(F78:J78)</f>
        <v>0.0</v>
      </c>
      <c r="L78" s="7">
        <f>SUMIFS(Base!$I$5:$I$509,Base!$A$5:$A$509,"001",Base!$F$5:$F$509,"2159149")</f>
        <v>0.0</v>
      </c>
      <c r="M78" s="7">
        <f>D78-E78-L78</f>
        <v>87917.0</v>
      </c>
      <c r="N78" s="6" t="s">
        <v>63</v>
      </c>
    </row>
    <row r="79" spans="1:14">
      <c r="A79" s="18">
        <v>73</v>
      </c>
      <c r="B79" s="18" t="s">
        <v>1706</v>
      </c>
      <c r="C79" s="6" t="s">
        <v>1292</v>
      </c>
      <c r="D79" s="23">
        <v>7806996</v>
      </c>
      <c r="E79" s="23">
        <v>7704564</v>
      </c>
      <c r="F79" s="7">
        <f>INDEX('Rubro por CUI'!$E$5:$E$460,MATCH("001|2488048",'Rubro por CUI'!$N$5:$N$460,0))</f>
        <v>0.0</v>
      </c>
      <c r="G79" s="7">
        <f>INDEX('Rubro por CUI'!$F$5:$F$460,MATCH("001|2488048",'Rubro por CUI'!$N$5:$N$460,0))</f>
        <v>0.0</v>
      </c>
      <c r="H79" s="7">
        <f>INDEX('Rubro por CUI'!$G$5:$G$460,MATCH("001|2488048",'Rubro por CUI'!$N$5:$N$460,0))</f>
        <v>0.0</v>
      </c>
      <c r="I79" s="7">
        <f>INDEX('Rubro por CUI'!$H$5:$H$460,MATCH("001|2488048",'Rubro por CUI'!$N$5:$N$460,0))</f>
        <v>0.0</v>
      </c>
      <c r="J79" s="7">
        <f>INDEX('Rubro por CUI'!$I$5:$I$460,MATCH("001|2488048",'Rubro por CUI'!$N$5:$N$460,0))</f>
        <v>0.0</v>
      </c>
      <c r="K79" s="7">
        <f>L79-SUM(F79:J79)</f>
        <v>0.0</v>
      </c>
      <c r="L79" s="7">
        <f>SUMIFS(Base!$I$5:$I$509,Base!$A$5:$A$509,"001",Base!$F$5:$F$509,"2488048")</f>
        <v>0.0</v>
      </c>
      <c r="M79" s="7">
        <f>D79-E79-L79</f>
        <v>102432.0</v>
      </c>
      <c r="N79" s="6" t="s">
        <v>63</v>
      </c>
    </row>
    <row r="80" spans="1:14">
      <c r="A80" s="18">
        <v>74</v>
      </c>
      <c r="B80" s="18" t="s">
        <v>1707</v>
      </c>
      <c r="C80" s="6" t="s">
        <v>1295</v>
      </c>
      <c r="D80" s="23">
        <v>24130054</v>
      </c>
      <c r="E80" s="23">
        <v>24035730</v>
      </c>
      <c r="F80" s="7">
        <f>INDEX('Rubro por CUI'!$E$5:$E$460,MATCH("001|2544369",'Rubro por CUI'!$N$5:$N$460,0))</f>
        <v>0.0</v>
      </c>
      <c r="G80" s="7">
        <f>INDEX('Rubro por CUI'!$F$5:$F$460,MATCH("001|2544369",'Rubro por CUI'!$N$5:$N$460,0))</f>
        <v>0.0</v>
      </c>
      <c r="H80" s="7">
        <f>INDEX('Rubro por CUI'!$G$5:$G$460,MATCH("001|2544369",'Rubro por CUI'!$N$5:$N$460,0))</f>
        <v>0.0</v>
      </c>
      <c r="I80" s="7">
        <f>INDEX('Rubro por CUI'!$H$5:$H$460,MATCH("001|2544369",'Rubro por CUI'!$N$5:$N$460,0))</f>
        <v>0.0</v>
      </c>
      <c r="J80" s="7">
        <f>INDEX('Rubro por CUI'!$I$5:$I$460,MATCH("001|2544369",'Rubro por CUI'!$N$5:$N$460,0))</f>
        <v>0.0</v>
      </c>
      <c r="K80" s="7">
        <f>L80-SUM(F80:J80)</f>
        <v>0.0</v>
      </c>
      <c r="L80" s="7">
        <f>SUMIFS(Base!$I$5:$I$509,Base!$A$5:$A$509,"001",Base!$F$5:$F$509,"2544369")</f>
        <v>0.0</v>
      </c>
      <c r="M80" s="7">
        <f>D80-E80-L80</f>
        <v>94324.0</v>
      </c>
      <c r="N80" s="6" t="s">
        <v>63</v>
      </c>
    </row>
    <row r="81" spans="1:14">
      <c r="A81" s="15" t="s">
        <v>71</v>
      </c>
      <c r="B81" s="15"/>
      <c r="C81" s="15"/>
      <c r="D81" s="16">
        <f>SUM(D82:D216)</f>
        <v>1614252570.0</v>
      </c>
      <c r="E81" s="16">
        <f>SUM(E82:E216)</f>
        <v>423341799.0</v>
      </c>
      <c r="F81" s="16">
        <f>SUM(F82:F216)</f>
        <v>1139986.0</v>
      </c>
      <c r="G81" s="16">
        <f>SUM(G82:G216)</f>
        <v>22742745.0</v>
      </c>
      <c r="H81" s="16">
        <f>SUM(H82:H216)</f>
        <v>262422226.0</v>
      </c>
      <c r="I81" s="16">
        <f>SUM(I82:I216)</f>
        <v>9839858.0</v>
      </c>
      <c r="J81" s="16">
        <f>SUM(J82:J216)</f>
        <v>0.0</v>
      </c>
      <c r="K81" s="16">
        <f>SUM(K82:K216)</f>
        <v>0.0</v>
      </c>
      <c r="L81" s="16">
        <f>SUM(L82:L216)</f>
        <v>296144815.0</v>
      </c>
      <c r="M81" s="16">
        <f>SUM(M82:M216)</f>
        <v>939014346.0</v>
      </c>
      <c r="N81" s="15"/>
    </row>
    <row r="82" spans="1:14">
      <c r="A82" s="18">
        <v>75</v>
      </c>
      <c r="B82" s="18" t="s">
        <v>1708</v>
      </c>
      <c r="C82" s="6" t="s">
        <v>311</v>
      </c>
      <c r="D82" s="23">
        <v>77971380</v>
      </c>
      <c r="E82" s="23">
        <v>14691422</v>
      </c>
      <c r="F82" s="7">
        <f>INDEX('Rubro por CUI'!$E$5:$E$460,MATCH("001|2284935",'Rubro por CUI'!$N$5:$N$460,0))</f>
        <v>0.0</v>
      </c>
      <c r="G82" s="7">
        <f>INDEX('Rubro por CUI'!$F$5:$F$460,MATCH("001|2284935",'Rubro por CUI'!$N$5:$N$460,0))</f>
        <v>5227548.0</v>
      </c>
      <c r="H82" s="7">
        <f>INDEX('Rubro por CUI'!$G$5:$G$460,MATCH("001|2284935",'Rubro por CUI'!$N$5:$N$460,0))</f>
        <v>17049232.0</v>
      </c>
      <c r="I82" s="7">
        <f>INDEX('Rubro por CUI'!$H$5:$H$460,MATCH("001|2284935",'Rubro por CUI'!$N$5:$N$460,0))</f>
        <v>0.0</v>
      </c>
      <c r="J82" s="7">
        <f>INDEX('Rubro por CUI'!$I$5:$I$460,MATCH("001|2284935",'Rubro por CUI'!$N$5:$N$460,0))</f>
        <v>0.0</v>
      </c>
      <c r="K82" s="7">
        <f>L82-SUM(F82:J82)</f>
        <v>0.0</v>
      </c>
      <c r="L82" s="7">
        <f>SUMIFS(Base!$I$5:$I$509,Base!$A$5:$A$509,"001",Base!$F$5:$F$509,"2284935")</f>
        <v>22276780.0</v>
      </c>
      <c r="M82" s="7">
        <f>D82-E82-L82</f>
        <v>41003178.0</v>
      </c>
      <c r="N82" s="6" t="s">
        <v>63</v>
      </c>
    </row>
    <row r="83" spans="1:14">
      <c r="A83" s="18">
        <v>76</v>
      </c>
      <c r="B83" s="18" t="s">
        <v>1709</v>
      </c>
      <c r="C83" s="6" t="s">
        <v>307</v>
      </c>
      <c r="D83" s="23">
        <v>60839799</v>
      </c>
      <c r="E83" s="23">
        <v>32541556</v>
      </c>
      <c r="F83" s="7">
        <f>INDEX('Rubro por CUI'!$E$5:$E$460,MATCH("001|2411336",'Rubro por CUI'!$N$5:$N$460,0))</f>
        <v>0.0</v>
      </c>
      <c r="G83" s="7">
        <f>INDEX('Rubro por CUI'!$F$5:$F$460,MATCH("001|2411336",'Rubro por CUI'!$N$5:$N$460,0))</f>
        <v>0.0</v>
      </c>
      <c r="H83" s="7">
        <f>INDEX('Rubro por CUI'!$G$5:$G$460,MATCH("001|2411336",'Rubro por CUI'!$N$5:$N$460,0))</f>
        <v>21914154.0</v>
      </c>
      <c r="I83" s="7">
        <f>INDEX('Rubro por CUI'!$H$5:$H$460,MATCH("001|2411336",'Rubro por CUI'!$N$5:$N$460,0))</f>
        <v>0.0</v>
      </c>
      <c r="J83" s="7">
        <f>INDEX('Rubro por CUI'!$I$5:$I$460,MATCH("001|2411336",'Rubro por CUI'!$N$5:$N$460,0))</f>
        <v>0.0</v>
      </c>
      <c r="K83" s="7">
        <f>L83-SUM(F83:J83)</f>
        <v>0.0</v>
      </c>
      <c r="L83" s="7">
        <f>SUMIFS(Base!$I$5:$I$509,Base!$A$5:$A$509,"001",Base!$F$5:$F$509,"2411336")</f>
        <v>21914154.0</v>
      </c>
      <c r="M83" s="7">
        <f>D83-E83-L83</f>
        <v>6384089.0</v>
      </c>
      <c r="N83" s="6" t="s">
        <v>63</v>
      </c>
    </row>
    <row r="84" spans="1:14">
      <c r="A84" s="18">
        <v>77</v>
      </c>
      <c r="B84" s="18" t="s">
        <v>1710</v>
      </c>
      <c r="C84" s="6" t="s">
        <v>317</v>
      </c>
      <c r="D84" s="23">
        <v>52212281</v>
      </c>
      <c r="E84" s="23">
        <v>25394040</v>
      </c>
      <c r="F84" s="7">
        <f>INDEX('Rubro por CUI'!$E$5:$E$460,MATCH("001|2357322",'Rubro por CUI'!$N$5:$N$460,0))</f>
        <v>0.0</v>
      </c>
      <c r="G84" s="7">
        <f>INDEX('Rubro por CUI'!$F$5:$F$460,MATCH("001|2357322",'Rubro por CUI'!$N$5:$N$460,0))</f>
        <v>0.0</v>
      </c>
      <c r="H84" s="7">
        <f>INDEX('Rubro por CUI'!$G$5:$G$460,MATCH("001|2357322",'Rubro por CUI'!$N$5:$N$460,0))</f>
        <v>19795501.0</v>
      </c>
      <c r="I84" s="7">
        <f>INDEX('Rubro por CUI'!$H$5:$H$460,MATCH("001|2357322",'Rubro por CUI'!$N$5:$N$460,0))</f>
        <v>0.0</v>
      </c>
      <c r="J84" s="7">
        <f>INDEX('Rubro por CUI'!$I$5:$I$460,MATCH("001|2357322",'Rubro por CUI'!$N$5:$N$460,0))</f>
        <v>0.0</v>
      </c>
      <c r="K84" s="7">
        <f>L84-SUM(F84:J84)</f>
        <v>0.0</v>
      </c>
      <c r="L84" s="7">
        <f>SUMIFS(Base!$I$5:$I$509,Base!$A$5:$A$509,"001",Base!$F$5:$F$509,"2357322")</f>
        <v>19795501.0</v>
      </c>
      <c r="M84" s="7">
        <f>D84-E84-L84</f>
        <v>7022740.0</v>
      </c>
      <c r="N84" s="6" t="s">
        <v>63</v>
      </c>
    </row>
    <row r="85" spans="1:14">
      <c r="A85" s="18">
        <v>78</v>
      </c>
      <c r="B85" s="18" t="s">
        <v>1711</v>
      </c>
      <c r="C85" s="6" t="s">
        <v>407</v>
      </c>
      <c r="D85" s="23">
        <v>27656942</v>
      </c>
      <c r="E85" s="23">
        <v>1210809</v>
      </c>
      <c r="F85" s="7">
        <f>INDEX('Rubro por CUI'!$E$5:$E$460,MATCH("001|2393398",'Rubro por CUI'!$N$5:$N$460,0))</f>
        <v>0.0</v>
      </c>
      <c r="G85" s="7">
        <f>INDEX('Rubro por CUI'!$F$5:$F$460,MATCH("001|2393398",'Rubro por CUI'!$N$5:$N$460,0))</f>
        <v>0.0</v>
      </c>
      <c r="H85" s="7">
        <f>INDEX('Rubro por CUI'!$G$5:$G$460,MATCH("001|2393398",'Rubro por CUI'!$N$5:$N$460,0))</f>
        <v>18692228.0</v>
      </c>
      <c r="I85" s="7">
        <f>INDEX('Rubro por CUI'!$H$5:$H$460,MATCH("001|2393398",'Rubro por CUI'!$N$5:$N$460,0))</f>
        <v>0.0</v>
      </c>
      <c r="J85" s="7">
        <f>INDEX('Rubro por CUI'!$I$5:$I$460,MATCH("001|2393398",'Rubro por CUI'!$N$5:$N$460,0))</f>
        <v>0.0</v>
      </c>
      <c r="K85" s="7">
        <f>L85-SUM(F85:J85)</f>
        <v>0.0</v>
      </c>
      <c r="L85" s="7">
        <f>SUMIFS(Base!$I$5:$I$509,Base!$A$5:$A$509,"001",Base!$F$5:$F$509,"2393398")</f>
        <v>18692228.0</v>
      </c>
      <c r="M85" s="7">
        <f>D85-E85-L85</f>
        <v>7753905.0</v>
      </c>
      <c r="N85" s="6" t="s">
        <v>63</v>
      </c>
    </row>
    <row r="86" spans="1:14">
      <c r="A86" s="18">
        <v>79</v>
      </c>
      <c r="B86" s="18" t="s">
        <v>1712</v>
      </c>
      <c r="C86" s="6" t="s">
        <v>314</v>
      </c>
      <c r="D86" s="23">
        <v>35172206</v>
      </c>
      <c r="E86" s="23">
        <v>12257047</v>
      </c>
      <c r="F86" s="7">
        <f>INDEX('Rubro por CUI'!$E$5:$E$460,MATCH("001|2357330",'Rubro por CUI'!$N$5:$N$460,0))</f>
        <v>0.0</v>
      </c>
      <c r="G86" s="7">
        <f>INDEX('Rubro por CUI'!$F$5:$F$460,MATCH("001|2357330",'Rubro por CUI'!$N$5:$N$460,0))</f>
        <v>0.0</v>
      </c>
      <c r="H86" s="7">
        <f>INDEX('Rubro por CUI'!$G$5:$G$460,MATCH("001|2357330",'Rubro por CUI'!$N$5:$N$460,0))</f>
        <v>17354707.0</v>
      </c>
      <c r="I86" s="7">
        <f>INDEX('Rubro por CUI'!$H$5:$H$460,MATCH("001|2357330",'Rubro por CUI'!$N$5:$N$460,0))</f>
        <v>0.0</v>
      </c>
      <c r="J86" s="7">
        <f>INDEX('Rubro por CUI'!$I$5:$I$460,MATCH("001|2357330",'Rubro por CUI'!$N$5:$N$460,0))</f>
        <v>0.0</v>
      </c>
      <c r="K86" s="7">
        <f>L86-SUM(F86:J86)</f>
        <v>0.0</v>
      </c>
      <c r="L86" s="7">
        <f>SUMIFS(Base!$I$5:$I$509,Base!$A$5:$A$509,"001",Base!$F$5:$F$509,"2357330")</f>
        <v>17354707.0</v>
      </c>
      <c r="M86" s="7">
        <f>D86-E86-L86</f>
        <v>5560452.0</v>
      </c>
      <c r="N86" s="6" t="s">
        <v>63</v>
      </c>
    </row>
    <row r="87" spans="1:14">
      <c r="A87" s="18">
        <v>80</v>
      </c>
      <c r="B87" s="18" t="s">
        <v>1713</v>
      </c>
      <c r="C87" s="6" t="s">
        <v>320</v>
      </c>
      <c r="D87" s="23">
        <v>49037981</v>
      </c>
      <c r="E87" s="23">
        <v>18466277</v>
      </c>
      <c r="F87" s="7">
        <f>INDEX('Rubro por CUI'!$E$5:$E$460,MATCH("001|2385673",'Rubro por CUI'!$N$5:$N$460,0))</f>
        <v>0.0</v>
      </c>
      <c r="G87" s="7">
        <f>INDEX('Rubro por CUI'!$F$5:$F$460,MATCH("001|2385673",'Rubro por CUI'!$N$5:$N$460,0))</f>
        <v>3706950.0</v>
      </c>
      <c r="H87" s="7">
        <f>INDEX('Rubro por CUI'!$G$5:$G$460,MATCH("001|2385673",'Rubro por CUI'!$N$5:$N$460,0))</f>
        <v>5461344.0</v>
      </c>
      <c r="I87" s="7">
        <f>INDEX('Rubro por CUI'!$H$5:$H$460,MATCH("001|2385673",'Rubro por CUI'!$N$5:$N$460,0))</f>
        <v>8073670.0</v>
      </c>
      <c r="J87" s="7">
        <f>INDEX('Rubro por CUI'!$I$5:$I$460,MATCH("001|2385673",'Rubro por CUI'!$N$5:$N$460,0))</f>
        <v>0.0</v>
      </c>
      <c r="K87" s="7">
        <f>L87-SUM(F87:J87)</f>
        <v>0.0</v>
      </c>
      <c r="L87" s="7">
        <f>SUMIFS(Base!$I$5:$I$509,Base!$A$5:$A$509,"001",Base!$F$5:$F$509,"2385673")</f>
        <v>17241964.0</v>
      </c>
      <c r="M87" s="7">
        <f>D87-E87-L87</f>
        <v>13329740.0</v>
      </c>
      <c r="N87" s="6" t="s">
        <v>63</v>
      </c>
    </row>
    <row r="88" spans="1:14">
      <c r="A88" s="18">
        <v>81</v>
      </c>
      <c r="B88" s="18" t="s">
        <v>1714</v>
      </c>
      <c r="C88" s="6" t="s">
        <v>323</v>
      </c>
      <c r="D88" s="23">
        <v>23557530</v>
      </c>
      <c r="E88" s="23">
        <v>3611850</v>
      </c>
      <c r="F88" s="7">
        <f>INDEX('Rubro por CUI'!$E$5:$E$460,MATCH("001|2585543",'Rubro por CUI'!$N$5:$N$460,0))</f>
        <v>0.0</v>
      </c>
      <c r="G88" s="7">
        <f>INDEX('Rubro por CUI'!$F$5:$F$460,MATCH("001|2585543",'Rubro por CUI'!$N$5:$N$460,0))</f>
        <v>1000000.0</v>
      </c>
      <c r="H88" s="7">
        <f>INDEX('Rubro por CUI'!$G$5:$G$460,MATCH("001|2585543",'Rubro por CUI'!$N$5:$N$460,0))</f>
        <v>14380884.0</v>
      </c>
      <c r="I88" s="7">
        <f>INDEX('Rubro por CUI'!$H$5:$H$460,MATCH("001|2585543",'Rubro por CUI'!$N$5:$N$460,0))</f>
        <v>0.0</v>
      </c>
      <c r="J88" s="7">
        <f>INDEX('Rubro por CUI'!$I$5:$I$460,MATCH("001|2585543",'Rubro por CUI'!$N$5:$N$460,0))</f>
        <v>0.0</v>
      </c>
      <c r="K88" s="7">
        <f>L88-SUM(F88:J88)</f>
        <v>0.0</v>
      </c>
      <c r="L88" s="7">
        <f>SUMIFS(Base!$I$5:$I$509,Base!$A$5:$A$509,"001",Base!$F$5:$F$509,"2585543")</f>
        <v>15380884.0</v>
      </c>
      <c r="M88" s="7">
        <f>D88-E88-L88</f>
        <v>4564796.0</v>
      </c>
      <c r="N88" s="6" t="s">
        <v>63</v>
      </c>
    </row>
    <row r="89" spans="1:14">
      <c r="A89" s="18">
        <v>82</v>
      </c>
      <c r="B89" s="18" t="s">
        <v>1715</v>
      </c>
      <c r="C89" s="6" t="s">
        <v>82</v>
      </c>
      <c r="D89" s="23">
        <v>42991223</v>
      </c>
      <c r="E89" s="23">
        <v>29005462</v>
      </c>
      <c r="F89" s="7">
        <f>INDEX('Rubro por CUI'!$E$5:$E$460,MATCH("001|2521936",'Rubro por CUI'!$N$5:$N$460,0))</f>
        <v>1139986.0</v>
      </c>
      <c r="G89" s="7">
        <f>INDEX('Rubro por CUI'!$F$5:$F$460,MATCH("001|2521936",'Rubro por CUI'!$N$5:$N$460,0))</f>
        <v>0.0</v>
      </c>
      <c r="H89" s="7">
        <f>INDEX('Rubro por CUI'!$G$5:$G$460,MATCH("001|2521936",'Rubro por CUI'!$N$5:$N$460,0))</f>
        <v>10063179.0</v>
      </c>
      <c r="I89" s="7">
        <f>INDEX('Rubro por CUI'!$H$5:$H$460,MATCH("001|2521936",'Rubro por CUI'!$N$5:$N$460,0))</f>
        <v>0.0</v>
      </c>
      <c r="J89" s="7">
        <f>INDEX('Rubro por CUI'!$I$5:$I$460,MATCH("001|2521936",'Rubro por CUI'!$N$5:$N$460,0))</f>
        <v>0.0</v>
      </c>
      <c r="K89" s="7">
        <f>L89-SUM(F89:J89)</f>
        <v>0.0</v>
      </c>
      <c r="L89" s="7">
        <f>SUMIFS(Base!$I$5:$I$509,Base!$A$5:$A$509,"001",Base!$F$5:$F$509,"2521936")</f>
        <v>11203165.0</v>
      </c>
      <c r="M89" s="7">
        <f>D89-E89-L89</f>
        <v>2782596.0</v>
      </c>
      <c r="N89" s="6" t="s">
        <v>63</v>
      </c>
    </row>
    <row r="90" spans="1:14">
      <c r="A90" s="18">
        <v>83</v>
      </c>
      <c r="B90" s="18" t="s">
        <v>1716</v>
      </c>
      <c r="C90" s="6" t="s">
        <v>74</v>
      </c>
      <c r="D90" s="23">
        <v>92671506</v>
      </c>
      <c r="E90" s="23">
        <v>78944614</v>
      </c>
      <c r="F90" s="7">
        <f>INDEX('Rubro por CUI'!$E$5:$E$460,MATCH("001|2323700",'Rubro por CUI'!$N$5:$N$460,0))</f>
        <v>0.0</v>
      </c>
      <c r="G90" s="7">
        <f>INDEX('Rubro por CUI'!$F$5:$F$460,MATCH("001|2323700",'Rubro por CUI'!$N$5:$N$460,0))</f>
        <v>0.0</v>
      </c>
      <c r="H90" s="7">
        <f>INDEX('Rubro por CUI'!$G$5:$G$460,MATCH("001|2323700",'Rubro por CUI'!$N$5:$N$460,0))</f>
        <v>10519577.0</v>
      </c>
      <c r="I90" s="7">
        <f>INDEX('Rubro por CUI'!$H$5:$H$460,MATCH("001|2323700",'Rubro por CUI'!$N$5:$N$460,0))</f>
        <v>0.0</v>
      </c>
      <c r="J90" s="7">
        <f>INDEX('Rubro por CUI'!$I$5:$I$460,MATCH("001|2323700",'Rubro por CUI'!$N$5:$N$460,0))</f>
        <v>0.0</v>
      </c>
      <c r="K90" s="7">
        <f>L90-SUM(F90:J90)</f>
        <v>0.0</v>
      </c>
      <c r="L90" s="7">
        <f>SUMIFS(Base!$I$5:$I$509,Base!$A$5:$A$509,"001",Base!$F$5:$F$509,"2323700")</f>
        <v>10519577.0</v>
      </c>
      <c r="M90" s="7">
        <f>D90-E90-L90</f>
        <v>3207315.0</v>
      </c>
      <c r="N90" s="6" t="s">
        <v>63</v>
      </c>
    </row>
    <row r="91" spans="1:14">
      <c r="A91" s="18">
        <v>84</v>
      </c>
      <c r="B91" s="18" t="s">
        <v>1717</v>
      </c>
      <c r="C91" s="6" t="s">
        <v>78</v>
      </c>
      <c r="D91" s="23">
        <v>49280198</v>
      </c>
      <c r="E91" s="23">
        <v>35323867</v>
      </c>
      <c r="F91" s="7">
        <f>INDEX('Rubro por CUI'!$E$5:$E$460,MATCH("001|2335880",'Rubro por CUI'!$N$5:$N$460,0))</f>
        <v>0.0</v>
      </c>
      <c r="G91" s="7">
        <f>INDEX('Rubro por CUI'!$F$5:$F$460,MATCH("001|2335880",'Rubro por CUI'!$N$5:$N$460,0))</f>
        <v>0.0</v>
      </c>
      <c r="H91" s="7">
        <f>INDEX('Rubro por CUI'!$G$5:$G$460,MATCH("001|2335880",'Rubro por CUI'!$N$5:$N$460,0))</f>
        <v>10208307.0</v>
      </c>
      <c r="I91" s="7">
        <f>INDEX('Rubro por CUI'!$H$5:$H$460,MATCH("001|2335880",'Rubro por CUI'!$N$5:$N$460,0))</f>
        <v>0.0</v>
      </c>
      <c r="J91" s="7">
        <f>INDEX('Rubro por CUI'!$I$5:$I$460,MATCH("001|2335880",'Rubro por CUI'!$N$5:$N$460,0))</f>
        <v>0.0</v>
      </c>
      <c r="K91" s="7">
        <f>L91-SUM(F91:J91)</f>
        <v>0.0</v>
      </c>
      <c r="L91" s="7">
        <f>SUMIFS(Base!$I$5:$I$509,Base!$A$5:$A$509,"001",Base!$F$5:$F$509,"2335880")</f>
        <v>10208307.0</v>
      </c>
      <c r="M91" s="7">
        <f>D91-E91-L91</f>
        <v>3748024.0</v>
      </c>
      <c r="N91" s="6" t="s">
        <v>63</v>
      </c>
    </row>
    <row r="92" spans="1:14">
      <c r="A92" s="18">
        <v>85</v>
      </c>
      <c r="B92" s="18" t="s">
        <v>1718</v>
      </c>
      <c r="C92" s="6" t="s">
        <v>338</v>
      </c>
      <c r="D92" s="23">
        <v>29597092</v>
      </c>
      <c r="E92" s="23">
        <v>6314394</v>
      </c>
      <c r="F92" s="7">
        <f>INDEX('Rubro por CUI'!$E$5:$E$460,MATCH("001|2417765",'Rubro por CUI'!$N$5:$N$460,0))</f>
        <v>0.0</v>
      </c>
      <c r="G92" s="7">
        <f>INDEX('Rubro por CUI'!$F$5:$F$460,MATCH("001|2417765",'Rubro por CUI'!$N$5:$N$460,0))</f>
        <v>0.0</v>
      </c>
      <c r="H92" s="7">
        <f>INDEX('Rubro por CUI'!$G$5:$G$460,MATCH("001|2417765",'Rubro por CUI'!$N$5:$N$460,0))</f>
        <v>9795205.0</v>
      </c>
      <c r="I92" s="7">
        <f>INDEX('Rubro por CUI'!$H$5:$H$460,MATCH("001|2417765",'Rubro por CUI'!$N$5:$N$460,0))</f>
        <v>0.0</v>
      </c>
      <c r="J92" s="7">
        <f>INDEX('Rubro por CUI'!$I$5:$I$460,MATCH("001|2417765",'Rubro por CUI'!$N$5:$N$460,0))</f>
        <v>0.0</v>
      </c>
      <c r="K92" s="7">
        <f>L92-SUM(F92:J92)</f>
        <v>0.0</v>
      </c>
      <c r="L92" s="7">
        <f>SUMIFS(Base!$I$5:$I$509,Base!$A$5:$A$509,"001",Base!$F$5:$F$509,"2417765")</f>
        <v>9795205.0</v>
      </c>
      <c r="M92" s="7">
        <f>D92-E92-L92</f>
        <v>13487493.0</v>
      </c>
      <c r="N92" s="6" t="s">
        <v>63</v>
      </c>
    </row>
    <row r="93" spans="1:14">
      <c r="A93" s="18">
        <v>86</v>
      </c>
      <c r="B93" s="18" t="s">
        <v>1719</v>
      </c>
      <c r="C93" s="6" t="s">
        <v>326</v>
      </c>
      <c r="D93" s="23">
        <v>22345379</v>
      </c>
      <c r="E93" s="23">
        <v>9759573</v>
      </c>
      <c r="F93" s="7">
        <f>INDEX('Rubro por CUI'!$E$5:$E$460,MATCH("001|2535611",'Rubro por CUI'!$N$5:$N$460,0))</f>
        <v>0.0</v>
      </c>
      <c r="G93" s="7">
        <f>INDEX('Rubro por CUI'!$F$5:$F$460,MATCH("001|2535611",'Rubro por CUI'!$N$5:$N$460,0))</f>
        <v>314282.0</v>
      </c>
      <c r="H93" s="7">
        <f>INDEX('Rubro por CUI'!$G$5:$G$460,MATCH("001|2535611",'Rubro por CUI'!$N$5:$N$460,0))</f>
        <v>9351718.0</v>
      </c>
      <c r="I93" s="7">
        <f>INDEX('Rubro por CUI'!$H$5:$H$460,MATCH("001|2535611",'Rubro por CUI'!$N$5:$N$460,0))</f>
        <v>0.0</v>
      </c>
      <c r="J93" s="7">
        <f>INDEX('Rubro por CUI'!$I$5:$I$460,MATCH("001|2535611",'Rubro por CUI'!$N$5:$N$460,0))</f>
        <v>0.0</v>
      </c>
      <c r="K93" s="7">
        <f>L93-SUM(F93:J93)</f>
        <v>0.0</v>
      </c>
      <c r="L93" s="7">
        <f>SUMIFS(Base!$I$5:$I$509,Base!$A$5:$A$509,"001",Base!$F$5:$F$509,"2535611")</f>
        <v>9666000.0</v>
      </c>
      <c r="M93" s="7">
        <f>D93-E93-L93</f>
        <v>2919806.0</v>
      </c>
      <c r="N93" s="6" t="s">
        <v>63</v>
      </c>
    </row>
    <row r="94" spans="1:14">
      <c r="A94" s="18">
        <v>87</v>
      </c>
      <c r="B94" s="18" t="s">
        <v>1720</v>
      </c>
      <c r="C94" s="6" t="s">
        <v>92</v>
      </c>
      <c r="D94" s="23">
        <v>23051914</v>
      </c>
      <c r="E94" s="23">
        <v>11756655</v>
      </c>
      <c r="F94" s="7">
        <f>INDEX('Rubro por CUI'!$E$5:$E$460,MATCH("001|2570978",'Rubro por CUI'!$N$5:$N$460,0))</f>
        <v>0.0</v>
      </c>
      <c r="G94" s="7">
        <f>INDEX('Rubro por CUI'!$F$5:$F$460,MATCH("001|2570978",'Rubro por CUI'!$N$5:$N$460,0))</f>
        <v>0.0</v>
      </c>
      <c r="H94" s="7">
        <f>INDEX('Rubro por CUI'!$G$5:$G$460,MATCH("001|2570978",'Rubro por CUI'!$N$5:$N$460,0))</f>
        <v>9222405.0</v>
      </c>
      <c r="I94" s="7">
        <f>INDEX('Rubro por CUI'!$H$5:$H$460,MATCH("001|2570978",'Rubro por CUI'!$N$5:$N$460,0))</f>
        <v>0.0</v>
      </c>
      <c r="J94" s="7">
        <f>INDEX('Rubro por CUI'!$I$5:$I$460,MATCH("001|2570978",'Rubro por CUI'!$N$5:$N$460,0))</f>
        <v>0.0</v>
      </c>
      <c r="K94" s="7">
        <f>L94-SUM(F94:J94)</f>
        <v>0.0</v>
      </c>
      <c r="L94" s="7">
        <f>SUMIFS(Base!$I$5:$I$509,Base!$A$5:$A$509,"001",Base!$F$5:$F$509,"2570978")</f>
        <v>9222405.0</v>
      </c>
      <c r="M94" s="7">
        <f>D94-E94-L94</f>
        <v>2072854.0</v>
      </c>
      <c r="N94" s="6" t="s">
        <v>63</v>
      </c>
    </row>
    <row r="95" spans="1:14">
      <c r="A95" s="18">
        <v>88</v>
      </c>
      <c r="B95" s="18" t="s">
        <v>1721</v>
      </c>
      <c r="C95" s="6" t="s">
        <v>329</v>
      </c>
      <c r="D95" s="6" t="s">
        <v>69</v>
      </c>
      <c r="E95" s="6" t="s">
        <v>69</v>
      </c>
      <c r="F95" s="7">
        <f>INDEX('Rubro por CUI'!$E$5:$E$460,MATCH("001|2538950",'Rubro por CUI'!$N$5:$N$460,0))</f>
        <v>0.0</v>
      </c>
      <c r="G95" s="7">
        <f>INDEX('Rubro por CUI'!$F$5:$F$460,MATCH("001|2538950",'Rubro por CUI'!$N$5:$N$460,0))</f>
        <v>0.0</v>
      </c>
      <c r="H95" s="7">
        <f>INDEX('Rubro por CUI'!$G$5:$G$460,MATCH("001|2538950",'Rubro por CUI'!$N$5:$N$460,0))</f>
        <v>6765264.0</v>
      </c>
      <c r="I95" s="7">
        <f>INDEX('Rubro por CUI'!$H$5:$H$460,MATCH("001|2538950",'Rubro por CUI'!$N$5:$N$460,0))</f>
        <v>0.0</v>
      </c>
      <c r="J95" s="7">
        <f>INDEX('Rubro por CUI'!$I$5:$I$460,MATCH("001|2538950",'Rubro por CUI'!$N$5:$N$460,0))</f>
        <v>0.0</v>
      </c>
      <c r="K95" s="7">
        <f>L95-SUM(F95:J95)</f>
        <v>0.0</v>
      </c>
      <c r="L95" s="7">
        <f>SUMIFS(Base!$I$5:$I$509,Base!$A$5:$A$509,"001",Base!$F$5:$F$509,"2538950")</f>
        <v>6765264.0</v>
      </c>
      <c r="M95" s="6" t="s">
        <v>69</v>
      </c>
      <c r="N95" s="6" t="s">
        <v>1634</v>
      </c>
    </row>
    <row r="96" spans="1:14">
      <c r="A96" s="18">
        <v>89</v>
      </c>
      <c r="B96" s="18" t="s">
        <v>1722</v>
      </c>
      <c r="C96" s="6" t="s">
        <v>760</v>
      </c>
      <c r="D96" s="23">
        <v>16199662</v>
      </c>
      <c r="E96" s="23">
        <v>769300</v>
      </c>
      <c r="F96" s="7">
        <f>INDEX('Rubro por CUI'!$E$5:$E$460,MATCH("001|2570369",'Rubro por CUI'!$N$5:$N$460,0))</f>
        <v>0.0</v>
      </c>
      <c r="G96" s="7">
        <f>INDEX('Rubro por CUI'!$F$5:$F$460,MATCH("001|2570369",'Rubro por CUI'!$N$5:$N$460,0))</f>
        <v>0.0</v>
      </c>
      <c r="H96" s="7">
        <f>INDEX('Rubro por CUI'!$G$5:$G$460,MATCH("001|2570369",'Rubro por CUI'!$N$5:$N$460,0))</f>
        <v>5931027.0</v>
      </c>
      <c r="I96" s="7">
        <f>INDEX('Rubro por CUI'!$H$5:$H$460,MATCH("001|2570369",'Rubro por CUI'!$N$5:$N$460,0))</f>
        <v>0.0</v>
      </c>
      <c r="J96" s="7">
        <f>INDEX('Rubro por CUI'!$I$5:$I$460,MATCH("001|2570369",'Rubro por CUI'!$N$5:$N$460,0))</f>
        <v>0.0</v>
      </c>
      <c r="K96" s="7">
        <f>L96-SUM(F96:J96)</f>
        <v>0.0</v>
      </c>
      <c r="L96" s="7">
        <f>SUMIFS(Base!$I$5:$I$509,Base!$A$5:$A$509,"001",Base!$F$5:$F$509,"2570369")</f>
        <v>5931027.0</v>
      </c>
      <c r="M96" s="7">
        <f>D96-E96-L96</f>
        <v>9499335.0</v>
      </c>
      <c r="N96" s="6" t="s">
        <v>63</v>
      </c>
    </row>
    <row r="97" spans="1:14">
      <c r="A97" s="18">
        <v>90</v>
      </c>
      <c r="B97" s="18" t="s">
        <v>1723</v>
      </c>
      <c r="C97" s="6" t="s">
        <v>335</v>
      </c>
      <c r="D97" s="6" t="s">
        <v>69</v>
      </c>
      <c r="E97" s="6" t="s">
        <v>69</v>
      </c>
      <c r="F97" s="7">
        <f>INDEX('Rubro por CUI'!$E$5:$E$460,MATCH("001|2590087",'Rubro por CUI'!$N$5:$N$460,0))</f>
        <v>0.0</v>
      </c>
      <c r="G97" s="7">
        <f>INDEX('Rubro por CUI'!$F$5:$F$460,MATCH("001|2590087",'Rubro por CUI'!$N$5:$N$460,0))</f>
        <v>0.0</v>
      </c>
      <c r="H97" s="7">
        <f>INDEX('Rubro por CUI'!$G$5:$G$460,MATCH("001|2590087",'Rubro por CUI'!$N$5:$N$460,0))</f>
        <v>5799805.0</v>
      </c>
      <c r="I97" s="7">
        <f>INDEX('Rubro por CUI'!$H$5:$H$460,MATCH("001|2590087",'Rubro por CUI'!$N$5:$N$460,0))</f>
        <v>0.0</v>
      </c>
      <c r="J97" s="7">
        <f>INDEX('Rubro por CUI'!$I$5:$I$460,MATCH("001|2590087",'Rubro por CUI'!$N$5:$N$460,0))</f>
        <v>0.0</v>
      </c>
      <c r="K97" s="7">
        <f>L97-SUM(F97:J97)</f>
        <v>0.0</v>
      </c>
      <c r="L97" s="7">
        <f>SUMIFS(Base!$I$5:$I$509,Base!$A$5:$A$509,"001",Base!$F$5:$F$509,"2590087")</f>
        <v>5799805.0</v>
      </c>
      <c r="M97" s="6" t="s">
        <v>69</v>
      </c>
      <c r="N97" s="6" t="s">
        <v>1634</v>
      </c>
    </row>
    <row r="98" spans="1:14">
      <c r="A98" s="18">
        <v>91</v>
      </c>
      <c r="B98" s="18" t="s">
        <v>1724</v>
      </c>
      <c r="C98" s="6" t="s">
        <v>95</v>
      </c>
      <c r="D98" s="23">
        <v>12238268</v>
      </c>
      <c r="E98" s="23">
        <v>475159</v>
      </c>
      <c r="F98" s="7">
        <f>INDEX('Rubro por CUI'!$E$5:$E$460,MATCH("001|2591926",'Rubro por CUI'!$N$5:$N$460,0))</f>
        <v>0.0</v>
      </c>
      <c r="G98" s="7">
        <f>INDEX('Rubro por CUI'!$F$5:$F$460,MATCH("001|2591926",'Rubro por CUI'!$N$5:$N$460,0))</f>
        <v>0.0</v>
      </c>
      <c r="H98" s="7">
        <f>INDEX('Rubro por CUI'!$G$5:$G$460,MATCH("001|2591926",'Rubro por CUI'!$N$5:$N$460,0))</f>
        <v>5194033.0</v>
      </c>
      <c r="I98" s="7">
        <f>INDEX('Rubro por CUI'!$H$5:$H$460,MATCH("001|2591926",'Rubro por CUI'!$N$5:$N$460,0))</f>
        <v>0.0</v>
      </c>
      <c r="J98" s="7">
        <f>INDEX('Rubro por CUI'!$I$5:$I$460,MATCH("001|2591926",'Rubro por CUI'!$N$5:$N$460,0))</f>
        <v>0.0</v>
      </c>
      <c r="K98" s="7">
        <f>L98-SUM(F98:J98)</f>
        <v>0.0</v>
      </c>
      <c r="L98" s="7">
        <f>SUMIFS(Base!$I$5:$I$509,Base!$A$5:$A$509,"001",Base!$F$5:$F$509,"2591926")</f>
        <v>5194033.0</v>
      </c>
      <c r="M98" s="7">
        <f>D98-E98-L98</f>
        <v>6569076.0</v>
      </c>
      <c r="N98" s="6" t="s">
        <v>63</v>
      </c>
    </row>
    <row r="99" spans="1:14">
      <c r="A99" s="18">
        <v>92</v>
      </c>
      <c r="B99" s="18" t="s">
        <v>1725</v>
      </c>
      <c r="C99" s="6" t="s">
        <v>754</v>
      </c>
      <c r="D99" s="23">
        <v>22387874</v>
      </c>
      <c r="E99" s="23">
        <v>513469</v>
      </c>
      <c r="F99" s="7">
        <f>INDEX('Rubro por CUI'!$E$5:$E$460,MATCH("001|2570033",'Rubro por CUI'!$N$5:$N$460,0))</f>
        <v>0.0</v>
      </c>
      <c r="G99" s="7">
        <f>INDEX('Rubro por CUI'!$F$5:$F$460,MATCH("001|2570033",'Rubro por CUI'!$N$5:$N$460,0))</f>
        <v>0.0</v>
      </c>
      <c r="H99" s="7">
        <f>INDEX('Rubro por CUI'!$G$5:$G$460,MATCH("001|2570033",'Rubro por CUI'!$N$5:$N$460,0))</f>
        <v>5089845.0</v>
      </c>
      <c r="I99" s="7">
        <f>INDEX('Rubro por CUI'!$H$5:$H$460,MATCH("001|2570033",'Rubro por CUI'!$N$5:$N$460,0))</f>
        <v>0.0</v>
      </c>
      <c r="J99" s="7">
        <f>INDEX('Rubro por CUI'!$I$5:$I$460,MATCH("001|2570033",'Rubro por CUI'!$N$5:$N$460,0))</f>
        <v>0.0</v>
      </c>
      <c r="K99" s="7">
        <f>L99-SUM(F99:J99)</f>
        <v>0.0</v>
      </c>
      <c r="L99" s="7">
        <f>SUMIFS(Base!$I$5:$I$509,Base!$A$5:$A$509,"001",Base!$F$5:$F$509,"2570033")</f>
        <v>5089845.0</v>
      </c>
      <c r="M99" s="7">
        <f>D99-E99-L99</f>
        <v>16784560.0</v>
      </c>
      <c r="N99" s="6" t="s">
        <v>63</v>
      </c>
    </row>
    <row r="100" spans="1:14">
      <c r="A100" s="18">
        <v>93</v>
      </c>
      <c r="B100" s="18" t="s">
        <v>1726</v>
      </c>
      <c r="C100" s="6" t="s">
        <v>423</v>
      </c>
      <c r="D100" s="23">
        <v>37501739</v>
      </c>
      <c r="E100" s="23">
        <v>872488</v>
      </c>
      <c r="F100" s="7">
        <f>INDEX('Rubro por CUI'!$E$5:$E$460,MATCH("001|2385051",'Rubro por CUI'!$N$5:$N$460,0))</f>
        <v>0.0</v>
      </c>
      <c r="G100" s="7">
        <f>INDEX('Rubro por CUI'!$F$5:$F$460,MATCH("001|2385051",'Rubro por CUI'!$N$5:$N$460,0))</f>
        <v>1627515.0</v>
      </c>
      <c r="H100" s="7">
        <f>INDEX('Rubro por CUI'!$G$5:$G$460,MATCH("001|2385051",'Rubro por CUI'!$N$5:$N$460,0))</f>
        <v>3300012.0</v>
      </c>
      <c r="I100" s="7">
        <f>INDEX('Rubro por CUI'!$H$5:$H$460,MATCH("001|2385051",'Rubro por CUI'!$N$5:$N$460,0))</f>
        <v>0.0</v>
      </c>
      <c r="J100" s="7">
        <f>INDEX('Rubro por CUI'!$I$5:$I$460,MATCH("001|2385051",'Rubro por CUI'!$N$5:$N$460,0))</f>
        <v>0.0</v>
      </c>
      <c r="K100" s="7">
        <f>L100-SUM(F100:J100)</f>
        <v>0.0</v>
      </c>
      <c r="L100" s="7">
        <f>SUMIFS(Base!$I$5:$I$509,Base!$A$5:$A$509,"001",Base!$F$5:$F$509,"2385051")</f>
        <v>4927527.0</v>
      </c>
      <c r="M100" s="7">
        <f>D100-E100-L100</f>
        <v>31701724.0</v>
      </c>
      <c r="N100" s="6" t="s">
        <v>63</v>
      </c>
    </row>
    <row r="101" spans="1:14">
      <c r="A101" s="18">
        <v>94</v>
      </c>
      <c r="B101" s="18" t="s">
        <v>1727</v>
      </c>
      <c r="C101" s="6" t="s">
        <v>411</v>
      </c>
      <c r="D101" s="6" t="s">
        <v>69</v>
      </c>
      <c r="E101" s="6" t="s">
        <v>69</v>
      </c>
      <c r="F101" s="7">
        <f>INDEX('Rubro por CUI'!$E$5:$E$460,MATCH("001|2500458",'Rubro por CUI'!$N$5:$N$460,0))</f>
        <v>0.0</v>
      </c>
      <c r="G101" s="7">
        <f>INDEX('Rubro por CUI'!$F$5:$F$460,MATCH("001|2500458",'Rubro por CUI'!$N$5:$N$460,0))</f>
        <v>0.0</v>
      </c>
      <c r="H101" s="7">
        <f>INDEX('Rubro por CUI'!$G$5:$G$460,MATCH("001|2500458",'Rubro por CUI'!$N$5:$N$460,0))</f>
        <v>4437995.0</v>
      </c>
      <c r="I101" s="7">
        <f>INDEX('Rubro por CUI'!$H$5:$H$460,MATCH("001|2500458",'Rubro por CUI'!$N$5:$N$460,0))</f>
        <v>0.0</v>
      </c>
      <c r="J101" s="7">
        <f>INDEX('Rubro por CUI'!$I$5:$I$460,MATCH("001|2500458",'Rubro por CUI'!$N$5:$N$460,0))</f>
        <v>0.0</v>
      </c>
      <c r="K101" s="7">
        <f>L101-SUM(F101:J101)</f>
        <v>0.0</v>
      </c>
      <c r="L101" s="7">
        <f>SUMIFS(Base!$I$5:$I$509,Base!$A$5:$A$509,"001",Base!$F$5:$F$509,"2500458")</f>
        <v>4437995.0</v>
      </c>
      <c r="M101" s="6" t="s">
        <v>69</v>
      </c>
      <c r="N101" s="6" t="s">
        <v>1634</v>
      </c>
    </row>
    <row r="102" spans="1:14">
      <c r="A102" s="18">
        <v>95</v>
      </c>
      <c r="B102" s="18" t="s">
        <v>1728</v>
      </c>
      <c r="C102" s="6" t="s">
        <v>332</v>
      </c>
      <c r="D102" s="6" t="s">
        <v>69</v>
      </c>
      <c r="E102" s="6" t="s">
        <v>69</v>
      </c>
      <c r="F102" s="7">
        <f>INDEX('Rubro por CUI'!$E$5:$E$460,MATCH("001|2289661",'Rubro por CUI'!$N$5:$N$460,0))</f>
        <v>0.0</v>
      </c>
      <c r="G102" s="7">
        <f>INDEX('Rubro por CUI'!$F$5:$F$460,MATCH("001|2289661",'Rubro por CUI'!$N$5:$N$460,0))</f>
        <v>0.0</v>
      </c>
      <c r="H102" s="7">
        <f>INDEX('Rubro por CUI'!$G$5:$G$460,MATCH("001|2289661",'Rubro por CUI'!$N$5:$N$460,0))</f>
        <v>4291327.0</v>
      </c>
      <c r="I102" s="7">
        <f>INDEX('Rubro por CUI'!$H$5:$H$460,MATCH("001|2289661",'Rubro por CUI'!$N$5:$N$460,0))</f>
        <v>0.0</v>
      </c>
      <c r="J102" s="7">
        <f>INDEX('Rubro por CUI'!$I$5:$I$460,MATCH("001|2289661",'Rubro por CUI'!$N$5:$N$460,0))</f>
        <v>0.0</v>
      </c>
      <c r="K102" s="7">
        <f>L102-SUM(F102:J102)</f>
        <v>0.0</v>
      </c>
      <c r="L102" s="7">
        <f>SUMIFS(Base!$I$5:$I$509,Base!$A$5:$A$509,"001",Base!$F$5:$F$509,"2289661")</f>
        <v>4291327.0</v>
      </c>
      <c r="M102" s="6" t="s">
        <v>69</v>
      </c>
      <c r="N102" s="6" t="s">
        <v>1634</v>
      </c>
    </row>
    <row r="103" spans="1:14">
      <c r="A103" s="18">
        <v>96</v>
      </c>
      <c r="B103" s="18" t="s">
        <v>1729</v>
      </c>
      <c r="C103" s="6" t="s">
        <v>414</v>
      </c>
      <c r="D103" s="6" t="s">
        <v>69</v>
      </c>
      <c r="E103" s="6" t="s">
        <v>69</v>
      </c>
      <c r="F103" s="7">
        <f>INDEX('Rubro por CUI'!$E$5:$E$460,MATCH("001|2453224",'Rubro por CUI'!$N$5:$N$460,0))</f>
        <v>0.0</v>
      </c>
      <c r="G103" s="7">
        <f>INDEX('Rubro por CUI'!$F$5:$F$460,MATCH("001|2453224",'Rubro por CUI'!$N$5:$N$460,0))</f>
        <v>0.0</v>
      </c>
      <c r="H103" s="7">
        <f>INDEX('Rubro por CUI'!$G$5:$G$460,MATCH("001|2453224",'Rubro por CUI'!$N$5:$N$460,0))</f>
        <v>4265759.0</v>
      </c>
      <c r="I103" s="7">
        <f>INDEX('Rubro por CUI'!$H$5:$H$460,MATCH("001|2453224",'Rubro por CUI'!$N$5:$N$460,0))</f>
        <v>0.0</v>
      </c>
      <c r="J103" s="7">
        <f>INDEX('Rubro por CUI'!$I$5:$I$460,MATCH("001|2453224",'Rubro por CUI'!$N$5:$N$460,0))</f>
        <v>0.0</v>
      </c>
      <c r="K103" s="7">
        <f>L103-SUM(F103:J103)</f>
        <v>0.0</v>
      </c>
      <c r="L103" s="7">
        <f>SUMIFS(Base!$I$5:$I$509,Base!$A$5:$A$509,"001",Base!$F$5:$F$509,"2453224")</f>
        <v>4265759.0</v>
      </c>
      <c r="M103" s="6" t="s">
        <v>69</v>
      </c>
      <c r="N103" s="6" t="s">
        <v>1634</v>
      </c>
    </row>
    <row r="104" spans="1:14">
      <c r="A104" s="18">
        <v>97</v>
      </c>
      <c r="B104" s="18" t="s">
        <v>1730</v>
      </c>
      <c r="C104" s="6" t="s">
        <v>420</v>
      </c>
      <c r="D104" s="23">
        <v>14908876</v>
      </c>
      <c r="E104" s="23">
        <v>794106</v>
      </c>
      <c r="F104" s="7">
        <f>INDEX('Rubro por CUI'!$E$5:$E$460,MATCH("001|2344253",'Rubro por CUI'!$N$5:$N$460,0))</f>
        <v>0.0</v>
      </c>
      <c r="G104" s="7">
        <f>INDEX('Rubro por CUI'!$F$5:$F$460,MATCH("001|2344253",'Rubro por CUI'!$N$5:$N$460,0))</f>
        <v>0.0</v>
      </c>
      <c r="H104" s="7">
        <f>INDEX('Rubro por CUI'!$G$5:$G$460,MATCH("001|2344253",'Rubro por CUI'!$N$5:$N$460,0))</f>
        <v>4026127.0</v>
      </c>
      <c r="I104" s="7">
        <f>INDEX('Rubro por CUI'!$H$5:$H$460,MATCH("001|2344253",'Rubro por CUI'!$N$5:$N$460,0))</f>
        <v>0.0</v>
      </c>
      <c r="J104" s="7">
        <f>INDEX('Rubro por CUI'!$I$5:$I$460,MATCH("001|2344253",'Rubro por CUI'!$N$5:$N$460,0))</f>
        <v>0.0</v>
      </c>
      <c r="K104" s="7">
        <f>L104-SUM(F104:J104)</f>
        <v>0.0</v>
      </c>
      <c r="L104" s="7">
        <f>SUMIFS(Base!$I$5:$I$509,Base!$A$5:$A$509,"001",Base!$F$5:$F$509,"2344253")</f>
        <v>4026127.0</v>
      </c>
      <c r="M104" s="7">
        <f>D104-E104-L104</f>
        <v>10088643.0</v>
      </c>
      <c r="N104" s="6" t="s">
        <v>63</v>
      </c>
    </row>
    <row r="105" spans="1:14">
      <c r="A105" s="18">
        <v>98</v>
      </c>
      <c r="B105" s="18" t="s">
        <v>1731</v>
      </c>
      <c r="C105" s="6" t="s">
        <v>342</v>
      </c>
      <c r="D105" s="6" t="s">
        <v>69</v>
      </c>
      <c r="E105" s="6" t="s">
        <v>69</v>
      </c>
      <c r="F105" s="7">
        <f>INDEX('Rubro por CUI'!$E$5:$E$460,MATCH("001|2606991",'Rubro por CUI'!$N$5:$N$460,0))</f>
        <v>0.0</v>
      </c>
      <c r="G105" s="7">
        <f>INDEX('Rubro por CUI'!$F$5:$F$460,MATCH("001|2606991",'Rubro por CUI'!$N$5:$N$460,0))</f>
        <v>600641.0</v>
      </c>
      <c r="H105" s="7">
        <f>INDEX('Rubro por CUI'!$G$5:$G$460,MATCH("001|2606991",'Rubro por CUI'!$N$5:$N$460,0))</f>
        <v>3252523.0</v>
      </c>
      <c r="I105" s="7">
        <f>INDEX('Rubro por CUI'!$H$5:$H$460,MATCH("001|2606991",'Rubro por CUI'!$N$5:$N$460,0))</f>
        <v>0.0</v>
      </c>
      <c r="J105" s="7">
        <f>INDEX('Rubro por CUI'!$I$5:$I$460,MATCH("001|2606991",'Rubro por CUI'!$N$5:$N$460,0))</f>
        <v>0.0</v>
      </c>
      <c r="K105" s="7">
        <f>L105-SUM(F105:J105)</f>
        <v>0.0</v>
      </c>
      <c r="L105" s="7">
        <f>SUMIFS(Base!$I$5:$I$509,Base!$A$5:$A$509,"001",Base!$F$5:$F$509,"2606991")</f>
        <v>3853164.0</v>
      </c>
      <c r="M105" s="6" t="s">
        <v>69</v>
      </c>
      <c r="N105" s="6" t="s">
        <v>1634</v>
      </c>
    </row>
    <row r="106" spans="1:14">
      <c r="A106" s="18">
        <v>99</v>
      </c>
      <c r="B106" s="18" t="s">
        <v>1732</v>
      </c>
      <c r="C106" s="6" t="s">
        <v>99</v>
      </c>
      <c r="D106" s="23">
        <v>7037137</v>
      </c>
      <c r="E106" s="23">
        <v>237600</v>
      </c>
      <c r="F106" s="7">
        <f>INDEX('Rubro por CUI'!$E$5:$E$460,MATCH("001|2629119",'Rubro por CUI'!$N$5:$N$460,0))</f>
        <v>0.0</v>
      </c>
      <c r="G106" s="7">
        <f>INDEX('Rubro por CUI'!$F$5:$F$460,MATCH("001|2629119",'Rubro por CUI'!$N$5:$N$460,0))</f>
        <v>0.0</v>
      </c>
      <c r="H106" s="7">
        <f>INDEX('Rubro por CUI'!$G$5:$G$460,MATCH("001|2629119",'Rubro por CUI'!$N$5:$N$460,0))</f>
        <v>3656326.0</v>
      </c>
      <c r="I106" s="7">
        <f>INDEX('Rubro por CUI'!$H$5:$H$460,MATCH("001|2629119",'Rubro por CUI'!$N$5:$N$460,0))</f>
        <v>0.0</v>
      </c>
      <c r="J106" s="7">
        <f>INDEX('Rubro por CUI'!$I$5:$I$460,MATCH("001|2629119",'Rubro por CUI'!$N$5:$N$460,0))</f>
        <v>0.0</v>
      </c>
      <c r="K106" s="7">
        <f>L106-SUM(F106:J106)</f>
        <v>0.0</v>
      </c>
      <c r="L106" s="7">
        <f>SUMIFS(Base!$I$5:$I$509,Base!$A$5:$A$509,"001",Base!$F$5:$F$509,"2629119")</f>
        <v>3656326.0</v>
      </c>
      <c r="M106" s="7">
        <f>D106-E106-L106</f>
        <v>3143211.0</v>
      </c>
      <c r="N106" s="6" t="s">
        <v>63</v>
      </c>
    </row>
    <row r="107" spans="1:14">
      <c r="A107" s="18">
        <v>100</v>
      </c>
      <c r="B107" s="18" t="s">
        <v>1733</v>
      </c>
      <c r="C107" s="6" t="s">
        <v>1368</v>
      </c>
      <c r="D107" s="6" t="s">
        <v>69</v>
      </c>
      <c r="E107" s="6" t="s">
        <v>69</v>
      </c>
      <c r="F107" s="7">
        <f>INDEX('Rubro por CUI'!$E$5:$E$460,MATCH("001|2721991",'Rubro por CUI'!$N$5:$N$460,0))</f>
        <v>0.0</v>
      </c>
      <c r="G107" s="7">
        <f>INDEX('Rubro por CUI'!$F$5:$F$460,MATCH("001|2721991",'Rubro por CUI'!$N$5:$N$460,0))</f>
        <v>3254770.0</v>
      </c>
      <c r="H107" s="7">
        <f>INDEX('Rubro por CUI'!$G$5:$G$460,MATCH("001|2721991",'Rubro por CUI'!$N$5:$N$460,0))</f>
        <v>0.0</v>
      </c>
      <c r="I107" s="7">
        <f>INDEX('Rubro por CUI'!$H$5:$H$460,MATCH("001|2721991",'Rubro por CUI'!$N$5:$N$460,0))</f>
        <v>0.0</v>
      </c>
      <c r="J107" s="7">
        <f>INDEX('Rubro por CUI'!$I$5:$I$460,MATCH("001|2721991",'Rubro por CUI'!$N$5:$N$460,0))</f>
        <v>0.0</v>
      </c>
      <c r="K107" s="7">
        <f>L107-SUM(F107:J107)</f>
        <v>0.0</v>
      </c>
      <c r="L107" s="7">
        <f>SUMIFS(Base!$I$5:$I$509,Base!$A$5:$A$509,"001",Base!$F$5:$F$509,"2721991")</f>
        <v>3254770.0</v>
      </c>
      <c r="M107" s="6" t="s">
        <v>69</v>
      </c>
      <c r="N107" s="6" t="s">
        <v>1634</v>
      </c>
    </row>
    <row r="108" spans="1:14">
      <c r="A108" s="18">
        <v>101</v>
      </c>
      <c r="B108" s="18" t="s">
        <v>1734</v>
      </c>
      <c r="C108" s="6" t="s">
        <v>820</v>
      </c>
      <c r="D108" s="6" t="s">
        <v>69</v>
      </c>
      <c r="E108" s="6" t="s">
        <v>69</v>
      </c>
      <c r="F108" s="7">
        <f>INDEX('Rubro por CUI'!$E$5:$E$460,MATCH("001|2650473",'Rubro por CUI'!$N$5:$N$460,0))</f>
        <v>0.0</v>
      </c>
      <c r="G108" s="7">
        <f>INDEX('Rubro por CUI'!$F$5:$F$460,MATCH("001|2650473",'Rubro por CUI'!$N$5:$N$460,0))</f>
        <v>653776.0</v>
      </c>
      <c r="H108" s="7">
        <f>INDEX('Rubro por CUI'!$G$5:$G$460,MATCH("001|2650473",'Rubro por CUI'!$N$5:$N$460,0))</f>
        <v>0.0</v>
      </c>
      <c r="I108" s="7">
        <f>INDEX('Rubro por CUI'!$H$5:$H$460,MATCH("001|2650473",'Rubro por CUI'!$N$5:$N$460,0))</f>
        <v>1740229.0</v>
      </c>
      <c r="J108" s="7">
        <f>INDEX('Rubro por CUI'!$I$5:$I$460,MATCH("001|2650473",'Rubro por CUI'!$N$5:$N$460,0))</f>
        <v>0.0</v>
      </c>
      <c r="K108" s="7">
        <f>L108-SUM(F108:J108)</f>
        <v>0.0</v>
      </c>
      <c r="L108" s="7">
        <f>SUMIFS(Base!$I$5:$I$509,Base!$A$5:$A$509,"001",Base!$F$5:$F$509,"2650473")</f>
        <v>2394005.0</v>
      </c>
      <c r="M108" s="6" t="s">
        <v>69</v>
      </c>
      <c r="N108" s="6" t="s">
        <v>1634</v>
      </c>
    </row>
    <row r="109" spans="1:14">
      <c r="A109" s="18">
        <v>102</v>
      </c>
      <c r="B109" s="18" t="s">
        <v>1735</v>
      </c>
      <c r="C109" s="6" t="s">
        <v>348</v>
      </c>
      <c r="D109" s="23">
        <v>2554872</v>
      </c>
      <c r="E109" s="23">
        <v>111628</v>
      </c>
      <c r="F109" s="7">
        <f>INDEX('Rubro por CUI'!$E$5:$E$460,MATCH("001|2649858",'Rubro por CUI'!$N$5:$N$460,0))</f>
        <v>0.0</v>
      </c>
      <c r="G109" s="7">
        <f>INDEX('Rubro por CUI'!$F$5:$F$460,MATCH("001|2649858",'Rubro por CUI'!$N$5:$N$460,0))</f>
        <v>0.0</v>
      </c>
      <c r="H109" s="7">
        <f>INDEX('Rubro por CUI'!$G$5:$G$460,MATCH("001|2649858",'Rubro por CUI'!$N$5:$N$460,0))</f>
        <v>2361641.0</v>
      </c>
      <c r="I109" s="7">
        <f>INDEX('Rubro por CUI'!$H$5:$H$460,MATCH("001|2649858",'Rubro por CUI'!$N$5:$N$460,0))</f>
        <v>0.0</v>
      </c>
      <c r="J109" s="7">
        <f>INDEX('Rubro por CUI'!$I$5:$I$460,MATCH("001|2649858",'Rubro por CUI'!$N$5:$N$460,0))</f>
        <v>0.0</v>
      </c>
      <c r="K109" s="7">
        <f>L109-SUM(F109:J109)</f>
        <v>0.0</v>
      </c>
      <c r="L109" s="7">
        <f>SUMIFS(Base!$I$5:$I$509,Base!$A$5:$A$509,"001",Base!$F$5:$F$509,"2649858")</f>
        <v>2361641.0</v>
      </c>
      <c r="M109" s="7">
        <f>D109-E109-L109</f>
        <v>81603.0</v>
      </c>
      <c r="N109" s="6" t="s">
        <v>63</v>
      </c>
    </row>
    <row r="110" spans="1:14">
      <c r="A110" s="18">
        <v>103</v>
      </c>
      <c r="B110" s="18" t="s">
        <v>1736</v>
      </c>
      <c r="C110" s="6" t="s">
        <v>417</v>
      </c>
      <c r="D110" s="23">
        <v>3634791</v>
      </c>
      <c r="E110" s="23">
        <v>549425</v>
      </c>
      <c r="F110" s="7">
        <f>INDEX('Rubro por CUI'!$E$5:$E$460,MATCH("001|2250382",'Rubro por CUI'!$N$5:$N$460,0))</f>
        <v>0.0</v>
      </c>
      <c r="G110" s="7">
        <f>INDEX('Rubro por CUI'!$F$5:$F$460,MATCH("001|2250382",'Rubro por CUI'!$N$5:$N$460,0))</f>
        <v>0.0</v>
      </c>
      <c r="H110" s="7">
        <f>INDEX('Rubro por CUI'!$G$5:$G$460,MATCH("001|2250382",'Rubro por CUI'!$N$5:$N$460,0))</f>
        <v>2342684.0</v>
      </c>
      <c r="I110" s="7">
        <f>INDEX('Rubro por CUI'!$H$5:$H$460,MATCH("001|2250382",'Rubro por CUI'!$N$5:$N$460,0))</f>
        <v>0.0</v>
      </c>
      <c r="J110" s="7">
        <f>INDEX('Rubro por CUI'!$I$5:$I$460,MATCH("001|2250382",'Rubro por CUI'!$N$5:$N$460,0))</f>
        <v>0.0</v>
      </c>
      <c r="K110" s="7">
        <f>L110-SUM(F110:J110)</f>
        <v>0.0</v>
      </c>
      <c r="L110" s="7">
        <f>SUMIFS(Base!$I$5:$I$509,Base!$A$5:$A$509,"001",Base!$F$5:$F$509,"2250382")</f>
        <v>2342684.0</v>
      </c>
      <c r="M110" s="7">
        <f>D110-E110-L110</f>
        <v>742682.0</v>
      </c>
      <c r="N110" s="6" t="s">
        <v>63</v>
      </c>
    </row>
    <row r="111" spans="1:14">
      <c r="A111" s="18">
        <v>104</v>
      </c>
      <c r="B111" s="18" t="s">
        <v>1737</v>
      </c>
      <c r="C111" s="6" t="s">
        <v>85</v>
      </c>
      <c r="D111" s="23">
        <v>14491611</v>
      </c>
      <c r="E111" s="23">
        <v>12020022</v>
      </c>
      <c r="F111" s="7">
        <f>INDEX('Rubro por CUI'!$E$5:$E$460,MATCH("001|2344324",'Rubro por CUI'!$N$5:$N$460,0))</f>
        <v>0.0</v>
      </c>
      <c r="G111" s="7">
        <f>INDEX('Rubro por CUI'!$F$5:$F$460,MATCH("001|2344324",'Rubro por CUI'!$N$5:$N$460,0))</f>
        <v>0.0</v>
      </c>
      <c r="H111" s="7">
        <f>INDEX('Rubro por CUI'!$G$5:$G$460,MATCH("001|2344324",'Rubro por CUI'!$N$5:$N$460,0))</f>
        <v>2079431.0</v>
      </c>
      <c r="I111" s="7">
        <f>INDEX('Rubro por CUI'!$H$5:$H$460,MATCH("001|2344324",'Rubro por CUI'!$N$5:$N$460,0))</f>
        <v>0.0</v>
      </c>
      <c r="J111" s="7">
        <f>INDEX('Rubro por CUI'!$I$5:$I$460,MATCH("001|2344324",'Rubro por CUI'!$N$5:$N$460,0))</f>
        <v>0.0</v>
      </c>
      <c r="K111" s="7">
        <f>L111-SUM(F111:J111)</f>
        <v>0.0</v>
      </c>
      <c r="L111" s="7">
        <f>SUMIFS(Base!$I$5:$I$509,Base!$A$5:$A$509,"001",Base!$F$5:$F$509,"2344324")</f>
        <v>2079431.0</v>
      </c>
      <c r="M111" s="7">
        <f>D111-E111-L111</f>
        <v>392158.0</v>
      </c>
      <c r="N111" s="6" t="s">
        <v>63</v>
      </c>
    </row>
    <row r="112" spans="1:14">
      <c r="A112" s="18">
        <v>105</v>
      </c>
      <c r="B112" s="18" t="s">
        <v>1738</v>
      </c>
      <c r="C112" s="6" t="s">
        <v>104</v>
      </c>
      <c r="D112" s="23">
        <v>57464983</v>
      </c>
      <c r="E112" s="23">
        <v>1085345</v>
      </c>
      <c r="F112" s="7">
        <f>INDEX('Rubro por CUI'!$E$5:$E$460,MATCH("001|2539673",'Rubro por CUI'!$N$5:$N$460,0))</f>
        <v>0.0</v>
      </c>
      <c r="G112" s="7">
        <f>INDEX('Rubro por CUI'!$F$5:$F$460,MATCH("001|2539673",'Rubro por CUI'!$N$5:$N$460,0))</f>
        <v>0.0</v>
      </c>
      <c r="H112" s="7">
        <f>INDEX('Rubro por CUI'!$G$5:$G$460,MATCH("001|2539673",'Rubro por CUI'!$N$5:$N$460,0))</f>
        <v>2000000.0</v>
      </c>
      <c r="I112" s="7">
        <f>INDEX('Rubro por CUI'!$H$5:$H$460,MATCH("001|2539673",'Rubro por CUI'!$N$5:$N$460,0))</f>
        <v>0.0</v>
      </c>
      <c r="J112" s="7">
        <f>INDEX('Rubro por CUI'!$I$5:$I$460,MATCH("001|2539673",'Rubro por CUI'!$N$5:$N$460,0))</f>
        <v>0.0</v>
      </c>
      <c r="K112" s="7">
        <f>L112-SUM(F112:J112)</f>
        <v>0.0</v>
      </c>
      <c r="L112" s="7">
        <f>SUMIFS(Base!$I$5:$I$509,Base!$A$5:$A$509,"001",Base!$F$5:$F$509,"2539673")</f>
        <v>2000000.0</v>
      </c>
      <c r="M112" s="7">
        <f>D112-E112-L112</f>
        <v>54379638.0</v>
      </c>
      <c r="N112" s="6" t="s">
        <v>63</v>
      </c>
    </row>
    <row r="113" spans="1:14">
      <c r="A113" s="18">
        <v>106</v>
      </c>
      <c r="B113" s="18" t="s">
        <v>1739</v>
      </c>
      <c r="C113" s="6" t="s">
        <v>111</v>
      </c>
      <c r="D113" s="23">
        <v>2388319</v>
      </c>
      <c r="E113" s="23">
        <v>144845</v>
      </c>
      <c r="F113" s="7">
        <f>INDEX('Rubro por CUI'!$E$5:$E$460,MATCH("001|2664940",'Rubro por CUI'!$N$5:$N$460,0))</f>
        <v>0.0</v>
      </c>
      <c r="G113" s="7">
        <f>INDEX('Rubro por CUI'!$F$5:$F$460,MATCH("001|2664940",'Rubro por CUI'!$N$5:$N$460,0))</f>
        <v>451270.0</v>
      </c>
      <c r="H113" s="7">
        <f>INDEX('Rubro por CUI'!$G$5:$G$460,MATCH("001|2664940",'Rubro por CUI'!$N$5:$N$460,0))</f>
        <v>1410000.0</v>
      </c>
      <c r="I113" s="7">
        <f>INDEX('Rubro por CUI'!$H$5:$H$460,MATCH("001|2664940",'Rubro por CUI'!$N$5:$N$460,0))</f>
        <v>0.0</v>
      </c>
      <c r="J113" s="7">
        <f>INDEX('Rubro por CUI'!$I$5:$I$460,MATCH("001|2664940",'Rubro por CUI'!$N$5:$N$460,0))</f>
        <v>0.0</v>
      </c>
      <c r="K113" s="7">
        <f>L113-SUM(F113:J113)</f>
        <v>0.0</v>
      </c>
      <c r="L113" s="7">
        <f>SUMIFS(Base!$I$5:$I$509,Base!$A$5:$A$509,"001",Base!$F$5:$F$509,"2664940")</f>
        <v>1861270.0</v>
      </c>
      <c r="M113" s="7">
        <f>D113-E113-L113</f>
        <v>382204.0</v>
      </c>
      <c r="N113" s="6" t="s">
        <v>63</v>
      </c>
    </row>
    <row r="114" spans="1:14">
      <c r="A114" s="18">
        <v>107</v>
      </c>
      <c r="B114" s="18" t="s">
        <v>1740</v>
      </c>
      <c r="C114" s="6" t="s">
        <v>1375</v>
      </c>
      <c r="D114" s="6" t="s">
        <v>69</v>
      </c>
      <c r="E114" s="6" t="s">
        <v>69</v>
      </c>
      <c r="F114" s="7">
        <f>INDEX('Rubro por CUI'!$E$5:$E$460,MATCH("001|2719529",'Rubro por CUI'!$N$5:$N$460,0))</f>
        <v>0.0</v>
      </c>
      <c r="G114" s="7">
        <f>INDEX('Rubro por CUI'!$F$5:$F$460,MATCH("001|2719529",'Rubro por CUI'!$N$5:$N$460,0))</f>
        <v>1688098.0</v>
      </c>
      <c r="H114" s="7">
        <f>INDEX('Rubro por CUI'!$G$5:$G$460,MATCH("001|2719529",'Rubro por CUI'!$N$5:$N$460,0))</f>
        <v>0.0</v>
      </c>
      <c r="I114" s="7">
        <f>INDEX('Rubro por CUI'!$H$5:$H$460,MATCH("001|2719529",'Rubro por CUI'!$N$5:$N$460,0))</f>
        <v>0.0</v>
      </c>
      <c r="J114" s="7">
        <f>INDEX('Rubro por CUI'!$I$5:$I$460,MATCH("001|2719529",'Rubro por CUI'!$N$5:$N$460,0))</f>
        <v>0.0</v>
      </c>
      <c r="K114" s="7">
        <f>L114-SUM(F114:J114)</f>
        <v>0.0</v>
      </c>
      <c r="L114" s="7">
        <f>SUMIFS(Base!$I$5:$I$509,Base!$A$5:$A$509,"001",Base!$F$5:$F$509,"2719529")</f>
        <v>1688098.0</v>
      </c>
      <c r="M114" s="6" t="s">
        <v>69</v>
      </c>
      <c r="N114" s="6" t="s">
        <v>1634</v>
      </c>
    </row>
    <row r="115" spans="1:14">
      <c r="A115" s="18">
        <v>108</v>
      </c>
      <c r="B115" s="18" t="s">
        <v>1741</v>
      </c>
      <c r="C115" s="6" t="s">
        <v>426</v>
      </c>
      <c r="D115" s="23">
        <v>15685238</v>
      </c>
      <c r="E115" s="23">
        <v>539273</v>
      </c>
      <c r="F115" s="7">
        <f>INDEX('Rubro por CUI'!$E$5:$E$460,MATCH("001|2566572",'Rubro por CUI'!$N$5:$N$460,0))</f>
        <v>0.0</v>
      </c>
      <c r="G115" s="7">
        <f>INDEX('Rubro por CUI'!$F$5:$F$460,MATCH("001|2566572",'Rubro por CUI'!$N$5:$N$460,0))</f>
        <v>0.0</v>
      </c>
      <c r="H115" s="7">
        <f>INDEX('Rubro por CUI'!$G$5:$G$460,MATCH("001|2566572",'Rubro por CUI'!$N$5:$N$460,0))</f>
        <v>1479604.0</v>
      </c>
      <c r="I115" s="7">
        <f>INDEX('Rubro por CUI'!$H$5:$H$460,MATCH("001|2566572",'Rubro por CUI'!$N$5:$N$460,0))</f>
        <v>0.0</v>
      </c>
      <c r="J115" s="7">
        <f>INDEX('Rubro por CUI'!$I$5:$I$460,MATCH("001|2566572",'Rubro por CUI'!$N$5:$N$460,0))</f>
        <v>0.0</v>
      </c>
      <c r="K115" s="7">
        <f>L115-SUM(F115:J115)</f>
        <v>0.0</v>
      </c>
      <c r="L115" s="7">
        <f>SUMIFS(Base!$I$5:$I$509,Base!$A$5:$A$509,"001",Base!$F$5:$F$509,"2566572")</f>
        <v>1479604.0</v>
      </c>
      <c r="M115" s="7">
        <f>D115-E115-L115</f>
        <v>13666361.0</v>
      </c>
      <c r="N115" s="6" t="s">
        <v>63</v>
      </c>
    </row>
    <row r="116" spans="1:14">
      <c r="A116" s="18">
        <v>109</v>
      </c>
      <c r="B116" s="18" t="s">
        <v>1742</v>
      </c>
      <c r="C116" s="6" t="s">
        <v>88</v>
      </c>
      <c r="D116" s="23">
        <v>12502191</v>
      </c>
      <c r="E116" s="23">
        <v>11024054</v>
      </c>
      <c r="F116" s="7">
        <f>INDEX('Rubro por CUI'!$E$5:$E$460,MATCH("001|2490075",'Rubro por CUI'!$N$5:$N$460,0))</f>
        <v>0.0</v>
      </c>
      <c r="G116" s="7">
        <f>INDEX('Rubro por CUI'!$F$5:$F$460,MATCH("001|2490075",'Rubro por CUI'!$N$5:$N$460,0))</f>
        <v>0.0</v>
      </c>
      <c r="H116" s="7">
        <f>INDEX('Rubro por CUI'!$G$5:$G$460,MATCH("001|2490075",'Rubro por CUI'!$N$5:$N$460,0))</f>
        <v>1425006.0</v>
      </c>
      <c r="I116" s="7">
        <f>INDEX('Rubro por CUI'!$H$5:$H$460,MATCH("001|2490075",'Rubro por CUI'!$N$5:$N$460,0))</f>
        <v>0.0</v>
      </c>
      <c r="J116" s="7">
        <f>INDEX('Rubro por CUI'!$I$5:$I$460,MATCH("001|2490075",'Rubro por CUI'!$N$5:$N$460,0))</f>
        <v>0.0</v>
      </c>
      <c r="K116" s="7">
        <f>L116-SUM(F116:J116)</f>
        <v>0.0</v>
      </c>
      <c r="L116" s="7">
        <f>SUMIFS(Base!$I$5:$I$509,Base!$A$5:$A$509,"001",Base!$F$5:$F$509,"2490075")</f>
        <v>1425006.0</v>
      </c>
      <c r="M116" s="7">
        <f>D116-E116-L116</f>
        <v>53131.0</v>
      </c>
      <c r="N116" s="6" t="s">
        <v>63</v>
      </c>
    </row>
    <row r="117" spans="1:14">
      <c r="A117" s="18">
        <v>110</v>
      </c>
      <c r="B117" s="18" t="s">
        <v>1743</v>
      </c>
      <c r="C117" s="6" t="s">
        <v>351</v>
      </c>
      <c r="D117" s="23">
        <v>13497888</v>
      </c>
      <c r="E117" s="23">
        <v>12180425</v>
      </c>
      <c r="F117" s="7">
        <f>INDEX('Rubro por CUI'!$E$5:$E$460,MATCH("001|2411335",'Rubro por CUI'!$N$5:$N$460,0))</f>
        <v>0.0</v>
      </c>
      <c r="G117" s="7">
        <f>INDEX('Rubro por CUI'!$F$5:$F$460,MATCH("001|2411335",'Rubro por CUI'!$N$5:$N$460,0))</f>
        <v>0.0</v>
      </c>
      <c r="H117" s="7">
        <f>INDEX('Rubro por CUI'!$G$5:$G$460,MATCH("001|2411335",'Rubro por CUI'!$N$5:$N$460,0))</f>
        <v>1272735.0</v>
      </c>
      <c r="I117" s="7">
        <f>INDEX('Rubro por CUI'!$H$5:$H$460,MATCH("001|2411335",'Rubro por CUI'!$N$5:$N$460,0))</f>
        <v>0.0</v>
      </c>
      <c r="J117" s="7">
        <f>INDEX('Rubro por CUI'!$I$5:$I$460,MATCH("001|2411335",'Rubro por CUI'!$N$5:$N$460,0))</f>
        <v>0.0</v>
      </c>
      <c r="K117" s="7">
        <f>L117-SUM(F117:J117)</f>
        <v>0.0</v>
      </c>
      <c r="L117" s="7">
        <f>SUMIFS(Base!$I$5:$I$509,Base!$A$5:$A$509,"001",Base!$F$5:$F$509,"2411335")</f>
        <v>1272735.0</v>
      </c>
      <c r="M117" s="7">
        <f>D117-E117-L117</f>
        <v>44728.0</v>
      </c>
      <c r="N117" s="6" t="s">
        <v>63</v>
      </c>
    </row>
    <row r="118" spans="1:14">
      <c r="A118" s="18">
        <v>111</v>
      </c>
      <c r="B118" s="18" t="s">
        <v>1744</v>
      </c>
      <c r="C118" s="6" t="s">
        <v>345</v>
      </c>
      <c r="D118" s="23">
        <v>2187901</v>
      </c>
      <c r="E118" s="23">
        <v>86545</v>
      </c>
      <c r="F118" s="7">
        <f>INDEX('Rubro por CUI'!$E$5:$E$460,MATCH("001|2649852",'Rubro por CUI'!$N$5:$N$460,0))</f>
        <v>0.0</v>
      </c>
      <c r="G118" s="7">
        <f>INDEX('Rubro por CUI'!$F$5:$F$460,MATCH("001|2649852",'Rubro por CUI'!$N$5:$N$460,0))</f>
        <v>0.0</v>
      </c>
      <c r="H118" s="7">
        <f>INDEX('Rubro por CUI'!$G$5:$G$460,MATCH("001|2649852",'Rubro por CUI'!$N$5:$N$460,0))</f>
        <v>1142346.0</v>
      </c>
      <c r="I118" s="7">
        <f>INDEX('Rubro por CUI'!$H$5:$H$460,MATCH("001|2649852",'Rubro por CUI'!$N$5:$N$460,0))</f>
        <v>0.0</v>
      </c>
      <c r="J118" s="7">
        <f>INDEX('Rubro por CUI'!$I$5:$I$460,MATCH("001|2649852",'Rubro por CUI'!$N$5:$N$460,0))</f>
        <v>0.0</v>
      </c>
      <c r="K118" s="7">
        <f>L118-SUM(F118:J118)</f>
        <v>0.0</v>
      </c>
      <c r="L118" s="7">
        <f>SUMIFS(Base!$I$5:$I$509,Base!$A$5:$A$509,"001",Base!$F$5:$F$509,"2649852")</f>
        <v>1142346.0</v>
      </c>
      <c r="M118" s="7">
        <f>D118-E118-L118</f>
        <v>959010.0</v>
      </c>
      <c r="N118" s="6" t="s">
        <v>63</v>
      </c>
    </row>
    <row r="119" spans="1:14">
      <c r="A119" s="18">
        <v>112</v>
      </c>
      <c r="B119" s="18" t="s">
        <v>1745</v>
      </c>
      <c r="C119" s="6" t="s">
        <v>429</v>
      </c>
      <c r="D119" s="6" t="s">
        <v>69</v>
      </c>
      <c r="E119" s="6" t="s">
        <v>69</v>
      </c>
      <c r="F119" s="7">
        <f>INDEX('Rubro por CUI'!$E$5:$E$460,MATCH("001|2501244",'Rubro por CUI'!$N$5:$N$460,0))</f>
        <v>0.0</v>
      </c>
      <c r="G119" s="7">
        <f>INDEX('Rubro por CUI'!$F$5:$F$460,MATCH("001|2501244",'Rubro por CUI'!$N$5:$N$460,0))</f>
        <v>0.0</v>
      </c>
      <c r="H119" s="7">
        <f>INDEX('Rubro por CUI'!$G$5:$G$460,MATCH("001|2501244",'Rubro por CUI'!$N$5:$N$460,0))</f>
        <v>1038097.0</v>
      </c>
      <c r="I119" s="7">
        <f>INDEX('Rubro por CUI'!$H$5:$H$460,MATCH("001|2501244",'Rubro por CUI'!$N$5:$N$460,0))</f>
        <v>0.0</v>
      </c>
      <c r="J119" s="7">
        <f>INDEX('Rubro por CUI'!$I$5:$I$460,MATCH("001|2501244",'Rubro por CUI'!$N$5:$N$460,0))</f>
        <v>0.0</v>
      </c>
      <c r="K119" s="7">
        <f>L119-SUM(F119:J119)</f>
        <v>0.0</v>
      </c>
      <c r="L119" s="7">
        <f>SUMIFS(Base!$I$5:$I$509,Base!$A$5:$A$509,"001",Base!$F$5:$F$509,"2501244")</f>
        <v>1038097.0</v>
      </c>
      <c r="M119" s="6" t="s">
        <v>69</v>
      </c>
      <c r="N119" s="6" t="s">
        <v>1634</v>
      </c>
    </row>
    <row r="120" spans="1:14">
      <c r="A120" s="18">
        <v>113</v>
      </c>
      <c r="B120" s="18" t="s">
        <v>1746</v>
      </c>
      <c r="C120" s="6" t="s">
        <v>1372</v>
      </c>
      <c r="D120" s="6" t="s">
        <v>69</v>
      </c>
      <c r="E120" s="6" t="s">
        <v>69</v>
      </c>
      <c r="F120" s="7">
        <f>INDEX('Rubro por CUI'!$E$5:$E$460,MATCH("001|2721892",'Rubro por CUI'!$N$5:$N$460,0))</f>
        <v>0.0</v>
      </c>
      <c r="G120" s="7">
        <f>INDEX('Rubro por CUI'!$F$5:$F$460,MATCH("001|2721892",'Rubro por CUI'!$N$5:$N$460,0))</f>
        <v>1007572.0</v>
      </c>
      <c r="H120" s="7">
        <f>INDEX('Rubro por CUI'!$G$5:$G$460,MATCH("001|2721892",'Rubro por CUI'!$N$5:$N$460,0))</f>
        <v>0.0</v>
      </c>
      <c r="I120" s="7">
        <f>INDEX('Rubro por CUI'!$H$5:$H$460,MATCH("001|2721892",'Rubro por CUI'!$N$5:$N$460,0))</f>
        <v>0.0</v>
      </c>
      <c r="J120" s="7">
        <f>INDEX('Rubro por CUI'!$I$5:$I$460,MATCH("001|2721892",'Rubro por CUI'!$N$5:$N$460,0))</f>
        <v>0.0</v>
      </c>
      <c r="K120" s="7">
        <f>L120-SUM(F120:J120)</f>
        <v>0.0</v>
      </c>
      <c r="L120" s="7">
        <f>SUMIFS(Base!$I$5:$I$509,Base!$A$5:$A$509,"001",Base!$F$5:$F$509,"2721892")</f>
        <v>1007572.0</v>
      </c>
      <c r="M120" s="6" t="s">
        <v>69</v>
      </c>
      <c r="N120" s="6" t="s">
        <v>1634</v>
      </c>
    </row>
    <row r="121" spans="1:14">
      <c r="A121" s="18">
        <v>114</v>
      </c>
      <c r="B121" s="18" t="s">
        <v>1747</v>
      </c>
      <c r="C121" s="6" t="s">
        <v>1390</v>
      </c>
      <c r="D121" s="6" t="s">
        <v>69</v>
      </c>
      <c r="E121" s="6" t="s">
        <v>69</v>
      </c>
      <c r="F121" s="7">
        <f>INDEX('Rubro por CUI'!$E$5:$E$460,MATCH("001|2729834",'Rubro por CUI'!$N$5:$N$460,0))</f>
        <v>0.0</v>
      </c>
      <c r="G121" s="7">
        <f>INDEX('Rubro por CUI'!$F$5:$F$460,MATCH("001|2729834",'Rubro por CUI'!$N$5:$N$460,0))</f>
        <v>928545.0</v>
      </c>
      <c r="H121" s="7">
        <f>INDEX('Rubro por CUI'!$G$5:$G$460,MATCH("001|2729834",'Rubro por CUI'!$N$5:$N$460,0))</f>
        <v>0.0</v>
      </c>
      <c r="I121" s="7">
        <f>INDEX('Rubro por CUI'!$H$5:$H$460,MATCH("001|2729834",'Rubro por CUI'!$N$5:$N$460,0))</f>
        <v>0.0</v>
      </c>
      <c r="J121" s="7">
        <f>INDEX('Rubro por CUI'!$I$5:$I$460,MATCH("001|2729834",'Rubro por CUI'!$N$5:$N$460,0))</f>
        <v>0.0</v>
      </c>
      <c r="K121" s="7">
        <f>L121-SUM(F121:J121)</f>
        <v>0.0</v>
      </c>
      <c r="L121" s="7">
        <f>SUMIFS(Base!$I$5:$I$509,Base!$A$5:$A$509,"001",Base!$F$5:$F$509,"2729834")</f>
        <v>928545.0</v>
      </c>
      <c r="M121" s="6" t="s">
        <v>69</v>
      </c>
      <c r="N121" s="6" t="s">
        <v>1634</v>
      </c>
    </row>
    <row r="122" spans="1:14">
      <c r="A122" s="18">
        <v>115</v>
      </c>
      <c r="B122" s="18" t="s">
        <v>1748</v>
      </c>
      <c r="C122" s="6" t="s">
        <v>354</v>
      </c>
      <c r="D122" s="23">
        <v>2174190</v>
      </c>
      <c r="E122" s="23">
        <v>82791</v>
      </c>
      <c r="F122" s="7">
        <f>INDEX('Rubro por CUI'!$E$5:$E$460,MATCH("001|2651383",'Rubro por CUI'!$N$5:$N$460,0))</f>
        <v>0.0</v>
      </c>
      <c r="G122" s="7">
        <f>INDEX('Rubro por CUI'!$F$5:$F$460,MATCH("001|2651383",'Rubro por CUI'!$N$5:$N$460,0))</f>
        <v>0.0</v>
      </c>
      <c r="H122" s="7">
        <f>INDEX('Rubro por CUI'!$G$5:$G$460,MATCH("001|2651383",'Rubro por CUI'!$N$5:$N$460,0))</f>
        <v>919876.0</v>
      </c>
      <c r="I122" s="7">
        <f>INDEX('Rubro por CUI'!$H$5:$H$460,MATCH("001|2651383",'Rubro por CUI'!$N$5:$N$460,0))</f>
        <v>0.0</v>
      </c>
      <c r="J122" s="7">
        <f>INDEX('Rubro por CUI'!$I$5:$I$460,MATCH("001|2651383",'Rubro por CUI'!$N$5:$N$460,0))</f>
        <v>0.0</v>
      </c>
      <c r="K122" s="7">
        <f>L122-SUM(F122:J122)</f>
        <v>0.0</v>
      </c>
      <c r="L122" s="7">
        <f>SUMIFS(Base!$I$5:$I$509,Base!$A$5:$A$509,"001",Base!$F$5:$F$509,"2651383")</f>
        <v>919876.0</v>
      </c>
      <c r="M122" s="7">
        <f>D122-E122-L122</f>
        <v>1171523.0</v>
      </c>
      <c r="N122" s="6" t="s">
        <v>63</v>
      </c>
    </row>
    <row r="123" spans="1:14">
      <c r="A123" s="18">
        <v>116</v>
      </c>
      <c r="B123" s="18" t="s">
        <v>1749</v>
      </c>
      <c r="C123" s="6" t="s">
        <v>132</v>
      </c>
      <c r="D123" s="23">
        <v>17552581</v>
      </c>
      <c r="E123" s="23">
        <v>16064638</v>
      </c>
      <c r="F123" s="7">
        <f>INDEX('Rubro por CUI'!$E$5:$E$460,MATCH("001|2301117",'Rubro por CUI'!$N$5:$N$460,0))</f>
        <v>0.0</v>
      </c>
      <c r="G123" s="7">
        <f>INDEX('Rubro por CUI'!$F$5:$F$460,MATCH("001|2301117",'Rubro por CUI'!$N$5:$N$460,0))</f>
        <v>0.0</v>
      </c>
      <c r="H123" s="7">
        <f>INDEX('Rubro por CUI'!$G$5:$G$460,MATCH("001|2301117",'Rubro por CUI'!$N$5:$N$460,0))</f>
        <v>909086.0</v>
      </c>
      <c r="I123" s="7">
        <f>INDEX('Rubro por CUI'!$H$5:$H$460,MATCH("001|2301117",'Rubro por CUI'!$N$5:$N$460,0))</f>
        <v>0.0</v>
      </c>
      <c r="J123" s="7">
        <f>INDEX('Rubro por CUI'!$I$5:$I$460,MATCH("001|2301117",'Rubro por CUI'!$N$5:$N$460,0))</f>
        <v>0.0</v>
      </c>
      <c r="K123" s="7">
        <f>L123-SUM(F123:J123)</f>
        <v>0.0</v>
      </c>
      <c r="L123" s="7">
        <f>SUMIFS(Base!$I$5:$I$509,Base!$A$5:$A$509,"001",Base!$F$5:$F$509,"2301117")</f>
        <v>909086.0</v>
      </c>
      <c r="M123" s="7">
        <f>D123-E123-L123</f>
        <v>578857.0</v>
      </c>
      <c r="N123" s="6" t="s">
        <v>63</v>
      </c>
    </row>
    <row r="124" spans="1:14">
      <c r="A124" s="18">
        <v>117</v>
      </c>
      <c r="B124" s="18" t="s">
        <v>1750</v>
      </c>
      <c r="C124" s="6" t="s">
        <v>539</v>
      </c>
      <c r="D124" s="23">
        <v>30928293</v>
      </c>
      <c r="E124" s="23">
        <v>0</v>
      </c>
      <c r="F124" s="7">
        <f>INDEX('Rubro por CUI'!$E$5:$E$460,MATCH("001|2681029",'Rubro por CUI'!$N$5:$N$460,0))</f>
        <v>0.0</v>
      </c>
      <c r="G124" s="7">
        <f>INDEX('Rubro por CUI'!$F$5:$F$460,MATCH("001|2681029",'Rubro por CUI'!$N$5:$N$460,0))</f>
        <v>0.0</v>
      </c>
      <c r="H124" s="7">
        <f>INDEX('Rubro por CUI'!$G$5:$G$460,MATCH("001|2681029",'Rubro por CUI'!$N$5:$N$460,0))</f>
        <v>784869.0</v>
      </c>
      <c r="I124" s="7">
        <f>INDEX('Rubro por CUI'!$H$5:$H$460,MATCH("001|2681029",'Rubro por CUI'!$N$5:$N$460,0))</f>
        <v>0.0</v>
      </c>
      <c r="J124" s="7">
        <f>INDEX('Rubro por CUI'!$I$5:$I$460,MATCH("001|2681029",'Rubro por CUI'!$N$5:$N$460,0))</f>
        <v>0.0</v>
      </c>
      <c r="K124" s="7">
        <f>L124-SUM(F124:J124)</f>
        <v>0.0</v>
      </c>
      <c r="L124" s="7">
        <f>SUMIFS(Base!$I$5:$I$509,Base!$A$5:$A$509,"001",Base!$F$5:$F$509,"2681029")</f>
        <v>784869.0</v>
      </c>
      <c r="M124" s="7">
        <f>D124-E124-L124</f>
        <v>30143424.0</v>
      </c>
      <c r="N124" s="6" t="s">
        <v>63</v>
      </c>
    </row>
    <row r="125" spans="1:14">
      <c r="A125" s="18">
        <v>118</v>
      </c>
      <c r="B125" s="18" t="s">
        <v>1751</v>
      </c>
      <c r="C125" s="6" t="s">
        <v>147</v>
      </c>
      <c r="D125" s="23">
        <v>1868187</v>
      </c>
      <c r="E125" s="23">
        <v>139657</v>
      </c>
      <c r="F125" s="7">
        <f>INDEX('Rubro por CUI'!$E$5:$E$460,MATCH("001|2196834",'Rubro por CUI'!$N$5:$N$460,0))</f>
        <v>0.0</v>
      </c>
      <c r="G125" s="7">
        <f>INDEX('Rubro por CUI'!$F$5:$F$460,MATCH("001|2196834",'Rubro por CUI'!$N$5:$N$460,0))</f>
        <v>0.0</v>
      </c>
      <c r="H125" s="7">
        <f>INDEX('Rubro por CUI'!$G$5:$G$460,MATCH("001|2196834",'Rubro por CUI'!$N$5:$N$460,0))</f>
        <v>728529.0</v>
      </c>
      <c r="I125" s="7">
        <f>INDEX('Rubro por CUI'!$H$5:$H$460,MATCH("001|2196834",'Rubro por CUI'!$N$5:$N$460,0))</f>
        <v>0.0</v>
      </c>
      <c r="J125" s="7">
        <f>INDEX('Rubro por CUI'!$I$5:$I$460,MATCH("001|2196834",'Rubro por CUI'!$N$5:$N$460,0))</f>
        <v>0.0</v>
      </c>
      <c r="K125" s="7">
        <f>L125-SUM(F125:J125)</f>
        <v>0.0</v>
      </c>
      <c r="L125" s="7">
        <f>SUMIFS(Base!$I$5:$I$509,Base!$A$5:$A$509,"001",Base!$F$5:$F$509,"2196834")</f>
        <v>728529.0</v>
      </c>
      <c r="M125" s="7">
        <f>D125-E125-L125</f>
        <v>1000001.0</v>
      </c>
      <c r="N125" s="6" t="s">
        <v>63</v>
      </c>
    </row>
    <row r="126" spans="1:14">
      <c r="A126" s="18">
        <v>119</v>
      </c>
      <c r="B126" s="18" t="s">
        <v>1752</v>
      </c>
      <c r="C126" s="6" t="s">
        <v>360</v>
      </c>
      <c r="D126" s="23">
        <v>1731972</v>
      </c>
      <c r="E126" s="23">
        <v>105077</v>
      </c>
      <c r="F126" s="7">
        <f>INDEX('Rubro por CUI'!$E$5:$E$460,MATCH("001|2649805",'Rubro por CUI'!$N$5:$N$460,0))</f>
        <v>0.0</v>
      </c>
      <c r="G126" s="7">
        <f>INDEX('Rubro por CUI'!$F$5:$F$460,MATCH("001|2649805",'Rubro por CUI'!$N$5:$N$460,0))</f>
        <v>0.0</v>
      </c>
      <c r="H126" s="7">
        <f>INDEX('Rubro por CUI'!$G$5:$G$460,MATCH("001|2649805",'Rubro por CUI'!$N$5:$N$460,0))</f>
        <v>704972.0</v>
      </c>
      <c r="I126" s="7">
        <f>INDEX('Rubro por CUI'!$H$5:$H$460,MATCH("001|2649805",'Rubro por CUI'!$N$5:$N$460,0))</f>
        <v>0.0</v>
      </c>
      <c r="J126" s="7">
        <f>INDEX('Rubro por CUI'!$I$5:$I$460,MATCH("001|2649805",'Rubro por CUI'!$N$5:$N$460,0))</f>
        <v>0.0</v>
      </c>
      <c r="K126" s="7">
        <f>L126-SUM(F126:J126)</f>
        <v>0.0</v>
      </c>
      <c r="L126" s="7">
        <f>SUMIFS(Base!$I$5:$I$509,Base!$A$5:$A$509,"001",Base!$F$5:$F$509,"2649805")</f>
        <v>704972.0</v>
      </c>
      <c r="M126" s="7">
        <f>D126-E126-L126</f>
        <v>921923.0</v>
      </c>
      <c r="N126" s="6" t="s">
        <v>63</v>
      </c>
    </row>
    <row r="127" spans="1:14">
      <c r="A127" s="18">
        <v>120</v>
      </c>
      <c r="B127" s="18" t="s">
        <v>1753</v>
      </c>
      <c r="C127" s="6" t="s">
        <v>1378</v>
      </c>
      <c r="D127" s="6" t="s">
        <v>69</v>
      </c>
      <c r="E127" s="6" t="s">
        <v>69</v>
      </c>
      <c r="F127" s="7">
        <f>INDEX('Rubro por CUI'!$E$5:$E$460,MATCH("001|2723359",'Rubro por CUI'!$N$5:$N$460,0))</f>
        <v>0.0</v>
      </c>
      <c r="G127" s="7">
        <f>INDEX('Rubro por CUI'!$F$5:$F$460,MATCH("001|2723359",'Rubro por CUI'!$N$5:$N$460,0))</f>
        <v>680748.0</v>
      </c>
      <c r="H127" s="7">
        <f>INDEX('Rubro por CUI'!$G$5:$G$460,MATCH("001|2723359",'Rubro por CUI'!$N$5:$N$460,0))</f>
        <v>0.0</v>
      </c>
      <c r="I127" s="7">
        <f>INDEX('Rubro por CUI'!$H$5:$H$460,MATCH("001|2723359",'Rubro por CUI'!$N$5:$N$460,0))</f>
        <v>0.0</v>
      </c>
      <c r="J127" s="7">
        <f>INDEX('Rubro por CUI'!$I$5:$I$460,MATCH("001|2723359",'Rubro por CUI'!$N$5:$N$460,0))</f>
        <v>0.0</v>
      </c>
      <c r="K127" s="7">
        <f>L127-SUM(F127:J127)</f>
        <v>0.0</v>
      </c>
      <c r="L127" s="7">
        <f>SUMIFS(Base!$I$5:$I$509,Base!$A$5:$A$509,"001",Base!$F$5:$F$509,"2723359")</f>
        <v>680748.0</v>
      </c>
      <c r="M127" s="6" t="s">
        <v>69</v>
      </c>
      <c r="N127" s="6" t="s">
        <v>1634</v>
      </c>
    </row>
    <row r="128" spans="1:14">
      <c r="A128" s="18">
        <v>121</v>
      </c>
      <c r="B128" s="18" t="s">
        <v>1754</v>
      </c>
      <c r="C128" s="6" t="s">
        <v>118</v>
      </c>
      <c r="D128" s="6" t="s">
        <v>69</v>
      </c>
      <c r="E128" s="6" t="s">
        <v>69</v>
      </c>
      <c r="F128" s="7">
        <f>INDEX('Rubro por CUI'!$E$5:$E$460,MATCH("001|2650476",'Rubro por CUI'!$N$5:$N$460,0))</f>
        <v>0.0</v>
      </c>
      <c r="G128" s="7">
        <f>INDEX('Rubro por CUI'!$F$5:$F$460,MATCH("001|2650476",'Rubro por CUI'!$N$5:$N$460,0))</f>
        <v>0.0</v>
      </c>
      <c r="H128" s="7">
        <f>INDEX('Rubro por CUI'!$G$5:$G$460,MATCH("001|2650476",'Rubro por CUI'!$N$5:$N$460,0))</f>
        <v>677644.0</v>
      </c>
      <c r="I128" s="7">
        <f>INDEX('Rubro por CUI'!$H$5:$H$460,MATCH("001|2650476",'Rubro por CUI'!$N$5:$N$460,0))</f>
        <v>0.0</v>
      </c>
      <c r="J128" s="7">
        <f>INDEX('Rubro por CUI'!$I$5:$I$460,MATCH("001|2650476",'Rubro por CUI'!$N$5:$N$460,0))</f>
        <v>0.0</v>
      </c>
      <c r="K128" s="7">
        <f>L128-SUM(F128:J128)</f>
        <v>0.0</v>
      </c>
      <c r="L128" s="7">
        <f>SUMIFS(Base!$I$5:$I$509,Base!$A$5:$A$509,"001",Base!$F$5:$F$509,"2650476")</f>
        <v>677644.0</v>
      </c>
      <c r="M128" s="6" t="s">
        <v>69</v>
      </c>
      <c r="N128" s="6" t="s">
        <v>1634</v>
      </c>
    </row>
    <row r="129" spans="1:14">
      <c r="A129" s="18">
        <v>122</v>
      </c>
      <c r="B129" s="18" t="s">
        <v>1755</v>
      </c>
      <c r="C129" s="6" t="s">
        <v>1381</v>
      </c>
      <c r="D129" s="6" t="s">
        <v>69</v>
      </c>
      <c r="E129" s="6" t="s">
        <v>69</v>
      </c>
      <c r="F129" s="7">
        <f>INDEX('Rubro por CUI'!$E$5:$E$460,MATCH("001|2721888",'Rubro por CUI'!$N$5:$N$460,0))</f>
        <v>0.0</v>
      </c>
      <c r="G129" s="7">
        <f>INDEX('Rubro por CUI'!$F$5:$F$460,MATCH("001|2721888",'Rubro por CUI'!$N$5:$N$460,0))</f>
        <v>670100.0</v>
      </c>
      <c r="H129" s="7">
        <f>INDEX('Rubro por CUI'!$G$5:$G$460,MATCH("001|2721888",'Rubro por CUI'!$N$5:$N$460,0))</f>
        <v>0.0</v>
      </c>
      <c r="I129" s="7">
        <f>INDEX('Rubro por CUI'!$H$5:$H$460,MATCH("001|2721888",'Rubro por CUI'!$N$5:$N$460,0))</f>
        <v>0.0</v>
      </c>
      <c r="J129" s="7">
        <f>INDEX('Rubro por CUI'!$I$5:$I$460,MATCH("001|2721888",'Rubro por CUI'!$N$5:$N$460,0))</f>
        <v>0.0</v>
      </c>
      <c r="K129" s="7">
        <f>L129-SUM(F129:J129)</f>
        <v>0.0</v>
      </c>
      <c r="L129" s="7">
        <f>SUMIFS(Base!$I$5:$I$509,Base!$A$5:$A$509,"001",Base!$F$5:$F$509,"2721888")</f>
        <v>670100.0</v>
      </c>
      <c r="M129" s="6" t="s">
        <v>69</v>
      </c>
      <c r="N129" s="6" t="s">
        <v>1634</v>
      </c>
    </row>
    <row r="130" spans="1:14">
      <c r="A130" s="18">
        <v>123</v>
      </c>
      <c r="B130" s="18" t="s">
        <v>1756</v>
      </c>
      <c r="C130" s="6" t="s">
        <v>512</v>
      </c>
      <c r="D130" s="23">
        <v>33561463</v>
      </c>
      <c r="E130" s="23">
        <v>39224</v>
      </c>
      <c r="F130" s="7">
        <f>INDEX('Rubro por CUI'!$E$5:$E$460,MATCH("001|2681028",'Rubro por CUI'!$N$5:$N$460,0))</f>
        <v>0.0</v>
      </c>
      <c r="G130" s="7">
        <f>INDEX('Rubro por CUI'!$F$5:$F$460,MATCH("001|2681028",'Rubro por CUI'!$N$5:$N$460,0))</f>
        <v>0.0</v>
      </c>
      <c r="H130" s="7">
        <f>INDEX('Rubro por CUI'!$G$5:$G$460,MATCH("001|2681028",'Rubro por CUI'!$N$5:$N$460,0))</f>
        <v>645412.0</v>
      </c>
      <c r="I130" s="7">
        <f>INDEX('Rubro por CUI'!$H$5:$H$460,MATCH("001|2681028",'Rubro por CUI'!$N$5:$N$460,0))</f>
        <v>0.0</v>
      </c>
      <c r="J130" s="7">
        <f>INDEX('Rubro por CUI'!$I$5:$I$460,MATCH("001|2681028",'Rubro por CUI'!$N$5:$N$460,0))</f>
        <v>0.0</v>
      </c>
      <c r="K130" s="7">
        <f>L130-SUM(F130:J130)</f>
        <v>0.0</v>
      </c>
      <c r="L130" s="7">
        <f>SUMIFS(Base!$I$5:$I$509,Base!$A$5:$A$509,"001",Base!$F$5:$F$509,"2681028")</f>
        <v>645412.0</v>
      </c>
      <c r="M130" s="7">
        <f>D130-E130-L130</f>
        <v>32876827.0</v>
      </c>
      <c r="N130" s="6" t="s">
        <v>63</v>
      </c>
    </row>
    <row r="131" spans="1:14">
      <c r="A131" s="18">
        <v>124</v>
      </c>
      <c r="B131" s="18" t="s">
        <v>1757</v>
      </c>
      <c r="C131" s="6" t="s">
        <v>536</v>
      </c>
      <c r="D131" s="23">
        <v>16279117</v>
      </c>
      <c r="E131" s="23">
        <v>0</v>
      </c>
      <c r="F131" s="7">
        <f>INDEX('Rubro por CUI'!$E$5:$E$460,MATCH("001|2670402",'Rubro por CUI'!$N$5:$N$460,0))</f>
        <v>0.0</v>
      </c>
      <c r="G131" s="7">
        <f>INDEX('Rubro por CUI'!$F$5:$F$460,MATCH("001|2670402",'Rubro por CUI'!$N$5:$N$460,0))</f>
        <v>0.0</v>
      </c>
      <c r="H131" s="7">
        <f>INDEX('Rubro por CUI'!$G$5:$G$460,MATCH("001|2670402",'Rubro por CUI'!$N$5:$N$460,0))</f>
        <v>621845.0</v>
      </c>
      <c r="I131" s="7">
        <f>INDEX('Rubro por CUI'!$H$5:$H$460,MATCH("001|2670402",'Rubro por CUI'!$N$5:$N$460,0))</f>
        <v>0.0</v>
      </c>
      <c r="J131" s="7">
        <f>INDEX('Rubro por CUI'!$I$5:$I$460,MATCH("001|2670402",'Rubro por CUI'!$N$5:$N$460,0))</f>
        <v>0.0</v>
      </c>
      <c r="K131" s="7">
        <f>L131-SUM(F131:J131)</f>
        <v>0.0</v>
      </c>
      <c r="L131" s="7">
        <f>SUMIFS(Base!$I$5:$I$509,Base!$A$5:$A$509,"001",Base!$F$5:$F$509,"2670402")</f>
        <v>621845.0</v>
      </c>
      <c r="M131" s="7">
        <f>D131-E131-L131</f>
        <v>15657272.0</v>
      </c>
      <c r="N131" s="6" t="s">
        <v>63</v>
      </c>
    </row>
    <row r="132" spans="1:14">
      <c r="A132" s="18">
        <v>125</v>
      </c>
      <c r="B132" s="18" t="s">
        <v>1758</v>
      </c>
      <c r="C132" s="6" t="s">
        <v>1387</v>
      </c>
      <c r="D132" s="6" t="s">
        <v>69</v>
      </c>
      <c r="E132" s="6" t="s">
        <v>69</v>
      </c>
      <c r="F132" s="7">
        <f>INDEX('Rubro por CUI'!$E$5:$E$460,MATCH("001|2721889",'Rubro por CUI'!$N$5:$N$460,0))</f>
        <v>0.0</v>
      </c>
      <c r="G132" s="7">
        <f>INDEX('Rubro por CUI'!$F$5:$F$460,MATCH("001|2721889",'Rubro por CUI'!$N$5:$N$460,0))</f>
        <v>542416.0</v>
      </c>
      <c r="H132" s="7">
        <f>INDEX('Rubro por CUI'!$G$5:$G$460,MATCH("001|2721889",'Rubro por CUI'!$N$5:$N$460,0))</f>
        <v>0.0</v>
      </c>
      <c r="I132" s="7">
        <f>INDEX('Rubro por CUI'!$H$5:$H$460,MATCH("001|2721889",'Rubro por CUI'!$N$5:$N$460,0))</f>
        <v>0.0</v>
      </c>
      <c r="J132" s="7">
        <f>INDEX('Rubro por CUI'!$I$5:$I$460,MATCH("001|2721889",'Rubro por CUI'!$N$5:$N$460,0))</f>
        <v>0.0</v>
      </c>
      <c r="K132" s="7">
        <f>L132-SUM(F132:J132)</f>
        <v>0.0</v>
      </c>
      <c r="L132" s="7">
        <f>SUMIFS(Base!$I$5:$I$509,Base!$A$5:$A$509,"001",Base!$F$5:$F$509,"2721889")</f>
        <v>542416.0</v>
      </c>
      <c r="M132" s="6" t="s">
        <v>69</v>
      </c>
      <c r="N132" s="6" t="s">
        <v>1634</v>
      </c>
    </row>
    <row r="133" spans="1:14">
      <c r="A133" s="18">
        <v>126</v>
      </c>
      <c r="B133" s="18" t="s">
        <v>1759</v>
      </c>
      <c r="C133" s="6" t="s">
        <v>709</v>
      </c>
      <c r="D133" s="23">
        <v>4977227</v>
      </c>
      <c r="E133" s="23">
        <v>221699</v>
      </c>
      <c r="F133" s="7">
        <f>INDEX('Rubro por CUI'!$E$5:$E$460,MATCH("001|2638009",'Rubro por CUI'!$N$5:$N$460,0))</f>
        <v>0.0</v>
      </c>
      <c r="G133" s="7">
        <f>INDEX('Rubro por CUI'!$F$5:$F$460,MATCH("001|2638009",'Rubro por CUI'!$N$5:$N$460,0))</f>
        <v>0.0</v>
      </c>
      <c r="H133" s="7">
        <f>INDEX('Rubro por CUI'!$G$5:$G$460,MATCH("001|2638009",'Rubro por CUI'!$N$5:$N$460,0))</f>
        <v>500172.0</v>
      </c>
      <c r="I133" s="7">
        <f>INDEX('Rubro por CUI'!$H$5:$H$460,MATCH("001|2638009",'Rubro por CUI'!$N$5:$N$460,0))</f>
        <v>0.0</v>
      </c>
      <c r="J133" s="7">
        <f>INDEX('Rubro por CUI'!$I$5:$I$460,MATCH("001|2638009",'Rubro por CUI'!$N$5:$N$460,0))</f>
        <v>0.0</v>
      </c>
      <c r="K133" s="7">
        <f>L133-SUM(F133:J133)</f>
        <v>0.0</v>
      </c>
      <c r="L133" s="7">
        <f>SUMIFS(Base!$I$5:$I$509,Base!$A$5:$A$509,"001",Base!$F$5:$F$509,"2638009")</f>
        <v>500172.0</v>
      </c>
      <c r="M133" s="7">
        <f>D133-E133-L133</f>
        <v>4255356.0</v>
      </c>
      <c r="N133" s="6" t="s">
        <v>63</v>
      </c>
    </row>
    <row r="134" spans="1:14">
      <c r="A134" s="18">
        <v>127</v>
      </c>
      <c r="B134" s="18" t="s">
        <v>1760</v>
      </c>
      <c r="C134" s="6" t="s">
        <v>122</v>
      </c>
      <c r="D134" s="6" t="s">
        <v>69</v>
      </c>
      <c r="E134" s="6" t="s">
        <v>69</v>
      </c>
      <c r="F134" s="7">
        <f>INDEX('Rubro por CUI'!$E$5:$E$460,MATCH("001|2695845",'Rubro por CUI'!$N$5:$N$460,0))</f>
        <v>0.0</v>
      </c>
      <c r="G134" s="7">
        <f>INDEX('Rubro por CUI'!$F$5:$F$460,MATCH("001|2695845",'Rubro por CUI'!$N$5:$N$460,0))</f>
        <v>0.0</v>
      </c>
      <c r="H134" s="7">
        <f>INDEX('Rubro por CUI'!$G$5:$G$460,MATCH("001|2695845",'Rubro por CUI'!$N$5:$N$460,0))</f>
        <v>492669.0</v>
      </c>
      <c r="I134" s="7">
        <f>INDEX('Rubro por CUI'!$H$5:$H$460,MATCH("001|2695845",'Rubro por CUI'!$N$5:$N$460,0))</f>
        <v>0.0</v>
      </c>
      <c r="J134" s="7">
        <f>INDEX('Rubro por CUI'!$I$5:$I$460,MATCH("001|2695845",'Rubro por CUI'!$N$5:$N$460,0))</f>
        <v>0.0</v>
      </c>
      <c r="K134" s="7">
        <f>L134-SUM(F134:J134)</f>
        <v>0.0</v>
      </c>
      <c r="L134" s="7">
        <f>SUMIFS(Base!$I$5:$I$509,Base!$A$5:$A$509,"001",Base!$F$5:$F$509,"2695845")</f>
        <v>492669.0</v>
      </c>
      <c r="M134" s="6" t="s">
        <v>69</v>
      </c>
      <c r="N134" s="6" t="s">
        <v>1634</v>
      </c>
    </row>
    <row r="135" spans="1:14">
      <c r="A135" s="18">
        <v>128</v>
      </c>
      <c r="B135" s="18" t="s">
        <v>1761</v>
      </c>
      <c r="C135" s="6" t="s">
        <v>748</v>
      </c>
      <c r="D135" s="23">
        <v>10550415</v>
      </c>
      <c r="E135" s="23">
        <v>409221</v>
      </c>
      <c r="F135" s="7">
        <f>INDEX('Rubro por CUI'!$E$5:$E$460,MATCH("001|2623873",'Rubro por CUI'!$N$5:$N$460,0))</f>
        <v>0.0</v>
      </c>
      <c r="G135" s="7">
        <f>INDEX('Rubro por CUI'!$F$5:$F$460,MATCH("001|2623873",'Rubro por CUI'!$N$5:$N$460,0))</f>
        <v>0.0</v>
      </c>
      <c r="H135" s="7">
        <f>INDEX('Rubro por CUI'!$G$5:$G$460,MATCH("001|2623873",'Rubro por CUI'!$N$5:$N$460,0))</f>
        <v>408761.0</v>
      </c>
      <c r="I135" s="7">
        <f>INDEX('Rubro por CUI'!$H$5:$H$460,MATCH("001|2623873",'Rubro por CUI'!$N$5:$N$460,0))</f>
        <v>0.0</v>
      </c>
      <c r="J135" s="7">
        <f>INDEX('Rubro por CUI'!$I$5:$I$460,MATCH("001|2623873",'Rubro por CUI'!$N$5:$N$460,0))</f>
        <v>0.0</v>
      </c>
      <c r="K135" s="7">
        <f>L135-SUM(F135:J135)</f>
        <v>0.0</v>
      </c>
      <c r="L135" s="7">
        <f>SUMIFS(Base!$I$5:$I$509,Base!$A$5:$A$509,"001",Base!$F$5:$F$509,"2623873")</f>
        <v>408761.0</v>
      </c>
      <c r="M135" s="7">
        <f>D135-E135-L135</f>
        <v>9732433.0</v>
      </c>
      <c r="N135" s="6" t="s">
        <v>63</v>
      </c>
    </row>
    <row r="136" spans="1:14">
      <c r="A136" s="18">
        <v>129</v>
      </c>
      <c r="B136" s="18" t="s">
        <v>1762</v>
      </c>
      <c r="C136" s="6" t="s">
        <v>718</v>
      </c>
      <c r="D136" s="23">
        <v>3777835</v>
      </c>
      <c r="E136" s="23">
        <v>0</v>
      </c>
      <c r="F136" s="7">
        <f>INDEX('Rubro por CUI'!$E$5:$E$460,MATCH("001|2652120",'Rubro por CUI'!$N$5:$N$460,0))</f>
        <v>0.0</v>
      </c>
      <c r="G136" s="7">
        <f>INDEX('Rubro por CUI'!$F$5:$F$460,MATCH("001|2652120",'Rubro por CUI'!$N$5:$N$460,0))</f>
        <v>0.0</v>
      </c>
      <c r="H136" s="7">
        <f>INDEX('Rubro por CUI'!$G$5:$G$460,MATCH("001|2652120",'Rubro por CUI'!$N$5:$N$460,0))</f>
        <v>400214.0</v>
      </c>
      <c r="I136" s="7">
        <f>INDEX('Rubro por CUI'!$H$5:$H$460,MATCH("001|2652120",'Rubro por CUI'!$N$5:$N$460,0))</f>
        <v>0.0</v>
      </c>
      <c r="J136" s="7">
        <f>INDEX('Rubro por CUI'!$I$5:$I$460,MATCH("001|2652120",'Rubro por CUI'!$N$5:$N$460,0))</f>
        <v>0.0</v>
      </c>
      <c r="K136" s="7">
        <f>L136-SUM(F136:J136)</f>
        <v>0.0</v>
      </c>
      <c r="L136" s="7">
        <f>SUMIFS(Base!$I$5:$I$509,Base!$A$5:$A$509,"001",Base!$F$5:$F$509,"2652120")</f>
        <v>400214.0</v>
      </c>
      <c r="M136" s="7">
        <f>D136-E136-L136</f>
        <v>3377621.0</v>
      </c>
      <c r="N136" s="6" t="s">
        <v>63</v>
      </c>
    </row>
    <row r="137" spans="1:14">
      <c r="A137" s="18">
        <v>130</v>
      </c>
      <c r="B137" s="18" t="s">
        <v>1763</v>
      </c>
      <c r="C137" s="6" t="s">
        <v>787</v>
      </c>
      <c r="D137" s="23">
        <v>2233744</v>
      </c>
      <c r="E137" s="23">
        <v>123034</v>
      </c>
      <c r="F137" s="7">
        <f>INDEX('Rubro por CUI'!$E$5:$E$460,MATCH("001|2649804",'Rubro por CUI'!$N$5:$N$460,0))</f>
        <v>0.0</v>
      </c>
      <c r="G137" s="7">
        <f>INDEX('Rubro por CUI'!$F$5:$F$460,MATCH("001|2649804",'Rubro por CUI'!$N$5:$N$460,0))</f>
        <v>0.0</v>
      </c>
      <c r="H137" s="7">
        <f>INDEX('Rubro por CUI'!$G$5:$G$460,MATCH("001|2649804",'Rubro por CUI'!$N$5:$N$460,0))</f>
        <v>400000.0</v>
      </c>
      <c r="I137" s="7">
        <f>INDEX('Rubro por CUI'!$H$5:$H$460,MATCH("001|2649804",'Rubro por CUI'!$N$5:$N$460,0))</f>
        <v>0.0</v>
      </c>
      <c r="J137" s="7">
        <f>INDEX('Rubro por CUI'!$I$5:$I$460,MATCH("001|2649804",'Rubro por CUI'!$N$5:$N$460,0))</f>
        <v>0.0</v>
      </c>
      <c r="K137" s="7">
        <f>L137-SUM(F137:J137)</f>
        <v>0.0</v>
      </c>
      <c r="L137" s="7">
        <f>SUMIFS(Base!$I$5:$I$509,Base!$A$5:$A$509,"001",Base!$F$5:$F$509,"2649804")</f>
        <v>400000.0</v>
      </c>
      <c r="M137" s="7">
        <f>D137-E137-L137</f>
        <v>1710710.0</v>
      </c>
      <c r="N137" s="6" t="s">
        <v>63</v>
      </c>
    </row>
    <row r="138" spans="1:14">
      <c r="A138" s="18">
        <v>131</v>
      </c>
      <c r="B138" s="18" t="s">
        <v>1764</v>
      </c>
      <c r="C138" s="6" t="s">
        <v>1384</v>
      </c>
      <c r="D138" s="6" t="s">
        <v>69</v>
      </c>
      <c r="E138" s="6" t="s">
        <v>69</v>
      </c>
      <c r="F138" s="7">
        <f>INDEX('Rubro por CUI'!$E$5:$E$460,MATCH("001|2721886",'Rubro por CUI'!$N$5:$N$460,0))</f>
        <v>0.0</v>
      </c>
      <c r="G138" s="7">
        <f>INDEX('Rubro por CUI'!$F$5:$F$460,MATCH("001|2721886",'Rubro por CUI'!$N$5:$N$460,0))</f>
        <v>388514.0</v>
      </c>
      <c r="H138" s="7">
        <f>INDEX('Rubro por CUI'!$G$5:$G$460,MATCH("001|2721886",'Rubro por CUI'!$N$5:$N$460,0))</f>
        <v>0.0</v>
      </c>
      <c r="I138" s="7">
        <f>INDEX('Rubro por CUI'!$H$5:$H$460,MATCH("001|2721886",'Rubro por CUI'!$N$5:$N$460,0))</f>
        <v>0.0</v>
      </c>
      <c r="J138" s="7">
        <f>INDEX('Rubro por CUI'!$I$5:$I$460,MATCH("001|2721886",'Rubro por CUI'!$N$5:$N$460,0))</f>
        <v>0.0</v>
      </c>
      <c r="K138" s="7">
        <f>L138-SUM(F138:J138)</f>
        <v>0.0</v>
      </c>
      <c r="L138" s="7">
        <f>SUMIFS(Base!$I$5:$I$509,Base!$A$5:$A$509,"001",Base!$F$5:$F$509,"2721886")</f>
        <v>388514.0</v>
      </c>
      <c r="M138" s="6" t="s">
        <v>69</v>
      </c>
      <c r="N138" s="6" t="s">
        <v>1634</v>
      </c>
    </row>
    <row r="139" spans="1:14">
      <c r="A139" s="18">
        <v>132</v>
      </c>
      <c r="B139" s="18" t="s">
        <v>1765</v>
      </c>
      <c r="C139" s="6" t="s">
        <v>542</v>
      </c>
      <c r="D139" s="23">
        <v>16022836</v>
      </c>
      <c r="E139" s="23">
        <v>0</v>
      </c>
      <c r="F139" s="7">
        <f>INDEX('Rubro por CUI'!$E$5:$E$460,MATCH("001|2681019",'Rubro por CUI'!$N$5:$N$460,0))</f>
        <v>0.0</v>
      </c>
      <c r="G139" s="7">
        <f>INDEX('Rubro por CUI'!$F$5:$F$460,MATCH("001|2681019",'Rubro por CUI'!$N$5:$N$460,0))</f>
        <v>0.0</v>
      </c>
      <c r="H139" s="7">
        <f>INDEX('Rubro por CUI'!$G$5:$G$460,MATCH("001|2681019",'Rubro por CUI'!$N$5:$N$460,0))</f>
        <v>373203.0</v>
      </c>
      <c r="I139" s="7">
        <f>INDEX('Rubro por CUI'!$H$5:$H$460,MATCH("001|2681019",'Rubro por CUI'!$N$5:$N$460,0))</f>
        <v>0.0</v>
      </c>
      <c r="J139" s="7">
        <f>INDEX('Rubro por CUI'!$I$5:$I$460,MATCH("001|2681019",'Rubro por CUI'!$N$5:$N$460,0))</f>
        <v>0.0</v>
      </c>
      <c r="K139" s="7">
        <f>L139-SUM(F139:J139)</f>
        <v>0.0</v>
      </c>
      <c r="L139" s="7">
        <f>SUMIFS(Base!$I$5:$I$509,Base!$A$5:$A$509,"001",Base!$F$5:$F$509,"2681019")</f>
        <v>373203.0</v>
      </c>
      <c r="M139" s="7">
        <f>D139-E139-L139</f>
        <v>15649633.0</v>
      </c>
      <c r="N139" s="6" t="s">
        <v>63</v>
      </c>
    </row>
    <row r="140" spans="1:14">
      <c r="A140" s="18">
        <v>133</v>
      </c>
      <c r="B140" s="18" t="s">
        <v>1766</v>
      </c>
      <c r="C140" s="6" t="s">
        <v>503</v>
      </c>
      <c r="D140" s="23">
        <v>13665533</v>
      </c>
      <c r="E140" s="23">
        <v>0</v>
      </c>
      <c r="F140" s="7">
        <f>INDEX('Rubro por CUI'!$E$5:$E$460,MATCH("001|2681042",'Rubro por CUI'!$N$5:$N$460,0))</f>
        <v>0.0</v>
      </c>
      <c r="G140" s="7">
        <f>INDEX('Rubro por CUI'!$F$5:$F$460,MATCH("001|2681042",'Rubro por CUI'!$N$5:$N$460,0))</f>
        <v>0.0</v>
      </c>
      <c r="H140" s="7">
        <f>INDEX('Rubro por CUI'!$G$5:$G$460,MATCH("001|2681042",'Rubro por CUI'!$N$5:$N$460,0))</f>
        <v>350000.0</v>
      </c>
      <c r="I140" s="7">
        <f>INDEX('Rubro por CUI'!$H$5:$H$460,MATCH("001|2681042",'Rubro por CUI'!$N$5:$N$460,0))</f>
        <v>0.0</v>
      </c>
      <c r="J140" s="7">
        <f>INDEX('Rubro por CUI'!$I$5:$I$460,MATCH("001|2681042",'Rubro por CUI'!$N$5:$N$460,0))</f>
        <v>0.0</v>
      </c>
      <c r="K140" s="7">
        <f>L140-SUM(F140:J140)</f>
        <v>0.0</v>
      </c>
      <c r="L140" s="7">
        <f>SUMIFS(Base!$I$5:$I$509,Base!$A$5:$A$509,"001",Base!$F$5:$F$509,"2681042")</f>
        <v>350000.0</v>
      </c>
      <c r="M140" s="7">
        <f>D140-E140-L140</f>
        <v>13315533.0</v>
      </c>
      <c r="N140" s="6" t="s">
        <v>63</v>
      </c>
    </row>
    <row r="141" spans="1:14">
      <c r="A141" s="18">
        <v>134</v>
      </c>
      <c r="B141" s="18" t="s">
        <v>1767</v>
      </c>
      <c r="C141" s="6" t="s">
        <v>739</v>
      </c>
      <c r="D141" s="23">
        <v>5797658</v>
      </c>
      <c r="E141" s="23">
        <v>0</v>
      </c>
      <c r="F141" s="7">
        <f>INDEX('Rubro por CUI'!$E$5:$E$460,MATCH("001|2664647",'Rubro por CUI'!$N$5:$N$460,0))</f>
        <v>0.0</v>
      </c>
      <c r="G141" s="7">
        <f>INDEX('Rubro por CUI'!$F$5:$F$460,MATCH("001|2664647",'Rubro por CUI'!$N$5:$N$460,0))</f>
        <v>0.0</v>
      </c>
      <c r="H141" s="7">
        <f>INDEX('Rubro por CUI'!$G$5:$G$460,MATCH("001|2664647",'Rubro por CUI'!$N$5:$N$460,0))</f>
        <v>332000.0</v>
      </c>
      <c r="I141" s="7">
        <f>INDEX('Rubro por CUI'!$H$5:$H$460,MATCH("001|2664647",'Rubro por CUI'!$N$5:$N$460,0))</f>
        <v>0.0</v>
      </c>
      <c r="J141" s="7">
        <f>INDEX('Rubro por CUI'!$I$5:$I$460,MATCH("001|2664647",'Rubro por CUI'!$N$5:$N$460,0))</f>
        <v>0.0</v>
      </c>
      <c r="K141" s="7">
        <f>L141-SUM(F141:J141)</f>
        <v>0.0</v>
      </c>
      <c r="L141" s="7">
        <f>SUMIFS(Base!$I$5:$I$509,Base!$A$5:$A$509,"001",Base!$F$5:$F$509,"2664647")</f>
        <v>332000.0</v>
      </c>
      <c r="M141" s="7">
        <f>D141-E141-L141</f>
        <v>5465658.0</v>
      </c>
      <c r="N141" s="6" t="s">
        <v>63</v>
      </c>
    </row>
    <row r="142" spans="1:14">
      <c r="A142" s="18">
        <v>135</v>
      </c>
      <c r="B142" s="18" t="s">
        <v>1768</v>
      </c>
      <c r="C142" s="6" t="s">
        <v>712</v>
      </c>
      <c r="D142" s="23">
        <v>2851050</v>
      </c>
      <c r="E142" s="23">
        <v>0</v>
      </c>
      <c r="F142" s="7">
        <f>INDEX('Rubro por CUI'!$E$5:$E$460,MATCH("001|2652118",'Rubro por CUI'!$N$5:$N$460,0))</f>
        <v>0.0</v>
      </c>
      <c r="G142" s="7">
        <f>INDEX('Rubro por CUI'!$F$5:$F$460,MATCH("001|2652118",'Rubro por CUI'!$N$5:$N$460,0))</f>
        <v>0.0</v>
      </c>
      <c r="H142" s="7">
        <f>INDEX('Rubro por CUI'!$G$5:$G$460,MATCH("001|2652118",'Rubro por CUI'!$N$5:$N$460,0))</f>
        <v>310000.0</v>
      </c>
      <c r="I142" s="7">
        <f>INDEX('Rubro por CUI'!$H$5:$H$460,MATCH("001|2652118",'Rubro por CUI'!$N$5:$N$460,0))</f>
        <v>0.0</v>
      </c>
      <c r="J142" s="7">
        <f>INDEX('Rubro por CUI'!$I$5:$I$460,MATCH("001|2652118",'Rubro por CUI'!$N$5:$N$460,0))</f>
        <v>0.0</v>
      </c>
      <c r="K142" s="7">
        <f>L142-SUM(F142:J142)</f>
        <v>0.0</v>
      </c>
      <c r="L142" s="7">
        <f>SUMIFS(Base!$I$5:$I$509,Base!$A$5:$A$509,"001",Base!$F$5:$F$509,"2652118")</f>
        <v>310000.0</v>
      </c>
      <c r="M142" s="7">
        <f>D142-E142-L142</f>
        <v>2541050.0</v>
      </c>
      <c r="N142" s="6" t="s">
        <v>63</v>
      </c>
    </row>
    <row r="143" spans="1:14">
      <c r="A143" s="18">
        <v>136</v>
      </c>
      <c r="B143" s="18" t="s">
        <v>1769</v>
      </c>
      <c r="C143" s="6" t="s">
        <v>808</v>
      </c>
      <c r="D143" s="23">
        <v>2289090</v>
      </c>
      <c r="E143" s="23">
        <v>0</v>
      </c>
      <c r="F143" s="7">
        <f>INDEX('Rubro por CUI'!$E$5:$E$460,MATCH("001|2652121",'Rubro por CUI'!$N$5:$N$460,0))</f>
        <v>0.0</v>
      </c>
      <c r="G143" s="7">
        <f>INDEX('Rubro por CUI'!$F$5:$F$460,MATCH("001|2652121",'Rubro por CUI'!$N$5:$N$460,0))</f>
        <v>0.0</v>
      </c>
      <c r="H143" s="7">
        <f>INDEX('Rubro por CUI'!$G$5:$G$460,MATCH("001|2652121",'Rubro por CUI'!$N$5:$N$460,0))</f>
        <v>306148.0</v>
      </c>
      <c r="I143" s="7">
        <f>INDEX('Rubro por CUI'!$H$5:$H$460,MATCH("001|2652121",'Rubro por CUI'!$N$5:$N$460,0))</f>
        <v>0.0</v>
      </c>
      <c r="J143" s="7">
        <f>INDEX('Rubro por CUI'!$I$5:$I$460,MATCH("001|2652121",'Rubro por CUI'!$N$5:$N$460,0))</f>
        <v>0.0</v>
      </c>
      <c r="K143" s="7">
        <f>L143-SUM(F143:J143)</f>
        <v>0.0</v>
      </c>
      <c r="L143" s="7">
        <f>SUMIFS(Base!$I$5:$I$509,Base!$A$5:$A$509,"001",Base!$F$5:$F$509,"2652121")</f>
        <v>306148.0</v>
      </c>
      <c r="M143" s="7">
        <f>D143-E143-L143</f>
        <v>1982942.0</v>
      </c>
      <c r="N143" s="6" t="s">
        <v>63</v>
      </c>
    </row>
    <row r="144" spans="1:14">
      <c r="A144" s="18">
        <v>137</v>
      </c>
      <c r="B144" s="18" t="s">
        <v>1770</v>
      </c>
      <c r="C144" s="6" t="s">
        <v>115</v>
      </c>
      <c r="D144" s="23">
        <v>4830901</v>
      </c>
      <c r="E144" s="23">
        <v>208615</v>
      </c>
      <c r="F144" s="7">
        <f>INDEX('Rubro por CUI'!$E$5:$E$460,MATCH("001|2637997",'Rubro por CUI'!$N$5:$N$460,0))</f>
        <v>0.0</v>
      </c>
      <c r="G144" s="7">
        <f>INDEX('Rubro por CUI'!$F$5:$F$460,MATCH("001|2637997",'Rubro por CUI'!$N$5:$N$460,0))</f>
        <v>0.0</v>
      </c>
      <c r="H144" s="7">
        <f>INDEX('Rubro por CUI'!$G$5:$G$460,MATCH("001|2637997",'Rubro por CUI'!$N$5:$N$460,0))</f>
        <v>304829.0</v>
      </c>
      <c r="I144" s="7">
        <f>INDEX('Rubro por CUI'!$H$5:$H$460,MATCH("001|2637997",'Rubro por CUI'!$N$5:$N$460,0))</f>
        <v>0.0</v>
      </c>
      <c r="J144" s="7">
        <f>INDEX('Rubro por CUI'!$I$5:$I$460,MATCH("001|2637997",'Rubro por CUI'!$N$5:$N$460,0))</f>
        <v>0.0</v>
      </c>
      <c r="K144" s="7">
        <f>L144-SUM(F144:J144)</f>
        <v>0.0</v>
      </c>
      <c r="L144" s="7">
        <f>SUMIFS(Base!$I$5:$I$509,Base!$A$5:$A$509,"001",Base!$F$5:$F$509,"2637997")</f>
        <v>304829.0</v>
      </c>
      <c r="M144" s="7">
        <f>D144-E144-L144</f>
        <v>4317457.0</v>
      </c>
      <c r="N144" s="6" t="s">
        <v>63</v>
      </c>
    </row>
    <row r="145" spans="1:14">
      <c r="A145" s="18">
        <v>138</v>
      </c>
      <c r="B145" s="18" t="s">
        <v>1771</v>
      </c>
      <c r="C145" s="6" t="s">
        <v>509</v>
      </c>
      <c r="D145" s="6" t="s">
        <v>69</v>
      </c>
      <c r="E145" s="6" t="s">
        <v>69</v>
      </c>
      <c r="F145" s="7">
        <f>INDEX('Rubro por CUI'!$E$5:$E$460,MATCH("001|2663002",'Rubro por CUI'!$N$5:$N$460,0))</f>
        <v>0.0</v>
      </c>
      <c r="G145" s="7">
        <f>INDEX('Rubro por CUI'!$F$5:$F$460,MATCH("001|2663002",'Rubro por CUI'!$N$5:$N$460,0))</f>
        <v>0.0</v>
      </c>
      <c r="H145" s="7">
        <f>INDEX('Rubro por CUI'!$G$5:$G$460,MATCH("001|2663002",'Rubro por CUI'!$N$5:$N$460,0))</f>
        <v>292573.0</v>
      </c>
      <c r="I145" s="7">
        <f>INDEX('Rubro por CUI'!$H$5:$H$460,MATCH("001|2663002",'Rubro por CUI'!$N$5:$N$460,0))</f>
        <v>0.0</v>
      </c>
      <c r="J145" s="7">
        <f>INDEX('Rubro por CUI'!$I$5:$I$460,MATCH("001|2663002",'Rubro por CUI'!$N$5:$N$460,0))</f>
        <v>0.0</v>
      </c>
      <c r="K145" s="7">
        <f>L145-SUM(F145:J145)</f>
        <v>0.0</v>
      </c>
      <c r="L145" s="7">
        <f>SUMIFS(Base!$I$5:$I$509,Base!$A$5:$A$509,"001",Base!$F$5:$F$509,"2663002")</f>
        <v>292573.0</v>
      </c>
      <c r="M145" s="6" t="s">
        <v>69</v>
      </c>
      <c r="N145" s="6" t="s">
        <v>1634</v>
      </c>
    </row>
    <row r="146" spans="1:14">
      <c r="A146" s="18">
        <v>139</v>
      </c>
      <c r="B146" s="18" t="s">
        <v>1772</v>
      </c>
      <c r="C146" s="6" t="s">
        <v>548</v>
      </c>
      <c r="D146" s="23">
        <v>6178031</v>
      </c>
      <c r="E146" s="23">
        <v>0</v>
      </c>
      <c r="F146" s="7">
        <f>INDEX('Rubro por CUI'!$E$5:$E$460,MATCH("001|2681054",'Rubro por CUI'!$N$5:$N$460,0))</f>
        <v>0.0</v>
      </c>
      <c r="G146" s="7">
        <f>INDEX('Rubro por CUI'!$F$5:$F$460,MATCH("001|2681054",'Rubro por CUI'!$N$5:$N$460,0))</f>
        <v>0.0</v>
      </c>
      <c r="H146" s="7">
        <f>INDEX('Rubro por CUI'!$G$5:$G$460,MATCH("001|2681054",'Rubro por CUI'!$N$5:$N$460,0))</f>
        <v>287709.0</v>
      </c>
      <c r="I146" s="7">
        <f>INDEX('Rubro por CUI'!$H$5:$H$460,MATCH("001|2681054",'Rubro por CUI'!$N$5:$N$460,0))</f>
        <v>0.0</v>
      </c>
      <c r="J146" s="7">
        <f>INDEX('Rubro por CUI'!$I$5:$I$460,MATCH("001|2681054",'Rubro por CUI'!$N$5:$N$460,0))</f>
        <v>0.0</v>
      </c>
      <c r="K146" s="7">
        <f>L146-SUM(F146:J146)</f>
        <v>0.0</v>
      </c>
      <c r="L146" s="7">
        <f>SUMIFS(Base!$I$5:$I$509,Base!$A$5:$A$509,"001",Base!$F$5:$F$509,"2681054")</f>
        <v>287709.0</v>
      </c>
      <c r="M146" s="7">
        <f>D146-E146-L146</f>
        <v>5890322.0</v>
      </c>
      <c r="N146" s="6" t="s">
        <v>63</v>
      </c>
    </row>
    <row r="147" spans="1:14">
      <c r="A147" s="18">
        <v>140</v>
      </c>
      <c r="B147" s="18" t="s">
        <v>1773</v>
      </c>
      <c r="C147" s="6" t="s">
        <v>1433</v>
      </c>
      <c r="D147" s="23">
        <v>312698</v>
      </c>
      <c r="E147" s="23">
        <v>20105</v>
      </c>
      <c r="F147" s="7">
        <f>INDEX('Rubro por CUI'!$E$5:$E$460,MATCH("001|2699546",'Rubro por CUI'!$N$5:$N$460,0))</f>
        <v>0.0</v>
      </c>
      <c r="G147" s="7">
        <f>INDEX('Rubro por CUI'!$F$5:$F$460,MATCH("001|2699546",'Rubro por CUI'!$N$5:$N$460,0))</f>
        <v>0.0</v>
      </c>
      <c r="H147" s="7">
        <f>INDEX('Rubro por CUI'!$G$5:$G$460,MATCH("001|2699546",'Rubro por CUI'!$N$5:$N$460,0))</f>
        <v>271707.0</v>
      </c>
      <c r="I147" s="7">
        <f>INDEX('Rubro por CUI'!$H$5:$H$460,MATCH("001|2699546",'Rubro por CUI'!$N$5:$N$460,0))</f>
        <v>0.0</v>
      </c>
      <c r="J147" s="7">
        <f>INDEX('Rubro por CUI'!$I$5:$I$460,MATCH("001|2699546",'Rubro por CUI'!$N$5:$N$460,0))</f>
        <v>0.0</v>
      </c>
      <c r="K147" s="7">
        <f>L147-SUM(F147:J147)</f>
        <v>0.0</v>
      </c>
      <c r="L147" s="7">
        <f>SUMIFS(Base!$I$5:$I$509,Base!$A$5:$A$509,"001",Base!$F$5:$F$509,"2699546")</f>
        <v>271707.0</v>
      </c>
      <c r="M147" s="7">
        <f>D147-E147-L147</f>
        <v>20886.0</v>
      </c>
      <c r="N147" s="6" t="s">
        <v>63</v>
      </c>
    </row>
    <row r="148" spans="1:14">
      <c r="A148" s="18">
        <v>141</v>
      </c>
      <c r="B148" s="18" t="s">
        <v>1774</v>
      </c>
      <c r="C148" s="6" t="s">
        <v>751</v>
      </c>
      <c r="D148" s="23">
        <v>19954663</v>
      </c>
      <c r="E148" s="23">
        <v>530857</v>
      </c>
      <c r="F148" s="7">
        <f>INDEX('Rubro por CUI'!$E$5:$E$460,MATCH("001|2403888",'Rubro por CUI'!$N$5:$N$460,0))</f>
        <v>0.0</v>
      </c>
      <c r="G148" s="7">
        <f>INDEX('Rubro por CUI'!$F$5:$F$460,MATCH("001|2403888",'Rubro por CUI'!$N$5:$N$460,0))</f>
        <v>0.0</v>
      </c>
      <c r="H148" s="7">
        <f>INDEX('Rubro por CUI'!$G$5:$G$460,MATCH("001|2403888",'Rubro por CUI'!$N$5:$N$460,0))</f>
        <v>261704.0</v>
      </c>
      <c r="I148" s="7">
        <f>INDEX('Rubro por CUI'!$H$5:$H$460,MATCH("001|2403888",'Rubro por CUI'!$N$5:$N$460,0))</f>
        <v>0.0</v>
      </c>
      <c r="J148" s="7">
        <f>INDEX('Rubro por CUI'!$I$5:$I$460,MATCH("001|2403888",'Rubro por CUI'!$N$5:$N$460,0))</f>
        <v>0.0</v>
      </c>
      <c r="K148" s="7">
        <f>L148-SUM(F148:J148)</f>
        <v>0.0</v>
      </c>
      <c r="L148" s="7">
        <f>SUMIFS(Base!$I$5:$I$509,Base!$A$5:$A$509,"001",Base!$F$5:$F$509,"2403888")</f>
        <v>261704.0</v>
      </c>
      <c r="M148" s="7">
        <f>D148-E148-L148</f>
        <v>19162102.0</v>
      </c>
      <c r="N148" s="6" t="s">
        <v>63</v>
      </c>
    </row>
    <row r="149" spans="1:14">
      <c r="A149" s="18">
        <v>142</v>
      </c>
      <c r="B149" s="18" t="s">
        <v>1775</v>
      </c>
      <c r="C149" s="6" t="s">
        <v>524</v>
      </c>
      <c r="D149" s="6" t="s">
        <v>69</v>
      </c>
      <c r="E149" s="6" t="s">
        <v>69</v>
      </c>
      <c r="F149" s="7">
        <f>INDEX('Rubro por CUI'!$E$5:$E$460,MATCH("001|2492963",'Rubro por CUI'!$N$5:$N$460,0))</f>
        <v>0.0</v>
      </c>
      <c r="G149" s="7">
        <f>INDEX('Rubro por CUI'!$F$5:$F$460,MATCH("001|2492963",'Rubro por CUI'!$N$5:$N$460,0))</f>
        <v>0.0</v>
      </c>
      <c r="H149" s="7">
        <f>INDEX('Rubro por CUI'!$G$5:$G$460,MATCH("001|2492963",'Rubro por CUI'!$N$5:$N$460,0))</f>
        <v>220496.0</v>
      </c>
      <c r="I149" s="7">
        <f>INDEX('Rubro por CUI'!$H$5:$H$460,MATCH("001|2492963",'Rubro por CUI'!$N$5:$N$460,0))</f>
        <v>0.0</v>
      </c>
      <c r="J149" s="7">
        <f>INDEX('Rubro por CUI'!$I$5:$I$460,MATCH("001|2492963",'Rubro por CUI'!$N$5:$N$460,0))</f>
        <v>0.0</v>
      </c>
      <c r="K149" s="7">
        <f>L149-SUM(F149:J149)</f>
        <v>0.0</v>
      </c>
      <c r="L149" s="7">
        <f>SUMIFS(Base!$I$5:$I$509,Base!$A$5:$A$509,"001",Base!$F$5:$F$509,"2492963")</f>
        <v>220496.0</v>
      </c>
      <c r="M149" s="6" t="s">
        <v>69</v>
      </c>
      <c r="N149" s="6" t="s">
        <v>1634</v>
      </c>
    </row>
    <row r="150" spans="1:14">
      <c r="A150" s="18">
        <v>143</v>
      </c>
      <c r="B150" s="18" t="s">
        <v>1776</v>
      </c>
      <c r="C150" s="6" t="s">
        <v>766</v>
      </c>
      <c r="D150" s="23">
        <v>13222141</v>
      </c>
      <c r="E150" s="23">
        <v>345837</v>
      </c>
      <c r="F150" s="7">
        <f>INDEX('Rubro por CUI'!$E$5:$E$460,MATCH("001|2623876",'Rubro por CUI'!$N$5:$N$460,0))</f>
        <v>0.0</v>
      </c>
      <c r="G150" s="7">
        <f>INDEX('Rubro por CUI'!$F$5:$F$460,MATCH("001|2623876",'Rubro por CUI'!$N$5:$N$460,0))</f>
        <v>0.0</v>
      </c>
      <c r="H150" s="7">
        <f>INDEX('Rubro por CUI'!$G$5:$G$460,MATCH("001|2623876",'Rubro por CUI'!$N$5:$N$460,0))</f>
        <v>194522.0</v>
      </c>
      <c r="I150" s="7">
        <f>INDEX('Rubro por CUI'!$H$5:$H$460,MATCH("001|2623876",'Rubro por CUI'!$N$5:$N$460,0))</f>
        <v>25959.0</v>
      </c>
      <c r="J150" s="7">
        <f>INDEX('Rubro por CUI'!$I$5:$I$460,MATCH("001|2623876",'Rubro por CUI'!$N$5:$N$460,0))</f>
        <v>0.0</v>
      </c>
      <c r="K150" s="7">
        <f>L150-SUM(F150:J150)</f>
        <v>0.0</v>
      </c>
      <c r="L150" s="7">
        <f>SUMIFS(Base!$I$5:$I$509,Base!$A$5:$A$509,"001",Base!$F$5:$F$509,"2623876")</f>
        <v>220481.0</v>
      </c>
      <c r="M150" s="7">
        <f>D150-E150-L150</f>
        <v>12655823.0</v>
      </c>
      <c r="N150" s="6" t="s">
        <v>63</v>
      </c>
    </row>
    <row r="151" spans="1:14">
      <c r="A151" s="18">
        <v>144</v>
      </c>
      <c r="B151" s="18" t="s">
        <v>1777</v>
      </c>
      <c r="C151" s="6" t="s">
        <v>1438</v>
      </c>
      <c r="D151" s="6" t="s">
        <v>69</v>
      </c>
      <c r="E151" s="6" t="s">
        <v>69</v>
      </c>
      <c r="F151" s="7">
        <f>INDEX('Rubro por CUI'!$E$5:$E$460,MATCH("001|2617364",'Rubro por CUI'!$N$5:$N$460,0))</f>
        <v>0.0</v>
      </c>
      <c r="G151" s="7">
        <f>INDEX('Rubro por CUI'!$F$5:$F$460,MATCH("001|2617364",'Rubro por CUI'!$N$5:$N$460,0))</f>
        <v>0.0</v>
      </c>
      <c r="H151" s="7">
        <f>INDEX('Rubro por CUI'!$G$5:$G$460,MATCH("001|2617364",'Rubro por CUI'!$N$5:$N$460,0))</f>
        <v>218556.0</v>
      </c>
      <c r="I151" s="7">
        <f>INDEX('Rubro por CUI'!$H$5:$H$460,MATCH("001|2617364",'Rubro por CUI'!$N$5:$N$460,0))</f>
        <v>0.0</v>
      </c>
      <c r="J151" s="7">
        <f>INDEX('Rubro por CUI'!$I$5:$I$460,MATCH("001|2617364",'Rubro por CUI'!$N$5:$N$460,0))</f>
        <v>0.0</v>
      </c>
      <c r="K151" s="7">
        <f>L151-SUM(F151:J151)</f>
        <v>0.0</v>
      </c>
      <c r="L151" s="7">
        <f>SUMIFS(Base!$I$5:$I$509,Base!$A$5:$A$509,"001",Base!$F$5:$F$509,"2617364")</f>
        <v>218556.0</v>
      </c>
      <c r="M151" s="6" t="s">
        <v>69</v>
      </c>
      <c r="N151" s="6" t="s">
        <v>1634</v>
      </c>
    </row>
    <row r="152" spans="1:14">
      <c r="A152" s="18">
        <v>145</v>
      </c>
      <c r="B152" s="18" t="s">
        <v>1778</v>
      </c>
      <c r="C152" s="6" t="s">
        <v>784</v>
      </c>
      <c r="D152" s="23">
        <v>1266458</v>
      </c>
      <c r="E152" s="23">
        <v>0</v>
      </c>
      <c r="F152" s="7">
        <f>INDEX('Rubro por CUI'!$E$5:$E$460,MATCH("001|2649803",'Rubro por CUI'!$N$5:$N$460,0))</f>
        <v>0.0</v>
      </c>
      <c r="G152" s="7">
        <f>INDEX('Rubro por CUI'!$F$5:$F$460,MATCH("001|2649803",'Rubro por CUI'!$N$5:$N$460,0))</f>
        <v>0.0</v>
      </c>
      <c r="H152" s="7">
        <f>INDEX('Rubro por CUI'!$G$5:$G$460,MATCH("001|2649803",'Rubro por CUI'!$N$5:$N$460,0))</f>
        <v>209495.0</v>
      </c>
      <c r="I152" s="7">
        <f>INDEX('Rubro por CUI'!$H$5:$H$460,MATCH("001|2649803",'Rubro por CUI'!$N$5:$N$460,0))</f>
        <v>0.0</v>
      </c>
      <c r="J152" s="7">
        <f>INDEX('Rubro por CUI'!$I$5:$I$460,MATCH("001|2649803",'Rubro por CUI'!$N$5:$N$460,0))</f>
        <v>0.0</v>
      </c>
      <c r="K152" s="7">
        <f>L152-SUM(F152:J152)</f>
        <v>0.0</v>
      </c>
      <c r="L152" s="7">
        <f>SUMIFS(Base!$I$5:$I$509,Base!$A$5:$A$509,"001",Base!$F$5:$F$509,"2649803")</f>
        <v>209495.0</v>
      </c>
      <c r="M152" s="7">
        <f>D152-E152-L152</f>
        <v>1056963.0</v>
      </c>
      <c r="N152" s="6" t="s">
        <v>63</v>
      </c>
    </row>
    <row r="153" spans="1:14">
      <c r="A153" s="18">
        <v>146</v>
      </c>
      <c r="B153" s="18" t="s">
        <v>1779</v>
      </c>
      <c r="C153" s="6" t="s">
        <v>557</v>
      </c>
      <c r="D153" s="6" t="s">
        <v>69</v>
      </c>
      <c r="E153" s="6" t="s">
        <v>69</v>
      </c>
      <c r="F153" s="7">
        <f>INDEX('Rubro por CUI'!$E$5:$E$460,MATCH("001|2650804",'Rubro por CUI'!$N$5:$N$460,0))</f>
        <v>0.0</v>
      </c>
      <c r="G153" s="7">
        <f>INDEX('Rubro por CUI'!$F$5:$F$460,MATCH("001|2650804",'Rubro por CUI'!$N$5:$N$460,0))</f>
        <v>0.0</v>
      </c>
      <c r="H153" s="7">
        <f>INDEX('Rubro por CUI'!$G$5:$G$460,MATCH("001|2650804",'Rubro por CUI'!$N$5:$N$460,0))</f>
        <v>200000.0</v>
      </c>
      <c r="I153" s="7">
        <f>INDEX('Rubro por CUI'!$H$5:$H$460,MATCH("001|2650804",'Rubro por CUI'!$N$5:$N$460,0))</f>
        <v>0.0</v>
      </c>
      <c r="J153" s="7">
        <f>INDEX('Rubro por CUI'!$I$5:$I$460,MATCH("001|2650804",'Rubro por CUI'!$N$5:$N$460,0))</f>
        <v>0.0</v>
      </c>
      <c r="K153" s="7">
        <f>L153-SUM(F153:J153)</f>
        <v>0.0</v>
      </c>
      <c r="L153" s="7">
        <f>SUMIFS(Base!$I$5:$I$509,Base!$A$5:$A$509,"001",Base!$F$5:$F$509,"2650804")</f>
        <v>200000.0</v>
      </c>
      <c r="M153" s="6" t="s">
        <v>69</v>
      </c>
      <c r="N153" s="6" t="s">
        <v>1634</v>
      </c>
    </row>
    <row r="154" spans="1:14">
      <c r="A154" s="18">
        <v>147</v>
      </c>
      <c r="B154" s="18" t="s">
        <v>1780</v>
      </c>
      <c r="C154" s="6" t="s">
        <v>560</v>
      </c>
      <c r="D154" s="23">
        <v>12096729</v>
      </c>
      <c r="E154" s="23">
        <v>0</v>
      </c>
      <c r="F154" s="7">
        <f>INDEX('Rubro por CUI'!$E$5:$E$460,MATCH("001|2681015",'Rubro por CUI'!$N$5:$N$460,0))</f>
        <v>0.0</v>
      </c>
      <c r="G154" s="7">
        <f>INDEX('Rubro por CUI'!$F$5:$F$460,MATCH("001|2681015",'Rubro por CUI'!$N$5:$N$460,0))</f>
        <v>0.0</v>
      </c>
      <c r="H154" s="7">
        <f>INDEX('Rubro por CUI'!$G$5:$G$460,MATCH("001|2681015",'Rubro por CUI'!$N$5:$N$460,0))</f>
        <v>200000.0</v>
      </c>
      <c r="I154" s="7">
        <f>INDEX('Rubro por CUI'!$H$5:$H$460,MATCH("001|2681015",'Rubro por CUI'!$N$5:$N$460,0))</f>
        <v>0.0</v>
      </c>
      <c r="J154" s="7">
        <f>INDEX('Rubro por CUI'!$I$5:$I$460,MATCH("001|2681015",'Rubro por CUI'!$N$5:$N$460,0))</f>
        <v>0.0</v>
      </c>
      <c r="K154" s="7">
        <f>L154-SUM(F154:J154)</f>
        <v>0.0</v>
      </c>
      <c r="L154" s="7">
        <f>SUMIFS(Base!$I$5:$I$509,Base!$A$5:$A$509,"001",Base!$F$5:$F$509,"2681015")</f>
        <v>200000.0</v>
      </c>
      <c r="M154" s="7">
        <f>D154-E154-L154</f>
        <v>11896729.0</v>
      </c>
      <c r="N154" s="6" t="s">
        <v>63</v>
      </c>
    </row>
    <row r="155" spans="1:14">
      <c r="A155" s="18">
        <v>148</v>
      </c>
      <c r="B155" s="18" t="s">
        <v>1781</v>
      </c>
      <c r="C155" s="6" t="s">
        <v>1401</v>
      </c>
      <c r="D155" s="23">
        <v>239677</v>
      </c>
      <c r="E155" s="23">
        <v>21050</v>
      </c>
      <c r="F155" s="7">
        <f>INDEX('Rubro por CUI'!$E$5:$E$460,MATCH("001|2699544",'Rubro por CUI'!$N$5:$N$460,0))</f>
        <v>0.0</v>
      </c>
      <c r="G155" s="7">
        <f>INDEX('Rubro por CUI'!$F$5:$F$460,MATCH("001|2699544",'Rubro por CUI'!$N$5:$N$460,0))</f>
        <v>0.0</v>
      </c>
      <c r="H155" s="7">
        <f>INDEX('Rubro por CUI'!$G$5:$G$460,MATCH("001|2699544",'Rubro por CUI'!$N$5:$N$460,0))</f>
        <v>195079.0</v>
      </c>
      <c r="I155" s="7">
        <f>INDEX('Rubro por CUI'!$H$5:$H$460,MATCH("001|2699544",'Rubro por CUI'!$N$5:$N$460,0))</f>
        <v>0.0</v>
      </c>
      <c r="J155" s="7">
        <f>INDEX('Rubro por CUI'!$I$5:$I$460,MATCH("001|2699544",'Rubro por CUI'!$N$5:$N$460,0))</f>
        <v>0.0</v>
      </c>
      <c r="K155" s="7">
        <f>L155-SUM(F155:J155)</f>
        <v>0.0</v>
      </c>
      <c r="L155" s="7">
        <f>SUMIFS(Base!$I$5:$I$509,Base!$A$5:$A$509,"001",Base!$F$5:$F$509,"2699544")</f>
        <v>195079.0</v>
      </c>
      <c r="M155" s="7">
        <f>D155-E155-L155</f>
        <v>23548.0</v>
      </c>
      <c r="N155" s="6" t="s">
        <v>63</v>
      </c>
    </row>
    <row r="156" spans="1:14">
      <c r="A156" s="18">
        <v>149</v>
      </c>
      <c r="B156" s="18" t="s">
        <v>1782</v>
      </c>
      <c r="C156" s="6" t="s">
        <v>545</v>
      </c>
      <c r="D156" s="23">
        <v>12138150</v>
      </c>
      <c r="E156" s="23">
        <v>0</v>
      </c>
      <c r="F156" s="7">
        <f>INDEX('Rubro por CUI'!$E$5:$E$460,MATCH("001|2681037",'Rubro por CUI'!$N$5:$N$460,0))</f>
        <v>0.0</v>
      </c>
      <c r="G156" s="7">
        <f>INDEX('Rubro por CUI'!$F$5:$F$460,MATCH("001|2681037",'Rubro por CUI'!$N$5:$N$460,0))</f>
        <v>0.0</v>
      </c>
      <c r="H156" s="7">
        <f>INDEX('Rubro por CUI'!$G$5:$G$460,MATCH("001|2681037",'Rubro por CUI'!$N$5:$N$460,0))</f>
        <v>192812.0</v>
      </c>
      <c r="I156" s="7">
        <f>INDEX('Rubro por CUI'!$H$5:$H$460,MATCH("001|2681037",'Rubro por CUI'!$N$5:$N$460,0))</f>
        <v>0.0</v>
      </c>
      <c r="J156" s="7">
        <f>INDEX('Rubro por CUI'!$I$5:$I$460,MATCH("001|2681037",'Rubro por CUI'!$N$5:$N$460,0))</f>
        <v>0.0</v>
      </c>
      <c r="K156" s="7">
        <f>L156-SUM(F156:J156)</f>
        <v>0.0</v>
      </c>
      <c r="L156" s="7">
        <f>SUMIFS(Base!$I$5:$I$509,Base!$A$5:$A$509,"001",Base!$F$5:$F$509,"2681037")</f>
        <v>192812.0</v>
      </c>
      <c r="M156" s="7">
        <f>D156-E156-L156</f>
        <v>11945338.0</v>
      </c>
      <c r="N156" s="6" t="s">
        <v>63</v>
      </c>
    </row>
    <row r="157" spans="1:14">
      <c r="A157" s="18">
        <v>150</v>
      </c>
      <c r="B157" s="18" t="s">
        <v>1783</v>
      </c>
      <c r="C157" s="6" t="s">
        <v>790</v>
      </c>
      <c r="D157" s="23">
        <v>985880</v>
      </c>
      <c r="E157" s="23">
        <v>0</v>
      </c>
      <c r="F157" s="7">
        <f>INDEX('Rubro por CUI'!$E$5:$E$460,MATCH("001|2649853",'Rubro por CUI'!$N$5:$N$460,0))</f>
        <v>0.0</v>
      </c>
      <c r="G157" s="7">
        <f>INDEX('Rubro por CUI'!$F$5:$F$460,MATCH("001|2649853",'Rubro por CUI'!$N$5:$N$460,0))</f>
        <v>0.0</v>
      </c>
      <c r="H157" s="7">
        <f>INDEX('Rubro por CUI'!$G$5:$G$460,MATCH("001|2649853",'Rubro por CUI'!$N$5:$N$460,0))</f>
        <v>179528.0</v>
      </c>
      <c r="I157" s="7">
        <f>INDEX('Rubro por CUI'!$H$5:$H$460,MATCH("001|2649853",'Rubro por CUI'!$N$5:$N$460,0))</f>
        <v>0.0</v>
      </c>
      <c r="J157" s="7">
        <f>INDEX('Rubro por CUI'!$I$5:$I$460,MATCH("001|2649853",'Rubro por CUI'!$N$5:$N$460,0))</f>
        <v>0.0</v>
      </c>
      <c r="K157" s="7">
        <f>L157-SUM(F157:J157)</f>
        <v>0.0</v>
      </c>
      <c r="L157" s="7">
        <f>SUMIFS(Base!$I$5:$I$509,Base!$A$5:$A$509,"001",Base!$F$5:$F$509,"2649853")</f>
        <v>179528.0</v>
      </c>
      <c r="M157" s="7">
        <f>D157-E157-L157</f>
        <v>806352.0</v>
      </c>
      <c r="N157" s="6" t="s">
        <v>63</v>
      </c>
    </row>
    <row r="158" spans="1:14">
      <c r="A158" s="18">
        <v>151</v>
      </c>
      <c r="B158" s="18" t="s">
        <v>1784</v>
      </c>
      <c r="C158" s="6" t="s">
        <v>763</v>
      </c>
      <c r="D158" s="23">
        <v>12239864</v>
      </c>
      <c r="E158" s="23">
        <v>448861</v>
      </c>
      <c r="F158" s="7">
        <f>INDEX('Rubro por CUI'!$E$5:$E$460,MATCH("001|2623875",'Rubro por CUI'!$N$5:$N$460,0))</f>
        <v>0.0</v>
      </c>
      <c r="G158" s="7">
        <f>INDEX('Rubro por CUI'!$F$5:$F$460,MATCH("001|2623875",'Rubro por CUI'!$N$5:$N$460,0))</f>
        <v>0.0</v>
      </c>
      <c r="H158" s="7">
        <f>INDEX('Rubro por CUI'!$G$5:$G$460,MATCH("001|2623875",'Rubro por CUI'!$N$5:$N$460,0))</f>
        <v>178134.0</v>
      </c>
      <c r="I158" s="7">
        <f>INDEX('Rubro por CUI'!$H$5:$H$460,MATCH("001|2623875",'Rubro por CUI'!$N$5:$N$460,0))</f>
        <v>0.0</v>
      </c>
      <c r="J158" s="7">
        <f>INDEX('Rubro por CUI'!$I$5:$I$460,MATCH("001|2623875",'Rubro por CUI'!$N$5:$N$460,0))</f>
        <v>0.0</v>
      </c>
      <c r="K158" s="7">
        <f>L158-SUM(F158:J158)</f>
        <v>0.0</v>
      </c>
      <c r="L158" s="7">
        <f>SUMIFS(Base!$I$5:$I$509,Base!$A$5:$A$509,"001",Base!$F$5:$F$509,"2623875")</f>
        <v>178134.0</v>
      </c>
      <c r="M158" s="7">
        <f>D158-E158-L158</f>
        <v>11612869.0</v>
      </c>
      <c r="N158" s="6" t="s">
        <v>63</v>
      </c>
    </row>
    <row r="159" spans="1:14">
      <c r="A159" s="18">
        <v>152</v>
      </c>
      <c r="B159" s="18" t="s">
        <v>1785</v>
      </c>
      <c r="C159" s="6" t="s">
        <v>733</v>
      </c>
      <c r="D159" s="23">
        <v>2130533</v>
      </c>
      <c r="E159" s="23">
        <v>115992</v>
      </c>
      <c r="F159" s="7">
        <f>INDEX('Rubro por CUI'!$E$5:$E$460,MATCH("001|2662668",'Rubro por CUI'!$N$5:$N$460,0))</f>
        <v>0.0</v>
      </c>
      <c r="G159" s="7">
        <f>INDEX('Rubro por CUI'!$F$5:$F$460,MATCH("001|2662668",'Rubro por CUI'!$N$5:$N$460,0))</f>
        <v>0.0</v>
      </c>
      <c r="H159" s="7">
        <f>INDEX('Rubro por CUI'!$G$5:$G$460,MATCH("001|2662668",'Rubro por CUI'!$N$5:$N$460,0))</f>
        <v>164979.0</v>
      </c>
      <c r="I159" s="7">
        <f>INDEX('Rubro por CUI'!$H$5:$H$460,MATCH("001|2662668",'Rubro por CUI'!$N$5:$N$460,0))</f>
        <v>0.0</v>
      </c>
      <c r="J159" s="7">
        <f>INDEX('Rubro por CUI'!$I$5:$I$460,MATCH("001|2662668",'Rubro por CUI'!$N$5:$N$460,0))</f>
        <v>0.0</v>
      </c>
      <c r="K159" s="7">
        <f>L159-SUM(F159:J159)</f>
        <v>0.0</v>
      </c>
      <c r="L159" s="7">
        <f>SUMIFS(Base!$I$5:$I$509,Base!$A$5:$A$509,"001",Base!$F$5:$F$509,"2662668")</f>
        <v>164979.0</v>
      </c>
      <c r="M159" s="7">
        <f>D159-E159-L159</f>
        <v>1849562.0</v>
      </c>
      <c r="N159" s="6" t="s">
        <v>63</v>
      </c>
    </row>
    <row r="160" spans="1:14">
      <c r="A160" s="18">
        <v>153</v>
      </c>
      <c r="B160" s="18" t="s">
        <v>1786</v>
      </c>
      <c r="C160" s="6" t="s">
        <v>811</v>
      </c>
      <c r="D160" s="23">
        <v>1553703</v>
      </c>
      <c r="E160" s="23">
        <v>53068</v>
      </c>
      <c r="F160" s="7">
        <f>INDEX('Rubro por CUI'!$E$5:$E$460,MATCH("001|2659575",'Rubro por CUI'!$N$5:$N$460,0))</f>
        <v>0.0</v>
      </c>
      <c r="G160" s="7">
        <f>INDEX('Rubro por CUI'!$F$5:$F$460,MATCH("001|2659575",'Rubro por CUI'!$N$5:$N$460,0))</f>
        <v>0.0</v>
      </c>
      <c r="H160" s="7">
        <f>INDEX('Rubro por CUI'!$G$5:$G$460,MATCH("001|2659575",'Rubro por CUI'!$N$5:$N$460,0))</f>
        <v>159574.0</v>
      </c>
      <c r="I160" s="7">
        <f>INDEX('Rubro por CUI'!$H$5:$H$460,MATCH("001|2659575",'Rubro por CUI'!$N$5:$N$460,0))</f>
        <v>0.0</v>
      </c>
      <c r="J160" s="7">
        <f>INDEX('Rubro por CUI'!$I$5:$I$460,MATCH("001|2659575",'Rubro por CUI'!$N$5:$N$460,0))</f>
        <v>0.0</v>
      </c>
      <c r="K160" s="7">
        <f>L160-SUM(F160:J160)</f>
        <v>0.0</v>
      </c>
      <c r="L160" s="7">
        <f>SUMIFS(Base!$I$5:$I$509,Base!$A$5:$A$509,"001",Base!$F$5:$F$509,"2659575")</f>
        <v>159574.0</v>
      </c>
      <c r="M160" s="7">
        <f>D160-E160-L160</f>
        <v>1341061.0</v>
      </c>
      <c r="N160" s="6" t="s">
        <v>63</v>
      </c>
    </row>
    <row r="161" spans="1:14">
      <c r="A161" s="18">
        <v>154</v>
      </c>
      <c r="B161" s="18" t="s">
        <v>1787</v>
      </c>
      <c r="C161" s="6" t="s">
        <v>551</v>
      </c>
      <c r="D161" s="23">
        <v>5978792</v>
      </c>
      <c r="E161" s="23">
        <v>0</v>
      </c>
      <c r="F161" s="7">
        <f>INDEX('Rubro por CUI'!$E$5:$E$460,MATCH("001|2700348",'Rubro por CUI'!$N$5:$N$460,0))</f>
        <v>0.0</v>
      </c>
      <c r="G161" s="7">
        <f>INDEX('Rubro por CUI'!$F$5:$F$460,MATCH("001|2700348",'Rubro por CUI'!$N$5:$N$460,0))</f>
        <v>0.0</v>
      </c>
      <c r="H161" s="7">
        <f>INDEX('Rubro por CUI'!$G$5:$G$460,MATCH("001|2700348",'Rubro por CUI'!$N$5:$N$460,0))</f>
        <v>140000.0</v>
      </c>
      <c r="I161" s="7">
        <f>INDEX('Rubro por CUI'!$H$5:$H$460,MATCH("001|2700348",'Rubro por CUI'!$N$5:$N$460,0))</f>
        <v>0.0</v>
      </c>
      <c r="J161" s="7">
        <f>INDEX('Rubro por CUI'!$I$5:$I$460,MATCH("001|2700348",'Rubro por CUI'!$N$5:$N$460,0))</f>
        <v>0.0</v>
      </c>
      <c r="K161" s="7">
        <f>L161-SUM(F161:J161)</f>
        <v>0.0</v>
      </c>
      <c r="L161" s="7">
        <f>SUMIFS(Base!$I$5:$I$509,Base!$A$5:$A$509,"001",Base!$F$5:$F$509,"2700348")</f>
        <v>140000.0</v>
      </c>
      <c r="M161" s="7">
        <f>D161-E161-L161</f>
        <v>5838792.0</v>
      </c>
      <c r="N161" s="6" t="s">
        <v>63</v>
      </c>
    </row>
    <row r="162" spans="1:14">
      <c r="A162" s="18">
        <v>155</v>
      </c>
      <c r="B162" s="18" t="s">
        <v>1788</v>
      </c>
      <c r="C162" s="6" t="s">
        <v>527</v>
      </c>
      <c r="D162" s="23">
        <v>958145</v>
      </c>
      <c r="E162" s="23">
        <v>26160</v>
      </c>
      <c r="F162" s="7">
        <f>INDEX('Rubro por CUI'!$E$5:$E$460,MATCH("001|2650271",'Rubro por CUI'!$N$5:$N$460,0))</f>
        <v>0.0</v>
      </c>
      <c r="G162" s="7">
        <f>INDEX('Rubro por CUI'!$F$5:$F$460,MATCH("001|2650271",'Rubro por CUI'!$N$5:$N$460,0))</f>
        <v>0.0</v>
      </c>
      <c r="H162" s="7">
        <f>INDEX('Rubro por CUI'!$G$5:$G$460,MATCH("001|2650271",'Rubro por CUI'!$N$5:$N$460,0))</f>
        <v>129991.0</v>
      </c>
      <c r="I162" s="7">
        <f>INDEX('Rubro por CUI'!$H$5:$H$460,MATCH("001|2650271",'Rubro por CUI'!$N$5:$N$460,0))</f>
        <v>0.0</v>
      </c>
      <c r="J162" s="7">
        <f>INDEX('Rubro por CUI'!$I$5:$I$460,MATCH("001|2650271",'Rubro por CUI'!$N$5:$N$460,0))</f>
        <v>0.0</v>
      </c>
      <c r="K162" s="7">
        <f>L162-SUM(F162:J162)</f>
        <v>0.0</v>
      </c>
      <c r="L162" s="7">
        <f>SUMIFS(Base!$I$5:$I$509,Base!$A$5:$A$509,"001",Base!$F$5:$F$509,"2650271")</f>
        <v>129991.0</v>
      </c>
      <c r="M162" s="7">
        <f>D162-E162-L162</f>
        <v>801994.0</v>
      </c>
      <c r="N162" s="6" t="s">
        <v>63</v>
      </c>
    </row>
    <row r="163" spans="1:14">
      <c r="A163" s="18">
        <v>156</v>
      </c>
      <c r="B163" s="18" t="s">
        <v>1789</v>
      </c>
      <c r="C163" s="6" t="s">
        <v>724</v>
      </c>
      <c r="D163" s="23">
        <v>4853788</v>
      </c>
      <c r="E163" s="23">
        <v>208992</v>
      </c>
      <c r="F163" s="7">
        <f>INDEX('Rubro por CUI'!$E$5:$E$460,MATCH("001|2656882",'Rubro por CUI'!$N$5:$N$460,0))</f>
        <v>0.0</v>
      </c>
      <c r="G163" s="7">
        <f>INDEX('Rubro por CUI'!$F$5:$F$460,MATCH("001|2656882",'Rubro por CUI'!$N$5:$N$460,0))</f>
        <v>0.0</v>
      </c>
      <c r="H163" s="7">
        <f>INDEX('Rubro por CUI'!$G$5:$G$460,MATCH("001|2656882",'Rubro por CUI'!$N$5:$N$460,0))</f>
        <v>126982.0</v>
      </c>
      <c r="I163" s="7">
        <f>INDEX('Rubro por CUI'!$H$5:$H$460,MATCH("001|2656882",'Rubro por CUI'!$N$5:$N$460,0))</f>
        <v>0.0</v>
      </c>
      <c r="J163" s="7">
        <f>INDEX('Rubro por CUI'!$I$5:$I$460,MATCH("001|2656882",'Rubro por CUI'!$N$5:$N$460,0))</f>
        <v>0.0</v>
      </c>
      <c r="K163" s="7">
        <f>L163-SUM(F163:J163)</f>
        <v>0.0</v>
      </c>
      <c r="L163" s="7">
        <f>SUMIFS(Base!$I$5:$I$509,Base!$A$5:$A$509,"001",Base!$F$5:$F$509,"2656882")</f>
        <v>126982.0</v>
      </c>
      <c r="M163" s="7">
        <f>D163-E163-L163</f>
        <v>4517814.0</v>
      </c>
      <c r="N163" s="6" t="s">
        <v>63</v>
      </c>
    </row>
    <row r="164" spans="1:14">
      <c r="A164" s="18">
        <v>157</v>
      </c>
      <c r="B164" s="18" t="s">
        <v>1790</v>
      </c>
      <c r="C164" s="6" t="s">
        <v>127</v>
      </c>
      <c r="D164" s="23">
        <v>3108780</v>
      </c>
      <c r="E164" s="23">
        <v>2948855</v>
      </c>
      <c r="F164" s="7">
        <f>INDEX('Rubro por CUI'!$E$5:$E$460,MATCH("001|2196865",'Rubro por CUI'!$N$5:$N$460,0))</f>
        <v>0.0</v>
      </c>
      <c r="G164" s="7">
        <f>INDEX('Rubro por CUI'!$F$5:$F$460,MATCH("001|2196865",'Rubro por CUI'!$N$5:$N$460,0))</f>
        <v>0.0</v>
      </c>
      <c r="H164" s="7">
        <f>INDEX('Rubro por CUI'!$G$5:$G$460,MATCH("001|2196865",'Rubro por CUI'!$N$5:$N$460,0))</f>
        <v>118539.0</v>
      </c>
      <c r="I164" s="7">
        <f>INDEX('Rubro por CUI'!$H$5:$H$460,MATCH("001|2196865",'Rubro por CUI'!$N$5:$N$460,0))</f>
        <v>0.0</v>
      </c>
      <c r="J164" s="7">
        <f>INDEX('Rubro por CUI'!$I$5:$I$460,MATCH("001|2196865",'Rubro por CUI'!$N$5:$N$460,0))</f>
        <v>0.0</v>
      </c>
      <c r="K164" s="7">
        <f>L164-SUM(F164:J164)</f>
        <v>0.0</v>
      </c>
      <c r="L164" s="7">
        <f>SUMIFS(Base!$I$5:$I$509,Base!$A$5:$A$509,"001",Base!$F$5:$F$509,"2196865")</f>
        <v>118539.0</v>
      </c>
      <c r="M164" s="7">
        <f>D164-E164-L164</f>
        <v>41386.0</v>
      </c>
      <c r="N164" s="6" t="s">
        <v>63</v>
      </c>
    </row>
    <row r="165" spans="1:14">
      <c r="A165" s="18">
        <v>158</v>
      </c>
      <c r="B165" s="18" t="s">
        <v>1791</v>
      </c>
      <c r="C165" s="6" t="s">
        <v>730</v>
      </c>
      <c r="D165" s="23">
        <v>9959133</v>
      </c>
      <c r="E165" s="23">
        <v>387471</v>
      </c>
      <c r="F165" s="7">
        <f>INDEX('Rubro por CUI'!$E$5:$E$460,MATCH("001|2660479",'Rubro por CUI'!$N$5:$N$460,0))</f>
        <v>0.0</v>
      </c>
      <c r="G165" s="7">
        <f>INDEX('Rubro por CUI'!$F$5:$F$460,MATCH("001|2660479",'Rubro por CUI'!$N$5:$N$460,0))</f>
        <v>0.0</v>
      </c>
      <c r="H165" s="7">
        <f>INDEX('Rubro por CUI'!$G$5:$G$460,MATCH("001|2660479",'Rubro por CUI'!$N$5:$N$460,0))</f>
        <v>112244.0</v>
      </c>
      <c r="I165" s="7">
        <f>INDEX('Rubro por CUI'!$H$5:$H$460,MATCH("001|2660479",'Rubro por CUI'!$N$5:$N$460,0))</f>
        <v>0.0</v>
      </c>
      <c r="J165" s="7">
        <f>INDEX('Rubro por CUI'!$I$5:$I$460,MATCH("001|2660479",'Rubro por CUI'!$N$5:$N$460,0))</f>
        <v>0.0</v>
      </c>
      <c r="K165" s="7">
        <f>L165-SUM(F165:J165)</f>
        <v>0.0</v>
      </c>
      <c r="L165" s="7">
        <f>SUMIFS(Base!$I$5:$I$509,Base!$A$5:$A$509,"001",Base!$F$5:$F$509,"2660479")</f>
        <v>112244.0</v>
      </c>
      <c r="M165" s="7">
        <f>D165-E165-L165</f>
        <v>9459418.0</v>
      </c>
      <c r="N165" s="6" t="s">
        <v>63</v>
      </c>
    </row>
    <row r="166" spans="1:14">
      <c r="A166" s="18">
        <v>159</v>
      </c>
      <c r="B166" s="18" t="s">
        <v>1792</v>
      </c>
      <c r="C166" s="6" t="s">
        <v>805</v>
      </c>
      <c r="D166" s="23">
        <v>701649</v>
      </c>
      <c r="E166" s="23">
        <v>55847</v>
      </c>
      <c r="F166" s="7">
        <f>INDEX('Rubro por CUI'!$E$5:$E$460,MATCH("001|2651086",'Rubro por CUI'!$N$5:$N$460,0))</f>
        <v>0.0</v>
      </c>
      <c r="G166" s="7">
        <f>INDEX('Rubro por CUI'!$F$5:$F$460,MATCH("001|2651086",'Rubro por CUI'!$N$5:$N$460,0))</f>
        <v>0.0</v>
      </c>
      <c r="H166" s="7">
        <f>INDEX('Rubro por CUI'!$G$5:$G$460,MATCH("001|2651086",'Rubro por CUI'!$N$5:$N$460,0))</f>
        <v>106670.0</v>
      </c>
      <c r="I166" s="7">
        <f>INDEX('Rubro por CUI'!$H$5:$H$460,MATCH("001|2651086",'Rubro por CUI'!$N$5:$N$460,0))</f>
        <v>0.0</v>
      </c>
      <c r="J166" s="7">
        <f>INDEX('Rubro por CUI'!$I$5:$I$460,MATCH("001|2651086",'Rubro por CUI'!$N$5:$N$460,0))</f>
        <v>0.0</v>
      </c>
      <c r="K166" s="7">
        <f>L166-SUM(F166:J166)</f>
        <v>0.0</v>
      </c>
      <c r="L166" s="7">
        <f>SUMIFS(Base!$I$5:$I$509,Base!$A$5:$A$509,"001",Base!$F$5:$F$509,"2651086")</f>
        <v>106670.0</v>
      </c>
      <c r="M166" s="7">
        <f>D166-E166-L166</f>
        <v>539132.0</v>
      </c>
      <c r="N166" s="6" t="s">
        <v>63</v>
      </c>
    </row>
    <row r="167" spans="1:14">
      <c r="A167" s="18">
        <v>160</v>
      </c>
      <c r="B167" s="18" t="s">
        <v>1793</v>
      </c>
      <c r="C167" s="6" t="s">
        <v>1397</v>
      </c>
      <c r="D167" s="23">
        <v>540185</v>
      </c>
      <c r="E167" s="23">
        <v>384286</v>
      </c>
      <c r="F167" s="7">
        <f>INDEX('Rubro por CUI'!$E$5:$E$460,MATCH("001|2692840",'Rubro por CUI'!$N$5:$N$460,0))</f>
        <v>0.0</v>
      </c>
      <c r="G167" s="7">
        <f>INDEX('Rubro por CUI'!$F$5:$F$460,MATCH("001|2692840",'Rubro por CUI'!$N$5:$N$460,0))</f>
        <v>0.0</v>
      </c>
      <c r="H167" s="7">
        <f>INDEX('Rubro por CUI'!$G$5:$G$460,MATCH("001|2692840",'Rubro por CUI'!$N$5:$N$460,0))</f>
        <v>100785.0</v>
      </c>
      <c r="I167" s="7">
        <f>INDEX('Rubro por CUI'!$H$5:$H$460,MATCH("001|2692840",'Rubro por CUI'!$N$5:$N$460,0))</f>
        <v>0.0</v>
      </c>
      <c r="J167" s="7">
        <f>INDEX('Rubro por CUI'!$I$5:$I$460,MATCH("001|2692840",'Rubro por CUI'!$N$5:$N$460,0))</f>
        <v>0.0</v>
      </c>
      <c r="K167" s="7">
        <f>L167-SUM(F167:J167)</f>
        <v>0.0</v>
      </c>
      <c r="L167" s="7">
        <f>SUMIFS(Base!$I$5:$I$509,Base!$A$5:$A$509,"001",Base!$F$5:$F$509,"2692840")</f>
        <v>100785.0</v>
      </c>
      <c r="M167" s="7">
        <f>D167-E167-L167</f>
        <v>55114.0</v>
      </c>
      <c r="N167" s="6" t="s">
        <v>63</v>
      </c>
    </row>
    <row r="168" spans="1:14">
      <c r="A168" s="18">
        <v>161</v>
      </c>
      <c r="B168" s="18" t="s">
        <v>1794</v>
      </c>
      <c r="C168" s="6" t="s">
        <v>694</v>
      </c>
      <c r="D168" s="23">
        <v>42606902</v>
      </c>
      <c r="E168" s="23">
        <v>1707206</v>
      </c>
      <c r="F168" s="7">
        <f>INDEX('Rubro por CUI'!$E$5:$E$460,MATCH("001|2384978",'Rubro por CUI'!$N$5:$N$460,0))</f>
        <v>0.0</v>
      </c>
      <c r="G168" s="7">
        <f>INDEX('Rubro por CUI'!$F$5:$F$460,MATCH("001|2384978",'Rubro por CUI'!$N$5:$N$460,0))</f>
        <v>0.0</v>
      </c>
      <c r="H168" s="7">
        <f>INDEX('Rubro por CUI'!$G$5:$G$460,MATCH("001|2384978",'Rubro por CUI'!$N$5:$N$460,0))</f>
        <v>100000.0</v>
      </c>
      <c r="I168" s="7">
        <f>INDEX('Rubro por CUI'!$H$5:$H$460,MATCH("001|2384978",'Rubro por CUI'!$N$5:$N$460,0))</f>
        <v>0.0</v>
      </c>
      <c r="J168" s="7">
        <f>INDEX('Rubro por CUI'!$I$5:$I$460,MATCH("001|2384978",'Rubro por CUI'!$N$5:$N$460,0))</f>
        <v>0.0</v>
      </c>
      <c r="K168" s="7">
        <f>L168-SUM(F168:J168)</f>
        <v>0.0</v>
      </c>
      <c r="L168" s="7">
        <f>SUMIFS(Base!$I$5:$I$509,Base!$A$5:$A$509,"001",Base!$F$5:$F$509,"2384978")</f>
        <v>100000.0</v>
      </c>
      <c r="M168" s="7">
        <f>D168-E168-L168</f>
        <v>40799696.0</v>
      </c>
      <c r="N168" s="6" t="s">
        <v>63</v>
      </c>
    </row>
    <row r="169" spans="1:14">
      <c r="A169" s="18">
        <v>162</v>
      </c>
      <c r="B169" s="18" t="s">
        <v>1795</v>
      </c>
      <c r="C169" s="6" t="s">
        <v>703</v>
      </c>
      <c r="D169" s="23">
        <v>9766088</v>
      </c>
      <c r="E169" s="23">
        <v>285235</v>
      </c>
      <c r="F169" s="7">
        <f>INDEX('Rubro por CUI'!$E$5:$E$460,MATCH("001|2616445",'Rubro por CUI'!$N$5:$N$460,0))</f>
        <v>0.0</v>
      </c>
      <c r="G169" s="7">
        <f>INDEX('Rubro por CUI'!$F$5:$F$460,MATCH("001|2616445",'Rubro por CUI'!$N$5:$N$460,0))</f>
        <v>0.0</v>
      </c>
      <c r="H169" s="7">
        <f>INDEX('Rubro por CUI'!$G$5:$G$460,MATCH("001|2616445",'Rubro por CUI'!$N$5:$N$460,0))</f>
        <v>100000.0</v>
      </c>
      <c r="I169" s="7">
        <f>INDEX('Rubro por CUI'!$H$5:$H$460,MATCH("001|2616445",'Rubro por CUI'!$N$5:$N$460,0))</f>
        <v>0.0</v>
      </c>
      <c r="J169" s="7">
        <f>INDEX('Rubro por CUI'!$I$5:$I$460,MATCH("001|2616445",'Rubro por CUI'!$N$5:$N$460,0))</f>
        <v>0.0</v>
      </c>
      <c r="K169" s="7">
        <f>L169-SUM(F169:J169)</f>
        <v>0.0</v>
      </c>
      <c r="L169" s="7">
        <f>SUMIFS(Base!$I$5:$I$509,Base!$A$5:$A$509,"001",Base!$F$5:$F$509,"2616445")</f>
        <v>100000.0</v>
      </c>
      <c r="M169" s="7">
        <f>D169-E169-L169</f>
        <v>9380853.0</v>
      </c>
      <c r="N169" s="6" t="s">
        <v>63</v>
      </c>
    </row>
    <row r="170" spans="1:14">
      <c r="A170" s="18">
        <v>163</v>
      </c>
      <c r="B170" s="18" t="s">
        <v>1796</v>
      </c>
      <c r="C170" s="6" t="s">
        <v>706</v>
      </c>
      <c r="D170" s="23">
        <v>9761078</v>
      </c>
      <c r="E170" s="23">
        <v>301986</v>
      </c>
      <c r="F170" s="7">
        <f>INDEX('Rubro por CUI'!$E$5:$E$460,MATCH("001|2618450",'Rubro por CUI'!$N$5:$N$460,0))</f>
        <v>0.0</v>
      </c>
      <c r="G170" s="7">
        <f>INDEX('Rubro por CUI'!$F$5:$F$460,MATCH("001|2618450",'Rubro por CUI'!$N$5:$N$460,0))</f>
        <v>0.0</v>
      </c>
      <c r="H170" s="7">
        <f>INDEX('Rubro por CUI'!$G$5:$G$460,MATCH("001|2618450",'Rubro por CUI'!$N$5:$N$460,0))</f>
        <v>100000.0</v>
      </c>
      <c r="I170" s="7">
        <f>INDEX('Rubro por CUI'!$H$5:$H$460,MATCH("001|2618450",'Rubro por CUI'!$N$5:$N$460,0))</f>
        <v>0.0</v>
      </c>
      <c r="J170" s="7">
        <f>INDEX('Rubro por CUI'!$I$5:$I$460,MATCH("001|2618450",'Rubro por CUI'!$N$5:$N$460,0))</f>
        <v>0.0</v>
      </c>
      <c r="K170" s="7">
        <f>L170-SUM(F170:J170)</f>
        <v>0.0</v>
      </c>
      <c r="L170" s="7">
        <f>SUMIFS(Base!$I$5:$I$509,Base!$A$5:$A$509,"001",Base!$F$5:$F$509,"2618450")</f>
        <v>100000.0</v>
      </c>
      <c r="M170" s="7">
        <f>D170-E170-L170</f>
        <v>9359092.0</v>
      </c>
      <c r="N170" s="6" t="s">
        <v>63</v>
      </c>
    </row>
    <row r="171" spans="1:14">
      <c r="A171" s="18">
        <v>164</v>
      </c>
      <c r="B171" s="18" t="s">
        <v>1797</v>
      </c>
      <c r="C171" s="6" t="s">
        <v>715</v>
      </c>
      <c r="D171" s="23">
        <v>3592200</v>
      </c>
      <c r="E171" s="23">
        <v>154242</v>
      </c>
      <c r="F171" s="7">
        <f>INDEX('Rubro por CUI'!$E$5:$E$460,MATCH("001|2652119",'Rubro por CUI'!$N$5:$N$460,0))</f>
        <v>0.0</v>
      </c>
      <c r="G171" s="7">
        <f>INDEX('Rubro por CUI'!$F$5:$F$460,MATCH("001|2652119",'Rubro por CUI'!$N$5:$N$460,0))</f>
        <v>0.0</v>
      </c>
      <c r="H171" s="7">
        <f>INDEX('Rubro por CUI'!$G$5:$G$460,MATCH("001|2652119",'Rubro por CUI'!$N$5:$N$460,0))</f>
        <v>100000.0</v>
      </c>
      <c r="I171" s="7">
        <f>INDEX('Rubro por CUI'!$H$5:$H$460,MATCH("001|2652119",'Rubro por CUI'!$N$5:$N$460,0))</f>
        <v>0.0</v>
      </c>
      <c r="J171" s="7">
        <f>INDEX('Rubro por CUI'!$I$5:$I$460,MATCH("001|2652119",'Rubro por CUI'!$N$5:$N$460,0))</f>
        <v>0.0</v>
      </c>
      <c r="K171" s="7">
        <f>L171-SUM(F171:J171)</f>
        <v>0.0</v>
      </c>
      <c r="L171" s="7">
        <f>SUMIFS(Base!$I$5:$I$509,Base!$A$5:$A$509,"001",Base!$F$5:$F$509,"2652119")</f>
        <v>100000.0</v>
      </c>
      <c r="M171" s="7">
        <f>D171-E171-L171</f>
        <v>3337958.0</v>
      </c>
      <c r="N171" s="6" t="s">
        <v>63</v>
      </c>
    </row>
    <row r="172" spans="1:14">
      <c r="A172" s="18">
        <v>165</v>
      </c>
      <c r="B172" s="18" t="s">
        <v>1798</v>
      </c>
      <c r="C172" s="6" t="s">
        <v>745</v>
      </c>
      <c r="D172" s="23">
        <v>39964928</v>
      </c>
      <c r="E172" s="23">
        <v>577912</v>
      </c>
      <c r="F172" s="7">
        <f>INDEX('Rubro por CUI'!$E$5:$E$460,MATCH("001|2357337",'Rubro por CUI'!$N$5:$N$460,0))</f>
        <v>0.0</v>
      </c>
      <c r="G172" s="7">
        <f>INDEX('Rubro por CUI'!$F$5:$F$460,MATCH("001|2357337",'Rubro por CUI'!$N$5:$N$460,0))</f>
        <v>0.0</v>
      </c>
      <c r="H172" s="7">
        <f>INDEX('Rubro por CUI'!$G$5:$G$460,MATCH("001|2357337",'Rubro por CUI'!$N$5:$N$460,0))</f>
        <v>100000.0</v>
      </c>
      <c r="I172" s="7">
        <f>INDEX('Rubro por CUI'!$H$5:$H$460,MATCH("001|2357337",'Rubro por CUI'!$N$5:$N$460,0))</f>
        <v>0.0</v>
      </c>
      <c r="J172" s="7">
        <f>INDEX('Rubro por CUI'!$I$5:$I$460,MATCH("001|2357337",'Rubro por CUI'!$N$5:$N$460,0))</f>
        <v>0.0</v>
      </c>
      <c r="K172" s="7">
        <f>L172-SUM(F172:J172)</f>
        <v>0.0</v>
      </c>
      <c r="L172" s="7">
        <f>SUMIFS(Base!$I$5:$I$509,Base!$A$5:$A$509,"001",Base!$F$5:$F$509,"2357337")</f>
        <v>100000.0</v>
      </c>
      <c r="M172" s="7">
        <f>D172-E172-L172</f>
        <v>39287016.0</v>
      </c>
      <c r="N172" s="6" t="s">
        <v>63</v>
      </c>
    </row>
    <row r="173" spans="1:14">
      <c r="A173" s="18">
        <v>166</v>
      </c>
      <c r="B173" s="18" t="s">
        <v>1799</v>
      </c>
      <c r="C173" s="6" t="s">
        <v>736</v>
      </c>
      <c r="D173" s="23">
        <v>2938756</v>
      </c>
      <c r="E173" s="23">
        <v>176184</v>
      </c>
      <c r="F173" s="7">
        <f>INDEX('Rubro por CUI'!$E$5:$E$460,MATCH("001|2662786",'Rubro por CUI'!$N$5:$N$460,0))</f>
        <v>0.0</v>
      </c>
      <c r="G173" s="7">
        <f>INDEX('Rubro por CUI'!$F$5:$F$460,MATCH("001|2662786",'Rubro por CUI'!$N$5:$N$460,0))</f>
        <v>0.0</v>
      </c>
      <c r="H173" s="7">
        <f>INDEX('Rubro por CUI'!$G$5:$G$460,MATCH("001|2662786",'Rubro por CUI'!$N$5:$N$460,0))</f>
        <v>99897.0</v>
      </c>
      <c r="I173" s="7">
        <f>INDEX('Rubro por CUI'!$H$5:$H$460,MATCH("001|2662786",'Rubro por CUI'!$N$5:$N$460,0))</f>
        <v>0.0</v>
      </c>
      <c r="J173" s="7">
        <f>INDEX('Rubro por CUI'!$I$5:$I$460,MATCH("001|2662786",'Rubro por CUI'!$N$5:$N$460,0))</f>
        <v>0.0</v>
      </c>
      <c r="K173" s="7">
        <f>L173-SUM(F173:J173)</f>
        <v>0.0</v>
      </c>
      <c r="L173" s="7">
        <f>SUMIFS(Base!$I$5:$I$509,Base!$A$5:$A$509,"001",Base!$F$5:$F$509,"2662786")</f>
        <v>99897.0</v>
      </c>
      <c r="M173" s="7">
        <f>D173-E173-L173</f>
        <v>2662675.0</v>
      </c>
      <c r="N173" s="6" t="s">
        <v>63</v>
      </c>
    </row>
    <row r="174" spans="1:14">
      <c r="A174" s="18">
        <v>167</v>
      </c>
      <c r="B174" s="18" t="s">
        <v>1800</v>
      </c>
      <c r="C174" s="6" t="s">
        <v>506</v>
      </c>
      <c r="D174" s="6" t="s">
        <v>69</v>
      </c>
      <c r="E174" s="6" t="s">
        <v>69</v>
      </c>
      <c r="F174" s="7">
        <f>INDEX('Rubro por CUI'!$E$5:$E$460,MATCH("001|2659573",'Rubro por CUI'!$N$5:$N$460,0))</f>
        <v>0.0</v>
      </c>
      <c r="G174" s="7">
        <f>INDEX('Rubro por CUI'!$F$5:$F$460,MATCH("001|2659573",'Rubro por CUI'!$N$5:$N$460,0))</f>
        <v>0.0</v>
      </c>
      <c r="H174" s="7">
        <f>INDEX('Rubro por CUI'!$G$5:$G$460,MATCH("001|2659573",'Rubro por CUI'!$N$5:$N$460,0))</f>
        <v>81646.0</v>
      </c>
      <c r="I174" s="7">
        <f>INDEX('Rubro por CUI'!$H$5:$H$460,MATCH("001|2659573",'Rubro por CUI'!$N$5:$N$460,0))</f>
        <v>0.0</v>
      </c>
      <c r="J174" s="7">
        <f>INDEX('Rubro por CUI'!$I$5:$I$460,MATCH("001|2659573",'Rubro por CUI'!$N$5:$N$460,0))</f>
        <v>0.0</v>
      </c>
      <c r="K174" s="7">
        <f>L174-SUM(F174:J174)</f>
        <v>0.0</v>
      </c>
      <c r="L174" s="7">
        <f>SUMIFS(Base!$I$5:$I$509,Base!$A$5:$A$509,"001",Base!$F$5:$F$509,"2659573")</f>
        <v>81646.0</v>
      </c>
      <c r="M174" s="6" t="s">
        <v>69</v>
      </c>
      <c r="N174" s="6" t="s">
        <v>1634</v>
      </c>
    </row>
    <row r="175" spans="1:14">
      <c r="A175" s="18">
        <v>168</v>
      </c>
      <c r="B175" s="18" t="s">
        <v>1801</v>
      </c>
      <c r="C175" s="6" t="s">
        <v>778</v>
      </c>
      <c r="D175" s="23">
        <v>1128542</v>
      </c>
      <c r="E175" s="23">
        <v>50001</v>
      </c>
      <c r="F175" s="7">
        <f>INDEX('Rubro por CUI'!$E$5:$E$460,MATCH("001|2649798",'Rubro por CUI'!$N$5:$N$460,0))</f>
        <v>0.0</v>
      </c>
      <c r="G175" s="7">
        <f>INDEX('Rubro por CUI'!$F$5:$F$460,MATCH("001|2649798",'Rubro por CUI'!$N$5:$N$460,0))</f>
        <v>0.0</v>
      </c>
      <c r="H175" s="7">
        <f>INDEX('Rubro por CUI'!$G$5:$G$460,MATCH("001|2649798",'Rubro por CUI'!$N$5:$N$460,0))</f>
        <v>80000.0</v>
      </c>
      <c r="I175" s="7">
        <f>INDEX('Rubro por CUI'!$H$5:$H$460,MATCH("001|2649798",'Rubro por CUI'!$N$5:$N$460,0))</f>
        <v>0.0</v>
      </c>
      <c r="J175" s="7">
        <f>INDEX('Rubro por CUI'!$I$5:$I$460,MATCH("001|2649798",'Rubro por CUI'!$N$5:$N$460,0))</f>
        <v>0.0</v>
      </c>
      <c r="K175" s="7">
        <f>L175-SUM(F175:J175)</f>
        <v>0.0</v>
      </c>
      <c r="L175" s="7">
        <f>SUMIFS(Base!$I$5:$I$509,Base!$A$5:$A$509,"001",Base!$F$5:$F$509,"2649798")</f>
        <v>80000.0</v>
      </c>
      <c r="M175" s="7">
        <f>D175-E175-L175</f>
        <v>998541.0</v>
      </c>
      <c r="N175" s="6" t="s">
        <v>63</v>
      </c>
    </row>
    <row r="176" spans="1:14">
      <c r="A176" s="18">
        <v>169</v>
      </c>
      <c r="B176" s="18" t="s">
        <v>1802</v>
      </c>
      <c r="C176" s="6" t="s">
        <v>159</v>
      </c>
      <c r="D176" s="23">
        <v>14922517</v>
      </c>
      <c r="E176" s="23">
        <v>14410128</v>
      </c>
      <c r="F176" s="7">
        <f>INDEX('Rubro por CUI'!$E$5:$E$460,MATCH("001|2194462",'Rubro por CUI'!$N$5:$N$460,0))</f>
        <v>0.0</v>
      </c>
      <c r="G176" s="7">
        <f>INDEX('Rubro por CUI'!$F$5:$F$460,MATCH("001|2194462",'Rubro por CUI'!$N$5:$N$460,0))</f>
        <v>0.0</v>
      </c>
      <c r="H176" s="7">
        <f>INDEX('Rubro por CUI'!$G$5:$G$460,MATCH("001|2194462",'Rubro por CUI'!$N$5:$N$460,0))</f>
        <v>77590.0</v>
      </c>
      <c r="I176" s="7">
        <f>INDEX('Rubro por CUI'!$H$5:$H$460,MATCH("001|2194462",'Rubro por CUI'!$N$5:$N$460,0))</f>
        <v>0.0</v>
      </c>
      <c r="J176" s="7">
        <f>INDEX('Rubro por CUI'!$I$5:$I$460,MATCH("001|2194462",'Rubro por CUI'!$N$5:$N$460,0))</f>
        <v>0.0</v>
      </c>
      <c r="K176" s="7">
        <f>L176-SUM(F176:J176)</f>
        <v>0.0</v>
      </c>
      <c r="L176" s="7">
        <f>SUMIFS(Base!$I$5:$I$509,Base!$A$5:$A$509,"001",Base!$F$5:$F$509,"2194462")</f>
        <v>77590.0</v>
      </c>
      <c r="M176" s="7">
        <f>D176-E176-L176</f>
        <v>434799.0</v>
      </c>
      <c r="N176" s="6" t="s">
        <v>63</v>
      </c>
    </row>
    <row r="177" spans="1:14">
      <c r="A177" s="18">
        <v>170</v>
      </c>
      <c r="B177" s="18" t="s">
        <v>1803</v>
      </c>
      <c r="C177" s="6" t="s">
        <v>1393</v>
      </c>
      <c r="D177" s="23">
        <v>747818</v>
      </c>
      <c r="E177" s="23">
        <v>641830</v>
      </c>
      <c r="F177" s="7">
        <f>INDEX('Rubro por CUI'!$E$5:$E$460,MATCH("001|2693441",'Rubro por CUI'!$N$5:$N$460,0))</f>
        <v>0.0</v>
      </c>
      <c r="G177" s="7">
        <f>INDEX('Rubro por CUI'!$F$5:$F$460,MATCH("001|2693441",'Rubro por CUI'!$N$5:$N$460,0))</f>
        <v>0.0</v>
      </c>
      <c r="H177" s="7">
        <f>INDEX('Rubro por CUI'!$G$5:$G$460,MATCH("001|2693441",'Rubro por CUI'!$N$5:$N$460,0))</f>
        <v>70059.0</v>
      </c>
      <c r="I177" s="7">
        <f>INDEX('Rubro por CUI'!$H$5:$H$460,MATCH("001|2693441",'Rubro por CUI'!$N$5:$N$460,0))</f>
        <v>0.0</v>
      </c>
      <c r="J177" s="7">
        <f>INDEX('Rubro por CUI'!$I$5:$I$460,MATCH("001|2693441",'Rubro por CUI'!$N$5:$N$460,0))</f>
        <v>0.0</v>
      </c>
      <c r="K177" s="7">
        <f>L177-SUM(F177:J177)</f>
        <v>0.0</v>
      </c>
      <c r="L177" s="7">
        <f>SUMIFS(Base!$I$5:$I$509,Base!$A$5:$A$509,"001",Base!$F$5:$F$509,"2693441")</f>
        <v>70059.0</v>
      </c>
      <c r="M177" s="7">
        <f>D177-E177-L177</f>
        <v>35929.0</v>
      </c>
      <c r="N177" s="6" t="s">
        <v>63</v>
      </c>
    </row>
    <row r="178" spans="1:14">
      <c r="A178" s="18">
        <v>171</v>
      </c>
      <c r="B178" s="18" t="s">
        <v>1804</v>
      </c>
      <c r="C178" s="6" t="s">
        <v>363</v>
      </c>
      <c r="D178" s="23">
        <v>5642297</v>
      </c>
      <c r="E178" s="23">
        <v>5451157</v>
      </c>
      <c r="F178" s="7">
        <f>INDEX('Rubro por CUI'!$E$5:$E$460,MATCH("001|2627406",'Rubro por CUI'!$N$5:$N$460,0))</f>
        <v>0.0</v>
      </c>
      <c r="G178" s="7">
        <f>INDEX('Rubro por CUI'!$F$5:$F$460,MATCH("001|2627406",'Rubro por CUI'!$N$5:$N$460,0))</f>
        <v>0.0</v>
      </c>
      <c r="H178" s="7">
        <f>INDEX('Rubro por CUI'!$G$5:$G$460,MATCH("001|2627406",'Rubro por CUI'!$N$5:$N$460,0))</f>
        <v>61203.0</v>
      </c>
      <c r="I178" s="7">
        <f>INDEX('Rubro por CUI'!$H$5:$H$460,MATCH("001|2627406",'Rubro por CUI'!$N$5:$N$460,0))</f>
        <v>0.0</v>
      </c>
      <c r="J178" s="7">
        <f>INDEX('Rubro por CUI'!$I$5:$I$460,MATCH("001|2627406",'Rubro por CUI'!$N$5:$N$460,0))</f>
        <v>0.0</v>
      </c>
      <c r="K178" s="7">
        <f>L178-SUM(F178:J178)</f>
        <v>0.0</v>
      </c>
      <c r="L178" s="7">
        <f>SUMIFS(Base!$I$5:$I$509,Base!$A$5:$A$509,"001",Base!$F$5:$F$509,"2627406")</f>
        <v>61203.0</v>
      </c>
      <c r="M178" s="7">
        <f>D178-E178-L178</f>
        <v>129937.0</v>
      </c>
      <c r="N178" s="6" t="s">
        <v>63</v>
      </c>
    </row>
    <row r="179" spans="1:14">
      <c r="A179" s="18">
        <v>172</v>
      </c>
      <c r="B179" s="18" t="s">
        <v>1805</v>
      </c>
      <c r="C179" s="6" t="s">
        <v>518</v>
      </c>
      <c r="D179" s="6" t="s">
        <v>69</v>
      </c>
      <c r="E179" s="6" t="s">
        <v>69</v>
      </c>
      <c r="F179" s="7">
        <f>INDEX('Rubro por CUI'!$E$5:$E$460,MATCH("001|2624292",'Rubro por CUI'!$N$5:$N$460,0))</f>
        <v>0.0</v>
      </c>
      <c r="G179" s="7">
        <f>INDEX('Rubro por CUI'!$F$5:$F$460,MATCH("001|2624292",'Rubro por CUI'!$N$5:$N$460,0))</f>
        <v>0.0</v>
      </c>
      <c r="H179" s="7">
        <f>INDEX('Rubro por CUI'!$G$5:$G$460,MATCH("001|2624292",'Rubro por CUI'!$N$5:$N$460,0))</f>
        <v>58627.0</v>
      </c>
      <c r="I179" s="7">
        <f>INDEX('Rubro por CUI'!$H$5:$H$460,MATCH("001|2624292",'Rubro por CUI'!$N$5:$N$460,0))</f>
        <v>0.0</v>
      </c>
      <c r="J179" s="7">
        <f>INDEX('Rubro por CUI'!$I$5:$I$460,MATCH("001|2624292",'Rubro por CUI'!$N$5:$N$460,0))</f>
        <v>0.0</v>
      </c>
      <c r="K179" s="7">
        <f>L179-SUM(F179:J179)</f>
        <v>0.0</v>
      </c>
      <c r="L179" s="7">
        <f>SUMIFS(Base!$I$5:$I$509,Base!$A$5:$A$509,"001",Base!$F$5:$F$509,"2624292")</f>
        <v>58627.0</v>
      </c>
      <c r="M179" s="6" t="s">
        <v>69</v>
      </c>
      <c r="N179" s="6" t="s">
        <v>1634</v>
      </c>
    </row>
    <row r="180" spans="1:14">
      <c r="A180" s="18">
        <v>173</v>
      </c>
      <c r="B180" s="18" t="s">
        <v>1806</v>
      </c>
      <c r="C180" s="6" t="s">
        <v>700</v>
      </c>
      <c r="D180" s="23">
        <v>22390702</v>
      </c>
      <c r="E180" s="23">
        <v>499737</v>
      </c>
      <c r="F180" s="7">
        <f>INDEX('Rubro por CUI'!$E$5:$E$460,MATCH("001|2585923",'Rubro por CUI'!$N$5:$N$460,0))</f>
        <v>0.0</v>
      </c>
      <c r="G180" s="7">
        <f>INDEX('Rubro por CUI'!$F$5:$F$460,MATCH("001|2585923",'Rubro por CUI'!$N$5:$N$460,0))</f>
        <v>0.0</v>
      </c>
      <c r="H180" s="7">
        <f>INDEX('Rubro por CUI'!$G$5:$G$460,MATCH("001|2585923",'Rubro por CUI'!$N$5:$N$460,0))</f>
        <v>58259.0</v>
      </c>
      <c r="I180" s="7">
        <f>INDEX('Rubro por CUI'!$H$5:$H$460,MATCH("001|2585923",'Rubro por CUI'!$N$5:$N$460,0))</f>
        <v>0.0</v>
      </c>
      <c r="J180" s="7">
        <f>INDEX('Rubro por CUI'!$I$5:$I$460,MATCH("001|2585923",'Rubro por CUI'!$N$5:$N$460,0))</f>
        <v>0.0</v>
      </c>
      <c r="K180" s="7">
        <f>L180-SUM(F180:J180)</f>
        <v>0.0</v>
      </c>
      <c r="L180" s="7">
        <f>SUMIFS(Base!$I$5:$I$509,Base!$A$5:$A$509,"001",Base!$F$5:$F$509,"2585923")</f>
        <v>58259.0</v>
      </c>
      <c r="M180" s="7">
        <f>D180-E180-L180</f>
        <v>21832706.0</v>
      </c>
      <c r="N180" s="6" t="s">
        <v>63</v>
      </c>
    </row>
    <row r="181" spans="1:14">
      <c r="A181" s="18">
        <v>174</v>
      </c>
      <c r="B181" s="18" t="s">
        <v>1807</v>
      </c>
      <c r="C181" s="6" t="s">
        <v>494</v>
      </c>
      <c r="D181" s="23">
        <v>7705851</v>
      </c>
      <c r="E181" s="23">
        <v>243879</v>
      </c>
      <c r="F181" s="7">
        <f>INDEX('Rubro por CUI'!$E$5:$E$460,MATCH("001|2662467",'Rubro por CUI'!$N$5:$N$460,0))</f>
        <v>0.0</v>
      </c>
      <c r="G181" s="7">
        <f>INDEX('Rubro por CUI'!$F$5:$F$460,MATCH("001|2662467",'Rubro por CUI'!$N$5:$N$460,0))</f>
        <v>0.0</v>
      </c>
      <c r="H181" s="7">
        <f>INDEX('Rubro por CUI'!$G$5:$G$460,MATCH("001|2662467",'Rubro por CUI'!$N$5:$N$460,0))</f>
        <v>57442.0</v>
      </c>
      <c r="I181" s="7">
        <f>INDEX('Rubro por CUI'!$H$5:$H$460,MATCH("001|2662467",'Rubro por CUI'!$N$5:$N$460,0))</f>
        <v>0.0</v>
      </c>
      <c r="J181" s="7">
        <f>INDEX('Rubro por CUI'!$I$5:$I$460,MATCH("001|2662467",'Rubro por CUI'!$N$5:$N$460,0))</f>
        <v>0.0</v>
      </c>
      <c r="K181" s="7">
        <f>L181-SUM(F181:J181)</f>
        <v>0.0</v>
      </c>
      <c r="L181" s="7">
        <f>SUMIFS(Base!$I$5:$I$509,Base!$A$5:$A$509,"001",Base!$F$5:$F$509,"2662467")</f>
        <v>57442.0</v>
      </c>
      <c r="M181" s="7">
        <f>D181-E181-L181</f>
        <v>7404530.0</v>
      </c>
      <c r="N181" s="6" t="s">
        <v>63</v>
      </c>
    </row>
    <row r="182" spans="1:14">
      <c r="A182" s="18">
        <v>175</v>
      </c>
      <c r="B182" s="18" t="s">
        <v>1808</v>
      </c>
      <c r="C182" s="6" t="s">
        <v>497</v>
      </c>
      <c r="D182" s="23">
        <v>2193335</v>
      </c>
      <c r="E182" s="23">
        <v>111830</v>
      </c>
      <c r="F182" s="7">
        <f>INDEX('Rubro por CUI'!$E$5:$E$460,MATCH("001|2650268",'Rubro por CUI'!$N$5:$N$460,0))</f>
        <v>0.0</v>
      </c>
      <c r="G182" s="7">
        <f>INDEX('Rubro por CUI'!$F$5:$F$460,MATCH("001|2650268",'Rubro por CUI'!$N$5:$N$460,0))</f>
        <v>0.0</v>
      </c>
      <c r="H182" s="7">
        <f>INDEX('Rubro por CUI'!$G$5:$G$460,MATCH("001|2650268",'Rubro por CUI'!$N$5:$N$460,0))</f>
        <v>53010.0</v>
      </c>
      <c r="I182" s="7">
        <f>INDEX('Rubro por CUI'!$H$5:$H$460,MATCH("001|2650268",'Rubro por CUI'!$N$5:$N$460,0))</f>
        <v>0.0</v>
      </c>
      <c r="J182" s="7">
        <f>INDEX('Rubro por CUI'!$I$5:$I$460,MATCH("001|2650268",'Rubro por CUI'!$N$5:$N$460,0))</f>
        <v>0.0</v>
      </c>
      <c r="K182" s="7">
        <f>L182-SUM(F182:J182)</f>
        <v>0.0</v>
      </c>
      <c r="L182" s="7">
        <f>SUMIFS(Base!$I$5:$I$509,Base!$A$5:$A$509,"001",Base!$F$5:$F$509,"2650268")</f>
        <v>53010.0</v>
      </c>
      <c r="M182" s="7">
        <f>D182-E182-L182</f>
        <v>2028495.0</v>
      </c>
      <c r="N182" s="6" t="s">
        <v>63</v>
      </c>
    </row>
    <row r="183" spans="1:14">
      <c r="A183" s="18">
        <v>176</v>
      </c>
      <c r="B183" s="18" t="s">
        <v>1809</v>
      </c>
      <c r="C183" s="6" t="s">
        <v>814</v>
      </c>
      <c r="D183" s="23">
        <v>2430090</v>
      </c>
      <c r="E183" s="23">
        <v>200895</v>
      </c>
      <c r="F183" s="7">
        <f>INDEX('Rubro por CUI'!$E$5:$E$460,MATCH("001|2673614",'Rubro por CUI'!$N$5:$N$460,0))</f>
        <v>0.0</v>
      </c>
      <c r="G183" s="7">
        <f>INDEX('Rubro por CUI'!$F$5:$F$460,MATCH("001|2673614",'Rubro por CUI'!$N$5:$N$460,0))</f>
        <v>0.0</v>
      </c>
      <c r="H183" s="7">
        <f>INDEX('Rubro por CUI'!$G$5:$G$460,MATCH("001|2673614",'Rubro por CUI'!$N$5:$N$460,0))</f>
        <v>50467.0</v>
      </c>
      <c r="I183" s="7">
        <f>INDEX('Rubro por CUI'!$H$5:$H$460,MATCH("001|2673614",'Rubro por CUI'!$N$5:$N$460,0))</f>
        <v>0.0</v>
      </c>
      <c r="J183" s="7">
        <f>INDEX('Rubro por CUI'!$I$5:$I$460,MATCH("001|2673614",'Rubro por CUI'!$N$5:$N$460,0))</f>
        <v>0.0</v>
      </c>
      <c r="K183" s="7">
        <f>L183-SUM(F183:J183)</f>
        <v>0.0</v>
      </c>
      <c r="L183" s="7">
        <f>SUMIFS(Base!$I$5:$I$509,Base!$A$5:$A$509,"001",Base!$F$5:$F$509,"2673614")</f>
        <v>50467.0</v>
      </c>
      <c r="M183" s="7">
        <f>D183-E183-L183</f>
        <v>2178728.0</v>
      </c>
      <c r="N183" s="6" t="s">
        <v>63</v>
      </c>
    </row>
    <row r="184" spans="1:14">
      <c r="A184" s="18">
        <v>177</v>
      </c>
      <c r="B184" s="18" t="s">
        <v>1810</v>
      </c>
      <c r="C184" s="6" t="s">
        <v>162</v>
      </c>
      <c r="D184" s="23">
        <v>19221362</v>
      </c>
      <c r="E184" s="23">
        <v>18508467</v>
      </c>
      <c r="F184" s="7">
        <f>INDEX('Rubro por CUI'!$E$5:$E$460,MATCH("001|2467893",'Rubro por CUI'!$N$5:$N$460,0))</f>
        <v>0.0</v>
      </c>
      <c r="G184" s="7">
        <f>INDEX('Rubro por CUI'!$F$5:$F$460,MATCH("001|2467893",'Rubro por CUI'!$N$5:$N$460,0))</f>
        <v>0.0</v>
      </c>
      <c r="H184" s="7">
        <f>INDEX('Rubro por CUI'!$G$5:$G$460,MATCH("001|2467893",'Rubro por CUI'!$N$5:$N$460,0))</f>
        <v>50132.0</v>
      </c>
      <c r="I184" s="7">
        <f>INDEX('Rubro por CUI'!$H$5:$H$460,MATCH("001|2467893",'Rubro por CUI'!$N$5:$N$460,0))</f>
        <v>0.0</v>
      </c>
      <c r="J184" s="7">
        <f>INDEX('Rubro por CUI'!$I$5:$I$460,MATCH("001|2467893",'Rubro por CUI'!$N$5:$N$460,0))</f>
        <v>0.0</v>
      </c>
      <c r="K184" s="7">
        <f>L184-SUM(F184:J184)</f>
        <v>0.0</v>
      </c>
      <c r="L184" s="7">
        <f>SUMIFS(Base!$I$5:$I$509,Base!$A$5:$A$509,"001",Base!$F$5:$F$509,"2467893")</f>
        <v>50132.0</v>
      </c>
      <c r="M184" s="7">
        <f>D184-E184-L184</f>
        <v>662763.0</v>
      </c>
      <c r="N184" s="6" t="s">
        <v>63</v>
      </c>
    </row>
    <row r="185" spans="1:14">
      <c r="A185" s="18">
        <v>178</v>
      </c>
      <c r="B185" s="18" t="s">
        <v>1811</v>
      </c>
      <c r="C185" s="6" t="s">
        <v>515</v>
      </c>
      <c r="D185" s="23">
        <v>596399</v>
      </c>
      <c r="E185" s="23">
        <v>28449</v>
      </c>
      <c r="F185" s="7">
        <f>INDEX('Rubro por CUI'!$E$5:$E$460,MATCH("001|2690009",'Rubro por CUI'!$N$5:$N$460,0))</f>
        <v>0.0</v>
      </c>
      <c r="G185" s="7">
        <f>INDEX('Rubro por CUI'!$F$5:$F$460,MATCH("001|2690009",'Rubro por CUI'!$N$5:$N$460,0))</f>
        <v>0.0</v>
      </c>
      <c r="H185" s="7">
        <f>INDEX('Rubro por CUI'!$G$5:$G$460,MATCH("001|2690009",'Rubro por CUI'!$N$5:$N$460,0))</f>
        <v>45161.0</v>
      </c>
      <c r="I185" s="7">
        <f>INDEX('Rubro por CUI'!$H$5:$H$460,MATCH("001|2690009",'Rubro por CUI'!$N$5:$N$460,0))</f>
        <v>0.0</v>
      </c>
      <c r="J185" s="7">
        <f>INDEX('Rubro por CUI'!$I$5:$I$460,MATCH("001|2690009",'Rubro por CUI'!$N$5:$N$460,0))</f>
        <v>0.0</v>
      </c>
      <c r="K185" s="7">
        <f>L185-SUM(F185:J185)</f>
        <v>0.0</v>
      </c>
      <c r="L185" s="7">
        <f>SUMIFS(Base!$I$5:$I$509,Base!$A$5:$A$509,"001",Base!$F$5:$F$509,"2690009")</f>
        <v>45161.0</v>
      </c>
      <c r="M185" s="7">
        <f>D185-E185-L185</f>
        <v>522789.0</v>
      </c>
      <c r="N185" s="6" t="s">
        <v>63</v>
      </c>
    </row>
    <row r="186" spans="1:14">
      <c r="A186" s="18">
        <v>179</v>
      </c>
      <c r="B186" s="18" t="s">
        <v>1812</v>
      </c>
      <c r="C186" s="6" t="s">
        <v>357</v>
      </c>
      <c r="D186" s="23">
        <v>3541167</v>
      </c>
      <c r="E186" s="23">
        <v>3374023</v>
      </c>
      <c r="F186" s="7">
        <f>INDEX('Rubro por CUI'!$E$5:$E$460,MATCH("001|2250396",'Rubro por CUI'!$N$5:$N$460,0))</f>
        <v>0.0</v>
      </c>
      <c r="G186" s="7">
        <f>INDEX('Rubro por CUI'!$F$5:$F$460,MATCH("001|2250396",'Rubro por CUI'!$N$5:$N$460,0))</f>
        <v>0.0</v>
      </c>
      <c r="H186" s="7">
        <f>INDEX('Rubro por CUI'!$G$5:$G$460,MATCH("001|2250396",'Rubro por CUI'!$N$5:$N$460,0))</f>
        <v>41720.0</v>
      </c>
      <c r="I186" s="7">
        <f>INDEX('Rubro por CUI'!$H$5:$H$460,MATCH("001|2250396",'Rubro por CUI'!$N$5:$N$460,0))</f>
        <v>0.0</v>
      </c>
      <c r="J186" s="7">
        <f>INDEX('Rubro por CUI'!$I$5:$I$460,MATCH("001|2250396",'Rubro por CUI'!$N$5:$N$460,0))</f>
        <v>0.0</v>
      </c>
      <c r="K186" s="7">
        <f>L186-SUM(F186:J186)</f>
        <v>0.0</v>
      </c>
      <c r="L186" s="7">
        <f>SUMIFS(Base!$I$5:$I$509,Base!$A$5:$A$509,"001",Base!$F$5:$F$509,"2250396")</f>
        <v>41720.0</v>
      </c>
      <c r="M186" s="7">
        <f>D186-E186-L186</f>
        <v>125424.0</v>
      </c>
      <c r="N186" s="6" t="s">
        <v>63</v>
      </c>
    </row>
    <row r="187" spans="1:14">
      <c r="A187" s="18">
        <v>180</v>
      </c>
      <c r="B187" s="18" t="s">
        <v>1813</v>
      </c>
      <c r="C187" s="6" t="s">
        <v>151</v>
      </c>
      <c r="D187" s="23">
        <v>12822948</v>
      </c>
      <c r="E187" s="23">
        <v>12252813</v>
      </c>
      <c r="F187" s="7">
        <f>INDEX('Rubro por CUI'!$E$5:$E$460,MATCH("001|2490131",'Rubro por CUI'!$N$5:$N$460,0))</f>
        <v>0.0</v>
      </c>
      <c r="G187" s="7">
        <f>INDEX('Rubro por CUI'!$F$5:$F$460,MATCH("001|2490131",'Rubro por CUI'!$N$5:$N$460,0))</f>
        <v>0.0</v>
      </c>
      <c r="H187" s="7">
        <f>INDEX('Rubro por CUI'!$G$5:$G$460,MATCH("001|2490131",'Rubro por CUI'!$N$5:$N$460,0))</f>
        <v>40621.0</v>
      </c>
      <c r="I187" s="7">
        <f>INDEX('Rubro por CUI'!$H$5:$H$460,MATCH("001|2490131",'Rubro por CUI'!$N$5:$N$460,0))</f>
        <v>0.0</v>
      </c>
      <c r="J187" s="7">
        <f>INDEX('Rubro por CUI'!$I$5:$I$460,MATCH("001|2490131",'Rubro por CUI'!$N$5:$N$460,0))</f>
        <v>0.0</v>
      </c>
      <c r="K187" s="7">
        <f>L187-SUM(F187:J187)</f>
        <v>0.0</v>
      </c>
      <c r="L187" s="7">
        <f>SUMIFS(Base!$I$5:$I$509,Base!$A$5:$A$509,"001",Base!$F$5:$F$509,"2490131")</f>
        <v>40621.0</v>
      </c>
      <c r="M187" s="7">
        <f>D187-E187-L187</f>
        <v>529514.0</v>
      </c>
      <c r="N187" s="6" t="s">
        <v>63</v>
      </c>
    </row>
    <row r="188" spans="1:14">
      <c r="A188" s="18">
        <v>181</v>
      </c>
      <c r="B188" s="18" t="s">
        <v>1814</v>
      </c>
      <c r="C188" s="6" t="s">
        <v>500</v>
      </c>
      <c r="D188" s="23">
        <v>1645486</v>
      </c>
      <c r="E188" s="23">
        <v>157391</v>
      </c>
      <c r="F188" s="7">
        <f>INDEX('Rubro por CUI'!$E$5:$E$460,MATCH("001|2652473",'Rubro por CUI'!$N$5:$N$460,0))</f>
        <v>0.0</v>
      </c>
      <c r="G188" s="7">
        <f>INDEX('Rubro por CUI'!$F$5:$F$460,MATCH("001|2652473",'Rubro por CUI'!$N$5:$N$460,0))</f>
        <v>0.0</v>
      </c>
      <c r="H188" s="7">
        <f>INDEX('Rubro por CUI'!$G$5:$G$460,MATCH("001|2652473",'Rubro por CUI'!$N$5:$N$460,0))</f>
        <v>40486.0</v>
      </c>
      <c r="I188" s="7">
        <f>INDEX('Rubro por CUI'!$H$5:$H$460,MATCH("001|2652473",'Rubro por CUI'!$N$5:$N$460,0))</f>
        <v>0.0</v>
      </c>
      <c r="J188" s="7">
        <f>INDEX('Rubro por CUI'!$I$5:$I$460,MATCH("001|2652473",'Rubro por CUI'!$N$5:$N$460,0))</f>
        <v>0.0</v>
      </c>
      <c r="K188" s="7">
        <f>L188-SUM(F188:J188)</f>
        <v>0.0</v>
      </c>
      <c r="L188" s="7">
        <f>SUMIFS(Base!$I$5:$I$509,Base!$A$5:$A$509,"001",Base!$F$5:$F$509,"2652473")</f>
        <v>40486.0</v>
      </c>
      <c r="M188" s="7">
        <f>D188-E188-L188</f>
        <v>1447609.0</v>
      </c>
      <c r="N188" s="6" t="s">
        <v>63</v>
      </c>
    </row>
    <row r="189" spans="1:14">
      <c r="A189" s="18">
        <v>182</v>
      </c>
      <c r="B189" s="18" t="s">
        <v>1815</v>
      </c>
      <c r="C189" s="6" t="s">
        <v>796</v>
      </c>
      <c r="D189" s="23">
        <v>963183</v>
      </c>
      <c r="E189" s="23">
        <v>80271</v>
      </c>
      <c r="F189" s="7">
        <f>INDEX('Rubro por CUI'!$E$5:$E$460,MATCH("001|2649855",'Rubro por CUI'!$N$5:$N$460,0))</f>
        <v>0.0</v>
      </c>
      <c r="G189" s="7">
        <f>INDEX('Rubro por CUI'!$F$5:$F$460,MATCH("001|2649855",'Rubro por CUI'!$N$5:$N$460,0))</f>
        <v>0.0</v>
      </c>
      <c r="H189" s="7">
        <f>INDEX('Rubro por CUI'!$G$5:$G$460,MATCH("001|2649855",'Rubro por CUI'!$N$5:$N$460,0))</f>
        <v>33556.0</v>
      </c>
      <c r="I189" s="7">
        <f>INDEX('Rubro por CUI'!$H$5:$H$460,MATCH("001|2649855",'Rubro por CUI'!$N$5:$N$460,0))</f>
        <v>0.0</v>
      </c>
      <c r="J189" s="7">
        <f>INDEX('Rubro por CUI'!$I$5:$I$460,MATCH("001|2649855",'Rubro por CUI'!$N$5:$N$460,0))</f>
        <v>0.0</v>
      </c>
      <c r="K189" s="7">
        <f>L189-SUM(F189:J189)</f>
        <v>0.0</v>
      </c>
      <c r="L189" s="7">
        <f>SUMIFS(Base!$I$5:$I$509,Base!$A$5:$A$509,"001",Base!$F$5:$F$509,"2649855")</f>
        <v>33556.0</v>
      </c>
      <c r="M189" s="7">
        <f>D189-E189-L189</f>
        <v>849356.0</v>
      </c>
      <c r="N189" s="6" t="s">
        <v>63</v>
      </c>
    </row>
    <row r="190" spans="1:14">
      <c r="A190" s="18">
        <v>183</v>
      </c>
      <c r="B190" s="18" t="s">
        <v>1816</v>
      </c>
      <c r="C190" s="6" t="s">
        <v>775</v>
      </c>
      <c r="D190" s="23">
        <v>2600018</v>
      </c>
      <c r="E190" s="23">
        <v>86775</v>
      </c>
      <c r="F190" s="7">
        <f>INDEX('Rubro por CUI'!$E$5:$E$460,MATCH("001|2649797",'Rubro por CUI'!$N$5:$N$460,0))</f>
        <v>0.0</v>
      </c>
      <c r="G190" s="7">
        <f>INDEX('Rubro por CUI'!$F$5:$F$460,MATCH("001|2649797",'Rubro por CUI'!$N$5:$N$460,0))</f>
        <v>0.0</v>
      </c>
      <c r="H190" s="7">
        <f>INDEX('Rubro por CUI'!$G$5:$G$460,MATCH("001|2649797",'Rubro por CUI'!$N$5:$N$460,0))</f>
        <v>29298.0</v>
      </c>
      <c r="I190" s="7">
        <f>INDEX('Rubro por CUI'!$H$5:$H$460,MATCH("001|2649797",'Rubro por CUI'!$N$5:$N$460,0))</f>
        <v>0.0</v>
      </c>
      <c r="J190" s="7">
        <f>INDEX('Rubro por CUI'!$I$5:$I$460,MATCH("001|2649797",'Rubro por CUI'!$N$5:$N$460,0))</f>
        <v>0.0</v>
      </c>
      <c r="K190" s="7">
        <f>L190-SUM(F190:J190)</f>
        <v>0.0</v>
      </c>
      <c r="L190" s="7">
        <f>SUMIFS(Base!$I$5:$I$509,Base!$A$5:$A$509,"001",Base!$F$5:$F$509,"2649797")</f>
        <v>29298.0</v>
      </c>
      <c r="M190" s="7">
        <f>D190-E190-L190</f>
        <v>2483945.0</v>
      </c>
      <c r="N190" s="6" t="s">
        <v>63</v>
      </c>
    </row>
    <row r="191" spans="1:14">
      <c r="A191" s="18">
        <v>184</v>
      </c>
      <c r="B191" s="18" t="s">
        <v>1817</v>
      </c>
      <c r="C191" s="6" t="s">
        <v>530</v>
      </c>
      <c r="D191" s="23">
        <v>2737437</v>
      </c>
      <c r="E191" s="23">
        <v>112541</v>
      </c>
      <c r="F191" s="7">
        <f>INDEX('Rubro por CUI'!$E$5:$E$460,MATCH("001|2651636",'Rubro por CUI'!$N$5:$N$460,0))</f>
        <v>0.0</v>
      </c>
      <c r="G191" s="7">
        <f>INDEX('Rubro por CUI'!$F$5:$F$460,MATCH("001|2651636",'Rubro por CUI'!$N$5:$N$460,0))</f>
        <v>0.0</v>
      </c>
      <c r="H191" s="7">
        <f>INDEX('Rubro por CUI'!$G$5:$G$460,MATCH("001|2651636",'Rubro por CUI'!$N$5:$N$460,0))</f>
        <v>24413.0</v>
      </c>
      <c r="I191" s="7">
        <f>INDEX('Rubro por CUI'!$H$5:$H$460,MATCH("001|2651636",'Rubro por CUI'!$N$5:$N$460,0))</f>
        <v>0.0</v>
      </c>
      <c r="J191" s="7">
        <f>INDEX('Rubro por CUI'!$I$5:$I$460,MATCH("001|2651636",'Rubro por CUI'!$N$5:$N$460,0))</f>
        <v>0.0</v>
      </c>
      <c r="K191" s="7">
        <f>L191-SUM(F191:J191)</f>
        <v>0.0</v>
      </c>
      <c r="L191" s="7">
        <f>SUMIFS(Base!$I$5:$I$509,Base!$A$5:$A$509,"001",Base!$F$5:$F$509,"2651636")</f>
        <v>24413.0</v>
      </c>
      <c r="M191" s="7">
        <f>D191-E191-L191</f>
        <v>2600483.0</v>
      </c>
      <c r="N191" s="6" t="s">
        <v>63</v>
      </c>
    </row>
    <row r="192" spans="1:14">
      <c r="A192" s="18">
        <v>185</v>
      </c>
      <c r="B192" s="18" t="s">
        <v>1818</v>
      </c>
      <c r="C192" s="6" t="s">
        <v>137</v>
      </c>
      <c r="D192" s="23">
        <v>4094770</v>
      </c>
      <c r="E192" s="23">
        <v>4040220</v>
      </c>
      <c r="F192" s="7">
        <f>INDEX('Rubro por CUI'!$E$5:$E$460,MATCH("001|2623682",'Rubro por CUI'!$N$5:$N$460,0))</f>
        <v>0.0</v>
      </c>
      <c r="G192" s="7">
        <f>INDEX('Rubro por CUI'!$F$5:$F$460,MATCH("001|2623682",'Rubro por CUI'!$N$5:$N$460,0))</f>
        <v>0.0</v>
      </c>
      <c r="H192" s="7">
        <f>INDEX('Rubro por CUI'!$G$5:$G$460,MATCH("001|2623682",'Rubro por CUI'!$N$5:$N$460,0))</f>
        <v>23560.0</v>
      </c>
      <c r="I192" s="7">
        <f>INDEX('Rubro por CUI'!$H$5:$H$460,MATCH("001|2623682",'Rubro por CUI'!$N$5:$N$460,0))</f>
        <v>0.0</v>
      </c>
      <c r="J192" s="7">
        <f>INDEX('Rubro por CUI'!$I$5:$I$460,MATCH("001|2623682",'Rubro por CUI'!$N$5:$N$460,0))</f>
        <v>0.0</v>
      </c>
      <c r="K192" s="7">
        <f>L192-SUM(F192:J192)</f>
        <v>0.0</v>
      </c>
      <c r="L192" s="7">
        <f>SUMIFS(Base!$I$5:$I$509,Base!$A$5:$A$509,"001",Base!$F$5:$F$509,"2623682")</f>
        <v>23560.0</v>
      </c>
      <c r="M192" s="7">
        <f>D192-E192-L192</f>
        <v>30990.0</v>
      </c>
      <c r="N192" s="6" t="s">
        <v>63</v>
      </c>
    </row>
    <row r="193" spans="1:14">
      <c r="A193" s="18">
        <v>186</v>
      </c>
      <c r="B193" s="18" t="s">
        <v>1819</v>
      </c>
      <c r="C193" s="6" t="s">
        <v>1447</v>
      </c>
      <c r="D193" s="23">
        <v>2424297</v>
      </c>
      <c r="E193" s="23">
        <v>2219435</v>
      </c>
      <c r="F193" s="7">
        <f>INDEX('Rubro por CUI'!$E$5:$E$460,MATCH("001|2231037",'Rubro por CUI'!$N$5:$N$460,0))</f>
        <v>0.0</v>
      </c>
      <c r="G193" s="7">
        <f>INDEX('Rubro por CUI'!$F$5:$F$460,MATCH("001|2231037",'Rubro por CUI'!$N$5:$N$460,0))</f>
        <v>0.0</v>
      </c>
      <c r="H193" s="7">
        <f>INDEX('Rubro por CUI'!$G$5:$G$460,MATCH("001|2231037",'Rubro por CUI'!$N$5:$N$460,0))</f>
        <v>20166.0</v>
      </c>
      <c r="I193" s="7">
        <f>INDEX('Rubro por CUI'!$H$5:$H$460,MATCH("001|2231037",'Rubro por CUI'!$N$5:$N$460,0))</f>
        <v>0.0</v>
      </c>
      <c r="J193" s="7">
        <f>INDEX('Rubro por CUI'!$I$5:$I$460,MATCH("001|2231037",'Rubro por CUI'!$N$5:$N$460,0))</f>
        <v>0.0</v>
      </c>
      <c r="K193" s="7">
        <f>L193-SUM(F193:J193)</f>
        <v>0.0</v>
      </c>
      <c r="L193" s="7">
        <f>SUMIFS(Base!$I$5:$I$509,Base!$A$5:$A$509,"001",Base!$F$5:$F$509,"2231037")</f>
        <v>20166.0</v>
      </c>
      <c r="M193" s="7">
        <f>D193-E193-L193</f>
        <v>184696.0</v>
      </c>
      <c r="N193" s="6" t="s">
        <v>63</v>
      </c>
    </row>
    <row r="194" spans="1:14">
      <c r="A194" s="18">
        <v>187</v>
      </c>
      <c r="B194" s="18" t="s">
        <v>1820</v>
      </c>
      <c r="C194" s="6" t="s">
        <v>140</v>
      </c>
      <c r="D194" s="23">
        <v>2550760</v>
      </c>
      <c r="E194" s="23">
        <v>2515868</v>
      </c>
      <c r="F194" s="7">
        <f>INDEX('Rubro por CUI'!$E$5:$E$460,MATCH("001|2196822",'Rubro por CUI'!$N$5:$N$460,0))</f>
        <v>0.0</v>
      </c>
      <c r="G194" s="7">
        <f>INDEX('Rubro por CUI'!$F$5:$F$460,MATCH("001|2196822",'Rubro por CUI'!$N$5:$N$460,0))</f>
        <v>0.0</v>
      </c>
      <c r="H194" s="7">
        <f>INDEX('Rubro por CUI'!$G$5:$G$460,MATCH("001|2196822",'Rubro por CUI'!$N$5:$N$460,0))</f>
        <v>17714.0</v>
      </c>
      <c r="I194" s="7">
        <f>INDEX('Rubro por CUI'!$H$5:$H$460,MATCH("001|2196822",'Rubro por CUI'!$N$5:$N$460,0))</f>
        <v>0.0</v>
      </c>
      <c r="J194" s="7">
        <f>INDEX('Rubro por CUI'!$I$5:$I$460,MATCH("001|2196822",'Rubro por CUI'!$N$5:$N$460,0))</f>
        <v>0.0</v>
      </c>
      <c r="K194" s="7">
        <f>L194-SUM(F194:J194)</f>
        <v>0.0</v>
      </c>
      <c r="L194" s="7">
        <f>SUMIFS(Base!$I$5:$I$509,Base!$A$5:$A$509,"001",Base!$F$5:$F$509,"2196822")</f>
        <v>17714.0</v>
      </c>
      <c r="M194" s="7">
        <f>D194-E194-L194</f>
        <v>17178.0</v>
      </c>
      <c r="N194" s="6" t="s">
        <v>63</v>
      </c>
    </row>
    <row r="195" spans="1:14">
      <c r="A195" s="18">
        <v>188</v>
      </c>
      <c r="B195" s="18" t="s">
        <v>1821</v>
      </c>
      <c r="C195" s="6" t="s">
        <v>757</v>
      </c>
      <c r="D195" s="23">
        <v>21942518</v>
      </c>
      <c r="E195" s="23">
        <v>593936</v>
      </c>
      <c r="F195" s="7">
        <f>INDEX('Rubro por CUI'!$E$5:$E$460,MATCH("001|2570365",'Rubro por CUI'!$N$5:$N$460,0))</f>
        <v>0.0</v>
      </c>
      <c r="G195" s="7">
        <f>INDEX('Rubro por CUI'!$F$5:$F$460,MATCH("001|2570365",'Rubro por CUI'!$N$5:$N$460,0))</f>
        <v>0.0</v>
      </c>
      <c r="H195" s="7">
        <f>INDEX('Rubro por CUI'!$G$5:$G$460,MATCH("001|2570365",'Rubro por CUI'!$N$5:$N$460,0))</f>
        <v>4863.0</v>
      </c>
      <c r="I195" s="7">
        <f>INDEX('Rubro por CUI'!$H$5:$H$460,MATCH("001|2570365",'Rubro por CUI'!$N$5:$N$460,0))</f>
        <v>0.0</v>
      </c>
      <c r="J195" s="7">
        <f>INDEX('Rubro por CUI'!$I$5:$I$460,MATCH("001|2570365",'Rubro por CUI'!$N$5:$N$460,0))</f>
        <v>0.0</v>
      </c>
      <c r="K195" s="7">
        <f>L195-SUM(F195:J195)</f>
        <v>0.0</v>
      </c>
      <c r="L195" s="7">
        <f>SUMIFS(Base!$I$5:$I$509,Base!$A$5:$A$509,"001",Base!$F$5:$F$509,"2570365")</f>
        <v>4863.0</v>
      </c>
      <c r="M195" s="7">
        <f>D195-E195-L195</f>
        <v>21343719.0</v>
      </c>
      <c r="N195" s="6" t="s">
        <v>63</v>
      </c>
    </row>
    <row r="196" spans="1:14">
      <c r="A196" s="18">
        <v>189</v>
      </c>
      <c r="B196" s="18" t="s">
        <v>1822</v>
      </c>
      <c r="C196" s="6" t="s">
        <v>108</v>
      </c>
      <c r="D196" s="23">
        <v>4775313</v>
      </c>
      <c r="E196" s="23">
        <v>205204</v>
      </c>
      <c r="F196" s="7">
        <f>INDEX('Rubro por CUI'!$E$5:$E$460,MATCH("001|2637985",'Rubro por CUI'!$N$5:$N$460,0))</f>
        <v>0.0</v>
      </c>
      <c r="G196" s="7">
        <f>INDEX('Rubro por CUI'!$F$5:$F$460,MATCH("001|2637985",'Rubro por CUI'!$N$5:$N$460,0))</f>
        <v>0.0</v>
      </c>
      <c r="H196" s="7">
        <f>INDEX('Rubro por CUI'!$G$5:$G$460,MATCH("001|2637985",'Rubro por CUI'!$N$5:$N$460,0))</f>
        <v>0.0</v>
      </c>
      <c r="I196" s="7">
        <f>INDEX('Rubro por CUI'!$H$5:$H$460,MATCH("001|2637985",'Rubro por CUI'!$N$5:$N$460,0))</f>
        <v>0.0</v>
      </c>
      <c r="J196" s="7">
        <f>INDEX('Rubro por CUI'!$I$5:$I$460,MATCH("001|2637985",'Rubro por CUI'!$N$5:$N$460,0))</f>
        <v>0.0</v>
      </c>
      <c r="K196" s="7">
        <f>L196-SUM(F196:J196)</f>
        <v>0.0</v>
      </c>
      <c r="L196" s="7">
        <f>SUMIFS(Base!$I$5:$I$509,Base!$A$5:$A$509,"001",Base!$F$5:$F$509,"2637985")</f>
        <v>0.0</v>
      </c>
      <c r="M196" s="7">
        <f>D196-E196-L196</f>
        <v>4570109.0</v>
      </c>
      <c r="N196" s="6" t="s">
        <v>63</v>
      </c>
    </row>
    <row r="197" spans="1:14">
      <c r="A197" s="18">
        <v>190</v>
      </c>
      <c r="B197" s="18" t="s">
        <v>1823</v>
      </c>
      <c r="C197" s="6" t="s">
        <v>144</v>
      </c>
      <c r="D197" s="6" t="s">
        <v>69</v>
      </c>
      <c r="E197" s="6" t="s">
        <v>69</v>
      </c>
      <c r="F197" s="7">
        <f>INDEX('Rubro por CUI'!$E$5:$E$460,MATCH("001|2194504",'Rubro por CUI'!$N$5:$N$460,0))</f>
        <v>0.0</v>
      </c>
      <c r="G197" s="7">
        <f>INDEX('Rubro por CUI'!$F$5:$F$460,MATCH("001|2194504",'Rubro por CUI'!$N$5:$N$460,0))</f>
        <v>0.0</v>
      </c>
      <c r="H197" s="7">
        <f>INDEX('Rubro por CUI'!$G$5:$G$460,MATCH("001|2194504",'Rubro por CUI'!$N$5:$N$460,0))</f>
        <v>0.0</v>
      </c>
      <c r="I197" s="7">
        <f>INDEX('Rubro por CUI'!$H$5:$H$460,MATCH("001|2194504",'Rubro por CUI'!$N$5:$N$460,0))</f>
        <v>0.0</v>
      </c>
      <c r="J197" s="7">
        <f>INDEX('Rubro por CUI'!$I$5:$I$460,MATCH("001|2194504",'Rubro por CUI'!$N$5:$N$460,0))</f>
        <v>0.0</v>
      </c>
      <c r="K197" s="7">
        <f>L197-SUM(F197:J197)</f>
        <v>0.0</v>
      </c>
      <c r="L197" s="7">
        <f>SUMIFS(Base!$I$5:$I$509,Base!$A$5:$A$509,"001",Base!$F$5:$F$509,"2194504")</f>
        <v>0.0</v>
      </c>
      <c r="M197" s="6" t="s">
        <v>69</v>
      </c>
      <c r="N197" s="6" t="s">
        <v>1634</v>
      </c>
    </row>
    <row r="198" spans="1:14">
      <c r="A198" s="18">
        <v>191</v>
      </c>
      <c r="B198" s="18" t="s">
        <v>1824</v>
      </c>
      <c r="C198" s="6" t="s">
        <v>155</v>
      </c>
      <c r="D198" s="23">
        <v>3367193</v>
      </c>
      <c r="E198" s="23">
        <v>191928</v>
      </c>
      <c r="F198" s="7">
        <f>INDEX('Rubro por CUI'!$E$5:$E$460,MATCH("001|2196857",'Rubro por CUI'!$N$5:$N$460,0))</f>
        <v>0.0</v>
      </c>
      <c r="G198" s="7">
        <f>INDEX('Rubro por CUI'!$F$5:$F$460,MATCH("001|2196857",'Rubro por CUI'!$N$5:$N$460,0))</f>
        <v>0.0</v>
      </c>
      <c r="H198" s="7">
        <f>INDEX('Rubro por CUI'!$G$5:$G$460,MATCH("001|2196857",'Rubro por CUI'!$N$5:$N$460,0))</f>
        <v>0.0</v>
      </c>
      <c r="I198" s="7">
        <f>INDEX('Rubro por CUI'!$H$5:$H$460,MATCH("001|2196857",'Rubro por CUI'!$N$5:$N$460,0))</f>
        <v>0.0</v>
      </c>
      <c r="J198" s="7">
        <f>INDEX('Rubro por CUI'!$I$5:$I$460,MATCH("001|2196857",'Rubro por CUI'!$N$5:$N$460,0))</f>
        <v>0.0</v>
      </c>
      <c r="K198" s="7">
        <f>L198-SUM(F198:J198)</f>
        <v>0.0</v>
      </c>
      <c r="L198" s="7">
        <f>SUMIFS(Base!$I$5:$I$509,Base!$A$5:$A$509,"001",Base!$F$5:$F$509,"2196857")</f>
        <v>0.0</v>
      </c>
      <c r="M198" s="7">
        <f>D198-E198-L198</f>
        <v>3175265.0</v>
      </c>
      <c r="N198" s="6" t="s">
        <v>63</v>
      </c>
    </row>
    <row r="199" spans="1:14">
      <c r="A199" s="18">
        <v>192</v>
      </c>
      <c r="B199" s="18" t="s">
        <v>1825</v>
      </c>
      <c r="C199" s="6" t="s">
        <v>432</v>
      </c>
      <c r="D199" s="23">
        <v>8247868</v>
      </c>
      <c r="E199" s="23">
        <v>8018867</v>
      </c>
      <c r="F199" s="7">
        <f>INDEX('Rubro por CUI'!$E$5:$E$460,MATCH("001|2194501",'Rubro por CUI'!$N$5:$N$460,0))</f>
        <v>0.0</v>
      </c>
      <c r="G199" s="7">
        <f>INDEX('Rubro por CUI'!$F$5:$F$460,MATCH("001|2194501",'Rubro por CUI'!$N$5:$N$460,0))</f>
        <v>0.0</v>
      </c>
      <c r="H199" s="7">
        <f>INDEX('Rubro por CUI'!$G$5:$G$460,MATCH("001|2194501",'Rubro por CUI'!$N$5:$N$460,0))</f>
        <v>0.0</v>
      </c>
      <c r="I199" s="7">
        <f>INDEX('Rubro por CUI'!$H$5:$H$460,MATCH("001|2194501",'Rubro por CUI'!$N$5:$N$460,0))</f>
        <v>0.0</v>
      </c>
      <c r="J199" s="7">
        <f>INDEX('Rubro por CUI'!$I$5:$I$460,MATCH("001|2194501",'Rubro por CUI'!$N$5:$N$460,0))</f>
        <v>0.0</v>
      </c>
      <c r="K199" s="7">
        <f>L199-SUM(F199:J199)</f>
        <v>0.0</v>
      </c>
      <c r="L199" s="7">
        <f>SUMIFS(Base!$I$5:$I$509,Base!$A$5:$A$509,"001",Base!$F$5:$F$509,"2194501")</f>
        <v>0.0</v>
      </c>
      <c r="M199" s="7">
        <f>D199-E199-L199</f>
        <v>229001.0</v>
      </c>
      <c r="N199" s="6" t="s">
        <v>63</v>
      </c>
    </row>
    <row r="200" spans="1:14">
      <c r="A200" s="18">
        <v>193</v>
      </c>
      <c r="B200" s="18" t="s">
        <v>1826</v>
      </c>
      <c r="C200" s="6" t="s">
        <v>521</v>
      </c>
      <c r="D200" s="6" t="s">
        <v>69</v>
      </c>
      <c r="E200" s="6" t="s">
        <v>69</v>
      </c>
      <c r="F200" s="7">
        <f>INDEX('Rubro por CUI'!$E$5:$E$460,MATCH("001|2196910",'Rubro por CUI'!$N$5:$N$460,0))</f>
        <v>0.0</v>
      </c>
      <c r="G200" s="7">
        <f>INDEX('Rubro por CUI'!$F$5:$F$460,MATCH("001|2196910",'Rubro por CUI'!$N$5:$N$460,0))</f>
        <v>0.0</v>
      </c>
      <c r="H200" s="7">
        <f>INDEX('Rubro por CUI'!$G$5:$G$460,MATCH("001|2196910",'Rubro por CUI'!$N$5:$N$460,0))</f>
        <v>0.0</v>
      </c>
      <c r="I200" s="7">
        <f>INDEX('Rubro por CUI'!$H$5:$H$460,MATCH("001|2196910",'Rubro por CUI'!$N$5:$N$460,0))</f>
        <v>0.0</v>
      </c>
      <c r="J200" s="7">
        <f>INDEX('Rubro por CUI'!$I$5:$I$460,MATCH("001|2196910",'Rubro por CUI'!$N$5:$N$460,0))</f>
        <v>0.0</v>
      </c>
      <c r="K200" s="7">
        <f>L200-SUM(F200:J200)</f>
        <v>0.0</v>
      </c>
      <c r="L200" s="7">
        <f>SUMIFS(Base!$I$5:$I$509,Base!$A$5:$A$509,"001",Base!$F$5:$F$509,"2196910")</f>
        <v>0.0</v>
      </c>
      <c r="M200" s="6" t="s">
        <v>69</v>
      </c>
      <c r="N200" s="6" t="s">
        <v>1634</v>
      </c>
    </row>
    <row r="201" spans="1:14">
      <c r="A201" s="18">
        <v>194</v>
      </c>
      <c r="B201" s="18" t="s">
        <v>1827</v>
      </c>
      <c r="C201" s="6" t="s">
        <v>533</v>
      </c>
      <c r="D201" s="23">
        <v>2095597</v>
      </c>
      <c r="E201" s="23">
        <v>97655</v>
      </c>
      <c r="F201" s="7">
        <f>INDEX('Rubro por CUI'!$E$5:$E$460,MATCH("001|2653339",'Rubro por CUI'!$N$5:$N$460,0))</f>
        <v>0.0</v>
      </c>
      <c r="G201" s="7">
        <f>INDEX('Rubro por CUI'!$F$5:$F$460,MATCH("001|2653339",'Rubro por CUI'!$N$5:$N$460,0))</f>
        <v>0.0</v>
      </c>
      <c r="H201" s="7">
        <f>INDEX('Rubro por CUI'!$G$5:$G$460,MATCH("001|2653339",'Rubro por CUI'!$N$5:$N$460,0))</f>
        <v>0.0</v>
      </c>
      <c r="I201" s="7">
        <f>INDEX('Rubro por CUI'!$H$5:$H$460,MATCH("001|2653339",'Rubro por CUI'!$N$5:$N$460,0))</f>
        <v>0.0</v>
      </c>
      <c r="J201" s="7">
        <f>INDEX('Rubro por CUI'!$I$5:$I$460,MATCH("001|2653339",'Rubro por CUI'!$N$5:$N$460,0))</f>
        <v>0.0</v>
      </c>
      <c r="K201" s="7">
        <f>L201-SUM(F201:J201)</f>
        <v>0.0</v>
      </c>
      <c r="L201" s="7">
        <f>SUMIFS(Base!$I$5:$I$509,Base!$A$5:$A$509,"001",Base!$F$5:$F$509,"2653339")</f>
        <v>0.0</v>
      </c>
      <c r="M201" s="7">
        <f>D201-E201-L201</f>
        <v>1997942.0</v>
      </c>
      <c r="N201" s="6" t="s">
        <v>63</v>
      </c>
    </row>
    <row r="202" spans="1:14">
      <c r="A202" s="18">
        <v>195</v>
      </c>
      <c r="B202" s="18" t="s">
        <v>1828</v>
      </c>
      <c r="C202" s="6" t="s">
        <v>554</v>
      </c>
      <c r="D202" s="6" t="s">
        <v>69</v>
      </c>
      <c r="E202" s="6" t="s">
        <v>69</v>
      </c>
      <c r="F202" s="7">
        <f>INDEX('Rubro por CUI'!$E$5:$E$460,MATCH("001|2727355",'Rubro por CUI'!$N$5:$N$460,0))</f>
        <v>0.0</v>
      </c>
      <c r="G202" s="7">
        <f>INDEX('Rubro por CUI'!$F$5:$F$460,MATCH("001|2727355",'Rubro por CUI'!$N$5:$N$460,0))</f>
        <v>0.0</v>
      </c>
      <c r="H202" s="7">
        <f>INDEX('Rubro por CUI'!$G$5:$G$460,MATCH("001|2727355",'Rubro por CUI'!$N$5:$N$460,0))</f>
        <v>0.0</v>
      </c>
      <c r="I202" s="7">
        <f>INDEX('Rubro por CUI'!$H$5:$H$460,MATCH("001|2727355",'Rubro por CUI'!$N$5:$N$460,0))</f>
        <v>0.0</v>
      </c>
      <c r="J202" s="7">
        <f>INDEX('Rubro por CUI'!$I$5:$I$460,MATCH("001|2727355",'Rubro por CUI'!$N$5:$N$460,0))</f>
        <v>0.0</v>
      </c>
      <c r="K202" s="7">
        <f>L202-SUM(F202:J202)</f>
        <v>0.0</v>
      </c>
      <c r="L202" s="7">
        <f>SUMIFS(Base!$I$5:$I$509,Base!$A$5:$A$509,"001",Base!$F$5:$F$509,"2727355")</f>
        <v>0.0</v>
      </c>
      <c r="M202" s="6" t="s">
        <v>69</v>
      </c>
      <c r="N202" s="6" t="s">
        <v>1634</v>
      </c>
    </row>
    <row r="203" spans="1:14">
      <c r="A203" s="18">
        <v>196</v>
      </c>
      <c r="B203" s="18" t="s">
        <v>1829</v>
      </c>
      <c r="C203" s="6" t="s">
        <v>563</v>
      </c>
      <c r="D203" s="6" t="s">
        <v>69</v>
      </c>
      <c r="E203" s="6" t="s">
        <v>69</v>
      </c>
      <c r="F203" s="7">
        <f>INDEX('Rubro por CUI'!$E$5:$E$460,MATCH("001|2730161",'Rubro por CUI'!$N$5:$N$460,0))</f>
        <v>0.0</v>
      </c>
      <c r="G203" s="7">
        <f>INDEX('Rubro por CUI'!$F$5:$F$460,MATCH("001|2730161",'Rubro por CUI'!$N$5:$N$460,0))</f>
        <v>0.0</v>
      </c>
      <c r="H203" s="7">
        <f>INDEX('Rubro por CUI'!$G$5:$G$460,MATCH("001|2730161",'Rubro por CUI'!$N$5:$N$460,0))</f>
        <v>0.0</v>
      </c>
      <c r="I203" s="7">
        <f>INDEX('Rubro por CUI'!$H$5:$H$460,MATCH("001|2730161",'Rubro por CUI'!$N$5:$N$460,0))</f>
        <v>0.0</v>
      </c>
      <c r="J203" s="7">
        <f>INDEX('Rubro por CUI'!$I$5:$I$460,MATCH("001|2730161",'Rubro por CUI'!$N$5:$N$460,0))</f>
        <v>0.0</v>
      </c>
      <c r="K203" s="7">
        <f>L203-SUM(F203:J203)</f>
        <v>0.0</v>
      </c>
      <c r="L203" s="7">
        <f>SUMIFS(Base!$I$5:$I$509,Base!$A$5:$A$509,"001",Base!$F$5:$F$509,"2730161")</f>
        <v>0.0</v>
      </c>
      <c r="M203" s="6" t="s">
        <v>69</v>
      </c>
      <c r="N203" s="6" t="s">
        <v>1634</v>
      </c>
    </row>
    <row r="204" spans="1:14">
      <c r="A204" s="18">
        <v>197</v>
      </c>
      <c r="B204" s="18" t="s">
        <v>1830</v>
      </c>
      <c r="C204" s="6" t="s">
        <v>566</v>
      </c>
      <c r="D204" s="6" t="s">
        <v>69</v>
      </c>
      <c r="E204" s="6" t="s">
        <v>69</v>
      </c>
      <c r="F204" s="7">
        <f>INDEX('Rubro por CUI'!$E$5:$E$460,MATCH("001|2718285",'Rubro por CUI'!$N$5:$N$460,0))</f>
        <v>0.0</v>
      </c>
      <c r="G204" s="7">
        <f>INDEX('Rubro por CUI'!$F$5:$F$460,MATCH("001|2718285",'Rubro por CUI'!$N$5:$N$460,0))</f>
        <v>0.0</v>
      </c>
      <c r="H204" s="7">
        <f>INDEX('Rubro por CUI'!$G$5:$G$460,MATCH("001|2718285",'Rubro por CUI'!$N$5:$N$460,0))</f>
        <v>0.0</v>
      </c>
      <c r="I204" s="7">
        <f>INDEX('Rubro por CUI'!$H$5:$H$460,MATCH("001|2718285",'Rubro por CUI'!$N$5:$N$460,0))</f>
        <v>0.0</v>
      </c>
      <c r="J204" s="7">
        <f>INDEX('Rubro por CUI'!$I$5:$I$460,MATCH("001|2718285",'Rubro por CUI'!$N$5:$N$460,0))</f>
        <v>0.0</v>
      </c>
      <c r="K204" s="7">
        <f>L204-SUM(F204:J204)</f>
        <v>0.0</v>
      </c>
      <c r="L204" s="7">
        <f>SUMIFS(Base!$I$5:$I$509,Base!$A$5:$A$509,"001",Base!$F$5:$F$509,"2718285")</f>
        <v>0.0</v>
      </c>
      <c r="M204" s="6" t="s">
        <v>69</v>
      </c>
      <c r="N204" s="6" t="s">
        <v>1634</v>
      </c>
    </row>
    <row r="205" spans="1:14">
      <c r="A205" s="18">
        <v>198</v>
      </c>
      <c r="B205" s="18" t="s">
        <v>1831</v>
      </c>
      <c r="C205" s="6" t="s">
        <v>691</v>
      </c>
      <c r="D205" s="23">
        <v>15694424</v>
      </c>
      <c r="E205" s="23">
        <v>955560</v>
      </c>
      <c r="F205" s="7">
        <f>INDEX('Rubro por CUI'!$E$5:$E$460,MATCH("001|2188379",'Rubro por CUI'!$N$5:$N$460,0))</f>
        <v>0.0</v>
      </c>
      <c r="G205" s="7">
        <f>INDEX('Rubro por CUI'!$F$5:$F$460,MATCH("001|2188379",'Rubro por CUI'!$N$5:$N$460,0))</f>
        <v>0.0</v>
      </c>
      <c r="H205" s="7">
        <f>INDEX('Rubro por CUI'!$G$5:$G$460,MATCH("001|2188379",'Rubro por CUI'!$N$5:$N$460,0))</f>
        <v>0.0</v>
      </c>
      <c r="I205" s="7">
        <f>INDEX('Rubro por CUI'!$H$5:$H$460,MATCH("001|2188379",'Rubro por CUI'!$N$5:$N$460,0))</f>
        <v>0.0</v>
      </c>
      <c r="J205" s="7">
        <f>INDEX('Rubro por CUI'!$I$5:$I$460,MATCH("001|2188379",'Rubro por CUI'!$N$5:$N$460,0))</f>
        <v>0.0</v>
      </c>
      <c r="K205" s="7">
        <f>L205-SUM(F205:J205)</f>
        <v>0.0</v>
      </c>
      <c r="L205" s="7">
        <f>SUMIFS(Base!$I$5:$I$509,Base!$A$5:$A$509,"001",Base!$F$5:$F$509,"2188379")</f>
        <v>0.0</v>
      </c>
      <c r="M205" s="7">
        <f>D205-E205-L205</f>
        <v>14738864.0</v>
      </c>
      <c r="N205" s="6" t="s">
        <v>63</v>
      </c>
    </row>
    <row r="206" spans="1:14">
      <c r="A206" s="18">
        <v>199</v>
      </c>
      <c r="B206" s="18" t="s">
        <v>1832</v>
      </c>
      <c r="C206" s="6" t="s">
        <v>697</v>
      </c>
      <c r="D206" s="23">
        <v>19833820</v>
      </c>
      <c r="E206" s="23">
        <v>662932</v>
      </c>
      <c r="F206" s="7">
        <f>INDEX('Rubro por CUI'!$E$5:$E$460,MATCH("001|2525250",'Rubro por CUI'!$N$5:$N$460,0))</f>
        <v>0.0</v>
      </c>
      <c r="G206" s="7">
        <f>INDEX('Rubro por CUI'!$F$5:$F$460,MATCH("001|2525250",'Rubro por CUI'!$N$5:$N$460,0))</f>
        <v>0.0</v>
      </c>
      <c r="H206" s="7">
        <f>INDEX('Rubro por CUI'!$G$5:$G$460,MATCH("001|2525250",'Rubro por CUI'!$N$5:$N$460,0))</f>
        <v>0.0</v>
      </c>
      <c r="I206" s="7">
        <f>INDEX('Rubro por CUI'!$H$5:$H$460,MATCH("001|2525250",'Rubro por CUI'!$N$5:$N$460,0))</f>
        <v>0.0</v>
      </c>
      <c r="J206" s="7">
        <f>INDEX('Rubro por CUI'!$I$5:$I$460,MATCH("001|2525250",'Rubro por CUI'!$N$5:$N$460,0))</f>
        <v>0.0</v>
      </c>
      <c r="K206" s="7">
        <f>L206-SUM(F206:J206)</f>
        <v>0.0</v>
      </c>
      <c r="L206" s="7">
        <f>SUMIFS(Base!$I$5:$I$509,Base!$A$5:$A$509,"001",Base!$F$5:$F$509,"2525250")</f>
        <v>0.0</v>
      </c>
      <c r="M206" s="7">
        <f>D206-E206-L206</f>
        <v>19170888.0</v>
      </c>
      <c r="N206" s="6" t="s">
        <v>63</v>
      </c>
    </row>
    <row r="207" spans="1:14">
      <c r="A207" s="18">
        <v>200</v>
      </c>
      <c r="B207" s="18" t="s">
        <v>1833</v>
      </c>
      <c r="C207" s="6" t="s">
        <v>721</v>
      </c>
      <c r="D207" s="23">
        <v>4916766</v>
      </c>
      <c r="E207" s="23">
        <v>0</v>
      </c>
      <c r="F207" s="7">
        <f>INDEX('Rubro por CUI'!$E$5:$E$460,MATCH("001|2655774",'Rubro por CUI'!$N$5:$N$460,0))</f>
        <v>0.0</v>
      </c>
      <c r="G207" s="7">
        <f>INDEX('Rubro por CUI'!$F$5:$F$460,MATCH("001|2655774",'Rubro por CUI'!$N$5:$N$460,0))</f>
        <v>0.0</v>
      </c>
      <c r="H207" s="7">
        <f>INDEX('Rubro por CUI'!$G$5:$G$460,MATCH("001|2655774",'Rubro por CUI'!$N$5:$N$460,0))</f>
        <v>0.0</v>
      </c>
      <c r="I207" s="7">
        <f>INDEX('Rubro por CUI'!$H$5:$H$460,MATCH("001|2655774",'Rubro por CUI'!$N$5:$N$460,0))</f>
        <v>0.0</v>
      </c>
      <c r="J207" s="7">
        <f>INDEX('Rubro por CUI'!$I$5:$I$460,MATCH("001|2655774",'Rubro por CUI'!$N$5:$N$460,0))</f>
        <v>0.0</v>
      </c>
      <c r="K207" s="7">
        <f>L207-SUM(F207:J207)</f>
        <v>0.0</v>
      </c>
      <c r="L207" s="7">
        <f>SUMIFS(Base!$I$5:$I$509,Base!$A$5:$A$509,"001",Base!$F$5:$F$509,"2655774")</f>
        <v>0.0</v>
      </c>
      <c r="M207" s="7">
        <f>D207-E207-L207</f>
        <v>4916766.0</v>
      </c>
      <c r="N207" s="6" t="s">
        <v>63</v>
      </c>
    </row>
    <row r="208" spans="1:14">
      <c r="A208" s="18">
        <v>201</v>
      </c>
      <c r="B208" s="18" t="s">
        <v>1834</v>
      </c>
      <c r="C208" s="6" t="s">
        <v>727</v>
      </c>
      <c r="D208" s="23">
        <v>4322827</v>
      </c>
      <c r="E208" s="23">
        <v>0</v>
      </c>
      <c r="F208" s="7">
        <f>INDEX('Rubro por CUI'!$E$5:$E$460,MATCH("001|2659574",'Rubro por CUI'!$N$5:$N$460,0))</f>
        <v>0.0</v>
      </c>
      <c r="G208" s="7">
        <f>INDEX('Rubro por CUI'!$F$5:$F$460,MATCH("001|2659574",'Rubro por CUI'!$N$5:$N$460,0))</f>
        <v>0.0</v>
      </c>
      <c r="H208" s="7">
        <f>INDEX('Rubro por CUI'!$G$5:$G$460,MATCH("001|2659574",'Rubro por CUI'!$N$5:$N$460,0))</f>
        <v>0.0</v>
      </c>
      <c r="I208" s="7">
        <f>INDEX('Rubro por CUI'!$H$5:$H$460,MATCH("001|2659574",'Rubro por CUI'!$N$5:$N$460,0))</f>
        <v>0.0</v>
      </c>
      <c r="J208" s="7">
        <f>INDEX('Rubro por CUI'!$I$5:$I$460,MATCH("001|2659574",'Rubro por CUI'!$N$5:$N$460,0))</f>
        <v>0.0</v>
      </c>
      <c r="K208" s="7">
        <f>L208-SUM(F208:J208)</f>
        <v>0.0</v>
      </c>
      <c r="L208" s="7">
        <f>SUMIFS(Base!$I$5:$I$509,Base!$A$5:$A$509,"001",Base!$F$5:$F$509,"2659574")</f>
        <v>0.0</v>
      </c>
      <c r="M208" s="7">
        <f>D208-E208-L208</f>
        <v>4322827.0</v>
      </c>
      <c r="N208" s="6" t="s">
        <v>63</v>
      </c>
    </row>
    <row r="209" spans="1:14">
      <c r="A209" s="18">
        <v>202</v>
      </c>
      <c r="B209" s="18" t="s">
        <v>1835</v>
      </c>
      <c r="C209" s="6" t="s">
        <v>742</v>
      </c>
      <c r="D209" s="23">
        <v>6387037</v>
      </c>
      <c r="E209" s="23">
        <v>0</v>
      </c>
      <c r="F209" s="7">
        <f>INDEX('Rubro por CUI'!$E$5:$E$460,MATCH("001|2673628",'Rubro por CUI'!$N$5:$N$460,0))</f>
        <v>0.0</v>
      </c>
      <c r="G209" s="7">
        <f>INDEX('Rubro por CUI'!$F$5:$F$460,MATCH("001|2673628",'Rubro por CUI'!$N$5:$N$460,0))</f>
        <v>0.0</v>
      </c>
      <c r="H209" s="7">
        <f>INDEX('Rubro por CUI'!$G$5:$G$460,MATCH("001|2673628",'Rubro por CUI'!$N$5:$N$460,0))</f>
        <v>0.0</v>
      </c>
      <c r="I209" s="7">
        <f>INDEX('Rubro por CUI'!$H$5:$H$460,MATCH("001|2673628",'Rubro por CUI'!$N$5:$N$460,0))</f>
        <v>0.0</v>
      </c>
      <c r="J209" s="7">
        <f>INDEX('Rubro por CUI'!$I$5:$I$460,MATCH("001|2673628",'Rubro por CUI'!$N$5:$N$460,0))</f>
        <v>0.0</v>
      </c>
      <c r="K209" s="7">
        <f>L209-SUM(F209:J209)</f>
        <v>0.0</v>
      </c>
      <c r="L209" s="7">
        <f>SUMIFS(Base!$I$5:$I$509,Base!$A$5:$A$509,"001",Base!$F$5:$F$509,"2673628")</f>
        <v>0.0</v>
      </c>
      <c r="M209" s="7">
        <f>D209-E209-L209</f>
        <v>6387037.0</v>
      </c>
      <c r="N209" s="6" t="s">
        <v>63</v>
      </c>
    </row>
    <row r="210" spans="1:14">
      <c r="A210" s="18">
        <v>203</v>
      </c>
      <c r="B210" s="18" t="s">
        <v>1836</v>
      </c>
      <c r="C210" s="6" t="s">
        <v>769</v>
      </c>
      <c r="D210" s="23">
        <v>839388</v>
      </c>
      <c r="E210" s="23">
        <v>158141</v>
      </c>
      <c r="F210" s="7">
        <f>INDEX('Rubro por CUI'!$E$5:$E$460,MATCH("001|2250307",'Rubro por CUI'!$N$5:$N$460,0))</f>
        <v>0.0</v>
      </c>
      <c r="G210" s="7">
        <f>INDEX('Rubro por CUI'!$F$5:$F$460,MATCH("001|2250307",'Rubro por CUI'!$N$5:$N$460,0))</f>
        <v>0.0</v>
      </c>
      <c r="H210" s="7">
        <f>INDEX('Rubro por CUI'!$G$5:$G$460,MATCH("001|2250307",'Rubro por CUI'!$N$5:$N$460,0))</f>
        <v>0.0</v>
      </c>
      <c r="I210" s="7">
        <f>INDEX('Rubro por CUI'!$H$5:$H$460,MATCH("001|2250307",'Rubro por CUI'!$N$5:$N$460,0))</f>
        <v>0.0</v>
      </c>
      <c r="J210" s="7">
        <f>INDEX('Rubro por CUI'!$I$5:$I$460,MATCH("001|2250307",'Rubro por CUI'!$N$5:$N$460,0))</f>
        <v>0.0</v>
      </c>
      <c r="K210" s="7">
        <f>L210-SUM(F210:J210)</f>
        <v>0.0</v>
      </c>
      <c r="L210" s="7">
        <f>SUMIFS(Base!$I$5:$I$509,Base!$A$5:$A$509,"001",Base!$F$5:$F$509,"2250307")</f>
        <v>0.0</v>
      </c>
      <c r="M210" s="7">
        <f>D210-E210-L210</f>
        <v>681247.0</v>
      </c>
      <c r="N210" s="6" t="s">
        <v>63</v>
      </c>
    </row>
    <row r="211" spans="1:14">
      <c r="A211" s="18">
        <v>204</v>
      </c>
      <c r="B211" s="18" t="s">
        <v>1837</v>
      </c>
      <c r="C211" s="6" t="s">
        <v>772</v>
      </c>
      <c r="D211" s="23">
        <v>700545</v>
      </c>
      <c r="E211" s="23">
        <v>104921</v>
      </c>
      <c r="F211" s="7">
        <f>INDEX('Rubro por CUI'!$E$5:$E$460,MATCH("001|2250460",'Rubro por CUI'!$N$5:$N$460,0))</f>
        <v>0.0</v>
      </c>
      <c r="G211" s="7">
        <f>INDEX('Rubro por CUI'!$F$5:$F$460,MATCH("001|2250460",'Rubro por CUI'!$N$5:$N$460,0))</f>
        <v>0.0</v>
      </c>
      <c r="H211" s="7">
        <f>INDEX('Rubro por CUI'!$G$5:$G$460,MATCH("001|2250460",'Rubro por CUI'!$N$5:$N$460,0))</f>
        <v>0.0</v>
      </c>
      <c r="I211" s="7">
        <f>INDEX('Rubro por CUI'!$H$5:$H$460,MATCH("001|2250460",'Rubro por CUI'!$N$5:$N$460,0))</f>
        <v>0.0</v>
      </c>
      <c r="J211" s="7">
        <f>INDEX('Rubro por CUI'!$I$5:$I$460,MATCH("001|2250460",'Rubro por CUI'!$N$5:$N$460,0))</f>
        <v>0.0</v>
      </c>
      <c r="K211" s="7">
        <f>L211-SUM(F211:J211)</f>
        <v>0.0</v>
      </c>
      <c r="L211" s="7">
        <f>SUMIFS(Base!$I$5:$I$509,Base!$A$5:$A$509,"001",Base!$F$5:$F$509,"2250460")</f>
        <v>0.0</v>
      </c>
      <c r="M211" s="7">
        <f>D211-E211-L211</f>
        <v>595624.0</v>
      </c>
      <c r="N211" s="6" t="s">
        <v>63</v>
      </c>
    </row>
    <row r="212" spans="1:14">
      <c r="A212" s="18">
        <v>205</v>
      </c>
      <c r="B212" s="18" t="s">
        <v>1838</v>
      </c>
      <c r="C212" s="6" t="s">
        <v>781</v>
      </c>
      <c r="D212" s="23">
        <v>1243367</v>
      </c>
      <c r="E212" s="23">
        <v>0</v>
      </c>
      <c r="F212" s="7">
        <f>INDEX('Rubro por CUI'!$E$5:$E$460,MATCH("001|2649800",'Rubro por CUI'!$N$5:$N$460,0))</f>
        <v>0.0</v>
      </c>
      <c r="G212" s="7">
        <f>INDEX('Rubro por CUI'!$F$5:$F$460,MATCH("001|2649800",'Rubro por CUI'!$N$5:$N$460,0))</f>
        <v>0.0</v>
      </c>
      <c r="H212" s="7">
        <f>INDEX('Rubro por CUI'!$G$5:$G$460,MATCH("001|2649800",'Rubro por CUI'!$N$5:$N$460,0))</f>
        <v>0.0</v>
      </c>
      <c r="I212" s="7">
        <f>INDEX('Rubro por CUI'!$H$5:$H$460,MATCH("001|2649800",'Rubro por CUI'!$N$5:$N$460,0))</f>
        <v>0.0</v>
      </c>
      <c r="J212" s="7">
        <f>INDEX('Rubro por CUI'!$I$5:$I$460,MATCH("001|2649800",'Rubro por CUI'!$N$5:$N$460,0))</f>
        <v>0.0</v>
      </c>
      <c r="K212" s="7">
        <f>L212-SUM(F212:J212)</f>
        <v>0.0</v>
      </c>
      <c r="L212" s="7">
        <f>SUMIFS(Base!$I$5:$I$509,Base!$A$5:$A$509,"001",Base!$F$5:$F$509,"2649800")</f>
        <v>0.0</v>
      </c>
      <c r="M212" s="7">
        <f>D212-E212-L212</f>
        <v>1243367.0</v>
      </c>
      <c r="N212" s="6" t="s">
        <v>63</v>
      </c>
    </row>
    <row r="213" spans="1:14">
      <c r="A213" s="18">
        <v>206</v>
      </c>
      <c r="B213" s="18" t="s">
        <v>1839</v>
      </c>
      <c r="C213" s="6" t="s">
        <v>793</v>
      </c>
      <c r="D213" s="23">
        <v>1940664</v>
      </c>
      <c r="E213" s="23">
        <v>121759</v>
      </c>
      <c r="F213" s="7">
        <f>INDEX('Rubro por CUI'!$E$5:$E$460,MATCH("001|2649854",'Rubro por CUI'!$N$5:$N$460,0))</f>
        <v>0.0</v>
      </c>
      <c r="G213" s="7">
        <f>INDEX('Rubro por CUI'!$F$5:$F$460,MATCH("001|2649854",'Rubro por CUI'!$N$5:$N$460,0))</f>
        <v>0.0</v>
      </c>
      <c r="H213" s="7">
        <f>INDEX('Rubro por CUI'!$G$5:$G$460,MATCH("001|2649854",'Rubro por CUI'!$N$5:$N$460,0))</f>
        <v>0.0</v>
      </c>
      <c r="I213" s="7">
        <f>INDEX('Rubro por CUI'!$H$5:$H$460,MATCH("001|2649854",'Rubro por CUI'!$N$5:$N$460,0))</f>
        <v>0.0</v>
      </c>
      <c r="J213" s="7">
        <f>INDEX('Rubro por CUI'!$I$5:$I$460,MATCH("001|2649854",'Rubro por CUI'!$N$5:$N$460,0))</f>
        <v>0.0</v>
      </c>
      <c r="K213" s="7">
        <f>L213-SUM(F213:J213)</f>
        <v>0.0</v>
      </c>
      <c r="L213" s="7">
        <f>SUMIFS(Base!$I$5:$I$509,Base!$A$5:$A$509,"001",Base!$F$5:$F$509,"2649854")</f>
        <v>0.0</v>
      </c>
      <c r="M213" s="7">
        <f>D213-E213-L213</f>
        <v>1818905.0</v>
      </c>
      <c r="N213" s="6" t="s">
        <v>63</v>
      </c>
    </row>
    <row r="214" spans="1:14">
      <c r="A214" s="18">
        <v>207</v>
      </c>
      <c r="B214" s="18" t="s">
        <v>1840</v>
      </c>
      <c r="C214" s="6" t="s">
        <v>799</v>
      </c>
      <c r="D214" s="23">
        <v>1898018</v>
      </c>
      <c r="E214" s="23">
        <v>112566</v>
      </c>
      <c r="F214" s="7">
        <f>INDEX('Rubro por CUI'!$E$5:$E$460,MATCH("001|2649856",'Rubro por CUI'!$N$5:$N$460,0))</f>
        <v>0.0</v>
      </c>
      <c r="G214" s="7">
        <f>INDEX('Rubro por CUI'!$F$5:$F$460,MATCH("001|2649856",'Rubro por CUI'!$N$5:$N$460,0))</f>
        <v>0.0</v>
      </c>
      <c r="H214" s="7">
        <f>INDEX('Rubro por CUI'!$G$5:$G$460,MATCH("001|2649856",'Rubro por CUI'!$N$5:$N$460,0))</f>
        <v>0.0</v>
      </c>
      <c r="I214" s="7">
        <f>INDEX('Rubro por CUI'!$H$5:$H$460,MATCH("001|2649856",'Rubro por CUI'!$N$5:$N$460,0))</f>
        <v>0.0</v>
      </c>
      <c r="J214" s="7">
        <f>INDEX('Rubro por CUI'!$I$5:$I$460,MATCH("001|2649856",'Rubro por CUI'!$N$5:$N$460,0))</f>
        <v>0.0</v>
      </c>
      <c r="K214" s="7">
        <f>L214-SUM(F214:J214)</f>
        <v>0.0</v>
      </c>
      <c r="L214" s="7">
        <f>SUMIFS(Base!$I$5:$I$509,Base!$A$5:$A$509,"001",Base!$F$5:$F$509,"2649856")</f>
        <v>0.0</v>
      </c>
      <c r="M214" s="7">
        <f>D214-E214-L214</f>
        <v>1785452.0</v>
      </c>
      <c r="N214" s="6" t="s">
        <v>63</v>
      </c>
    </row>
    <row r="215" spans="1:14">
      <c r="A215" s="18">
        <v>208</v>
      </c>
      <c r="B215" s="18" t="s">
        <v>1841</v>
      </c>
      <c r="C215" s="6" t="s">
        <v>802</v>
      </c>
      <c r="D215" s="23">
        <v>1127897</v>
      </c>
      <c r="E215" s="23">
        <v>0</v>
      </c>
      <c r="F215" s="7">
        <f>INDEX('Rubro por CUI'!$E$5:$E$460,MATCH("001|2649857",'Rubro por CUI'!$N$5:$N$460,0))</f>
        <v>0.0</v>
      </c>
      <c r="G215" s="7">
        <f>INDEX('Rubro por CUI'!$F$5:$F$460,MATCH("001|2649857",'Rubro por CUI'!$N$5:$N$460,0))</f>
        <v>0.0</v>
      </c>
      <c r="H215" s="7">
        <f>INDEX('Rubro por CUI'!$G$5:$G$460,MATCH("001|2649857",'Rubro por CUI'!$N$5:$N$460,0))</f>
        <v>0.0</v>
      </c>
      <c r="I215" s="7">
        <f>INDEX('Rubro por CUI'!$H$5:$H$460,MATCH("001|2649857",'Rubro por CUI'!$N$5:$N$460,0))</f>
        <v>0.0</v>
      </c>
      <c r="J215" s="7">
        <f>INDEX('Rubro por CUI'!$I$5:$I$460,MATCH("001|2649857",'Rubro por CUI'!$N$5:$N$460,0))</f>
        <v>0.0</v>
      </c>
      <c r="K215" s="7">
        <f>L215-SUM(F215:J215)</f>
        <v>0.0</v>
      </c>
      <c r="L215" s="7">
        <f>SUMIFS(Base!$I$5:$I$509,Base!$A$5:$A$509,"001",Base!$F$5:$F$509,"2649857")</f>
        <v>0.0</v>
      </c>
      <c r="M215" s="7">
        <f>D215-E215-L215</f>
        <v>1127897.0</v>
      </c>
      <c r="N215" s="6" t="s">
        <v>63</v>
      </c>
    </row>
    <row r="216" spans="1:14">
      <c r="A216" s="18">
        <v>209</v>
      </c>
      <c r="B216" s="18" t="s">
        <v>1842</v>
      </c>
      <c r="C216" s="6" t="s">
        <v>817</v>
      </c>
      <c r="D216" s="23">
        <v>195352525</v>
      </c>
      <c r="E216" s="23">
        <v>307268</v>
      </c>
      <c r="F216" s="7">
        <f>INDEX('Rubro por CUI'!$E$5:$E$460,MATCH("001|2506927",'Rubro por CUI'!$N$5:$N$460,0))</f>
        <v>0.0</v>
      </c>
      <c r="G216" s="7">
        <f>INDEX('Rubro por CUI'!$F$5:$F$460,MATCH("001|2506927",'Rubro por CUI'!$N$5:$N$460,0))</f>
        <v>0.0</v>
      </c>
      <c r="H216" s="7">
        <f>INDEX('Rubro por CUI'!$G$5:$G$460,MATCH("001|2506927",'Rubro por CUI'!$N$5:$N$460,0))</f>
        <v>0.0</v>
      </c>
      <c r="I216" s="7">
        <f>INDEX('Rubro por CUI'!$H$5:$H$460,MATCH("001|2506927",'Rubro por CUI'!$N$5:$N$460,0))</f>
        <v>0.0</v>
      </c>
      <c r="J216" s="7">
        <f>INDEX('Rubro por CUI'!$I$5:$I$460,MATCH("001|2506927",'Rubro por CUI'!$N$5:$N$460,0))</f>
        <v>0.0</v>
      </c>
      <c r="K216" s="7">
        <f>L216-SUM(F216:J216)</f>
        <v>0.0</v>
      </c>
      <c r="L216" s="7">
        <f>SUMIFS(Base!$I$5:$I$509,Base!$A$5:$A$509,"001",Base!$F$5:$F$509,"2506927")</f>
        <v>0.0</v>
      </c>
      <c r="M216" s="7">
        <f>D216-E216-L216</f>
        <v>195045257.0</v>
      </c>
      <c r="N216" s="6" t="s">
        <v>63</v>
      </c>
    </row>
    <row r="217" spans="1:14">
      <c r="A217" s="15" t="s">
        <v>163</v>
      </c>
      <c r="B217" s="15"/>
      <c r="C217" s="15"/>
      <c r="D217" s="16">
        <f>SUM(D218:D299)</f>
        <v>3031349324.0</v>
      </c>
      <c r="E217" s="16">
        <f>SUM(E218:E299)</f>
        <v>959190779.0</v>
      </c>
      <c r="F217" s="16">
        <f>SUM(F218:F299)</f>
        <v>1058194.0</v>
      </c>
      <c r="G217" s="16">
        <f>SUM(G218:G299)</f>
        <v>4165194.0</v>
      </c>
      <c r="H217" s="16">
        <f>SUM(H218:H299)</f>
        <v>138587876.0</v>
      </c>
      <c r="I217" s="16">
        <f>SUM(I218:I299)</f>
        <v>30937364.0</v>
      </c>
      <c r="J217" s="16">
        <f>SUM(J218:J299)</f>
        <v>0.0</v>
      </c>
      <c r="K217" s="16">
        <f>SUM(K218:K299)</f>
        <v>0.0</v>
      </c>
      <c r="L217" s="16">
        <f>SUM(L218:L299)</f>
        <v>174748628.0</v>
      </c>
      <c r="M217" s="16">
        <f>SUM(M218:M299)</f>
        <v>1947636627.0</v>
      </c>
      <c r="N217" s="15"/>
    </row>
    <row r="218" spans="1:14">
      <c r="A218" s="18">
        <v>210</v>
      </c>
      <c r="B218" s="18" t="s">
        <v>1843</v>
      </c>
      <c r="C218" s="6" t="s">
        <v>366</v>
      </c>
      <c r="D218" s="23">
        <v>65191395</v>
      </c>
      <c r="E218" s="23">
        <v>37139320</v>
      </c>
      <c r="F218" s="7">
        <f>INDEX('Rubro por CUI'!$E$5:$E$460,MATCH("001|2456529",'Rubro por CUI'!$N$5:$N$460,0))</f>
        <v>0.0</v>
      </c>
      <c r="G218" s="7">
        <f>INDEX('Rubro por CUI'!$F$5:$F$460,MATCH("001|2456529",'Rubro por CUI'!$N$5:$N$460,0))</f>
        <v>0.0</v>
      </c>
      <c r="H218" s="7">
        <f>INDEX('Rubro por CUI'!$G$5:$G$460,MATCH("001|2456529",'Rubro por CUI'!$N$5:$N$460,0))</f>
        <v>6917643.0</v>
      </c>
      <c r="I218" s="7">
        <f>INDEX('Rubro por CUI'!$H$5:$H$460,MATCH("001|2456529",'Rubro por CUI'!$N$5:$N$460,0))</f>
        <v>16225932.0</v>
      </c>
      <c r="J218" s="7">
        <f>INDEX('Rubro por CUI'!$I$5:$I$460,MATCH("001|2456529",'Rubro por CUI'!$N$5:$N$460,0))</f>
        <v>0.0</v>
      </c>
      <c r="K218" s="7">
        <f>L218-SUM(F218:J218)</f>
        <v>0.0</v>
      </c>
      <c r="L218" s="7">
        <f>SUMIFS(Base!$I$5:$I$509,Base!$A$5:$A$509,"001",Base!$F$5:$F$509,"2456529")</f>
        <v>23143575.0</v>
      </c>
      <c r="M218" s="7">
        <f>D218-E218-L218</f>
        <v>4908500.0</v>
      </c>
      <c r="N218" s="6" t="s">
        <v>63</v>
      </c>
    </row>
    <row r="219" spans="1:14">
      <c r="A219" s="18">
        <v>211</v>
      </c>
      <c r="B219" s="18" t="s">
        <v>1844</v>
      </c>
      <c r="C219" s="6" t="s">
        <v>205</v>
      </c>
      <c r="D219" s="6" t="s">
        <v>69</v>
      </c>
      <c r="E219" s="6" t="s">
        <v>69</v>
      </c>
      <c r="F219" s="7">
        <f>INDEX('Rubro por CUI'!$E$5:$E$460,MATCH("001|2436247",'Rubro por CUI'!$N$5:$N$460,0))</f>
        <v>0.0</v>
      </c>
      <c r="G219" s="7">
        <f>INDEX('Rubro por CUI'!$F$5:$F$460,MATCH("001|2436247",'Rubro por CUI'!$N$5:$N$460,0))</f>
        <v>0.0</v>
      </c>
      <c r="H219" s="7">
        <f>INDEX('Rubro por CUI'!$G$5:$G$460,MATCH("001|2436247",'Rubro por CUI'!$N$5:$N$460,0))</f>
        <v>22224878.0</v>
      </c>
      <c r="I219" s="7">
        <f>INDEX('Rubro por CUI'!$H$5:$H$460,MATCH("001|2436247",'Rubro por CUI'!$N$5:$N$460,0))</f>
        <v>0.0</v>
      </c>
      <c r="J219" s="7">
        <f>INDEX('Rubro por CUI'!$I$5:$I$460,MATCH("001|2436247",'Rubro por CUI'!$N$5:$N$460,0))</f>
        <v>0.0</v>
      </c>
      <c r="K219" s="7">
        <f>L219-SUM(F219:J219)</f>
        <v>0.0</v>
      </c>
      <c r="L219" s="7">
        <f>SUMIFS(Base!$I$5:$I$509,Base!$A$5:$A$509,"001",Base!$F$5:$F$509,"2436247")</f>
        <v>22224878.0</v>
      </c>
      <c r="M219" s="6" t="s">
        <v>69</v>
      </c>
      <c r="N219" s="6" t="s">
        <v>1634</v>
      </c>
    </row>
    <row r="220" spans="1:14">
      <c r="A220" s="18">
        <v>212</v>
      </c>
      <c r="B220" s="18" t="s">
        <v>1845</v>
      </c>
      <c r="C220" s="6" t="s">
        <v>166</v>
      </c>
      <c r="D220" s="23">
        <v>89821218</v>
      </c>
      <c r="E220" s="23">
        <v>71127622</v>
      </c>
      <c r="F220" s="7">
        <f>INDEX('Rubro por CUI'!$E$5:$E$460,MATCH("001|2194702",'Rubro por CUI'!$N$5:$N$460,0))</f>
        <v>0.0</v>
      </c>
      <c r="G220" s="7">
        <f>INDEX('Rubro por CUI'!$F$5:$F$460,MATCH("001|2194702",'Rubro por CUI'!$N$5:$N$460,0))</f>
        <v>0.0</v>
      </c>
      <c r="H220" s="7">
        <f>INDEX('Rubro por CUI'!$G$5:$G$460,MATCH("001|2194702",'Rubro por CUI'!$N$5:$N$460,0))</f>
        <v>18401182.0</v>
      </c>
      <c r="I220" s="7">
        <f>INDEX('Rubro por CUI'!$H$5:$H$460,MATCH("001|2194702",'Rubro por CUI'!$N$5:$N$460,0))</f>
        <v>0.0</v>
      </c>
      <c r="J220" s="7">
        <f>INDEX('Rubro por CUI'!$I$5:$I$460,MATCH("001|2194702",'Rubro por CUI'!$N$5:$N$460,0))</f>
        <v>0.0</v>
      </c>
      <c r="K220" s="7">
        <f>L220-SUM(F220:J220)</f>
        <v>0.0</v>
      </c>
      <c r="L220" s="7">
        <f>SUMIFS(Base!$I$5:$I$509,Base!$A$5:$A$509,"001",Base!$F$5:$F$509,"2194702")</f>
        <v>18401182.0</v>
      </c>
      <c r="M220" s="7">
        <f>D220-E220-L220</f>
        <v>292414.0</v>
      </c>
      <c r="N220" s="6" t="s">
        <v>63</v>
      </c>
    </row>
    <row r="221" spans="1:14">
      <c r="A221" s="18">
        <v>213</v>
      </c>
      <c r="B221" s="18" t="s">
        <v>1846</v>
      </c>
      <c r="C221" s="6" t="s">
        <v>369</v>
      </c>
      <c r="D221" s="23">
        <v>53039299</v>
      </c>
      <c r="E221" s="23">
        <v>37373543</v>
      </c>
      <c r="F221" s="7">
        <f>INDEX('Rubro por CUI'!$E$5:$E$460,MATCH("001|2343199",'Rubro por CUI'!$N$5:$N$460,0))</f>
        <v>0.0</v>
      </c>
      <c r="G221" s="7">
        <f>INDEX('Rubro por CUI'!$F$5:$F$460,MATCH("001|2343199",'Rubro por CUI'!$N$5:$N$460,0))</f>
        <v>0.0</v>
      </c>
      <c r="H221" s="7">
        <f>INDEX('Rubro por CUI'!$G$5:$G$460,MATCH("001|2343199",'Rubro por CUI'!$N$5:$N$460,0))</f>
        <v>2500000.0</v>
      </c>
      <c r="I221" s="7">
        <f>INDEX('Rubro por CUI'!$H$5:$H$460,MATCH("001|2343199",'Rubro por CUI'!$N$5:$N$460,0))</f>
        <v>12491498.0</v>
      </c>
      <c r="J221" s="7">
        <f>INDEX('Rubro por CUI'!$I$5:$I$460,MATCH("001|2343199",'Rubro por CUI'!$N$5:$N$460,0))</f>
        <v>0.0</v>
      </c>
      <c r="K221" s="7">
        <f>L221-SUM(F221:J221)</f>
        <v>0.0</v>
      </c>
      <c r="L221" s="7">
        <f>SUMIFS(Base!$I$5:$I$509,Base!$A$5:$A$509,"001",Base!$F$5:$F$509,"2343199")</f>
        <v>14991498.0</v>
      </c>
      <c r="M221" s="7">
        <f>D221-E221-L221</f>
        <v>674258.0</v>
      </c>
      <c r="N221" s="6" t="s">
        <v>63</v>
      </c>
    </row>
    <row r="222" spans="1:14">
      <c r="A222" s="18">
        <v>214</v>
      </c>
      <c r="B222" s="18" t="s">
        <v>1847</v>
      </c>
      <c r="C222" s="6" t="s">
        <v>209</v>
      </c>
      <c r="D222" s="23">
        <v>38380943</v>
      </c>
      <c r="E222" s="23">
        <v>1680774</v>
      </c>
      <c r="F222" s="7">
        <f>INDEX('Rubro por CUI'!$E$5:$E$460,MATCH("001|2603167",'Rubro por CUI'!$N$5:$N$460,0))</f>
        <v>0.0</v>
      </c>
      <c r="G222" s="7">
        <f>INDEX('Rubro por CUI'!$F$5:$F$460,MATCH("001|2603167",'Rubro por CUI'!$N$5:$N$460,0))</f>
        <v>2240194.0</v>
      </c>
      <c r="H222" s="7">
        <f>INDEX('Rubro por CUI'!$G$5:$G$460,MATCH("001|2603167",'Rubro por CUI'!$N$5:$N$460,0))</f>
        <v>9172172.0</v>
      </c>
      <c r="I222" s="7">
        <f>INDEX('Rubro por CUI'!$H$5:$H$460,MATCH("001|2603167",'Rubro por CUI'!$N$5:$N$460,0))</f>
        <v>0.0</v>
      </c>
      <c r="J222" s="7">
        <f>INDEX('Rubro por CUI'!$I$5:$I$460,MATCH("001|2603167",'Rubro por CUI'!$N$5:$N$460,0))</f>
        <v>0.0</v>
      </c>
      <c r="K222" s="7">
        <f>L222-SUM(F222:J222)</f>
        <v>0.0</v>
      </c>
      <c r="L222" s="7">
        <f>SUMIFS(Base!$I$5:$I$509,Base!$A$5:$A$509,"001",Base!$F$5:$F$509,"2603167")</f>
        <v>11412366.0</v>
      </c>
      <c r="M222" s="7">
        <f>D222-E222-L222</f>
        <v>25287803.0</v>
      </c>
      <c r="N222" s="6" t="s">
        <v>63</v>
      </c>
    </row>
    <row r="223" spans="1:14">
      <c r="A223" s="18">
        <v>215</v>
      </c>
      <c r="B223" s="18" t="s">
        <v>1848</v>
      </c>
      <c r="C223" s="6" t="s">
        <v>169</v>
      </c>
      <c r="D223" s="23">
        <v>68271717</v>
      </c>
      <c r="E223" s="23">
        <v>57660095</v>
      </c>
      <c r="F223" s="7">
        <f>INDEX('Rubro por CUI'!$E$5:$E$460,MATCH("001|2287700",'Rubro por CUI'!$N$5:$N$460,0))</f>
        <v>0.0</v>
      </c>
      <c r="G223" s="7">
        <f>INDEX('Rubro por CUI'!$F$5:$F$460,MATCH("001|2287700",'Rubro por CUI'!$N$5:$N$460,0))</f>
        <v>0.0</v>
      </c>
      <c r="H223" s="7">
        <f>INDEX('Rubro por CUI'!$G$5:$G$460,MATCH("001|2287700",'Rubro por CUI'!$N$5:$N$460,0))</f>
        <v>10002053.0</v>
      </c>
      <c r="I223" s="7">
        <f>INDEX('Rubro por CUI'!$H$5:$H$460,MATCH("001|2287700",'Rubro por CUI'!$N$5:$N$460,0))</f>
        <v>0.0</v>
      </c>
      <c r="J223" s="7">
        <f>INDEX('Rubro por CUI'!$I$5:$I$460,MATCH("001|2287700",'Rubro por CUI'!$N$5:$N$460,0))</f>
        <v>0.0</v>
      </c>
      <c r="K223" s="7">
        <f>L223-SUM(F223:J223)</f>
        <v>0.0</v>
      </c>
      <c r="L223" s="7">
        <f>SUMIFS(Base!$I$5:$I$509,Base!$A$5:$A$509,"001",Base!$F$5:$F$509,"2287700")</f>
        <v>10002053.0</v>
      </c>
      <c r="M223" s="7">
        <f>D223-E223-L223</f>
        <v>609569.0</v>
      </c>
      <c r="N223" s="6" t="s">
        <v>63</v>
      </c>
    </row>
    <row r="224" spans="1:14">
      <c r="A224" s="18">
        <v>216</v>
      </c>
      <c r="B224" s="18" t="s">
        <v>1849</v>
      </c>
      <c r="C224" s="6" t="s">
        <v>217</v>
      </c>
      <c r="D224" s="23">
        <v>24589373</v>
      </c>
      <c r="E224" s="23">
        <v>395459</v>
      </c>
      <c r="F224" s="7">
        <f>INDEX('Rubro por CUI'!$E$5:$E$460,MATCH("001|2603165",'Rubro por CUI'!$N$5:$N$460,0))</f>
        <v>0.0</v>
      </c>
      <c r="G224" s="7">
        <f>INDEX('Rubro por CUI'!$F$5:$F$460,MATCH("001|2603165",'Rubro por CUI'!$N$5:$N$460,0))</f>
        <v>1925000.0</v>
      </c>
      <c r="H224" s="7">
        <f>INDEX('Rubro por CUI'!$G$5:$G$460,MATCH("001|2603165",'Rubro por CUI'!$N$5:$N$460,0))</f>
        <v>7112622.0</v>
      </c>
      <c r="I224" s="7">
        <f>INDEX('Rubro por CUI'!$H$5:$H$460,MATCH("001|2603165",'Rubro por CUI'!$N$5:$N$460,0))</f>
        <v>0.0</v>
      </c>
      <c r="J224" s="7">
        <f>INDEX('Rubro por CUI'!$I$5:$I$460,MATCH("001|2603165",'Rubro por CUI'!$N$5:$N$460,0))</f>
        <v>0.0</v>
      </c>
      <c r="K224" s="7">
        <f>L224-SUM(F224:J224)</f>
        <v>0.0</v>
      </c>
      <c r="L224" s="7">
        <f>SUMIFS(Base!$I$5:$I$509,Base!$A$5:$A$509,"001",Base!$F$5:$F$509,"2603165")</f>
        <v>9037622.0</v>
      </c>
      <c r="M224" s="7">
        <f>D224-E224-L224</f>
        <v>15156292.0</v>
      </c>
      <c r="N224" s="6" t="s">
        <v>63</v>
      </c>
    </row>
    <row r="225" spans="1:14">
      <c r="A225" s="18">
        <v>217</v>
      </c>
      <c r="B225" s="18" t="s">
        <v>1850</v>
      </c>
      <c r="C225" s="6" t="s">
        <v>387</v>
      </c>
      <c r="D225" s="6" t="s">
        <v>69</v>
      </c>
      <c r="E225" s="6" t="s">
        <v>69</v>
      </c>
      <c r="F225" s="7">
        <f>INDEX('Rubro por CUI'!$E$5:$E$460,MATCH("001|2387422",'Rubro por CUI'!$N$5:$N$460,0))</f>
        <v>0.0</v>
      </c>
      <c r="G225" s="7">
        <f>INDEX('Rubro por CUI'!$F$5:$F$460,MATCH("001|2387422",'Rubro por CUI'!$N$5:$N$460,0))</f>
        <v>0.0</v>
      </c>
      <c r="H225" s="7">
        <f>INDEX('Rubro por CUI'!$G$5:$G$460,MATCH("001|2387422",'Rubro por CUI'!$N$5:$N$460,0))</f>
        <v>6734873.0</v>
      </c>
      <c r="I225" s="7">
        <f>INDEX('Rubro por CUI'!$H$5:$H$460,MATCH("001|2387422",'Rubro por CUI'!$N$5:$N$460,0))</f>
        <v>1017000.0</v>
      </c>
      <c r="J225" s="7">
        <f>INDEX('Rubro por CUI'!$I$5:$I$460,MATCH("001|2387422",'Rubro por CUI'!$N$5:$N$460,0))</f>
        <v>0.0</v>
      </c>
      <c r="K225" s="7">
        <f>L225-SUM(F225:J225)</f>
        <v>0.0</v>
      </c>
      <c r="L225" s="7">
        <f>SUMIFS(Base!$I$5:$I$509,Base!$A$5:$A$509,"001",Base!$F$5:$F$509,"2387422")</f>
        <v>7751873.0</v>
      </c>
      <c r="M225" s="6" t="s">
        <v>69</v>
      </c>
      <c r="N225" s="6" t="s">
        <v>1634</v>
      </c>
    </row>
    <row r="226" spans="1:14">
      <c r="A226" s="18">
        <v>218</v>
      </c>
      <c r="B226" s="18" t="s">
        <v>1851</v>
      </c>
      <c r="C226" s="6" t="s">
        <v>213</v>
      </c>
      <c r="D226" s="23">
        <v>83926737</v>
      </c>
      <c r="E226" s="23">
        <v>1030299</v>
      </c>
      <c r="F226" s="7">
        <f>INDEX('Rubro por CUI'!$E$5:$E$460,MATCH("001|2585540",'Rubro por CUI'!$N$5:$N$460,0))</f>
        <v>0.0</v>
      </c>
      <c r="G226" s="7">
        <f>INDEX('Rubro por CUI'!$F$5:$F$460,MATCH("001|2585540",'Rubro por CUI'!$N$5:$N$460,0))</f>
        <v>0.0</v>
      </c>
      <c r="H226" s="7">
        <f>INDEX('Rubro por CUI'!$G$5:$G$460,MATCH("001|2585540",'Rubro por CUI'!$N$5:$N$460,0))</f>
        <v>6830102.0</v>
      </c>
      <c r="I226" s="7">
        <f>INDEX('Rubro por CUI'!$H$5:$H$460,MATCH("001|2585540",'Rubro por CUI'!$N$5:$N$460,0))</f>
        <v>0.0</v>
      </c>
      <c r="J226" s="7">
        <f>INDEX('Rubro por CUI'!$I$5:$I$460,MATCH("001|2585540",'Rubro por CUI'!$N$5:$N$460,0))</f>
        <v>0.0</v>
      </c>
      <c r="K226" s="7">
        <f>L226-SUM(F226:J226)</f>
        <v>0.0</v>
      </c>
      <c r="L226" s="7">
        <f>SUMIFS(Base!$I$5:$I$509,Base!$A$5:$A$509,"001",Base!$F$5:$F$509,"2585540")</f>
        <v>6830102.0</v>
      </c>
      <c r="M226" s="7">
        <f>D226-E226-L226</f>
        <v>76066336.0</v>
      </c>
      <c r="N226" s="6" t="s">
        <v>63</v>
      </c>
    </row>
    <row r="227" spans="1:14">
      <c r="A227" s="18">
        <v>219</v>
      </c>
      <c r="B227" s="18" t="s">
        <v>1852</v>
      </c>
      <c r="C227" s="6" t="s">
        <v>375</v>
      </c>
      <c r="D227" s="6" t="s">
        <v>69</v>
      </c>
      <c r="E227" s="6" t="s">
        <v>69</v>
      </c>
      <c r="F227" s="7">
        <f>INDEX('Rubro por CUI'!$E$5:$E$460,MATCH("001|2591951",'Rubro por CUI'!$N$5:$N$460,0))</f>
        <v>0.0</v>
      </c>
      <c r="G227" s="7">
        <f>INDEX('Rubro por CUI'!$F$5:$F$460,MATCH("001|2591951",'Rubro por CUI'!$N$5:$N$460,0))</f>
        <v>0.0</v>
      </c>
      <c r="H227" s="7">
        <f>INDEX('Rubro por CUI'!$G$5:$G$460,MATCH("001|2591951",'Rubro por CUI'!$N$5:$N$460,0))</f>
        <v>6770858.0</v>
      </c>
      <c r="I227" s="7">
        <f>INDEX('Rubro por CUI'!$H$5:$H$460,MATCH("001|2591951",'Rubro por CUI'!$N$5:$N$460,0))</f>
        <v>0.0</v>
      </c>
      <c r="J227" s="7">
        <f>INDEX('Rubro por CUI'!$I$5:$I$460,MATCH("001|2591951",'Rubro por CUI'!$N$5:$N$460,0))</f>
        <v>0.0</v>
      </c>
      <c r="K227" s="7">
        <f>L227-SUM(F227:J227)</f>
        <v>0.0</v>
      </c>
      <c r="L227" s="7">
        <f>SUMIFS(Base!$I$5:$I$509,Base!$A$5:$A$509,"001",Base!$F$5:$F$509,"2591951")</f>
        <v>6770858.0</v>
      </c>
      <c r="M227" s="6" t="s">
        <v>69</v>
      </c>
      <c r="N227" s="6" t="s">
        <v>1634</v>
      </c>
    </row>
    <row r="228" spans="1:14">
      <c r="A228" s="18">
        <v>220</v>
      </c>
      <c r="B228" s="18" t="s">
        <v>1853</v>
      </c>
      <c r="C228" s="6" t="s">
        <v>372</v>
      </c>
      <c r="D228" s="6" t="s">
        <v>69</v>
      </c>
      <c r="E228" s="6" t="s">
        <v>69</v>
      </c>
      <c r="F228" s="7">
        <f>INDEX('Rubro por CUI'!$E$5:$E$460,MATCH("001|2399543",'Rubro por CUI'!$N$5:$N$460,0))</f>
        <v>0.0</v>
      </c>
      <c r="G228" s="7">
        <f>INDEX('Rubro por CUI'!$F$5:$F$460,MATCH("001|2399543",'Rubro por CUI'!$N$5:$N$460,0))</f>
        <v>0.0</v>
      </c>
      <c r="H228" s="7">
        <f>INDEX('Rubro por CUI'!$G$5:$G$460,MATCH("001|2399543",'Rubro por CUI'!$N$5:$N$460,0))</f>
        <v>5270087.0</v>
      </c>
      <c r="I228" s="7">
        <f>INDEX('Rubro por CUI'!$H$5:$H$460,MATCH("001|2399543",'Rubro por CUI'!$N$5:$N$460,0))</f>
        <v>0.0</v>
      </c>
      <c r="J228" s="7">
        <f>INDEX('Rubro por CUI'!$I$5:$I$460,MATCH("001|2399543",'Rubro por CUI'!$N$5:$N$460,0))</f>
        <v>0.0</v>
      </c>
      <c r="K228" s="7">
        <f>L228-SUM(F228:J228)</f>
        <v>0.0</v>
      </c>
      <c r="L228" s="7">
        <f>SUMIFS(Base!$I$5:$I$509,Base!$A$5:$A$509,"001",Base!$F$5:$F$509,"2399543")</f>
        <v>5270087.0</v>
      </c>
      <c r="M228" s="6" t="s">
        <v>69</v>
      </c>
      <c r="N228" s="6" t="s">
        <v>1634</v>
      </c>
    </row>
    <row r="229" spans="1:14">
      <c r="A229" s="18">
        <v>221</v>
      </c>
      <c r="B229" s="18" t="s">
        <v>1854</v>
      </c>
      <c r="C229" s="6" t="s">
        <v>384</v>
      </c>
      <c r="D229" s="6" t="s">
        <v>69</v>
      </c>
      <c r="E229" s="6" t="s">
        <v>69</v>
      </c>
      <c r="F229" s="7">
        <f>INDEX('Rubro por CUI'!$E$5:$E$460,MATCH("001|2634040",'Rubro por CUI'!$N$5:$N$460,0))</f>
        <v>0.0</v>
      </c>
      <c r="G229" s="7">
        <f>INDEX('Rubro por CUI'!$F$5:$F$460,MATCH("001|2634040",'Rubro por CUI'!$N$5:$N$460,0))</f>
        <v>0.0</v>
      </c>
      <c r="H229" s="7">
        <f>INDEX('Rubro por CUI'!$G$5:$G$460,MATCH("001|2634040",'Rubro por CUI'!$N$5:$N$460,0))</f>
        <v>4106961.0</v>
      </c>
      <c r="I229" s="7">
        <f>INDEX('Rubro por CUI'!$H$5:$H$460,MATCH("001|2634040",'Rubro por CUI'!$N$5:$N$460,0))</f>
        <v>0.0</v>
      </c>
      <c r="J229" s="7">
        <f>INDEX('Rubro por CUI'!$I$5:$I$460,MATCH("001|2634040",'Rubro por CUI'!$N$5:$N$460,0))</f>
        <v>0.0</v>
      </c>
      <c r="K229" s="7">
        <f>L229-SUM(F229:J229)</f>
        <v>0.0</v>
      </c>
      <c r="L229" s="7">
        <f>SUMIFS(Base!$I$5:$I$509,Base!$A$5:$A$509,"001",Base!$F$5:$F$509,"2634040")</f>
        <v>4106961.0</v>
      </c>
      <c r="M229" s="6" t="s">
        <v>69</v>
      </c>
      <c r="N229" s="6" t="s">
        <v>1634</v>
      </c>
    </row>
    <row r="230" spans="1:14">
      <c r="A230" s="18">
        <v>222</v>
      </c>
      <c r="B230" s="18" t="s">
        <v>1855</v>
      </c>
      <c r="C230" s="6" t="s">
        <v>469</v>
      </c>
      <c r="D230" s="23">
        <v>16984104</v>
      </c>
      <c r="E230" s="23">
        <v>445656</v>
      </c>
      <c r="F230" s="7">
        <f>INDEX('Rubro por CUI'!$E$5:$E$460,MATCH("001|2447465",'Rubro por CUI'!$N$5:$N$460,0))</f>
        <v>0.0</v>
      </c>
      <c r="G230" s="7">
        <f>INDEX('Rubro por CUI'!$F$5:$F$460,MATCH("001|2447465",'Rubro por CUI'!$N$5:$N$460,0))</f>
        <v>0.0</v>
      </c>
      <c r="H230" s="7">
        <f>INDEX('Rubro por CUI'!$G$5:$G$460,MATCH("001|2447465",'Rubro por CUI'!$N$5:$N$460,0))</f>
        <v>3978899.0</v>
      </c>
      <c r="I230" s="7">
        <f>INDEX('Rubro por CUI'!$H$5:$H$460,MATCH("001|2447465",'Rubro por CUI'!$N$5:$N$460,0))</f>
        <v>0.0</v>
      </c>
      <c r="J230" s="7">
        <f>INDEX('Rubro por CUI'!$I$5:$I$460,MATCH("001|2447465",'Rubro por CUI'!$N$5:$N$460,0))</f>
        <v>0.0</v>
      </c>
      <c r="K230" s="7">
        <f>L230-SUM(F230:J230)</f>
        <v>0.0</v>
      </c>
      <c r="L230" s="7">
        <f>SUMIFS(Base!$I$5:$I$509,Base!$A$5:$A$509,"001",Base!$F$5:$F$509,"2447465")</f>
        <v>3978899.0</v>
      </c>
      <c r="M230" s="7">
        <f>D230-E230-L230</f>
        <v>12559549.0</v>
      </c>
      <c r="N230" s="6" t="s">
        <v>63</v>
      </c>
    </row>
    <row r="231" spans="1:14">
      <c r="A231" s="18">
        <v>223</v>
      </c>
      <c r="B231" s="18" t="s">
        <v>1856</v>
      </c>
      <c r="C231" s="6" t="s">
        <v>172</v>
      </c>
      <c r="D231" s="23">
        <v>39402850</v>
      </c>
      <c r="E231" s="23">
        <v>35800078</v>
      </c>
      <c r="F231" s="7">
        <f>INDEX('Rubro por CUI'!$E$5:$E$460,MATCH("001|2480499",'Rubro por CUI'!$N$5:$N$460,0))</f>
        <v>0.0</v>
      </c>
      <c r="G231" s="7">
        <f>INDEX('Rubro por CUI'!$F$5:$F$460,MATCH("001|2480499",'Rubro por CUI'!$N$5:$N$460,0))</f>
        <v>0.0</v>
      </c>
      <c r="H231" s="7">
        <f>INDEX('Rubro por CUI'!$G$5:$G$460,MATCH("001|2480499",'Rubro por CUI'!$N$5:$N$460,0))</f>
        <v>3297813.0</v>
      </c>
      <c r="I231" s="7">
        <f>INDEX('Rubro por CUI'!$H$5:$H$460,MATCH("001|2480499",'Rubro por CUI'!$N$5:$N$460,0))</f>
        <v>0.0</v>
      </c>
      <c r="J231" s="7">
        <f>INDEX('Rubro por CUI'!$I$5:$I$460,MATCH("001|2480499",'Rubro por CUI'!$N$5:$N$460,0))</f>
        <v>0.0</v>
      </c>
      <c r="K231" s="7">
        <f>L231-SUM(F231:J231)</f>
        <v>0.0</v>
      </c>
      <c r="L231" s="7">
        <f>SUMIFS(Base!$I$5:$I$509,Base!$A$5:$A$509,"001",Base!$F$5:$F$509,"2480499")</f>
        <v>3297813.0</v>
      </c>
      <c r="M231" s="7">
        <f>D231-E231-L231</f>
        <v>304959.0</v>
      </c>
      <c r="N231" s="6" t="s">
        <v>63</v>
      </c>
    </row>
    <row r="232" spans="1:14">
      <c r="A232" s="18">
        <v>224</v>
      </c>
      <c r="B232" s="18" t="s">
        <v>1857</v>
      </c>
      <c r="C232" s="6" t="s">
        <v>176</v>
      </c>
      <c r="D232" s="23">
        <v>44582342</v>
      </c>
      <c r="E232" s="23">
        <v>30760656</v>
      </c>
      <c r="F232" s="7">
        <f>INDEX('Rubro por CUI'!$E$5:$E$460,MATCH("001|2300575",'Rubro por CUI'!$N$5:$N$460,0))</f>
        <v>0.0</v>
      </c>
      <c r="G232" s="7">
        <f>INDEX('Rubro por CUI'!$F$5:$F$460,MATCH("001|2300575",'Rubro por CUI'!$N$5:$N$460,0))</f>
        <v>0.0</v>
      </c>
      <c r="H232" s="7">
        <f>INDEX('Rubro por CUI'!$G$5:$G$460,MATCH("001|2300575",'Rubro por CUI'!$N$5:$N$460,0))</f>
        <v>2394023.0</v>
      </c>
      <c r="I232" s="7">
        <f>INDEX('Rubro por CUI'!$H$5:$H$460,MATCH("001|2300575",'Rubro por CUI'!$N$5:$N$460,0))</f>
        <v>0.0</v>
      </c>
      <c r="J232" s="7">
        <f>INDEX('Rubro por CUI'!$I$5:$I$460,MATCH("001|2300575",'Rubro por CUI'!$N$5:$N$460,0))</f>
        <v>0.0</v>
      </c>
      <c r="K232" s="7">
        <f>L232-SUM(F232:J232)</f>
        <v>0.0</v>
      </c>
      <c r="L232" s="7">
        <f>SUMIFS(Base!$I$5:$I$509,Base!$A$5:$A$509,"001",Base!$F$5:$F$509,"2300575")</f>
        <v>2394023.0</v>
      </c>
      <c r="M232" s="7">
        <f>D232-E232-L232</f>
        <v>11427663.0</v>
      </c>
      <c r="N232" s="6" t="s">
        <v>63</v>
      </c>
    </row>
    <row r="233" spans="1:14">
      <c r="A233" s="18">
        <v>225</v>
      </c>
      <c r="B233" s="18" t="s">
        <v>1858</v>
      </c>
      <c r="C233" s="6" t="s">
        <v>378</v>
      </c>
      <c r="D233" s="23">
        <v>53702810</v>
      </c>
      <c r="E233" s="23">
        <v>820620</v>
      </c>
      <c r="F233" s="7">
        <f>INDEX('Rubro por CUI'!$E$5:$E$460,MATCH("001|2602163",'Rubro por CUI'!$N$5:$N$460,0))</f>
        <v>0.0</v>
      </c>
      <c r="G233" s="7">
        <f>INDEX('Rubro por CUI'!$F$5:$F$460,MATCH("001|2602163",'Rubro por CUI'!$N$5:$N$460,0))</f>
        <v>0.0</v>
      </c>
      <c r="H233" s="7">
        <f>INDEX('Rubro por CUI'!$G$5:$G$460,MATCH("001|2602163",'Rubro por CUI'!$N$5:$N$460,0))</f>
        <v>2308286.0</v>
      </c>
      <c r="I233" s="7">
        <f>INDEX('Rubro por CUI'!$H$5:$H$460,MATCH("001|2602163",'Rubro por CUI'!$N$5:$N$460,0))</f>
        <v>0.0</v>
      </c>
      <c r="J233" s="7">
        <f>INDEX('Rubro por CUI'!$I$5:$I$460,MATCH("001|2602163",'Rubro por CUI'!$N$5:$N$460,0))</f>
        <v>0.0</v>
      </c>
      <c r="K233" s="7">
        <f>L233-SUM(F233:J233)</f>
        <v>0.0</v>
      </c>
      <c r="L233" s="7">
        <f>SUMIFS(Base!$I$5:$I$509,Base!$A$5:$A$509,"001",Base!$F$5:$F$509,"2602163")</f>
        <v>2308286.0</v>
      </c>
      <c r="M233" s="7">
        <f>D233-E233-L233</f>
        <v>50573904.0</v>
      </c>
      <c r="N233" s="6" t="s">
        <v>63</v>
      </c>
    </row>
    <row r="234" spans="1:14">
      <c r="A234" s="18">
        <v>226</v>
      </c>
      <c r="B234" s="18" t="s">
        <v>1859</v>
      </c>
      <c r="C234" s="6" t="s">
        <v>195</v>
      </c>
      <c r="D234" s="23">
        <v>161084884</v>
      </c>
      <c r="E234" s="23">
        <v>121294302</v>
      </c>
      <c r="F234" s="7">
        <f>INDEX('Rubro por CUI'!$E$5:$E$460,MATCH("001|2131661",'Rubro por CUI'!$N$5:$N$460,0))</f>
        <v>0.0</v>
      </c>
      <c r="G234" s="7">
        <f>INDEX('Rubro por CUI'!$F$5:$F$460,MATCH("001|2131661",'Rubro por CUI'!$N$5:$N$460,0))</f>
        <v>0.0</v>
      </c>
      <c r="H234" s="7">
        <f>INDEX('Rubro por CUI'!$G$5:$G$460,MATCH("001|2131661",'Rubro por CUI'!$N$5:$N$460,0))</f>
        <v>1868752.0</v>
      </c>
      <c r="I234" s="7">
        <f>INDEX('Rubro por CUI'!$H$5:$H$460,MATCH("001|2131661",'Rubro por CUI'!$N$5:$N$460,0))</f>
        <v>0.0</v>
      </c>
      <c r="J234" s="7">
        <f>INDEX('Rubro por CUI'!$I$5:$I$460,MATCH("001|2131661",'Rubro por CUI'!$N$5:$N$460,0))</f>
        <v>0.0</v>
      </c>
      <c r="K234" s="7">
        <f>L234-SUM(F234:J234)</f>
        <v>0.0</v>
      </c>
      <c r="L234" s="7">
        <f>SUMIFS(Base!$I$5:$I$509,Base!$A$5:$A$509,"001",Base!$F$5:$F$509,"2131661")</f>
        <v>1868752.0</v>
      </c>
      <c r="M234" s="7">
        <f>D234-E234-L234</f>
        <v>37921830.0</v>
      </c>
      <c r="N234" s="6" t="s">
        <v>63</v>
      </c>
    </row>
    <row r="235" spans="1:14">
      <c r="A235" s="18">
        <v>227</v>
      </c>
      <c r="B235" s="18" t="s">
        <v>1860</v>
      </c>
      <c r="C235" s="6" t="s">
        <v>381</v>
      </c>
      <c r="D235" s="6" t="s">
        <v>69</v>
      </c>
      <c r="E235" s="6" t="s">
        <v>69</v>
      </c>
      <c r="F235" s="7">
        <f>INDEX('Rubro por CUI'!$E$5:$E$460,MATCH("001|2511009",'Rubro por CUI'!$N$5:$N$460,0))</f>
        <v>0.0</v>
      </c>
      <c r="G235" s="7">
        <f>INDEX('Rubro por CUI'!$F$5:$F$460,MATCH("001|2511009",'Rubro por CUI'!$N$5:$N$460,0))</f>
        <v>0.0</v>
      </c>
      <c r="H235" s="7">
        <f>INDEX('Rubro por CUI'!$G$5:$G$460,MATCH("001|2511009",'Rubro por CUI'!$N$5:$N$460,0))</f>
        <v>1827737.0</v>
      </c>
      <c r="I235" s="7">
        <f>INDEX('Rubro por CUI'!$H$5:$H$460,MATCH("001|2511009",'Rubro por CUI'!$N$5:$N$460,0))</f>
        <v>0.0</v>
      </c>
      <c r="J235" s="7">
        <f>INDEX('Rubro por CUI'!$I$5:$I$460,MATCH("001|2511009",'Rubro por CUI'!$N$5:$N$460,0))</f>
        <v>0.0</v>
      </c>
      <c r="K235" s="7">
        <f>L235-SUM(F235:J235)</f>
        <v>0.0</v>
      </c>
      <c r="L235" s="7">
        <f>SUMIFS(Base!$I$5:$I$509,Base!$A$5:$A$509,"001",Base!$F$5:$F$509,"2511009")</f>
        <v>1827737.0</v>
      </c>
      <c r="M235" s="6" t="s">
        <v>69</v>
      </c>
      <c r="N235" s="6" t="s">
        <v>1634</v>
      </c>
    </row>
    <row r="236" spans="1:14">
      <c r="A236" s="18">
        <v>228</v>
      </c>
      <c r="B236" s="18" t="s">
        <v>1861</v>
      </c>
      <c r="C236" s="6" t="s">
        <v>182</v>
      </c>
      <c r="D236" s="23">
        <v>61126335</v>
      </c>
      <c r="E236" s="23">
        <v>53855028</v>
      </c>
      <c r="F236" s="7">
        <f>INDEX('Rubro por CUI'!$E$5:$E$460,MATCH("001|2163760",'Rubro por CUI'!$N$5:$N$460,0))</f>
        <v>0.0</v>
      </c>
      <c r="G236" s="7">
        <f>INDEX('Rubro por CUI'!$F$5:$F$460,MATCH("001|2163760",'Rubro por CUI'!$N$5:$N$460,0))</f>
        <v>0.0</v>
      </c>
      <c r="H236" s="7">
        <f>INDEX('Rubro por CUI'!$G$5:$G$460,MATCH("001|2163760",'Rubro por CUI'!$N$5:$N$460,0))</f>
        <v>0.0</v>
      </c>
      <c r="I236" s="7">
        <f>INDEX('Rubro por CUI'!$H$5:$H$460,MATCH("001|2163760",'Rubro por CUI'!$N$5:$N$460,0))</f>
        <v>1202934.0</v>
      </c>
      <c r="J236" s="7">
        <f>INDEX('Rubro por CUI'!$I$5:$I$460,MATCH("001|2163760",'Rubro por CUI'!$N$5:$N$460,0))</f>
        <v>0.0</v>
      </c>
      <c r="K236" s="7">
        <f>L236-SUM(F236:J236)</f>
        <v>0.0</v>
      </c>
      <c r="L236" s="7">
        <f>SUMIFS(Base!$I$5:$I$509,Base!$A$5:$A$509,"001",Base!$F$5:$F$509,"2163760")</f>
        <v>1202934.0</v>
      </c>
      <c r="M236" s="7">
        <f>D236-E236-L236</f>
        <v>6068373.0</v>
      </c>
      <c r="N236" s="6" t="s">
        <v>63</v>
      </c>
    </row>
    <row r="237" spans="1:14">
      <c r="A237" s="18">
        <v>229</v>
      </c>
      <c r="B237" s="18" t="s">
        <v>1862</v>
      </c>
      <c r="C237" s="6" t="s">
        <v>179</v>
      </c>
      <c r="D237" s="23">
        <v>22930377</v>
      </c>
      <c r="E237" s="23">
        <v>19411412</v>
      </c>
      <c r="F237" s="7">
        <f>INDEX('Rubro por CUI'!$E$5:$E$460,MATCH("001|2031310",'Rubro por CUI'!$N$5:$N$460,0))</f>
        <v>0.0</v>
      </c>
      <c r="G237" s="7">
        <f>INDEX('Rubro por CUI'!$F$5:$F$460,MATCH("001|2031310",'Rubro por CUI'!$N$5:$N$460,0))</f>
        <v>0.0</v>
      </c>
      <c r="H237" s="7">
        <f>INDEX('Rubro por CUI'!$G$5:$G$460,MATCH("001|2031310",'Rubro por CUI'!$N$5:$N$460,0))</f>
        <v>1122559.0</v>
      </c>
      <c r="I237" s="7">
        <f>INDEX('Rubro por CUI'!$H$5:$H$460,MATCH("001|2031310",'Rubro por CUI'!$N$5:$N$460,0))</f>
        <v>0.0</v>
      </c>
      <c r="J237" s="7">
        <f>INDEX('Rubro por CUI'!$I$5:$I$460,MATCH("001|2031310",'Rubro por CUI'!$N$5:$N$460,0))</f>
        <v>0.0</v>
      </c>
      <c r="K237" s="7">
        <f>L237-SUM(F237:J237)</f>
        <v>0.0</v>
      </c>
      <c r="L237" s="7">
        <f>SUMIFS(Base!$I$5:$I$509,Base!$A$5:$A$509,"001",Base!$F$5:$F$509,"2031310")</f>
        <v>1122559.0</v>
      </c>
      <c r="M237" s="7">
        <f>D237-E237-L237</f>
        <v>2396406.0</v>
      </c>
      <c r="N237" s="6" t="s">
        <v>63</v>
      </c>
    </row>
    <row r="238" spans="1:14">
      <c r="A238" s="18">
        <v>230</v>
      </c>
      <c r="B238" s="18" t="s">
        <v>1863</v>
      </c>
      <c r="C238" s="6" t="s">
        <v>390</v>
      </c>
      <c r="D238" s="6" t="s">
        <v>69</v>
      </c>
      <c r="E238" s="6" t="s">
        <v>69</v>
      </c>
      <c r="F238" s="7">
        <f>INDEX('Rubro por CUI'!$E$5:$E$460,MATCH("001|2527184",'Rubro por CUI'!$N$5:$N$460,0))</f>
        <v>0.0</v>
      </c>
      <c r="G238" s="7">
        <f>INDEX('Rubro por CUI'!$F$5:$F$460,MATCH("001|2527184",'Rubro por CUI'!$N$5:$N$460,0))</f>
        <v>0.0</v>
      </c>
      <c r="H238" s="7">
        <f>INDEX('Rubro por CUI'!$G$5:$G$460,MATCH("001|2527184",'Rubro por CUI'!$N$5:$N$460,0))</f>
        <v>936343.0</v>
      </c>
      <c r="I238" s="7">
        <f>INDEX('Rubro por CUI'!$H$5:$H$460,MATCH("001|2527184",'Rubro por CUI'!$N$5:$N$460,0))</f>
        <v>0.0</v>
      </c>
      <c r="J238" s="7">
        <f>INDEX('Rubro por CUI'!$I$5:$I$460,MATCH("001|2527184",'Rubro por CUI'!$N$5:$N$460,0))</f>
        <v>0.0</v>
      </c>
      <c r="K238" s="7">
        <f>L238-SUM(F238:J238)</f>
        <v>0.0</v>
      </c>
      <c r="L238" s="7">
        <f>SUMIFS(Base!$I$5:$I$509,Base!$A$5:$A$509,"001",Base!$F$5:$F$509,"2527184")</f>
        <v>936343.0</v>
      </c>
      <c r="M238" s="6" t="s">
        <v>69</v>
      </c>
      <c r="N238" s="6" t="s">
        <v>1634</v>
      </c>
    </row>
    <row r="239" spans="1:14">
      <c r="A239" s="18">
        <v>231</v>
      </c>
      <c r="B239" s="18" t="s">
        <v>1864</v>
      </c>
      <c r="C239" s="6" t="s">
        <v>889</v>
      </c>
      <c r="D239" s="23">
        <v>37869062</v>
      </c>
      <c r="E239" s="23">
        <v>0</v>
      </c>
      <c r="F239" s="7">
        <f>INDEX('Rubro por CUI'!$E$5:$E$460,MATCH("001|2654549",'Rubro por CUI'!$N$5:$N$460,0))</f>
        <v>0.0</v>
      </c>
      <c r="G239" s="7">
        <f>INDEX('Rubro por CUI'!$F$5:$F$460,MATCH("001|2654549",'Rubro por CUI'!$N$5:$N$460,0))</f>
        <v>0.0</v>
      </c>
      <c r="H239" s="7">
        <f>INDEX('Rubro por CUI'!$G$5:$G$460,MATCH("001|2654549",'Rubro por CUI'!$N$5:$N$460,0))</f>
        <v>870779.0</v>
      </c>
      <c r="I239" s="7">
        <f>INDEX('Rubro por CUI'!$H$5:$H$460,MATCH("001|2654549",'Rubro por CUI'!$N$5:$N$460,0))</f>
        <v>0.0</v>
      </c>
      <c r="J239" s="7">
        <f>INDEX('Rubro por CUI'!$I$5:$I$460,MATCH("001|2654549",'Rubro por CUI'!$N$5:$N$460,0))</f>
        <v>0.0</v>
      </c>
      <c r="K239" s="7">
        <f>L239-SUM(F239:J239)</f>
        <v>0.0</v>
      </c>
      <c r="L239" s="7">
        <f>SUMIFS(Base!$I$5:$I$509,Base!$A$5:$A$509,"001",Base!$F$5:$F$509,"2654549")</f>
        <v>870779.0</v>
      </c>
      <c r="M239" s="7">
        <f>D239-E239-L239</f>
        <v>36998283.0</v>
      </c>
      <c r="N239" s="6" t="s">
        <v>63</v>
      </c>
    </row>
    <row r="240" spans="1:14">
      <c r="A240" s="18">
        <v>232</v>
      </c>
      <c r="B240" s="18" t="s">
        <v>1865</v>
      </c>
      <c r="C240" s="6" t="s">
        <v>188</v>
      </c>
      <c r="D240" s="23">
        <v>32252438</v>
      </c>
      <c r="E240" s="23">
        <v>24702814</v>
      </c>
      <c r="F240" s="7">
        <f>INDEX('Rubro por CUI'!$E$5:$E$460,MATCH("001|2321290",'Rubro por CUI'!$N$5:$N$460,0))</f>
        <v>844818.0</v>
      </c>
      <c r="G240" s="7">
        <f>INDEX('Rubro por CUI'!$F$5:$F$460,MATCH("001|2321290",'Rubro por CUI'!$N$5:$N$460,0))</f>
        <v>0.0</v>
      </c>
      <c r="H240" s="7">
        <f>INDEX('Rubro por CUI'!$G$5:$G$460,MATCH("001|2321290",'Rubro por CUI'!$N$5:$N$460,0))</f>
        <v>0.0</v>
      </c>
      <c r="I240" s="7">
        <f>INDEX('Rubro por CUI'!$H$5:$H$460,MATCH("001|2321290",'Rubro por CUI'!$N$5:$N$460,0))</f>
        <v>0.0</v>
      </c>
      <c r="J240" s="7">
        <f>INDEX('Rubro por CUI'!$I$5:$I$460,MATCH("001|2321290",'Rubro por CUI'!$N$5:$N$460,0))</f>
        <v>0.0</v>
      </c>
      <c r="K240" s="7">
        <f>L240-SUM(F240:J240)</f>
        <v>0.0</v>
      </c>
      <c r="L240" s="7">
        <f>SUMIFS(Base!$I$5:$I$509,Base!$A$5:$A$509,"001",Base!$F$5:$F$509,"2321290")</f>
        <v>844818.0</v>
      </c>
      <c r="M240" s="7">
        <f>D240-E240-L240</f>
        <v>6704806.0</v>
      </c>
      <c r="N240" s="6" t="s">
        <v>63</v>
      </c>
    </row>
    <row r="241" spans="1:14">
      <c r="A241" s="18">
        <v>233</v>
      </c>
      <c r="B241" s="18" t="s">
        <v>1866</v>
      </c>
      <c r="C241" s="6" t="s">
        <v>850</v>
      </c>
      <c r="D241" s="23">
        <v>139319662</v>
      </c>
      <c r="E241" s="23">
        <v>535910</v>
      </c>
      <c r="F241" s="7">
        <f>INDEX('Rubro por CUI'!$E$5:$E$460,MATCH("001|2603164",'Rubro por CUI'!$N$5:$N$460,0))</f>
        <v>0.0</v>
      </c>
      <c r="G241" s="7">
        <f>INDEX('Rubro por CUI'!$F$5:$F$460,MATCH("001|2603164",'Rubro por CUI'!$N$5:$N$460,0))</f>
        <v>0.0</v>
      </c>
      <c r="H241" s="7">
        <f>INDEX('Rubro por CUI'!$G$5:$G$460,MATCH("001|2603164",'Rubro por CUI'!$N$5:$N$460,0))</f>
        <v>840279.0</v>
      </c>
      <c r="I241" s="7">
        <f>INDEX('Rubro por CUI'!$H$5:$H$460,MATCH("001|2603164",'Rubro por CUI'!$N$5:$N$460,0))</f>
        <v>0.0</v>
      </c>
      <c r="J241" s="7">
        <f>INDEX('Rubro por CUI'!$I$5:$I$460,MATCH("001|2603164",'Rubro por CUI'!$N$5:$N$460,0))</f>
        <v>0.0</v>
      </c>
      <c r="K241" s="7">
        <f>L241-SUM(F241:J241)</f>
        <v>0.0</v>
      </c>
      <c r="L241" s="7">
        <f>SUMIFS(Base!$I$5:$I$509,Base!$A$5:$A$509,"001",Base!$F$5:$F$509,"2603164")</f>
        <v>840279.0</v>
      </c>
      <c r="M241" s="7">
        <f>D241-E241-L241</f>
        <v>137943473.0</v>
      </c>
      <c r="N241" s="6" t="s">
        <v>63</v>
      </c>
    </row>
    <row r="242" spans="1:14">
      <c r="A242" s="18">
        <v>234</v>
      </c>
      <c r="B242" s="18" t="s">
        <v>1867</v>
      </c>
      <c r="C242" s="6" t="s">
        <v>916</v>
      </c>
      <c r="D242" s="23">
        <v>34924298</v>
      </c>
      <c r="E242" s="23">
        <v>79568</v>
      </c>
      <c r="F242" s="7">
        <f>INDEX('Rubro por CUI'!$E$5:$E$460,MATCH("001|2661660",'Rubro por CUI'!$N$5:$N$460,0))</f>
        <v>0.0</v>
      </c>
      <c r="G242" s="7">
        <f>INDEX('Rubro por CUI'!$F$5:$F$460,MATCH("001|2661660",'Rubro por CUI'!$N$5:$N$460,0))</f>
        <v>0.0</v>
      </c>
      <c r="H242" s="7">
        <f>INDEX('Rubro por CUI'!$G$5:$G$460,MATCH("001|2661660",'Rubro por CUI'!$N$5:$N$460,0))</f>
        <v>703231.0</v>
      </c>
      <c r="I242" s="7">
        <f>INDEX('Rubro por CUI'!$H$5:$H$460,MATCH("001|2661660",'Rubro por CUI'!$N$5:$N$460,0))</f>
        <v>0.0</v>
      </c>
      <c r="J242" s="7">
        <f>INDEX('Rubro por CUI'!$I$5:$I$460,MATCH("001|2661660",'Rubro por CUI'!$N$5:$N$460,0))</f>
        <v>0.0</v>
      </c>
      <c r="K242" s="7">
        <f>L242-SUM(F242:J242)</f>
        <v>0.0</v>
      </c>
      <c r="L242" s="7">
        <f>SUMIFS(Base!$I$5:$I$509,Base!$A$5:$A$509,"001",Base!$F$5:$F$509,"2661660")</f>
        <v>703231.0</v>
      </c>
      <c r="M242" s="7">
        <f>D242-E242-L242</f>
        <v>34141499.0</v>
      </c>
      <c r="N242" s="6" t="s">
        <v>63</v>
      </c>
    </row>
    <row r="243" spans="1:14">
      <c r="A243" s="18">
        <v>235</v>
      </c>
      <c r="B243" s="18" t="s">
        <v>1868</v>
      </c>
      <c r="C243" s="6" t="s">
        <v>587</v>
      </c>
      <c r="D243" s="23">
        <v>36504822</v>
      </c>
      <c r="E243" s="23">
        <v>267638</v>
      </c>
      <c r="F243" s="7">
        <f>INDEX('Rubro por CUI'!$E$5:$E$460,MATCH("001|2669470",'Rubro por CUI'!$N$5:$N$460,0))</f>
        <v>0.0</v>
      </c>
      <c r="G243" s="7">
        <f>INDEX('Rubro por CUI'!$F$5:$F$460,MATCH("001|2669470",'Rubro por CUI'!$N$5:$N$460,0))</f>
        <v>0.0</v>
      </c>
      <c r="H243" s="7">
        <f>INDEX('Rubro por CUI'!$G$5:$G$460,MATCH("001|2669470",'Rubro por CUI'!$N$5:$N$460,0))</f>
        <v>680000.0</v>
      </c>
      <c r="I243" s="7">
        <f>INDEX('Rubro por CUI'!$H$5:$H$460,MATCH("001|2669470",'Rubro por CUI'!$N$5:$N$460,0))</f>
        <v>0.0</v>
      </c>
      <c r="J243" s="7">
        <f>INDEX('Rubro por CUI'!$I$5:$I$460,MATCH("001|2669470",'Rubro por CUI'!$N$5:$N$460,0))</f>
        <v>0.0</v>
      </c>
      <c r="K243" s="7">
        <f>L243-SUM(F243:J243)</f>
        <v>0.0</v>
      </c>
      <c r="L243" s="7">
        <f>SUMIFS(Base!$I$5:$I$509,Base!$A$5:$A$509,"001",Base!$F$5:$F$509,"2669470")</f>
        <v>680000.0</v>
      </c>
      <c r="M243" s="7">
        <f>D243-E243-L243</f>
        <v>35557184.0</v>
      </c>
      <c r="N243" s="6" t="s">
        <v>63</v>
      </c>
    </row>
    <row r="244" spans="1:14">
      <c r="A244" s="18">
        <v>236</v>
      </c>
      <c r="B244" s="18" t="s">
        <v>1869</v>
      </c>
      <c r="C244" s="6" t="s">
        <v>853</v>
      </c>
      <c r="D244" s="23">
        <v>29067869</v>
      </c>
      <c r="E244" s="23">
        <v>746435</v>
      </c>
      <c r="F244" s="7">
        <f>INDEX('Rubro por CUI'!$E$5:$E$460,MATCH("001|2603281",'Rubro por CUI'!$N$5:$N$460,0))</f>
        <v>0.0</v>
      </c>
      <c r="G244" s="7">
        <f>INDEX('Rubro por CUI'!$F$5:$F$460,MATCH("001|2603281",'Rubro por CUI'!$N$5:$N$460,0))</f>
        <v>0.0</v>
      </c>
      <c r="H244" s="7">
        <f>INDEX('Rubro por CUI'!$G$5:$G$460,MATCH("001|2603281",'Rubro por CUI'!$N$5:$N$460,0))</f>
        <v>674368.0</v>
      </c>
      <c r="I244" s="7">
        <f>INDEX('Rubro por CUI'!$H$5:$H$460,MATCH("001|2603281",'Rubro por CUI'!$N$5:$N$460,0))</f>
        <v>0.0</v>
      </c>
      <c r="J244" s="7">
        <f>INDEX('Rubro por CUI'!$I$5:$I$460,MATCH("001|2603281",'Rubro por CUI'!$N$5:$N$460,0))</f>
        <v>0.0</v>
      </c>
      <c r="K244" s="7">
        <f>L244-SUM(F244:J244)</f>
        <v>0.0</v>
      </c>
      <c r="L244" s="7">
        <f>SUMIFS(Base!$I$5:$I$509,Base!$A$5:$A$509,"001",Base!$F$5:$F$509,"2603281")</f>
        <v>674368.0</v>
      </c>
      <c r="M244" s="7">
        <f>D244-E244-L244</f>
        <v>27647066.0</v>
      </c>
      <c r="N244" s="6" t="s">
        <v>63</v>
      </c>
    </row>
    <row r="245" spans="1:14">
      <c r="A245" s="18">
        <v>237</v>
      </c>
      <c r="B245" s="18" t="s">
        <v>1870</v>
      </c>
      <c r="C245" s="6" t="s">
        <v>596</v>
      </c>
      <c r="D245" s="23">
        <v>52972505</v>
      </c>
      <c r="E245" s="23">
        <v>74702</v>
      </c>
      <c r="F245" s="7">
        <f>INDEX('Rubro por CUI'!$E$5:$E$460,MATCH("001|2654204",'Rubro por CUI'!$N$5:$N$460,0))</f>
        <v>0.0</v>
      </c>
      <c r="G245" s="7">
        <f>INDEX('Rubro por CUI'!$F$5:$F$460,MATCH("001|2654204",'Rubro por CUI'!$N$5:$N$460,0))</f>
        <v>0.0</v>
      </c>
      <c r="H245" s="7">
        <f>INDEX('Rubro por CUI'!$G$5:$G$460,MATCH("001|2654204",'Rubro por CUI'!$N$5:$N$460,0))</f>
        <v>654463.0</v>
      </c>
      <c r="I245" s="7">
        <f>INDEX('Rubro por CUI'!$H$5:$H$460,MATCH("001|2654204",'Rubro por CUI'!$N$5:$N$460,0))</f>
        <v>0.0</v>
      </c>
      <c r="J245" s="7">
        <f>INDEX('Rubro por CUI'!$I$5:$I$460,MATCH("001|2654204",'Rubro por CUI'!$N$5:$N$460,0))</f>
        <v>0.0</v>
      </c>
      <c r="K245" s="7">
        <f>L245-SUM(F245:J245)</f>
        <v>0.0</v>
      </c>
      <c r="L245" s="7">
        <f>SUMIFS(Base!$I$5:$I$509,Base!$A$5:$A$509,"001",Base!$F$5:$F$509,"2654204")</f>
        <v>654463.0</v>
      </c>
      <c r="M245" s="7">
        <f>D245-E245-L245</f>
        <v>52243340.0</v>
      </c>
      <c r="N245" s="6" t="s">
        <v>63</v>
      </c>
    </row>
    <row r="246" spans="1:14">
      <c r="A246" s="18">
        <v>238</v>
      </c>
      <c r="B246" s="18" t="s">
        <v>1871</v>
      </c>
      <c r="C246" s="6" t="s">
        <v>886</v>
      </c>
      <c r="D246" s="23">
        <v>24307396</v>
      </c>
      <c r="E246" s="23">
        <v>106164</v>
      </c>
      <c r="F246" s="7">
        <f>INDEX('Rubro por CUI'!$E$5:$E$460,MATCH("001|2654509",'Rubro por CUI'!$N$5:$N$460,0))</f>
        <v>0.0</v>
      </c>
      <c r="G246" s="7">
        <f>INDEX('Rubro por CUI'!$F$5:$F$460,MATCH("001|2654509",'Rubro por CUI'!$N$5:$N$460,0))</f>
        <v>0.0</v>
      </c>
      <c r="H246" s="7">
        <f>INDEX('Rubro por CUI'!$G$5:$G$460,MATCH("001|2654509",'Rubro por CUI'!$N$5:$N$460,0))</f>
        <v>601668.0</v>
      </c>
      <c r="I246" s="7">
        <f>INDEX('Rubro por CUI'!$H$5:$H$460,MATCH("001|2654509",'Rubro por CUI'!$N$5:$N$460,0))</f>
        <v>0.0</v>
      </c>
      <c r="J246" s="7">
        <f>INDEX('Rubro por CUI'!$I$5:$I$460,MATCH("001|2654509",'Rubro por CUI'!$N$5:$N$460,0))</f>
        <v>0.0</v>
      </c>
      <c r="K246" s="7">
        <f>L246-SUM(F246:J246)</f>
        <v>0.0</v>
      </c>
      <c r="L246" s="7">
        <f>SUMIFS(Base!$I$5:$I$509,Base!$A$5:$A$509,"001",Base!$F$5:$F$509,"2654509")</f>
        <v>601668.0</v>
      </c>
      <c r="M246" s="7">
        <f>D246-E246-L246</f>
        <v>23599564.0</v>
      </c>
      <c r="N246" s="6" t="s">
        <v>63</v>
      </c>
    </row>
    <row r="247" spans="1:14">
      <c r="A247" s="18">
        <v>239</v>
      </c>
      <c r="B247" s="18" t="s">
        <v>1872</v>
      </c>
      <c r="C247" s="6" t="s">
        <v>393</v>
      </c>
      <c r="D247" s="6" t="s">
        <v>69</v>
      </c>
      <c r="E247" s="6" t="s">
        <v>69</v>
      </c>
      <c r="F247" s="7">
        <f>INDEX('Rubro por CUI'!$E$5:$E$460,MATCH("001|2519621",'Rubro por CUI'!$N$5:$N$460,0))</f>
        <v>0.0</v>
      </c>
      <c r="G247" s="7">
        <f>INDEX('Rubro por CUI'!$F$5:$F$460,MATCH("001|2519621",'Rubro por CUI'!$N$5:$N$460,0))</f>
        <v>0.0</v>
      </c>
      <c r="H247" s="7">
        <f>INDEX('Rubro por CUI'!$G$5:$G$460,MATCH("001|2519621",'Rubro por CUI'!$N$5:$N$460,0))</f>
        <v>565870.0</v>
      </c>
      <c r="I247" s="7">
        <f>INDEX('Rubro por CUI'!$H$5:$H$460,MATCH("001|2519621",'Rubro por CUI'!$N$5:$N$460,0))</f>
        <v>0.0</v>
      </c>
      <c r="J247" s="7">
        <f>INDEX('Rubro por CUI'!$I$5:$I$460,MATCH("001|2519621",'Rubro por CUI'!$N$5:$N$460,0))</f>
        <v>0.0</v>
      </c>
      <c r="K247" s="7">
        <f>L247-SUM(F247:J247)</f>
        <v>0.0</v>
      </c>
      <c r="L247" s="7">
        <f>SUMIFS(Base!$I$5:$I$509,Base!$A$5:$A$509,"001",Base!$F$5:$F$509,"2519621")</f>
        <v>565870.0</v>
      </c>
      <c r="M247" s="6" t="s">
        <v>69</v>
      </c>
      <c r="N247" s="6" t="s">
        <v>1634</v>
      </c>
    </row>
    <row r="248" spans="1:14">
      <c r="A248" s="18">
        <v>240</v>
      </c>
      <c r="B248" s="18" t="s">
        <v>1873</v>
      </c>
      <c r="C248" s="6" t="s">
        <v>572</v>
      </c>
      <c r="D248" s="23">
        <v>31640258</v>
      </c>
      <c r="E248" s="23">
        <v>0</v>
      </c>
      <c r="F248" s="7">
        <f>INDEX('Rubro por CUI'!$E$5:$E$460,MATCH("001|2710291",'Rubro por CUI'!$N$5:$N$460,0))</f>
        <v>213376.0</v>
      </c>
      <c r="G248" s="7">
        <f>INDEX('Rubro por CUI'!$F$5:$F$460,MATCH("001|2710291",'Rubro por CUI'!$N$5:$N$460,0))</f>
        <v>0.0</v>
      </c>
      <c r="H248" s="7">
        <f>INDEX('Rubro por CUI'!$G$5:$G$460,MATCH("001|2710291",'Rubro por CUI'!$N$5:$N$460,0))</f>
        <v>350000.0</v>
      </c>
      <c r="I248" s="7">
        <f>INDEX('Rubro por CUI'!$H$5:$H$460,MATCH("001|2710291",'Rubro por CUI'!$N$5:$N$460,0))</f>
        <v>0.0</v>
      </c>
      <c r="J248" s="7">
        <f>INDEX('Rubro por CUI'!$I$5:$I$460,MATCH("001|2710291",'Rubro por CUI'!$N$5:$N$460,0))</f>
        <v>0.0</v>
      </c>
      <c r="K248" s="7">
        <f>L248-SUM(F248:J248)</f>
        <v>0.0</v>
      </c>
      <c r="L248" s="7">
        <f>SUMIFS(Base!$I$5:$I$509,Base!$A$5:$A$509,"001",Base!$F$5:$F$509,"2710291")</f>
        <v>563376.0</v>
      </c>
      <c r="M248" s="7">
        <f>D248-E248-L248</f>
        <v>31076882.0</v>
      </c>
      <c r="N248" s="6" t="s">
        <v>63</v>
      </c>
    </row>
    <row r="249" spans="1:14">
      <c r="A249" s="18">
        <v>241</v>
      </c>
      <c r="B249" s="18" t="s">
        <v>1874</v>
      </c>
      <c r="C249" s="6" t="s">
        <v>856</v>
      </c>
      <c r="D249" s="23">
        <v>94830406</v>
      </c>
      <c r="E249" s="23">
        <v>719754</v>
      </c>
      <c r="F249" s="7">
        <f>INDEX('Rubro por CUI'!$E$5:$E$460,MATCH("001|2607527",'Rubro por CUI'!$N$5:$N$460,0))</f>
        <v>0.0</v>
      </c>
      <c r="G249" s="7">
        <f>INDEX('Rubro por CUI'!$F$5:$F$460,MATCH("001|2607527",'Rubro por CUI'!$N$5:$N$460,0))</f>
        <v>0.0</v>
      </c>
      <c r="H249" s="7">
        <f>INDEX('Rubro por CUI'!$G$5:$G$460,MATCH("001|2607527",'Rubro por CUI'!$N$5:$N$460,0))</f>
        <v>520686.0</v>
      </c>
      <c r="I249" s="7">
        <f>INDEX('Rubro por CUI'!$H$5:$H$460,MATCH("001|2607527",'Rubro por CUI'!$N$5:$N$460,0))</f>
        <v>0.0</v>
      </c>
      <c r="J249" s="7">
        <f>INDEX('Rubro por CUI'!$I$5:$I$460,MATCH("001|2607527",'Rubro por CUI'!$N$5:$N$460,0))</f>
        <v>0.0</v>
      </c>
      <c r="K249" s="7">
        <f>L249-SUM(F249:J249)</f>
        <v>0.0</v>
      </c>
      <c r="L249" s="7">
        <f>SUMIFS(Base!$I$5:$I$509,Base!$A$5:$A$509,"001",Base!$F$5:$F$509,"2607527")</f>
        <v>520686.0</v>
      </c>
      <c r="M249" s="7">
        <f>D249-E249-L249</f>
        <v>93589966.0</v>
      </c>
      <c r="N249" s="6" t="s">
        <v>63</v>
      </c>
    </row>
    <row r="250" spans="1:14">
      <c r="A250" s="18">
        <v>242</v>
      </c>
      <c r="B250" s="18" t="s">
        <v>1875</v>
      </c>
      <c r="C250" s="6" t="s">
        <v>590</v>
      </c>
      <c r="D250" s="23">
        <v>16389780</v>
      </c>
      <c r="E250" s="23">
        <v>66355</v>
      </c>
      <c r="F250" s="7">
        <f>INDEX('Rubro por CUI'!$E$5:$E$460,MATCH("001|2681096",'Rubro por CUI'!$N$5:$N$460,0))</f>
        <v>0.0</v>
      </c>
      <c r="G250" s="7">
        <f>INDEX('Rubro por CUI'!$F$5:$F$460,MATCH("001|2681096",'Rubro por CUI'!$N$5:$N$460,0))</f>
        <v>0.0</v>
      </c>
      <c r="H250" s="7">
        <f>INDEX('Rubro por CUI'!$G$5:$G$460,MATCH("001|2681096",'Rubro por CUI'!$N$5:$N$460,0))</f>
        <v>519111.0</v>
      </c>
      <c r="I250" s="7">
        <f>INDEX('Rubro por CUI'!$H$5:$H$460,MATCH("001|2681096",'Rubro por CUI'!$N$5:$N$460,0))</f>
        <v>0.0</v>
      </c>
      <c r="J250" s="7">
        <f>INDEX('Rubro por CUI'!$I$5:$I$460,MATCH("001|2681096",'Rubro por CUI'!$N$5:$N$460,0))</f>
        <v>0.0</v>
      </c>
      <c r="K250" s="7">
        <f>L250-SUM(F250:J250)</f>
        <v>0.0</v>
      </c>
      <c r="L250" s="7">
        <f>SUMIFS(Base!$I$5:$I$509,Base!$A$5:$A$509,"001",Base!$F$5:$F$509,"2681096")</f>
        <v>519111.0</v>
      </c>
      <c r="M250" s="7">
        <f>D250-E250-L250</f>
        <v>15804314.0</v>
      </c>
      <c r="N250" s="6" t="s">
        <v>63</v>
      </c>
    </row>
    <row r="251" spans="1:14">
      <c r="A251" s="18">
        <v>243</v>
      </c>
      <c r="B251" s="18" t="s">
        <v>1876</v>
      </c>
      <c r="C251" s="6" t="s">
        <v>880</v>
      </c>
      <c r="D251" s="23">
        <v>17986705</v>
      </c>
      <c r="E251" s="23">
        <v>335048</v>
      </c>
      <c r="F251" s="7">
        <f>INDEX('Rubro por CUI'!$E$5:$E$460,MATCH("001|2653737",'Rubro por CUI'!$N$5:$N$460,0))</f>
        <v>0.0</v>
      </c>
      <c r="G251" s="7">
        <f>INDEX('Rubro por CUI'!$F$5:$F$460,MATCH("001|2653737",'Rubro por CUI'!$N$5:$N$460,0))</f>
        <v>0.0</v>
      </c>
      <c r="H251" s="7">
        <f>INDEX('Rubro por CUI'!$G$5:$G$460,MATCH("001|2653737",'Rubro por CUI'!$N$5:$N$460,0))</f>
        <v>490000.0</v>
      </c>
      <c r="I251" s="7">
        <f>INDEX('Rubro por CUI'!$H$5:$H$460,MATCH("001|2653737",'Rubro por CUI'!$N$5:$N$460,0))</f>
        <v>0.0</v>
      </c>
      <c r="J251" s="7">
        <f>INDEX('Rubro por CUI'!$I$5:$I$460,MATCH("001|2653737",'Rubro por CUI'!$N$5:$N$460,0))</f>
        <v>0.0</v>
      </c>
      <c r="K251" s="7">
        <f>L251-SUM(F251:J251)</f>
        <v>0.0</v>
      </c>
      <c r="L251" s="7">
        <f>SUMIFS(Base!$I$5:$I$509,Base!$A$5:$A$509,"001",Base!$F$5:$F$509,"2653737")</f>
        <v>490000.0</v>
      </c>
      <c r="M251" s="7">
        <f>D251-E251-L251</f>
        <v>17161657.0</v>
      </c>
      <c r="N251" s="6" t="s">
        <v>63</v>
      </c>
    </row>
    <row r="252" spans="1:14">
      <c r="A252" s="18">
        <v>244</v>
      </c>
      <c r="B252" s="18" t="s">
        <v>1877</v>
      </c>
      <c r="C252" s="6" t="s">
        <v>569</v>
      </c>
      <c r="D252" s="6" t="s">
        <v>69</v>
      </c>
      <c r="E252" s="6" t="s">
        <v>69</v>
      </c>
      <c r="F252" s="7">
        <f>INDEX('Rubro por CUI'!$E$5:$E$460,MATCH("001|2539948",'Rubro por CUI'!$N$5:$N$460,0))</f>
        <v>0.0</v>
      </c>
      <c r="G252" s="7">
        <f>INDEX('Rubro por CUI'!$F$5:$F$460,MATCH("001|2539948",'Rubro por CUI'!$N$5:$N$460,0))</f>
        <v>0.0</v>
      </c>
      <c r="H252" s="7">
        <f>INDEX('Rubro por CUI'!$G$5:$G$460,MATCH("001|2539948",'Rubro por CUI'!$N$5:$N$460,0))</f>
        <v>412686.0</v>
      </c>
      <c r="I252" s="7">
        <f>INDEX('Rubro por CUI'!$H$5:$H$460,MATCH("001|2539948",'Rubro por CUI'!$N$5:$N$460,0))</f>
        <v>0.0</v>
      </c>
      <c r="J252" s="7">
        <f>INDEX('Rubro por CUI'!$I$5:$I$460,MATCH("001|2539948",'Rubro por CUI'!$N$5:$N$460,0))</f>
        <v>0.0</v>
      </c>
      <c r="K252" s="7">
        <f>L252-SUM(F252:J252)</f>
        <v>0.0</v>
      </c>
      <c r="L252" s="7">
        <f>SUMIFS(Base!$I$5:$I$509,Base!$A$5:$A$509,"001",Base!$F$5:$F$509,"2539948")</f>
        <v>412686.0</v>
      </c>
      <c r="M252" s="6" t="s">
        <v>69</v>
      </c>
      <c r="N252" s="6" t="s">
        <v>1634</v>
      </c>
    </row>
    <row r="253" spans="1:14">
      <c r="A253" s="18">
        <v>245</v>
      </c>
      <c r="B253" s="18" t="s">
        <v>1878</v>
      </c>
      <c r="C253" s="6" t="s">
        <v>575</v>
      </c>
      <c r="D253" s="23">
        <v>15848106</v>
      </c>
      <c r="E253" s="23">
        <v>0</v>
      </c>
      <c r="F253" s="7">
        <f>INDEX('Rubro por CUI'!$E$5:$E$460,MATCH("001|2682870",'Rubro por CUI'!$N$5:$N$460,0))</f>
        <v>0.0</v>
      </c>
      <c r="G253" s="7">
        <f>INDEX('Rubro por CUI'!$F$5:$F$460,MATCH("001|2682870",'Rubro por CUI'!$N$5:$N$460,0))</f>
        <v>0.0</v>
      </c>
      <c r="H253" s="7">
        <f>INDEX('Rubro por CUI'!$G$5:$G$460,MATCH("001|2682870",'Rubro por CUI'!$N$5:$N$460,0))</f>
        <v>400000.0</v>
      </c>
      <c r="I253" s="7">
        <f>INDEX('Rubro por CUI'!$H$5:$H$460,MATCH("001|2682870",'Rubro por CUI'!$N$5:$N$460,0))</f>
        <v>0.0</v>
      </c>
      <c r="J253" s="7">
        <f>INDEX('Rubro por CUI'!$I$5:$I$460,MATCH("001|2682870",'Rubro por CUI'!$N$5:$N$460,0))</f>
        <v>0.0</v>
      </c>
      <c r="K253" s="7">
        <f>L253-SUM(F253:J253)</f>
        <v>0.0</v>
      </c>
      <c r="L253" s="7">
        <f>SUMIFS(Base!$I$5:$I$509,Base!$A$5:$A$509,"001",Base!$F$5:$F$509,"2682870")</f>
        <v>400000.0</v>
      </c>
      <c r="M253" s="7">
        <f>D253-E253-L253</f>
        <v>15448106.0</v>
      </c>
      <c r="N253" s="6" t="s">
        <v>63</v>
      </c>
    </row>
    <row r="254" spans="1:14">
      <c r="A254" s="18">
        <v>246</v>
      </c>
      <c r="B254" s="18" t="s">
        <v>1879</v>
      </c>
      <c r="C254" s="6" t="s">
        <v>841</v>
      </c>
      <c r="D254" s="23">
        <v>28042507</v>
      </c>
      <c r="E254" s="23">
        <v>71753</v>
      </c>
      <c r="F254" s="7">
        <f>INDEX('Rubro por CUI'!$E$5:$E$460,MATCH("001|2585541",'Rubro por CUI'!$N$5:$N$460,0))</f>
        <v>0.0</v>
      </c>
      <c r="G254" s="7">
        <f>INDEX('Rubro por CUI'!$F$5:$F$460,MATCH("001|2585541",'Rubro por CUI'!$N$5:$N$460,0))</f>
        <v>0.0</v>
      </c>
      <c r="H254" s="7">
        <f>INDEX('Rubro por CUI'!$G$5:$G$460,MATCH("001|2585541",'Rubro por CUI'!$N$5:$N$460,0))</f>
        <v>391951.0</v>
      </c>
      <c r="I254" s="7">
        <f>INDEX('Rubro por CUI'!$H$5:$H$460,MATCH("001|2585541",'Rubro por CUI'!$N$5:$N$460,0))</f>
        <v>0.0</v>
      </c>
      <c r="J254" s="7">
        <f>INDEX('Rubro por CUI'!$I$5:$I$460,MATCH("001|2585541",'Rubro por CUI'!$N$5:$N$460,0))</f>
        <v>0.0</v>
      </c>
      <c r="K254" s="7">
        <f>L254-SUM(F254:J254)</f>
        <v>0.0</v>
      </c>
      <c r="L254" s="7">
        <f>SUMIFS(Base!$I$5:$I$509,Base!$A$5:$A$509,"001",Base!$F$5:$F$509,"2585541")</f>
        <v>391951.0</v>
      </c>
      <c r="M254" s="7">
        <f>D254-E254-L254</f>
        <v>27578803.0</v>
      </c>
      <c r="N254" s="6" t="s">
        <v>63</v>
      </c>
    </row>
    <row r="255" spans="1:14">
      <c r="A255" s="18">
        <v>247</v>
      </c>
      <c r="B255" s="18" t="s">
        <v>1880</v>
      </c>
      <c r="C255" s="6" t="s">
        <v>910</v>
      </c>
      <c r="D255" s="23">
        <v>88508682</v>
      </c>
      <c r="E255" s="23">
        <v>0</v>
      </c>
      <c r="F255" s="7">
        <f>INDEX('Rubro por CUI'!$E$5:$E$460,MATCH("001|2657953",'Rubro por CUI'!$N$5:$N$460,0))</f>
        <v>0.0</v>
      </c>
      <c r="G255" s="7">
        <f>INDEX('Rubro por CUI'!$F$5:$F$460,MATCH("001|2657953",'Rubro por CUI'!$N$5:$N$460,0))</f>
        <v>0.0</v>
      </c>
      <c r="H255" s="7">
        <f>INDEX('Rubro por CUI'!$G$5:$G$460,MATCH("001|2657953",'Rubro por CUI'!$N$5:$N$460,0))</f>
        <v>390297.0</v>
      </c>
      <c r="I255" s="7">
        <f>INDEX('Rubro por CUI'!$H$5:$H$460,MATCH("001|2657953",'Rubro por CUI'!$N$5:$N$460,0))</f>
        <v>0.0</v>
      </c>
      <c r="J255" s="7">
        <f>INDEX('Rubro por CUI'!$I$5:$I$460,MATCH("001|2657953",'Rubro por CUI'!$N$5:$N$460,0))</f>
        <v>0.0</v>
      </c>
      <c r="K255" s="7">
        <f>L255-SUM(F255:J255)</f>
        <v>0.0</v>
      </c>
      <c r="L255" s="7">
        <f>SUMIFS(Base!$I$5:$I$509,Base!$A$5:$A$509,"001",Base!$F$5:$F$509,"2657953")</f>
        <v>390297.0</v>
      </c>
      <c r="M255" s="7">
        <f>D255-E255-L255</f>
        <v>88118385.0</v>
      </c>
      <c r="N255" s="6" t="s">
        <v>63</v>
      </c>
    </row>
    <row r="256" spans="1:14">
      <c r="A256" s="18">
        <v>248</v>
      </c>
      <c r="B256" s="18" t="s">
        <v>1881</v>
      </c>
      <c r="C256" s="6" t="s">
        <v>578</v>
      </c>
      <c r="D256" s="23">
        <v>11960804</v>
      </c>
      <c r="E256" s="23">
        <v>0</v>
      </c>
      <c r="F256" s="7">
        <f>INDEX('Rubro por CUI'!$E$5:$E$460,MATCH("001|2681092",'Rubro por CUI'!$N$5:$N$460,0))</f>
        <v>0.0</v>
      </c>
      <c r="G256" s="7">
        <f>INDEX('Rubro por CUI'!$F$5:$F$460,MATCH("001|2681092",'Rubro por CUI'!$N$5:$N$460,0))</f>
        <v>0.0</v>
      </c>
      <c r="H256" s="7">
        <f>INDEX('Rubro por CUI'!$G$5:$G$460,MATCH("001|2681092",'Rubro por CUI'!$N$5:$N$460,0))</f>
        <v>386035.0</v>
      </c>
      <c r="I256" s="7">
        <f>INDEX('Rubro por CUI'!$H$5:$H$460,MATCH("001|2681092",'Rubro por CUI'!$N$5:$N$460,0))</f>
        <v>0.0</v>
      </c>
      <c r="J256" s="7">
        <f>INDEX('Rubro por CUI'!$I$5:$I$460,MATCH("001|2681092",'Rubro por CUI'!$N$5:$N$460,0))</f>
        <v>0.0</v>
      </c>
      <c r="K256" s="7">
        <f>L256-SUM(F256:J256)</f>
        <v>0.0</v>
      </c>
      <c r="L256" s="7">
        <f>SUMIFS(Base!$I$5:$I$509,Base!$A$5:$A$509,"001",Base!$F$5:$F$509,"2681092")</f>
        <v>386035.0</v>
      </c>
      <c r="M256" s="7">
        <f>D256-E256-L256</f>
        <v>11574769.0</v>
      </c>
      <c r="N256" s="6" t="s">
        <v>63</v>
      </c>
    </row>
    <row r="257" spans="1:14">
      <c r="A257" s="18">
        <v>249</v>
      </c>
      <c r="B257" s="18" t="s">
        <v>1882</v>
      </c>
      <c r="C257" s="6" t="s">
        <v>823</v>
      </c>
      <c r="D257" s="23">
        <v>19875746</v>
      </c>
      <c r="E257" s="23">
        <v>1374454</v>
      </c>
      <c r="F257" s="7">
        <f>INDEX('Rubro por CUI'!$E$5:$E$460,MATCH("001|2159836",'Rubro por CUI'!$N$5:$N$460,0))</f>
        <v>0.0</v>
      </c>
      <c r="G257" s="7">
        <f>INDEX('Rubro por CUI'!$F$5:$F$460,MATCH("001|2159836",'Rubro por CUI'!$N$5:$N$460,0))</f>
        <v>0.0</v>
      </c>
      <c r="H257" s="7">
        <f>INDEX('Rubro por CUI'!$G$5:$G$460,MATCH("001|2159836",'Rubro por CUI'!$N$5:$N$460,0))</f>
        <v>350198.0</v>
      </c>
      <c r="I257" s="7">
        <f>INDEX('Rubro por CUI'!$H$5:$H$460,MATCH("001|2159836",'Rubro por CUI'!$N$5:$N$460,0))</f>
        <v>0.0</v>
      </c>
      <c r="J257" s="7">
        <f>INDEX('Rubro por CUI'!$I$5:$I$460,MATCH("001|2159836",'Rubro por CUI'!$N$5:$N$460,0))</f>
        <v>0.0</v>
      </c>
      <c r="K257" s="7">
        <f>L257-SUM(F257:J257)</f>
        <v>0.0</v>
      </c>
      <c r="L257" s="7">
        <f>SUMIFS(Base!$I$5:$I$509,Base!$A$5:$A$509,"001",Base!$F$5:$F$509,"2159836")</f>
        <v>350198.0</v>
      </c>
      <c r="M257" s="7">
        <f>D257-E257-L257</f>
        <v>18151094.0</v>
      </c>
      <c r="N257" s="6" t="s">
        <v>63</v>
      </c>
    </row>
    <row r="258" spans="1:14">
      <c r="A258" s="18">
        <v>250</v>
      </c>
      <c r="B258" s="18" t="s">
        <v>1883</v>
      </c>
      <c r="C258" s="6" t="s">
        <v>865</v>
      </c>
      <c r="D258" s="23">
        <v>12832745</v>
      </c>
      <c r="E258" s="23">
        <v>349566</v>
      </c>
      <c r="F258" s="7">
        <f>INDEX('Rubro por CUI'!$E$5:$E$460,MATCH("001|2646859",'Rubro por CUI'!$N$5:$N$460,0))</f>
        <v>0.0</v>
      </c>
      <c r="G258" s="7">
        <f>INDEX('Rubro por CUI'!$F$5:$F$460,MATCH("001|2646859",'Rubro por CUI'!$N$5:$N$460,0))</f>
        <v>0.0</v>
      </c>
      <c r="H258" s="7">
        <f>INDEX('Rubro por CUI'!$G$5:$G$460,MATCH("001|2646859",'Rubro por CUI'!$N$5:$N$460,0))</f>
        <v>349206.0</v>
      </c>
      <c r="I258" s="7">
        <f>INDEX('Rubro por CUI'!$H$5:$H$460,MATCH("001|2646859",'Rubro por CUI'!$N$5:$N$460,0))</f>
        <v>0.0</v>
      </c>
      <c r="J258" s="7">
        <f>INDEX('Rubro por CUI'!$I$5:$I$460,MATCH("001|2646859",'Rubro por CUI'!$N$5:$N$460,0))</f>
        <v>0.0</v>
      </c>
      <c r="K258" s="7">
        <f>L258-SUM(F258:J258)</f>
        <v>0.0</v>
      </c>
      <c r="L258" s="7">
        <f>SUMIFS(Base!$I$5:$I$509,Base!$A$5:$A$509,"001",Base!$F$5:$F$509,"2646859")</f>
        <v>349206.0</v>
      </c>
      <c r="M258" s="7">
        <f>D258-E258-L258</f>
        <v>12133973.0</v>
      </c>
      <c r="N258" s="6" t="s">
        <v>63</v>
      </c>
    </row>
    <row r="259" spans="1:14">
      <c r="A259" s="18">
        <v>251</v>
      </c>
      <c r="B259" s="18" t="s">
        <v>1884</v>
      </c>
      <c r="C259" s="6" t="s">
        <v>901</v>
      </c>
      <c r="D259" s="23">
        <v>30472246</v>
      </c>
      <c r="E259" s="23">
        <v>280661</v>
      </c>
      <c r="F259" s="7">
        <f>INDEX('Rubro por CUI'!$E$5:$E$460,MATCH("001|2657159",'Rubro por CUI'!$N$5:$N$460,0))</f>
        <v>0.0</v>
      </c>
      <c r="G259" s="7">
        <f>INDEX('Rubro por CUI'!$F$5:$F$460,MATCH("001|2657159",'Rubro por CUI'!$N$5:$N$460,0))</f>
        <v>0.0</v>
      </c>
      <c r="H259" s="7">
        <f>INDEX('Rubro por CUI'!$G$5:$G$460,MATCH("001|2657159",'Rubro por CUI'!$N$5:$N$460,0))</f>
        <v>330710.0</v>
      </c>
      <c r="I259" s="7">
        <f>INDEX('Rubro por CUI'!$H$5:$H$460,MATCH("001|2657159",'Rubro por CUI'!$N$5:$N$460,0))</f>
        <v>0.0</v>
      </c>
      <c r="J259" s="7">
        <f>INDEX('Rubro por CUI'!$I$5:$I$460,MATCH("001|2657159",'Rubro por CUI'!$N$5:$N$460,0))</f>
        <v>0.0</v>
      </c>
      <c r="K259" s="7">
        <f>L259-SUM(F259:J259)</f>
        <v>0.0</v>
      </c>
      <c r="L259" s="7">
        <f>SUMIFS(Base!$I$5:$I$509,Base!$A$5:$A$509,"001",Base!$F$5:$F$509,"2657159")</f>
        <v>330710.0</v>
      </c>
      <c r="M259" s="7">
        <f>D259-E259-L259</f>
        <v>29860875.0</v>
      </c>
      <c r="N259" s="6" t="s">
        <v>63</v>
      </c>
    </row>
    <row r="260" spans="1:14">
      <c r="A260" s="18">
        <v>252</v>
      </c>
      <c r="B260" s="18" t="s">
        <v>1885</v>
      </c>
      <c r="C260" s="6" t="s">
        <v>859</v>
      </c>
      <c r="D260" s="23">
        <v>288513857</v>
      </c>
      <c r="E260" s="23">
        <v>1411803</v>
      </c>
      <c r="F260" s="7">
        <f>INDEX('Rubro por CUI'!$E$5:$E$460,MATCH("001|2614553",'Rubro por CUI'!$N$5:$N$460,0))</f>
        <v>0.0</v>
      </c>
      <c r="G260" s="7">
        <f>INDEX('Rubro por CUI'!$F$5:$F$460,MATCH("001|2614553",'Rubro por CUI'!$N$5:$N$460,0))</f>
        <v>0.0</v>
      </c>
      <c r="H260" s="7">
        <f>INDEX('Rubro por CUI'!$G$5:$G$460,MATCH("001|2614553",'Rubro por CUI'!$N$5:$N$460,0))</f>
        <v>321536.0</v>
      </c>
      <c r="I260" s="7">
        <f>INDEX('Rubro por CUI'!$H$5:$H$460,MATCH("001|2614553",'Rubro por CUI'!$N$5:$N$460,0))</f>
        <v>0.0</v>
      </c>
      <c r="J260" s="7">
        <f>INDEX('Rubro por CUI'!$I$5:$I$460,MATCH("001|2614553",'Rubro por CUI'!$N$5:$N$460,0))</f>
        <v>0.0</v>
      </c>
      <c r="K260" s="7">
        <f>L260-SUM(F260:J260)</f>
        <v>0.0</v>
      </c>
      <c r="L260" s="7">
        <f>SUMIFS(Base!$I$5:$I$509,Base!$A$5:$A$509,"001",Base!$F$5:$F$509,"2614553")</f>
        <v>321536.0</v>
      </c>
      <c r="M260" s="7">
        <f>D260-E260-L260</f>
        <v>286780518.0</v>
      </c>
      <c r="N260" s="6" t="s">
        <v>63</v>
      </c>
    </row>
    <row r="261" spans="1:14">
      <c r="A261" s="18">
        <v>253</v>
      </c>
      <c r="B261" s="18" t="s">
        <v>1886</v>
      </c>
      <c r="C261" s="6" t="s">
        <v>898</v>
      </c>
      <c r="D261" s="23">
        <v>47156916</v>
      </c>
      <c r="E261" s="23">
        <v>0</v>
      </c>
      <c r="F261" s="7">
        <f>INDEX('Rubro por CUI'!$E$5:$E$460,MATCH("001|2656878",'Rubro por CUI'!$N$5:$N$460,0))</f>
        <v>0.0</v>
      </c>
      <c r="G261" s="7">
        <f>INDEX('Rubro por CUI'!$F$5:$F$460,MATCH("001|2656878",'Rubro por CUI'!$N$5:$N$460,0))</f>
        <v>0.0</v>
      </c>
      <c r="H261" s="7">
        <f>INDEX('Rubro por CUI'!$G$5:$G$460,MATCH("001|2656878",'Rubro por CUI'!$N$5:$N$460,0))</f>
        <v>300000.0</v>
      </c>
      <c r="I261" s="7">
        <f>INDEX('Rubro por CUI'!$H$5:$H$460,MATCH("001|2656878",'Rubro por CUI'!$N$5:$N$460,0))</f>
        <v>0.0</v>
      </c>
      <c r="J261" s="7">
        <f>INDEX('Rubro por CUI'!$I$5:$I$460,MATCH("001|2656878",'Rubro por CUI'!$N$5:$N$460,0))</f>
        <v>0.0</v>
      </c>
      <c r="K261" s="7">
        <f>L261-SUM(F261:J261)</f>
        <v>0.0</v>
      </c>
      <c r="L261" s="7">
        <f>SUMIFS(Base!$I$5:$I$509,Base!$A$5:$A$509,"001",Base!$F$5:$F$509,"2656878")</f>
        <v>300000.0</v>
      </c>
      <c r="M261" s="7">
        <f>D261-E261-L261</f>
        <v>46856916.0</v>
      </c>
      <c r="N261" s="6" t="s">
        <v>63</v>
      </c>
    </row>
    <row r="262" spans="1:14">
      <c r="A262" s="18">
        <v>254</v>
      </c>
      <c r="B262" s="18" t="s">
        <v>1887</v>
      </c>
      <c r="C262" s="6" t="s">
        <v>907</v>
      </c>
      <c r="D262" s="23">
        <v>12562094</v>
      </c>
      <c r="E262" s="23">
        <v>157401</v>
      </c>
      <c r="F262" s="7">
        <f>INDEX('Rubro por CUI'!$E$5:$E$460,MATCH("001|2657867",'Rubro por CUI'!$N$5:$N$460,0))</f>
        <v>0.0</v>
      </c>
      <c r="G262" s="7">
        <f>INDEX('Rubro por CUI'!$F$5:$F$460,MATCH("001|2657867",'Rubro por CUI'!$N$5:$N$460,0))</f>
        <v>0.0</v>
      </c>
      <c r="H262" s="7">
        <f>INDEX('Rubro por CUI'!$G$5:$G$460,MATCH("001|2657867",'Rubro por CUI'!$N$5:$N$460,0))</f>
        <v>278409.0</v>
      </c>
      <c r="I262" s="7">
        <f>INDEX('Rubro por CUI'!$H$5:$H$460,MATCH("001|2657867",'Rubro por CUI'!$N$5:$N$460,0))</f>
        <v>0.0</v>
      </c>
      <c r="J262" s="7">
        <f>INDEX('Rubro por CUI'!$I$5:$I$460,MATCH("001|2657867",'Rubro por CUI'!$N$5:$N$460,0))</f>
        <v>0.0</v>
      </c>
      <c r="K262" s="7">
        <f>L262-SUM(F262:J262)</f>
        <v>0.0</v>
      </c>
      <c r="L262" s="7">
        <f>SUMIFS(Base!$I$5:$I$509,Base!$A$5:$A$509,"001",Base!$F$5:$F$509,"2657867")</f>
        <v>278409.0</v>
      </c>
      <c r="M262" s="7">
        <f>D262-E262-L262</f>
        <v>12126284.0</v>
      </c>
      <c r="N262" s="6" t="s">
        <v>63</v>
      </c>
    </row>
    <row r="263" spans="1:14">
      <c r="A263" s="18">
        <v>255</v>
      </c>
      <c r="B263" s="18" t="s">
        <v>1888</v>
      </c>
      <c r="C263" s="6" t="s">
        <v>922</v>
      </c>
      <c r="D263" s="23">
        <v>17425534</v>
      </c>
      <c r="E263" s="23">
        <v>442535</v>
      </c>
      <c r="F263" s="7">
        <f>INDEX('Rubro por CUI'!$E$5:$E$460,MATCH("001|2670620",'Rubro por CUI'!$N$5:$N$460,0))</f>
        <v>0.0</v>
      </c>
      <c r="G263" s="7">
        <f>INDEX('Rubro por CUI'!$F$5:$F$460,MATCH("001|2670620",'Rubro por CUI'!$N$5:$N$460,0))</f>
        <v>0.0</v>
      </c>
      <c r="H263" s="7">
        <f>INDEX('Rubro por CUI'!$G$5:$G$460,MATCH("001|2670620",'Rubro por CUI'!$N$5:$N$460,0))</f>
        <v>275790.0</v>
      </c>
      <c r="I263" s="7">
        <f>INDEX('Rubro por CUI'!$H$5:$H$460,MATCH("001|2670620",'Rubro por CUI'!$N$5:$N$460,0))</f>
        <v>0.0</v>
      </c>
      <c r="J263" s="7">
        <f>INDEX('Rubro por CUI'!$I$5:$I$460,MATCH("001|2670620",'Rubro por CUI'!$N$5:$N$460,0))</f>
        <v>0.0</v>
      </c>
      <c r="K263" s="7">
        <f>L263-SUM(F263:J263)</f>
        <v>0.0</v>
      </c>
      <c r="L263" s="7">
        <f>SUMIFS(Base!$I$5:$I$509,Base!$A$5:$A$509,"001",Base!$F$5:$F$509,"2670620")</f>
        <v>275790.0</v>
      </c>
      <c r="M263" s="7">
        <f>D263-E263-L263</f>
        <v>16707209.0</v>
      </c>
      <c r="N263" s="6" t="s">
        <v>63</v>
      </c>
    </row>
    <row r="264" spans="1:14">
      <c r="A264" s="18">
        <v>256</v>
      </c>
      <c r="B264" s="18" t="s">
        <v>1889</v>
      </c>
      <c r="C264" s="6" t="s">
        <v>925</v>
      </c>
      <c r="D264" s="23">
        <v>7946142</v>
      </c>
      <c r="E264" s="23">
        <v>26649</v>
      </c>
      <c r="F264" s="7">
        <f>INDEX('Rubro por CUI'!$E$5:$E$460,MATCH("001|2673441",'Rubro por CUI'!$N$5:$N$460,0))</f>
        <v>0.0</v>
      </c>
      <c r="G264" s="7">
        <f>INDEX('Rubro por CUI'!$F$5:$F$460,MATCH("001|2673441",'Rubro por CUI'!$N$5:$N$460,0))</f>
        <v>0.0</v>
      </c>
      <c r="H264" s="7">
        <f>INDEX('Rubro por CUI'!$G$5:$G$460,MATCH("001|2673441",'Rubro por CUI'!$N$5:$N$460,0))</f>
        <v>255799.0</v>
      </c>
      <c r="I264" s="7">
        <f>INDEX('Rubro por CUI'!$H$5:$H$460,MATCH("001|2673441",'Rubro por CUI'!$N$5:$N$460,0))</f>
        <v>0.0</v>
      </c>
      <c r="J264" s="7">
        <f>INDEX('Rubro por CUI'!$I$5:$I$460,MATCH("001|2673441",'Rubro por CUI'!$N$5:$N$460,0))</f>
        <v>0.0</v>
      </c>
      <c r="K264" s="7">
        <f>L264-SUM(F264:J264)</f>
        <v>0.0</v>
      </c>
      <c r="L264" s="7">
        <f>SUMIFS(Base!$I$5:$I$509,Base!$A$5:$A$509,"001",Base!$F$5:$F$509,"2673441")</f>
        <v>255799.0</v>
      </c>
      <c r="M264" s="7">
        <f>D264-E264-L264</f>
        <v>7663694.0</v>
      </c>
      <c r="N264" s="6" t="s">
        <v>63</v>
      </c>
    </row>
    <row r="265" spans="1:14">
      <c r="A265" s="18">
        <v>257</v>
      </c>
      <c r="B265" s="18" t="s">
        <v>1890</v>
      </c>
      <c r="C265" s="6" t="s">
        <v>868</v>
      </c>
      <c r="D265" s="23">
        <v>26304605</v>
      </c>
      <c r="E265" s="23">
        <v>412750</v>
      </c>
      <c r="F265" s="7">
        <f>INDEX('Rubro por CUI'!$E$5:$E$460,MATCH("001|2649221",'Rubro por CUI'!$N$5:$N$460,0))</f>
        <v>0.0</v>
      </c>
      <c r="G265" s="7">
        <f>INDEX('Rubro por CUI'!$F$5:$F$460,MATCH("001|2649221",'Rubro por CUI'!$N$5:$N$460,0))</f>
        <v>0.0</v>
      </c>
      <c r="H265" s="7">
        <f>INDEX('Rubro por CUI'!$G$5:$G$460,MATCH("001|2649221",'Rubro por CUI'!$N$5:$N$460,0))</f>
        <v>239379.0</v>
      </c>
      <c r="I265" s="7">
        <f>INDEX('Rubro por CUI'!$H$5:$H$460,MATCH("001|2649221",'Rubro por CUI'!$N$5:$N$460,0))</f>
        <v>0.0</v>
      </c>
      <c r="J265" s="7">
        <f>INDEX('Rubro por CUI'!$I$5:$I$460,MATCH("001|2649221",'Rubro por CUI'!$N$5:$N$460,0))</f>
        <v>0.0</v>
      </c>
      <c r="K265" s="7">
        <f>L265-SUM(F265:J265)</f>
        <v>0.0</v>
      </c>
      <c r="L265" s="7">
        <f>SUMIFS(Base!$I$5:$I$509,Base!$A$5:$A$509,"001",Base!$F$5:$F$509,"2649221")</f>
        <v>239379.0</v>
      </c>
      <c r="M265" s="7">
        <f>D265-E265-L265</f>
        <v>25652476.0</v>
      </c>
      <c r="N265" s="6" t="s">
        <v>63</v>
      </c>
    </row>
    <row r="266" spans="1:14">
      <c r="A266" s="18">
        <v>258</v>
      </c>
      <c r="B266" s="18" t="s">
        <v>1891</v>
      </c>
      <c r="C266" s="6" t="s">
        <v>862</v>
      </c>
      <c r="D266" s="23">
        <v>40262263</v>
      </c>
      <c r="E266" s="23">
        <v>303847</v>
      </c>
      <c r="F266" s="7">
        <f>INDEX('Rubro por CUI'!$E$5:$E$460,MATCH("001|2645503",'Rubro por CUI'!$N$5:$N$460,0))</f>
        <v>0.0</v>
      </c>
      <c r="G266" s="7">
        <f>INDEX('Rubro por CUI'!$F$5:$F$460,MATCH("001|2645503",'Rubro por CUI'!$N$5:$N$460,0))</f>
        <v>0.0</v>
      </c>
      <c r="H266" s="7">
        <f>INDEX('Rubro por CUI'!$G$5:$G$460,MATCH("001|2645503",'Rubro por CUI'!$N$5:$N$460,0))</f>
        <v>230847.0</v>
      </c>
      <c r="I266" s="7">
        <f>INDEX('Rubro por CUI'!$H$5:$H$460,MATCH("001|2645503",'Rubro por CUI'!$N$5:$N$460,0))</f>
        <v>0.0</v>
      </c>
      <c r="J266" s="7">
        <f>INDEX('Rubro por CUI'!$I$5:$I$460,MATCH("001|2645503",'Rubro por CUI'!$N$5:$N$460,0))</f>
        <v>0.0</v>
      </c>
      <c r="K266" s="7">
        <f>L266-SUM(F266:J266)</f>
        <v>0.0</v>
      </c>
      <c r="L266" s="7">
        <f>SUMIFS(Base!$I$5:$I$509,Base!$A$5:$A$509,"001",Base!$F$5:$F$509,"2645503")</f>
        <v>230847.0</v>
      </c>
      <c r="M266" s="7">
        <f>D266-E266-L266</f>
        <v>39727569.0</v>
      </c>
      <c r="N266" s="6" t="s">
        <v>63</v>
      </c>
    </row>
    <row r="267" spans="1:14">
      <c r="A267" s="18">
        <v>259</v>
      </c>
      <c r="B267" s="18" t="s">
        <v>1892</v>
      </c>
      <c r="C267" s="6" t="s">
        <v>877</v>
      </c>
      <c r="D267" s="23">
        <v>38867840</v>
      </c>
      <c r="E267" s="23">
        <v>513032</v>
      </c>
      <c r="F267" s="7">
        <f>INDEX('Rubro por CUI'!$E$5:$E$460,MATCH("001|2652984",'Rubro por CUI'!$N$5:$N$460,0))</f>
        <v>0.0</v>
      </c>
      <c r="G267" s="7">
        <f>INDEX('Rubro por CUI'!$F$5:$F$460,MATCH("001|2652984",'Rubro por CUI'!$N$5:$N$460,0))</f>
        <v>0.0</v>
      </c>
      <c r="H267" s="7">
        <f>INDEX('Rubro por CUI'!$G$5:$G$460,MATCH("001|2652984",'Rubro por CUI'!$N$5:$N$460,0))</f>
        <v>230550.0</v>
      </c>
      <c r="I267" s="7">
        <f>INDEX('Rubro por CUI'!$H$5:$H$460,MATCH("001|2652984",'Rubro por CUI'!$N$5:$N$460,0))</f>
        <v>0.0</v>
      </c>
      <c r="J267" s="7">
        <f>INDEX('Rubro por CUI'!$I$5:$I$460,MATCH("001|2652984",'Rubro por CUI'!$N$5:$N$460,0))</f>
        <v>0.0</v>
      </c>
      <c r="K267" s="7">
        <f>L267-SUM(F267:J267)</f>
        <v>0.0</v>
      </c>
      <c r="L267" s="7">
        <f>SUMIFS(Base!$I$5:$I$509,Base!$A$5:$A$509,"001",Base!$F$5:$F$509,"2652984")</f>
        <v>230550.0</v>
      </c>
      <c r="M267" s="7">
        <f>D267-E267-L267</f>
        <v>38124258.0</v>
      </c>
      <c r="N267" s="6" t="s">
        <v>63</v>
      </c>
    </row>
    <row r="268" spans="1:14">
      <c r="A268" s="18">
        <v>260</v>
      </c>
      <c r="B268" s="18" t="s">
        <v>1893</v>
      </c>
      <c r="C268" s="6" t="s">
        <v>584</v>
      </c>
      <c r="D268" s="6" t="s">
        <v>69</v>
      </c>
      <c r="E268" s="6" t="s">
        <v>69</v>
      </c>
      <c r="F268" s="7">
        <f>INDEX('Rubro por CUI'!$E$5:$E$460,MATCH("001|2642160",'Rubro por CUI'!$N$5:$N$460,0))</f>
        <v>0.0</v>
      </c>
      <c r="G268" s="7">
        <f>INDEX('Rubro por CUI'!$F$5:$F$460,MATCH("001|2642160",'Rubro por CUI'!$N$5:$N$460,0))</f>
        <v>0.0</v>
      </c>
      <c r="H268" s="7">
        <f>INDEX('Rubro por CUI'!$G$5:$G$460,MATCH("001|2642160",'Rubro por CUI'!$N$5:$N$460,0))</f>
        <v>225183.0</v>
      </c>
      <c r="I268" s="7">
        <f>INDEX('Rubro por CUI'!$H$5:$H$460,MATCH("001|2642160",'Rubro por CUI'!$N$5:$N$460,0))</f>
        <v>0.0</v>
      </c>
      <c r="J268" s="7">
        <f>INDEX('Rubro por CUI'!$I$5:$I$460,MATCH("001|2642160",'Rubro por CUI'!$N$5:$N$460,0))</f>
        <v>0.0</v>
      </c>
      <c r="K268" s="7">
        <f>L268-SUM(F268:J268)</f>
        <v>0.0</v>
      </c>
      <c r="L268" s="7">
        <f>SUMIFS(Base!$I$5:$I$509,Base!$A$5:$A$509,"001",Base!$F$5:$F$509,"2642160")</f>
        <v>225183.0</v>
      </c>
      <c r="M268" s="6" t="s">
        <v>69</v>
      </c>
      <c r="N268" s="6" t="s">
        <v>1634</v>
      </c>
    </row>
    <row r="269" spans="1:14">
      <c r="A269" s="18">
        <v>261</v>
      </c>
      <c r="B269" s="18" t="s">
        <v>1894</v>
      </c>
      <c r="C269" s="6" t="s">
        <v>928</v>
      </c>
      <c r="D269" s="23">
        <v>4020418</v>
      </c>
      <c r="E269" s="23">
        <v>24844</v>
      </c>
      <c r="F269" s="7">
        <f>INDEX('Rubro por CUI'!$E$5:$E$460,MATCH("001|2681264",'Rubro por CUI'!$N$5:$N$460,0))</f>
        <v>0.0</v>
      </c>
      <c r="G269" s="7">
        <f>INDEX('Rubro por CUI'!$F$5:$F$460,MATCH("001|2681264",'Rubro por CUI'!$N$5:$N$460,0))</f>
        <v>0.0</v>
      </c>
      <c r="H269" s="7">
        <f>INDEX('Rubro por CUI'!$G$5:$G$460,MATCH("001|2681264",'Rubro por CUI'!$N$5:$N$460,0))</f>
        <v>222962.0</v>
      </c>
      <c r="I269" s="7">
        <f>INDEX('Rubro por CUI'!$H$5:$H$460,MATCH("001|2681264",'Rubro por CUI'!$N$5:$N$460,0))</f>
        <v>0.0</v>
      </c>
      <c r="J269" s="7">
        <f>INDEX('Rubro por CUI'!$I$5:$I$460,MATCH("001|2681264",'Rubro por CUI'!$N$5:$N$460,0))</f>
        <v>0.0</v>
      </c>
      <c r="K269" s="7">
        <f>L269-SUM(F269:J269)</f>
        <v>0.0</v>
      </c>
      <c r="L269" s="7">
        <f>SUMIFS(Base!$I$5:$I$509,Base!$A$5:$A$509,"001",Base!$F$5:$F$509,"2681264")</f>
        <v>222962.0</v>
      </c>
      <c r="M269" s="7">
        <f>D269-E269-L269</f>
        <v>3772612.0</v>
      </c>
      <c r="N269" s="6" t="s">
        <v>63</v>
      </c>
    </row>
    <row r="270" spans="1:14">
      <c r="A270" s="18">
        <v>262</v>
      </c>
      <c r="B270" s="18" t="s">
        <v>1895</v>
      </c>
      <c r="C270" s="6" t="s">
        <v>593</v>
      </c>
      <c r="D270" s="23">
        <v>3696694</v>
      </c>
      <c r="E270" s="23">
        <v>25811</v>
      </c>
      <c r="F270" s="7">
        <f>INDEX('Rubro por CUI'!$E$5:$E$460,MATCH("001|2692317",'Rubro por CUI'!$N$5:$N$460,0))</f>
        <v>0.0</v>
      </c>
      <c r="G270" s="7">
        <f>INDEX('Rubro por CUI'!$F$5:$F$460,MATCH("001|2692317",'Rubro por CUI'!$N$5:$N$460,0))</f>
        <v>0.0</v>
      </c>
      <c r="H270" s="7">
        <f>INDEX('Rubro por CUI'!$G$5:$G$460,MATCH("001|2692317",'Rubro por CUI'!$N$5:$N$460,0))</f>
        <v>206971.0</v>
      </c>
      <c r="I270" s="7">
        <f>INDEX('Rubro por CUI'!$H$5:$H$460,MATCH("001|2692317",'Rubro por CUI'!$N$5:$N$460,0))</f>
        <v>0.0</v>
      </c>
      <c r="J270" s="7">
        <f>INDEX('Rubro por CUI'!$I$5:$I$460,MATCH("001|2692317",'Rubro por CUI'!$N$5:$N$460,0))</f>
        <v>0.0</v>
      </c>
      <c r="K270" s="7">
        <f>L270-SUM(F270:J270)</f>
        <v>0.0</v>
      </c>
      <c r="L270" s="7">
        <f>SUMIFS(Base!$I$5:$I$509,Base!$A$5:$A$509,"001",Base!$F$5:$F$509,"2692317")</f>
        <v>206971.0</v>
      </c>
      <c r="M270" s="7">
        <f>D270-E270-L270</f>
        <v>3463912.0</v>
      </c>
      <c r="N270" s="6" t="s">
        <v>63</v>
      </c>
    </row>
    <row r="271" spans="1:14">
      <c r="A271" s="18">
        <v>263</v>
      </c>
      <c r="B271" s="18" t="s">
        <v>1896</v>
      </c>
      <c r="C271" s="6" t="s">
        <v>847</v>
      </c>
      <c r="D271" s="23">
        <v>53211356</v>
      </c>
      <c r="E271" s="23">
        <v>703118</v>
      </c>
      <c r="F271" s="7">
        <f>INDEX('Rubro por CUI'!$E$5:$E$460,MATCH("001|2602159",'Rubro por CUI'!$N$5:$N$460,0))</f>
        <v>0.0</v>
      </c>
      <c r="G271" s="7">
        <f>INDEX('Rubro por CUI'!$F$5:$F$460,MATCH("001|2602159",'Rubro por CUI'!$N$5:$N$460,0))</f>
        <v>0.0</v>
      </c>
      <c r="H271" s="7">
        <f>INDEX('Rubro por CUI'!$G$5:$G$460,MATCH("001|2602159",'Rubro por CUI'!$N$5:$N$460,0))</f>
        <v>171047.0</v>
      </c>
      <c r="I271" s="7">
        <f>INDEX('Rubro por CUI'!$H$5:$H$460,MATCH("001|2602159",'Rubro por CUI'!$N$5:$N$460,0))</f>
        <v>0.0</v>
      </c>
      <c r="J271" s="7">
        <f>INDEX('Rubro por CUI'!$I$5:$I$460,MATCH("001|2602159",'Rubro por CUI'!$N$5:$N$460,0))</f>
        <v>0.0</v>
      </c>
      <c r="K271" s="7">
        <f>L271-SUM(F271:J271)</f>
        <v>0.0</v>
      </c>
      <c r="L271" s="7">
        <f>SUMIFS(Base!$I$5:$I$509,Base!$A$5:$A$509,"001",Base!$F$5:$F$509,"2602159")</f>
        <v>171047.0</v>
      </c>
      <c r="M271" s="7">
        <f>D271-E271-L271</f>
        <v>52337191.0</v>
      </c>
      <c r="N271" s="6" t="s">
        <v>63</v>
      </c>
    </row>
    <row r="272" spans="1:14">
      <c r="A272" s="18">
        <v>264</v>
      </c>
      <c r="B272" s="18" t="s">
        <v>1897</v>
      </c>
      <c r="C272" s="6" t="s">
        <v>185</v>
      </c>
      <c r="D272" s="23">
        <v>23767380</v>
      </c>
      <c r="E272" s="23">
        <v>16690778</v>
      </c>
      <c r="F272" s="7">
        <f>INDEX('Rubro por CUI'!$E$5:$E$460,MATCH("001|2375549",'Rubro por CUI'!$N$5:$N$460,0))</f>
        <v>0.0</v>
      </c>
      <c r="G272" s="7">
        <f>INDEX('Rubro por CUI'!$F$5:$F$460,MATCH("001|2375549",'Rubro por CUI'!$N$5:$N$460,0))</f>
        <v>0.0</v>
      </c>
      <c r="H272" s="7">
        <f>INDEX('Rubro por CUI'!$G$5:$G$460,MATCH("001|2375549",'Rubro por CUI'!$N$5:$N$460,0))</f>
        <v>167638.0</v>
      </c>
      <c r="I272" s="7">
        <f>INDEX('Rubro por CUI'!$H$5:$H$460,MATCH("001|2375549",'Rubro por CUI'!$N$5:$N$460,0))</f>
        <v>0.0</v>
      </c>
      <c r="J272" s="7">
        <f>INDEX('Rubro por CUI'!$I$5:$I$460,MATCH("001|2375549",'Rubro por CUI'!$N$5:$N$460,0))</f>
        <v>0.0</v>
      </c>
      <c r="K272" s="7">
        <f>L272-SUM(F272:J272)</f>
        <v>0.0</v>
      </c>
      <c r="L272" s="7">
        <f>SUMIFS(Base!$I$5:$I$509,Base!$A$5:$A$509,"001",Base!$F$5:$F$509,"2375549")</f>
        <v>167638.0</v>
      </c>
      <c r="M272" s="7">
        <f>D272-E272-L272</f>
        <v>6908964.0</v>
      </c>
      <c r="N272" s="6" t="s">
        <v>63</v>
      </c>
    </row>
    <row r="273" spans="1:14">
      <c r="A273" s="18">
        <v>265</v>
      </c>
      <c r="B273" s="18" t="s">
        <v>1898</v>
      </c>
      <c r="C273" s="6" t="s">
        <v>913</v>
      </c>
      <c r="D273" s="23">
        <v>1990091</v>
      </c>
      <c r="E273" s="23">
        <v>67339</v>
      </c>
      <c r="F273" s="7">
        <f>INDEX('Rubro por CUI'!$E$5:$E$460,MATCH("001|2661648",'Rubro por CUI'!$N$5:$N$460,0))</f>
        <v>0.0</v>
      </c>
      <c r="G273" s="7">
        <f>INDEX('Rubro por CUI'!$F$5:$F$460,MATCH("001|2661648",'Rubro por CUI'!$N$5:$N$460,0))</f>
        <v>0.0</v>
      </c>
      <c r="H273" s="7">
        <f>INDEX('Rubro por CUI'!$G$5:$G$460,MATCH("001|2661648",'Rubro por CUI'!$N$5:$N$460,0))</f>
        <v>159651.0</v>
      </c>
      <c r="I273" s="7">
        <f>INDEX('Rubro por CUI'!$H$5:$H$460,MATCH("001|2661648",'Rubro por CUI'!$N$5:$N$460,0))</f>
        <v>0.0</v>
      </c>
      <c r="J273" s="7">
        <f>INDEX('Rubro por CUI'!$I$5:$I$460,MATCH("001|2661648",'Rubro por CUI'!$N$5:$N$460,0))</f>
        <v>0.0</v>
      </c>
      <c r="K273" s="7">
        <f>L273-SUM(F273:J273)</f>
        <v>0.0</v>
      </c>
      <c r="L273" s="7">
        <f>SUMIFS(Base!$I$5:$I$509,Base!$A$5:$A$509,"001",Base!$F$5:$F$509,"2661648")</f>
        <v>159651.0</v>
      </c>
      <c r="M273" s="7">
        <f>D273-E273-L273</f>
        <v>1763101.0</v>
      </c>
      <c r="N273" s="6" t="s">
        <v>63</v>
      </c>
    </row>
    <row r="274" spans="1:14">
      <c r="A274" s="18">
        <v>266</v>
      </c>
      <c r="B274" s="18" t="s">
        <v>1899</v>
      </c>
      <c r="C274" s="6" t="s">
        <v>874</v>
      </c>
      <c r="D274" s="23">
        <v>27451542</v>
      </c>
      <c r="E274" s="23">
        <v>455576</v>
      </c>
      <c r="F274" s="7">
        <f>INDEX('Rubro por CUI'!$E$5:$E$460,MATCH("001|2651271",'Rubro por CUI'!$N$5:$N$460,0))</f>
        <v>0.0</v>
      </c>
      <c r="G274" s="7">
        <f>INDEX('Rubro por CUI'!$F$5:$F$460,MATCH("001|2651271",'Rubro por CUI'!$N$5:$N$460,0))</f>
        <v>0.0</v>
      </c>
      <c r="H274" s="7">
        <f>INDEX('Rubro por CUI'!$G$5:$G$460,MATCH("001|2651271",'Rubro por CUI'!$N$5:$N$460,0))</f>
        <v>141416.0</v>
      </c>
      <c r="I274" s="7">
        <f>INDEX('Rubro por CUI'!$H$5:$H$460,MATCH("001|2651271",'Rubro por CUI'!$N$5:$N$460,0))</f>
        <v>0.0</v>
      </c>
      <c r="J274" s="7">
        <f>INDEX('Rubro por CUI'!$I$5:$I$460,MATCH("001|2651271",'Rubro por CUI'!$N$5:$N$460,0))</f>
        <v>0.0</v>
      </c>
      <c r="K274" s="7">
        <f>L274-SUM(F274:J274)</f>
        <v>0.0</v>
      </c>
      <c r="L274" s="7">
        <f>SUMIFS(Base!$I$5:$I$509,Base!$A$5:$A$509,"001",Base!$F$5:$F$509,"2651271")</f>
        <v>141416.0</v>
      </c>
      <c r="M274" s="7">
        <f>D274-E274-L274</f>
        <v>26854550.0</v>
      </c>
      <c r="N274" s="6" t="s">
        <v>63</v>
      </c>
    </row>
    <row r="275" spans="1:14">
      <c r="A275" s="18">
        <v>267</v>
      </c>
      <c r="B275" s="18" t="s">
        <v>1900</v>
      </c>
      <c r="C275" s="6" t="s">
        <v>871</v>
      </c>
      <c r="D275" s="23">
        <v>19576064</v>
      </c>
      <c r="E275" s="23">
        <v>260505</v>
      </c>
      <c r="F275" s="7">
        <f>INDEX('Rubro por CUI'!$E$5:$E$460,MATCH("001|2651270",'Rubro por CUI'!$N$5:$N$460,0))</f>
        <v>0.0</v>
      </c>
      <c r="G275" s="7">
        <f>INDEX('Rubro por CUI'!$F$5:$F$460,MATCH("001|2651270",'Rubro por CUI'!$N$5:$N$460,0))</f>
        <v>0.0</v>
      </c>
      <c r="H275" s="7">
        <f>INDEX('Rubro por CUI'!$G$5:$G$460,MATCH("001|2651270",'Rubro por CUI'!$N$5:$N$460,0))</f>
        <v>118786.0</v>
      </c>
      <c r="I275" s="7">
        <f>INDEX('Rubro por CUI'!$H$5:$H$460,MATCH("001|2651270",'Rubro por CUI'!$N$5:$N$460,0))</f>
        <v>0.0</v>
      </c>
      <c r="J275" s="7">
        <f>INDEX('Rubro por CUI'!$I$5:$I$460,MATCH("001|2651270",'Rubro por CUI'!$N$5:$N$460,0))</f>
        <v>0.0</v>
      </c>
      <c r="K275" s="7">
        <f>L275-SUM(F275:J275)</f>
        <v>0.0</v>
      </c>
      <c r="L275" s="7">
        <f>SUMIFS(Base!$I$5:$I$509,Base!$A$5:$A$509,"001",Base!$F$5:$F$509,"2651270")</f>
        <v>118786.0</v>
      </c>
      <c r="M275" s="7">
        <f>D275-E275-L275</f>
        <v>19196773.0</v>
      </c>
      <c r="N275" s="6" t="s">
        <v>63</v>
      </c>
    </row>
    <row r="276" spans="1:14">
      <c r="A276" s="18">
        <v>268</v>
      </c>
      <c r="B276" s="18" t="s">
        <v>1901</v>
      </c>
      <c r="C276" s="6" t="s">
        <v>224</v>
      </c>
      <c r="D276" s="23">
        <v>3031531</v>
      </c>
      <c r="E276" s="23">
        <v>2795831</v>
      </c>
      <c r="F276" s="7">
        <f>INDEX('Rubro por CUI'!$E$5:$E$460,MATCH("001|2515272",'Rubro por CUI'!$N$5:$N$460,0))</f>
        <v>0.0</v>
      </c>
      <c r="G276" s="7">
        <f>INDEX('Rubro por CUI'!$F$5:$F$460,MATCH("001|2515272",'Rubro por CUI'!$N$5:$N$460,0))</f>
        <v>0.0</v>
      </c>
      <c r="H276" s="7">
        <f>INDEX('Rubro por CUI'!$G$5:$G$460,MATCH("001|2515272",'Rubro por CUI'!$N$5:$N$460,0))</f>
        <v>105000.0</v>
      </c>
      <c r="I276" s="7">
        <f>INDEX('Rubro por CUI'!$H$5:$H$460,MATCH("001|2515272",'Rubro por CUI'!$N$5:$N$460,0))</f>
        <v>0.0</v>
      </c>
      <c r="J276" s="7">
        <f>INDEX('Rubro por CUI'!$I$5:$I$460,MATCH("001|2515272",'Rubro por CUI'!$N$5:$N$460,0))</f>
        <v>0.0</v>
      </c>
      <c r="K276" s="7">
        <f>L276-SUM(F276:J276)</f>
        <v>0.0</v>
      </c>
      <c r="L276" s="7">
        <f>SUMIFS(Base!$I$5:$I$509,Base!$A$5:$A$509,"001",Base!$F$5:$F$509,"2515272")</f>
        <v>105000.0</v>
      </c>
      <c r="M276" s="7">
        <f>D276-E276-L276</f>
        <v>130700.0</v>
      </c>
      <c r="N276" s="6" t="s">
        <v>63</v>
      </c>
    </row>
    <row r="277" spans="1:14">
      <c r="A277" s="18">
        <v>269</v>
      </c>
      <c r="B277" s="18" t="s">
        <v>1902</v>
      </c>
      <c r="C277" s="6" t="s">
        <v>202</v>
      </c>
      <c r="D277" s="23">
        <v>16107074</v>
      </c>
      <c r="E277" s="23">
        <v>15137769</v>
      </c>
      <c r="F277" s="7">
        <f>INDEX('Rubro por CUI'!$E$5:$E$460,MATCH("001|2514428",'Rubro por CUI'!$N$5:$N$460,0))</f>
        <v>0.0</v>
      </c>
      <c r="G277" s="7">
        <f>INDEX('Rubro por CUI'!$F$5:$F$460,MATCH("001|2514428",'Rubro por CUI'!$N$5:$N$460,0))</f>
        <v>0.0</v>
      </c>
      <c r="H277" s="7">
        <f>INDEX('Rubro por CUI'!$G$5:$G$460,MATCH("001|2514428",'Rubro por CUI'!$N$5:$N$460,0))</f>
        <v>104124.0</v>
      </c>
      <c r="I277" s="7">
        <f>INDEX('Rubro por CUI'!$H$5:$H$460,MATCH("001|2514428",'Rubro por CUI'!$N$5:$N$460,0))</f>
        <v>0.0</v>
      </c>
      <c r="J277" s="7">
        <f>INDEX('Rubro por CUI'!$I$5:$I$460,MATCH("001|2514428",'Rubro por CUI'!$N$5:$N$460,0))</f>
        <v>0.0</v>
      </c>
      <c r="K277" s="7">
        <f>L277-SUM(F277:J277)</f>
        <v>0.0</v>
      </c>
      <c r="L277" s="7">
        <f>SUMIFS(Base!$I$5:$I$509,Base!$A$5:$A$509,"001",Base!$F$5:$F$509,"2514428")</f>
        <v>104124.0</v>
      </c>
      <c r="M277" s="7">
        <f>D277-E277-L277</f>
        <v>865181.0</v>
      </c>
      <c r="N277" s="6" t="s">
        <v>63</v>
      </c>
    </row>
    <row r="278" spans="1:14">
      <c r="A278" s="18">
        <v>270</v>
      </c>
      <c r="B278" s="18" t="s">
        <v>1903</v>
      </c>
      <c r="C278" s="6" t="s">
        <v>892</v>
      </c>
      <c r="D278" s="23">
        <v>6012947</v>
      </c>
      <c r="E278" s="23">
        <v>169827</v>
      </c>
      <c r="F278" s="7">
        <f>INDEX('Rubro por CUI'!$E$5:$E$460,MATCH("001|2655389",'Rubro por CUI'!$N$5:$N$460,0))</f>
        <v>0.0</v>
      </c>
      <c r="G278" s="7">
        <f>INDEX('Rubro por CUI'!$F$5:$F$460,MATCH("001|2655389",'Rubro por CUI'!$N$5:$N$460,0))</f>
        <v>0.0</v>
      </c>
      <c r="H278" s="7">
        <f>INDEX('Rubro por CUI'!$G$5:$G$460,MATCH("001|2655389",'Rubro por CUI'!$N$5:$N$460,0))</f>
        <v>101523.0</v>
      </c>
      <c r="I278" s="7">
        <f>INDEX('Rubro por CUI'!$H$5:$H$460,MATCH("001|2655389",'Rubro por CUI'!$N$5:$N$460,0))</f>
        <v>0.0</v>
      </c>
      <c r="J278" s="7">
        <f>INDEX('Rubro por CUI'!$I$5:$I$460,MATCH("001|2655389",'Rubro por CUI'!$N$5:$N$460,0))</f>
        <v>0.0</v>
      </c>
      <c r="K278" s="7">
        <f>L278-SUM(F278:J278)</f>
        <v>0.0</v>
      </c>
      <c r="L278" s="7">
        <f>SUMIFS(Base!$I$5:$I$509,Base!$A$5:$A$509,"001",Base!$F$5:$F$509,"2655389")</f>
        <v>101523.0</v>
      </c>
      <c r="M278" s="7">
        <f>D278-E278-L278</f>
        <v>5741597.0</v>
      </c>
      <c r="N278" s="6" t="s">
        <v>63</v>
      </c>
    </row>
    <row r="279" spans="1:14">
      <c r="A279" s="18">
        <v>271</v>
      </c>
      <c r="B279" s="18" t="s">
        <v>1904</v>
      </c>
      <c r="C279" s="6" t="s">
        <v>838</v>
      </c>
      <c r="D279" s="23">
        <v>12321269</v>
      </c>
      <c r="E279" s="23">
        <v>306477</v>
      </c>
      <c r="F279" s="7">
        <f>INDEX('Rubro por CUI'!$E$5:$E$460,MATCH("001|2585398",'Rubro por CUI'!$N$5:$N$460,0))</f>
        <v>0.0</v>
      </c>
      <c r="G279" s="7">
        <f>INDEX('Rubro por CUI'!$F$5:$F$460,MATCH("001|2585398",'Rubro por CUI'!$N$5:$N$460,0))</f>
        <v>0.0</v>
      </c>
      <c r="H279" s="7">
        <f>INDEX('Rubro por CUI'!$G$5:$G$460,MATCH("001|2585398",'Rubro por CUI'!$N$5:$N$460,0))</f>
        <v>100000.0</v>
      </c>
      <c r="I279" s="7">
        <f>INDEX('Rubro por CUI'!$H$5:$H$460,MATCH("001|2585398",'Rubro por CUI'!$N$5:$N$460,0))</f>
        <v>0.0</v>
      </c>
      <c r="J279" s="7">
        <f>INDEX('Rubro por CUI'!$I$5:$I$460,MATCH("001|2585398",'Rubro por CUI'!$N$5:$N$460,0))</f>
        <v>0.0</v>
      </c>
      <c r="K279" s="7">
        <f>L279-SUM(F279:J279)</f>
        <v>0.0</v>
      </c>
      <c r="L279" s="7">
        <f>SUMIFS(Base!$I$5:$I$509,Base!$A$5:$A$509,"001",Base!$F$5:$F$509,"2585398")</f>
        <v>100000.0</v>
      </c>
      <c r="M279" s="7">
        <f>D279-E279-L279</f>
        <v>11914792.0</v>
      </c>
      <c r="N279" s="6" t="s">
        <v>63</v>
      </c>
    </row>
    <row r="280" spans="1:14">
      <c r="A280" s="18">
        <v>272</v>
      </c>
      <c r="B280" s="18" t="s">
        <v>1905</v>
      </c>
      <c r="C280" s="6" t="s">
        <v>199</v>
      </c>
      <c r="D280" s="23">
        <v>53741786</v>
      </c>
      <c r="E280" s="23">
        <v>52942428</v>
      </c>
      <c r="F280" s="7">
        <f>INDEX('Rubro por CUI'!$E$5:$E$460,MATCH("001|2195487",'Rubro por CUI'!$N$5:$N$460,0))</f>
        <v>0.0</v>
      </c>
      <c r="G280" s="7">
        <f>INDEX('Rubro por CUI'!$F$5:$F$460,MATCH("001|2195487",'Rubro por CUI'!$N$5:$N$460,0))</f>
        <v>0.0</v>
      </c>
      <c r="H280" s="7">
        <f>INDEX('Rubro por CUI'!$G$5:$G$460,MATCH("001|2195487",'Rubro por CUI'!$N$5:$N$460,0))</f>
        <v>91759.0</v>
      </c>
      <c r="I280" s="7">
        <f>INDEX('Rubro por CUI'!$H$5:$H$460,MATCH("001|2195487",'Rubro por CUI'!$N$5:$N$460,0))</f>
        <v>0.0</v>
      </c>
      <c r="J280" s="7">
        <f>INDEX('Rubro por CUI'!$I$5:$I$460,MATCH("001|2195487",'Rubro por CUI'!$N$5:$N$460,0))</f>
        <v>0.0</v>
      </c>
      <c r="K280" s="7">
        <f>L280-SUM(F280:J280)</f>
        <v>0.0</v>
      </c>
      <c r="L280" s="7">
        <f>SUMIFS(Base!$I$5:$I$509,Base!$A$5:$A$509,"001",Base!$F$5:$F$509,"2195487")</f>
        <v>91759.0</v>
      </c>
      <c r="M280" s="7">
        <f>D280-E280-L280</f>
        <v>707599.0</v>
      </c>
      <c r="N280" s="6" t="s">
        <v>63</v>
      </c>
    </row>
    <row r="281" spans="1:14">
      <c r="A281" s="18">
        <v>273</v>
      </c>
      <c r="B281" s="18" t="s">
        <v>1906</v>
      </c>
      <c r="C281" s="6" t="s">
        <v>603</v>
      </c>
      <c r="D281" s="6" t="s">
        <v>69</v>
      </c>
      <c r="E281" s="6" t="s">
        <v>69</v>
      </c>
      <c r="F281" s="7">
        <f>INDEX('Rubro por CUI'!$E$5:$E$460,MATCH("001|2727299",'Rubro por CUI'!$N$5:$N$460,0))</f>
        <v>0.0</v>
      </c>
      <c r="G281" s="7">
        <f>INDEX('Rubro por CUI'!$F$5:$F$460,MATCH("001|2727299",'Rubro por CUI'!$N$5:$N$460,0))</f>
        <v>0.0</v>
      </c>
      <c r="H281" s="7">
        <f>INDEX('Rubro por CUI'!$G$5:$G$460,MATCH("001|2727299",'Rubro por CUI'!$N$5:$N$460,0))</f>
        <v>75291.0</v>
      </c>
      <c r="I281" s="7">
        <f>INDEX('Rubro por CUI'!$H$5:$H$460,MATCH("001|2727299",'Rubro por CUI'!$N$5:$N$460,0))</f>
        <v>0.0</v>
      </c>
      <c r="J281" s="7">
        <f>INDEX('Rubro por CUI'!$I$5:$I$460,MATCH("001|2727299",'Rubro por CUI'!$N$5:$N$460,0))</f>
        <v>0.0</v>
      </c>
      <c r="K281" s="7">
        <f>L281-SUM(F281:J281)</f>
        <v>0.0</v>
      </c>
      <c r="L281" s="7">
        <f>SUMIFS(Base!$I$5:$I$509,Base!$A$5:$A$509,"001",Base!$F$5:$F$509,"2727299")</f>
        <v>75291.0</v>
      </c>
      <c r="M281" s="6" t="s">
        <v>69</v>
      </c>
      <c r="N281" s="6" t="s">
        <v>1634</v>
      </c>
    </row>
    <row r="282" spans="1:14">
      <c r="A282" s="18">
        <v>274</v>
      </c>
      <c r="B282" s="18" t="s">
        <v>1907</v>
      </c>
      <c r="C282" s="6" t="s">
        <v>221</v>
      </c>
      <c r="D282" s="23">
        <v>109465881</v>
      </c>
      <c r="E282" s="23">
        <v>107073476</v>
      </c>
      <c r="F282" s="7">
        <f>INDEX('Rubro por CUI'!$E$5:$E$460,MATCH("001|2185578",'Rubro por CUI'!$N$5:$N$460,0))</f>
        <v>0.0</v>
      </c>
      <c r="G282" s="7">
        <f>INDEX('Rubro por CUI'!$F$5:$F$460,MATCH("001|2185578",'Rubro por CUI'!$N$5:$N$460,0))</f>
        <v>0.0</v>
      </c>
      <c r="H282" s="7">
        <f>INDEX('Rubro por CUI'!$G$5:$G$460,MATCH("001|2185578",'Rubro por CUI'!$N$5:$N$460,0))</f>
        <v>67139.0</v>
      </c>
      <c r="I282" s="7">
        <f>INDEX('Rubro por CUI'!$H$5:$H$460,MATCH("001|2185578",'Rubro por CUI'!$N$5:$N$460,0))</f>
        <v>0.0</v>
      </c>
      <c r="J282" s="7">
        <f>INDEX('Rubro por CUI'!$I$5:$I$460,MATCH("001|2185578",'Rubro por CUI'!$N$5:$N$460,0))</f>
        <v>0.0</v>
      </c>
      <c r="K282" s="7">
        <f>L282-SUM(F282:J282)</f>
        <v>0.0</v>
      </c>
      <c r="L282" s="7">
        <f>SUMIFS(Base!$I$5:$I$509,Base!$A$5:$A$509,"001",Base!$F$5:$F$509,"2185578")</f>
        <v>67139.0</v>
      </c>
      <c r="M282" s="7">
        <f>D282-E282-L282</f>
        <v>2325266.0</v>
      </c>
      <c r="N282" s="6" t="s">
        <v>63</v>
      </c>
    </row>
    <row r="283" spans="1:14">
      <c r="A283" s="18">
        <v>275</v>
      </c>
      <c r="B283" s="18" t="s">
        <v>1908</v>
      </c>
      <c r="C283" s="6" t="s">
        <v>904</v>
      </c>
      <c r="D283" s="23">
        <v>1329226</v>
      </c>
      <c r="E283" s="23">
        <v>98561</v>
      </c>
      <c r="F283" s="7">
        <f>INDEX('Rubro por CUI'!$E$5:$E$460,MATCH("001|2657484",'Rubro por CUI'!$N$5:$N$460,0))</f>
        <v>0.0</v>
      </c>
      <c r="G283" s="7">
        <f>INDEX('Rubro por CUI'!$F$5:$F$460,MATCH("001|2657484",'Rubro por CUI'!$N$5:$N$460,0))</f>
        <v>0.0</v>
      </c>
      <c r="H283" s="7">
        <f>INDEX('Rubro por CUI'!$G$5:$G$460,MATCH("001|2657484",'Rubro por CUI'!$N$5:$N$460,0))</f>
        <v>50000.0</v>
      </c>
      <c r="I283" s="7">
        <f>INDEX('Rubro por CUI'!$H$5:$H$460,MATCH("001|2657484",'Rubro por CUI'!$N$5:$N$460,0))</f>
        <v>0.0</v>
      </c>
      <c r="J283" s="7">
        <f>INDEX('Rubro por CUI'!$I$5:$I$460,MATCH("001|2657484",'Rubro por CUI'!$N$5:$N$460,0))</f>
        <v>0.0</v>
      </c>
      <c r="K283" s="7">
        <f>L283-SUM(F283:J283)</f>
        <v>0.0</v>
      </c>
      <c r="L283" s="7">
        <f>SUMIFS(Base!$I$5:$I$509,Base!$A$5:$A$509,"001",Base!$F$5:$F$509,"2657484")</f>
        <v>50000.0</v>
      </c>
      <c r="M283" s="7">
        <f>D283-E283-L283</f>
        <v>1180665.0</v>
      </c>
      <c r="N283" s="6" t="s">
        <v>63</v>
      </c>
    </row>
    <row r="284" spans="1:14">
      <c r="A284" s="18">
        <v>276</v>
      </c>
      <c r="B284" s="18" t="s">
        <v>1909</v>
      </c>
      <c r="C284" s="6" t="s">
        <v>600</v>
      </c>
      <c r="D284" s="6" t="s">
        <v>69</v>
      </c>
      <c r="E284" s="6" t="s">
        <v>69</v>
      </c>
      <c r="F284" s="7">
        <f>INDEX('Rubro por CUI'!$E$5:$E$460,MATCH("001|2727133",'Rubro por CUI'!$N$5:$N$460,0))</f>
        <v>0.0</v>
      </c>
      <c r="G284" s="7">
        <f>INDEX('Rubro por CUI'!$F$5:$F$460,MATCH("001|2727133",'Rubro por CUI'!$N$5:$N$460,0))</f>
        <v>0.0</v>
      </c>
      <c r="H284" s="7">
        <f>INDEX('Rubro por CUI'!$G$5:$G$460,MATCH("001|2727133",'Rubro por CUI'!$N$5:$N$460,0))</f>
        <v>40572.0</v>
      </c>
      <c r="I284" s="7">
        <f>INDEX('Rubro por CUI'!$H$5:$H$460,MATCH("001|2727133",'Rubro por CUI'!$N$5:$N$460,0))</f>
        <v>0.0</v>
      </c>
      <c r="J284" s="7">
        <f>INDEX('Rubro por CUI'!$I$5:$I$460,MATCH("001|2727133",'Rubro por CUI'!$N$5:$N$460,0))</f>
        <v>0.0</v>
      </c>
      <c r="K284" s="7">
        <f>L284-SUM(F284:J284)</f>
        <v>0.0</v>
      </c>
      <c r="L284" s="7">
        <f>SUMIFS(Base!$I$5:$I$509,Base!$A$5:$A$509,"001",Base!$F$5:$F$509,"2727133")</f>
        <v>40572.0</v>
      </c>
      <c r="M284" s="6" t="s">
        <v>69</v>
      </c>
      <c r="N284" s="6" t="s">
        <v>1634</v>
      </c>
    </row>
    <row r="285" spans="1:14">
      <c r="A285" s="18">
        <v>277</v>
      </c>
      <c r="B285" s="18" t="s">
        <v>1910</v>
      </c>
      <c r="C285" s="6" t="s">
        <v>228</v>
      </c>
      <c r="D285" s="23">
        <v>13163026</v>
      </c>
      <c r="E285" s="23">
        <v>11523970</v>
      </c>
      <c r="F285" s="7">
        <f>INDEX('Rubro por CUI'!$E$5:$E$460,MATCH("001|2440946",'Rubro por CUI'!$N$5:$N$460,0))</f>
        <v>0.0</v>
      </c>
      <c r="G285" s="7">
        <f>INDEX('Rubro por CUI'!$F$5:$F$460,MATCH("001|2440946",'Rubro por CUI'!$N$5:$N$460,0))</f>
        <v>0.0</v>
      </c>
      <c r="H285" s="7">
        <f>INDEX('Rubro por CUI'!$G$5:$G$460,MATCH("001|2440946",'Rubro por CUI'!$N$5:$N$460,0))</f>
        <v>28752.0</v>
      </c>
      <c r="I285" s="7">
        <f>INDEX('Rubro por CUI'!$H$5:$H$460,MATCH("001|2440946",'Rubro por CUI'!$N$5:$N$460,0))</f>
        <v>0.0</v>
      </c>
      <c r="J285" s="7">
        <f>INDEX('Rubro por CUI'!$I$5:$I$460,MATCH("001|2440946",'Rubro por CUI'!$N$5:$N$460,0))</f>
        <v>0.0</v>
      </c>
      <c r="K285" s="7">
        <f>L285-SUM(F285:J285)</f>
        <v>0.0</v>
      </c>
      <c r="L285" s="7">
        <f>SUMIFS(Base!$I$5:$I$509,Base!$A$5:$A$509,"001",Base!$F$5:$F$509,"2440946")</f>
        <v>28752.0</v>
      </c>
      <c r="M285" s="7">
        <f>D285-E285-L285</f>
        <v>1610304.0</v>
      </c>
      <c r="N285" s="6" t="s">
        <v>63</v>
      </c>
    </row>
    <row r="286" spans="1:14">
      <c r="A286" s="18">
        <v>278</v>
      </c>
      <c r="B286" s="18" t="s">
        <v>1911</v>
      </c>
      <c r="C286" s="6" t="s">
        <v>581</v>
      </c>
      <c r="D286" s="6" t="s">
        <v>69</v>
      </c>
      <c r="E286" s="6" t="s">
        <v>69</v>
      </c>
      <c r="F286" s="7">
        <f>INDEX('Rubro por CUI'!$E$5:$E$460,MATCH("001|2575299",'Rubro por CUI'!$N$5:$N$460,0))</f>
        <v>0.0</v>
      </c>
      <c r="G286" s="7">
        <f>INDEX('Rubro por CUI'!$F$5:$F$460,MATCH("001|2575299",'Rubro por CUI'!$N$5:$N$460,0))</f>
        <v>0.0</v>
      </c>
      <c r="H286" s="7">
        <f>INDEX('Rubro por CUI'!$G$5:$G$460,MATCH("001|2575299",'Rubro por CUI'!$N$5:$N$460,0))</f>
        <v>18371.0</v>
      </c>
      <c r="I286" s="7">
        <f>INDEX('Rubro por CUI'!$H$5:$H$460,MATCH("001|2575299",'Rubro por CUI'!$N$5:$N$460,0))</f>
        <v>0.0</v>
      </c>
      <c r="J286" s="7">
        <f>INDEX('Rubro por CUI'!$I$5:$I$460,MATCH("001|2575299",'Rubro por CUI'!$N$5:$N$460,0))</f>
        <v>0.0</v>
      </c>
      <c r="K286" s="7">
        <f>L286-SUM(F286:J286)</f>
        <v>0.0</v>
      </c>
      <c r="L286" s="7">
        <f>SUMIFS(Base!$I$5:$I$509,Base!$A$5:$A$509,"001",Base!$F$5:$F$509,"2575299")</f>
        <v>18371.0</v>
      </c>
      <c r="M286" s="6" t="s">
        <v>69</v>
      </c>
      <c r="N286" s="6" t="s">
        <v>1634</v>
      </c>
    </row>
    <row r="287" spans="1:14">
      <c r="A287" s="18">
        <v>279</v>
      </c>
      <c r="B287" s="18" t="s">
        <v>1912</v>
      </c>
      <c r="C287" s="6" t="s">
        <v>192</v>
      </c>
      <c r="D287" s="23">
        <v>26078518</v>
      </c>
      <c r="E287" s="23">
        <v>25076854</v>
      </c>
      <c r="F287" s="7">
        <f>INDEX('Rubro por CUI'!$E$5:$E$460,MATCH("001|2475053",'Rubro por CUI'!$N$5:$N$460,0))</f>
        <v>0.0</v>
      </c>
      <c r="G287" s="7">
        <f>INDEX('Rubro por CUI'!$F$5:$F$460,MATCH("001|2475053",'Rubro por CUI'!$N$5:$N$460,0))</f>
        <v>0.0</v>
      </c>
      <c r="H287" s="7">
        <f>INDEX('Rubro por CUI'!$G$5:$G$460,MATCH("001|2475053",'Rubro por CUI'!$N$5:$N$460,0))</f>
        <v>0.0</v>
      </c>
      <c r="I287" s="7">
        <f>INDEX('Rubro por CUI'!$H$5:$H$460,MATCH("001|2475053",'Rubro por CUI'!$N$5:$N$460,0))</f>
        <v>0.0</v>
      </c>
      <c r="J287" s="7">
        <f>INDEX('Rubro por CUI'!$I$5:$I$460,MATCH("001|2475053",'Rubro por CUI'!$N$5:$N$460,0))</f>
        <v>0.0</v>
      </c>
      <c r="K287" s="7">
        <f>L287-SUM(F287:J287)</f>
        <v>0.0</v>
      </c>
      <c r="L287" s="7">
        <f>SUMIFS(Base!$I$5:$I$509,Base!$A$5:$A$509,"001",Base!$F$5:$F$509,"2475053")</f>
        <v>0.0</v>
      </c>
      <c r="M287" s="7">
        <f>D287-E287-L287</f>
        <v>1001664.0</v>
      </c>
      <c r="N287" s="6" t="s">
        <v>63</v>
      </c>
    </row>
    <row r="288" spans="1:14">
      <c r="A288" s="18">
        <v>280</v>
      </c>
      <c r="B288" s="18" t="s">
        <v>1913</v>
      </c>
      <c r="C288" s="6" t="s">
        <v>231</v>
      </c>
      <c r="D288" s="23">
        <v>146754680</v>
      </c>
      <c r="E288" s="23">
        <v>139130806</v>
      </c>
      <c r="F288" s="7">
        <f>INDEX('Rubro por CUI'!$E$5:$E$460,MATCH("001|2055915",'Rubro por CUI'!$N$5:$N$460,0))</f>
        <v>0.0</v>
      </c>
      <c r="G288" s="7">
        <f>INDEX('Rubro por CUI'!$F$5:$F$460,MATCH("001|2055915",'Rubro por CUI'!$N$5:$N$460,0))</f>
        <v>0.0</v>
      </c>
      <c r="H288" s="7">
        <f>INDEX('Rubro por CUI'!$G$5:$G$460,MATCH("001|2055915",'Rubro por CUI'!$N$5:$N$460,0))</f>
        <v>0.0</v>
      </c>
      <c r="I288" s="7">
        <f>INDEX('Rubro por CUI'!$H$5:$H$460,MATCH("001|2055915",'Rubro por CUI'!$N$5:$N$460,0))</f>
        <v>0.0</v>
      </c>
      <c r="J288" s="7">
        <f>INDEX('Rubro por CUI'!$I$5:$I$460,MATCH("001|2055915",'Rubro por CUI'!$N$5:$N$460,0))</f>
        <v>0.0</v>
      </c>
      <c r="K288" s="7">
        <f>L288-SUM(F288:J288)</f>
        <v>0.0</v>
      </c>
      <c r="L288" s="7">
        <f>SUMIFS(Base!$I$5:$I$509,Base!$A$5:$A$509,"001",Base!$F$5:$F$509,"2055915")</f>
        <v>0.0</v>
      </c>
      <c r="M288" s="7">
        <f>D288-E288-L288</f>
        <v>7623874.0</v>
      </c>
      <c r="N288" s="6" t="s">
        <v>63</v>
      </c>
    </row>
    <row r="289" spans="1:14">
      <c r="A289" s="18">
        <v>281</v>
      </c>
      <c r="B289" s="18" t="s">
        <v>1914</v>
      </c>
      <c r="C289" s="6" t="s">
        <v>235</v>
      </c>
      <c r="D289" s="23">
        <v>88546422</v>
      </c>
      <c r="E289" s="23">
        <v>69767864</v>
      </c>
      <c r="F289" s="7">
        <f>INDEX('Rubro por CUI'!$E$5:$E$460,MATCH("001|2131389",'Rubro por CUI'!$N$5:$N$460,0))</f>
        <v>0.0</v>
      </c>
      <c r="G289" s="7">
        <f>INDEX('Rubro por CUI'!$F$5:$F$460,MATCH("001|2131389",'Rubro por CUI'!$N$5:$N$460,0))</f>
        <v>0.0</v>
      </c>
      <c r="H289" s="7">
        <f>INDEX('Rubro por CUI'!$G$5:$G$460,MATCH("001|2131389",'Rubro por CUI'!$N$5:$N$460,0))</f>
        <v>0.0</v>
      </c>
      <c r="I289" s="7">
        <f>INDEX('Rubro por CUI'!$H$5:$H$460,MATCH("001|2131389",'Rubro por CUI'!$N$5:$N$460,0))</f>
        <v>0.0</v>
      </c>
      <c r="J289" s="7">
        <f>INDEX('Rubro por CUI'!$I$5:$I$460,MATCH("001|2131389",'Rubro por CUI'!$N$5:$N$460,0))</f>
        <v>0.0</v>
      </c>
      <c r="K289" s="7">
        <f>L289-SUM(F289:J289)</f>
        <v>0.0</v>
      </c>
      <c r="L289" s="7">
        <f>SUMIFS(Base!$I$5:$I$509,Base!$A$5:$A$509,"001",Base!$F$5:$F$509,"2131389")</f>
        <v>0.0</v>
      </c>
      <c r="M289" s="7">
        <f>D289-E289-L289</f>
        <v>18778558.0</v>
      </c>
      <c r="N289" s="6" t="s">
        <v>63</v>
      </c>
    </row>
    <row r="290" spans="1:14">
      <c r="A290" s="18">
        <v>282</v>
      </c>
      <c r="B290" s="18" t="s">
        <v>1915</v>
      </c>
      <c r="C290" s="6" t="s">
        <v>238</v>
      </c>
      <c r="D290" s="23">
        <v>21452678</v>
      </c>
      <c r="E290" s="23">
        <v>8418074</v>
      </c>
      <c r="F290" s="7">
        <f>INDEX('Rubro por CUI'!$E$5:$E$460,MATCH("001|2232371",'Rubro por CUI'!$N$5:$N$460,0))</f>
        <v>0.0</v>
      </c>
      <c r="G290" s="7">
        <f>INDEX('Rubro por CUI'!$F$5:$F$460,MATCH("001|2232371",'Rubro por CUI'!$N$5:$N$460,0))</f>
        <v>0.0</v>
      </c>
      <c r="H290" s="7">
        <f>INDEX('Rubro por CUI'!$G$5:$G$460,MATCH("001|2232371",'Rubro por CUI'!$N$5:$N$460,0))</f>
        <v>0.0</v>
      </c>
      <c r="I290" s="7">
        <f>INDEX('Rubro por CUI'!$H$5:$H$460,MATCH("001|2232371",'Rubro por CUI'!$N$5:$N$460,0))</f>
        <v>0.0</v>
      </c>
      <c r="J290" s="7">
        <f>INDEX('Rubro por CUI'!$I$5:$I$460,MATCH("001|2232371",'Rubro por CUI'!$N$5:$N$460,0))</f>
        <v>0.0</v>
      </c>
      <c r="K290" s="7">
        <f>L290-SUM(F290:J290)</f>
        <v>0.0</v>
      </c>
      <c r="L290" s="7">
        <f>SUMIFS(Base!$I$5:$I$509,Base!$A$5:$A$509,"001",Base!$F$5:$F$509,"2232371")</f>
        <v>0.0</v>
      </c>
      <c r="M290" s="7">
        <f>D290-E290-L290</f>
        <v>13034604.0</v>
      </c>
      <c r="N290" s="6" t="s">
        <v>63</v>
      </c>
    </row>
    <row r="291" spans="1:14">
      <c r="A291" s="18">
        <v>283</v>
      </c>
      <c r="B291" s="18" t="s">
        <v>1916</v>
      </c>
      <c r="C291" s="6" t="s">
        <v>241</v>
      </c>
      <c r="D291" s="23">
        <v>32049812</v>
      </c>
      <c r="E291" s="23">
        <v>1205306</v>
      </c>
      <c r="F291" s="7">
        <f>INDEX('Rubro por CUI'!$E$5:$E$460,MATCH("001|2443679",'Rubro por CUI'!$N$5:$N$460,0))</f>
        <v>0.0</v>
      </c>
      <c r="G291" s="7">
        <f>INDEX('Rubro por CUI'!$F$5:$F$460,MATCH("001|2443679",'Rubro por CUI'!$N$5:$N$460,0))</f>
        <v>0.0</v>
      </c>
      <c r="H291" s="7">
        <f>INDEX('Rubro por CUI'!$G$5:$G$460,MATCH("001|2443679",'Rubro por CUI'!$N$5:$N$460,0))</f>
        <v>0.0</v>
      </c>
      <c r="I291" s="7">
        <f>INDEX('Rubro por CUI'!$H$5:$H$460,MATCH("001|2443679",'Rubro por CUI'!$N$5:$N$460,0))</f>
        <v>0.0</v>
      </c>
      <c r="J291" s="7">
        <f>INDEX('Rubro por CUI'!$I$5:$I$460,MATCH("001|2443679",'Rubro por CUI'!$N$5:$N$460,0))</f>
        <v>0.0</v>
      </c>
      <c r="K291" s="7">
        <f>L291-SUM(F291:J291)</f>
        <v>0.0</v>
      </c>
      <c r="L291" s="7">
        <f>SUMIFS(Base!$I$5:$I$509,Base!$A$5:$A$509,"001",Base!$F$5:$F$509,"2443679")</f>
        <v>0.0</v>
      </c>
      <c r="M291" s="7">
        <f>D291-E291-L291</f>
        <v>30844506.0</v>
      </c>
      <c r="N291" s="6" t="s">
        <v>63</v>
      </c>
    </row>
    <row r="292" spans="1:14">
      <c r="A292" s="18">
        <v>284</v>
      </c>
      <c r="B292" s="18" t="s">
        <v>1917</v>
      </c>
      <c r="C292" s="6" t="s">
        <v>826</v>
      </c>
      <c r="D292" s="23">
        <v>758645</v>
      </c>
      <c r="E292" s="23">
        <v>190710</v>
      </c>
      <c r="F292" s="7">
        <f>INDEX('Rubro por CUI'!$E$5:$E$460,MATCH("001|2185111",'Rubro por CUI'!$N$5:$N$460,0))</f>
        <v>0.0</v>
      </c>
      <c r="G292" s="7">
        <f>INDEX('Rubro por CUI'!$F$5:$F$460,MATCH("001|2185111",'Rubro por CUI'!$N$5:$N$460,0))</f>
        <v>0.0</v>
      </c>
      <c r="H292" s="7">
        <f>INDEX('Rubro por CUI'!$G$5:$G$460,MATCH("001|2185111",'Rubro por CUI'!$N$5:$N$460,0))</f>
        <v>0.0</v>
      </c>
      <c r="I292" s="7">
        <f>INDEX('Rubro por CUI'!$H$5:$H$460,MATCH("001|2185111",'Rubro por CUI'!$N$5:$N$460,0))</f>
        <v>0.0</v>
      </c>
      <c r="J292" s="7">
        <f>INDEX('Rubro por CUI'!$I$5:$I$460,MATCH("001|2185111",'Rubro por CUI'!$N$5:$N$460,0))</f>
        <v>0.0</v>
      </c>
      <c r="K292" s="7">
        <f>L292-SUM(F292:J292)</f>
        <v>0.0</v>
      </c>
      <c r="L292" s="7">
        <f>SUMIFS(Base!$I$5:$I$509,Base!$A$5:$A$509,"001",Base!$F$5:$F$509,"2185111")</f>
        <v>0.0</v>
      </c>
      <c r="M292" s="7">
        <f>D292-E292-L292</f>
        <v>567935.0</v>
      </c>
      <c r="N292" s="6" t="s">
        <v>63</v>
      </c>
    </row>
    <row r="293" spans="1:14">
      <c r="A293" s="18">
        <v>285</v>
      </c>
      <c r="B293" s="18" t="s">
        <v>1918</v>
      </c>
      <c r="C293" s="6" t="s">
        <v>829</v>
      </c>
      <c r="D293" s="6" t="s">
        <v>69</v>
      </c>
      <c r="E293" s="6" t="s">
        <v>69</v>
      </c>
      <c r="F293" s="7">
        <f>INDEX('Rubro por CUI'!$E$5:$E$460,MATCH("001|2338085",'Rubro por CUI'!$N$5:$N$460,0))</f>
        <v>0.0</v>
      </c>
      <c r="G293" s="7">
        <f>INDEX('Rubro por CUI'!$F$5:$F$460,MATCH("001|2338085",'Rubro por CUI'!$N$5:$N$460,0))</f>
        <v>0.0</v>
      </c>
      <c r="H293" s="7">
        <f>INDEX('Rubro por CUI'!$G$5:$G$460,MATCH("001|2338085",'Rubro por CUI'!$N$5:$N$460,0))</f>
        <v>0.0</v>
      </c>
      <c r="I293" s="7">
        <f>INDEX('Rubro por CUI'!$H$5:$H$460,MATCH("001|2338085",'Rubro por CUI'!$N$5:$N$460,0))</f>
        <v>0.0</v>
      </c>
      <c r="J293" s="7">
        <f>INDEX('Rubro por CUI'!$I$5:$I$460,MATCH("001|2338085",'Rubro por CUI'!$N$5:$N$460,0))</f>
        <v>0.0</v>
      </c>
      <c r="K293" s="7">
        <f>L293-SUM(F293:J293)</f>
        <v>0.0</v>
      </c>
      <c r="L293" s="7">
        <f>SUMIFS(Base!$I$5:$I$509,Base!$A$5:$A$509,"001",Base!$F$5:$F$509,"2338085")</f>
        <v>0.0</v>
      </c>
      <c r="M293" s="6" t="s">
        <v>69</v>
      </c>
      <c r="N293" s="6" t="s">
        <v>1634</v>
      </c>
    </row>
    <row r="294" spans="1:14">
      <c r="A294" s="18">
        <v>286</v>
      </c>
      <c r="B294" s="18" t="s">
        <v>1515</v>
      </c>
      <c r="C294" s="6" t="s">
        <v>832</v>
      </c>
      <c r="D294" s="23">
        <v>44171552</v>
      </c>
      <c r="E294" s="23">
        <v>1665439</v>
      </c>
      <c r="F294" s="7">
        <f>INDEX('Rubro por CUI'!$E$5:$E$460,MATCH("001|2316291",'Rubro por CUI'!$N$5:$N$460,0))</f>
        <v>0.0</v>
      </c>
      <c r="G294" s="7">
        <f>INDEX('Rubro por CUI'!$F$5:$F$460,MATCH("001|2316291",'Rubro por CUI'!$N$5:$N$460,0))</f>
        <v>0.0</v>
      </c>
      <c r="H294" s="7">
        <f>INDEX('Rubro por CUI'!$G$5:$G$460,MATCH("001|2316291",'Rubro por CUI'!$N$5:$N$460,0))</f>
        <v>0.0</v>
      </c>
      <c r="I294" s="7">
        <f>INDEX('Rubro por CUI'!$H$5:$H$460,MATCH("001|2316291",'Rubro por CUI'!$N$5:$N$460,0))</f>
        <v>0.0</v>
      </c>
      <c r="J294" s="7">
        <f>INDEX('Rubro por CUI'!$I$5:$I$460,MATCH("001|2316291",'Rubro por CUI'!$N$5:$N$460,0))</f>
        <v>0.0</v>
      </c>
      <c r="K294" s="7">
        <f>L294-SUM(F294:J294)</f>
        <v>0.0</v>
      </c>
      <c r="L294" s="7">
        <f>SUMIFS(Base!$I$5:$I$509,Base!$A$5:$A$509,"001",Base!$F$5:$F$509,"2316291")</f>
        <v>0.0</v>
      </c>
      <c r="M294" s="7">
        <f>D294-E294-L294</f>
        <v>42506113.0</v>
      </c>
      <c r="N294" s="6" t="s">
        <v>63</v>
      </c>
    </row>
    <row r="295" spans="1:14">
      <c r="A295" s="18">
        <v>287</v>
      </c>
      <c r="B295" s="18" t="s">
        <v>1919</v>
      </c>
      <c r="C295" s="6" t="s">
        <v>835</v>
      </c>
      <c r="D295" s="23">
        <v>79820259</v>
      </c>
      <c r="E295" s="23">
        <v>3285272</v>
      </c>
      <c r="F295" s="7">
        <f>INDEX('Rubro por CUI'!$E$5:$E$460,MATCH("001|2470024",'Rubro por CUI'!$N$5:$N$460,0))</f>
        <v>0.0</v>
      </c>
      <c r="G295" s="7">
        <f>INDEX('Rubro por CUI'!$F$5:$F$460,MATCH("001|2470024",'Rubro por CUI'!$N$5:$N$460,0))</f>
        <v>0.0</v>
      </c>
      <c r="H295" s="7">
        <f>INDEX('Rubro por CUI'!$G$5:$G$460,MATCH("001|2470024",'Rubro por CUI'!$N$5:$N$460,0))</f>
        <v>0.0</v>
      </c>
      <c r="I295" s="7">
        <f>INDEX('Rubro por CUI'!$H$5:$H$460,MATCH("001|2470024",'Rubro por CUI'!$N$5:$N$460,0))</f>
        <v>0.0</v>
      </c>
      <c r="J295" s="7">
        <f>INDEX('Rubro por CUI'!$I$5:$I$460,MATCH("001|2470024",'Rubro por CUI'!$N$5:$N$460,0))</f>
        <v>0.0</v>
      </c>
      <c r="K295" s="7">
        <f>L295-SUM(F295:J295)</f>
        <v>0.0</v>
      </c>
      <c r="L295" s="7">
        <f>SUMIFS(Base!$I$5:$I$509,Base!$A$5:$A$509,"001",Base!$F$5:$F$509,"2470024")</f>
        <v>0.0</v>
      </c>
      <c r="M295" s="7">
        <f>D295-E295-L295</f>
        <v>76534987.0</v>
      </c>
      <c r="N295" s="6" t="s">
        <v>63</v>
      </c>
    </row>
    <row r="296" spans="1:14">
      <c r="A296" s="18">
        <v>288</v>
      </c>
      <c r="B296" s="18" t="s">
        <v>1920</v>
      </c>
      <c r="C296" s="6" t="s">
        <v>844</v>
      </c>
      <c r="D296" s="23">
        <v>21013574</v>
      </c>
      <c r="E296" s="23">
        <v>400441</v>
      </c>
      <c r="F296" s="7">
        <f>INDEX('Rubro por CUI'!$E$5:$E$460,MATCH("001|2591732",'Rubro por CUI'!$N$5:$N$460,0))</f>
        <v>0.0</v>
      </c>
      <c r="G296" s="7">
        <f>INDEX('Rubro por CUI'!$F$5:$F$460,MATCH("001|2591732",'Rubro por CUI'!$N$5:$N$460,0))</f>
        <v>0.0</v>
      </c>
      <c r="H296" s="7">
        <f>INDEX('Rubro por CUI'!$G$5:$G$460,MATCH("001|2591732",'Rubro por CUI'!$N$5:$N$460,0))</f>
        <v>0.0</v>
      </c>
      <c r="I296" s="7">
        <f>INDEX('Rubro por CUI'!$H$5:$H$460,MATCH("001|2591732",'Rubro por CUI'!$N$5:$N$460,0))</f>
        <v>0.0</v>
      </c>
      <c r="J296" s="7">
        <f>INDEX('Rubro por CUI'!$I$5:$I$460,MATCH("001|2591732",'Rubro por CUI'!$N$5:$N$460,0))</f>
        <v>0.0</v>
      </c>
      <c r="K296" s="7">
        <f>L296-SUM(F296:J296)</f>
        <v>0.0</v>
      </c>
      <c r="L296" s="7">
        <f>SUMIFS(Base!$I$5:$I$509,Base!$A$5:$A$509,"001",Base!$F$5:$F$509,"2591732")</f>
        <v>0.0</v>
      </c>
      <c r="M296" s="7">
        <f>D296-E296-L296</f>
        <v>20613133.0</v>
      </c>
      <c r="N296" s="6" t="s">
        <v>63</v>
      </c>
    </row>
    <row r="297" spans="1:14">
      <c r="A297" s="18">
        <v>289</v>
      </c>
      <c r="B297" s="18" t="s">
        <v>1921</v>
      </c>
      <c r="C297" s="6" t="s">
        <v>883</v>
      </c>
      <c r="D297" s="23">
        <v>35219188</v>
      </c>
      <c r="E297" s="23">
        <v>0</v>
      </c>
      <c r="F297" s="7">
        <f>INDEX('Rubro por CUI'!$E$5:$E$460,MATCH("001|2653926",'Rubro por CUI'!$N$5:$N$460,0))</f>
        <v>0.0</v>
      </c>
      <c r="G297" s="7">
        <f>INDEX('Rubro por CUI'!$F$5:$F$460,MATCH("001|2653926",'Rubro por CUI'!$N$5:$N$460,0))</f>
        <v>0.0</v>
      </c>
      <c r="H297" s="7">
        <f>INDEX('Rubro por CUI'!$G$5:$G$460,MATCH("001|2653926",'Rubro por CUI'!$N$5:$N$460,0))</f>
        <v>0.0</v>
      </c>
      <c r="I297" s="7">
        <f>INDEX('Rubro por CUI'!$H$5:$H$460,MATCH("001|2653926",'Rubro por CUI'!$N$5:$N$460,0))</f>
        <v>0.0</v>
      </c>
      <c r="J297" s="7">
        <f>INDEX('Rubro por CUI'!$I$5:$I$460,MATCH("001|2653926",'Rubro por CUI'!$N$5:$N$460,0))</f>
        <v>0.0</v>
      </c>
      <c r="K297" s="7">
        <f>L297-SUM(F297:J297)</f>
        <v>0.0</v>
      </c>
      <c r="L297" s="7">
        <f>SUMIFS(Base!$I$5:$I$509,Base!$A$5:$A$509,"001",Base!$F$5:$F$509,"2653926")</f>
        <v>0.0</v>
      </c>
      <c r="M297" s="7">
        <f>D297-E297-L297</f>
        <v>35219188.0</v>
      </c>
      <c r="N297" s="6" t="s">
        <v>63</v>
      </c>
    </row>
    <row r="298" spans="1:14">
      <c r="A298" s="18">
        <v>290</v>
      </c>
      <c r="B298" s="18" t="s">
        <v>1922</v>
      </c>
      <c r="C298" s="6" t="s">
        <v>895</v>
      </c>
      <c r="D298" s="23">
        <v>58206330</v>
      </c>
      <c r="E298" s="23">
        <v>0</v>
      </c>
      <c r="F298" s="7">
        <f>INDEX('Rubro por CUI'!$E$5:$E$460,MATCH("001|2656599",'Rubro por CUI'!$N$5:$N$460,0))</f>
        <v>0.0</v>
      </c>
      <c r="G298" s="7">
        <f>INDEX('Rubro por CUI'!$F$5:$F$460,MATCH("001|2656599",'Rubro por CUI'!$N$5:$N$460,0))</f>
        <v>0.0</v>
      </c>
      <c r="H298" s="7">
        <f>INDEX('Rubro por CUI'!$G$5:$G$460,MATCH("001|2656599",'Rubro por CUI'!$N$5:$N$460,0))</f>
        <v>0.0</v>
      </c>
      <c r="I298" s="7">
        <f>INDEX('Rubro por CUI'!$H$5:$H$460,MATCH("001|2656599",'Rubro por CUI'!$N$5:$N$460,0))</f>
        <v>0.0</v>
      </c>
      <c r="J298" s="7">
        <f>INDEX('Rubro por CUI'!$I$5:$I$460,MATCH("001|2656599",'Rubro por CUI'!$N$5:$N$460,0))</f>
        <v>0.0</v>
      </c>
      <c r="K298" s="7">
        <f>L298-SUM(F298:J298)</f>
        <v>0.0</v>
      </c>
      <c r="L298" s="7">
        <f>SUMIFS(Base!$I$5:$I$509,Base!$A$5:$A$509,"001",Base!$F$5:$F$509,"2656599")</f>
        <v>0.0</v>
      </c>
      <c r="M298" s="7">
        <f>D298-E298-L298</f>
        <v>58206330.0</v>
      </c>
      <c r="N298" s="6" t="s">
        <v>63</v>
      </c>
    </row>
    <row r="299" spans="1:14">
      <c r="A299" s="18">
        <v>291</v>
      </c>
      <c r="B299" s="18" t="s">
        <v>1923</v>
      </c>
      <c r="C299" s="6" t="s">
        <v>919</v>
      </c>
      <c r="D299" s="23">
        <v>70711709</v>
      </c>
      <c r="E299" s="23">
        <v>0</v>
      </c>
      <c r="F299" s="7">
        <f>INDEX('Rubro por CUI'!$E$5:$E$460,MATCH("001|2666182",'Rubro por CUI'!$N$5:$N$460,0))</f>
        <v>0.0</v>
      </c>
      <c r="G299" s="7">
        <f>INDEX('Rubro por CUI'!$F$5:$F$460,MATCH("001|2666182",'Rubro por CUI'!$N$5:$N$460,0))</f>
        <v>0.0</v>
      </c>
      <c r="H299" s="7">
        <f>INDEX('Rubro por CUI'!$G$5:$G$460,MATCH("001|2666182",'Rubro por CUI'!$N$5:$N$460,0))</f>
        <v>0.0</v>
      </c>
      <c r="I299" s="7">
        <f>INDEX('Rubro por CUI'!$H$5:$H$460,MATCH("001|2666182",'Rubro por CUI'!$N$5:$N$460,0))</f>
        <v>0.0</v>
      </c>
      <c r="J299" s="7">
        <f>INDEX('Rubro por CUI'!$I$5:$I$460,MATCH("001|2666182",'Rubro por CUI'!$N$5:$N$460,0))</f>
        <v>0.0</v>
      </c>
      <c r="K299" s="7">
        <f>L299-SUM(F299:J299)</f>
        <v>0.0</v>
      </c>
      <c r="L299" s="7">
        <f>SUMIFS(Base!$I$5:$I$509,Base!$A$5:$A$509,"001",Base!$F$5:$F$509,"2666182")</f>
        <v>0.0</v>
      </c>
      <c r="M299" s="7">
        <f>D299-E299-L299</f>
        <v>70711709.0</v>
      </c>
      <c r="N299" s="6" t="s">
        <v>63</v>
      </c>
    </row>
    <row r="300" spans="1:14">
      <c r="A300" s="15" t="s">
        <v>242</v>
      </c>
      <c r="B300" s="15"/>
      <c r="C300" s="15"/>
      <c r="D300" s="16">
        <f>SUM(D301:D319)</f>
        <v>347938229.0</v>
      </c>
      <c r="E300" s="16">
        <f>SUM(E301:E319)</f>
        <v>140759543.0</v>
      </c>
      <c r="F300" s="16">
        <f>SUM(F301:F319)</f>
        <v>19217.0</v>
      </c>
      <c r="G300" s="16">
        <f>SUM(G301:G319)</f>
        <v>0.0</v>
      </c>
      <c r="H300" s="16">
        <f>SUM(H301:H319)</f>
        <v>42144768.0</v>
      </c>
      <c r="I300" s="16">
        <f>SUM(I301:I319)</f>
        <v>0.0</v>
      </c>
      <c r="J300" s="16">
        <f>SUM(J301:J319)</f>
        <v>0.0</v>
      </c>
      <c r="K300" s="16">
        <f>SUM(K301:K319)</f>
        <v>0.0</v>
      </c>
      <c r="L300" s="16">
        <f>SUM(L301:L319)</f>
        <v>42163985.0</v>
      </c>
      <c r="M300" s="16">
        <f>SUM(M301:M319)</f>
        <v>166283918.0</v>
      </c>
      <c r="N300" s="15"/>
    </row>
    <row r="301" spans="1:14">
      <c r="A301" s="18">
        <v>292</v>
      </c>
      <c r="B301" s="18" t="s">
        <v>1924</v>
      </c>
      <c r="C301" s="6" t="s">
        <v>472</v>
      </c>
      <c r="D301" s="23">
        <v>24641914</v>
      </c>
      <c r="E301" s="23">
        <v>450039</v>
      </c>
      <c r="F301" s="7">
        <f>INDEX('Rubro por CUI'!$E$5:$E$460,MATCH("001|2292669",'Rubro por CUI'!$N$5:$N$460,0))</f>
        <v>0.0</v>
      </c>
      <c r="G301" s="7">
        <f>INDEX('Rubro por CUI'!$F$5:$F$460,MATCH("001|2292669",'Rubro por CUI'!$N$5:$N$460,0))</f>
        <v>0.0</v>
      </c>
      <c r="H301" s="7">
        <f>INDEX('Rubro por CUI'!$G$5:$G$460,MATCH("001|2292669",'Rubro por CUI'!$N$5:$N$460,0))</f>
        <v>6912542.0</v>
      </c>
      <c r="I301" s="7">
        <f>INDEX('Rubro por CUI'!$H$5:$H$460,MATCH("001|2292669",'Rubro por CUI'!$N$5:$N$460,0))</f>
        <v>0.0</v>
      </c>
      <c r="J301" s="7">
        <f>INDEX('Rubro por CUI'!$I$5:$I$460,MATCH("001|2292669",'Rubro por CUI'!$N$5:$N$460,0))</f>
        <v>0.0</v>
      </c>
      <c r="K301" s="7">
        <f>L301-SUM(F301:J301)</f>
        <v>0.0</v>
      </c>
      <c r="L301" s="7">
        <f>SUMIFS(Base!$I$5:$I$509,Base!$A$5:$A$509,"001",Base!$F$5:$F$509,"2292669")</f>
        <v>6912542.0</v>
      </c>
      <c r="M301" s="7">
        <f>D301-E301-L301</f>
        <v>17279333.0</v>
      </c>
      <c r="N301" s="6" t="s">
        <v>63</v>
      </c>
    </row>
    <row r="302" spans="1:14">
      <c r="A302" s="18">
        <v>293</v>
      </c>
      <c r="B302" s="18" t="s">
        <v>1925</v>
      </c>
      <c r="C302" s="6" t="s">
        <v>248</v>
      </c>
      <c r="D302" s="23">
        <v>54441576</v>
      </c>
      <c r="E302" s="23">
        <v>44799150</v>
      </c>
      <c r="F302" s="7">
        <f>INDEX('Rubro por CUI'!$E$5:$E$460,MATCH("001|2188542",'Rubro por CUI'!$N$5:$N$460,0))</f>
        <v>0.0</v>
      </c>
      <c r="G302" s="7">
        <f>INDEX('Rubro por CUI'!$F$5:$F$460,MATCH("001|2188542",'Rubro por CUI'!$N$5:$N$460,0))</f>
        <v>0.0</v>
      </c>
      <c r="H302" s="7">
        <f>INDEX('Rubro por CUI'!$G$5:$G$460,MATCH("001|2188542",'Rubro por CUI'!$N$5:$N$460,0))</f>
        <v>5921783.0</v>
      </c>
      <c r="I302" s="7">
        <f>INDEX('Rubro por CUI'!$H$5:$H$460,MATCH("001|2188542",'Rubro por CUI'!$N$5:$N$460,0))</f>
        <v>0.0</v>
      </c>
      <c r="J302" s="7">
        <f>INDEX('Rubro por CUI'!$I$5:$I$460,MATCH("001|2188542",'Rubro por CUI'!$N$5:$N$460,0))</f>
        <v>0.0</v>
      </c>
      <c r="K302" s="7">
        <f>L302-SUM(F302:J302)</f>
        <v>0.0</v>
      </c>
      <c r="L302" s="7">
        <f>SUMIFS(Base!$I$5:$I$509,Base!$A$5:$A$509,"001",Base!$F$5:$F$509,"2188542")</f>
        <v>5921783.0</v>
      </c>
      <c r="M302" s="7">
        <f>D302-E302-L302</f>
        <v>3720643.0</v>
      </c>
      <c r="N302" s="6" t="s">
        <v>63</v>
      </c>
    </row>
    <row r="303" spans="1:14">
      <c r="A303" s="18">
        <v>294</v>
      </c>
      <c r="B303" s="18" t="s">
        <v>1926</v>
      </c>
      <c r="C303" s="6" t="s">
        <v>245</v>
      </c>
      <c r="D303" s="23">
        <v>35568824</v>
      </c>
      <c r="E303" s="23">
        <v>22846515</v>
      </c>
      <c r="F303" s="7">
        <f>INDEX('Rubro por CUI'!$E$5:$E$460,MATCH("001|2163853",'Rubro por CUI'!$N$5:$N$460,0))</f>
        <v>0.0</v>
      </c>
      <c r="G303" s="7">
        <f>INDEX('Rubro por CUI'!$F$5:$F$460,MATCH("001|2163853",'Rubro por CUI'!$N$5:$N$460,0))</f>
        <v>0.0</v>
      </c>
      <c r="H303" s="7">
        <f>INDEX('Rubro por CUI'!$G$5:$G$460,MATCH("001|2163853",'Rubro por CUI'!$N$5:$N$460,0))</f>
        <v>5810277.0</v>
      </c>
      <c r="I303" s="7">
        <f>INDEX('Rubro por CUI'!$H$5:$H$460,MATCH("001|2163853",'Rubro por CUI'!$N$5:$N$460,0))</f>
        <v>0.0</v>
      </c>
      <c r="J303" s="7">
        <f>INDEX('Rubro por CUI'!$I$5:$I$460,MATCH("001|2163853",'Rubro por CUI'!$N$5:$N$460,0))</f>
        <v>0.0</v>
      </c>
      <c r="K303" s="7">
        <f>L303-SUM(F303:J303)</f>
        <v>0.0</v>
      </c>
      <c r="L303" s="7">
        <f>SUMIFS(Base!$I$5:$I$509,Base!$A$5:$A$509,"001",Base!$F$5:$F$509,"2163853")</f>
        <v>5810277.0</v>
      </c>
      <c r="M303" s="7">
        <f>D303-E303-L303</f>
        <v>6912032.0</v>
      </c>
      <c r="N303" s="6" t="s">
        <v>63</v>
      </c>
    </row>
    <row r="304" spans="1:14">
      <c r="A304" s="18">
        <v>295</v>
      </c>
      <c r="B304" s="18" t="s">
        <v>1927</v>
      </c>
      <c r="C304" s="6" t="s">
        <v>400</v>
      </c>
      <c r="D304" s="23">
        <v>7636099</v>
      </c>
      <c r="E304" s="23">
        <v>112934</v>
      </c>
      <c r="F304" s="7">
        <f>INDEX('Rubro por CUI'!$E$5:$E$460,MATCH("001|2646109",'Rubro por CUI'!$N$5:$N$460,0))</f>
        <v>0.0</v>
      </c>
      <c r="G304" s="7">
        <f>INDEX('Rubro por CUI'!$F$5:$F$460,MATCH("001|2646109",'Rubro por CUI'!$N$5:$N$460,0))</f>
        <v>0.0</v>
      </c>
      <c r="H304" s="7">
        <f>INDEX('Rubro por CUI'!$G$5:$G$460,MATCH("001|2646109",'Rubro por CUI'!$N$5:$N$460,0))</f>
        <v>4474004.0</v>
      </c>
      <c r="I304" s="7">
        <f>INDEX('Rubro por CUI'!$H$5:$H$460,MATCH("001|2646109",'Rubro por CUI'!$N$5:$N$460,0))</f>
        <v>0.0</v>
      </c>
      <c r="J304" s="7">
        <f>INDEX('Rubro por CUI'!$I$5:$I$460,MATCH("001|2646109",'Rubro por CUI'!$N$5:$N$460,0))</f>
        <v>0.0</v>
      </c>
      <c r="K304" s="7">
        <f>L304-SUM(F304:J304)</f>
        <v>0.0</v>
      </c>
      <c r="L304" s="7">
        <f>SUMIFS(Base!$I$5:$I$509,Base!$A$5:$A$509,"001",Base!$F$5:$F$509,"2646109")</f>
        <v>4474004.0</v>
      </c>
      <c r="M304" s="7">
        <f>D304-E304-L304</f>
        <v>3049161.0</v>
      </c>
      <c r="N304" s="6" t="s">
        <v>63</v>
      </c>
    </row>
    <row r="305" spans="1:14">
      <c r="A305" s="18">
        <v>296</v>
      </c>
      <c r="B305" s="18" t="s">
        <v>1928</v>
      </c>
      <c r="C305" s="6" t="s">
        <v>475</v>
      </c>
      <c r="D305" s="23">
        <v>5313824</v>
      </c>
      <c r="E305" s="23">
        <v>122835</v>
      </c>
      <c r="F305" s="7">
        <f>INDEX('Rubro por CUI'!$E$5:$E$460,MATCH("001|2645376",'Rubro por CUI'!$N$5:$N$460,0))</f>
        <v>0.0</v>
      </c>
      <c r="G305" s="7">
        <f>INDEX('Rubro por CUI'!$F$5:$F$460,MATCH("001|2645376",'Rubro por CUI'!$N$5:$N$460,0))</f>
        <v>0.0</v>
      </c>
      <c r="H305" s="7">
        <f>INDEX('Rubro por CUI'!$G$5:$G$460,MATCH("001|2645376",'Rubro por CUI'!$N$5:$N$460,0))</f>
        <v>3796481.0</v>
      </c>
      <c r="I305" s="7">
        <f>INDEX('Rubro por CUI'!$H$5:$H$460,MATCH("001|2645376",'Rubro por CUI'!$N$5:$N$460,0))</f>
        <v>0.0</v>
      </c>
      <c r="J305" s="7">
        <f>INDEX('Rubro por CUI'!$I$5:$I$460,MATCH("001|2645376",'Rubro por CUI'!$N$5:$N$460,0))</f>
        <v>0.0</v>
      </c>
      <c r="K305" s="7">
        <f>L305-SUM(F305:J305)</f>
        <v>0.0</v>
      </c>
      <c r="L305" s="7">
        <f>SUMIFS(Base!$I$5:$I$509,Base!$A$5:$A$509,"001",Base!$F$5:$F$509,"2645376")</f>
        <v>3796481.0</v>
      </c>
      <c r="M305" s="7">
        <f>D305-E305-L305</f>
        <v>1394508.0</v>
      </c>
      <c r="N305" s="6" t="s">
        <v>63</v>
      </c>
    </row>
    <row r="306" spans="1:14">
      <c r="A306" s="18">
        <v>297</v>
      </c>
      <c r="B306" s="18" t="s">
        <v>1929</v>
      </c>
      <c r="C306" s="6" t="s">
        <v>258</v>
      </c>
      <c r="D306" s="23">
        <v>6600708</v>
      </c>
      <c r="E306" s="23">
        <v>120315</v>
      </c>
      <c r="F306" s="7">
        <f>INDEX('Rubro por CUI'!$E$5:$E$460,MATCH("001|2645380",'Rubro por CUI'!$N$5:$N$460,0))</f>
        <v>0.0</v>
      </c>
      <c r="G306" s="7">
        <f>INDEX('Rubro por CUI'!$F$5:$F$460,MATCH("001|2645380",'Rubro por CUI'!$N$5:$N$460,0))</f>
        <v>0.0</v>
      </c>
      <c r="H306" s="7">
        <f>INDEX('Rubro por CUI'!$G$5:$G$460,MATCH("001|2645380",'Rubro por CUI'!$N$5:$N$460,0))</f>
        <v>2575916.0</v>
      </c>
      <c r="I306" s="7">
        <f>INDEX('Rubro por CUI'!$H$5:$H$460,MATCH("001|2645380",'Rubro por CUI'!$N$5:$N$460,0))</f>
        <v>0.0</v>
      </c>
      <c r="J306" s="7">
        <f>INDEX('Rubro por CUI'!$I$5:$I$460,MATCH("001|2645380",'Rubro por CUI'!$N$5:$N$460,0))</f>
        <v>0.0</v>
      </c>
      <c r="K306" s="7">
        <f>L306-SUM(F306:J306)</f>
        <v>0.0</v>
      </c>
      <c r="L306" s="7">
        <f>SUMIFS(Base!$I$5:$I$509,Base!$A$5:$A$509,"001",Base!$F$5:$F$509,"2645380")</f>
        <v>2575916.0</v>
      </c>
      <c r="M306" s="7">
        <f>D306-E306-L306</f>
        <v>3904477.0</v>
      </c>
      <c r="N306" s="6" t="s">
        <v>63</v>
      </c>
    </row>
    <row r="307" spans="1:14">
      <c r="A307" s="18">
        <v>298</v>
      </c>
      <c r="B307" s="18" t="s">
        <v>1930</v>
      </c>
      <c r="C307" s="6" t="s">
        <v>255</v>
      </c>
      <c r="D307" s="23">
        <v>4751583</v>
      </c>
      <c r="E307" s="23">
        <v>136947</v>
      </c>
      <c r="F307" s="7">
        <f>INDEX('Rubro por CUI'!$E$5:$E$460,MATCH("001|2646100",'Rubro por CUI'!$N$5:$N$460,0))</f>
        <v>0.0</v>
      </c>
      <c r="G307" s="7">
        <f>INDEX('Rubro por CUI'!$F$5:$F$460,MATCH("001|2646100",'Rubro por CUI'!$N$5:$N$460,0))</f>
        <v>0.0</v>
      </c>
      <c r="H307" s="7">
        <f>INDEX('Rubro por CUI'!$G$5:$G$460,MATCH("001|2646100",'Rubro por CUI'!$N$5:$N$460,0))</f>
        <v>2167000.0</v>
      </c>
      <c r="I307" s="7">
        <f>INDEX('Rubro por CUI'!$H$5:$H$460,MATCH("001|2646100",'Rubro por CUI'!$N$5:$N$460,0))</f>
        <v>0.0</v>
      </c>
      <c r="J307" s="7">
        <f>INDEX('Rubro por CUI'!$I$5:$I$460,MATCH("001|2646100",'Rubro por CUI'!$N$5:$N$460,0))</f>
        <v>0.0</v>
      </c>
      <c r="K307" s="7">
        <f>L307-SUM(F307:J307)</f>
        <v>0.0</v>
      </c>
      <c r="L307" s="7">
        <f>SUMIFS(Base!$I$5:$I$509,Base!$A$5:$A$509,"001",Base!$F$5:$F$509,"2646100")</f>
        <v>2167000.0</v>
      </c>
      <c r="M307" s="7">
        <f>D307-E307-L307</f>
        <v>2447636.0</v>
      </c>
      <c r="N307" s="6" t="s">
        <v>63</v>
      </c>
    </row>
    <row r="308" spans="1:14">
      <c r="A308" s="18">
        <v>299</v>
      </c>
      <c r="B308" s="18" t="s">
        <v>1931</v>
      </c>
      <c r="C308" s="6" t="s">
        <v>261</v>
      </c>
      <c r="D308" s="23">
        <v>5598164</v>
      </c>
      <c r="E308" s="23">
        <v>120309</v>
      </c>
      <c r="F308" s="7">
        <f>INDEX('Rubro por CUI'!$E$5:$E$460,MATCH("001|2646096",'Rubro por CUI'!$N$5:$N$460,0))</f>
        <v>0.0</v>
      </c>
      <c r="G308" s="7">
        <f>INDEX('Rubro por CUI'!$F$5:$F$460,MATCH("001|2646096",'Rubro por CUI'!$N$5:$N$460,0))</f>
        <v>0.0</v>
      </c>
      <c r="H308" s="7">
        <f>INDEX('Rubro por CUI'!$G$5:$G$460,MATCH("001|2646096",'Rubro por CUI'!$N$5:$N$460,0))</f>
        <v>2054253.0</v>
      </c>
      <c r="I308" s="7">
        <f>INDEX('Rubro por CUI'!$H$5:$H$460,MATCH("001|2646096",'Rubro por CUI'!$N$5:$N$460,0))</f>
        <v>0.0</v>
      </c>
      <c r="J308" s="7">
        <f>INDEX('Rubro por CUI'!$I$5:$I$460,MATCH("001|2646096",'Rubro por CUI'!$N$5:$N$460,0))</f>
        <v>0.0</v>
      </c>
      <c r="K308" s="7">
        <f>L308-SUM(F308:J308)</f>
        <v>0.0</v>
      </c>
      <c r="L308" s="7">
        <f>SUMIFS(Base!$I$5:$I$509,Base!$A$5:$A$509,"001",Base!$F$5:$F$509,"2646096")</f>
        <v>2054253.0</v>
      </c>
      <c r="M308" s="7">
        <f>D308-E308-L308</f>
        <v>3423602.0</v>
      </c>
      <c r="N308" s="6" t="s">
        <v>63</v>
      </c>
    </row>
    <row r="309" spans="1:14">
      <c r="A309" s="18">
        <v>300</v>
      </c>
      <c r="B309" s="18" t="s">
        <v>1932</v>
      </c>
      <c r="C309" s="6" t="s">
        <v>267</v>
      </c>
      <c r="D309" s="23">
        <v>4028416</v>
      </c>
      <c r="E309" s="23">
        <v>121609</v>
      </c>
      <c r="F309" s="7">
        <f>INDEX('Rubro por CUI'!$E$5:$E$460,MATCH("001|2555837",'Rubro por CUI'!$N$5:$N$460,0))</f>
        <v>0.0</v>
      </c>
      <c r="G309" s="7">
        <f>INDEX('Rubro por CUI'!$F$5:$F$460,MATCH("001|2555837",'Rubro por CUI'!$N$5:$N$460,0))</f>
        <v>0.0</v>
      </c>
      <c r="H309" s="7">
        <f>INDEX('Rubro por CUI'!$G$5:$G$460,MATCH("001|2555837",'Rubro por CUI'!$N$5:$N$460,0))</f>
        <v>2047936.0</v>
      </c>
      <c r="I309" s="7">
        <f>INDEX('Rubro por CUI'!$H$5:$H$460,MATCH("001|2555837",'Rubro por CUI'!$N$5:$N$460,0))</f>
        <v>0.0</v>
      </c>
      <c r="J309" s="7">
        <f>INDEX('Rubro por CUI'!$I$5:$I$460,MATCH("001|2555837",'Rubro por CUI'!$N$5:$N$460,0))</f>
        <v>0.0</v>
      </c>
      <c r="K309" s="7">
        <f>L309-SUM(F309:J309)</f>
        <v>0.0</v>
      </c>
      <c r="L309" s="7">
        <f>SUMIFS(Base!$I$5:$I$509,Base!$A$5:$A$509,"001",Base!$F$5:$F$509,"2555837")</f>
        <v>2047936.0</v>
      </c>
      <c r="M309" s="7">
        <f>D309-E309-L309</f>
        <v>1858871.0</v>
      </c>
      <c r="N309" s="6" t="s">
        <v>63</v>
      </c>
    </row>
    <row r="310" spans="1:14">
      <c r="A310" s="18">
        <v>301</v>
      </c>
      <c r="B310" s="18" t="s">
        <v>1933</v>
      </c>
      <c r="C310" s="6" t="s">
        <v>264</v>
      </c>
      <c r="D310" s="23">
        <v>4402807</v>
      </c>
      <c r="E310" s="23">
        <v>116408</v>
      </c>
      <c r="F310" s="7">
        <f>INDEX('Rubro por CUI'!$E$5:$E$460,MATCH("001|2645340",'Rubro por CUI'!$N$5:$N$460,0))</f>
        <v>0.0</v>
      </c>
      <c r="G310" s="7">
        <f>INDEX('Rubro por CUI'!$F$5:$F$460,MATCH("001|2645340",'Rubro por CUI'!$N$5:$N$460,0))</f>
        <v>0.0</v>
      </c>
      <c r="H310" s="7">
        <f>INDEX('Rubro por CUI'!$G$5:$G$460,MATCH("001|2645340",'Rubro por CUI'!$N$5:$N$460,0))</f>
        <v>2038388.0</v>
      </c>
      <c r="I310" s="7">
        <f>INDEX('Rubro por CUI'!$H$5:$H$460,MATCH("001|2645340",'Rubro por CUI'!$N$5:$N$460,0))</f>
        <v>0.0</v>
      </c>
      <c r="J310" s="7">
        <f>INDEX('Rubro por CUI'!$I$5:$I$460,MATCH("001|2645340",'Rubro por CUI'!$N$5:$N$460,0))</f>
        <v>0.0</v>
      </c>
      <c r="K310" s="7">
        <f>L310-SUM(F310:J310)</f>
        <v>0.0</v>
      </c>
      <c r="L310" s="7">
        <f>SUMIFS(Base!$I$5:$I$509,Base!$A$5:$A$509,"001",Base!$F$5:$F$509,"2645340")</f>
        <v>2038388.0</v>
      </c>
      <c r="M310" s="7">
        <f>D310-E310-L310</f>
        <v>2248011.0</v>
      </c>
      <c r="N310" s="6" t="s">
        <v>63</v>
      </c>
    </row>
    <row r="311" spans="1:14">
      <c r="A311" s="18">
        <v>302</v>
      </c>
      <c r="B311" s="18" t="s">
        <v>1934</v>
      </c>
      <c r="C311" s="6" t="s">
        <v>252</v>
      </c>
      <c r="D311" s="23">
        <v>149755133</v>
      </c>
      <c r="E311" s="23">
        <v>71240286</v>
      </c>
      <c r="F311" s="7">
        <f>INDEX('Rubro por CUI'!$E$5:$E$460,MATCH("001|2186641",'Rubro por CUI'!$N$5:$N$460,0))</f>
        <v>0.0</v>
      </c>
      <c r="G311" s="7">
        <f>INDEX('Rubro por CUI'!$F$5:$F$460,MATCH("001|2186641",'Rubro por CUI'!$N$5:$N$460,0))</f>
        <v>0.0</v>
      </c>
      <c r="H311" s="7">
        <f>INDEX('Rubro por CUI'!$G$5:$G$460,MATCH("001|2186641",'Rubro por CUI'!$N$5:$N$460,0))</f>
        <v>1506514.0</v>
      </c>
      <c r="I311" s="7">
        <f>INDEX('Rubro por CUI'!$H$5:$H$460,MATCH("001|2186641",'Rubro por CUI'!$N$5:$N$460,0))</f>
        <v>0.0</v>
      </c>
      <c r="J311" s="7">
        <f>INDEX('Rubro por CUI'!$I$5:$I$460,MATCH("001|2186641",'Rubro por CUI'!$N$5:$N$460,0))</f>
        <v>0.0</v>
      </c>
      <c r="K311" s="7">
        <f>L311-SUM(F311:J311)</f>
        <v>0.0</v>
      </c>
      <c r="L311" s="7">
        <f>SUMIFS(Base!$I$5:$I$509,Base!$A$5:$A$509,"001",Base!$F$5:$F$509,"2186641")</f>
        <v>1506514.0</v>
      </c>
      <c r="M311" s="7">
        <f>D311-E311-L311</f>
        <v>77008333.0</v>
      </c>
      <c r="N311" s="6" t="s">
        <v>63</v>
      </c>
    </row>
    <row r="312" spans="1:14">
      <c r="A312" s="18">
        <v>303</v>
      </c>
      <c r="B312" s="18" t="s">
        <v>1935</v>
      </c>
      <c r="C312" s="6" t="s">
        <v>396</v>
      </c>
      <c r="D312" s="23">
        <v>3656947</v>
      </c>
      <c r="E312" s="23">
        <v>101141</v>
      </c>
      <c r="F312" s="7">
        <f>INDEX('Rubro por CUI'!$E$5:$E$460,MATCH("001|2645446",'Rubro por CUI'!$N$5:$N$460,0))</f>
        <v>0.0</v>
      </c>
      <c r="G312" s="7">
        <f>INDEX('Rubro por CUI'!$F$5:$F$460,MATCH("001|2645446",'Rubro por CUI'!$N$5:$N$460,0))</f>
        <v>0.0</v>
      </c>
      <c r="H312" s="7">
        <f>INDEX('Rubro por CUI'!$G$5:$G$460,MATCH("001|2645446",'Rubro por CUI'!$N$5:$N$460,0))</f>
        <v>1075076.0</v>
      </c>
      <c r="I312" s="7">
        <f>INDEX('Rubro por CUI'!$H$5:$H$460,MATCH("001|2645446",'Rubro por CUI'!$N$5:$N$460,0))</f>
        <v>0.0</v>
      </c>
      <c r="J312" s="7">
        <f>INDEX('Rubro por CUI'!$I$5:$I$460,MATCH("001|2645446",'Rubro por CUI'!$N$5:$N$460,0))</f>
        <v>0.0</v>
      </c>
      <c r="K312" s="7">
        <f>L312-SUM(F312:J312)</f>
        <v>0.0</v>
      </c>
      <c r="L312" s="7">
        <f>SUMIFS(Base!$I$5:$I$509,Base!$A$5:$A$509,"001",Base!$F$5:$F$509,"2645446")</f>
        <v>1075076.0</v>
      </c>
      <c r="M312" s="7">
        <f>D312-E312-L312</f>
        <v>2480730.0</v>
      </c>
      <c r="N312" s="6" t="s">
        <v>63</v>
      </c>
    </row>
    <row r="313" spans="1:14">
      <c r="A313" s="18">
        <v>304</v>
      </c>
      <c r="B313" s="18" t="s">
        <v>1936</v>
      </c>
      <c r="C313" s="6" t="s">
        <v>403</v>
      </c>
      <c r="D313" s="6" t="s">
        <v>69</v>
      </c>
      <c r="E313" s="6" t="s">
        <v>69</v>
      </c>
      <c r="F313" s="7">
        <f>INDEX('Rubro por CUI'!$E$5:$E$460,MATCH("001|2630072",'Rubro por CUI'!$N$5:$N$460,0))</f>
        <v>0.0</v>
      </c>
      <c r="G313" s="7">
        <f>INDEX('Rubro por CUI'!$F$5:$F$460,MATCH("001|2630072",'Rubro por CUI'!$N$5:$N$460,0))</f>
        <v>0.0</v>
      </c>
      <c r="H313" s="7">
        <f>INDEX('Rubro por CUI'!$G$5:$G$460,MATCH("001|2630072",'Rubro por CUI'!$N$5:$N$460,0))</f>
        <v>900000.0</v>
      </c>
      <c r="I313" s="7">
        <f>INDEX('Rubro por CUI'!$H$5:$H$460,MATCH("001|2630072",'Rubro por CUI'!$N$5:$N$460,0))</f>
        <v>0.0</v>
      </c>
      <c r="J313" s="7">
        <f>INDEX('Rubro por CUI'!$I$5:$I$460,MATCH("001|2630072",'Rubro por CUI'!$N$5:$N$460,0))</f>
        <v>0.0</v>
      </c>
      <c r="K313" s="7">
        <f>L313-SUM(F313:J313)</f>
        <v>0.0</v>
      </c>
      <c r="L313" s="7">
        <f>SUMIFS(Base!$I$5:$I$509,Base!$A$5:$A$509,"001",Base!$F$5:$F$509,"2630072")</f>
        <v>900000.0</v>
      </c>
      <c r="M313" s="6" t="s">
        <v>69</v>
      </c>
      <c r="N313" s="6" t="s">
        <v>1634</v>
      </c>
    </row>
    <row r="314" spans="1:14">
      <c r="A314" s="18">
        <v>305</v>
      </c>
      <c r="B314" s="18" t="s">
        <v>1937</v>
      </c>
      <c r="C314" s="6" t="s">
        <v>941</v>
      </c>
      <c r="D314" s="6" t="s">
        <v>69</v>
      </c>
      <c r="E314" s="6" t="s">
        <v>69</v>
      </c>
      <c r="F314" s="7">
        <f>INDEX('Rubro por CUI'!$E$5:$E$460,MATCH("001|2527207",'Rubro por CUI'!$N$5:$N$460,0))</f>
        <v>19217.0</v>
      </c>
      <c r="G314" s="7">
        <f>INDEX('Rubro por CUI'!$F$5:$F$460,MATCH("001|2527207",'Rubro por CUI'!$N$5:$N$460,0))</f>
        <v>0.0</v>
      </c>
      <c r="H314" s="7">
        <f>INDEX('Rubro por CUI'!$G$5:$G$460,MATCH("001|2527207",'Rubro por CUI'!$N$5:$N$460,0))</f>
        <v>350000.0</v>
      </c>
      <c r="I314" s="7">
        <f>INDEX('Rubro por CUI'!$H$5:$H$460,MATCH("001|2527207",'Rubro por CUI'!$N$5:$N$460,0))</f>
        <v>0.0</v>
      </c>
      <c r="J314" s="7">
        <f>INDEX('Rubro por CUI'!$I$5:$I$460,MATCH("001|2527207",'Rubro por CUI'!$N$5:$N$460,0))</f>
        <v>0.0</v>
      </c>
      <c r="K314" s="7">
        <f>L314-SUM(F314:J314)</f>
        <v>0.0</v>
      </c>
      <c r="L314" s="7">
        <f>SUMIFS(Base!$I$5:$I$509,Base!$A$5:$A$509,"001",Base!$F$5:$F$509,"2527207")</f>
        <v>369217.0</v>
      </c>
      <c r="M314" s="6" t="s">
        <v>69</v>
      </c>
      <c r="N314" s="6" t="s">
        <v>1634</v>
      </c>
    </row>
    <row r="315" spans="1:14">
      <c r="A315" s="18">
        <v>306</v>
      </c>
      <c r="B315" s="18" t="s">
        <v>1938</v>
      </c>
      <c r="C315" s="6" t="s">
        <v>270</v>
      </c>
      <c r="D315" s="23">
        <v>17157311</v>
      </c>
      <c r="E315" s="23">
        <v>137406</v>
      </c>
      <c r="F315" s="7">
        <f>INDEX('Rubro por CUI'!$E$5:$E$460,MATCH("001|2593683",'Rubro por CUI'!$N$5:$N$460,0))</f>
        <v>0.0</v>
      </c>
      <c r="G315" s="7">
        <f>INDEX('Rubro por CUI'!$F$5:$F$460,MATCH("001|2593683",'Rubro por CUI'!$N$5:$N$460,0))</f>
        <v>0.0</v>
      </c>
      <c r="H315" s="7">
        <f>INDEX('Rubro por CUI'!$G$5:$G$460,MATCH("001|2593683",'Rubro por CUI'!$N$5:$N$460,0))</f>
        <v>290270.0</v>
      </c>
      <c r="I315" s="7">
        <f>INDEX('Rubro por CUI'!$H$5:$H$460,MATCH("001|2593683",'Rubro por CUI'!$N$5:$N$460,0))</f>
        <v>0.0</v>
      </c>
      <c r="J315" s="7">
        <f>INDEX('Rubro por CUI'!$I$5:$I$460,MATCH("001|2593683",'Rubro por CUI'!$N$5:$N$460,0))</f>
        <v>0.0</v>
      </c>
      <c r="K315" s="7">
        <f>L315-SUM(F315:J315)</f>
        <v>0.0</v>
      </c>
      <c r="L315" s="7">
        <f>SUMIFS(Base!$I$5:$I$509,Base!$A$5:$A$509,"001",Base!$F$5:$F$509,"2593683")</f>
        <v>290270.0</v>
      </c>
      <c r="M315" s="7">
        <f>D315-E315-L315</f>
        <v>16729635.0</v>
      </c>
      <c r="N315" s="6" t="s">
        <v>63</v>
      </c>
    </row>
    <row r="316" spans="1:14">
      <c r="A316" s="18">
        <v>307</v>
      </c>
      <c r="B316" s="18" t="s">
        <v>1939</v>
      </c>
      <c r="C316" s="6" t="s">
        <v>607</v>
      </c>
      <c r="D316" s="23">
        <v>3540051</v>
      </c>
      <c r="E316" s="23">
        <v>0</v>
      </c>
      <c r="F316" s="7">
        <f>INDEX('Rubro por CUI'!$E$5:$E$460,MATCH("001|2714049",'Rubro por CUI'!$N$5:$N$460,0))</f>
        <v>0.0</v>
      </c>
      <c r="G316" s="7">
        <f>INDEX('Rubro por CUI'!$F$5:$F$460,MATCH("001|2714049",'Rubro por CUI'!$N$5:$N$460,0))</f>
        <v>0.0</v>
      </c>
      <c r="H316" s="7">
        <f>INDEX('Rubro por CUI'!$G$5:$G$460,MATCH("001|2714049",'Rubro por CUI'!$N$5:$N$460,0))</f>
        <v>100021.0</v>
      </c>
      <c r="I316" s="7">
        <f>INDEX('Rubro por CUI'!$H$5:$H$460,MATCH("001|2714049",'Rubro por CUI'!$N$5:$N$460,0))</f>
        <v>0.0</v>
      </c>
      <c r="J316" s="7">
        <f>INDEX('Rubro por CUI'!$I$5:$I$460,MATCH("001|2714049",'Rubro por CUI'!$N$5:$N$460,0))</f>
        <v>0.0</v>
      </c>
      <c r="K316" s="7">
        <f>L316-SUM(F316:J316)</f>
        <v>0.0</v>
      </c>
      <c r="L316" s="7">
        <f>SUMIFS(Base!$I$5:$I$509,Base!$A$5:$A$509,"001",Base!$F$5:$F$509,"2714049")</f>
        <v>100021.0</v>
      </c>
      <c r="M316" s="7">
        <f>D316-E316-L316</f>
        <v>3440030.0</v>
      </c>
      <c r="N316" s="6" t="s">
        <v>63</v>
      </c>
    </row>
    <row r="317" spans="1:14">
      <c r="A317" s="18">
        <v>308</v>
      </c>
      <c r="B317" s="18" t="s">
        <v>1940</v>
      </c>
      <c r="C317" s="6" t="s">
        <v>938</v>
      </c>
      <c r="D317" s="23">
        <v>14338596</v>
      </c>
      <c r="E317" s="23">
        <v>121193</v>
      </c>
      <c r="F317" s="7">
        <f>INDEX('Rubro por CUI'!$E$5:$E$460,MATCH("001|2669946",'Rubro por CUI'!$N$5:$N$460,0))</f>
        <v>0.0</v>
      </c>
      <c r="G317" s="7">
        <f>INDEX('Rubro por CUI'!$F$5:$F$460,MATCH("001|2669946",'Rubro por CUI'!$N$5:$N$460,0))</f>
        <v>0.0</v>
      </c>
      <c r="H317" s="7">
        <f>INDEX('Rubro por CUI'!$G$5:$G$460,MATCH("001|2669946",'Rubro por CUI'!$N$5:$N$460,0))</f>
        <v>50000.0</v>
      </c>
      <c r="I317" s="7">
        <f>INDEX('Rubro por CUI'!$H$5:$H$460,MATCH("001|2669946",'Rubro por CUI'!$N$5:$N$460,0))</f>
        <v>0.0</v>
      </c>
      <c r="J317" s="7">
        <f>INDEX('Rubro por CUI'!$I$5:$I$460,MATCH("001|2669946",'Rubro por CUI'!$N$5:$N$460,0))</f>
        <v>0.0</v>
      </c>
      <c r="K317" s="7">
        <f>L317-SUM(F317:J317)</f>
        <v>0.0</v>
      </c>
      <c r="L317" s="7">
        <f>SUMIFS(Base!$I$5:$I$509,Base!$A$5:$A$509,"001",Base!$F$5:$F$509,"2669946")</f>
        <v>50000.0</v>
      </c>
      <c r="M317" s="7">
        <f>D317-E317-L317</f>
        <v>14167403.0</v>
      </c>
      <c r="N317" s="6" t="s">
        <v>63</v>
      </c>
    </row>
    <row r="318" spans="1:14">
      <c r="A318" s="18">
        <v>309</v>
      </c>
      <c r="B318" s="18" t="s">
        <v>1941</v>
      </c>
      <c r="C318" s="6" t="s">
        <v>932</v>
      </c>
      <c r="D318" s="23">
        <v>2941253</v>
      </c>
      <c r="E318" s="23">
        <v>96353</v>
      </c>
      <c r="F318" s="7">
        <f>INDEX('Rubro por CUI'!$E$5:$E$460,MATCH("001|2645444",'Rubro por CUI'!$N$5:$N$460,0))</f>
        <v>0.0</v>
      </c>
      <c r="G318" s="7">
        <f>INDEX('Rubro por CUI'!$F$5:$F$460,MATCH("001|2645444",'Rubro por CUI'!$N$5:$N$460,0))</f>
        <v>0.0</v>
      </c>
      <c r="H318" s="7">
        <f>INDEX('Rubro por CUI'!$G$5:$G$460,MATCH("001|2645444",'Rubro por CUI'!$N$5:$N$460,0))</f>
        <v>48882.0</v>
      </c>
      <c r="I318" s="7">
        <f>INDEX('Rubro por CUI'!$H$5:$H$460,MATCH("001|2645444",'Rubro por CUI'!$N$5:$N$460,0))</f>
        <v>0.0</v>
      </c>
      <c r="J318" s="7">
        <f>INDEX('Rubro por CUI'!$I$5:$I$460,MATCH("001|2645444",'Rubro por CUI'!$N$5:$N$460,0))</f>
        <v>0.0</v>
      </c>
      <c r="K318" s="7">
        <f>L318-SUM(F318:J318)</f>
        <v>0.0</v>
      </c>
      <c r="L318" s="7">
        <f>SUMIFS(Base!$I$5:$I$509,Base!$A$5:$A$509,"001",Base!$F$5:$F$509,"2645444")</f>
        <v>48882.0</v>
      </c>
      <c r="M318" s="7">
        <f>D318-E318-L318</f>
        <v>2796018.0</v>
      </c>
      <c r="N318" s="6" t="s">
        <v>63</v>
      </c>
    </row>
    <row r="319" spans="1:14">
      <c r="A319" s="18">
        <v>310</v>
      </c>
      <c r="B319" s="18" t="s">
        <v>1942</v>
      </c>
      <c r="C319" s="6" t="s">
        <v>935</v>
      </c>
      <c r="D319" s="23">
        <v>3565023</v>
      </c>
      <c r="E319" s="23">
        <v>116103</v>
      </c>
      <c r="F319" s="7">
        <f>INDEX('Rubro por CUI'!$E$5:$E$460,MATCH("001|2646095",'Rubro por CUI'!$N$5:$N$460,0))</f>
        <v>0.0</v>
      </c>
      <c r="G319" s="7">
        <f>INDEX('Rubro por CUI'!$F$5:$F$460,MATCH("001|2646095",'Rubro por CUI'!$N$5:$N$460,0))</f>
        <v>0.0</v>
      </c>
      <c r="H319" s="7">
        <f>INDEX('Rubro por CUI'!$G$5:$G$460,MATCH("001|2646095",'Rubro por CUI'!$N$5:$N$460,0))</f>
        <v>25425.0</v>
      </c>
      <c r="I319" s="7">
        <f>INDEX('Rubro por CUI'!$H$5:$H$460,MATCH("001|2646095",'Rubro por CUI'!$N$5:$N$460,0))</f>
        <v>0.0</v>
      </c>
      <c r="J319" s="7">
        <f>INDEX('Rubro por CUI'!$I$5:$I$460,MATCH("001|2646095",'Rubro por CUI'!$N$5:$N$460,0))</f>
        <v>0.0</v>
      </c>
      <c r="K319" s="7">
        <f>L319-SUM(F319:J319)</f>
        <v>0.0</v>
      </c>
      <c r="L319" s="7">
        <f>SUMIFS(Base!$I$5:$I$509,Base!$A$5:$A$509,"001",Base!$F$5:$F$509,"2646095")</f>
        <v>25425.0</v>
      </c>
      <c r="M319" s="7">
        <f>D319-E319-L319</f>
        <v>3423495.0</v>
      </c>
      <c r="N319" s="6" t="s">
        <v>63</v>
      </c>
    </row>
    <row r="320" spans="1:14">
      <c r="A320" s="15" t="s">
        <v>271</v>
      </c>
      <c r="B320" s="15"/>
      <c r="C320" s="15"/>
      <c r="D320" s="16">
        <f>SUM(D321:D330)</f>
        <v>405574352.0</v>
      </c>
      <c r="E320" s="16">
        <f>SUM(E321:E330)</f>
        <v>266582179.0</v>
      </c>
      <c r="F320" s="16">
        <f>SUM(F321:F330)</f>
        <v>0.0</v>
      </c>
      <c r="G320" s="16">
        <f>SUM(G321:G330)</f>
        <v>6900.0</v>
      </c>
      <c r="H320" s="16">
        <f>SUM(H321:H330)</f>
        <v>9660306.0</v>
      </c>
      <c r="I320" s="16">
        <f>SUM(I321:I330)</f>
        <v>14077037.0</v>
      </c>
      <c r="J320" s="16">
        <f>SUM(J321:J330)</f>
        <v>0.0</v>
      </c>
      <c r="K320" s="16">
        <f>SUM(K321:K330)</f>
        <v>0.0</v>
      </c>
      <c r="L320" s="16">
        <f>SUM(L321:L330)</f>
        <v>23744243.0</v>
      </c>
      <c r="M320" s="16">
        <f>SUM(M321:M330)</f>
        <v>116867605.0</v>
      </c>
      <c r="N320" s="15"/>
    </row>
    <row r="321" spans="1:14">
      <c r="A321" s="18">
        <v>311</v>
      </c>
      <c r="B321" s="18" t="s">
        <v>1943</v>
      </c>
      <c r="C321" s="6" t="s">
        <v>1269</v>
      </c>
      <c r="D321" s="23">
        <v>33361334</v>
      </c>
      <c r="E321" s="23">
        <v>1104276</v>
      </c>
      <c r="F321" s="7">
        <f>INDEX('Rubro por CUI'!$E$5:$E$460,MATCH("001|2603148",'Rubro por CUI'!$N$5:$N$460,0))</f>
        <v>0.0</v>
      </c>
      <c r="G321" s="7">
        <f>INDEX('Rubro por CUI'!$F$5:$F$460,MATCH("001|2603148",'Rubro por CUI'!$N$5:$N$460,0))</f>
        <v>0.0</v>
      </c>
      <c r="H321" s="7">
        <f>INDEX('Rubro por CUI'!$G$5:$G$460,MATCH("001|2603148",'Rubro por CUI'!$N$5:$N$460,0))</f>
        <v>5000000.0</v>
      </c>
      <c r="I321" s="7">
        <f>INDEX('Rubro por CUI'!$H$5:$H$460,MATCH("001|2603148",'Rubro por CUI'!$N$5:$N$460,0))</f>
        <v>7532522.0</v>
      </c>
      <c r="J321" s="7">
        <f>INDEX('Rubro por CUI'!$I$5:$I$460,MATCH("001|2603148",'Rubro por CUI'!$N$5:$N$460,0))</f>
        <v>0.0</v>
      </c>
      <c r="K321" s="7">
        <f>L321-SUM(F321:J321)</f>
        <v>0.0</v>
      </c>
      <c r="L321" s="7">
        <f>SUMIFS(Base!$I$5:$I$509,Base!$A$5:$A$509,"001",Base!$F$5:$F$509,"2603148")</f>
        <v>12532522.0</v>
      </c>
      <c r="M321" s="7">
        <f>D321-E321-L321</f>
        <v>19724536.0</v>
      </c>
      <c r="N321" s="6" t="s">
        <v>63</v>
      </c>
    </row>
    <row r="322" spans="1:14">
      <c r="A322" s="18">
        <v>312</v>
      </c>
      <c r="B322" s="18" t="s">
        <v>1944</v>
      </c>
      <c r="C322" s="6" t="s">
        <v>274</v>
      </c>
      <c r="D322" s="23">
        <v>152242717</v>
      </c>
      <c r="E322" s="23">
        <v>131815026</v>
      </c>
      <c r="F322" s="7">
        <f>INDEX('Rubro por CUI'!$E$5:$E$460,MATCH("001|2592407",'Rubro por CUI'!$N$5:$N$460,0))</f>
        <v>0.0</v>
      </c>
      <c r="G322" s="7">
        <f>INDEX('Rubro por CUI'!$F$5:$F$460,MATCH("001|2592407",'Rubro por CUI'!$N$5:$N$460,0))</f>
        <v>6900.0</v>
      </c>
      <c r="H322" s="7">
        <f>INDEX('Rubro por CUI'!$G$5:$G$460,MATCH("001|2592407",'Rubro por CUI'!$N$5:$N$460,0))</f>
        <v>2434199.0</v>
      </c>
      <c r="I322" s="7">
        <f>INDEX('Rubro por CUI'!$H$5:$H$460,MATCH("001|2592407",'Rubro por CUI'!$N$5:$N$460,0))</f>
        <v>5168000.0</v>
      </c>
      <c r="J322" s="7">
        <f>INDEX('Rubro por CUI'!$I$5:$I$460,MATCH("001|2592407",'Rubro por CUI'!$N$5:$N$460,0))</f>
        <v>0.0</v>
      </c>
      <c r="K322" s="7">
        <f>L322-SUM(F322:J322)</f>
        <v>0.0</v>
      </c>
      <c r="L322" s="7">
        <f>SUMIFS(Base!$I$5:$I$509,Base!$A$5:$A$509,"001",Base!$F$5:$F$509,"2592407")</f>
        <v>7609099.0</v>
      </c>
      <c r="M322" s="7">
        <f>D322-E322-L322</f>
        <v>12818592.0</v>
      </c>
      <c r="N322" s="6" t="s">
        <v>63</v>
      </c>
    </row>
    <row r="323" spans="1:14">
      <c r="A323" s="18">
        <v>313</v>
      </c>
      <c r="B323" s="18" t="s">
        <v>1945</v>
      </c>
      <c r="C323" s="6" t="s">
        <v>950</v>
      </c>
      <c r="D323" s="6" t="s">
        <v>69</v>
      </c>
      <c r="E323" s="6" t="s">
        <v>69</v>
      </c>
      <c r="F323" s="7">
        <f>INDEX('Rubro por CUI'!$E$5:$E$460,MATCH("001|2658446",'Rubro por CUI'!$N$5:$N$460,0))</f>
        <v>0.0</v>
      </c>
      <c r="G323" s="7">
        <f>INDEX('Rubro por CUI'!$F$5:$F$460,MATCH("001|2658446",'Rubro por CUI'!$N$5:$N$460,0))</f>
        <v>0.0</v>
      </c>
      <c r="H323" s="7">
        <f>INDEX('Rubro por CUI'!$G$5:$G$460,MATCH("001|2658446",'Rubro por CUI'!$N$5:$N$460,0))</f>
        <v>0.0</v>
      </c>
      <c r="I323" s="7">
        <f>INDEX('Rubro por CUI'!$H$5:$H$460,MATCH("001|2658446",'Rubro por CUI'!$N$5:$N$460,0))</f>
        <v>1376515.0</v>
      </c>
      <c r="J323" s="7">
        <f>INDEX('Rubro por CUI'!$I$5:$I$460,MATCH("001|2658446",'Rubro por CUI'!$N$5:$N$460,0))</f>
        <v>0.0</v>
      </c>
      <c r="K323" s="7">
        <f>L323-SUM(F323:J323)</f>
        <v>0.0</v>
      </c>
      <c r="L323" s="7">
        <f>SUMIFS(Base!$I$5:$I$509,Base!$A$5:$A$509,"001",Base!$F$5:$F$509,"2658446")</f>
        <v>1376515.0</v>
      </c>
      <c r="M323" s="6" t="s">
        <v>69</v>
      </c>
      <c r="N323" s="6" t="s">
        <v>1634</v>
      </c>
    </row>
    <row r="324" spans="1:14">
      <c r="A324" s="18">
        <v>314</v>
      </c>
      <c r="B324" s="18" t="s">
        <v>1946</v>
      </c>
      <c r="C324" s="6" t="s">
        <v>1277</v>
      </c>
      <c r="D324" s="23">
        <v>102204373</v>
      </c>
      <c r="E324" s="23">
        <v>95065002</v>
      </c>
      <c r="F324" s="7">
        <f>INDEX('Rubro por CUI'!$E$5:$E$460,MATCH("001|2187217",'Rubro por CUI'!$N$5:$N$460,0))</f>
        <v>0.0</v>
      </c>
      <c r="G324" s="7">
        <f>INDEX('Rubro por CUI'!$F$5:$F$460,MATCH("001|2187217",'Rubro por CUI'!$N$5:$N$460,0))</f>
        <v>0.0</v>
      </c>
      <c r="H324" s="7">
        <f>INDEX('Rubro por CUI'!$G$5:$G$460,MATCH("001|2187217",'Rubro por CUI'!$N$5:$N$460,0))</f>
        <v>1332387.0</v>
      </c>
      <c r="I324" s="7">
        <f>INDEX('Rubro por CUI'!$H$5:$H$460,MATCH("001|2187217",'Rubro por CUI'!$N$5:$N$460,0))</f>
        <v>0.0</v>
      </c>
      <c r="J324" s="7">
        <f>INDEX('Rubro por CUI'!$I$5:$I$460,MATCH("001|2187217",'Rubro por CUI'!$N$5:$N$460,0))</f>
        <v>0.0</v>
      </c>
      <c r="K324" s="7">
        <f>L324-SUM(F324:J324)</f>
        <v>0.0</v>
      </c>
      <c r="L324" s="7">
        <f>SUMIFS(Base!$I$5:$I$509,Base!$A$5:$A$509,"001",Base!$F$5:$F$509,"2187217")</f>
        <v>1332387.0</v>
      </c>
      <c r="M324" s="7">
        <f>D324-E324-L324</f>
        <v>5806984.0</v>
      </c>
      <c r="N324" s="6" t="s">
        <v>63</v>
      </c>
    </row>
    <row r="325" spans="1:14">
      <c r="A325" s="18">
        <v>315</v>
      </c>
      <c r="B325" s="18" t="s">
        <v>1947</v>
      </c>
      <c r="C325" s="6" t="s">
        <v>1264</v>
      </c>
      <c r="D325" s="23">
        <v>34949772</v>
      </c>
      <c r="E325" s="23">
        <v>33985398</v>
      </c>
      <c r="F325" s="7">
        <f>INDEX('Rubro por CUI'!$E$5:$E$460,MATCH("001|2324613",'Rubro por CUI'!$N$5:$N$460,0))</f>
        <v>0.0</v>
      </c>
      <c r="G325" s="7">
        <f>INDEX('Rubro por CUI'!$F$5:$F$460,MATCH("001|2324613",'Rubro por CUI'!$N$5:$N$460,0))</f>
        <v>0.0</v>
      </c>
      <c r="H325" s="7">
        <f>INDEX('Rubro por CUI'!$G$5:$G$460,MATCH("001|2324613",'Rubro por CUI'!$N$5:$N$460,0))</f>
        <v>550560.0</v>
      </c>
      <c r="I325" s="7">
        <f>INDEX('Rubro por CUI'!$H$5:$H$460,MATCH("001|2324613",'Rubro por CUI'!$N$5:$N$460,0))</f>
        <v>0.0</v>
      </c>
      <c r="J325" s="7">
        <f>INDEX('Rubro por CUI'!$I$5:$I$460,MATCH("001|2324613",'Rubro por CUI'!$N$5:$N$460,0))</f>
        <v>0.0</v>
      </c>
      <c r="K325" s="7">
        <f>L325-SUM(F325:J325)</f>
        <v>0.0</v>
      </c>
      <c r="L325" s="7">
        <f>SUMIFS(Base!$I$5:$I$509,Base!$A$5:$A$509,"001",Base!$F$5:$F$509,"2324613")</f>
        <v>550560.0</v>
      </c>
      <c r="M325" s="7">
        <f>D325-E325-L325</f>
        <v>413814.0</v>
      </c>
      <c r="N325" s="6" t="s">
        <v>63</v>
      </c>
    </row>
    <row r="326" spans="1:14">
      <c r="A326" s="18">
        <v>316</v>
      </c>
      <c r="B326" s="18" t="s">
        <v>1948</v>
      </c>
      <c r="C326" s="6" t="s">
        <v>986</v>
      </c>
      <c r="D326" s="6" t="s">
        <v>69</v>
      </c>
      <c r="E326" s="6" t="s">
        <v>69</v>
      </c>
      <c r="F326" s="7">
        <f>INDEX('Rubro por CUI'!$E$5:$E$460,MATCH("001|2717164",'Rubro por CUI'!$N$5:$N$460,0))</f>
        <v>0.0</v>
      </c>
      <c r="G326" s="7">
        <f>INDEX('Rubro por CUI'!$F$5:$F$460,MATCH("001|2717164",'Rubro por CUI'!$N$5:$N$460,0))</f>
        <v>0.0</v>
      </c>
      <c r="H326" s="7">
        <f>INDEX('Rubro por CUI'!$G$5:$G$460,MATCH("001|2717164",'Rubro por CUI'!$N$5:$N$460,0))</f>
        <v>160000.0</v>
      </c>
      <c r="I326" s="7">
        <f>INDEX('Rubro por CUI'!$H$5:$H$460,MATCH("001|2717164",'Rubro por CUI'!$N$5:$N$460,0))</f>
        <v>0.0</v>
      </c>
      <c r="J326" s="7">
        <f>INDEX('Rubro por CUI'!$I$5:$I$460,MATCH("001|2717164",'Rubro por CUI'!$N$5:$N$460,0))</f>
        <v>0.0</v>
      </c>
      <c r="K326" s="7">
        <f>L326-SUM(F326:J326)</f>
        <v>0.0</v>
      </c>
      <c r="L326" s="7">
        <f>SUMIFS(Base!$I$5:$I$509,Base!$A$5:$A$509,"001",Base!$F$5:$F$509,"2717164")</f>
        <v>160000.0</v>
      </c>
      <c r="M326" s="6" t="s">
        <v>69</v>
      </c>
      <c r="N326" s="6" t="s">
        <v>1634</v>
      </c>
    </row>
    <row r="327" spans="1:14">
      <c r="A327" s="18">
        <v>317</v>
      </c>
      <c r="B327" s="18" t="s">
        <v>1949</v>
      </c>
      <c r="C327" s="6" t="s">
        <v>1273</v>
      </c>
      <c r="D327" s="23">
        <v>14088781</v>
      </c>
      <c r="E327" s="23">
        <v>317340</v>
      </c>
      <c r="F327" s="7">
        <f>INDEX('Rubro por CUI'!$E$5:$E$460,MATCH("001|2603160",'Rubro por CUI'!$N$5:$N$460,0))</f>
        <v>0.0</v>
      </c>
      <c r="G327" s="7">
        <f>INDEX('Rubro por CUI'!$F$5:$F$460,MATCH("001|2603160",'Rubro por CUI'!$N$5:$N$460,0))</f>
        <v>0.0</v>
      </c>
      <c r="H327" s="7">
        <f>INDEX('Rubro por CUI'!$G$5:$G$460,MATCH("001|2603160",'Rubro por CUI'!$N$5:$N$460,0))</f>
        <v>100000.0</v>
      </c>
      <c r="I327" s="7">
        <f>INDEX('Rubro por CUI'!$H$5:$H$460,MATCH("001|2603160",'Rubro por CUI'!$N$5:$N$460,0))</f>
        <v>0.0</v>
      </c>
      <c r="J327" s="7">
        <f>INDEX('Rubro por CUI'!$I$5:$I$460,MATCH("001|2603160",'Rubro por CUI'!$N$5:$N$460,0))</f>
        <v>0.0</v>
      </c>
      <c r="K327" s="7">
        <f>L327-SUM(F327:J327)</f>
        <v>0.0</v>
      </c>
      <c r="L327" s="7">
        <f>SUMIFS(Base!$I$5:$I$509,Base!$A$5:$A$509,"001",Base!$F$5:$F$509,"2603160")</f>
        <v>100000.0</v>
      </c>
      <c r="M327" s="7">
        <f>D327-E327-L327</f>
        <v>13671441.0</v>
      </c>
      <c r="N327" s="6" t="s">
        <v>63</v>
      </c>
    </row>
    <row r="328" spans="1:14">
      <c r="A328" s="18">
        <v>318</v>
      </c>
      <c r="B328" s="18" t="s">
        <v>1950</v>
      </c>
      <c r="C328" s="6" t="s">
        <v>989</v>
      </c>
      <c r="D328" s="6" t="s">
        <v>69</v>
      </c>
      <c r="E328" s="6" t="s">
        <v>69</v>
      </c>
      <c r="F328" s="7">
        <f>INDEX('Rubro por CUI'!$E$5:$E$460,MATCH("001|2676438",'Rubro por CUI'!$N$5:$N$460,0))</f>
        <v>0.0</v>
      </c>
      <c r="G328" s="7">
        <f>INDEX('Rubro por CUI'!$F$5:$F$460,MATCH("001|2676438",'Rubro por CUI'!$N$5:$N$460,0))</f>
        <v>0.0</v>
      </c>
      <c r="H328" s="7">
        <f>INDEX('Rubro por CUI'!$G$5:$G$460,MATCH("001|2676438",'Rubro por CUI'!$N$5:$N$460,0))</f>
        <v>83160.0</v>
      </c>
      <c r="I328" s="7">
        <f>INDEX('Rubro por CUI'!$H$5:$H$460,MATCH("001|2676438",'Rubro por CUI'!$N$5:$N$460,0))</f>
        <v>0.0</v>
      </c>
      <c r="J328" s="7">
        <f>INDEX('Rubro por CUI'!$I$5:$I$460,MATCH("001|2676438",'Rubro por CUI'!$N$5:$N$460,0))</f>
        <v>0.0</v>
      </c>
      <c r="K328" s="7">
        <f>L328-SUM(F328:J328)</f>
        <v>0.0</v>
      </c>
      <c r="L328" s="7">
        <f>SUMIFS(Base!$I$5:$I$509,Base!$A$5:$A$509,"001",Base!$F$5:$F$509,"2676438")</f>
        <v>83160.0</v>
      </c>
      <c r="M328" s="6" t="s">
        <v>69</v>
      </c>
      <c r="N328" s="6" t="s">
        <v>1634</v>
      </c>
    </row>
    <row r="329" spans="1:14">
      <c r="A329" s="18">
        <v>319</v>
      </c>
      <c r="B329" s="18" t="s">
        <v>1951</v>
      </c>
      <c r="C329" s="6" t="s">
        <v>944</v>
      </c>
      <c r="D329" s="23">
        <v>3850781</v>
      </c>
      <c r="E329" s="23">
        <v>3695812</v>
      </c>
      <c r="F329" s="7">
        <f>INDEX('Rubro por CUI'!$E$5:$E$460,MATCH("001|2393101",'Rubro por CUI'!$N$5:$N$460,0))</f>
        <v>0.0</v>
      </c>
      <c r="G329" s="7">
        <f>INDEX('Rubro por CUI'!$F$5:$F$460,MATCH("001|2393101",'Rubro por CUI'!$N$5:$N$460,0))</f>
        <v>0.0</v>
      </c>
      <c r="H329" s="7">
        <f>INDEX('Rubro por CUI'!$G$5:$G$460,MATCH("001|2393101",'Rubro por CUI'!$N$5:$N$460,0))</f>
        <v>0.0</v>
      </c>
      <c r="I329" s="7">
        <f>INDEX('Rubro por CUI'!$H$5:$H$460,MATCH("001|2393101",'Rubro por CUI'!$N$5:$N$460,0))</f>
        <v>0.0</v>
      </c>
      <c r="J329" s="7">
        <f>INDEX('Rubro por CUI'!$I$5:$I$460,MATCH("001|2393101",'Rubro por CUI'!$N$5:$N$460,0))</f>
        <v>0.0</v>
      </c>
      <c r="K329" s="7">
        <f>L329-SUM(F329:J329)</f>
        <v>0.0</v>
      </c>
      <c r="L329" s="7">
        <f>SUMIFS(Base!$I$5:$I$509,Base!$A$5:$A$509,"001",Base!$F$5:$F$509,"2393101")</f>
        <v>0.0</v>
      </c>
      <c r="M329" s="7">
        <f>D329-E329-L329</f>
        <v>154969.0</v>
      </c>
      <c r="N329" s="6" t="s">
        <v>63</v>
      </c>
    </row>
    <row r="330" spans="1:14">
      <c r="A330" s="18">
        <v>320</v>
      </c>
      <c r="B330" s="18" t="s">
        <v>1952</v>
      </c>
      <c r="C330" s="6" t="s">
        <v>947</v>
      </c>
      <c r="D330" s="23">
        <v>64876594</v>
      </c>
      <c r="E330" s="23">
        <v>599325</v>
      </c>
      <c r="F330" s="7">
        <f>INDEX('Rubro por CUI'!$E$5:$E$460,MATCH("001|2411317",'Rubro por CUI'!$N$5:$N$460,0))</f>
        <v>0.0</v>
      </c>
      <c r="G330" s="7">
        <f>INDEX('Rubro por CUI'!$F$5:$F$460,MATCH("001|2411317",'Rubro por CUI'!$N$5:$N$460,0))</f>
        <v>0.0</v>
      </c>
      <c r="H330" s="7">
        <f>INDEX('Rubro por CUI'!$G$5:$G$460,MATCH("001|2411317",'Rubro por CUI'!$N$5:$N$460,0))</f>
        <v>0.0</v>
      </c>
      <c r="I330" s="7">
        <f>INDEX('Rubro por CUI'!$H$5:$H$460,MATCH("001|2411317",'Rubro por CUI'!$N$5:$N$460,0))</f>
        <v>0.0</v>
      </c>
      <c r="J330" s="7">
        <f>INDEX('Rubro por CUI'!$I$5:$I$460,MATCH("001|2411317",'Rubro por CUI'!$N$5:$N$460,0))</f>
        <v>0.0</v>
      </c>
      <c r="K330" s="7">
        <f>L330-SUM(F330:J330)</f>
        <v>0.0</v>
      </c>
      <c r="L330" s="7">
        <f>SUMIFS(Base!$I$5:$I$509,Base!$A$5:$A$509,"001",Base!$F$5:$F$509,"2411317")</f>
        <v>0.0</v>
      </c>
      <c r="M330" s="7">
        <f>D330-E330-L330</f>
        <v>64277269.0</v>
      </c>
      <c r="N330" s="6" t="s">
        <v>63</v>
      </c>
    </row>
    <row r="331" spans="1:14">
      <c r="A331" s="15" t="s">
        <v>277</v>
      </c>
      <c r="B331" s="15"/>
      <c r="C331" s="15"/>
      <c r="D331" s="16">
        <f>SUM(D332:D334)</f>
        <v>8079874.0</v>
      </c>
      <c r="E331" s="16">
        <f>SUM(E332:E334)</f>
        <v>6334976.0</v>
      </c>
      <c r="F331" s="16">
        <f>SUM(F332:F334)</f>
        <v>0.0</v>
      </c>
      <c r="G331" s="16">
        <f>SUM(G332:G334)</f>
        <v>0.0</v>
      </c>
      <c r="H331" s="16">
        <f>SUM(H332:H334)</f>
        <v>232742.0</v>
      </c>
      <c r="I331" s="16">
        <f>SUM(I332:I334)</f>
        <v>0.0</v>
      </c>
      <c r="J331" s="16">
        <f>SUM(J332:J334)</f>
        <v>0.0</v>
      </c>
      <c r="K331" s="16">
        <f>SUM(K332:K334)</f>
        <v>0.0</v>
      </c>
      <c r="L331" s="16">
        <f>SUM(L332:L334)</f>
        <v>232742.0</v>
      </c>
      <c r="M331" s="16">
        <f>SUM(M332:M334)</f>
        <v>1645668.0</v>
      </c>
      <c r="N331" s="15"/>
    </row>
    <row r="332" spans="1:14">
      <c r="A332" s="18">
        <v>321</v>
      </c>
      <c r="B332" s="18" t="s">
        <v>1953</v>
      </c>
      <c r="C332" s="6" t="s">
        <v>283</v>
      </c>
      <c r="D332" s="6" t="s">
        <v>69</v>
      </c>
      <c r="E332" s="6" t="s">
        <v>69</v>
      </c>
      <c r="F332" s="7">
        <f>INDEX('Rubro por CUI'!$E$5:$E$460,MATCH("001|2194989",'Rubro por CUI'!$N$5:$N$460,0))</f>
        <v>0.0</v>
      </c>
      <c r="G332" s="7">
        <f>INDEX('Rubro por CUI'!$F$5:$F$460,MATCH("001|2194989",'Rubro por CUI'!$N$5:$N$460,0))</f>
        <v>0.0</v>
      </c>
      <c r="H332" s="7">
        <f>INDEX('Rubro por CUI'!$G$5:$G$460,MATCH("001|2194989",'Rubro por CUI'!$N$5:$N$460,0))</f>
        <v>133512.0</v>
      </c>
      <c r="I332" s="7">
        <f>INDEX('Rubro por CUI'!$H$5:$H$460,MATCH("001|2194989",'Rubro por CUI'!$N$5:$N$460,0))</f>
        <v>0.0</v>
      </c>
      <c r="J332" s="7">
        <f>INDEX('Rubro por CUI'!$I$5:$I$460,MATCH("001|2194989",'Rubro por CUI'!$N$5:$N$460,0))</f>
        <v>0.0</v>
      </c>
      <c r="K332" s="7">
        <f>L332-SUM(F332:J332)</f>
        <v>0.0</v>
      </c>
      <c r="L332" s="7">
        <f>SUMIFS(Base!$I$5:$I$509,Base!$A$5:$A$509,"001",Base!$F$5:$F$509,"2194989")</f>
        <v>133512.0</v>
      </c>
      <c r="M332" s="6" t="s">
        <v>69</v>
      </c>
      <c r="N332" s="6" t="s">
        <v>1634</v>
      </c>
    </row>
    <row r="333" spans="1:14">
      <c r="A333" s="18">
        <v>322</v>
      </c>
      <c r="B333" s="18" t="s">
        <v>1954</v>
      </c>
      <c r="C333" s="6" t="s">
        <v>280</v>
      </c>
      <c r="D333" s="23">
        <v>6413708</v>
      </c>
      <c r="E333" s="23">
        <v>6227371</v>
      </c>
      <c r="F333" s="7">
        <f>INDEX('Rubro por CUI'!$E$5:$E$460,MATCH("001|2230752",'Rubro por CUI'!$N$5:$N$460,0))</f>
        <v>0.0</v>
      </c>
      <c r="G333" s="7">
        <f>INDEX('Rubro por CUI'!$F$5:$F$460,MATCH("001|2230752",'Rubro por CUI'!$N$5:$N$460,0))</f>
        <v>0.0</v>
      </c>
      <c r="H333" s="7">
        <f>INDEX('Rubro por CUI'!$G$5:$G$460,MATCH("001|2230752",'Rubro por CUI'!$N$5:$N$460,0))</f>
        <v>99230.0</v>
      </c>
      <c r="I333" s="7">
        <f>INDEX('Rubro por CUI'!$H$5:$H$460,MATCH("001|2230752",'Rubro por CUI'!$N$5:$N$460,0))</f>
        <v>0.0</v>
      </c>
      <c r="J333" s="7">
        <f>INDEX('Rubro por CUI'!$I$5:$I$460,MATCH("001|2230752",'Rubro por CUI'!$N$5:$N$460,0))</f>
        <v>0.0</v>
      </c>
      <c r="K333" s="7">
        <f>L333-SUM(F333:J333)</f>
        <v>0.0</v>
      </c>
      <c r="L333" s="7">
        <f>SUMIFS(Base!$I$5:$I$509,Base!$A$5:$A$509,"001",Base!$F$5:$F$509,"2230752")</f>
        <v>99230.0</v>
      </c>
      <c r="M333" s="7">
        <f>D333-E333-L333</f>
        <v>87107.0</v>
      </c>
      <c r="N333" s="6" t="s">
        <v>63</v>
      </c>
    </row>
    <row r="334" spans="1:14">
      <c r="A334" s="18">
        <v>323</v>
      </c>
      <c r="B334" s="18" t="s">
        <v>1955</v>
      </c>
      <c r="C334" s="6" t="s">
        <v>1410</v>
      </c>
      <c r="D334" s="23">
        <v>1666166</v>
      </c>
      <c r="E334" s="23">
        <v>107605</v>
      </c>
      <c r="F334" s="7">
        <f>INDEX('Rubro por CUI'!$E$5:$E$460,MATCH("001|2608728",'Rubro por CUI'!$N$5:$N$460,0))</f>
        <v>0.0</v>
      </c>
      <c r="G334" s="7">
        <f>INDEX('Rubro por CUI'!$F$5:$F$460,MATCH("001|2608728",'Rubro por CUI'!$N$5:$N$460,0))</f>
        <v>0.0</v>
      </c>
      <c r="H334" s="7">
        <f>INDEX('Rubro por CUI'!$G$5:$G$460,MATCH("001|2608728",'Rubro por CUI'!$N$5:$N$460,0))</f>
        <v>0.0</v>
      </c>
      <c r="I334" s="7">
        <f>INDEX('Rubro por CUI'!$H$5:$H$460,MATCH("001|2608728",'Rubro por CUI'!$N$5:$N$460,0))</f>
        <v>0.0</v>
      </c>
      <c r="J334" s="7">
        <f>INDEX('Rubro por CUI'!$I$5:$I$460,MATCH("001|2608728",'Rubro por CUI'!$N$5:$N$460,0))</f>
        <v>0.0</v>
      </c>
      <c r="K334" s="7">
        <f>L334-SUM(F334:J334)</f>
        <v>0.0</v>
      </c>
      <c r="L334" s="7">
        <f>SUMIFS(Base!$I$5:$I$509,Base!$A$5:$A$509,"001",Base!$F$5:$F$509,"2608728")</f>
        <v>0.0</v>
      </c>
      <c r="M334" s="7">
        <f>D334-E334-L334</f>
        <v>1558561.0</v>
      </c>
      <c r="N334" s="6" t="s">
        <v>63</v>
      </c>
    </row>
    <row r="335" spans="1:14">
      <c r="A335" s="15" t="s">
        <v>476</v>
      </c>
      <c r="B335" s="15"/>
      <c r="C335" s="15"/>
      <c r="D335" s="16">
        <f>SUM(D336:D336)</f>
        <v>0</v>
      </c>
      <c r="E335" s="16">
        <f>SUM(E336:E336)</f>
        <v>0</v>
      </c>
      <c r="F335" s="16">
        <f>SUM(F336:F336)</f>
        <v>0.0</v>
      </c>
      <c r="G335" s="16">
        <f>SUM(G336:G336)</f>
        <v>0.0</v>
      </c>
      <c r="H335" s="16">
        <f>SUM(H336:H336)</f>
        <v>11000.0</v>
      </c>
      <c r="I335" s="16">
        <f>SUM(I336:I336)</f>
        <v>0.0</v>
      </c>
      <c r="J335" s="16">
        <f>SUM(J336:J336)</f>
        <v>0.0</v>
      </c>
      <c r="K335" s="16">
        <f>SUM(K336:K336)</f>
        <v>0.0</v>
      </c>
      <c r="L335" s="16">
        <f>SUM(L336:L336)</f>
        <v>11000.0</v>
      </c>
      <c r="M335" s="16">
        <f>SUM(M336:M336)</f>
        <v>0</v>
      </c>
      <c r="N335" s="15"/>
    </row>
    <row r="336" spans="1:14">
      <c r="A336" s="18">
        <v>324</v>
      </c>
      <c r="B336" s="18" t="s">
        <v>1956</v>
      </c>
      <c r="C336" s="6" t="s">
        <v>479</v>
      </c>
      <c r="D336" s="6" t="s">
        <v>69</v>
      </c>
      <c r="E336" s="6" t="s">
        <v>69</v>
      </c>
      <c r="F336" s="7">
        <f>INDEX('Rubro por CUI'!$E$5:$E$460,MATCH("001|2492442",'Rubro por CUI'!$N$5:$N$460,0))</f>
        <v>0.0</v>
      </c>
      <c r="G336" s="7">
        <f>INDEX('Rubro por CUI'!$F$5:$F$460,MATCH("001|2492442",'Rubro por CUI'!$N$5:$N$460,0))</f>
        <v>0.0</v>
      </c>
      <c r="H336" s="7">
        <f>INDEX('Rubro por CUI'!$G$5:$G$460,MATCH("001|2492442",'Rubro por CUI'!$N$5:$N$460,0))</f>
        <v>11000.0</v>
      </c>
      <c r="I336" s="7">
        <f>INDEX('Rubro por CUI'!$H$5:$H$460,MATCH("001|2492442",'Rubro por CUI'!$N$5:$N$460,0))</f>
        <v>0.0</v>
      </c>
      <c r="J336" s="7">
        <f>INDEX('Rubro por CUI'!$I$5:$I$460,MATCH("001|2492442",'Rubro por CUI'!$N$5:$N$460,0))</f>
        <v>0.0</v>
      </c>
      <c r="K336" s="7">
        <f>L336-SUM(F336:J336)</f>
        <v>0.0</v>
      </c>
      <c r="L336" s="7">
        <f>SUMIFS(Base!$I$5:$I$509,Base!$A$5:$A$509,"001",Base!$F$5:$F$509,"2492442")</f>
        <v>11000.0</v>
      </c>
      <c r="M336" s="6" t="s">
        <v>69</v>
      </c>
      <c r="N336" s="6" t="s">
        <v>1634</v>
      </c>
    </row>
    <row r="337" spans="1:14">
      <c r="A337" s="15" t="s">
        <v>608</v>
      </c>
      <c r="B337" s="15"/>
      <c r="C337" s="15"/>
      <c r="D337" s="16">
        <f>SUM(D338:D338)</f>
        <v>0</v>
      </c>
      <c r="E337" s="16">
        <f>SUM(E338:E338)</f>
        <v>0</v>
      </c>
      <c r="F337" s="16">
        <f>SUM(F338:F338)</f>
        <v>0.0</v>
      </c>
      <c r="G337" s="16">
        <f>SUM(G338:G338)</f>
        <v>0.0</v>
      </c>
      <c r="H337" s="16">
        <f>SUM(H338:H338)</f>
        <v>200000.0</v>
      </c>
      <c r="I337" s="16">
        <f>SUM(I338:I338)</f>
        <v>300000.0</v>
      </c>
      <c r="J337" s="16">
        <f>SUM(J338:J338)</f>
        <v>0.0</v>
      </c>
      <c r="K337" s="16">
        <f>SUM(K338:K338)</f>
        <v>0.0</v>
      </c>
      <c r="L337" s="16">
        <f>SUM(L338:L338)</f>
        <v>500000.0</v>
      </c>
      <c r="M337" s="16">
        <f>SUM(M338:M338)</f>
        <v>0</v>
      </c>
      <c r="N337" s="15"/>
    </row>
    <row r="338" spans="1:14">
      <c r="A338" s="18">
        <v>325</v>
      </c>
      <c r="B338" s="18" t="s">
        <v>1957</v>
      </c>
      <c r="C338" s="6" t="s">
        <v>611</v>
      </c>
      <c r="D338" s="6" t="s">
        <v>69</v>
      </c>
      <c r="E338" s="6" t="s">
        <v>69</v>
      </c>
      <c r="F338" s="7">
        <f>INDEX('Rubro por CUI'!$E$5:$E$460,MATCH("001|2518131",'Rubro por CUI'!$N$5:$N$460,0))</f>
        <v>0.0</v>
      </c>
      <c r="G338" s="7">
        <f>INDEX('Rubro por CUI'!$F$5:$F$460,MATCH("001|2518131",'Rubro por CUI'!$N$5:$N$460,0))</f>
        <v>0.0</v>
      </c>
      <c r="H338" s="7">
        <f>INDEX('Rubro por CUI'!$G$5:$G$460,MATCH("001|2518131",'Rubro por CUI'!$N$5:$N$460,0))</f>
        <v>200000.0</v>
      </c>
      <c r="I338" s="7">
        <f>INDEX('Rubro por CUI'!$H$5:$H$460,MATCH("001|2518131",'Rubro por CUI'!$N$5:$N$460,0))</f>
        <v>300000.0</v>
      </c>
      <c r="J338" s="7">
        <f>INDEX('Rubro por CUI'!$I$5:$I$460,MATCH("001|2518131",'Rubro por CUI'!$N$5:$N$460,0))</f>
        <v>0.0</v>
      </c>
      <c r="K338" s="7">
        <f>L338-SUM(F338:J338)</f>
        <v>0.0</v>
      </c>
      <c r="L338" s="7">
        <f>SUMIFS(Base!$I$5:$I$509,Base!$A$5:$A$509,"001",Base!$F$5:$F$509,"2518131")</f>
        <v>500000.0</v>
      </c>
      <c r="M338" s="6" t="s">
        <v>69</v>
      </c>
      <c r="N338" s="6" t="s">
        <v>1634</v>
      </c>
    </row>
    <row r="339" spans="1:14">
      <c r="A339" s="15" t="s">
        <v>951</v>
      </c>
      <c r="B339" s="15"/>
      <c r="C339" s="15"/>
      <c r="D339" s="16">
        <f>SUM(D340:D341)</f>
        <v>17402668.0</v>
      </c>
      <c r="E339" s="16">
        <f>SUM(E340:E341)</f>
        <v>465944.0</v>
      </c>
      <c r="F339" s="16">
        <f>SUM(F340:F341)</f>
        <v>0.0</v>
      </c>
      <c r="G339" s="16">
        <f>SUM(G340:G341)</f>
        <v>0.0</v>
      </c>
      <c r="H339" s="16">
        <f>SUM(H340:H341)</f>
        <v>1144638.0</v>
      </c>
      <c r="I339" s="16">
        <f>SUM(I340:I341)</f>
        <v>0.0</v>
      </c>
      <c r="J339" s="16">
        <f>SUM(J340:J341)</f>
        <v>0.0</v>
      </c>
      <c r="K339" s="16">
        <f>SUM(K340:K341)</f>
        <v>0.0</v>
      </c>
      <c r="L339" s="16">
        <f>SUM(L340:L341)</f>
        <v>1144638.0</v>
      </c>
      <c r="M339" s="16">
        <f>SUM(M340:M341)</f>
        <v>16890295.0</v>
      </c>
      <c r="N339" s="15"/>
    </row>
    <row r="340" spans="1:14">
      <c r="A340" s="18">
        <v>326</v>
      </c>
      <c r="B340" s="18" t="s">
        <v>1958</v>
      </c>
      <c r="C340" s="6" t="s">
        <v>993</v>
      </c>
      <c r="D340" s="6" t="s">
        <v>69</v>
      </c>
      <c r="E340" s="6" t="s">
        <v>69</v>
      </c>
      <c r="F340" s="7">
        <f>INDEX('Rubro por CUI'!$E$5:$E$460,MATCH("001|2016766",'Rubro por CUI'!$N$5:$N$460,0))</f>
        <v>0.0</v>
      </c>
      <c r="G340" s="7">
        <f>INDEX('Rubro por CUI'!$F$5:$F$460,MATCH("001|2016766",'Rubro por CUI'!$N$5:$N$460,0))</f>
        <v>0.0</v>
      </c>
      <c r="H340" s="7">
        <f>INDEX('Rubro por CUI'!$G$5:$G$460,MATCH("001|2016766",'Rubro por CUI'!$N$5:$N$460,0))</f>
        <v>1098209.0</v>
      </c>
      <c r="I340" s="7">
        <f>INDEX('Rubro por CUI'!$H$5:$H$460,MATCH("001|2016766",'Rubro por CUI'!$N$5:$N$460,0))</f>
        <v>0.0</v>
      </c>
      <c r="J340" s="7">
        <f>INDEX('Rubro por CUI'!$I$5:$I$460,MATCH("001|2016766",'Rubro por CUI'!$N$5:$N$460,0))</f>
        <v>0.0</v>
      </c>
      <c r="K340" s="7">
        <f>L340-SUM(F340:J340)</f>
        <v>0.0</v>
      </c>
      <c r="L340" s="7">
        <f>SUMIFS(Base!$I$5:$I$509,Base!$A$5:$A$509,"001",Base!$F$5:$F$509,"2016766")</f>
        <v>1098209.0</v>
      </c>
      <c r="M340" s="6" t="s">
        <v>69</v>
      </c>
      <c r="N340" s="6" t="s">
        <v>1634</v>
      </c>
    </row>
    <row r="341" spans="1:14">
      <c r="A341" s="18">
        <v>327</v>
      </c>
      <c r="B341" s="18" t="s">
        <v>1959</v>
      </c>
      <c r="C341" s="6" t="s">
        <v>954</v>
      </c>
      <c r="D341" s="23">
        <v>17402668</v>
      </c>
      <c r="E341" s="23">
        <v>465944</v>
      </c>
      <c r="F341" s="7">
        <f>INDEX('Rubro por CUI'!$E$5:$E$460,MATCH("001|2343538",'Rubro por CUI'!$N$5:$N$460,0))</f>
        <v>0.0</v>
      </c>
      <c r="G341" s="7">
        <f>INDEX('Rubro por CUI'!$F$5:$F$460,MATCH("001|2343538",'Rubro por CUI'!$N$5:$N$460,0))</f>
        <v>0.0</v>
      </c>
      <c r="H341" s="7">
        <f>INDEX('Rubro por CUI'!$G$5:$G$460,MATCH("001|2343538",'Rubro por CUI'!$N$5:$N$460,0))</f>
        <v>46429.0</v>
      </c>
      <c r="I341" s="7">
        <f>INDEX('Rubro por CUI'!$H$5:$H$460,MATCH("001|2343538",'Rubro por CUI'!$N$5:$N$460,0))</f>
        <v>0.0</v>
      </c>
      <c r="J341" s="7">
        <f>INDEX('Rubro por CUI'!$I$5:$I$460,MATCH("001|2343538",'Rubro por CUI'!$N$5:$N$460,0))</f>
        <v>0.0</v>
      </c>
      <c r="K341" s="7">
        <f>L341-SUM(F341:J341)</f>
        <v>0.0</v>
      </c>
      <c r="L341" s="7">
        <f>SUMIFS(Base!$I$5:$I$509,Base!$A$5:$A$509,"001",Base!$F$5:$F$509,"2343538")</f>
        <v>46429.0</v>
      </c>
      <c r="M341" s="7">
        <f>D341-E341-L341</f>
        <v>16890295.0</v>
      </c>
      <c r="N341" s="6" t="s">
        <v>63</v>
      </c>
    </row>
    <row r="342" spans="1:14">
      <c r="A342" s="15" t="s">
        <v>956</v>
      </c>
      <c r="B342" s="15"/>
      <c r="C342" s="15"/>
      <c r="D342" s="16">
        <f>SUM(D343:D347)</f>
        <v>34842577.0</v>
      </c>
      <c r="E342" s="16">
        <f>SUM(E343:E347)</f>
        <v>13420956.0</v>
      </c>
      <c r="F342" s="16">
        <f>SUM(F343:F347)</f>
        <v>0.0</v>
      </c>
      <c r="G342" s="16">
        <f>SUM(G343:G347)</f>
        <v>0.0</v>
      </c>
      <c r="H342" s="16">
        <f>SUM(H343:H347)</f>
        <v>4487423.0</v>
      </c>
      <c r="I342" s="16">
        <f>SUM(I343:I347)</f>
        <v>0.0</v>
      </c>
      <c r="J342" s="16">
        <f>SUM(J343:J347)</f>
        <v>0.0</v>
      </c>
      <c r="K342" s="16">
        <f>SUM(K343:K347)</f>
        <v>0.0</v>
      </c>
      <c r="L342" s="16">
        <f>SUM(L343:L347)</f>
        <v>4487423.0</v>
      </c>
      <c r="M342" s="16">
        <f>SUM(M343:M347)</f>
        <v>17412596.0</v>
      </c>
      <c r="N342" s="15"/>
    </row>
    <row r="343" spans="1:14">
      <c r="A343" s="18">
        <v>328</v>
      </c>
      <c r="B343" s="18" t="s">
        <v>1960</v>
      </c>
      <c r="C343" s="6" t="s">
        <v>972</v>
      </c>
      <c r="D343" s="23">
        <v>18089713</v>
      </c>
      <c r="E343" s="23">
        <v>13420956</v>
      </c>
      <c r="F343" s="7">
        <f>INDEX('Rubro por CUI'!$E$5:$E$460,MATCH("001|2526527",'Rubro por CUI'!$N$5:$N$460,0))</f>
        <v>0.0</v>
      </c>
      <c r="G343" s="7">
        <f>INDEX('Rubro por CUI'!$F$5:$F$460,MATCH("001|2526527",'Rubro por CUI'!$N$5:$N$460,0))</f>
        <v>0.0</v>
      </c>
      <c r="H343" s="7">
        <f>INDEX('Rubro por CUI'!$G$5:$G$460,MATCH("001|2526527",'Rubro por CUI'!$N$5:$N$460,0))</f>
        <v>2659376.0</v>
      </c>
      <c r="I343" s="7">
        <f>INDEX('Rubro por CUI'!$H$5:$H$460,MATCH("001|2526527",'Rubro por CUI'!$N$5:$N$460,0))</f>
        <v>0.0</v>
      </c>
      <c r="J343" s="7">
        <f>INDEX('Rubro por CUI'!$I$5:$I$460,MATCH("001|2526527",'Rubro por CUI'!$N$5:$N$460,0))</f>
        <v>0.0</v>
      </c>
      <c r="K343" s="7">
        <f>L343-SUM(F343:J343)</f>
        <v>0.0</v>
      </c>
      <c r="L343" s="7">
        <f>SUMIFS(Base!$I$5:$I$509,Base!$A$5:$A$509,"001",Base!$F$5:$F$509,"2526527")</f>
        <v>2659376.0</v>
      </c>
      <c r="M343" s="7">
        <f>D343-E343-L343</f>
        <v>2009381.0</v>
      </c>
      <c r="N343" s="6" t="s">
        <v>63</v>
      </c>
    </row>
    <row r="344" spans="1:14">
      <c r="A344" s="18">
        <v>329</v>
      </c>
      <c r="B344" s="18" t="s">
        <v>1961</v>
      </c>
      <c r="C344" s="6" t="s">
        <v>959</v>
      </c>
      <c r="D344" s="23">
        <v>16752864</v>
      </c>
      <c r="E344" s="23">
        <v>0</v>
      </c>
      <c r="F344" s="7">
        <f>INDEX('Rubro por CUI'!$E$5:$E$460,MATCH("001|2645524",'Rubro por CUI'!$N$5:$N$460,0))</f>
        <v>0.0</v>
      </c>
      <c r="G344" s="7">
        <f>INDEX('Rubro por CUI'!$F$5:$F$460,MATCH("001|2645524",'Rubro por CUI'!$N$5:$N$460,0))</f>
        <v>0.0</v>
      </c>
      <c r="H344" s="7">
        <f>INDEX('Rubro por CUI'!$G$5:$G$460,MATCH("001|2645524",'Rubro por CUI'!$N$5:$N$460,0))</f>
        <v>1349649.0</v>
      </c>
      <c r="I344" s="7">
        <f>INDEX('Rubro por CUI'!$H$5:$H$460,MATCH("001|2645524",'Rubro por CUI'!$N$5:$N$460,0))</f>
        <v>0.0</v>
      </c>
      <c r="J344" s="7">
        <f>INDEX('Rubro por CUI'!$I$5:$I$460,MATCH("001|2645524",'Rubro por CUI'!$N$5:$N$460,0))</f>
        <v>0.0</v>
      </c>
      <c r="K344" s="7">
        <f>L344-SUM(F344:J344)</f>
        <v>0.0</v>
      </c>
      <c r="L344" s="7">
        <f>SUMIFS(Base!$I$5:$I$509,Base!$A$5:$A$509,"001",Base!$F$5:$F$509,"2645524")</f>
        <v>1349649.0</v>
      </c>
      <c r="M344" s="7">
        <f>D344-E344-L344</f>
        <v>15403215.0</v>
      </c>
      <c r="N344" s="6" t="s">
        <v>63</v>
      </c>
    </row>
    <row r="345" spans="1:14">
      <c r="A345" s="18">
        <v>330</v>
      </c>
      <c r="B345" s="18" t="s">
        <v>1962</v>
      </c>
      <c r="C345" s="6" t="s">
        <v>975</v>
      </c>
      <c r="D345" s="6" t="s">
        <v>69</v>
      </c>
      <c r="E345" s="6" t="s">
        <v>69</v>
      </c>
      <c r="F345" s="7">
        <f>INDEX('Rubro por CUI'!$E$5:$E$460,MATCH("001|2717147",'Rubro por CUI'!$N$5:$N$460,0))</f>
        <v>0.0</v>
      </c>
      <c r="G345" s="7">
        <f>INDEX('Rubro por CUI'!$F$5:$F$460,MATCH("001|2717147",'Rubro por CUI'!$N$5:$N$460,0))</f>
        <v>0.0</v>
      </c>
      <c r="H345" s="7">
        <f>INDEX('Rubro por CUI'!$G$5:$G$460,MATCH("001|2717147",'Rubro por CUI'!$N$5:$N$460,0))</f>
        <v>159946.0</v>
      </c>
      <c r="I345" s="7">
        <f>INDEX('Rubro por CUI'!$H$5:$H$460,MATCH("001|2717147",'Rubro por CUI'!$N$5:$N$460,0))</f>
        <v>0.0</v>
      </c>
      <c r="J345" s="7">
        <f>INDEX('Rubro por CUI'!$I$5:$I$460,MATCH("001|2717147",'Rubro por CUI'!$N$5:$N$460,0))</f>
        <v>0.0</v>
      </c>
      <c r="K345" s="7">
        <f>L345-SUM(F345:J345)</f>
        <v>0.0</v>
      </c>
      <c r="L345" s="7">
        <f>SUMIFS(Base!$I$5:$I$509,Base!$A$5:$A$509,"001",Base!$F$5:$F$509,"2717147")</f>
        <v>159946.0</v>
      </c>
      <c r="M345" s="6" t="s">
        <v>69</v>
      </c>
      <c r="N345" s="6" t="s">
        <v>1634</v>
      </c>
    </row>
    <row r="346" spans="1:14">
      <c r="A346" s="18">
        <v>331</v>
      </c>
      <c r="B346" s="18" t="s">
        <v>1963</v>
      </c>
      <c r="C346" s="6" t="s">
        <v>980</v>
      </c>
      <c r="D346" s="6" t="s">
        <v>69</v>
      </c>
      <c r="E346" s="6" t="s">
        <v>69</v>
      </c>
      <c r="F346" s="7">
        <f>INDEX('Rubro por CUI'!$E$5:$E$460,MATCH("001|2723296",'Rubro por CUI'!$N$5:$N$460,0))</f>
        <v>0.0</v>
      </c>
      <c r="G346" s="7">
        <f>INDEX('Rubro por CUI'!$F$5:$F$460,MATCH("001|2723296",'Rubro por CUI'!$N$5:$N$460,0))</f>
        <v>0.0</v>
      </c>
      <c r="H346" s="7">
        <f>INDEX('Rubro por CUI'!$G$5:$G$460,MATCH("001|2723296",'Rubro por CUI'!$N$5:$N$460,0))</f>
        <v>159560.0</v>
      </c>
      <c r="I346" s="7">
        <f>INDEX('Rubro por CUI'!$H$5:$H$460,MATCH("001|2723296",'Rubro por CUI'!$N$5:$N$460,0))</f>
        <v>0.0</v>
      </c>
      <c r="J346" s="7">
        <f>INDEX('Rubro por CUI'!$I$5:$I$460,MATCH("001|2723296",'Rubro por CUI'!$N$5:$N$460,0))</f>
        <v>0.0</v>
      </c>
      <c r="K346" s="7">
        <f>L346-SUM(F346:J346)</f>
        <v>0.0</v>
      </c>
      <c r="L346" s="7">
        <f>SUMIFS(Base!$I$5:$I$509,Base!$A$5:$A$509,"001",Base!$F$5:$F$509,"2723296")</f>
        <v>159560.0</v>
      </c>
      <c r="M346" s="6" t="s">
        <v>69</v>
      </c>
      <c r="N346" s="6" t="s">
        <v>1634</v>
      </c>
    </row>
    <row r="347" spans="1:14">
      <c r="A347" s="18">
        <v>332</v>
      </c>
      <c r="B347" s="18" t="s">
        <v>1964</v>
      </c>
      <c r="C347" s="6" t="s">
        <v>983</v>
      </c>
      <c r="D347" s="6" t="s">
        <v>69</v>
      </c>
      <c r="E347" s="6" t="s">
        <v>69</v>
      </c>
      <c r="F347" s="7">
        <f>INDEX('Rubro por CUI'!$E$5:$E$460,MATCH("001|2717175",'Rubro por CUI'!$N$5:$N$460,0))</f>
        <v>0.0</v>
      </c>
      <c r="G347" s="7">
        <f>INDEX('Rubro por CUI'!$F$5:$F$460,MATCH("001|2717175",'Rubro por CUI'!$N$5:$N$460,0))</f>
        <v>0.0</v>
      </c>
      <c r="H347" s="7">
        <f>INDEX('Rubro por CUI'!$G$5:$G$460,MATCH("001|2717175",'Rubro por CUI'!$N$5:$N$460,0))</f>
        <v>158892.0</v>
      </c>
      <c r="I347" s="7">
        <f>INDEX('Rubro por CUI'!$H$5:$H$460,MATCH("001|2717175",'Rubro por CUI'!$N$5:$N$460,0))</f>
        <v>0.0</v>
      </c>
      <c r="J347" s="7">
        <f>INDEX('Rubro por CUI'!$I$5:$I$460,MATCH("001|2717175",'Rubro por CUI'!$N$5:$N$460,0))</f>
        <v>0.0</v>
      </c>
      <c r="K347" s="7">
        <f>L347-SUM(F347:J347)</f>
        <v>0.0</v>
      </c>
      <c r="L347" s="7">
        <f>SUMIFS(Base!$I$5:$I$509,Base!$A$5:$A$509,"001",Base!$F$5:$F$509,"2717175")</f>
        <v>158892.0</v>
      </c>
      <c r="M347" s="6" t="s">
        <v>69</v>
      </c>
      <c r="N347" s="6" t="s">
        <v>1634</v>
      </c>
    </row>
    <row r="348" spans="1:14">
      <c r="A348" s="15" t="s">
        <v>960</v>
      </c>
      <c r="B348" s="15"/>
      <c r="C348" s="15"/>
      <c r="D348" s="16">
        <f>SUM(D349:D356)</f>
        <v>205531988.0</v>
      </c>
      <c r="E348" s="16">
        <f>SUM(E349:E356)</f>
        <v>36685118.0</v>
      </c>
      <c r="F348" s="16">
        <f>SUM(F349:F356)</f>
        <v>0.0</v>
      </c>
      <c r="G348" s="16">
        <f>SUM(G349:G356)</f>
        <v>0.0</v>
      </c>
      <c r="H348" s="16">
        <f>SUM(H349:H356)</f>
        <v>334317.0</v>
      </c>
      <c r="I348" s="16">
        <f>SUM(I349:I356)</f>
        <v>0.0</v>
      </c>
      <c r="J348" s="16">
        <f>SUM(J349:J356)</f>
        <v>0.0</v>
      </c>
      <c r="K348" s="16">
        <f>SUM(K349:K356)</f>
        <v>0.0</v>
      </c>
      <c r="L348" s="16">
        <f>SUM(L349:L356)</f>
        <v>334317.0</v>
      </c>
      <c r="M348" s="16">
        <f>SUM(M349:M356)</f>
        <v>168612553.0</v>
      </c>
      <c r="N348" s="15"/>
    </row>
    <row r="349" spans="1:14">
      <c r="A349" s="18">
        <v>333</v>
      </c>
      <c r="B349" s="18" t="s">
        <v>1965</v>
      </c>
      <c r="C349" s="6" t="s">
        <v>963</v>
      </c>
      <c r="D349" s="6" t="s">
        <v>69</v>
      </c>
      <c r="E349" s="6" t="s">
        <v>69</v>
      </c>
      <c r="F349" s="7">
        <f>INDEX('Rubro por CUI'!$E$5:$E$460,MATCH("001|2625216",'Rubro por CUI'!$N$5:$N$460,0))</f>
        <v>0.0</v>
      </c>
      <c r="G349" s="7">
        <f>INDEX('Rubro por CUI'!$F$5:$F$460,MATCH("001|2625216",'Rubro por CUI'!$N$5:$N$460,0))</f>
        <v>0.0</v>
      </c>
      <c r="H349" s="7">
        <f>INDEX('Rubro por CUI'!$G$5:$G$460,MATCH("001|2625216",'Rubro por CUI'!$N$5:$N$460,0))</f>
        <v>100000.0</v>
      </c>
      <c r="I349" s="7">
        <f>INDEX('Rubro por CUI'!$H$5:$H$460,MATCH("001|2625216",'Rubro por CUI'!$N$5:$N$460,0))</f>
        <v>0.0</v>
      </c>
      <c r="J349" s="7">
        <f>INDEX('Rubro por CUI'!$I$5:$I$460,MATCH("001|2625216",'Rubro por CUI'!$N$5:$N$460,0))</f>
        <v>0.0</v>
      </c>
      <c r="K349" s="7">
        <f>L349-SUM(F349:J349)</f>
        <v>0.0</v>
      </c>
      <c r="L349" s="7">
        <f>SUMIFS(Base!$I$5:$I$509,Base!$A$5:$A$509,"001",Base!$F$5:$F$509,"2625216")</f>
        <v>100000.0</v>
      </c>
      <c r="M349" s="6" t="s">
        <v>69</v>
      </c>
      <c r="N349" s="6" t="s">
        <v>1634</v>
      </c>
    </row>
    <row r="350" spans="1:14">
      <c r="A350" s="18">
        <v>334</v>
      </c>
      <c r="B350" s="18" t="s">
        <v>1966</v>
      </c>
      <c r="C350" s="6" t="s">
        <v>1248</v>
      </c>
      <c r="D350" s="23">
        <v>49368510</v>
      </c>
      <c r="E350" s="23">
        <v>662515</v>
      </c>
      <c r="F350" s="7">
        <f>INDEX('Rubro por CUI'!$E$5:$E$460,MATCH("001|2631070",'Rubro por CUI'!$N$5:$N$460,0))</f>
        <v>0.0</v>
      </c>
      <c r="G350" s="7">
        <f>INDEX('Rubro por CUI'!$F$5:$F$460,MATCH("001|2631070",'Rubro por CUI'!$N$5:$N$460,0))</f>
        <v>0.0</v>
      </c>
      <c r="H350" s="7">
        <f>INDEX('Rubro por CUI'!$G$5:$G$460,MATCH("001|2631070",'Rubro por CUI'!$N$5:$N$460,0))</f>
        <v>90586.0</v>
      </c>
      <c r="I350" s="7">
        <f>INDEX('Rubro por CUI'!$H$5:$H$460,MATCH("001|2631070",'Rubro por CUI'!$N$5:$N$460,0))</f>
        <v>0.0</v>
      </c>
      <c r="J350" s="7">
        <f>INDEX('Rubro por CUI'!$I$5:$I$460,MATCH("001|2631070",'Rubro por CUI'!$N$5:$N$460,0))</f>
        <v>0.0</v>
      </c>
      <c r="K350" s="7">
        <f>L350-SUM(F350:J350)</f>
        <v>0.0</v>
      </c>
      <c r="L350" s="7">
        <f>SUMIFS(Base!$I$5:$I$509,Base!$A$5:$A$509,"001",Base!$F$5:$F$509,"2631070")</f>
        <v>90586.0</v>
      </c>
      <c r="M350" s="7">
        <f>D350-E350-L350</f>
        <v>48615409.0</v>
      </c>
      <c r="N350" s="6" t="s">
        <v>63</v>
      </c>
    </row>
    <row r="351" spans="1:14">
      <c r="A351" s="18">
        <v>335</v>
      </c>
      <c r="B351" s="18" t="s">
        <v>1967</v>
      </c>
      <c r="C351" s="6" t="s">
        <v>1257</v>
      </c>
      <c r="D351" s="23">
        <v>30692250</v>
      </c>
      <c r="E351" s="23">
        <v>30463590</v>
      </c>
      <c r="F351" s="7">
        <f>INDEX('Rubro por CUI'!$E$5:$E$460,MATCH("001|2260735",'Rubro por CUI'!$N$5:$N$460,0))</f>
        <v>0.0</v>
      </c>
      <c r="G351" s="7">
        <f>INDEX('Rubro por CUI'!$F$5:$F$460,MATCH("001|2260735",'Rubro por CUI'!$N$5:$N$460,0))</f>
        <v>0.0</v>
      </c>
      <c r="H351" s="7">
        <f>INDEX('Rubro por CUI'!$G$5:$G$460,MATCH("001|2260735",'Rubro por CUI'!$N$5:$N$460,0))</f>
        <v>70632.0</v>
      </c>
      <c r="I351" s="7">
        <f>INDEX('Rubro por CUI'!$H$5:$H$460,MATCH("001|2260735",'Rubro por CUI'!$N$5:$N$460,0))</f>
        <v>0.0</v>
      </c>
      <c r="J351" s="7">
        <f>INDEX('Rubro por CUI'!$I$5:$I$460,MATCH("001|2260735",'Rubro por CUI'!$N$5:$N$460,0))</f>
        <v>0.0</v>
      </c>
      <c r="K351" s="7">
        <f>L351-SUM(F351:J351)</f>
        <v>0.0</v>
      </c>
      <c r="L351" s="7">
        <f>SUMIFS(Base!$I$5:$I$509,Base!$A$5:$A$509,"001",Base!$F$5:$F$509,"2260735")</f>
        <v>70632.0</v>
      </c>
      <c r="M351" s="7">
        <f>D351-E351-L351</f>
        <v>158028.0</v>
      </c>
      <c r="N351" s="6" t="s">
        <v>63</v>
      </c>
    </row>
    <row r="352" spans="1:14">
      <c r="A352" s="18">
        <v>336</v>
      </c>
      <c r="B352" s="18" t="s">
        <v>1968</v>
      </c>
      <c r="C352" s="6" t="s">
        <v>1242</v>
      </c>
      <c r="D352" s="23">
        <v>28966077</v>
      </c>
      <c r="E352" s="23">
        <v>1421462</v>
      </c>
      <c r="F352" s="7">
        <f>INDEX('Rubro por CUI'!$E$5:$E$460,MATCH("001|2533866",'Rubro por CUI'!$N$5:$N$460,0))</f>
        <v>0.0</v>
      </c>
      <c r="G352" s="7">
        <f>INDEX('Rubro por CUI'!$F$5:$F$460,MATCH("001|2533866",'Rubro por CUI'!$N$5:$N$460,0))</f>
        <v>0.0</v>
      </c>
      <c r="H352" s="7">
        <f>INDEX('Rubro por CUI'!$G$5:$G$460,MATCH("001|2533866",'Rubro por CUI'!$N$5:$N$460,0))</f>
        <v>32099.0</v>
      </c>
      <c r="I352" s="7">
        <f>INDEX('Rubro por CUI'!$H$5:$H$460,MATCH("001|2533866",'Rubro por CUI'!$N$5:$N$460,0))</f>
        <v>0.0</v>
      </c>
      <c r="J352" s="7">
        <f>INDEX('Rubro por CUI'!$I$5:$I$460,MATCH("001|2533866",'Rubro por CUI'!$N$5:$N$460,0))</f>
        <v>0.0</v>
      </c>
      <c r="K352" s="7">
        <f>L352-SUM(F352:J352)</f>
        <v>0.0</v>
      </c>
      <c r="L352" s="7">
        <f>SUMIFS(Base!$I$5:$I$509,Base!$A$5:$A$509,"001",Base!$F$5:$F$509,"2533866")</f>
        <v>32099.0</v>
      </c>
      <c r="M352" s="7">
        <f>D352-E352-L352</f>
        <v>27512516.0</v>
      </c>
      <c r="N352" s="6" t="s">
        <v>63</v>
      </c>
    </row>
    <row r="353" spans="1:14">
      <c r="A353" s="18">
        <v>337</v>
      </c>
      <c r="B353" s="18" t="s">
        <v>1969</v>
      </c>
      <c r="C353" s="6" t="s">
        <v>1245</v>
      </c>
      <c r="D353" s="23">
        <v>11664695</v>
      </c>
      <c r="E353" s="23">
        <v>3342630</v>
      </c>
      <c r="F353" s="7">
        <f>INDEX('Rubro por CUI'!$E$5:$E$460,MATCH("001|2250970",'Rubro por CUI'!$N$5:$N$460,0))</f>
        <v>0.0</v>
      </c>
      <c r="G353" s="7">
        <f>INDEX('Rubro por CUI'!$F$5:$F$460,MATCH("001|2250970",'Rubro por CUI'!$N$5:$N$460,0))</f>
        <v>0.0</v>
      </c>
      <c r="H353" s="7">
        <f>INDEX('Rubro por CUI'!$G$5:$G$460,MATCH("001|2250970",'Rubro por CUI'!$N$5:$N$460,0))</f>
        <v>30000.0</v>
      </c>
      <c r="I353" s="7">
        <f>INDEX('Rubro por CUI'!$H$5:$H$460,MATCH("001|2250970",'Rubro por CUI'!$N$5:$N$460,0))</f>
        <v>0.0</v>
      </c>
      <c r="J353" s="7">
        <f>INDEX('Rubro por CUI'!$I$5:$I$460,MATCH("001|2250970",'Rubro por CUI'!$N$5:$N$460,0))</f>
        <v>0.0</v>
      </c>
      <c r="K353" s="7">
        <f>L353-SUM(F353:J353)</f>
        <v>0.0</v>
      </c>
      <c r="L353" s="7">
        <f>SUMIFS(Base!$I$5:$I$509,Base!$A$5:$A$509,"001",Base!$F$5:$F$509,"2250970")</f>
        <v>30000.0</v>
      </c>
      <c r="M353" s="7">
        <f>D353-E353-L353</f>
        <v>8292065.0</v>
      </c>
      <c r="N353" s="6" t="s">
        <v>63</v>
      </c>
    </row>
    <row r="354" spans="1:14">
      <c r="A354" s="18">
        <v>338</v>
      </c>
      <c r="B354" s="18" t="s">
        <v>1970</v>
      </c>
      <c r="C354" s="6" t="s">
        <v>1260</v>
      </c>
      <c r="D354" s="23">
        <v>28123055</v>
      </c>
      <c r="E354" s="23">
        <v>0</v>
      </c>
      <c r="F354" s="7">
        <f>INDEX('Rubro por CUI'!$E$5:$E$460,MATCH("001|2684838",'Rubro por CUI'!$N$5:$N$460,0))</f>
        <v>0.0</v>
      </c>
      <c r="G354" s="7">
        <f>INDEX('Rubro por CUI'!$F$5:$F$460,MATCH("001|2684838",'Rubro por CUI'!$N$5:$N$460,0))</f>
        <v>0.0</v>
      </c>
      <c r="H354" s="7">
        <f>INDEX('Rubro por CUI'!$G$5:$G$460,MATCH("001|2684838",'Rubro por CUI'!$N$5:$N$460,0))</f>
        <v>11000.0</v>
      </c>
      <c r="I354" s="7">
        <f>INDEX('Rubro por CUI'!$H$5:$H$460,MATCH("001|2684838",'Rubro por CUI'!$N$5:$N$460,0))</f>
        <v>0.0</v>
      </c>
      <c r="J354" s="7">
        <f>INDEX('Rubro por CUI'!$I$5:$I$460,MATCH("001|2684838",'Rubro por CUI'!$N$5:$N$460,0))</f>
        <v>0.0</v>
      </c>
      <c r="K354" s="7">
        <f>L354-SUM(F354:J354)</f>
        <v>0.0</v>
      </c>
      <c r="L354" s="7">
        <f>SUMIFS(Base!$I$5:$I$509,Base!$A$5:$A$509,"001",Base!$F$5:$F$509,"2684838")</f>
        <v>11000.0</v>
      </c>
      <c r="M354" s="7">
        <f>D354-E354-L354</f>
        <v>28112055.0</v>
      </c>
      <c r="N354" s="6" t="s">
        <v>63</v>
      </c>
    </row>
    <row r="355" spans="1:14">
      <c r="A355" s="18">
        <v>339</v>
      </c>
      <c r="B355" s="18" t="s">
        <v>1971</v>
      </c>
      <c r="C355" s="6" t="s">
        <v>1251</v>
      </c>
      <c r="D355" s="23">
        <v>33995063</v>
      </c>
      <c r="E355" s="23">
        <v>383394</v>
      </c>
      <c r="F355" s="7">
        <f>INDEX('Rubro por CUI'!$E$5:$E$460,MATCH("001|2549395",'Rubro por CUI'!$N$5:$N$460,0))</f>
        <v>0.0</v>
      </c>
      <c r="G355" s="7">
        <f>INDEX('Rubro por CUI'!$F$5:$F$460,MATCH("001|2549395",'Rubro por CUI'!$N$5:$N$460,0))</f>
        <v>0.0</v>
      </c>
      <c r="H355" s="7">
        <f>INDEX('Rubro por CUI'!$G$5:$G$460,MATCH("001|2549395",'Rubro por CUI'!$N$5:$N$460,0))</f>
        <v>0.0</v>
      </c>
      <c r="I355" s="7">
        <f>INDEX('Rubro por CUI'!$H$5:$H$460,MATCH("001|2549395",'Rubro por CUI'!$N$5:$N$460,0))</f>
        <v>0.0</v>
      </c>
      <c r="J355" s="7">
        <f>INDEX('Rubro por CUI'!$I$5:$I$460,MATCH("001|2549395",'Rubro por CUI'!$N$5:$N$460,0))</f>
        <v>0.0</v>
      </c>
      <c r="K355" s="7">
        <f>L355-SUM(F355:J355)</f>
        <v>0.0</v>
      </c>
      <c r="L355" s="7">
        <f>SUMIFS(Base!$I$5:$I$509,Base!$A$5:$A$509,"001",Base!$F$5:$F$509,"2549395")</f>
        <v>0.0</v>
      </c>
      <c r="M355" s="7">
        <f>D355-E355-L355</f>
        <v>33611669.0</v>
      </c>
      <c r="N355" s="6" t="s">
        <v>63</v>
      </c>
    </row>
    <row r="356" spans="1:14">
      <c r="A356" s="18">
        <v>340</v>
      </c>
      <c r="B356" s="18" t="s">
        <v>1972</v>
      </c>
      <c r="C356" s="6" t="s">
        <v>1254</v>
      </c>
      <c r="D356" s="23">
        <v>22722338</v>
      </c>
      <c r="E356" s="23">
        <v>411527</v>
      </c>
      <c r="F356" s="7">
        <f>INDEX('Rubro por CUI'!$E$5:$E$460,MATCH("001|2566295",'Rubro por CUI'!$N$5:$N$460,0))</f>
        <v>0.0</v>
      </c>
      <c r="G356" s="7">
        <f>INDEX('Rubro por CUI'!$F$5:$F$460,MATCH("001|2566295",'Rubro por CUI'!$N$5:$N$460,0))</f>
        <v>0.0</v>
      </c>
      <c r="H356" s="7">
        <f>INDEX('Rubro por CUI'!$G$5:$G$460,MATCH("001|2566295",'Rubro por CUI'!$N$5:$N$460,0))</f>
        <v>0.0</v>
      </c>
      <c r="I356" s="7">
        <f>INDEX('Rubro por CUI'!$H$5:$H$460,MATCH("001|2566295",'Rubro por CUI'!$N$5:$N$460,0))</f>
        <v>0.0</v>
      </c>
      <c r="J356" s="7">
        <f>INDEX('Rubro por CUI'!$I$5:$I$460,MATCH("001|2566295",'Rubro por CUI'!$N$5:$N$460,0))</f>
        <v>0.0</v>
      </c>
      <c r="K356" s="7">
        <f>L356-SUM(F356:J356)</f>
        <v>0.0</v>
      </c>
      <c r="L356" s="7">
        <f>SUMIFS(Base!$I$5:$I$509,Base!$A$5:$A$509,"001",Base!$F$5:$F$509,"2566295")</f>
        <v>0.0</v>
      </c>
      <c r="M356" s="7">
        <f>D356-E356-L356</f>
        <v>22310811.0</v>
      </c>
      <c r="N356" s="6" t="s">
        <v>63</v>
      </c>
    </row>
    <row r="357" spans="1:14">
      <c r="A357" s="15" t="s">
        <v>964</v>
      </c>
      <c r="B357" s="15"/>
      <c r="C357" s="15"/>
      <c r="D357" s="16">
        <f>SUM(D358:D358)</f>
        <v>13160803.0</v>
      </c>
      <c r="E357" s="16">
        <f>SUM(E358:E358)</f>
        <v>314713.0</v>
      </c>
      <c r="F357" s="16">
        <f>SUM(F358:F358)</f>
        <v>0.0</v>
      </c>
      <c r="G357" s="16">
        <f>SUM(G358:G358)</f>
        <v>0.0</v>
      </c>
      <c r="H357" s="16">
        <f>SUM(H358:H358)</f>
        <v>0.0</v>
      </c>
      <c r="I357" s="16">
        <f>SUM(I358:I358)</f>
        <v>0.0</v>
      </c>
      <c r="J357" s="16">
        <f>SUM(J358:J358)</f>
        <v>0.0</v>
      </c>
      <c r="K357" s="16">
        <f>SUM(K358:K358)</f>
        <v>0.0</v>
      </c>
      <c r="L357" s="16">
        <f>SUM(L358:L358)</f>
        <v>0.0</v>
      </c>
      <c r="M357" s="16">
        <f>SUM(M358:M358)</f>
        <v>12846090.0</v>
      </c>
      <c r="N357" s="15"/>
    </row>
    <row r="358" spans="1:14">
      <c r="A358" s="18">
        <v>341</v>
      </c>
      <c r="B358" s="18" t="s">
        <v>1973</v>
      </c>
      <c r="C358" s="6" t="s">
        <v>967</v>
      </c>
      <c r="D358" s="23">
        <v>13160803</v>
      </c>
      <c r="E358" s="23">
        <v>314713</v>
      </c>
      <c r="F358" s="7">
        <f>INDEX('Rubro por CUI'!$E$5:$E$460,MATCH("001|2462296",'Rubro por CUI'!$N$5:$N$460,0))</f>
        <v>0.0</v>
      </c>
      <c r="G358" s="7">
        <f>INDEX('Rubro por CUI'!$F$5:$F$460,MATCH("001|2462296",'Rubro por CUI'!$N$5:$N$460,0))</f>
        <v>0.0</v>
      </c>
      <c r="H358" s="7">
        <f>INDEX('Rubro por CUI'!$G$5:$G$460,MATCH("001|2462296",'Rubro por CUI'!$N$5:$N$460,0))</f>
        <v>0.0</v>
      </c>
      <c r="I358" s="7">
        <f>INDEX('Rubro por CUI'!$H$5:$H$460,MATCH("001|2462296",'Rubro por CUI'!$N$5:$N$460,0))</f>
        <v>0.0</v>
      </c>
      <c r="J358" s="7">
        <f>INDEX('Rubro por CUI'!$I$5:$I$460,MATCH("001|2462296",'Rubro por CUI'!$N$5:$N$460,0))</f>
        <v>0.0</v>
      </c>
      <c r="K358" s="7">
        <f>L358-SUM(F358:J358)</f>
        <v>0.0</v>
      </c>
      <c r="L358" s="7">
        <f>SUMIFS(Base!$I$5:$I$509,Base!$A$5:$A$509,"001",Base!$F$5:$F$509,"2462296")</f>
        <v>0.0</v>
      </c>
      <c r="M358" s="7">
        <f>D358-E358-L358</f>
        <v>12846090.0</v>
      </c>
      <c r="N358" s="6" t="s">
        <v>63</v>
      </c>
    </row>
    <row r="359" spans="1:14">
      <c r="A359" s="15" t="s">
        <v>996</v>
      </c>
      <c r="B359" s="15"/>
      <c r="C359" s="15"/>
      <c r="D359" s="16">
        <f>SUM(D360:D425)</f>
        <v>129061903.0</v>
      </c>
      <c r="E359" s="16">
        <f>SUM(E360:E425)</f>
        <v>14639357.0</v>
      </c>
      <c r="F359" s="16">
        <f>SUM(F360:F425)</f>
        <v>0.0</v>
      </c>
      <c r="G359" s="16">
        <f>SUM(G360:G425)</f>
        <v>0.0</v>
      </c>
      <c r="H359" s="16">
        <f>SUM(H360:H425)</f>
        <v>10396003.0</v>
      </c>
      <c r="I359" s="16">
        <f>SUM(I360:I425)</f>
        <v>4271598.0</v>
      </c>
      <c r="J359" s="16">
        <f>SUM(J360:J425)</f>
        <v>0.0</v>
      </c>
      <c r="K359" s="16">
        <f>SUM(K360:K425)</f>
        <v>0.0</v>
      </c>
      <c r="L359" s="16">
        <f>SUM(L360:L425)</f>
        <v>14667601.0</v>
      </c>
      <c r="M359" s="16">
        <f>SUM(M360:M425)</f>
        <v>108306948.0</v>
      </c>
      <c r="N359" s="15"/>
    </row>
    <row r="360" spans="1:14">
      <c r="A360" s="18">
        <v>342</v>
      </c>
      <c r="B360" s="18" t="s">
        <v>1974</v>
      </c>
      <c r="C360" s="6" t="s">
        <v>1281</v>
      </c>
      <c r="D360" s="23">
        <v>42603143</v>
      </c>
      <c r="E360" s="23">
        <v>333584</v>
      </c>
      <c r="F360" s="7">
        <f>INDEX('Rubro por CUI'!$E$5:$E$460,MATCH("001|2603155",'Rubro por CUI'!$N$5:$N$460,0))</f>
        <v>0.0</v>
      </c>
      <c r="G360" s="7">
        <f>INDEX('Rubro por CUI'!$F$5:$F$460,MATCH("001|2603155",'Rubro por CUI'!$N$5:$N$460,0))</f>
        <v>0.0</v>
      </c>
      <c r="H360" s="7">
        <f>INDEX('Rubro por CUI'!$G$5:$G$460,MATCH("001|2603155",'Rubro por CUI'!$N$5:$N$460,0))</f>
        <v>1500000.0</v>
      </c>
      <c r="I360" s="7">
        <f>INDEX('Rubro por CUI'!$H$5:$H$460,MATCH("001|2603155",'Rubro por CUI'!$N$5:$N$460,0))</f>
        <v>2771598.0</v>
      </c>
      <c r="J360" s="7">
        <f>INDEX('Rubro por CUI'!$I$5:$I$460,MATCH("001|2603155",'Rubro por CUI'!$N$5:$N$460,0))</f>
        <v>0.0</v>
      </c>
      <c r="K360" s="7">
        <f>L360-SUM(F360:J360)</f>
        <v>0.0</v>
      </c>
      <c r="L360" s="7">
        <f>SUMIFS(Base!$I$5:$I$509,Base!$A$5:$A$509,"001",Base!$F$5:$F$509,"2603155")</f>
        <v>4271598.0</v>
      </c>
      <c r="M360" s="7">
        <f>D360-E360-L360</f>
        <v>37997961.0</v>
      </c>
      <c r="N360" s="6" t="s">
        <v>63</v>
      </c>
    </row>
    <row r="361" spans="1:14">
      <c r="A361" s="18">
        <v>343</v>
      </c>
      <c r="B361" s="18" t="s">
        <v>1975</v>
      </c>
      <c r="C361" s="6" t="s">
        <v>1238</v>
      </c>
      <c r="D361" s="23">
        <v>72313376</v>
      </c>
      <c r="E361" s="23">
        <v>495610</v>
      </c>
      <c r="F361" s="7">
        <f>INDEX('Rubro por CUI'!$E$5:$E$460,MATCH("001|2474102",'Rubro por CUI'!$N$5:$N$460,0))</f>
        <v>0.0</v>
      </c>
      <c r="G361" s="7">
        <f>INDEX('Rubro por CUI'!$F$5:$F$460,MATCH("001|2474102",'Rubro por CUI'!$N$5:$N$460,0))</f>
        <v>0.0</v>
      </c>
      <c r="H361" s="7">
        <f>INDEX('Rubro por CUI'!$G$5:$G$460,MATCH("001|2474102",'Rubro por CUI'!$N$5:$N$460,0))</f>
        <v>300000.0</v>
      </c>
      <c r="I361" s="7">
        <f>INDEX('Rubro por CUI'!$H$5:$H$460,MATCH("001|2474102",'Rubro por CUI'!$N$5:$N$460,0))</f>
        <v>1500000.0</v>
      </c>
      <c r="J361" s="7">
        <f>INDEX('Rubro por CUI'!$I$5:$I$460,MATCH("001|2474102",'Rubro por CUI'!$N$5:$N$460,0))</f>
        <v>0.0</v>
      </c>
      <c r="K361" s="7">
        <f>L361-SUM(F361:J361)</f>
        <v>0.0</v>
      </c>
      <c r="L361" s="7">
        <f>SUMIFS(Base!$I$5:$I$509,Base!$A$5:$A$509,"001",Base!$F$5:$F$509,"2474102")</f>
        <v>1800000.0</v>
      </c>
      <c r="M361" s="7">
        <f>D361-E361-L361</f>
        <v>70017766.0</v>
      </c>
      <c r="N361" s="6" t="s">
        <v>63</v>
      </c>
    </row>
    <row r="362" spans="1:14">
      <c r="A362" s="18">
        <v>344</v>
      </c>
      <c r="B362" s="18" t="s">
        <v>1976</v>
      </c>
      <c r="C362" s="6" t="s">
        <v>999</v>
      </c>
      <c r="D362" s="6" t="s">
        <v>69</v>
      </c>
      <c r="E362" s="6" t="s">
        <v>69</v>
      </c>
      <c r="F362" s="7">
        <f>INDEX('Rubro por CUI'!$E$5:$E$460,MATCH("001|2717186",'Rubro por CUI'!$N$5:$N$460,0))</f>
        <v>0.0</v>
      </c>
      <c r="G362" s="7">
        <f>INDEX('Rubro por CUI'!$F$5:$F$460,MATCH("001|2717186",'Rubro por CUI'!$N$5:$N$460,0))</f>
        <v>0.0</v>
      </c>
      <c r="H362" s="7">
        <f>INDEX('Rubro por CUI'!$G$5:$G$460,MATCH("001|2717186",'Rubro por CUI'!$N$5:$N$460,0))</f>
        <v>350000.0</v>
      </c>
      <c r="I362" s="7">
        <f>INDEX('Rubro por CUI'!$H$5:$H$460,MATCH("001|2717186",'Rubro por CUI'!$N$5:$N$460,0))</f>
        <v>0.0</v>
      </c>
      <c r="J362" s="7">
        <f>INDEX('Rubro por CUI'!$I$5:$I$460,MATCH("001|2717186",'Rubro por CUI'!$N$5:$N$460,0))</f>
        <v>0.0</v>
      </c>
      <c r="K362" s="7">
        <f>L362-SUM(F362:J362)</f>
        <v>0.0</v>
      </c>
      <c r="L362" s="7">
        <f>SUMIFS(Base!$I$5:$I$509,Base!$A$5:$A$509,"001",Base!$F$5:$F$509,"2717186")</f>
        <v>350000.0</v>
      </c>
      <c r="M362" s="6" t="s">
        <v>69</v>
      </c>
      <c r="N362" s="6" t="s">
        <v>1634</v>
      </c>
    </row>
    <row r="363" spans="1:14">
      <c r="A363" s="18">
        <v>345</v>
      </c>
      <c r="B363" s="18" t="s">
        <v>1977</v>
      </c>
      <c r="C363" s="6" t="s">
        <v>1002</v>
      </c>
      <c r="D363" s="6" t="s">
        <v>69</v>
      </c>
      <c r="E363" s="6" t="s">
        <v>69</v>
      </c>
      <c r="F363" s="7">
        <f>INDEX('Rubro por CUI'!$E$5:$E$460,MATCH("001|2717193",'Rubro por CUI'!$N$5:$N$460,0))</f>
        <v>0.0</v>
      </c>
      <c r="G363" s="7">
        <f>INDEX('Rubro por CUI'!$F$5:$F$460,MATCH("001|2717193",'Rubro por CUI'!$N$5:$N$460,0))</f>
        <v>0.0</v>
      </c>
      <c r="H363" s="7">
        <f>INDEX('Rubro por CUI'!$G$5:$G$460,MATCH("001|2717193",'Rubro por CUI'!$N$5:$N$460,0))</f>
        <v>349950.0</v>
      </c>
      <c r="I363" s="7">
        <f>INDEX('Rubro por CUI'!$H$5:$H$460,MATCH("001|2717193",'Rubro por CUI'!$N$5:$N$460,0))</f>
        <v>0.0</v>
      </c>
      <c r="J363" s="7">
        <f>INDEX('Rubro por CUI'!$I$5:$I$460,MATCH("001|2717193",'Rubro por CUI'!$N$5:$N$460,0))</f>
        <v>0.0</v>
      </c>
      <c r="K363" s="7">
        <f>L363-SUM(F363:J363)</f>
        <v>0.0</v>
      </c>
      <c r="L363" s="7">
        <f>SUMIFS(Base!$I$5:$I$509,Base!$A$5:$A$509,"001",Base!$F$5:$F$509,"2717193")</f>
        <v>349950.0</v>
      </c>
      <c r="M363" s="6" t="s">
        <v>69</v>
      </c>
      <c r="N363" s="6" t="s">
        <v>1634</v>
      </c>
    </row>
    <row r="364" spans="1:14">
      <c r="A364" s="18">
        <v>346</v>
      </c>
      <c r="B364" s="18" t="s">
        <v>1537</v>
      </c>
      <c r="C364" s="6" t="s">
        <v>1005</v>
      </c>
      <c r="D364" s="6" t="s">
        <v>69</v>
      </c>
      <c r="E364" s="6" t="s">
        <v>69</v>
      </c>
      <c r="F364" s="7">
        <f>INDEX('Rubro por CUI'!$E$5:$E$460,MATCH("001|2717178",'Rubro por CUI'!$N$5:$N$460,0))</f>
        <v>0.0</v>
      </c>
      <c r="G364" s="7">
        <f>INDEX('Rubro por CUI'!$F$5:$F$460,MATCH("001|2717178",'Rubro por CUI'!$N$5:$N$460,0))</f>
        <v>0.0</v>
      </c>
      <c r="H364" s="7">
        <f>INDEX('Rubro por CUI'!$G$5:$G$460,MATCH("001|2717178",'Rubro por CUI'!$N$5:$N$460,0))</f>
        <v>349899.0</v>
      </c>
      <c r="I364" s="7">
        <f>INDEX('Rubro por CUI'!$H$5:$H$460,MATCH("001|2717178",'Rubro por CUI'!$N$5:$N$460,0))</f>
        <v>0.0</v>
      </c>
      <c r="J364" s="7">
        <f>INDEX('Rubro por CUI'!$I$5:$I$460,MATCH("001|2717178",'Rubro por CUI'!$N$5:$N$460,0))</f>
        <v>0.0</v>
      </c>
      <c r="K364" s="7">
        <f>L364-SUM(F364:J364)</f>
        <v>0.0</v>
      </c>
      <c r="L364" s="7">
        <f>SUMIFS(Base!$I$5:$I$509,Base!$A$5:$A$509,"001",Base!$F$5:$F$509,"2717178")</f>
        <v>349899.0</v>
      </c>
      <c r="M364" s="6" t="s">
        <v>69</v>
      </c>
      <c r="N364" s="6" t="s">
        <v>1634</v>
      </c>
    </row>
    <row r="365" spans="1:14">
      <c r="A365" s="18">
        <v>347</v>
      </c>
      <c r="B365" s="18" t="s">
        <v>1978</v>
      </c>
      <c r="C365" s="6" t="s">
        <v>1008</v>
      </c>
      <c r="D365" s="6" t="s">
        <v>69</v>
      </c>
      <c r="E365" s="6" t="s">
        <v>69</v>
      </c>
      <c r="F365" s="7">
        <f>INDEX('Rubro por CUI'!$E$5:$E$460,MATCH("001|2717158",'Rubro por CUI'!$N$5:$N$460,0))</f>
        <v>0.0</v>
      </c>
      <c r="G365" s="7">
        <f>INDEX('Rubro por CUI'!$F$5:$F$460,MATCH("001|2717158",'Rubro por CUI'!$N$5:$N$460,0))</f>
        <v>0.0</v>
      </c>
      <c r="H365" s="7">
        <f>INDEX('Rubro por CUI'!$G$5:$G$460,MATCH("001|2717158",'Rubro por CUI'!$N$5:$N$460,0))</f>
        <v>349792.0</v>
      </c>
      <c r="I365" s="7">
        <f>INDEX('Rubro por CUI'!$H$5:$H$460,MATCH("001|2717158",'Rubro por CUI'!$N$5:$N$460,0))</f>
        <v>0.0</v>
      </c>
      <c r="J365" s="7">
        <f>INDEX('Rubro por CUI'!$I$5:$I$460,MATCH("001|2717158",'Rubro por CUI'!$N$5:$N$460,0))</f>
        <v>0.0</v>
      </c>
      <c r="K365" s="7">
        <f>L365-SUM(F365:J365)</f>
        <v>0.0</v>
      </c>
      <c r="L365" s="7">
        <f>SUMIFS(Base!$I$5:$I$509,Base!$A$5:$A$509,"001",Base!$F$5:$F$509,"2717158")</f>
        <v>349792.0</v>
      </c>
      <c r="M365" s="6" t="s">
        <v>69</v>
      </c>
      <c r="N365" s="6" t="s">
        <v>1634</v>
      </c>
    </row>
    <row r="366" spans="1:14">
      <c r="A366" s="18">
        <v>348</v>
      </c>
      <c r="B366" s="18" t="s">
        <v>1979</v>
      </c>
      <c r="C366" s="6" t="s">
        <v>1011</v>
      </c>
      <c r="D366" s="6" t="s">
        <v>69</v>
      </c>
      <c r="E366" s="6" t="s">
        <v>69</v>
      </c>
      <c r="F366" s="7">
        <f>INDEX('Rubro por CUI'!$E$5:$E$460,MATCH("001|2717173",'Rubro por CUI'!$N$5:$N$460,0))</f>
        <v>0.0</v>
      </c>
      <c r="G366" s="7">
        <f>INDEX('Rubro por CUI'!$F$5:$F$460,MATCH("001|2717173",'Rubro por CUI'!$N$5:$N$460,0))</f>
        <v>0.0</v>
      </c>
      <c r="H366" s="7">
        <f>INDEX('Rubro por CUI'!$G$5:$G$460,MATCH("001|2717173",'Rubro por CUI'!$N$5:$N$460,0))</f>
        <v>349792.0</v>
      </c>
      <c r="I366" s="7">
        <f>INDEX('Rubro por CUI'!$H$5:$H$460,MATCH("001|2717173",'Rubro por CUI'!$N$5:$N$460,0))</f>
        <v>0.0</v>
      </c>
      <c r="J366" s="7">
        <f>INDEX('Rubro por CUI'!$I$5:$I$460,MATCH("001|2717173",'Rubro por CUI'!$N$5:$N$460,0))</f>
        <v>0.0</v>
      </c>
      <c r="K366" s="7">
        <f>L366-SUM(F366:J366)</f>
        <v>0.0</v>
      </c>
      <c r="L366" s="7">
        <f>SUMIFS(Base!$I$5:$I$509,Base!$A$5:$A$509,"001",Base!$F$5:$F$509,"2717173")</f>
        <v>349792.0</v>
      </c>
      <c r="M366" s="6" t="s">
        <v>69</v>
      </c>
      <c r="N366" s="6" t="s">
        <v>1634</v>
      </c>
    </row>
    <row r="367" spans="1:14">
      <c r="A367" s="18">
        <v>349</v>
      </c>
      <c r="B367" s="18" t="s">
        <v>1980</v>
      </c>
      <c r="C367" s="6" t="s">
        <v>1014</v>
      </c>
      <c r="D367" s="6" t="s">
        <v>69</v>
      </c>
      <c r="E367" s="6" t="s">
        <v>69</v>
      </c>
      <c r="F367" s="7">
        <f>INDEX('Rubro por CUI'!$E$5:$E$460,MATCH("001|2717189",'Rubro por CUI'!$N$5:$N$460,0))</f>
        <v>0.0</v>
      </c>
      <c r="G367" s="7">
        <f>INDEX('Rubro por CUI'!$F$5:$F$460,MATCH("001|2717189",'Rubro por CUI'!$N$5:$N$460,0))</f>
        <v>0.0</v>
      </c>
      <c r="H367" s="7">
        <f>INDEX('Rubro por CUI'!$G$5:$G$460,MATCH("001|2717189",'Rubro por CUI'!$N$5:$N$460,0))</f>
        <v>346711.0</v>
      </c>
      <c r="I367" s="7">
        <f>INDEX('Rubro por CUI'!$H$5:$H$460,MATCH("001|2717189",'Rubro por CUI'!$N$5:$N$460,0))</f>
        <v>0.0</v>
      </c>
      <c r="J367" s="7">
        <f>INDEX('Rubro por CUI'!$I$5:$I$460,MATCH("001|2717189",'Rubro por CUI'!$N$5:$N$460,0))</f>
        <v>0.0</v>
      </c>
      <c r="K367" s="7">
        <f>L367-SUM(F367:J367)</f>
        <v>0.0</v>
      </c>
      <c r="L367" s="7">
        <f>SUMIFS(Base!$I$5:$I$509,Base!$A$5:$A$509,"001",Base!$F$5:$F$509,"2717189")</f>
        <v>346711.0</v>
      </c>
      <c r="M367" s="6" t="s">
        <v>69</v>
      </c>
      <c r="N367" s="6" t="s">
        <v>1634</v>
      </c>
    </row>
    <row r="368" spans="1:14">
      <c r="A368" s="18">
        <v>350</v>
      </c>
      <c r="B368" s="18" t="s">
        <v>1981</v>
      </c>
      <c r="C368" s="6" t="s">
        <v>1017</v>
      </c>
      <c r="D368" s="6" t="s">
        <v>69</v>
      </c>
      <c r="E368" s="6" t="s">
        <v>69</v>
      </c>
      <c r="F368" s="7">
        <f>INDEX('Rubro por CUI'!$E$5:$E$460,MATCH("001|2717151",'Rubro por CUI'!$N$5:$N$460,0))</f>
        <v>0.0</v>
      </c>
      <c r="G368" s="7">
        <f>INDEX('Rubro por CUI'!$F$5:$F$460,MATCH("001|2717151",'Rubro por CUI'!$N$5:$N$460,0))</f>
        <v>0.0</v>
      </c>
      <c r="H368" s="7">
        <f>INDEX('Rubro por CUI'!$G$5:$G$460,MATCH("001|2717151",'Rubro por CUI'!$N$5:$N$460,0))</f>
        <v>269980.0</v>
      </c>
      <c r="I368" s="7">
        <f>INDEX('Rubro por CUI'!$H$5:$H$460,MATCH("001|2717151",'Rubro por CUI'!$N$5:$N$460,0))</f>
        <v>0.0</v>
      </c>
      <c r="J368" s="7">
        <f>INDEX('Rubro por CUI'!$I$5:$I$460,MATCH("001|2717151",'Rubro por CUI'!$N$5:$N$460,0))</f>
        <v>0.0</v>
      </c>
      <c r="K368" s="7">
        <f>L368-SUM(F368:J368)</f>
        <v>0.0</v>
      </c>
      <c r="L368" s="7">
        <f>SUMIFS(Base!$I$5:$I$509,Base!$A$5:$A$509,"001",Base!$F$5:$F$509,"2717151")</f>
        <v>269980.0</v>
      </c>
      <c r="M368" s="6" t="s">
        <v>69</v>
      </c>
      <c r="N368" s="6" t="s">
        <v>1634</v>
      </c>
    </row>
    <row r="369" spans="1:14">
      <c r="A369" s="18">
        <v>351</v>
      </c>
      <c r="B369" s="18" t="s">
        <v>1982</v>
      </c>
      <c r="C369" s="6" t="s">
        <v>1020</v>
      </c>
      <c r="D369" s="6" t="s">
        <v>69</v>
      </c>
      <c r="E369" s="6" t="s">
        <v>69</v>
      </c>
      <c r="F369" s="7">
        <f>INDEX('Rubro por CUI'!$E$5:$E$460,MATCH("001|2676440",'Rubro por CUI'!$N$5:$N$460,0))</f>
        <v>0.0</v>
      </c>
      <c r="G369" s="7">
        <f>INDEX('Rubro por CUI'!$F$5:$F$460,MATCH("001|2676440",'Rubro por CUI'!$N$5:$N$460,0))</f>
        <v>0.0</v>
      </c>
      <c r="H369" s="7">
        <f>INDEX('Rubro por CUI'!$G$5:$G$460,MATCH("001|2676440",'Rubro por CUI'!$N$5:$N$460,0))</f>
        <v>209400.0</v>
      </c>
      <c r="I369" s="7">
        <f>INDEX('Rubro por CUI'!$H$5:$H$460,MATCH("001|2676440",'Rubro por CUI'!$N$5:$N$460,0))</f>
        <v>0.0</v>
      </c>
      <c r="J369" s="7">
        <f>INDEX('Rubro por CUI'!$I$5:$I$460,MATCH("001|2676440",'Rubro por CUI'!$N$5:$N$460,0))</f>
        <v>0.0</v>
      </c>
      <c r="K369" s="7">
        <f>L369-SUM(F369:J369)</f>
        <v>0.0</v>
      </c>
      <c r="L369" s="7">
        <f>SUMIFS(Base!$I$5:$I$509,Base!$A$5:$A$509,"001",Base!$F$5:$F$509,"2676440")</f>
        <v>209400.0</v>
      </c>
      <c r="M369" s="6" t="s">
        <v>69</v>
      </c>
      <c r="N369" s="6" t="s">
        <v>1634</v>
      </c>
    </row>
    <row r="370" spans="1:14">
      <c r="A370" s="18">
        <v>352</v>
      </c>
      <c r="B370" s="18" t="s">
        <v>1983</v>
      </c>
      <c r="C370" s="6" t="s">
        <v>1023</v>
      </c>
      <c r="D370" s="6" t="s">
        <v>69</v>
      </c>
      <c r="E370" s="6" t="s">
        <v>69</v>
      </c>
      <c r="F370" s="7">
        <f>INDEX('Rubro por CUI'!$E$5:$E$460,MATCH("001|2717156",'Rubro por CUI'!$N$5:$N$460,0))</f>
        <v>0.0</v>
      </c>
      <c r="G370" s="7">
        <f>INDEX('Rubro por CUI'!$F$5:$F$460,MATCH("001|2717156",'Rubro por CUI'!$N$5:$N$460,0))</f>
        <v>0.0</v>
      </c>
      <c r="H370" s="7">
        <f>INDEX('Rubro por CUI'!$G$5:$G$460,MATCH("001|2717156",'Rubro por CUI'!$N$5:$N$460,0))</f>
        <v>160000.0</v>
      </c>
      <c r="I370" s="7">
        <f>INDEX('Rubro por CUI'!$H$5:$H$460,MATCH("001|2717156",'Rubro por CUI'!$N$5:$N$460,0))</f>
        <v>0.0</v>
      </c>
      <c r="J370" s="7">
        <f>INDEX('Rubro por CUI'!$I$5:$I$460,MATCH("001|2717156",'Rubro por CUI'!$N$5:$N$460,0))</f>
        <v>0.0</v>
      </c>
      <c r="K370" s="7">
        <f>L370-SUM(F370:J370)</f>
        <v>0.0</v>
      </c>
      <c r="L370" s="7">
        <f>SUMIFS(Base!$I$5:$I$509,Base!$A$5:$A$509,"001",Base!$F$5:$F$509,"2717156")</f>
        <v>160000.0</v>
      </c>
      <c r="M370" s="6" t="s">
        <v>69</v>
      </c>
      <c r="N370" s="6" t="s">
        <v>1634</v>
      </c>
    </row>
    <row r="371" spans="1:14">
      <c r="A371" s="18">
        <v>353</v>
      </c>
      <c r="B371" s="18" t="s">
        <v>1984</v>
      </c>
      <c r="C371" s="6" t="s">
        <v>1026</v>
      </c>
      <c r="D371" s="6" t="s">
        <v>69</v>
      </c>
      <c r="E371" s="6" t="s">
        <v>69</v>
      </c>
      <c r="F371" s="7">
        <f>INDEX('Rubro por CUI'!$E$5:$E$460,MATCH("001|2717157",'Rubro por CUI'!$N$5:$N$460,0))</f>
        <v>0.0</v>
      </c>
      <c r="G371" s="7">
        <f>INDEX('Rubro por CUI'!$F$5:$F$460,MATCH("001|2717157",'Rubro por CUI'!$N$5:$N$460,0))</f>
        <v>0.0</v>
      </c>
      <c r="H371" s="7">
        <f>INDEX('Rubro por CUI'!$G$5:$G$460,MATCH("001|2717157",'Rubro por CUI'!$N$5:$N$460,0))</f>
        <v>160000.0</v>
      </c>
      <c r="I371" s="7">
        <f>INDEX('Rubro por CUI'!$H$5:$H$460,MATCH("001|2717157",'Rubro por CUI'!$N$5:$N$460,0))</f>
        <v>0.0</v>
      </c>
      <c r="J371" s="7">
        <f>INDEX('Rubro por CUI'!$I$5:$I$460,MATCH("001|2717157",'Rubro por CUI'!$N$5:$N$460,0))</f>
        <v>0.0</v>
      </c>
      <c r="K371" s="7">
        <f>L371-SUM(F371:J371)</f>
        <v>0.0</v>
      </c>
      <c r="L371" s="7">
        <f>SUMIFS(Base!$I$5:$I$509,Base!$A$5:$A$509,"001",Base!$F$5:$F$509,"2717157")</f>
        <v>160000.0</v>
      </c>
      <c r="M371" s="6" t="s">
        <v>69</v>
      </c>
      <c r="N371" s="6" t="s">
        <v>1634</v>
      </c>
    </row>
    <row r="372" spans="1:14">
      <c r="A372" s="18">
        <v>354</v>
      </c>
      <c r="B372" s="18" t="s">
        <v>1985</v>
      </c>
      <c r="C372" s="6" t="s">
        <v>1029</v>
      </c>
      <c r="D372" s="6" t="s">
        <v>69</v>
      </c>
      <c r="E372" s="6" t="s">
        <v>69</v>
      </c>
      <c r="F372" s="7">
        <f>INDEX('Rubro por CUI'!$E$5:$E$460,MATCH("001|2717161",'Rubro por CUI'!$N$5:$N$460,0))</f>
        <v>0.0</v>
      </c>
      <c r="G372" s="7">
        <f>INDEX('Rubro por CUI'!$F$5:$F$460,MATCH("001|2717161",'Rubro por CUI'!$N$5:$N$460,0))</f>
        <v>0.0</v>
      </c>
      <c r="H372" s="7">
        <f>INDEX('Rubro por CUI'!$G$5:$G$460,MATCH("001|2717161",'Rubro por CUI'!$N$5:$N$460,0))</f>
        <v>160000.0</v>
      </c>
      <c r="I372" s="7">
        <f>INDEX('Rubro por CUI'!$H$5:$H$460,MATCH("001|2717161",'Rubro por CUI'!$N$5:$N$460,0))</f>
        <v>0.0</v>
      </c>
      <c r="J372" s="7">
        <f>INDEX('Rubro por CUI'!$I$5:$I$460,MATCH("001|2717161",'Rubro por CUI'!$N$5:$N$460,0))</f>
        <v>0.0</v>
      </c>
      <c r="K372" s="7">
        <f>L372-SUM(F372:J372)</f>
        <v>0.0</v>
      </c>
      <c r="L372" s="7">
        <f>SUMIFS(Base!$I$5:$I$509,Base!$A$5:$A$509,"001",Base!$F$5:$F$509,"2717161")</f>
        <v>160000.0</v>
      </c>
      <c r="M372" s="6" t="s">
        <v>69</v>
      </c>
      <c r="N372" s="6" t="s">
        <v>1634</v>
      </c>
    </row>
    <row r="373" spans="1:14">
      <c r="A373" s="18">
        <v>355</v>
      </c>
      <c r="B373" s="18" t="s">
        <v>1986</v>
      </c>
      <c r="C373" s="6" t="s">
        <v>1032</v>
      </c>
      <c r="D373" s="6" t="s">
        <v>69</v>
      </c>
      <c r="E373" s="6" t="s">
        <v>69</v>
      </c>
      <c r="F373" s="7">
        <f>INDEX('Rubro por CUI'!$E$5:$E$460,MATCH("001|2717169",'Rubro por CUI'!$N$5:$N$460,0))</f>
        <v>0.0</v>
      </c>
      <c r="G373" s="7">
        <f>INDEX('Rubro por CUI'!$F$5:$F$460,MATCH("001|2717169",'Rubro por CUI'!$N$5:$N$460,0))</f>
        <v>0.0</v>
      </c>
      <c r="H373" s="7">
        <f>INDEX('Rubro por CUI'!$G$5:$G$460,MATCH("001|2717169",'Rubro por CUI'!$N$5:$N$460,0))</f>
        <v>160000.0</v>
      </c>
      <c r="I373" s="7">
        <f>INDEX('Rubro por CUI'!$H$5:$H$460,MATCH("001|2717169",'Rubro por CUI'!$N$5:$N$460,0))</f>
        <v>0.0</v>
      </c>
      <c r="J373" s="7">
        <f>INDEX('Rubro por CUI'!$I$5:$I$460,MATCH("001|2717169",'Rubro por CUI'!$N$5:$N$460,0))</f>
        <v>0.0</v>
      </c>
      <c r="K373" s="7">
        <f>L373-SUM(F373:J373)</f>
        <v>0.0</v>
      </c>
      <c r="L373" s="7">
        <f>SUMIFS(Base!$I$5:$I$509,Base!$A$5:$A$509,"001",Base!$F$5:$F$509,"2717169")</f>
        <v>160000.0</v>
      </c>
      <c r="M373" s="6" t="s">
        <v>69</v>
      </c>
      <c r="N373" s="6" t="s">
        <v>1634</v>
      </c>
    </row>
    <row r="374" spans="1:14">
      <c r="A374" s="18">
        <v>356</v>
      </c>
      <c r="B374" s="18" t="s">
        <v>1987</v>
      </c>
      <c r="C374" s="6" t="s">
        <v>1035</v>
      </c>
      <c r="D374" s="6" t="s">
        <v>69</v>
      </c>
      <c r="E374" s="6" t="s">
        <v>69</v>
      </c>
      <c r="F374" s="7">
        <f>INDEX('Rubro por CUI'!$E$5:$E$460,MATCH("001|2717172",'Rubro por CUI'!$N$5:$N$460,0))</f>
        <v>0.0</v>
      </c>
      <c r="G374" s="7">
        <f>INDEX('Rubro por CUI'!$F$5:$F$460,MATCH("001|2717172",'Rubro por CUI'!$N$5:$N$460,0))</f>
        <v>0.0</v>
      </c>
      <c r="H374" s="7">
        <f>INDEX('Rubro por CUI'!$G$5:$G$460,MATCH("001|2717172",'Rubro por CUI'!$N$5:$N$460,0))</f>
        <v>160000.0</v>
      </c>
      <c r="I374" s="7">
        <f>INDEX('Rubro por CUI'!$H$5:$H$460,MATCH("001|2717172",'Rubro por CUI'!$N$5:$N$460,0))</f>
        <v>0.0</v>
      </c>
      <c r="J374" s="7">
        <f>INDEX('Rubro por CUI'!$I$5:$I$460,MATCH("001|2717172",'Rubro por CUI'!$N$5:$N$460,0))</f>
        <v>0.0</v>
      </c>
      <c r="K374" s="7">
        <f>L374-SUM(F374:J374)</f>
        <v>0.0</v>
      </c>
      <c r="L374" s="7">
        <f>SUMIFS(Base!$I$5:$I$509,Base!$A$5:$A$509,"001",Base!$F$5:$F$509,"2717172")</f>
        <v>160000.0</v>
      </c>
      <c r="M374" s="6" t="s">
        <v>69</v>
      </c>
      <c r="N374" s="6" t="s">
        <v>1634</v>
      </c>
    </row>
    <row r="375" spans="1:14">
      <c r="A375" s="18">
        <v>357</v>
      </c>
      <c r="B375" s="18" t="s">
        <v>1988</v>
      </c>
      <c r="C375" s="6" t="s">
        <v>1038</v>
      </c>
      <c r="D375" s="6" t="s">
        <v>69</v>
      </c>
      <c r="E375" s="6" t="s">
        <v>69</v>
      </c>
      <c r="F375" s="7">
        <f>INDEX('Rubro por CUI'!$E$5:$E$460,MATCH("001|2717177",'Rubro por CUI'!$N$5:$N$460,0))</f>
        <v>0.0</v>
      </c>
      <c r="G375" s="7">
        <f>INDEX('Rubro por CUI'!$F$5:$F$460,MATCH("001|2717177",'Rubro por CUI'!$N$5:$N$460,0))</f>
        <v>0.0</v>
      </c>
      <c r="H375" s="7">
        <f>INDEX('Rubro por CUI'!$G$5:$G$460,MATCH("001|2717177",'Rubro por CUI'!$N$5:$N$460,0))</f>
        <v>160000.0</v>
      </c>
      <c r="I375" s="7">
        <f>INDEX('Rubro por CUI'!$H$5:$H$460,MATCH("001|2717177",'Rubro por CUI'!$N$5:$N$460,0))</f>
        <v>0.0</v>
      </c>
      <c r="J375" s="7">
        <f>INDEX('Rubro por CUI'!$I$5:$I$460,MATCH("001|2717177",'Rubro por CUI'!$N$5:$N$460,0))</f>
        <v>0.0</v>
      </c>
      <c r="K375" s="7">
        <f>L375-SUM(F375:J375)</f>
        <v>0.0</v>
      </c>
      <c r="L375" s="7">
        <f>SUMIFS(Base!$I$5:$I$509,Base!$A$5:$A$509,"001",Base!$F$5:$F$509,"2717177")</f>
        <v>160000.0</v>
      </c>
      <c r="M375" s="6" t="s">
        <v>69</v>
      </c>
      <c r="N375" s="6" t="s">
        <v>1634</v>
      </c>
    </row>
    <row r="376" spans="1:14">
      <c r="A376" s="18">
        <v>358</v>
      </c>
      <c r="B376" s="18" t="s">
        <v>1989</v>
      </c>
      <c r="C376" s="6" t="s">
        <v>1041</v>
      </c>
      <c r="D376" s="6" t="s">
        <v>69</v>
      </c>
      <c r="E376" s="6" t="s">
        <v>69</v>
      </c>
      <c r="F376" s="7">
        <f>INDEX('Rubro por CUI'!$E$5:$E$460,MATCH("001|2717188",'Rubro por CUI'!$N$5:$N$460,0))</f>
        <v>0.0</v>
      </c>
      <c r="G376" s="7">
        <f>INDEX('Rubro por CUI'!$F$5:$F$460,MATCH("001|2717188",'Rubro por CUI'!$N$5:$N$460,0))</f>
        <v>0.0</v>
      </c>
      <c r="H376" s="7">
        <f>INDEX('Rubro por CUI'!$G$5:$G$460,MATCH("001|2717188",'Rubro por CUI'!$N$5:$N$460,0))</f>
        <v>160000.0</v>
      </c>
      <c r="I376" s="7">
        <f>INDEX('Rubro por CUI'!$H$5:$H$460,MATCH("001|2717188",'Rubro por CUI'!$N$5:$N$460,0))</f>
        <v>0.0</v>
      </c>
      <c r="J376" s="7">
        <f>INDEX('Rubro por CUI'!$I$5:$I$460,MATCH("001|2717188",'Rubro por CUI'!$N$5:$N$460,0))</f>
        <v>0.0</v>
      </c>
      <c r="K376" s="7">
        <f>L376-SUM(F376:J376)</f>
        <v>0.0</v>
      </c>
      <c r="L376" s="7">
        <f>SUMIFS(Base!$I$5:$I$509,Base!$A$5:$A$509,"001",Base!$F$5:$F$509,"2717188")</f>
        <v>160000.0</v>
      </c>
      <c r="M376" s="6" t="s">
        <v>69</v>
      </c>
      <c r="N376" s="6" t="s">
        <v>1634</v>
      </c>
    </row>
    <row r="377" spans="1:14">
      <c r="A377" s="18">
        <v>359</v>
      </c>
      <c r="B377" s="18" t="s">
        <v>1990</v>
      </c>
      <c r="C377" s="6" t="s">
        <v>1044</v>
      </c>
      <c r="D377" s="6" t="s">
        <v>69</v>
      </c>
      <c r="E377" s="6" t="s">
        <v>69</v>
      </c>
      <c r="F377" s="7">
        <f>INDEX('Rubro por CUI'!$E$5:$E$460,MATCH("001|2717192",'Rubro por CUI'!$N$5:$N$460,0))</f>
        <v>0.0</v>
      </c>
      <c r="G377" s="7">
        <f>INDEX('Rubro por CUI'!$F$5:$F$460,MATCH("001|2717192",'Rubro por CUI'!$N$5:$N$460,0))</f>
        <v>0.0</v>
      </c>
      <c r="H377" s="7">
        <f>INDEX('Rubro por CUI'!$G$5:$G$460,MATCH("001|2717192",'Rubro por CUI'!$N$5:$N$460,0))</f>
        <v>160000.0</v>
      </c>
      <c r="I377" s="7">
        <f>INDEX('Rubro por CUI'!$H$5:$H$460,MATCH("001|2717192",'Rubro por CUI'!$N$5:$N$460,0))</f>
        <v>0.0</v>
      </c>
      <c r="J377" s="7">
        <f>INDEX('Rubro por CUI'!$I$5:$I$460,MATCH("001|2717192",'Rubro por CUI'!$N$5:$N$460,0))</f>
        <v>0.0</v>
      </c>
      <c r="K377" s="7">
        <f>L377-SUM(F377:J377)</f>
        <v>0.0</v>
      </c>
      <c r="L377" s="7">
        <f>SUMIFS(Base!$I$5:$I$509,Base!$A$5:$A$509,"001",Base!$F$5:$F$509,"2717192")</f>
        <v>160000.0</v>
      </c>
      <c r="M377" s="6" t="s">
        <v>69</v>
      </c>
      <c r="N377" s="6" t="s">
        <v>1634</v>
      </c>
    </row>
    <row r="378" spans="1:14">
      <c r="A378" s="18">
        <v>360</v>
      </c>
      <c r="B378" s="18" t="s">
        <v>1991</v>
      </c>
      <c r="C378" s="6" t="s">
        <v>1047</v>
      </c>
      <c r="D378" s="6" t="s">
        <v>69</v>
      </c>
      <c r="E378" s="6" t="s">
        <v>69</v>
      </c>
      <c r="F378" s="7">
        <f>INDEX('Rubro por CUI'!$E$5:$E$460,MATCH("001|2717194",'Rubro por CUI'!$N$5:$N$460,0))</f>
        <v>0.0</v>
      </c>
      <c r="G378" s="7">
        <f>INDEX('Rubro por CUI'!$F$5:$F$460,MATCH("001|2717194",'Rubro por CUI'!$N$5:$N$460,0))</f>
        <v>0.0</v>
      </c>
      <c r="H378" s="7">
        <f>INDEX('Rubro por CUI'!$G$5:$G$460,MATCH("001|2717194",'Rubro por CUI'!$N$5:$N$460,0))</f>
        <v>160000.0</v>
      </c>
      <c r="I378" s="7">
        <f>INDEX('Rubro por CUI'!$H$5:$H$460,MATCH("001|2717194",'Rubro por CUI'!$N$5:$N$460,0))</f>
        <v>0.0</v>
      </c>
      <c r="J378" s="7">
        <f>INDEX('Rubro por CUI'!$I$5:$I$460,MATCH("001|2717194",'Rubro por CUI'!$N$5:$N$460,0))</f>
        <v>0.0</v>
      </c>
      <c r="K378" s="7">
        <f>L378-SUM(F378:J378)</f>
        <v>0.0</v>
      </c>
      <c r="L378" s="7">
        <f>SUMIFS(Base!$I$5:$I$509,Base!$A$5:$A$509,"001",Base!$F$5:$F$509,"2717194")</f>
        <v>160000.0</v>
      </c>
      <c r="M378" s="6" t="s">
        <v>69</v>
      </c>
      <c r="N378" s="6" t="s">
        <v>1634</v>
      </c>
    </row>
    <row r="379" spans="1:14">
      <c r="A379" s="18">
        <v>361</v>
      </c>
      <c r="B379" s="18" t="s">
        <v>1992</v>
      </c>
      <c r="C379" s="6" t="s">
        <v>1182</v>
      </c>
      <c r="D379" s="6" t="s">
        <v>69</v>
      </c>
      <c r="E379" s="6" t="s">
        <v>69</v>
      </c>
      <c r="F379" s="7">
        <f>INDEX('Rubro por CUI'!$E$5:$E$460,MATCH("001|2717181",'Rubro por CUI'!$N$5:$N$460,0))</f>
        <v>0.0</v>
      </c>
      <c r="G379" s="7">
        <f>INDEX('Rubro por CUI'!$F$5:$F$460,MATCH("001|2717181",'Rubro por CUI'!$N$5:$N$460,0))</f>
        <v>0.0</v>
      </c>
      <c r="H379" s="7">
        <f>INDEX('Rubro por CUI'!$G$5:$G$460,MATCH("001|2717181",'Rubro por CUI'!$N$5:$N$460,0))</f>
        <v>159978.0</v>
      </c>
      <c r="I379" s="7">
        <f>INDEX('Rubro por CUI'!$H$5:$H$460,MATCH("001|2717181",'Rubro por CUI'!$N$5:$N$460,0))</f>
        <v>0.0</v>
      </c>
      <c r="J379" s="7">
        <f>INDEX('Rubro por CUI'!$I$5:$I$460,MATCH("001|2717181",'Rubro por CUI'!$N$5:$N$460,0))</f>
        <v>0.0</v>
      </c>
      <c r="K379" s="7">
        <f>L379-SUM(F379:J379)</f>
        <v>0.0</v>
      </c>
      <c r="L379" s="7">
        <f>SUMIFS(Base!$I$5:$I$509,Base!$A$5:$A$509,"001",Base!$F$5:$F$509,"2717181")</f>
        <v>159978.0</v>
      </c>
      <c r="M379" s="6" t="s">
        <v>69</v>
      </c>
      <c r="N379" s="6" t="s">
        <v>1634</v>
      </c>
    </row>
    <row r="380" spans="1:14">
      <c r="A380" s="18">
        <v>362</v>
      </c>
      <c r="B380" s="18" t="s">
        <v>1993</v>
      </c>
      <c r="C380" s="6" t="s">
        <v>1134</v>
      </c>
      <c r="D380" s="6" t="s">
        <v>69</v>
      </c>
      <c r="E380" s="6" t="s">
        <v>69</v>
      </c>
      <c r="F380" s="7">
        <f>INDEX('Rubro por CUI'!$E$5:$E$460,MATCH("001|2717160",'Rubro por CUI'!$N$5:$N$460,0))</f>
        <v>0.0</v>
      </c>
      <c r="G380" s="7">
        <f>INDEX('Rubro por CUI'!$F$5:$F$460,MATCH("001|2717160",'Rubro por CUI'!$N$5:$N$460,0))</f>
        <v>0.0</v>
      </c>
      <c r="H380" s="7">
        <f>INDEX('Rubro por CUI'!$G$5:$G$460,MATCH("001|2717160",'Rubro por CUI'!$N$5:$N$460,0))</f>
        <v>159890.0</v>
      </c>
      <c r="I380" s="7">
        <f>INDEX('Rubro por CUI'!$H$5:$H$460,MATCH("001|2717160",'Rubro por CUI'!$N$5:$N$460,0))</f>
        <v>0.0</v>
      </c>
      <c r="J380" s="7">
        <f>INDEX('Rubro por CUI'!$I$5:$I$460,MATCH("001|2717160",'Rubro por CUI'!$N$5:$N$460,0))</f>
        <v>0.0</v>
      </c>
      <c r="K380" s="7">
        <f>L380-SUM(F380:J380)</f>
        <v>0.0</v>
      </c>
      <c r="L380" s="7">
        <f>SUMIFS(Base!$I$5:$I$509,Base!$A$5:$A$509,"001",Base!$F$5:$F$509,"2717160")</f>
        <v>159890.0</v>
      </c>
      <c r="M380" s="6" t="s">
        <v>69</v>
      </c>
      <c r="N380" s="6" t="s">
        <v>1634</v>
      </c>
    </row>
    <row r="381" spans="1:14">
      <c r="A381" s="18">
        <v>363</v>
      </c>
      <c r="B381" s="18" t="s">
        <v>1994</v>
      </c>
      <c r="C381" s="6" t="s">
        <v>1179</v>
      </c>
      <c r="D381" s="6" t="s">
        <v>69</v>
      </c>
      <c r="E381" s="6" t="s">
        <v>69</v>
      </c>
      <c r="F381" s="7">
        <f>INDEX('Rubro por CUI'!$E$5:$E$460,MATCH("001|2717191",'Rubro por CUI'!$N$5:$N$460,0))</f>
        <v>0.0</v>
      </c>
      <c r="G381" s="7">
        <f>INDEX('Rubro por CUI'!$F$5:$F$460,MATCH("001|2717191",'Rubro por CUI'!$N$5:$N$460,0))</f>
        <v>0.0</v>
      </c>
      <c r="H381" s="7">
        <f>INDEX('Rubro por CUI'!$G$5:$G$460,MATCH("001|2717191",'Rubro por CUI'!$N$5:$N$460,0))</f>
        <v>159880.0</v>
      </c>
      <c r="I381" s="7">
        <f>INDEX('Rubro por CUI'!$H$5:$H$460,MATCH("001|2717191",'Rubro por CUI'!$N$5:$N$460,0))</f>
        <v>0.0</v>
      </c>
      <c r="J381" s="7">
        <f>INDEX('Rubro por CUI'!$I$5:$I$460,MATCH("001|2717191",'Rubro por CUI'!$N$5:$N$460,0))</f>
        <v>0.0</v>
      </c>
      <c r="K381" s="7">
        <f>L381-SUM(F381:J381)</f>
        <v>0.0</v>
      </c>
      <c r="L381" s="7">
        <f>SUMIFS(Base!$I$5:$I$509,Base!$A$5:$A$509,"001",Base!$F$5:$F$509,"2717191")</f>
        <v>159880.0</v>
      </c>
      <c r="M381" s="6" t="s">
        <v>69</v>
      </c>
      <c r="N381" s="6" t="s">
        <v>1634</v>
      </c>
    </row>
    <row r="382" spans="1:14">
      <c r="A382" s="18">
        <v>364</v>
      </c>
      <c r="B382" s="18" t="s">
        <v>1995</v>
      </c>
      <c r="C382" s="6" t="s">
        <v>1161</v>
      </c>
      <c r="D382" s="6" t="s">
        <v>69</v>
      </c>
      <c r="E382" s="6" t="s">
        <v>69</v>
      </c>
      <c r="F382" s="7">
        <f>INDEX('Rubro por CUI'!$E$5:$E$460,MATCH("001|2717176",'Rubro por CUI'!$N$5:$N$460,0))</f>
        <v>0.0</v>
      </c>
      <c r="G382" s="7">
        <f>INDEX('Rubro por CUI'!$F$5:$F$460,MATCH("001|2717176",'Rubro por CUI'!$N$5:$N$460,0))</f>
        <v>0.0</v>
      </c>
      <c r="H382" s="7">
        <f>INDEX('Rubro por CUI'!$G$5:$G$460,MATCH("001|2717176",'Rubro por CUI'!$N$5:$N$460,0))</f>
        <v>159876.0</v>
      </c>
      <c r="I382" s="7">
        <f>INDEX('Rubro por CUI'!$H$5:$H$460,MATCH("001|2717176",'Rubro por CUI'!$N$5:$N$460,0))</f>
        <v>0.0</v>
      </c>
      <c r="J382" s="7">
        <f>INDEX('Rubro por CUI'!$I$5:$I$460,MATCH("001|2717176",'Rubro por CUI'!$N$5:$N$460,0))</f>
        <v>0.0</v>
      </c>
      <c r="K382" s="7">
        <f>L382-SUM(F382:J382)</f>
        <v>0.0</v>
      </c>
      <c r="L382" s="7">
        <f>SUMIFS(Base!$I$5:$I$509,Base!$A$5:$A$509,"001",Base!$F$5:$F$509,"2717176")</f>
        <v>159876.0</v>
      </c>
      <c r="M382" s="6" t="s">
        <v>69</v>
      </c>
      <c r="N382" s="6" t="s">
        <v>1634</v>
      </c>
    </row>
    <row r="383" spans="1:14">
      <c r="A383" s="18">
        <v>365</v>
      </c>
      <c r="B383" s="18" t="s">
        <v>1996</v>
      </c>
      <c r="C383" s="6" t="s">
        <v>1149</v>
      </c>
      <c r="D383" s="6" t="s">
        <v>69</v>
      </c>
      <c r="E383" s="6" t="s">
        <v>69</v>
      </c>
      <c r="F383" s="7">
        <f>INDEX('Rubro por CUI'!$E$5:$E$460,MATCH("001|2717168",'Rubro por CUI'!$N$5:$N$460,0))</f>
        <v>0.0</v>
      </c>
      <c r="G383" s="7">
        <f>INDEX('Rubro por CUI'!$F$5:$F$460,MATCH("001|2717168",'Rubro por CUI'!$N$5:$N$460,0))</f>
        <v>0.0</v>
      </c>
      <c r="H383" s="7">
        <f>INDEX('Rubro por CUI'!$G$5:$G$460,MATCH("001|2717168",'Rubro por CUI'!$N$5:$N$460,0))</f>
        <v>159862.0</v>
      </c>
      <c r="I383" s="7">
        <f>INDEX('Rubro por CUI'!$H$5:$H$460,MATCH("001|2717168",'Rubro por CUI'!$N$5:$N$460,0))</f>
        <v>0.0</v>
      </c>
      <c r="J383" s="7">
        <f>INDEX('Rubro por CUI'!$I$5:$I$460,MATCH("001|2717168",'Rubro por CUI'!$N$5:$N$460,0))</f>
        <v>0.0</v>
      </c>
      <c r="K383" s="7">
        <f>L383-SUM(F383:J383)</f>
        <v>0.0</v>
      </c>
      <c r="L383" s="7">
        <f>SUMIFS(Base!$I$5:$I$509,Base!$A$5:$A$509,"001",Base!$F$5:$F$509,"2717168")</f>
        <v>159862.0</v>
      </c>
      <c r="M383" s="6" t="s">
        <v>69</v>
      </c>
      <c r="N383" s="6" t="s">
        <v>1634</v>
      </c>
    </row>
    <row r="384" spans="1:14">
      <c r="A384" s="18">
        <v>366</v>
      </c>
      <c r="B384" s="18" t="s">
        <v>1997</v>
      </c>
      <c r="C384" s="6" t="s">
        <v>1176</v>
      </c>
      <c r="D384" s="6" t="s">
        <v>69</v>
      </c>
      <c r="E384" s="6" t="s">
        <v>69</v>
      </c>
      <c r="F384" s="7">
        <f>INDEX('Rubro por CUI'!$E$5:$E$460,MATCH("001|2717190",'Rubro por CUI'!$N$5:$N$460,0))</f>
        <v>0.0</v>
      </c>
      <c r="G384" s="7">
        <f>INDEX('Rubro por CUI'!$F$5:$F$460,MATCH("001|2717190",'Rubro por CUI'!$N$5:$N$460,0))</f>
        <v>0.0</v>
      </c>
      <c r="H384" s="7">
        <f>INDEX('Rubro por CUI'!$G$5:$G$460,MATCH("001|2717190",'Rubro por CUI'!$N$5:$N$460,0))</f>
        <v>159830.0</v>
      </c>
      <c r="I384" s="7">
        <f>INDEX('Rubro por CUI'!$H$5:$H$460,MATCH("001|2717190",'Rubro por CUI'!$N$5:$N$460,0))</f>
        <v>0.0</v>
      </c>
      <c r="J384" s="7">
        <f>INDEX('Rubro por CUI'!$I$5:$I$460,MATCH("001|2717190",'Rubro por CUI'!$N$5:$N$460,0))</f>
        <v>0.0</v>
      </c>
      <c r="K384" s="7">
        <f>L384-SUM(F384:J384)</f>
        <v>0.0</v>
      </c>
      <c r="L384" s="7">
        <f>SUMIFS(Base!$I$5:$I$509,Base!$A$5:$A$509,"001",Base!$F$5:$F$509,"2717190")</f>
        <v>159830.0</v>
      </c>
      <c r="M384" s="6" t="s">
        <v>69</v>
      </c>
      <c r="N384" s="6" t="s">
        <v>1634</v>
      </c>
    </row>
    <row r="385" spans="1:14">
      <c r="A385" s="18">
        <v>367</v>
      </c>
      <c r="B385" s="18" t="s">
        <v>1998</v>
      </c>
      <c r="C385" s="6" t="s">
        <v>1155</v>
      </c>
      <c r="D385" s="6" t="s">
        <v>69</v>
      </c>
      <c r="E385" s="6" t="s">
        <v>69</v>
      </c>
      <c r="F385" s="7">
        <f>INDEX('Rubro por CUI'!$E$5:$E$460,MATCH("001|2717171",'Rubro por CUI'!$N$5:$N$460,0))</f>
        <v>0.0</v>
      </c>
      <c r="G385" s="7">
        <f>INDEX('Rubro por CUI'!$F$5:$F$460,MATCH("001|2717171",'Rubro por CUI'!$N$5:$N$460,0))</f>
        <v>0.0</v>
      </c>
      <c r="H385" s="7">
        <f>INDEX('Rubro por CUI'!$G$5:$G$460,MATCH("001|2717171",'Rubro por CUI'!$N$5:$N$460,0))</f>
        <v>159720.0</v>
      </c>
      <c r="I385" s="7">
        <f>INDEX('Rubro por CUI'!$H$5:$H$460,MATCH("001|2717171",'Rubro por CUI'!$N$5:$N$460,0))</f>
        <v>0.0</v>
      </c>
      <c r="J385" s="7">
        <f>INDEX('Rubro por CUI'!$I$5:$I$460,MATCH("001|2717171",'Rubro por CUI'!$N$5:$N$460,0))</f>
        <v>0.0</v>
      </c>
      <c r="K385" s="7">
        <f>L385-SUM(F385:J385)</f>
        <v>0.0</v>
      </c>
      <c r="L385" s="7">
        <f>SUMIFS(Base!$I$5:$I$509,Base!$A$5:$A$509,"001",Base!$F$5:$F$509,"2717171")</f>
        <v>159720.0</v>
      </c>
      <c r="M385" s="6" t="s">
        <v>69</v>
      </c>
      <c r="N385" s="6" t="s">
        <v>1634</v>
      </c>
    </row>
    <row r="386" spans="1:14">
      <c r="A386" s="18">
        <v>368</v>
      </c>
      <c r="B386" s="18" t="s">
        <v>1999</v>
      </c>
      <c r="C386" s="6" t="s">
        <v>1122</v>
      </c>
      <c r="D386" s="6" t="s">
        <v>69</v>
      </c>
      <c r="E386" s="6" t="s">
        <v>69</v>
      </c>
      <c r="F386" s="7">
        <f>INDEX('Rubro por CUI'!$E$5:$E$460,MATCH("001|2717153",'Rubro por CUI'!$N$5:$N$460,0))</f>
        <v>0.0</v>
      </c>
      <c r="G386" s="7">
        <f>INDEX('Rubro por CUI'!$F$5:$F$460,MATCH("001|2717153",'Rubro por CUI'!$N$5:$N$460,0))</f>
        <v>0.0</v>
      </c>
      <c r="H386" s="7">
        <f>INDEX('Rubro por CUI'!$G$5:$G$460,MATCH("001|2717153",'Rubro por CUI'!$N$5:$N$460,0))</f>
        <v>159613.0</v>
      </c>
      <c r="I386" s="7">
        <f>INDEX('Rubro por CUI'!$H$5:$H$460,MATCH("001|2717153",'Rubro por CUI'!$N$5:$N$460,0))</f>
        <v>0.0</v>
      </c>
      <c r="J386" s="7">
        <f>INDEX('Rubro por CUI'!$I$5:$I$460,MATCH("001|2717153",'Rubro por CUI'!$N$5:$N$460,0))</f>
        <v>0.0</v>
      </c>
      <c r="K386" s="7">
        <f>L386-SUM(F386:J386)</f>
        <v>0.0</v>
      </c>
      <c r="L386" s="7">
        <f>SUMIFS(Base!$I$5:$I$509,Base!$A$5:$A$509,"001",Base!$F$5:$F$509,"2717153")</f>
        <v>159613.0</v>
      </c>
      <c r="M386" s="6" t="s">
        <v>69</v>
      </c>
      <c r="N386" s="6" t="s">
        <v>1634</v>
      </c>
    </row>
    <row r="387" spans="1:14">
      <c r="A387" s="18">
        <v>369</v>
      </c>
      <c r="B387" s="18" t="s">
        <v>2000</v>
      </c>
      <c r="C387" s="6" t="s">
        <v>1173</v>
      </c>
      <c r="D387" s="6" t="s">
        <v>69</v>
      </c>
      <c r="E387" s="6" t="s">
        <v>69</v>
      </c>
      <c r="F387" s="7">
        <f>INDEX('Rubro por CUI'!$E$5:$E$460,MATCH("001|2717187",'Rubro por CUI'!$N$5:$N$460,0))</f>
        <v>0.0</v>
      </c>
      <c r="G387" s="7">
        <f>INDEX('Rubro por CUI'!$F$5:$F$460,MATCH("001|2717187",'Rubro por CUI'!$N$5:$N$460,0))</f>
        <v>0.0</v>
      </c>
      <c r="H387" s="7">
        <f>INDEX('Rubro por CUI'!$G$5:$G$460,MATCH("001|2717187",'Rubro por CUI'!$N$5:$N$460,0))</f>
        <v>159584.0</v>
      </c>
      <c r="I387" s="7">
        <f>INDEX('Rubro por CUI'!$H$5:$H$460,MATCH("001|2717187",'Rubro por CUI'!$N$5:$N$460,0))</f>
        <v>0.0</v>
      </c>
      <c r="J387" s="7">
        <f>INDEX('Rubro por CUI'!$I$5:$I$460,MATCH("001|2717187",'Rubro por CUI'!$N$5:$N$460,0))</f>
        <v>0.0</v>
      </c>
      <c r="K387" s="7">
        <f>L387-SUM(F387:J387)</f>
        <v>0.0</v>
      </c>
      <c r="L387" s="7">
        <f>SUMIFS(Base!$I$5:$I$509,Base!$A$5:$A$509,"001",Base!$F$5:$F$509,"2717187")</f>
        <v>159584.0</v>
      </c>
      <c r="M387" s="6" t="s">
        <v>69</v>
      </c>
      <c r="N387" s="6" t="s">
        <v>1634</v>
      </c>
    </row>
    <row r="388" spans="1:14">
      <c r="A388" s="18">
        <v>370</v>
      </c>
      <c r="B388" s="18" t="s">
        <v>2001</v>
      </c>
      <c r="C388" s="6" t="s">
        <v>1125</v>
      </c>
      <c r="D388" s="6" t="s">
        <v>69</v>
      </c>
      <c r="E388" s="6" t="s">
        <v>69</v>
      </c>
      <c r="F388" s="7">
        <f>INDEX('Rubro por CUI'!$E$5:$E$460,MATCH("001|2717154",'Rubro por CUI'!$N$5:$N$460,0))</f>
        <v>0.0</v>
      </c>
      <c r="G388" s="7">
        <f>INDEX('Rubro por CUI'!$F$5:$F$460,MATCH("001|2717154",'Rubro por CUI'!$N$5:$N$460,0))</f>
        <v>0.0</v>
      </c>
      <c r="H388" s="7">
        <f>INDEX('Rubro por CUI'!$G$5:$G$460,MATCH("001|2717154",'Rubro por CUI'!$N$5:$N$460,0))</f>
        <v>159555.0</v>
      </c>
      <c r="I388" s="7">
        <f>INDEX('Rubro por CUI'!$H$5:$H$460,MATCH("001|2717154",'Rubro por CUI'!$N$5:$N$460,0))</f>
        <v>0.0</v>
      </c>
      <c r="J388" s="7">
        <f>INDEX('Rubro por CUI'!$I$5:$I$460,MATCH("001|2717154",'Rubro por CUI'!$N$5:$N$460,0))</f>
        <v>0.0</v>
      </c>
      <c r="K388" s="7">
        <f>L388-SUM(F388:J388)</f>
        <v>0.0</v>
      </c>
      <c r="L388" s="7">
        <f>SUMIFS(Base!$I$5:$I$509,Base!$A$5:$A$509,"001",Base!$F$5:$F$509,"2717154")</f>
        <v>159555.0</v>
      </c>
      <c r="M388" s="6" t="s">
        <v>69</v>
      </c>
      <c r="N388" s="6" t="s">
        <v>1634</v>
      </c>
    </row>
    <row r="389" spans="1:14">
      <c r="A389" s="18">
        <v>371</v>
      </c>
      <c r="B389" s="18" t="s">
        <v>2002</v>
      </c>
      <c r="C389" s="6" t="s">
        <v>1113</v>
      </c>
      <c r="D389" s="6" t="s">
        <v>69</v>
      </c>
      <c r="E389" s="6" t="s">
        <v>69</v>
      </c>
      <c r="F389" s="7">
        <f>INDEX('Rubro por CUI'!$E$5:$E$460,MATCH("001|2717148",'Rubro por CUI'!$N$5:$N$460,0))</f>
        <v>0.0</v>
      </c>
      <c r="G389" s="7">
        <f>INDEX('Rubro por CUI'!$F$5:$F$460,MATCH("001|2717148",'Rubro por CUI'!$N$5:$N$460,0))</f>
        <v>0.0</v>
      </c>
      <c r="H389" s="7">
        <f>INDEX('Rubro por CUI'!$G$5:$G$460,MATCH("001|2717148",'Rubro por CUI'!$N$5:$N$460,0))</f>
        <v>159547.0</v>
      </c>
      <c r="I389" s="7">
        <f>INDEX('Rubro por CUI'!$H$5:$H$460,MATCH("001|2717148",'Rubro por CUI'!$N$5:$N$460,0))</f>
        <v>0.0</v>
      </c>
      <c r="J389" s="7">
        <f>INDEX('Rubro por CUI'!$I$5:$I$460,MATCH("001|2717148",'Rubro por CUI'!$N$5:$N$460,0))</f>
        <v>0.0</v>
      </c>
      <c r="K389" s="7">
        <f>L389-SUM(F389:J389)</f>
        <v>0.0</v>
      </c>
      <c r="L389" s="7">
        <f>SUMIFS(Base!$I$5:$I$509,Base!$A$5:$A$509,"001",Base!$F$5:$F$509,"2717148")</f>
        <v>159547.0</v>
      </c>
      <c r="M389" s="6" t="s">
        <v>69</v>
      </c>
      <c r="N389" s="6" t="s">
        <v>1634</v>
      </c>
    </row>
    <row r="390" spans="1:14">
      <c r="A390" s="18">
        <v>372</v>
      </c>
      <c r="B390" s="18" t="s">
        <v>2003</v>
      </c>
      <c r="C390" s="6" t="s">
        <v>1119</v>
      </c>
      <c r="D390" s="6" t="s">
        <v>69</v>
      </c>
      <c r="E390" s="6" t="s">
        <v>69</v>
      </c>
      <c r="F390" s="7">
        <f>INDEX('Rubro por CUI'!$E$5:$E$460,MATCH("001|2717152",'Rubro por CUI'!$N$5:$N$460,0))</f>
        <v>0.0</v>
      </c>
      <c r="G390" s="7">
        <f>INDEX('Rubro por CUI'!$F$5:$F$460,MATCH("001|2717152",'Rubro por CUI'!$N$5:$N$460,0))</f>
        <v>0.0</v>
      </c>
      <c r="H390" s="7">
        <f>INDEX('Rubro por CUI'!$G$5:$G$460,MATCH("001|2717152",'Rubro por CUI'!$N$5:$N$460,0))</f>
        <v>159352.0</v>
      </c>
      <c r="I390" s="7">
        <f>INDEX('Rubro por CUI'!$H$5:$H$460,MATCH("001|2717152",'Rubro por CUI'!$N$5:$N$460,0))</f>
        <v>0.0</v>
      </c>
      <c r="J390" s="7">
        <f>INDEX('Rubro por CUI'!$I$5:$I$460,MATCH("001|2717152",'Rubro por CUI'!$N$5:$N$460,0))</f>
        <v>0.0</v>
      </c>
      <c r="K390" s="7">
        <f>L390-SUM(F390:J390)</f>
        <v>0.0</v>
      </c>
      <c r="L390" s="7">
        <f>SUMIFS(Base!$I$5:$I$509,Base!$A$5:$A$509,"001",Base!$F$5:$F$509,"2717152")</f>
        <v>159352.0</v>
      </c>
      <c r="M390" s="6" t="s">
        <v>69</v>
      </c>
      <c r="N390" s="6" t="s">
        <v>1634</v>
      </c>
    </row>
    <row r="391" spans="1:14">
      <c r="A391" s="18">
        <v>373</v>
      </c>
      <c r="B391" s="18" t="s">
        <v>2004</v>
      </c>
      <c r="C391" s="6" t="s">
        <v>1137</v>
      </c>
      <c r="D391" s="6" t="s">
        <v>69</v>
      </c>
      <c r="E391" s="6" t="s">
        <v>69</v>
      </c>
      <c r="F391" s="7">
        <f>INDEX('Rubro por CUI'!$E$5:$E$460,MATCH("001|2717162",'Rubro por CUI'!$N$5:$N$460,0))</f>
        <v>0.0</v>
      </c>
      <c r="G391" s="7">
        <f>INDEX('Rubro por CUI'!$F$5:$F$460,MATCH("001|2717162",'Rubro por CUI'!$N$5:$N$460,0))</f>
        <v>0.0</v>
      </c>
      <c r="H391" s="7">
        <f>INDEX('Rubro por CUI'!$G$5:$G$460,MATCH("001|2717162",'Rubro por CUI'!$N$5:$N$460,0))</f>
        <v>159321.0</v>
      </c>
      <c r="I391" s="7">
        <f>INDEX('Rubro por CUI'!$H$5:$H$460,MATCH("001|2717162",'Rubro por CUI'!$N$5:$N$460,0))</f>
        <v>0.0</v>
      </c>
      <c r="J391" s="7">
        <f>INDEX('Rubro por CUI'!$I$5:$I$460,MATCH("001|2717162",'Rubro por CUI'!$N$5:$N$460,0))</f>
        <v>0.0</v>
      </c>
      <c r="K391" s="7">
        <f>L391-SUM(F391:J391)</f>
        <v>0.0</v>
      </c>
      <c r="L391" s="7">
        <f>SUMIFS(Base!$I$5:$I$509,Base!$A$5:$A$509,"001",Base!$F$5:$F$509,"2717162")</f>
        <v>159321.0</v>
      </c>
      <c r="M391" s="6" t="s">
        <v>69</v>
      </c>
      <c r="N391" s="6" t="s">
        <v>1634</v>
      </c>
    </row>
    <row r="392" spans="1:14">
      <c r="A392" s="18">
        <v>374</v>
      </c>
      <c r="B392" s="18" t="s">
        <v>2005</v>
      </c>
      <c r="C392" s="6" t="s">
        <v>1146</v>
      </c>
      <c r="D392" s="6" t="s">
        <v>69</v>
      </c>
      <c r="E392" s="6" t="s">
        <v>69</v>
      </c>
      <c r="F392" s="7">
        <f>INDEX('Rubro por CUI'!$E$5:$E$460,MATCH("001|2717167",'Rubro por CUI'!$N$5:$N$460,0))</f>
        <v>0.0</v>
      </c>
      <c r="G392" s="7">
        <f>INDEX('Rubro por CUI'!$F$5:$F$460,MATCH("001|2717167",'Rubro por CUI'!$N$5:$N$460,0))</f>
        <v>0.0</v>
      </c>
      <c r="H392" s="7">
        <f>INDEX('Rubro por CUI'!$G$5:$G$460,MATCH("001|2717167",'Rubro por CUI'!$N$5:$N$460,0))</f>
        <v>159060.0</v>
      </c>
      <c r="I392" s="7">
        <f>INDEX('Rubro por CUI'!$H$5:$H$460,MATCH("001|2717167",'Rubro por CUI'!$N$5:$N$460,0))</f>
        <v>0.0</v>
      </c>
      <c r="J392" s="7">
        <f>INDEX('Rubro por CUI'!$I$5:$I$460,MATCH("001|2717167",'Rubro por CUI'!$N$5:$N$460,0))</f>
        <v>0.0</v>
      </c>
      <c r="K392" s="7">
        <f>L392-SUM(F392:J392)</f>
        <v>0.0</v>
      </c>
      <c r="L392" s="7">
        <f>SUMIFS(Base!$I$5:$I$509,Base!$A$5:$A$509,"001",Base!$F$5:$F$509,"2717167")</f>
        <v>159060.0</v>
      </c>
      <c r="M392" s="6" t="s">
        <v>69</v>
      </c>
      <c r="N392" s="6" t="s">
        <v>1634</v>
      </c>
    </row>
    <row r="393" spans="1:14">
      <c r="A393" s="18">
        <v>375</v>
      </c>
      <c r="B393" s="18" t="s">
        <v>2006</v>
      </c>
      <c r="C393" s="6" t="s">
        <v>1170</v>
      </c>
      <c r="D393" s="6" t="s">
        <v>69</v>
      </c>
      <c r="E393" s="6" t="s">
        <v>69</v>
      </c>
      <c r="F393" s="7">
        <f>INDEX('Rubro por CUI'!$E$5:$E$460,MATCH("001|2717184",'Rubro por CUI'!$N$5:$N$460,0))</f>
        <v>0.0</v>
      </c>
      <c r="G393" s="7">
        <f>INDEX('Rubro por CUI'!$F$5:$F$460,MATCH("001|2717184",'Rubro por CUI'!$N$5:$N$460,0))</f>
        <v>0.0</v>
      </c>
      <c r="H393" s="7">
        <f>INDEX('Rubro por CUI'!$G$5:$G$460,MATCH("001|2717184",'Rubro por CUI'!$N$5:$N$460,0))</f>
        <v>159041.0</v>
      </c>
      <c r="I393" s="7">
        <f>INDEX('Rubro por CUI'!$H$5:$H$460,MATCH("001|2717184",'Rubro por CUI'!$N$5:$N$460,0))</f>
        <v>0.0</v>
      </c>
      <c r="J393" s="7">
        <f>INDEX('Rubro por CUI'!$I$5:$I$460,MATCH("001|2717184",'Rubro por CUI'!$N$5:$N$460,0))</f>
        <v>0.0</v>
      </c>
      <c r="K393" s="7">
        <f>L393-SUM(F393:J393)</f>
        <v>0.0</v>
      </c>
      <c r="L393" s="7">
        <f>SUMIFS(Base!$I$5:$I$509,Base!$A$5:$A$509,"001",Base!$F$5:$F$509,"2717184")</f>
        <v>159041.0</v>
      </c>
      <c r="M393" s="6" t="s">
        <v>69</v>
      </c>
      <c r="N393" s="6" t="s">
        <v>1634</v>
      </c>
    </row>
    <row r="394" spans="1:14">
      <c r="A394" s="18">
        <v>376</v>
      </c>
      <c r="B394" s="18" t="s">
        <v>2007</v>
      </c>
      <c r="C394" s="6" t="s">
        <v>1158</v>
      </c>
      <c r="D394" s="6" t="s">
        <v>69</v>
      </c>
      <c r="E394" s="6" t="s">
        <v>69</v>
      </c>
      <c r="F394" s="7">
        <f>INDEX('Rubro por CUI'!$E$5:$E$460,MATCH("001|2717174",'Rubro por CUI'!$N$5:$N$460,0))</f>
        <v>0.0</v>
      </c>
      <c r="G394" s="7">
        <f>INDEX('Rubro por CUI'!$F$5:$F$460,MATCH("001|2717174",'Rubro por CUI'!$N$5:$N$460,0))</f>
        <v>0.0</v>
      </c>
      <c r="H394" s="7">
        <f>INDEX('Rubro por CUI'!$G$5:$G$460,MATCH("001|2717174",'Rubro por CUI'!$N$5:$N$460,0))</f>
        <v>159007.0</v>
      </c>
      <c r="I394" s="7">
        <f>INDEX('Rubro por CUI'!$H$5:$H$460,MATCH("001|2717174",'Rubro por CUI'!$N$5:$N$460,0))</f>
        <v>0.0</v>
      </c>
      <c r="J394" s="7">
        <f>INDEX('Rubro por CUI'!$I$5:$I$460,MATCH("001|2717174",'Rubro por CUI'!$N$5:$N$460,0))</f>
        <v>0.0</v>
      </c>
      <c r="K394" s="7">
        <f>L394-SUM(F394:J394)</f>
        <v>0.0</v>
      </c>
      <c r="L394" s="7">
        <f>SUMIFS(Base!$I$5:$I$509,Base!$A$5:$A$509,"001",Base!$F$5:$F$509,"2717174")</f>
        <v>159007.0</v>
      </c>
      <c r="M394" s="6" t="s">
        <v>69</v>
      </c>
      <c r="N394" s="6" t="s">
        <v>1634</v>
      </c>
    </row>
    <row r="395" spans="1:14">
      <c r="A395" s="18">
        <v>377</v>
      </c>
      <c r="B395" s="18" t="s">
        <v>2008</v>
      </c>
      <c r="C395" s="6" t="s">
        <v>1116</v>
      </c>
      <c r="D395" s="6" t="s">
        <v>69</v>
      </c>
      <c r="E395" s="6" t="s">
        <v>69</v>
      </c>
      <c r="F395" s="7">
        <f>INDEX('Rubro por CUI'!$E$5:$E$460,MATCH("001|2717149",'Rubro por CUI'!$N$5:$N$460,0))</f>
        <v>0.0</v>
      </c>
      <c r="G395" s="7">
        <f>INDEX('Rubro por CUI'!$F$5:$F$460,MATCH("001|2717149",'Rubro por CUI'!$N$5:$N$460,0))</f>
        <v>0.0</v>
      </c>
      <c r="H395" s="7">
        <f>INDEX('Rubro por CUI'!$G$5:$G$460,MATCH("001|2717149",'Rubro por CUI'!$N$5:$N$460,0))</f>
        <v>158642.0</v>
      </c>
      <c r="I395" s="7">
        <f>INDEX('Rubro por CUI'!$H$5:$H$460,MATCH("001|2717149",'Rubro por CUI'!$N$5:$N$460,0))</f>
        <v>0.0</v>
      </c>
      <c r="J395" s="7">
        <f>INDEX('Rubro por CUI'!$I$5:$I$460,MATCH("001|2717149",'Rubro por CUI'!$N$5:$N$460,0))</f>
        <v>0.0</v>
      </c>
      <c r="K395" s="7">
        <f>L395-SUM(F395:J395)</f>
        <v>0.0</v>
      </c>
      <c r="L395" s="7">
        <f>SUMIFS(Base!$I$5:$I$509,Base!$A$5:$A$509,"001",Base!$F$5:$F$509,"2717149")</f>
        <v>158642.0</v>
      </c>
      <c r="M395" s="6" t="s">
        <v>69</v>
      </c>
      <c r="N395" s="6" t="s">
        <v>1634</v>
      </c>
    </row>
    <row r="396" spans="1:14">
      <c r="A396" s="18">
        <v>378</v>
      </c>
      <c r="B396" s="18" t="s">
        <v>2009</v>
      </c>
      <c r="C396" s="6" t="s">
        <v>1167</v>
      </c>
      <c r="D396" s="6" t="s">
        <v>69</v>
      </c>
      <c r="E396" s="6" t="s">
        <v>69</v>
      </c>
      <c r="F396" s="7">
        <f>INDEX('Rubro por CUI'!$E$5:$E$460,MATCH("001|2717180",'Rubro por CUI'!$N$5:$N$460,0))</f>
        <v>0.0</v>
      </c>
      <c r="G396" s="7">
        <f>INDEX('Rubro por CUI'!$F$5:$F$460,MATCH("001|2717180",'Rubro por CUI'!$N$5:$N$460,0))</f>
        <v>0.0</v>
      </c>
      <c r="H396" s="7">
        <f>INDEX('Rubro por CUI'!$G$5:$G$460,MATCH("001|2717180",'Rubro por CUI'!$N$5:$N$460,0))</f>
        <v>158640.0</v>
      </c>
      <c r="I396" s="7">
        <f>INDEX('Rubro por CUI'!$H$5:$H$460,MATCH("001|2717180",'Rubro por CUI'!$N$5:$N$460,0))</f>
        <v>0.0</v>
      </c>
      <c r="J396" s="7">
        <f>INDEX('Rubro por CUI'!$I$5:$I$460,MATCH("001|2717180",'Rubro por CUI'!$N$5:$N$460,0))</f>
        <v>0.0</v>
      </c>
      <c r="K396" s="7">
        <f>L396-SUM(F396:J396)</f>
        <v>0.0</v>
      </c>
      <c r="L396" s="7">
        <f>SUMIFS(Base!$I$5:$I$509,Base!$A$5:$A$509,"001",Base!$F$5:$F$509,"2717180")</f>
        <v>158640.0</v>
      </c>
      <c r="M396" s="6" t="s">
        <v>69</v>
      </c>
      <c r="N396" s="6" t="s">
        <v>1634</v>
      </c>
    </row>
    <row r="397" spans="1:14">
      <c r="A397" s="18">
        <v>379</v>
      </c>
      <c r="B397" s="18" t="s">
        <v>2010</v>
      </c>
      <c r="C397" s="6" t="s">
        <v>1164</v>
      </c>
      <c r="D397" s="6" t="s">
        <v>69</v>
      </c>
      <c r="E397" s="6" t="s">
        <v>69</v>
      </c>
      <c r="F397" s="7">
        <f>INDEX('Rubro por CUI'!$E$5:$E$460,MATCH("001|2717179",'Rubro por CUI'!$N$5:$N$460,0))</f>
        <v>0.0</v>
      </c>
      <c r="G397" s="7">
        <f>INDEX('Rubro por CUI'!$F$5:$F$460,MATCH("001|2717179",'Rubro por CUI'!$N$5:$N$460,0))</f>
        <v>0.0</v>
      </c>
      <c r="H397" s="7">
        <f>INDEX('Rubro por CUI'!$G$5:$G$460,MATCH("001|2717179",'Rubro por CUI'!$N$5:$N$460,0))</f>
        <v>158527.0</v>
      </c>
      <c r="I397" s="7">
        <f>INDEX('Rubro por CUI'!$H$5:$H$460,MATCH("001|2717179",'Rubro por CUI'!$N$5:$N$460,0))</f>
        <v>0.0</v>
      </c>
      <c r="J397" s="7">
        <f>INDEX('Rubro por CUI'!$I$5:$I$460,MATCH("001|2717179",'Rubro por CUI'!$N$5:$N$460,0))</f>
        <v>0.0</v>
      </c>
      <c r="K397" s="7">
        <f>L397-SUM(F397:J397)</f>
        <v>0.0</v>
      </c>
      <c r="L397" s="7">
        <f>SUMIFS(Base!$I$5:$I$509,Base!$A$5:$A$509,"001",Base!$F$5:$F$509,"2717179")</f>
        <v>158527.0</v>
      </c>
      <c r="M397" s="6" t="s">
        <v>69</v>
      </c>
      <c r="N397" s="6" t="s">
        <v>1634</v>
      </c>
    </row>
    <row r="398" spans="1:14">
      <c r="A398" s="18">
        <v>380</v>
      </c>
      <c r="B398" s="18" t="s">
        <v>2011</v>
      </c>
      <c r="C398" s="6" t="s">
        <v>1152</v>
      </c>
      <c r="D398" s="6" t="s">
        <v>69</v>
      </c>
      <c r="E398" s="6" t="s">
        <v>69</v>
      </c>
      <c r="F398" s="7">
        <f>INDEX('Rubro por CUI'!$E$5:$E$460,MATCH("001|2717170",'Rubro por CUI'!$N$5:$N$460,0))</f>
        <v>0.0</v>
      </c>
      <c r="G398" s="7">
        <f>INDEX('Rubro por CUI'!$F$5:$F$460,MATCH("001|2717170",'Rubro por CUI'!$N$5:$N$460,0))</f>
        <v>0.0</v>
      </c>
      <c r="H398" s="7">
        <f>INDEX('Rubro por CUI'!$G$5:$G$460,MATCH("001|2717170",'Rubro por CUI'!$N$5:$N$460,0))</f>
        <v>157300.0</v>
      </c>
      <c r="I398" s="7">
        <f>INDEX('Rubro por CUI'!$H$5:$H$460,MATCH("001|2717170",'Rubro por CUI'!$N$5:$N$460,0))</f>
        <v>0.0</v>
      </c>
      <c r="J398" s="7">
        <f>INDEX('Rubro por CUI'!$I$5:$I$460,MATCH("001|2717170",'Rubro por CUI'!$N$5:$N$460,0))</f>
        <v>0.0</v>
      </c>
      <c r="K398" s="7">
        <f>L398-SUM(F398:J398)</f>
        <v>0.0</v>
      </c>
      <c r="L398" s="7">
        <f>SUMIFS(Base!$I$5:$I$509,Base!$A$5:$A$509,"001",Base!$F$5:$F$509,"2717170")</f>
        <v>157300.0</v>
      </c>
      <c r="M398" s="6" t="s">
        <v>69</v>
      </c>
      <c r="N398" s="6" t="s">
        <v>1634</v>
      </c>
    </row>
    <row r="399" spans="1:14">
      <c r="A399" s="18">
        <v>381</v>
      </c>
      <c r="B399" s="18" t="s">
        <v>2012</v>
      </c>
      <c r="C399" s="6" t="s">
        <v>1143</v>
      </c>
      <c r="D399" s="6" t="s">
        <v>69</v>
      </c>
      <c r="E399" s="6" t="s">
        <v>69</v>
      </c>
      <c r="F399" s="7">
        <f>INDEX('Rubro por CUI'!$E$5:$E$460,MATCH("001|2717166",'Rubro por CUI'!$N$5:$N$460,0))</f>
        <v>0.0</v>
      </c>
      <c r="G399" s="7">
        <f>INDEX('Rubro por CUI'!$F$5:$F$460,MATCH("001|2717166",'Rubro por CUI'!$N$5:$N$460,0))</f>
        <v>0.0</v>
      </c>
      <c r="H399" s="7">
        <f>INDEX('Rubro por CUI'!$G$5:$G$460,MATCH("001|2717166",'Rubro por CUI'!$N$5:$N$460,0))</f>
        <v>155656.0</v>
      </c>
      <c r="I399" s="7">
        <f>INDEX('Rubro por CUI'!$H$5:$H$460,MATCH("001|2717166",'Rubro por CUI'!$N$5:$N$460,0))</f>
        <v>0.0</v>
      </c>
      <c r="J399" s="7">
        <f>INDEX('Rubro por CUI'!$I$5:$I$460,MATCH("001|2717166",'Rubro por CUI'!$N$5:$N$460,0))</f>
        <v>0.0</v>
      </c>
      <c r="K399" s="7">
        <f>L399-SUM(F399:J399)</f>
        <v>0.0</v>
      </c>
      <c r="L399" s="7">
        <f>SUMIFS(Base!$I$5:$I$509,Base!$A$5:$A$509,"001",Base!$F$5:$F$509,"2717166")</f>
        <v>155656.0</v>
      </c>
      <c r="M399" s="6" t="s">
        <v>69</v>
      </c>
      <c r="N399" s="6" t="s">
        <v>1634</v>
      </c>
    </row>
    <row r="400" spans="1:14">
      <c r="A400" s="18">
        <v>382</v>
      </c>
      <c r="B400" s="18" t="s">
        <v>2013</v>
      </c>
      <c r="C400" s="6" t="s">
        <v>1131</v>
      </c>
      <c r="D400" s="6" t="s">
        <v>69</v>
      </c>
      <c r="E400" s="6" t="s">
        <v>69</v>
      </c>
      <c r="F400" s="7">
        <f>INDEX('Rubro por CUI'!$E$5:$E$460,MATCH("001|2717159",'Rubro por CUI'!$N$5:$N$460,0))</f>
        <v>0.0</v>
      </c>
      <c r="G400" s="7">
        <f>INDEX('Rubro por CUI'!$F$5:$F$460,MATCH("001|2717159",'Rubro por CUI'!$N$5:$N$460,0))</f>
        <v>0.0</v>
      </c>
      <c r="H400" s="7">
        <f>INDEX('Rubro por CUI'!$G$5:$G$460,MATCH("001|2717159",'Rubro por CUI'!$N$5:$N$460,0))</f>
        <v>155278.0</v>
      </c>
      <c r="I400" s="7">
        <f>INDEX('Rubro por CUI'!$H$5:$H$460,MATCH("001|2717159",'Rubro por CUI'!$N$5:$N$460,0))</f>
        <v>0.0</v>
      </c>
      <c r="J400" s="7">
        <f>INDEX('Rubro por CUI'!$I$5:$I$460,MATCH("001|2717159",'Rubro por CUI'!$N$5:$N$460,0))</f>
        <v>0.0</v>
      </c>
      <c r="K400" s="7">
        <f>L400-SUM(F400:J400)</f>
        <v>0.0</v>
      </c>
      <c r="L400" s="7">
        <f>SUMIFS(Base!$I$5:$I$509,Base!$A$5:$A$509,"001",Base!$F$5:$F$509,"2717159")</f>
        <v>155278.0</v>
      </c>
      <c r="M400" s="6" t="s">
        <v>69</v>
      </c>
      <c r="N400" s="6" t="s">
        <v>1634</v>
      </c>
    </row>
    <row r="401" spans="1:14">
      <c r="A401" s="18">
        <v>383</v>
      </c>
      <c r="B401" s="18" t="s">
        <v>2014</v>
      </c>
      <c r="C401" s="6" t="s">
        <v>1128</v>
      </c>
      <c r="D401" s="6" t="s">
        <v>69</v>
      </c>
      <c r="E401" s="6" t="s">
        <v>69</v>
      </c>
      <c r="F401" s="7">
        <f>INDEX('Rubro por CUI'!$E$5:$E$460,MATCH("001|2717155",'Rubro por CUI'!$N$5:$N$460,0))</f>
        <v>0.0</v>
      </c>
      <c r="G401" s="7">
        <f>INDEX('Rubro por CUI'!$F$5:$F$460,MATCH("001|2717155",'Rubro por CUI'!$N$5:$N$460,0))</f>
        <v>0.0</v>
      </c>
      <c r="H401" s="7">
        <f>INDEX('Rubro por CUI'!$G$5:$G$460,MATCH("001|2717155",'Rubro por CUI'!$N$5:$N$460,0))</f>
        <v>154799.0</v>
      </c>
      <c r="I401" s="7">
        <f>INDEX('Rubro por CUI'!$H$5:$H$460,MATCH("001|2717155",'Rubro por CUI'!$N$5:$N$460,0))</f>
        <v>0.0</v>
      </c>
      <c r="J401" s="7">
        <f>INDEX('Rubro por CUI'!$I$5:$I$460,MATCH("001|2717155",'Rubro por CUI'!$N$5:$N$460,0))</f>
        <v>0.0</v>
      </c>
      <c r="K401" s="7">
        <f>L401-SUM(F401:J401)</f>
        <v>0.0</v>
      </c>
      <c r="L401" s="7">
        <f>SUMIFS(Base!$I$5:$I$509,Base!$A$5:$A$509,"001",Base!$F$5:$F$509,"2717155")</f>
        <v>154799.0</v>
      </c>
      <c r="M401" s="6" t="s">
        <v>69</v>
      </c>
      <c r="N401" s="6" t="s">
        <v>1634</v>
      </c>
    </row>
    <row r="402" spans="1:14">
      <c r="A402" s="18">
        <v>384</v>
      </c>
      <c r="B402" s="18" t="s">
        <v>2015</v>
      </c>
      <c r="C402" s="6" t="s">
        <v>1140</v>
      </c>
      <c r="D402" s="6" t="s">
        <v>69</v>
      </c>
      <c r="E402" s="6" t="s">
        <v>69</v>
      </c>
      <c r="F402" s="7">
        <f>INDEX('Rubro por CUI'!$E$5:$E$460,MATCH("001|2717165",'Rubro por CUI'!$N$5:$N$460,0))</f>
        <v>0.0</v>
      </c>
      <c r="G402" s="7">
        <f>INDEX('Rubro por CUI'!$F$5:$F$460,MATCH("001|2717165",'Rubro por CUI'!$N$5:$N$460,0))</f>
        <v>0.0</v>
      </c>
      <c r="H402" s="7">
        <f>INDEX('Rubro por CUI'!$G$5:$G$460,MATCH("001|2717165",'Rubro por CUI'!$N$5:$N$460,0))</f>
        <v>146532.0</v>
      </c>
      <c r="I402" s="7">
        <f>INDEX('Rubro por CUI'!$H$5:$H$460,MATCH("001|2717165",'Rubro por CUI'!$N$5:$N$460,0))</f>
        <v>0.0</v>
      </c>
      <c r="J402" s="7">
        <f>INDEX('Rubro por CUI'!$I$5:$I$460,MATCH("001|2717165",'Rubro por CUI'!$N$5:$N$460,0))</f>
        <v>0.0</v>
      </c>
      <c r="K402" s="7">
        <f>L402-SUM(F402:J402)</f>
        <v>0.0</v>
      </c>
      <c r="L402" s="7">
        <f>SUMIFS(Base!$I$5:$I$509,Base!$A$5:$A$509,"001",Base!$F$5:$F$509,"2717165")</f>
        <v>146532.0</v>
      </c>
      <c r="M402" s="6" t="s">
        <v>69</v>
      </c>
      <c r="N402" s="6" t="s">
        <v>1634</v>
      </c>
    </row>
    <row r="403" spans="1:14">
      <c r="A403" s="18">
        <v>385</v>
      </c>
      <c r="B403" s="18" t="s">
        <v>2016</v>
      </c>
      <c r="C403" s="6" t="s">
        <v>1107</v>
      </c>
      <c r="D403" s="6" t="s">
        <v>69</v>
      </c>
      <c r="E403" s="6" t="s">
        <v>69</v>
      </c>
      <c r="F403" s="7">
        <f>INDEX('Rubro por CUI'!$E$5:$E$460,MATCH("001|2681132",'Rubro por CUI'!$N$5:$N$460,0))</f>
        <v>0.0</v>
      </c>
      <c r="G403" s="7">
        <f>INDEX('Rubro por CUI'!$F$5:$F$460,MATCH("001|2681132",'Rubro por CUI'!$N$5:$N$460,0))</f>
        <v>0.0</v>
      </c>
      <c r="H403" s="7">
        <f>INDEX('Rubro por CUI'!$G$5:$G$460,MATCH("001|2681132",'Rubro por CUI'!$N$5:$N$460,0))</f>
        <v>87790.0</v>
      </c>
      <c r="I403" s="7">
        <f>INDEX('Rubro por CUI'!$H$5:$H$460,MATCH("001|2681132",'Rubro por CUI'!$N$5:$N$460,0))</f>
        <v>0.0</v>
      </c>
      <c r="J403" s="7">
        <f>INDEX('Rubro por CUI'!$I$5:$I$460,MATCH("001|2681132",'Rubro por CUI'!$N$5:$N$460,0))</f>
        <v>0.0</v>
      </c>
      <c r="K403" s="7">
        <f>L403-SUM(F403:J403)</f>
        <v>0.0</v>
      </c>
      <c r="L403" s="7">
        <f>SUMIFS(Base!$I$5:$I$509,Base!$A$5:$A$509,"001",Base!$F$5:$F$509,"2681132")</f>
        <v>87790.0</v>
      </c>
      <c r="M403" s="6" t="s">
        <v>69</v>
      </c>
      <c r="N403" s="6" t="s">
        <v>1634</v>
      </c>
    </row>
    <row r="404" spans="1:14">
      <c r="A404" s="18">
        <v>386</v>
      </c>
      <c r="B404" s="18" t="s">
        <v>2017</v>
      </c>
      <c r="C404" s="6" t="s">
        <v>1086</v>
      </c>
      <c r="D404" s="6" t="s">
        <v>69</v>
      </c>
      <c r="E404" s="6" t="s">
        <v>69</v>
      </c>
      <c r="F404" s="7">
        <f>INDEX('Rubro por CUI'!$E$5:$E$460,MATCH("001|2676432",'Rubro por CUI'!$N$5:$N$460,0))</f>
        <v>0.0</v>
      </c>
      <c r="G404" s="7">
        <f>INDEX('Rubro por CUI'!$F$5:$F$460,MATCH("001|2676432",'Rubro por CUI'!$N$5:$N$460,0))</f>
        <v>0.0</v>
      </c>
      <c r="H404" s="7">
        <f>INDEX('Rubro por CUI'!$G$5:$G$460,MATCH("001|2676432",'Rubro por CUI'!$N$5:$N$460,0))</f>
        <v>73915.0</v>
      </c>
      <c r="I404" s="7">
        <f>INDEX('Rubro por CUI'!$H$5:$H$460,MATCH("001|2676432",'Rubro por CUI'!$N$5:$N$460,0))</f>
        <v>0.0</v>
      </c>
      <c r="J404" s="7">
        <f>INDEX('Rubro por CUI'!$I$5:$I$460,MATCH("001|2676432",'Rubro por CUI'!$N$5:$N$460,0))</f>
        <v>0.0</v>
      </c>
      <c r="K404" s="7">
        <f>L404-SUM(F404:J404)</f>
        <v>0.0</v>
      </c>
      <c r="L404" s="7">
        <f>SUMIFS(Base!$I$5:$I$509,Base!$A$5:$A$509,"001",Base!$F$5:$F$509,"2676432")</f>
        <v>73915.0</v>
      </c>
      <c r="M404" s="6" t="s">
        <v>69</v>
      </c>
      <c r="N404" s="6" t="s">
        <v>1634</v>
      </c>
    </row>
    <row r="405" spans="1:14">
      <c r="A405" s="18">
        <v>387</v>
      </c>
      <c r="B405" s="18" t="s">
        <v>2018</v>
      </c>
      <c r="C405" s="6" t="s">
        <v>1080</v>
      </c>
      <c r="D405" s="6" t="s">
        <v>69</v>
      </c>
      <c r="E405" s="6" t="s">
        <v>69</v>
      </c>
      <c r="F405" s="7">
        <f>INDEX('Rubro por CUI'!$E$5:$E$460,MATCH("001|2676430",'Rubro por CUI'!$N$5:$N$460,0))</f>
        <v>0.0</v>
      </c>
      <c r="G405" s="7">
        <f>INDEX('Rubro por CUI'!$F$5:$F$460,MATCH("001|2676430",'Rubro por CUI'!$N$5:$N$460,0))</f>
        <v>0.0</v>
      </c>
      <c r="H405" s="7">
        <f>INDEX('Rubro por CUI'!$G$5:$G$460,MATCH("001|2676430",'Rubro por CUI'!$N$5:$N$460,0))</f>
        <v>73376.0</v>
      </c>
      <c r="I405" s="7">
        <f>INDEX('Rubro por CUI'!$H$5:$H$460,MATCH("001|2676430",'Rubro por CUI'!$N$5:$N$460,0))</f>
        <v>0.0</v>
      </c>
      <c r="J405" s="7">
        <f>INDEX('Rubro por CUI'!$I$5:$I$460,MATCH("001|2676430",'Rubro por CUI'!$N$5:$N$460,0))</f>
        <v>0.0</v>
      </c>
      <c r="K405" s="7">
        <f>L405-SUM(F405:J405)</f>
        <v>0.0</v>
      </c>
      <c r="L405" s="7">
        <f>SUMIFS(Base!$I$5:$I$509,Base!$A$5:$A$509,"001",Base!$F$5:$F$509,"2676430")</f>
        <v>73376.0</v>
      </c>
      <c r="M405" s="6" t="s">
        <v>69</v>
      </c>
      <c r="N405" s="6" t="s">
        <v>1634</v>
      </c>
    </row>
    <row r="406" spans="1:14">
      <c r="A406" s="18">
        <v>388</v>
      </c>
      <c r="B406" s="18" t="s">
        <v>2019</v>
      </c>
      <c r="C406" s="6" t="s">
        <v>1059</v>
      </c>
      <c r="D406" s="6" t="s">
        <v>69</v>
      </c>
      <c r="E406" s="6" t="s">
        <v>69</v>
      </c>
      <c r="F406" s="7">
        <f>INDEX('Rubro por CUI'!$E$5:$E$460,MATCH("001|2676418",'Rubro por CUI'!$N$5:$N$460,0))</f>
        <v>0.0</v>
      </c>
      <c r="G406" s="7">
        <f>INDEX('Rubro por CUI'!$F$5:$F$460,MATCH("001|2676418",'Rubro por CUI'!$N$5:$N$460,0))</f>
        <v>0.0</v>
      </c>
      <c r="H406" s="7">
        <f>INDEX('Rubro por CUI'!$G$5:$G$460,MATCH("001|2676418",'Rubro por CUI'!$N$5:$N$460,0))</f>
        <v>65438.0</v>
      </c>
      <c r="I406" s="7">
        <f>INDEX('Rubro por CUI'!$H$5:$H$460,MATCH("001|2676418",'Rubro por CUI'!$N$5:$N$460,0))</f>
        <v>0.0</v>
      </c>
      <c r="J406" s="7">
        <f>INDEX('Rubro por CUI'!$I$5:$I$460,MATCH("001|2676418",'Rubro por CUI'!$N$5:$N$460,0))</f>
        <v>0.0</v>
      </c>
      <c r="K406" s="7">
        <f>L406-SUM(F406:J406)</f>
        <v>0.0</v>
      </c>
      <c r="L406" s="7">
        <f>SUMIFS(Base!$I$5:$I$509,Base!$A$5:$A$509,"001",Base!$F$5:$F$509,"2676418")</f>
        <v>65438.0</v>
      </c>
      <c r="M406" s="6" t="s">
        <v>69</v>
      </c>
      <c r="N406" s="6" t="s">
        <v>1634</v>
      </c>
    </row>
    <row r="407" spans="1:14">
      <c r="A407" s="18">
        <v>389</v>
      </c>
      <c r="B407" s="18" t="s">
        <v>2020</v>
      </c>
      <c r="C407" s="6" t="s">
        <v>1056</v>
      </c>
      <c r="D407" s="6" t="s">
        <v>69</v>
      </c>
      <c r="E407" s="6" t="s">
        <v>69</v>
      </c>
      <c r="F407" s="7">
        <f>INDEX('Rubro por CUI'!$E$5:$E$460,MATCH("001|2680578",'Rubro por CUI'!$N$5:$N$460,0))</f>
        <v>0.0</v>
      </c>
      <c r="G407" s="7">
        <f>INDEX('Rubro por CUI'!$F$5:$F$460,MATCH("001|2680578",'Rubro por CUI'!$N$5:$N$460,0))</f>
        <v>0.0</v>
      </c>
      <c r="H407" s="7">
        <f>INDEX('Rubro por CUI'!$G$5:$G$460,MATCH("001|2680578",'Rubro por CUI'!$N$5:$N$460,0))</f>
        <v>63755.0</v>
      </c>
      <c r="I407" s="7">
        <f>INDEX('Rubro por CUI'!$H$5:$H$460,MATCH("001|2680578",'Rubro por CUI'!$N$5:$N$460,0))</f>
        <v>0.0</v>
      </c>
      <c r="J407" s="7">
        <f>INDEX('Rubro por CUI'!$I$5:$I$460,MATCH("001|2680578",'Rubro por CUI'!$N$5:$N$460,0))</f>
        <v>0.0</v>
      </c>
      <c r="K407" s="7">
        <f>L407-SUM(F407:J407)</f>
        <v>0.0</v>
      </c>
      <c r="L407" s="7">
        <f>SUMIFS(Base!$I$5:$I$509,Base!$A$5:$A$509,"001",Base!$F$5:$F$509,"2680578")</f>
        <v>63755.0</v>
      </c>
      <c r="M407" s="6" t="s">
        <v>69</v>
      </c>
      <c r="N407" s="6" t="s">
        <v>1634</v>
      </c>
    </row>
    <row r="408" spans="1:14">
      <c r="A408" s="18">
        <v>390</v>
      </c>
      <c r="B408" s="18" t="s">
        <v>2021</v>
      </c>
      <c r="C408" s="6" t="s">
        <v>1053</v>
      </c>
      <c r="D408" s="6" t="s">
        <v>69</v>
      </c>
      <c r="E408" s="6" t="s">
        <v>69</v>
      </c>
      <c r="F408" s="7">
        <f>INDEX('Rubro por CUI'!$E$5:$E$460,MATCH("001|2612541",'Rubro por CUI'!$N$5:$N$460,0))</f>
        <v>0.0</v>
      </c>
      <c r="G408" s="7">
        <f>INDEX('Rubro por CUI'!$F$5:$F$460,MATCH("001|2612541",'Rubro por CUI'!$N$5:$N$460,0))</f>
        <v>0.0</v>
      </c>
      <c r="H408" s="7">
        <f>INDEX('Rubro por CUI'!$G$5:$G$460,MATCH("001|2612541",'Rubro por CUI'!$N$5:$N$460,0))</f>
        <v>62000.0</v>
      </c>
      <c r="I408" s="7">
        <f>INDEX('Rubro por CUI'!$H$5:$H$460,MATCH("001|2612541",'Rubro por CUI'!$N$5:$N$460,0))</f>
        <v>0.0</v>
      </c>
      <c r="J408" s="7">
        <f>INDEX('Rubro por CUI'!$I$5:$I$460,MATCH("001|2612541",'Rubro por CUI'!$N$5:$N$460,0))</f>
        <v>0.0</v>
      </c>
      <c r="K408" s="7">
        <f>L408-SUM(F408:J408)</f>
        <v>0.0</v>
      </c>
      <c r="L408" s="7">
        <f>SUMIFS(Base!$I$5:$I$509,Base!$A$5:$A$509,"001",Base!$F$5:$F$509,"2612541")</f>
        <v>62000.0</v>
      </c>
      <c r="M408" s="6" t="s">
        <v>69</v>
      </c>
      <c r="N408" s="6" t="s">
        <v>1634</v>
      </c>
    </row>
    <row r="409" spans="1:14">
      <c r="A409" s="18">
        <v>391</v>
      </c>
      <c r="B409" s="18" t="s">
        <v>2022</v>
      </c>
      <c r="C409" s="6" t="s">
        <v>1050</v>
      </c>
      <c r="D409" s="6" t="s">
        <v>69</v>
      </c>
      <c r="E409" s="6" t="s">
        <v>69</v>
      </c>
      <c r="F409" s="7">
        <f>INDEX('Rubro por CUI'!$E$5:$E$460,MATCH("001|2612522",'Rubro por CUI'!$N$5:$N$460,0))</f>
        <v>0.0</v>
      </c>
      <c r="G409" s="7">
        <f>INDEX('Rubro por CUI'!$F$5:$F$460,MATCH("001|2612522",'Rubro por CUI'!$N$5:$N$460,0))</f>
        <v>0.0</v>
      </c>
      <c r="H409" s="7">
        <f>INDEX('Rubro por CUI'!$G$5:$G$460,MATCH("001|2612522",'Rubro por CUI'!$N$5:$N$460,0))</f>
        <v>61500.0</v>
      </c>
      <c r="I409" s="7">
        <f>INDEX('Rubro por CUI'!$H$5:$H$460,MATCH("001|2612522",'Rubro por CUI'!$N$5:$N$460,0))</f>
        <v>0.0</v>
      </c>
      <c r="J409" s="7">
        <f>INDEX('Rubro por CUI'!$I$5:$I$460,MATCH("001|2612522",'Rubro por CUI'!$N$5:$N$460,0))</f>
        <v>0.0</v>
      </c>
      <c r="K409" s="7">
        <f>L409-SUM(F409:J409)</f>
        <v>0.0</v>
      </c>
      <c r="L409" s="7">
        <f>SUMIFS(Base!$I$5:$I$509,Base!$A$5:$A$509,"001",Base!$F$5:$F$509,"2612522")</f>
        <v>61500.0</v>
      </c>
      <c r="M409" s="6" t="s">
        <v>69</v>
      </c>
      <c r="N409" s="6" t="s">
        <v>1634</v>
      </c>
    </row>
    <row r="410" spans="1:14">
      <c r="A410" s="18">
        <v>392</v>
      </c>
      <c r="B410" s="18" t="s">
        <v>2023</v>
      </c>
      <c r="C410" s="6" t="s">
        <v>1062</v>
      </c>
      <c r="D410" s="6" t="s">
        <v>69</v>
      </c>
      <c r="E410" s="6" t="s">
        <v>69</v>
      </c>
      <c r="F410" s="7">
        <f>INDEX('Rubro por CUI'!$E$5:$E$460,MATCH("001|2681120",'Rubro por CUI'!$N$5:$N$460,0))</f>
        <v>0.0</v>
      </c>
      <c r="G410" s="7">
        <f>INDEX('Rubro por CUI'!$F$5:$F$460,MATCH("001|2681120",'Rubro por CUI'!$N$5:$N$460,0))</f>
        <v>0.0</v>
      </c>
      <c r="H410" s="7">
        <f>INDEX('Rubro por CUI'!$G$5:$G$460,MATCH("001|2681120",'Rubro por CUI'!$N$5:$N$460,0))</f>
        <v>61200.0</v>
      </c>
      <c r="I410" s="7">
        <f>INDEX('Rubro por CUI'!$H$5:$H$460,MATCH("001|2681120",'Rubro por CUI'!$N$5:$N$460,0))</f>
        <v>0.0</v>
      </c>
      <c r="J410" s="7">
        <f>INDEX('Rubro por CUI'!$I$5:$I$460,MATCH("001|2681120",'Rubro por CUI'!$N$5:$N$460,0))</f>
        <v>0.0</v>
      </c>
      <c r="K410" s="7">
        <f>L410-SUM(F410:J410)</f>
        <v>0.0</v>
      </c>
      <c r="L410" s="7">
        <f>SUMIFS(Base!$I$5:$I$509,Base!$A$5:$A$509,"001",Base!$F$5:$F$509,"2681120")</f>
        <v>61200.0</v>
      </c>
      <c r="M410" s="6" t="s">
        <v>69</v>
      </c>
      <c r="N410" s="6" t="s">
        <v>1634</v>
      </c>
    </row>
    <row r="411" spans="1:14">
      <c r="A411" s="18">
        <v>393</v>
      </c>
      <c r="B411" s="18" t="s">
        <v>2024</v>
      </c>
      <c r="C411" s="6" t="s">
        <v>1098</v>
      </c>
      <c r="D411" s="6" t="s">
        <v>69</v>
      </c>
      <c r="E411" s="6" t="s">
        <v>69</v>
      </c>
      <c r="F411" s="7">
        <f>INDEX('Rubro por CUI'!$E$5:$E$460,MATCH("001|2676435",'Rubro por CUI'!$N$5:$N$460,0))</f>
        <v>0.0</v>
      </c>
      <c r="G411" s="7">
        <f>INDEX('Rubro por CUI'!$F$5:$F$460,MATCH("001|2676435",'Rubro por CUI'!$N$5:$N$460,0))</f>
        <v>0.0</v>
      </c>
      <c r="H411" s="7">
        <f>INDEX('Rubro por CUI'!$G$5:$G$460,MATCH("001|2676435",'Rubro por CUI'!$N$5:$N$460,0))</f>
        <v>57400.0</v>
      </c>
      <c r="I411" s="7">
        <f>INDEX('Rubro por CUI'!$H$5:$H$460,MATCH("001|2676435",'Rubro por CUI'!$N$5:$N$460,0))</f>
        <v>0.0</v>
      </c>
      <c r="J411" s="7">
        <f>INDEX('Rubro por CUI'!$I$5:$I$460,MATCH("001|2676435",'Rubro por CUI'!$N$5:$N$460,0))</f>
        <v>0.0</v>
      </c>
      <c r="K411" s="7">
        <f>L411-SUM(F411:J411)</f>
        <v>0.0</v>
      </c>
      <c r="L411" s="7">
        <f>SUMIFS(Base!$I$5:$I$509,Base!$A$5:$A$509,"001",Base!$F$5:$F$509,"2676435")</f>
        <v>57400.0</v>
      </c>
      <c r="M411" s="6" t="s">
        <v>69</v>
      </c>
      <c r="N411" s="6" t="s">
        <v>1634</v>
      </c>
    </row>
    <row r="412" spans="1:14">
      <c r="A412" s="18">
        <v>394</v>
      </c>
      <c r="B412" s="18" t="s">
        <v>2025</v>
      </c>
      <c r="C412" s="6" t="s">
        <v>1083</v>
      </c>
      <c r="D412" s="6" t="s">
        <v>69</v>
      </c>
      <c r="E412" s="6" t="s">
        <v>69</v>
      </c>
      <c r="F412" s="7">
        <f>INDEX('Rubro por CUI'!$E$5:$E$460,MATCH("001|2676431",'Rubro por CUI'!$N$5:$N$460,0))</f>
        <v>0.0</v>
      </c>
      <c r="G412" s="7">
        <f>INDEX('Rubro por CUI'!$F$5:$F$460,MATCH("001|2676431",'Rubro por CUI'!$N$5:$N$460,0))</f>
        <v>0.0</v>
      </c>
      <c r="H412" s="7">
        <f>INDEX('Rubro por CUI'!$G$5:$G$460,MATCH("001|2676431",'Rubro por CUI'!$N$5:$N$460,0))</f>
        <v>54964.0</v>
      </c>
      <c r="I412" s="7">
        <f>INDEX('Rubro por CUI'!$H$5:$H$460,MATCH("001|2676431",'Rubro por CUI'!$N$5:$N$460,0))</f>
        <v>0.0</v>
      </c>
      <c r="J412" s="7">
        <f>INDEX('Rubro por CUI'!$I$5:$I$460,MATCH("001|2676431",'Rubro por CUI'!$N$5:$N$460,0))</f>
        <v>0.0</v>
      </c>
      <c r="K412" s="7">
        <f>L412-SUM(F412:J412)</f>
        <v>0.0</v>
      </c>
      <c r="L412" s="7">
        <f>SUMIFS(Base!$I$5:$I$509,Base!$A$5:$A$509,"001",Base!$F$5:$F$509,"2676431")</f>
        <v>54964.0</v>
      </c>
      <c r="M412" s="6" t="s">
        <v>69</v>
      </c>
      <c r="N412" s="6" t="s">
        <v>1634</v>
      </c>
    </row>
    <row r="413" spans="1:14">
      <c r="A413" s="18">
        <v>395</v>
      </c>
      <c r="B413" s="18" t="s">
        <v>2026</v>
      </c>
      <c r="C413" s="6" t="s">
        <v>1185</v>
      </c>
      <c r="D413" s="23">
        <v>14145384</v>
      </c>
      <c r="E413" s="23">
        <v>13810163</v>
      </c>
      <c r="F413" s="7">
        <f>INDEX('Rubro por CUI'!$E$5:$E$460,MATCH("001|2326588",'Rubro por CUI'!$N$5:$N$460,0))</f>
        <v>0.0</v>
      </c>
      <c r="G413" s="7">
        <f>INDEX('Rubro por CUI'!$F$5:$F$460,MATCH("001|2326588",'Rubro por CUI'!$N$5:$N$460,0))</f>
        <v>0.0</v>
      </c>
      <c r="H413" s="7">
        <f>INDEX('Rubro por CUI'!$G$5:$G$460,MATCH("001|2326588",'Rubro por CUI'!$N$5:$N$460,0))</f>
        <v>44000.0</v>
      </c>
      <c r="I413" s="7">
        <f>INDEX('Rubro por CUI'!$H$5:$H$460,MATCH("001|2326588",'Rubro por CUI'!$N$5:$N$460,0))</f>
        <v>0.0</v>
      </c>
      <c r="J413" s="7">
        <f>INDEX('Rubro por CUI'!$I$5:$I$460,MATCH("001|2326588",'Rubro por CUI'!$N$5:$N$460,0))</f>
        <v>0.0</v>
      </c>
      <c r="K413" s="7">
        <f>L413-SUM(F413:J413)</f>
        <v>0.0</v>
      </c>
      <c r="L413" s="7">
        <f>SUMIFS(Base!$I$5:$I$509,Base!$A$5:$A$509,"001",Base!$F$5:$F$509,"2326588")</f>
        <v>44000.0</v>
      </c>
      <c r="M413" s="7">
        <f>D413-E413-L413</f>
        <v>291221.0</v>
      </c>
      <c r="N413" s="6" t="s">
        <v>63</v>
      </c>
    </row>
    <row r="414" spans="1:14">
      <c r="A414" s="18">
        <v>396</v>
      </c>
      <c r="B414" s="18" t="s">
        <v>2027</v>
      </c>
      <c r="C414" s="6" t="s">
        <v>1110</v>
      </c>
      <c r="D414" s="6" t="s">
        <v>69</v>
      </c>
      <c r="E414" s="6" t="s">
        <v>69</v>
      </c>
      <c r="F414" s="7">
        <f>INDEX('Rubro por CUI'!$E$5:$E$460,MATCH("001|2676433",'Rubro por CUI'!$N$5:$N$460,0))</f>
        <v>0.0</v>
      </c>
      <c r="G414" s="7">
        <f>INDEX('Rubro por CUI'!$F$5:$F$460,MATCH("001|2676433",'Rubro por CUI'!$N$5:$N$460,0))</f>
        <v>0.0</v>
      </c>
      <c r="H414" s="7">
        <f>INDEX('Rubro por CUI'!$G$5:$G$460,MATCH("001|2676433",'Rubro por CUI'!$N$5:$N$460,0))</f>
        <v>14715.0</v>
      </c>
      <c r="I414" s="7">
        <f>INDEX('Rubro por CUI'!$H$5:$H$460,MATCH("001|2676433",'Rubro por CUI'!$N$5:$N$460,0))</f>
        <v>0.0</v>
      </c>
      <c r="J414" s="7">
        <f>INDEX('Rubro por CUI'!$I$5:$I$460,MATCH("001|2676433",'Rubro por CUI'!$N$5:$N$460,0))</f>
        <v>0.0</v>
      </c>
      <c r="K414" s="7">
        <f>L414-SUM(F414:J414)</f>
        <v>0.0</v>
      </c>
      <c r="L414" s="7">
        <f>SUMIFS(Base!$I$5:$I$509,Base!$A$5:$A$509,"001",Base!$F$5:$F$509,"2676433")</f>
        <v>14715.0</v>
      </c>
      <c r="M414" s="6" t="s">
        <v>69</v>
      </c>
      <c r="N414" s="6" t="s">
        <v>1634</v>
      </c>
    </row>
    <row r="415" spans="1:14">
      <c r="A415" s="18">
        <v>397</v>
      </c>
      <c r="B415" s="18" t="s">
        <v>2028</v>
      </c>
      <c r="C415" s="6" t="s">
        <v>1095</v>
      </c>
      <c r="D415" s="6" t="s">
        <v>69</v>
      </c>
      <c r="E415" s="6" t="s">
        <v>69</v>
      </c>
      <c r="F415" s="7">
        <f>INDEX('Rubro por CUI'!$E$5:$E$460,MATCH("001|2681129",'Rubro por CUI'!$N$5:$N$460,0))</f>
        <v>0.0</v>
      </c>
      <c r="G415" s="7">
        <f>INDEX('Rubro por CUI'!$F$5:$F$460,MATCH("001|2681129",'Rubro por CUI'!$N$5:$N$460,0))</f>
        <v>0.0</v>
      </c>
      <c r="H415" s="7">
        <f>INDEX('Rubro por CUI'!$G$5:$G$460,MATCH("001|2681129",'Rubro por CUI'!$N$5:$N$460,0))</f>
        <v>12800.0</v>
      </c>
      <c r="I415" s="7">
        <f>INDEX('Rubro por CUI'!$H$5:$H$460,MATCH("001|2681129",'Rubro por CUI'!$N$5:$N$460,0))</f>
        <v>0.0</v>
      </c>
      <c r="J415" s="7">
        <f>INDEX('Rubro por CUI'!$I$5:$I$460,MATCH("001|2681129",'Rubro por CUI'!$N$5:$N$460,0))</f>
        <v>0.0</v>
      </c>
      <c r="K415" s="7">
        <f>L415-SUM(F415:J415)</f>
        <v>0.0</v>
      </c>
      <c r="L415" s="7">
        <f>SUMIFS(Base!$I$5:$I$509,Base!$A$5:$A$509,"001",Base!$F$5:$F$509,"2681129")</f>
        <v>12800.0</v>
      </c>
      <c r="M415" s="6" t="s">
        <v>69</v>
      </c>
      <c r="N415" s="6" t="s">
        <v>1634</v>
      </c>
    </row>
    <row r="416" spans="1:14">
      <c r="A416" s="18">
        <v>398</v>
      </c>
      <c r="B416" s="18" t="s">
        <v>2029</v>
      </c>
      <c r="C416" s="6" t="s">
        <v>1068</v>
      </c>
      <c r="D416" s="6" t="s">
        <v>69</v>
      </c>
      <c r="E416" s="6" t="s">
        <v>69</v>
      </c>
      <c r="F416" s="7">
        <f>INDEX('Rubro por CUI'!$E$5:$E$460,MATCH("001|2676424",'Rubro por CUI'!$N$5:$N$460,0))</f>
        <v>0.0</v>
      </c>
      <c r="G416" s="7">
        <f>INDEX('Rubro por CUI'!$F$5:$F$460,MATCH("001|2676424",'Rubro por CUI'!$N$5:$N$460,0))</f>
        <v>0.0</v>
      </c>
      <c r="H416" s="7">
        <f>INDEX('Rubro por CUI'!$G$5:$G$460,MATCH("001|2676424",'Rubro por CUI'!$N$5:$N$460,0))</f>
        <v>10692.0</v>
      </c>
      <c r="I416" s="7">
        <f>INDEX('Rubro por CUI'!$H$5:$H$460,MATCH("001|2676424",'Rubro por CUI'!$N$5:$N$460,0))</f>
        <v>0.0</v>
      </c>
      <c r="J416" s="7">
        <f>INDEX('Rubro por CUI'!$I$5:$I$460,MATCH("001|2676424",'Rubro por CUI'!$N$5:$N$460,0))</f>
        <v>0.0</v>
      </c>
      <c r="K416" s="7">
        <f>L416-SUM(F416:J416)</f>
        <v>0.0</v>
      </c>
      <c r="L416" s="7">
        <f>SUMIFS(Base!$I$5:$I$509,Base!$A$5:$A$509,"001",Base!$F$5:$F$509,"2676424")</f>
        <v>10692.0</v>
      </c>
      <c r="M416" s="6" t="s">
        <v>69</v>
      </c>
      <c r="N416" s="6" t="s">
        <v>1634</v>
      </c>
    </row>
    <row r="417" spans="1:14">
      <c r="A417" s="18">
        <v>399</v>
      </c>
      <c r="B417" s="18" t="s">
        <v>2030</v>
      </c>
      <c r="C417" s="6" t="s">
        <v>1071</v>
      </c>
      <c r="D417" s="6" t="s">
        <v>69</v>
      </c>
      <c r="E417" s="6" t="s">
        <v>69</v>
      </c>
      <c r="F417" s="7">
        <f>INDEX('Rubro por CUI'!$E$5:$E$460,MATCH("001|2681121",'Rubro por CUI'!$N$5:$N$460,0))</f>
        <v>0.0</v>
      </c>
      <c r="G417" s="7">
        <f>INDEX('Rubro por CUI'!$F$5:$F$460,MATCH("001|2681121",'Rubro por CUI'!$N$5:$N$460,0))</f>
        <v>0.0</v>
      </c>
      <c r="H417" s="7">
        <f>INDEX('Rubro por CUI'!$G$5:$G$460,MATCH("001|2681121",'Rubro por CUI'!$N$5:$N$460,0))</f>
        <v>7816.0</v>
      </c>
      <c r="I417" s="7">
        <f>INDEX('Rubro por CUI'!$H$5:$H$460,MATCH("001|2681121",'Rubro por CUI'!$N$5:$N$460,0))</f>
        <v>0.0</v>
      </c>
      <c r="J417" s="7">
        <f>INDEX('Rubro por CUI'!$I$5:$I$460,MATCH("001|2681121",'Rubro por CUI'!$N$5:$N$460,0))</f>
        <v>0.0</v>
      </c>
      <c r="K417" s="7">
        <f>L417-SUM(F417:J417)</f>
        <v>0.0</v>
      </c>
      <c r="L417" s="7">
        <f>SUMIFS(Base!$I$5:$I$509,Base!$A$5:$A$509,"001",Base!$F$5:$F$509,"2681121")</f>
        <v>7816.0</v>
      </c>
      <c r="M417" s="6" t="s">
        <v>69</v>
      </c>
      <c r="N417" s="6" t="s">
        <v>1634</v>
      </c>
    </row>
    <row r="418" spans="1:14">
      <c r="A418" s="18">
        <v>400</v>
      </c>
      <c r="B418" s="18" t="s">
        <v>2031</v>
      </c>
      <c r="C418" s="6" t="s">
        <v>1101</v>
      </c>
      <c r="D418" s="6" t="s">
        <v>69</v>
      </c>
      <c r="E418" s="6" t="s">
        <v>69</v>
      </c>
      <c r="F418" s="7">
        <f>INDEX('Rubro por CUI'!$E$5:$E$460,MATCH("001|2676436",'Rubro por CUI'!$N$5:$N$460,0))</f>
        <v>0.0</v>
      </c>
      <c r="G418" s="7">
        <f>INDEX('Rubro por CUI'!$F$5:$F$460,MATCH("001|2676436",'Rubro por CUI'!$N$5:$N$460,0))</f>
        <v>0.0</v>
      </c>
      <c r="H418" s="7">
        <f>INDEX('Rubro por CUI'!$G$5:$G$460,MATCH("001|2676436",'Rubro por CUI'!$N$5:$N$460,0))</f>
        <v>5898.0</v>
      </c>
      <c r="I418" s="7">
        <f>INDEX('Rubro por CUI'!$H$5:$H$460,MATCH("001|2676436",'Rubro por CUI'!$N$5:$N$460,0))</f>
        <v>0.0</v>
      </c>
      <c r="J418" s="7">
        <f>INDEX('Rubro por CUI'!$I$5:$I$460,MATCH("001|2676436",'Rubro por CUI'!$N$5:$N$460,0))</f>
        <v>0.0</v>
      </c>
      <c r="K418" s="7">
        <f>L418-SUM(F418:J418)</f>
        <v>0.0</v>
      </c>
      <c r="L418" s="7">
        <f>SUMIFS(Base!$I$5:$I$509,Base!$A$5:$A$509,"001",Base!$F$5:$F$509,"2676436")</f>
        <v>5898.0</v>
      </c>
      <c r="M418" s="6" t="s">
        <v>69</v>
      </c>
      <c r="N418" s="6" t="s">
        <v>1634</v>
      </c>
    </row>
    <row r="419" spans="1:14">
      <c r="A419" s="18">
        <v>401</v>
      </c>
      <c r="B419" s="18" t="s">
        <v>2032</v>
      </c>
      <c r="C419" s="6" t="s">
        <v>1089</v>
      </c>
      <c r="D419" s="6" t="s">
        <v>69</v>
      </c>
      <c r="E419" s="6" t="s">
        <v>69</v>
      </c>
      <c r="F419" s="7">
        <f>INDEX('Rubro por CUI'!$E$5:$E$460,MATCH("001|2681125",'Rubro por CUI'!$N$5:$N$460,0))</f>
        <v>0.0</v>
      </c>
      <c r="G419" s="7">
        <f>INDEX('Rubro por CUI'!$F$5:$F$460,MATCH("001|2681125",'Rubro por CUI'!$N$5:$N$460,0))</f>
        <v>0.0</v>
      </c>
      <c r="H419" s="7">
        <f>INDEX('Rubro por CUI'!$G$5:$G$460,MATCH("001|2681125",'Rubro por CUI'!$N$5:$N$460,0))</f>
        <v>5098.0</v>
      </c>
      <c r="I419" s="7">
        <f>INDEX('Rubro por CUI'!$H$5:$H$460,MATCH("001|2681125",'Rubro por CUI'!$N$5:$N$460,0))</f>
        <v>0.0</v>
      </c>
      <c r="J419" s="7">
        <f>INDEX('Rubro por CUI'!$I$5:$I$460,MATCH("001|2681125",'Rubro por CUI'!$N$5:$N$460,0))</f>
        <v>0.0</v>
      </c>
      <c r="K419" s="7">
        <f>L419-SUM(F419:J419)</f>
        <v>0.0</v>
      </c>
      <c r="L419" s="7">
        <f>SUMIFS(Base!$I$5:$I$509,Base!$A$5:$A$509,"001",Base!$F$5:$F$509,"2681125")</f>
        <v>5098.0</v>
      </c>
      <c r="M419" s="6" t="s">
        <v>69</v>
      </c>
      <c r="N419" s="6" t="s">
        <v>1634</v>
      </c>
    </row>
    <row r="420" spans="1:14">
      <c r="A420" s="18">
        <v>402</v>
      </c>
      <c r="B420" s="18" t="s">
        <v>2033</v>
      </c>
      <c r="C420" s="6" t="s">
        <v>1092</v>
      </c>
      <c r="D420" s="6" t="s">
        <v>69</v>
      </c>
      <c r="E420" s="6" t="s">
        <v>69</v>
      </c>
      <c r="F420" s="7">
        <f>INDEX('Rubro por CUI'!$E$5:$E$460,MATCH("001|2681128",'Rubro por CUI'!$N$5:$N$460,0))</f>
        <v>0.0</v>
      </c>
      <c r="G420" s="7">
        <f>INDEX('Rubro por CUI'!$F$5:$F$460,MATCH("001|2681128",'Rubro por CUI'!$N$5:$N$460,0))</f>
        <v>0.0</v>
      </c>
      <c r="H420" s="7">
        <f>INDEX('Rubro por CUI'!$G$5:$G$460,MATCH("001|2681128",'Rubro por CUI'!$N$5:$N$460,0))</f>
        <v>4800.0</v>
      </c>
      <c r="I420" s="7">
        <f>INDEX('Rubro por CUI'!$H$5:$H$460,MATCH("001|2681128",'Rubro por CUI'!$N$5:$N$460,0))</f>
        <v>0.0</v>
      </c>
      <c r="J420" s="7">
        <f>INDEX('Rubro por CUI'!$I$5:$I$460,MATCH("001|2681128",'Rubro por CUI'!$N$5:$N$460,0))</f>
        <v>0.0</v>
      </c>
      <c r="K420" s="7">
        <f>L420-SUM(F420:J420)</f>
        <v>0.0</v>
      </c>
      <c r="L420" s="7">
        <f>SUMIFS(Base!$I$5:$I$509,Base!$A$5:$A$509,"001",Base!$F$5:$F$509,"2681128")</f>
        <v>4800.0</v>
      </c>
      <c r="M420" s="6" t="s">
        <v>69</v>
      </c>
      <c r="N420" s="6" t="s">
        <v>1634</v>
      </c>
    </row>
    <row r="421" spans="1:14">
      <c r="A421" s="18">
        <v>403</v>
      </c>
      <c r="B421" s="18" t="s">
        <v>2034</v>
      </c>
      <c r="C421" s="6" t="s">
        <v>1074</v>
      </c>
      <c r="D421" s="6" t="s">
        <v>69</v>
      </c>
      <c r="E421" s="6" t="s">
        <v>69</v>
      </c>
      <c r="F421" s="7">
        <f>INDEX('Rubro por CUI'!$E$5:$E$460,MATCH("001|2676426",'Rubro por CUI'!$N$5:$N$460,0))</f>
        <v>0.0</v>
      </c>
      <c r="G421" s="7">
        <f>INDEX('Rubro por CUI'!$F$5:$F$460,MATCH("001|2676426",'Rubro por CUI'!$N$5:$N$460,0))</f>
        <v>0.0</v>
      </c>
      <c r="H421" s="7">
        <f>INDEX('Rubro por CUI'!$G$5:$G$460,MATCH("001|2676426",'Rubro por CUI'!$N$5:$N$460,0))</f>
        <v>3546.0</v>
      </c>
      <c r="I421" s="7">
        <f>INDEX('Rubro por CUI'!$H$5:$H$460,MATCH("001|2676426",'Rubro por CUI'!$N$5:$N$460,0))</f>
        <v>0.0</v>
      </c>
      <c r="J421" s="7">
        <f>INDEX('Rubro por CUI'!$I$5:$I$460,MATCH("001|2676426",'Rubro por CUI'!$N$5:$N$460,0))</f>
        <v>0.0</v>
      </c>
      <c r="K421" s="7">
        <f>L421-SUM(F421:J421)</f>
        <v>0.0</v>
      </c>
      <c r="L421" s="7">
        <f>SUMIFS(Base!$I$5:$I$509,Base!$A$5:$A$509,"001",Base!$F$5:$F$509,"2676426")</f>
        <v>3546.0</v>
      </c>
      <c r="M421" s="6" t="s">
        <v>69</v>
      </c>
      <c r="N421" s="6" t="s">
        <v>1634</v>
      </c>
    </row>
    <row r="422" spans="1:14">
      <c r="A422" s="18">
        <v>404</v>
      </c>
      <c r="B422" s="18" t="s">
        <v>2035</v>
      </c>
      <c r="C422" s="6" t="s">
        <v>1104</v>
      </c>
      <c r="D422" s="6" t="s">
        <v>69</v>
      </c>
      <c r="E422" s="6" t="s">
        <v>69</v>
      </c>
      <c r="F422" s="7">
        <f>INDEX('Rubro por CUI'!$E$5:$E$460,MATCH("001|2681276",'Rubro por CUI'!$N$5:$N$460,0))</f>
        <v>0.0</v>
      </c>
      <c r="G422" s="7">
        <f>INDEX('Rubro por CUI'!$F$5:$F$460,MATCH("001|2681276",'Rubro por CUI'!$N$5:$N$460,0))</f>
        <v>0.0</v>
      </c>
      <c r="H422" s="7">
        <f>INDEX('Rubro por CUI'!$G$5:$G$460,MATCH("001|2681276",'Rubro por CUI'!$N$5:$N$460,0))</f>
        <v>3000.0</v>
      </c>
      <c r="I422" s="7">
        <f>INDEX('Rubro por CUI'!$H$5:$H$460,MATCH("001|2681276",'Rubro por CUI'!$N$5:$N$460,0))</f>
        <v>0.0</v>
      </c>
      <c r="J422" s="7">
        <f>INDEX('Rubro por CUI'!$I$5:$I$460,MATCH("001|2681276",'Rubro por CUI'!$N$5:$N$460,0))</f>
        <v>0.0</v>
      </c>
      <c r="K422" s="7">
        <f>L422-SUM(F422:J422)</f>
        <v>0.0</v>
      </c>
      <c r="L422" s="7">
        <f>SUMIFS(Base!$I$5:$I$509,Base!$A$5:$A$509,"001",Base!$F$5:$F$509,"2681276")</f>
        <v>3000.0</v>
      </c>
      <c r="M422" s="6" t="s">
        <v>69</v>
      </c>
      <c r="N422" s="6" t="s">
        <v>1634</v>
      </c>
    </row>
    <row r="423" spans="1:14">
      <c r="A423" s="18">
        <v>405</v>
      </c>
      <c r="B423" s="18" t="s">
        <v>2036</v>
      </c>
      <c r="C423" s="6" t="s">
        <v>1065</v>
      </c>
      <c r="D423" s="6" t="s">
        <v>69</v>
      </c>
      <c r="E423" s="6" t="s">
        <v>69</v>
      </c>
      <c r="F423" s="7">
        <f>INDEX('Rubro por CUI'!$E$5:$E$460,MATCH("001|2676423",'Rubro por CUI'!$N$5:$N$460,0))</f>
        <v>0.0</v>
      </c>
      <c r="G423" s="7">
        <f>INDEX('Rubro por CUI'!$F$5:$F$460,MATCH("001|2676423",'Rubro por CUI'!$N$5:$N$460,0))</f>
        <v>0.0</v>
      </c>
      <c r="H423" s="7">
        <f>INDEX('Rubro por CUI'!$G$5:$G$460,MATCH("001|2676423",'Rubro por CUI'!$N$5:$N$460,0))</f>
        <v>2936.0</v>
      </c>
      <c r="I423" s="7">
        <f>INDEX('Rubro por CUI'!$H$5:$H$460,MATCH("001|2676423",'Rubro por CUI'!$N$5:$N$460,0))</f>
        <v>0.0</v>
      </c>
      <c r="J423" s="7">
        <f>INDEX('Rubro por CUI'!$I$5:$I$460,MATCH("001|2676423",'Rubro por CUI'!$N$5:$N$460,0))</f>
        <v>0.0</v>
      </c>
      <c r="K423" s="7">
        <f>L423-SUM(F423:J423)</f>
        <v>0.0</v>
      </c>
      <c r="L423" s="7">
        <f>SUMIFS(Base!$I$5:$I$509,Base!$A$5:$A$509,"001",Base!$F$5:$F$509,"2676423")</f>
        <v>2936.0</v>
      </c>
      <c r="M423" s="6" t="s">
        <v>69</v>
      </c>
      <c r="N423" s="6" t="s">
        <v>1634</v>
      </c>
    </row>
    <row r="424" spans="1:14">
      <c r="A424" s="18">
        <v>406</v>
      </c>
      <c r="B424" s="18" t="s">
        <v>2037</v>
      </c>
      <c r="C424" s="6" t="s">
        <v>1188</v>
      </c>
      <c r="D424" s="6" t="s">
        <v>69</v>
      </c>
      <c r="E424" s="6" t="s">
        <v>69</v>
      </c>
      <c r="F424" s="7">
        <f>INDEX('Rubro por CUI'!$E$5:$E$460,MATCH("001|2681133",'Rubro por CUI'!$N$5:$N$460,0))</f>
        <v>0.0</v>
      </c>
      <c r="G424" s="7">
        <f>INDEX('Rubro por CUI'!$F$5:$F$460,MATCH("001|2681133",'Rubro por CUI'!$N$5:$N$460,0))</f>
        <v>0.0</v>
      </c>
      <c r="H424" s="7">
        <f>INDEX('Rubro por CUI'!$G$5:$G$460,MATCH("001|2681133",'Rubro por CUI'!$N$5:$N$460,0))</f>
        <v>2795.0</v>
      </c>
      <c r="I424" s="7">
        <f>INDEX('Rubro por CUI'!$H$5:$H$460,MATCH("001|2681133",'Rubro por CUI'!$N$5:$N$460,0))</f>
        <v>0.0</v>
      </c>
      <c r="J424" s="7">
        <f>INDEX('Rubro por CUI'!$I$5:$I$460,MATCH("001|2681133",'Rubro por CUI'!$N$5:$N$460,0))</f>
        <v>0.0</v>
      </c>
      <c r="K424" s="7">
        <f>L424-SUM(F424:J424)</f>
        <v>0.0</v>
      </c>
      <c r="L424" s="7">
        <f>SUMIFS(Base!$I$5:$I$509,Base!$A$5:$A$509,"001",Base!$F$5:$F$509,"2681133")</f>
        <v>2795.0</v>
      </c>
      <c r="M424" s="6" t="s">
        <v>69</v>
      </c>
      <c r="N424" s="6" t="s">
        <v>1634</v>
      </c>
    </row>
    <row r="425" spans="1:14">
      <c r="A425" s="18">
        <v>407</v>
      </c>
      <c r="B425" s="18" t="s">
        <v>2038</v>
      </c>
      <c r="C425" s="6" t="s">
        <v>1077</v>
      </c>
      <c r="D425" s="6" t="s">
        <v>69</v>
      </c>
      <c r="E425" s="6" t="s">
        <v>69</v>
      </c>
      <c r="F425" s="7">
        <f>INDEX('Rubro por CUI'!$E$5:$E$460,MATCH("001|2676427",'Rubro por CUI'!$N$5:$N$460,0))</f>
        <v>0.0</v>
      </c>
      <c r="G425" s="7">
        <f>INDEX('Rubro por CUI'!$F$5:$F$460,MATCH("001|2676427",'Rubro por CUI'!$N$5:$N$460,0))</f>
        <v>0.0</v>
      </c>
      <c r="H425" s="7">
        <f>INDEX('Rubro por CUI'!$G$5:$G$460,MATCH("001|2676427",'Rubro por CUI'!$N$5:$N$460,0))</f>
        <v>2555.0</v>
      </c>
      <c r="I425" s="7">
        <f>INDEX('Rubro por CUI'!$H$5:$H$460,MATCH("001|2676427",'Rubro por CUI'!$N$5:$N$460,0))</f>
        <v>0.0</v>
      </c>
      <c r="J425" s="7">
        <f>INDEX('Rubro por CUI'!$I$5:$I$460,MATCH("001|2676427",'Rubro por CUI'!$N$5:$N$460,0))</f>
        <v>0.0</v>
      </c>
      <c r="K425" s="7">
        <f>L425-SUM(F425:J425)</f>
        <v>0.0</v>
      </c>
      <c r="L425" s="7">
        <f>SUMIFS(Base!$I$5:$I$509,Base!$A$5:$A$509,"001",Base!$F$5:$F$509,"2676427")</f>
        <v>2555.0</v>
      </c>
      <c r="M425" s="6" t="s">
        <v>69</v>
      </c>
      <c r="N425" s="6" t="s">
        <v>1634</v>
      </c>
    </row>
    <row r="426" spans="1:14">
      <c r="A426" s="15" t="s">
        <v>1189</v>
      </c>
      <c r="B426" s="15"/>
      <c r="C426" s="15"/>
      <c r="D426" s="16">
        <f>SUM(D427:D430)</f>
        <v>0</v>
      </c>
      <c r="E426" s="16">
        <f>SUM(E427:E430)</f>
        <v>0</v>
      </c>
      <c r="F426" s="16">
        <f>SUM(F427:F430)</f>
        <v>0.0</v>
      </c>
      <c r="G426" s="16">
        <f>SUM(G427:G430)</f>
        <v>0.0</v>
      </c>
      <c r="H426" s="16">
        <f>SUM(H427:H430)</f>
        <v>1054126.0</v>
      </c>
      <c r="I426" s="16">
        <f>SUM(I427:I430)</f>
        <v>0.0</v>
      </c>
      <c r="J426" s="16">
        <f>SUM(J427:J430)</f>
        <v>0.0</v>
      </c>
      <c r="K426" s="16">
        <f>SUM(K427:K430)</f>
        <v>0.0</v>
      </c>
      <c r="L426" s="16">
        <f>SUM(L427:L430)</f>
        <v>1054126.0</v>
      </c>
      <c r="M426" s="16">
        <f>SUM(M427:M430)</f>
        <v>0</v>
      </c>
      <c r="N426" s="15"/>
    </row>
    <row r="427" spans="1:14">
      <c r="A427" s="18">
        <v>408</v>
      </c>
      <c r="B427" s="18" t="s">
        <v>2039</v>
      </c>
      <c r="C427" s="6" t="s">
        <v>1198</v>
      </c>
      <c r="D427" s="6" t="s">
        <v>69</v>
      </c>
      <c r="E427" s="6" t="s">
        <v>69</v>
      </c>
      <c r="F427" s="7">
        <f>INDEX('Rubro por CUI'!$E$5:$E$460,MATCH("001|2717185",'Rubro por CUI'!$N$5:$N$460,0))</f>
        <v>0.0</v>
      </c>
      <c r="G427" s="7">
        <f>INDEX('Rubro por CUI'!$F$5:$F$460,MATCH("001|2717185",'Rubro por CUI'!$N$5:$N$460,0))</f>
        <v>0.0</v>
      </c>
      <c r="H427" s="7">
        <f>INDEX('Rubro por CUI'!$G$5:$G$460,MATCH("001|2717185",'Rubro por CUI'!$N$5:$N$460,0))</f>
        <v>349792.0</v>
      </c>
      <c r="I427" s="7">
        <f>INDEX('Rubro por CUI'!$H$5:$H$460,MATCH("001|2717185",'Rubro por CUI'!$N$5:$N$460,0))</f>
        <v>0.0</v>
      </c>
      <c r="J427" s="7">
        <f>INDEX('Rubro por CUI'!$I$5:$I$460,MATCH("001|2717185",'Rubro por CUI'!$N$5:$N$460,0))</f>
        <v>0.0</v>
      </c>
      <c r="K427" s="7">
        <f>L427-SUM(F427:J427)</f>
        <v>0.0</v>
      </c>
      <c r="L427" s="7">
        <f>SUMIFS(Base!$I$5:$I$509,Base!$A$5:$A$509,"001",Base!$F$5:$F$509,"2717185")</f>
        <v>349792.0</v>
      </c>
      <c r="M427" s="6" t="s">
        <v>69</v>
      </c>
      <c r="N427" s="6" t="s">
        <v>1634</v>
      </c>
    </row>
    <row r="428" spans="1:14">
      <c r="A428" s="18">
        <v>409</v>
      </c>
      <c r="B428" s="18" t="s">
        <v>2040</v>
      </c>
      <c r="C428" s="6" t="s">
        <v>1201</v>
      </c>
      <c r="D428" s="6" t="s">
        <v>69</v>
      </c>
      <c r="E428" s="6" t="s">
        <v>69</v>
      </c>
      <c r="F428" s="7">
        <f>INDEX('Rubro por CUI'!$E$5:$E$460,MATCH("001|2723300",'Rubro por CUI'!$N$5:$N$460,0))</f>
        <v>0.0</v>
      </c>
      <c r="G428" s="7">
        <f>INDEX('Rubro por CUI'!$F$5:$F$460,MATCH("001|2723300",'Rubro por CUI'!$N$5:$N$460,0))</f>
        <v>0.0</v>
      </c>
      <c r="H428" s="7">
        <f>INDEX('Rubro por CUI'!$G$5:$G$460,MATCH("001|2723300",'Rubro por CUI'!$N$5:$N$460,0))</f>
        <v>349668.0</v>
      </c>
      <c r="I428" s="7">
        <f>INDEX('Rubro por CUI'!$H$5:$H$460,MATCH("001|2723300",'Rubro por CUI'!$N$5:$N$460,0))</f>
        <v>0.0</v>
      </c>
      <c r="J428" s="7">
        <f>INDEX('Rubro por CUI'!$I$5:$I$460,MATCH("001|2723300",'Rubro por CUI'!$N$5:$N$460,0))</f>
        <v>0.0</v>
      </c>
      <c r="K428" s="7">
        <f>L428-SUM(F428:J428)</f>
        <v>0.0</v>
      </c>
      <c r="L428" s="7">
        <f>SUMIFS(Base!$I$5:$I$509,Base!$A$5:$A$509,"001",Base!$F$5:$F$509,"2723300")</f>
        <v>349668.0</v>
      </c>
      <c r="M428" s="6" t="s">
        <v>69</v>
      </c>
      <c r="N428" s="6" t="s">
        <v>1634</v>
      </c>
    </row>
    <row r="429" spans="1:14">
      <c r="A429" s="18">
        <v>410</v>
      </c>
      <c r="B429" s="18" t="s">
        <v>2041</v>
      </c>
      <c r="C429" s="6" t="s">
        <v>1192</v>
      </c>
      <c r="D429" s="6" t="s">
        <v>69</v>
      </c>
      <c r="E429" s="6" t="s">
        <v>69</v>
      </c>
      <c r="F429" s="7">
        <f>INDEX('Rubro por CUI'!$E$5:$E$460,MATCH("001|2681278",'Rubro por CUI'!$N$5:$N$460,0))</f>
        <v>0.0</v>
      </c>
      <c r="G429" s="7">
        <f>INDEX('Rubro por CUI'!$F$5:$F$460,MATCH("001|2681278",'Rubro por CUI'!$N$5:$N$460,0))</f>
        <v>0.0</v>
      </c>
      <c r="H429" s="7">
        <f>INDEX('Rubro por CUI'!$G$5:$G$460,MATCH("001|2681278",'Rubro por CUI'!$N$5:$N$460,0))</f>
        <v>179500.0</v>
      </c>
      <c r="I429" s="7">
        <f>INDEX('Rubro por CUI'!$H$5:$H$460,MATCH("001|2681278",'Rubro por CUI'!$N$5:$N$460,0))</f>
        <v>0.0</v>
      </c>
      <c r="J429" s="7">
        <f>INDEX('Rubro por CUI'!$I$5:$I$460,MATCH("001|2681278",'Rubro por CUI'!$N$5:$N$460,0))</f>
        <v>0.0</v>
      </c>
      <c r="K429" s="7">
        <f>L429-SUM(F429:J429)</f>
        <v>0.0</v>
      </c>
      <c r="L429" s="7">
        <f>SUMIFS(Base!$I$5:$I$509,Base!$A$5:$A$509,"001",Base!$F$5:$F$509,"2681278")</f>
        <v>179500.0</v>
      </c>
      <c r="M429" s="6" t="s">
        <v>69</v>
      </c>
      <c r="N429" s="6" t="s">
        <v>1634</v>
      </c>
    </row>
    <row r="430" spans="1:14">
      <c r="A430" s="18">
        <v>411</v>
      </c>
      <c r="B430" s="18" t="s">
        <v>2042</v>
      </c>
      <c r="C430" s="6" t="s">
        <v>1195</v>
      </c>
      <c r="D430" s="6" t="s">
        <v>69</v>
      </c>
      <c r="E430" s="6" t="s">
        <v>69</v>
      </c>
      <c r="F430" s="7">
        <f>INDEX('Rubro por CUI'!$E$5:$E$460,MATCH("001|2681123",'Rubro por CUI'!$N$5:$N$460,0))</f>
        <v>0.0</v>
      </c>
      <c r="G430" s="7">
        <f>INDEX('Rubro por CUI'!$F$5:$F$460,MATCH("001|2681123",'Rubro por CUI'!$N$5:$N$460,0))</f>
        <v>0.0</v>
      </c>
      <c r="H430" s="7">
        <f>INDEX('Rubro por CUI'!$G$5:$G$460,MATCH("001|2681123",'Rubro por CUI'!$N$5:$N$460,0))</f>
        <v>175166.0</v>
      </c>
      <c r="I430" s="7">
        <f>INDEX('Rubro por CUI'!$H$5:$H$460,MATCH("001|2681123",'Rubro por CUI'!$N$5:$N$460,0))</f>
        <v>0.0</v>
      </c>
      <c r="J430" s="7">
        <f>INDEX('Rubro por CUI'!$I$5:$I$460,MATCH("001|2681123",'Rubro por CUI'!$N$5:$N$460,0))</f>
        <v>0.0</v>
      </c>
      <c r="K430" s="7">
        <f>L430-SUM(F430:J430)</f>
        <v>0.0</v>
      </c>
      <c r="L430" s="7">
        <f>SUMIFS(Base!$I$5:$I$509,Base!$A$5:$A$509,"001",Base!$F$5:$F$509,"2681123")</f>
        <v>175166.0</v>
      </c>
      <c r="M430" s="6" t="s">
        <v>69</v>
      </c>
      <c r="N430" s="6" t="s">
        <v>1634</v>
      </c>
    </row>
    <row r="431" spans="1:14">
      <c r="A431" s="15" t="s">
        <v>1202</v>
      </c>
      <c r="B431" s="15"/>
      <c r="C431" s="15"/>
      <c r="D431" s="16">
        <f>SUM(D432:D438)</f>
        <v>0</v>
      </c>
      <c r="E431" s="16">
        <f>SUM(E432:E438)</f>
        <v>0</v>
      </c>
      <c r="F431" s="16">
        <f>SUM(F432:F438)</f>
        <v>0.0</v>
      </c>
      <c r="G431" s="16">
        <f>SUM(G432:G438)</f>
        <v>0.0</v>
      </c>
      <c r="H431" s="16">
        <f>SUM(H432:H438)</f>
        <v>1308816.0</v>
      </c>
      <c r="I431" s="16">
        <f>SUM(I432:I438)</f>
        <v>0.0</v>
      </c>
      <c r="J431" s="16">
        <f>SUM(J432:J438)</f>
        <v>0.0</v>
      </c>
      <c r="K431" s="16">
        <f>SUM(K432:K438)</f>
        <v>0.0</v>
      </c>
      <c r="L431" s="16">
        <f>SUM(L432:L438)</f>
        <v>1308816.0</v>
      </c>
      <c r="M431" s="16">
        <f>SUM(M432:M438)</f>
        <v>0</v>
      </c>
      <c r="N431" s="15"/>
    </row>
    <row r="432" spans="1:14">
      <c r="A432" s="18">
        <v>412</v>
      </c>
      <c r="B432" s="18" t="s">
        <v>2043</v>
      </c>
      <c r="C432" s="6" t="s">
        <v>1223</v>
      </c>
      <c r="D432" s="6" t="s">
        <v>69</v>
      </c>
      <c r="E432" s="6" t="s">
        <v>69</v>
      </c>
      <c r="F432" s="7">
        <f>INDEX('Rubro por CUI'!$E$5:$E$460,MATCH("001|2723299",'Rubro por CUI'!$N$5:$N$460,0))</f>
        <v>0.0</v>
      </c>
      <c r="G432" s="7">
        <f>INDEX('Rubro por CUI'!$F$5:$F$460,MATCH("001|2723299",'Rubro por CUI'!$N$5:$N$460,0))</f>
        <v>0.0</v>
      </c>
      <c r="H432" s="7">
        <f>INDEX('Rubro por CUI'!$G$5:$G$460,MATCH("001|2723299",'Rubro por CUI'!$N$5:$N$460,0))</f>
        <v>350000.0</v>
      </c>
      <c r="I432" s="7">
        <f>INDEX('Rubro por CUI'!$H$5:$H$460,MATCH("001|2723299",'Rubro por CUI'!$N$5:$N$460,0))</f>
        <v>0.0</v>
      </c>
      <c r="J432" s="7">
        <f>INDEX('Rubro por CUI'!$I$5:$I$460,MATCH("001|2723299",'Rubro por CUI'!$N$5:$N$460,0))</f>
        <v>0.0</v>
      </c>
      <c r="K432" s="7">
        <f>L432-SUM(F432:J432)</f>
        <v>0.0</v>
      </c>
      <c r="L432" s="7">
        <f>SUMIFS(Base!$I$5:$I$509,Base!$A$5:$A$509,"001",Base!$F$5:$F$509,"2723299")</f>
        <v>350000.0</v>
      </c>
      <c r="M432" s="6" t="s">
        <v>69</v>
      </c>
      <c r="N432" s="6" t="s">
        <v>1634</v>
      </c>
    </row>
    <row r="433" spans="1:14">
      <c r="A433" s="18">
        <v>413</v>
      </c>
      <c r="B433" s="18" t="s">
        <v>2044</v>
      </c>
      <c r="C433" s="6" t="s">
        <v>1208</v>
      </c>
      <c r="D433" s="6" t="s">
        <v>69</v>
      </c>
      <c r="E433" s="6" t="s">
        <v>69</v>
      </c>
      <c r="F433" s="7">
        <f>INDEX('Rubro por CUI'!$E$5:$E$460,MATCH("001|2681274",'Rubro por CUI'!$N$5:$N$460,0))</f>
        <v>0.0</v>
      </c>
      <c r="G433" s="7">
        <f>INDEX('Rubro por CUI'!$F$5:$F$460,MATCH("001|2681274",'Rubro por CUI'!$N$5:$N$460,0))</f>
        <v>0.0</v>
      </c>
      <c r="H433" s="7">
        <f>INDEX('Rubro por CUI'!$G$5:$G$460,MATCH("001|2681274",'Rubro por CUI'!$N$5:$N$460,0))</f>
        <v>335890.0</v>
      </c>
      <c r="I433" s="7">
        <f>INDEX('Rubro por CUI'!$H$5:$H$460,MATCH("001|2681274",'Rubro por CUI'!$N$5:$N$460,0))</f>
        <v>0.0</v>
      </c>
      <c r="J433" s="7">
        <f>INDEX('Rubro por CUI'!$I$5:$I$460,MATCH("001|2681274",'Rubro por CUI'!$N$5:$N$460,0))</f>
        <v>0.0</v>
      </c>
      <c r="K433" s="7">
        <f>L433-SUM(F433:J433)</f>
        <v>0.0</v>
      </c>
      <c r="L433" s="7">
        <f>SUMIFS(Base!$I$5:$I$509,Base!$A$5:$A$509,"001",Base!$F$5:$F$509,"2681274")</f>
        <v>335890.0</v>
      </c>
      <c r="M433" s="6" t="s">
        <v>69</v>
      </c>
      <c r="N433" s="6" t="s">
        <v>1634</v>
      </c>
    </row>
    <row r="434" spans="1:14">
      <c r="A434" s="18">
        <v>414</v>
      </c>
      <c r="B434" s="18" t="s">
        <v>2045</v>
      </c>
      <c r="C434" s="6" t="s">
        <v>1217</v>
      </c>
      <c r="D434" s="6" t="s">
        <v>69</v>
      </c>
      <c r="E434" s="6" t="s">
        <v>69</v>
      </c>
      <c r="F434" s="7">
        <f>INDEX('Rubro por CUI'!$E$5:$E$460,MATCH("001|2723295",'Rubro por CUI'!$N$5:$N$460,0))</f>
        <v>0.0</v>
      </c>
      <c r="G434" s="7">
        <f>INDEX('Rubro por CUI'!$F$5:$F$460,MATCH("001|2723295",'Rubro por CUI'!$N$5:$N$460,0))</f>
        <v>0.0</v>
      </c>
      <c r="H434" s="7">
        <f>INDEX('Rubro por CUI'!$G$5:$G$460,MATCH("001|2723295",'Rubro por CUI'!$N$5:$N$460,0))</f>
        <v>160000.0</v>
      </c>
      <c r="I434" s="7">
        <f>INDEX('Rubro por CUI'!$H$5:$H$460,MATCH("001|2723295",'Rubro por CUI'!$N$5:$N$460,0))</f>
        <v>0.0</v>
      </c>
      <c r="J434" s="7">
        <f>INDEX('Rubro por CUI'!$I$5:$I$460,MATCH("001|2723295",'Rubro por CUI'!$N$5:$N$460,0))</f>
        <v>0.0</v>
      </c>
      <c r="K434" s="7">
        <f>L434-SUM(F434:J434)</f>
        <v>0.0</v>
      </c>
      <c r="L434" s="7">
        <f>SUMIFS(Base!$I$5:$I$509,Base!$A$5:$A$509,"001",Base!$F$5:$F$509,"2723295")</f>
        <v>160000.0</v>
      </c>
      <c r="M434" s="6" t="s">
        <v>69</v>
      </c>
      <c r="N434" s="6" t="s">
        <v>1634</v>
      </c>
    </row>
    <row r="435" spans="1:14">
      <c r="A435" s="18">
        <v>415</v>
      </c>
      <c r="B435" s="18" t="s">
        <v>2046</v>
      </c>
      <c r="C435" s="6" t="s">
        <v>1214</v>
      </c>
      <c r="D435" s="6" t="s">
        <v>69</v>
      </c>
      <c r="E435" s="6" t="s">
        <v>69</v>
      </c>
      <c r="F435" s="7">
        <f>INDEX('Rubro por CUI'!$E$5:$E$460,MATCH("001|2717150",'Rubro por CUI'!$N$5:$N$460,0))</f>
        <v>0.0</v>
      </c>
      <c r="G435" s="7">
        <f>INDEX('Rubro por CUI'!$F$5:$F$460,MATCH("001|2717150",'Rubro por CUI'!$N$5:$N$460,0))</f>
        <v>0.0</v>
      </c>
      <c r="H435" s="7">
        <f>INDEX('Rubro por CUI'!$G$5:$G$460,MATCH("001|2717150",'Rubro por CUI'!$N$5:$N$460,0))</f>
        <v>159345.0</v>
      </c>
      <c r="I435" s="7">
        <f>INDEX('Rubro por CUI'!$H$5:$H$460,MATCH("001|2717150",'Rubro por CUI'!$N$5:$N$460,0))</f>
        <v>0.0</v>
      </c>
      <c r="J435" s="7">
        <f>INDEX('Rubro por CUI'!$I$5:$I$460,MATCH("001|2717150",'Rubro por CUI'!$N$5:$N$460,0))</f>
        <v>0.0</v>
      </c>
      <c r="K435" s="7">
        <f>L435-SUM(F435:J435)</f>
        <v>0.0</v>
      </c>
      <c r="L435" s="7">
        <f>SUMIFS(Base!$I$5:$I$509,Base!$A$5:$A$509,"001",Base!$F$5:$F$509,"2717150")</f>
        <v>159345.0</v>
      </c>
      <c r="M435" s="6" t="s">
        <v>69</v>
      </c>
      <c r="N435" s="6" t="s">
        <v>1634</v>
      </c>
    </row>
    <row r="436" spans="1:14">
      <c r="A436" s="18">
        <v>416</v>
      </c>
      <c r="B436" s="18" t="s">
        <v>2047</v>
      </c>
      <c r="C436" s="6" t="s">
        <v>1211</v>
      </c>
      <c r="D436" s="6" t="s">
        <v>69</v>
      </c>
      <c r="E436" s="6" t="s">
        <v>69</v>
      </c>
      <c r="F436" s="7">
        <f>INDEX('Rubro por CUI'!$E$5:$E$460,MATCH("001|2681130",'Rubro por CUI'!$N$5:$N$460,0))</f>
        <v>0.0</v>
      </c>
      <c r="G436" s="7">
        <f>INDEX('Rubro por CUI'!$F$5:$F$460,MATCH("001|2681130",'Rubro por CUI'!$N$5:$N$460,0))</f>
        <v>0.0</v>
      </c>
      <c r="H436" s="7">
        <f>INDEX('Rubro por CUI'!$G$5:$G$460,MATCH("001|2681130",'Rubro por CUI'!$N$5:$N$460,0))</f>
        <v>157066.0</v>
      </c>
      <c r="I436" s="7">
        <f>INDEX('Rubro por CUI'!$H$5:$H$460,MATCH("001|2681130",'Rubro por CUI'!$N$5:$N$460,0))</f>
        <v>0.0</v>
      </c>
      <c r="J436" s="7">
        <f>INDEX('Rubro por CUI'!$I$5:$I$460,MATCH("001|2681130",'Rubro por CUI'!$N$5:$N$460,0))</f>
        <v>0.0</v>
      </c>
      <c r="K436" s="7">
        <f>L436-SUM(F436:J436)</f>
        <v>0.0</v>
      </c>
      <c r="L436" s="7">
        <f>SUMIFS(Base!$I$5:$I$509,Base!$A$5:$A$509,"001",Base!$F$5:$F$509,"2681130")</f>
        <v>157066.0</v>
      </c>
      <c r="M436" s="6" t="s">
        <v>69</v>
      </c>
      <c r="N436" s="6" t="s">
        <v>1634</v>
      </c>
    </row>
    <row r="437" spans="1:14">
      <c r="A437" s="18">
        <v>417</v>
      </c>
      <c r="B437" s="18" t="s">
        <v>2048</v>
      </c>
      <c r="C437" s="6" t="s">
        <v>1220</v>
      </c>
      <c r="D437" s="6" t="s">
        <v>69</v>
      </c>
      <c r="E437" s="6" t="s">
        <v>69</v>
      </c>
      <c r="F437" s="7">
        <f>INDEX('Rubro por CUI'!$E$5:$E$460,MATCH("001|2723301",'Rubro por CUI'!$N$5:$N$460,0))</f>
        <v>0.0</v>
      </c>
      <c r="G437" s="7">
        <f>INDEX('Rubro por CUI'!$F$5:$F$460,MATCH("001|2723301",'Rubro por CUI'!$N$5:$N$460,0))</f>
        <v>0.0</v>
      </c>
      <c r="H437" s="7">
        <f>INDEX('Rubro por CUI'!$G$5:$G$460,MATCH("001|2723301",'Rubro por CUI'!$N$5:$N$460,0))</f>
        <v>141150.0</v>
      </c>
      <c r="I437" s="7">
        <f>INDEX('Rubro por CUI'!$H$5:$H$460,MATCH("001|2723301",'Rubro por CUI'!$N$5:$N$460,0))</f>
        <v>0.0</v>
      </c>
      <c r="J437" s="7">
        <f>INDEX('Rubro por CUI'!$I$5:$I$460,MATCH("001|2723301",'Rubro por CUI'!$N$5:$N$460,0))</f>
        <v>0.0</v>
      </c>
      <c r="K437" s="7">
        <f>L437-SUM(F437:J437)</f>
        <v>0.0</v>
      </c>
      <c r="L437" s="7">
        <f>SUMIFS(Base!$I$5:$I$509,Base!$A$5:$A$509,"001",Base!$F$5:$F$509,"2723301")</f>
        <v>141150.0</v>
      </c>
      <c r="M437" s="6" t="s">
        <v>69</v>
      </c>
      <c r="N437" s="6" t="s">
        <v>1634</v>
      </c>
    </row>
    <row r="438" spans="1:14">
      <c r="A438" s="18">
        <v>418</v>
      </c>
      <c r="B438" s="18" t="s">
        <v>2049</v>
      </c>
      <c r="C438" s="6" t="s">
        <v>1205</v>
      </c>
      <c r="D438" s="6" t="s">
        <v>69</v>
      </c>
      <c r="E438" s="6" t="s">
        <v>69</v>
      </c>
      <c r="F438" s="7">
        <f>INDEX('Rubro por CUI'!$E$5:$E$460,MATCH("001|2676422",'Rubro por CUI'!$N$5:$N$460,0))</f>
        <v>0.0</v>
      </c>
      <c r="G438" s="7">
        <f>INDEX('Rubro por CUI'!$F$5:$F$460,MATCH("001|2676422",'Rubro por CUI'!$N$5:$N$460,0))</f>
        <v>0.0</v>
      </c>
      <c r="H438" s="7">
        <f>INDEX('Rubro por CUI'!$G$5:$G$460,MATCH("001|2676422",'Rubro por CUI'!$N$5:$N$460,0))</f>
        <v>5365.0</v>
      </c>
      <c r="I438" s="7">
        <f>INDEX('Rubro por CUI'!$H$5:$H$460,MATCH("001|2676422",'Rubro por CUI'!$N$5:$N$460,0))</f>
        <v>0.0</v>
      </c>
      <c r="J438" s="7">
        <f>INDEX('Rubro por CUI'!$I$5:$I$460,MATCH("001|2676422",'Rubro por CUI'!$N$5:$N$460,0))</f>
        <v>0.0</v>
      </c>
      <c r="K438" s="7">
        <f>L438-SUM(F438:J438)</f>
        <v>0.0</v>
      </c>
      <c r="L438" s="7">
        <f>SUMIFS(Base!$I$5:$I$509,Base!$A$5:$A$509,"001",Base!$F$5:$F$509,"2676422")</f>
        <v>5365.0</v>
      </c>
      <c r="M438" s="6" t="s">
        <v>69</v>
      </c>
      <c r="N438" s="6" t="s">
        <v>1634</v>
      </c>
    </row>
    <row r="439" spans="1:14">
      <c r="A439" s="15" t="s">
        <v>1225</v>
      </c>
      <c r="B439" s="15"/>
      <c r="C439" s="15"/>
      <c r="D439" s="16">
        <f>SUM(D440:D444)</f>
        <v>136804522.0</v>
      </c>
      <c r="E439" s="16">
        <f>SUM(E440:E444)</f>
        <v>62832577.0</v>
      </c>
      <c r="F439" s="16">
        <f>SUM(F440:F444)</f>
        <v>0.0</v>
      </c>
      <c r="G439" s="16">
        <f>SUM(G440:G444)</f>
        <v>1644205.0</v>
      </c>
      <c r="H439" s="16">
        <f>SUM(H440:H444)</f>
        <v>22351702.0</v>
      </c>
      <c r="I439" s="16">
        <f>SUM(I440:I444)</f>
        <v>4061056.0</v>
      </c>
      <c r="J439" s="16">
        <f>SUM(J440:J444)</f>
        <v>0.0</v>
      </c>
      <c r="K439" s="16">
        <f>SUM(K440:K444)</f>
        <v>0.0</v>
      </c>
      <c r="L439" s="16">
        <f>SUM(L440:L444)</f>
        <v>28056963.0</v>
      </c>
      <c r="M439" s="16">
        <f>SUM(M440:M444)</f>
        <v>45914982.0</v>
      </c>
      <c r="N439" s="15"/>
    </row>
    <row r="440" spans="1:14">
      <c r="A440" s="18">
        <v>419</v>
      </c>
      <c r="B440" s="18" t="s">
        <v>2050</v>
      </c>
      <c r="C440" s="6" t="s">
        <v>1228</v>
      </c>
      <c r="D440" s="23">
        <v>81396012</v>
      </c>
      <c r="E440" s="23">
        <v>52820272</v>
      </c>
      <c r="F440" s="7">
        <f>INDEX('Rubro por CUI'!$E$5:$E$460,MATCH("001|2183634",'Rubro por CUI'!$N$5:$N$460,0))</f>
        <v>0.0</v>
      </c>
      <c r="G440" s="7">
        <f>INDEX('Rubro por CUI'!$F$5:$F$460,MATCH("001|2183634",'Rubro por CUI'!$N$5:$N$460,0))</f>
        <v>0.0</v>
      </c>
      <c r="H440" s="7">
        <f>INDEX('Rubro por CUI'!$G$5:$G$460,MATCH("001|2183634",'Rubro por CUI'!$N$5:$N$460,0))</f>
        <v>10918999.0</v>
      </c>
      <c r="I440" s="7">
        <f>INDEX('Rubro por CUI'!$H$5:$H$460,MATCH("001|2183634",'Rubro por CUI'!$N$5:$N$460,0))</f>
        <v>0.0</v>
      </c>
      <c r="J440" s="7">
        <f>INDEX('Rubro por CUI'!$I$5:$I$460,MATCH("001|2183634",'Rubro por CUI'!$N$5:$N$460,0))</f>
        <v>0.0</v>
      </c>
      <c r="K440" s="7">
        <f>L440-SUM(F440:J440)</f>
        <v>0.0</v>
      </c>
      <c r="L440" s="7">
        <f>SUMIFS(Base!$I$5:$I$509,Base!$A$5:$A$509,"001",Base!$F$5:$F$509,"2183634")</f>
        <v>10918999.0</v>
      </c>
      <c r="M440" s="7">
        <f>D440-E440-L440</f>
        <v>17656741.0</v>
      </c>
      <c r="N440" s="6" t="s">
        <v>63</v>
      </c>
    </row>
    <row r="441" spans="1:14">
      <c r="A441" s="18">
        <v>420</v>
      </c>
      <c r="B441" s="18" t="s">
        <v>2051</v>
      </c>
      <c r="C441" s="6" t="s">
        <v>1404</v>
      </c>
      <c r="D441" s="23">
        <v>7229146</v>
      </c>
      <c r="E441" s="23">
        <v>224693</v>
      </c>
      <c r="F441" s="7">
        <f>INDEX('Rubro por CUI'!$E$5:$E$460,MATCH("001|2683535",'Rubro por CUI'!$N$5:$N$460,0))</f>
        <v>0.0</v>
      </c>
      <c r="G441" s="7">
        <f>INDEX('Rubro por CUI'!$F$5:$F$460,MATCH("001|2683535",'Rubro por CUI'!$N$5:$N$460,0))</f>
        <v>0.0</v>
      </c>
      <c r="H441" s="7">
        <f>INDEX('Rubro por CUI'!$G$5:$G$460,MATCH("001|2683535",'Rubro por CUI'!$N$5:$N$460,0))</f>
        <v>2593837.0</v>
      </c>
      <c r="I441" s="7">
        <f>INDEX('Rubro por CUI'!$H$5:$H$460,MATCH("001|2683535",'Rubro por CUI'!$N$5:$N$460,0))</f>
        <v>4061056.0</v>
      </c>
      <c r="J441" s="7">
        <f>INDEX('Rubro por CUI'!$I$5:$I$460,MATCH("001|2683535",'Rubro por CUI'!$N$5:$N$460,0))</f>
        <v>0.0</v>
      </c>
      <c r="K441" s="7">
        <f>L441-SUM(F441:J441)</f>
        <v>0.0</v>
      </c>
      <c r="L441" s="7">
        <f>SUMIFS(Base!$I$5:$I$509,Base!$A$5:$A$509,"001",Base!$F$5:$F$509,"2683535")</f>
        <v>6654893.0</v>
      </c>
      <c r="M441" s="7">
        <f>D441-E441-L441</f>
        <v>349560.0</v>
      </c>
      <c r="N441" s="6" t="s">
        <v>63</v>
      </c>
    </row>
    <row r="442" spans="1:14">
      <c r="A442" s="18">
        <v>421</v>
      </c>
      <c r="B442" s="18" t="s">
        <v>2052</v>
      </c>
      <c r="C442" s="6" t="s">
        <v>1407</v>
      </c>
      <c r="D442" s="23">
        <v>25395890</v>
      </c>
      <c r="E442" s="23">
        <v>29746</v>
      </c>
      <c r="F442" s="7">
        <f>INDEX('Rubro por CUI'!$E$5:$E$460,MATCH("001|2685431",'Rubro por CUI'!$N$5:$N$460,0))</f>
        <v>0.0</v>
      </c>
      <c r="G442" s="7">
        <f>INDEX('Rubro por CUI'!$F$5:$F$460,MATCH("001|2685431",'Rubro por CUI'!$N$5:$N$460,0))</f>
        <v>180000.0</v>
      </c>
      <c r="H442" s="7">
        <f>INDEX('Rubro por CUI'!$G$5:$G$460,MATCH("001|2685431",'Rubro por CUI'!$N$5:$N$460,0))</f>
        <v>5101360.0</v>
      </c>
      <c r="I442" s="7">
        <f>INDEX('Rubro por CUI'!$H$5:$H$460,MATCH("001|2685431",'Rubro por CUI'!$N$5:$N$460,0))</f>
        <v>0.0</v>
      </c>
      <c r="J442" s="7">
        <f>INDEX('Rubro por CUI'!$I$5:$I$460,MATCH("001|2685431",'Rubro por CUI'!$N$5:$N$460,0))</f>
        <v>0.0</v>
      </c>
      <c r="K442" s="7">
        <f>L442-SUM(F442:J442)</f>
        <v>0.0</v>
      </c>
      <c r="L442" s="7">
        <f>SUMIFS(Base!$I$5:$I$509,Base!$A$5:$A$509,"001",Base!$F$5:$F$509,"2685431")</f>
        <v>5281360.0</v>
      </c>
      <c r="M442" s="7">
        <f>D442-E442-L442</f>
        <v>20084784.0</v>
      </c>
      <c r="N442" s="6" t="s">
        <v>63</v>
      </c>
    </row>
    <row r="443" spans="1:14">
      <c r="A443" s="18">
        <v>422</v>
      </c>
      <c r="B443" s="18" t="s">
        <v>2053</v>
      </c>
      <c r="C443" s="6" t="s">
        <v>1235</v>
      </c>
      <c r="D443" s="23">
        <v>14825623</v>
      </c>
      <c r="E443" s="23">
        <v>9522425</v>
      </c>
      <c r="F443" s="7">
        <f>INDEX('Rubro por CUI'!$E$5:$E$460,MATCH("001|2520451",'Rubro por CUI'!$N$5:$N$460,0))</f>
        <v>0.0</v>
      </c>
      <c r="G443" s="7">
        <f>INDEX('Rubro por CUI'!$F$5:$F$460,MATCH("001|2520451",'Rubro por CUI'!$N$5:$N$460,0))</f>
        <v>1464205.0</v>
      </c>
      <c r="H443" s="7">
        <f>INDEX('Rubro por CUI'!$G$5:$G$460,MATCH("001|2520451",'Rubro por CUI'!$N$5:$N$460,0))</f>
        <v>3717848.0</v>
      </c>
      <c r="I443" s="7">
        <f>INDEX('Rubro por CUI'!$H$5:$H$460,MATCH("001|2520451",'Rubro por CUI'!$N$5:$N$460,0))</f>
        <v>0.0</v>
      </c>
      <c r="J443" s="7">
        <f>INDEX('Rubro por CUI'!$I$5:$I$460,MATCH("001|2520451",'Rubro por CUI'!$N$5:$N$460,0))</f>
        <v>0.0</v>
      </c>
      <c r="K443" s="7">
        <f>L443-SUM(F443:J443)</f>
        <v>0.0</v>
      </c>
      <c r="L443" s="7">
        <f>SUMIFS(Base!$I$5:$I$509,Base!$A$5:$A$509,"001",Base!$F$5:$F$509,"2520451")</f>
        <v>5182053.0</v>
      </c>
      <c r="M443" s="7">
        <f>D443-E443-L443</f>
        <v>121145.0</v>
      </c>
      <c r="N443" s="6" t="s">
        <v>63</v>
      </c>
    </row>
    <row r="444" spans="1:14">
      <c r="A444" s="18">
        <v>423</v>
      </c>
      <c r="B444" s="18" t="s">
        <v>2054</v>
      </c>
      <c r="C444" s="6" t="s">
        <v>1232</v>
      </c>
      <c r="D444" s="23">
        <v>7957851</v>
      </c>
      <c r="E444" s="23">
        <v>235441</v>
      </c>
      <c r="F444" s="7">
        <f>INDEX('Rubro por CUI'!$E$5:$E$460,MATCH("001|2532916",'Rubro por CUI'!$N$5:$N$460,0))</f>
        <v>0.0</v>
      </c>
      <c r="G444" s="7">
        <f>INDEX('Rubro por CUI'!$F$5:$F$460,MATCH("001|2532916",'Rubro por CUI'!$N$5:$N$460,0))</f>
        <v>0.0</v>
      </c>
      <c r="H444" s="7">
        <f>INDEX('Rubro por CUI'!$G$5:$G$460,MATCH("001|2532916",'Rubro por CUI'!$N$5:$N$460,0))</f>
        <v>19658.0</v>
      </c>
      <c r="I444" s="7">
        <f>INDEX('Rubro por CUI'!$H$5:$H$460,MATCH("001|2532916",'Rubro por CUI'!$N$5:$N$460,0))</f>
        <v>0.0</v>
      </c>
      <c r="J444" s="7">
        <f>INDEX('Rubro por CUI'!$I$5:$I$460,MATCH("001|2532916",'Rubro por CUI'!$N$5:$N$460,0))</f>
        <v>0.0</v>
      </c>
      <c r="K444" s="7">
        <f>L444-SUM(F444:J444)</f>
        <v>0.0</v>
      </c>
      <c r="L444" s="7">
        <f>SUMIFS(Base!$I$5:$I$509,Base!$A$5:$A$509,"001",Base!$F$5:$F$509,"2532916")</f>
        <v>19658.0</v>
      </c>
      <c r="M444" s="7">
        <f>D444-E444-L444</f>
        <v>7702752.0</v>
      </c>
      <c r="N444" s="6" t="s">
        <v>63</v>
      </c>
    </row>
    <row r="445" spans="1:14">
      <c r="A445" s="15" t="s">
        <v>2056</v>
      </c>
      <c r="B445" s="15"/>
      <c r="C445" s="15"/>
      <c r="D445" s="16">
        <f>SUM(D446:D446)</f>
        <v>0</v>
      </c>
      <c r="E445" s="16">
        <f>SUM(E446:E446)</f>
        <v>0</v>
      </c>
      <c r="F445" s="16">
        <f>SUM(F446:F446)</f>
        <v>0.0</v>
      </c>
      <c r="G445" s="16">
        <f>SUM(G446:G446)</f>
        <v>0.0</v>
      </c>
      <c r="H445" s="16">
        <f>SUM(H446:H446)</f>
        <v>6717555.0</v>
      </c>
      <c r="I445" s="16">
        <f>SUM(I446:I446)</f>
        <v>433484.0</v>
      </c>
      <c r="J445" s="16">
        <f>SUM(J446:J446)</f>
        <v>0.0</v>
      </c>
      <c r="K445" s="16">
        <f>SUM(K446:K446)</f>
        <v>0.0</v>
      </c>
      <c r="L445" s="16">
        <f>SUM(L446:L446)</f>
        <v>7151039.0</v>
      </c>
      <c r="M445" s="16">
        <f>SUM(M446:M446)</f>
        <v>0</v>
      </c>
      <c r="N445" s="15"/>
    </row>
    <row r="446" spans="1:14">
      <c r="A446" s="18">
        <v>424</v>
      </c>
      <c r="B446" s="18" t="s">
        <v>2055</v>
      </c>
      <c r="C446" s="6" t="s">
        <v>1414</v>
      </c>
      <c r="D446" s="6" t="s">
        <v>69</v>
      </c>
      <c r="E446" s="6" t="s">
        <v>69</v>
      </c>
      <c r="F446" s="7">
        <f>INDEX('Rubro por CUI'!$E$5:$E$460,MATCH("001|2001621",'Rubro por CUI'!$N$5:$N$460,0))</f>
        <v>0.0</v>
      </c>
      <c r="G446" s="7">
        <f>INDEX('Rubro por CUI'!$F$5:$F$460,MATCH("001|2001621",'Rubro por CUI'!$N$5:$N$460,0))</f>
        <v>0.0</v>
      </c>
      <c r="H446" s="7">
        <f>INDEX('Rubro por CUI'!$G$5:$G$460,MATCH("001|2001621",'Rubro por CUI'!$N$5:$N$460,0))</f>
        <v>6717555.0</v>
      </c>
      <c r="I446" s="7">
        <f>INDEX('Rubro por CUI'!$H$5:$H$460,MATCH("001|2001621",'Rubro por CUI'!$N$5:$N$460,0))</f>
        <v>433484.0</v>
      </c>
      <c r="J446" s="7">
        <f>INDEX('Rubro por CUI'!$I$5:$I$460,MATCH("001|2001621",'Rubro por CUI'!$N$5:$N$460,0))</f>
        <v>0.0</v>
      </c>
      <c r="K446" s="7">
        <f>L446-SUM(F446:J446)</f>
        <v>0.0</v>
      </c>
      <c r="L446" s="7">
        <f>SUMIFS(Base!$I$5:$I$509,Base!$A$5:$A$509,"001",Base!$F$5:$F$509,"2001621")</f>
        <v>7151039.0</v>
      </c>
      <c r="M446" s="6" t="s">
        <v>69</v>
      </c>
      <c r="N446" s="6" t="s">
        <v>1634</v>
      </c>
    </row>
    <row r="447" spans="1:14">
      <c r="A447" s="11" t="s">
        <v>1450</v>
      </c>
      <c r="B447" s="11"/>
      <c r="C447" s="11"/>
      <c r="D447" s="12">
        <f>D448+D451</f>
        <v>20880704.0</v>
      </c>
      <c r="E447" s="12">
        <f>E448+E451</f>
        <v>14074263.0</v>
      </c>
      <c r="F447" s="12">
        <f>F448+F451</f>
        <v>0.0</v>
      </c>
      <c r="G447" s="12">
        <f>G448+G451</f>
        <v>0.0</v>
      </c>
      <c r="H447" s="12">
        <f>H448+H451</f>
        <v>2582404.0</v>
      </c>
      <c r="I447" s="12">
        <f>I448+I451</f>
        <v>0.0</v>
      </c>
      <c r="J447" s="12">
        <f>J448+J451</f>
        <v>0.0</v>
      </c>
      <c r="K447" s="12">
        <f>K448+K451</f>
        <v>0.0</v>
      </c>
      <c r="L447" s="12">
        <f>L448+L451</f>
        <v>2582404.0</v>
      </c>
      <c r="M447" s="12">
        <f>M448+M451</f>
        <v>4269037.0</v>
      </c>
      <c r="N447" s="11"/>
    </row>
    <row r="448" spans="1:14">
      <c r="A448" s="15" t="s">
        <v>1189</v>
      </c>
      <c r="B448" s="15"/>
      <c r="C448" s="15"/>
      <c r="D448" s="16">
        <f>SUM(D449:D450)</f>
        <v>11727184.0</v>
      </c>
      <c r="E448" s="16">
        <f>SUM(E449:E450)</f>
        <v>5532484.0</v>
      </c>
      <c r="F448" s="16">
        <f>SUM(F449:F450)</f>
        <v>0.0</v>
      </c>
      <c r="G448" s="16">
        <f>SUM(G449:G450)</f>
        <v>0.0</v>
      </c>
      <c r="H448" s="16">
        <f>SUM(H449:H450)</f>
        <v>2462454.0</v>
      </c>
      <c r="I448" s="16">
        <f>SUM(I449:I450)</f>
        <v>0.0</v>
      </c>
      <c r="J448" s="16">
        <f>SUM(J449:J450)</f>
        <v>0.0</v>
      </c>
      <c r="K448" s="16">
        <f>SUM(K449:K450)</f>
        <v>0.0</v>
      </c>
      <c r="L448" s="16">
        <f>SUM(L449:L450)</f>
        <v>2462454.0</v>
      </c>
      <c r="M448" s="16">
        <f>SUM(M449:M450)</f>
        <v>3777246.0</v>
      </c>
      <c r="N448" s="15"/>
    </row>
    <row r="449" spans="1:14">
      <c r="A449" s="18">
        <v>425</v>
      </c>
      <c r="B449" s="18" t="s">
        <v>1975</v>
      </c>
      <c r="C449" s="6" t="s">
        <v>1452</v>
      </c>
      <c r="D449" s="23">
        <v>11727184</v>
      </c>
      <c r="E449" s="23">
        <v>5532484</v>
      </c>
      <c r="F449" s="7">
        <f>INDEX('Rubro por CUI'!$E$5:$E$460,MATCH("002|2336682",'Rubro por CUI'!$N$5:$N$460,0))</f>
        <v>0.0</v>
      </c>
      <c r="G449" s="7">
        <f>INDEX('Rubro por CUI'!$F$5:$F$460,MATCH("002|2336682",'Rubro por CUI'!$N$5:$N$460,0))</f>
        <v>0.0</v>
      </c>
      <c r="H449" s="7">
        <f>INDEX('Rubro por CUI'!$G$5:$G$460,MATCH("002|2336682",'Rubro por CUI'!$N$5:$N$460,0))</f>
        <v>2417454.0</v>
      </c>
      <c r="I449" s="7">
        <f>INDEX('Rubro por CUI'!$H$5:$H$460,MATCH("002|2336682",'Rubro por CUI'!$N$5:$N$460,0))</f>
        <v>0.0</v>
      </c>
      <c r="J449" s="7">
        <f>INDEX('Rubro por CUI'!$I$5:$I$460,MATCH("002|2336682",'Rubro por CUI'!$N$5:$N$460,0))</f>
        <v>0.0</v>
      </c>
      <c r="K449" s="7">
        <f>L449-SUM(F449:J449)</f>
        <v>0.0</v>
      </c>
      <c r="L449" s="7">
        <f>SUMIFS(Base!$I$5:$I$509,Base!$A$5:$A$509,"002",Base!$F$5:$F$509,"2336682")</f>
        <v>2417454.0</v>
      </c>
      <c r="M449" s="7">
        <f>D449-E449-L449</f>
        <v>3777246.0</v>
      </c>
      <c r="N449" s="6" t="s">
        <v>63</v>
      </c>
    </row>
    <row r="450" spans="1:14">
      <c r="A450" s="18">
        <v>426</v>
      </c>
      <c r="B450" s="18" t="s">
        <v>1823</v>
      </c>
      <c r="C450" s="6" t="s">
        <v>1457</v>
      </c>
      <c r="D450" s="6" t="s">
        <v>69</v>
      </c>
      <c r="E450" s="6" t="s">
        <v>69</v>
      </c>
      <c r="F450" s="7">
        <f>INDEX('Rubro por CUI'!$E$5:$E$460,MATCH("002|2714101",'Rubro por CUI'!$N$5:$N$460,0))</f>
        <v>0.0</v>
      </c>
      <c r="G450" s="7">
        <f>INDEX('Rubro por CUI'!$F$5:$F$460,MATCH("002|2714101",'Rubro por CUI'!$N$5:$N$460,0))</f>
        <v>0.0</v>
      </c>
      <c r="H450" s="7">
        <f>INDEX('Rubro por CUI'!$G$5:$G$460,MATCH("002|2714101",'Rubro por CUI'!$N$5:$N$460,0))</f>
        <v>45000.0</v>
      </c>
      <c r="I450" s="7">
        <f>INDEX('Rubro por CUI'!$H$5:$H$460,MATCH("002|2714101",'Rubro por CUI'!$N$5:$N$460,0))</f>
        <v>0.0</v>
      </c>
      <c r="J450" s="7">
        <f>INDEX('Rubro por CUI'!$I$5:$I$460,MATCH("002|2714101",'Rubro por CUI'!$N$5:$N$460,0))</f>
        <v>0.0</v>
      </c>
      <c r="K450" s="7">
        <f>L450-SUM(F450:J450)</f>
        <v>0.0</v>
      </c>
      <c r="L450" s="7">
        <f>SUMIFS(Base!$I$5:$I$509,Base!$A$5:$A$509,"002",Base!$F$5:$F$509,"2714101")</f>
        <v>45000.0</v>
      </c>
      <c r="M450" s="6" t="s">
        <v>69</v>
      </c>
      <c r="N450" s="6" t="s">
        <v>1634</v>
      </c>
    </row>
    <row r="451" spans="1:14">
      <c r="A451" s="15" t="s">
        <v>1202</v>
      </c>
      <c r="B451" s="15"/>
      <c r="C451" s="15"/>
      <c r="D451" s="16">
        <f>SUM(D452:D452)</f>
        <v>9153520.0</v>
      </c>
      <c r="E451" s="16">
        <f>SUM(E452:E452)</f>
        <v>8541779.0</v>
      </c>
      <c r="F451" s="16">
        <f>SUM(F452:F452)</f>
        <v>0.0</v>
      </c>
      <c r="G451" s="16">
        <f>SUM(G452:G452)</f>
        <v>0.0</v>
      </c>
      <c r="H451" s="16">
        <f>SUM(H452:H452)</f>
        <v>119950.0</v>
      </c>
      <c r="I451" s="16">
        <f>SUM(I452:I452)</f>
        <v>0.0</v>
      </c>
      <c r="J451" s="16">
        <f>SUM(J452:J452)</f>
        <v>0.0</v>
      </c>
      <c r="K451" s="16">
        <f>SUM(K452:K452)</f>
        <v>0.0</v>
      </c>
      <c r="L451" s="16">
        <f>SUM(L452:L452)</f>
        <v>119950.0</v>
      </c>
      <c r="M451" s="16">
        <f>SUM(M452:M452)</f>
        <v>491791.0</v>
      </c>
      <c r="N451" s="15"/>
    </row>
    <row r="452" spans="1:14">
      <c r="A452" s="18">
        <v>427</v>
      </c>
      <c r="B452" s="18" t="s">
        <v>2057</v>
      </c>
      <c r="C452" s="6" t="s">
        <v>1455</v>
      </c>
      <c r="D452" s="23">
        <v>9153520</v>
      </c>
      <c r="E452" s="23">
        <v>8541779</v>
      </c>
      <c r="F452" s="7">
        <f>INDEX('Rubro por CUI'!$E$5:$E$460,MATCH("002|2230619",'Rubro por CUI'!$N$5:$N$460,0))</f>
        <v>0.0</v>
      </c>
      <c r="G452" s="7">
        <f>INDEX('Rubro por CUI'!$F$5:$F$460,MATCH("002|2230619",'Rubro por CUI'!$N$5:$N$460,0))</f>
        <v>0.0</v>
      </c>
      <c r="H452" s="7">
        <f>INDEX('Rubro por CUI'!$G$5:$G$460,MATCH("002|2230619",'Rubro por CUI'!$N$5:$N$460,0))</f>
        <v>119950.0</v>
      </c>
      <c r="I452" s="7">
        <f>INDEX('Rubro por CUI'!$H$5:$H$460,MATCH("002|2230619",'Rubro por CUI'!$N$5:$N$460,0))</f>
        <v>0.0</v>
      </c>
      <c r="J452" s="7">
        <f>INDEX('Rubro por CUI'!$I$5:$I$460,MATCH("002|2230619",'Rubro por CUI'!$N$5:$N$460,0))</f>
        <v>0.0</v>
      </c>
      <c r="K452" s="7">
        <f>L452-SUM(F452:J452)</f>
        <v>0.0</v>
      </c>
      <c r="L452" s="7">
        <f>SUMIFS(Base!$I$5:$I$509,Base!$A$5:$A$509,"002",Base!$F$5:$F$509,"2230619")</f>
        <v>119950.0</v>
      </c>
      <c r="M452" s="7">
        <f>D452-E452-L452</f>
        <v>491791.0</v>
      </c>
      <c r="N452" s="6" t="s">
        <v>63</v>
      </c>
    </row>
    <row r="453" spans="1:14">
      <c r="A453" s="11" t="s">
        <v>1461</v>
      </c>
      <c r="B453" s="11"/>
      <c r="C453" s="11"/>
      <c r="D453" s="12">
        <f>D454+D468</f>
        <v>356804101.0</v>
      </c>
      <c r="E453" s="12">
        <f>E454+E468</f>
        <v>148949676.0</v>
      </c>
      <c r="F453" s="12">
        <f>F454+F468</f>
        <v>0.0</v>
      </c>
      <c r="G453" s="12">
        <f>G454+G468</f>
        <v>57914.0</v>
      </c>
      <c r="H453" s="12">
        <f>H454+H468</f>
        <v>44995058.0</v>
      </c>
      <c r="I453" s="12">
        <f>I454+I468</f>
        <v>584370.0</v>
      </c>
      <c r="J453" s="12">
        <f>J454+J468</f>
        <v>0.0</v>
      </c>
      <c r="K453" s="12">
        <f>K454+K468</f>
        <v>0.0</v>
      </c>
      <c r="L453" s="12">
        <f>L454+L468</f>
        <v>45637342.0</v>
      </c>
      <c r="M453" s="12">
        <f>M454+M468</f>
        <v>163047936.0</v>
      </c>
      <c r="N453" s="11"/>
    </row>
    <row r="454" spans="1:14">
      <c r="A454" s="15" t="s">
        <v>996</v>
      </c>
      <c r="B454" s="15"/>
      <c r="C454" s="15"/>
      <c r="D454" s="16">
        <f>SUM(D455:D467)</f>
        <v>346532281.0</v>
      </c>
      <c r="E454" s="16">
        <f>SUM(E455:E467)</f>
        <v>146673543.0</v>
      </c>
      <c r="F454" s="16">
        <f>SUM(F455:F467)</f>
        <v>0.0</v>
      </c>
      <c r="G454" s="16">
        <f>SUM(G455:G467)</f>
        <v>57914.0</v>
      </c>
      <c r="H454" s="16">
        <f>SUM(H455:H467)</f>
        <v>44995058.0</v>
      </c>
      <c r="I454" s="16">
        <f>SUM(I455:I467)</f>
        <v>584370.0</v>
      </c>
      <c r="J454" s="16">
        <f>SUM(J455:J467)</f>
        <v>0.0</v>
      </c>
      <c r="K454" s="16">
        <f>SUM(K455:K467)</f>
        <v>0.0</v>
      </c>
      <c r="L454" s="16">
        <f>SUM(L455:L467)</f>
        <v>45637342.0</v>
      </c>
      <c r="M454" s="16">
        <f>SUM(M455:M467)</f>
        <v>155052249.0</v>
      </c>
      <c r="N454" s="15"/>
    </row>
    <row r="455" spans="1:14">
      <c r="A455" s="18">
        <v>428</v>
      </c>
      <c r="B455" s="18" t="s">
        <v>2058</v>
      </c>
      <c r="C455" s="6" t="s">
        <v>1471</v>
      </c>
      <c r="D455" s="23">
        <v>42618817</v>
      </c>
      <c r="E455" s="23">
        <v>31304141</v>
      </c>
      <c r="F455" s="7">
        <f>INDEX('Rubro por CUI'!$E$5:$E$460,MATCH("003|2540745",'Rubro por CUI'!$N$5:$N$460,0))</f>
        <v>0.0</v>
      </c>
      <c r="G455" s="7">
        <f>INDEX('Rubro por CUI'!$F$5:$F$460,MATCH("003|2540745",'Rubro por CUI'!$N$5:$N$460,0))</f>
        <v>0.0</v>
      </c>
      <c r="H455" s="7">
        <f>INDEX('Rubro por CUI'!$G$5:$G$460,MATCH("003|2540745",'Rubro por CUI'!$N$5:$N$460,0))</f>
        <v>8979929.0</v>
      </c>
      <c r="I455" s="7">
        <f>INDEX('Rubro por CUI'!$H$5:$H$460,MATCH("003|2540745",'Rubro por CUI'!$N$5:$N$460,0))</f>
        <v>0.0</v>
      </c>
      <c r="J455" s="7">
        <f>INDEX('Rubro por CUI'!$I$5:$I$460,MATCH("003|2540745",'Rubro por CUI'!$N$5:$N$460,0))</f>
        <v>0.0</v>
      </c>
      <c r="K455" s="7">
        <f>L455-SUM(F455:J455)</f>
        <v>0.0</v>
      </c>
      <c r="L455" s="7">
        <f>SUMIFS(Base!$I$5:$I$509,Base!$A$5:$A$509,"003",Base!$F$5:$F$509,"2540745")</f>
        <v>8979929.0</v>
      </c>
      <c r="M455" s="7">
        <f>D455-E455-L455</f>
        <v>2334747.0</v>
      </c>
      <c r="N455" s="6" t="s">
        <v>63</v>
      </c>
    </row>
    <row r="456" spans="1:14">
      <c r="A456" s="18">
        <v>429</v>
      </c>
      <c r="B456" s="18" t="s">
        <v>2059</v>
      </c>
      <c r="C456" s="6" t="s">
        <v>1473</v>
      </c>
      <c r="D456" s="23">
        <v>48860008</v>
      </c>
      <c r="E456" s="23">
        <v>362887</v>
      </c>
      <c r="F456" s="7">
        <f>INDEX('Rubro por CUI'!$E$5:$E$460,MATCH("003|2651742",'Rubro por CUI'!$N$5:$N$460,0))</f>
        <v>0.0</v>
      </c>
      <c r="G456" s="7">
        <f>INDEX('Rubro por CUI'!$F$5:$F$460,MATCH("003|2651742",'Rubro por CUI'!$N$5:$N$460,0))</f>
        <v>0.0</v>
      </c>
      <c r="H456" s="7">
        <f>INDEX('Rubro por CUI'!$G$5:$G$460,MATCH("003|2651742",'Rubro por CUI'!$N$5:$N$460,0))</f>
        <v>8887232.0</v>
      </c>
      <c r="I456" s="7">
        <f>INDEX('Rubro por CUI'!$H$5:$H$460,MATCH("003|2651742",'Rubro por CUI'!$N$5:$N$460,0))</f>
        <v>0.0</v>
      </c>
      <c r="J456" s="7">
        <f>INDEX('Rubro por CUI'!$I$5:$I$460,MATCH("003|2651742",'Rubro por CUI'!$N$5:$N$460,0))</f>
        <v>0.0</v>
      </c>
      <c r="K456" s="7">
        <f>L456-SUM(F456:J456)</f>
        <v>0.0</v>
      </c>
      <c r="L456" s="7">
        <f>SUMIFS(Base!$I$5:$I$509,Base!$A$5:$A$509,"003",Base!$F$5:$F$509,"2651742")</f>
        <v>8887232.0</v>
      </c>
      <c r="M456" s="7">
        <f>D456-E456-L456</f>
        <v>39609889.0</v>
      </c>
      <c r="N456" s="6" t="s">
        <v>63</v>
      </c>
    </row>
    <row r="457" spans="1:14">
      <c r="A457" s="18">
        <v>430</v>
      </c>
      <c r="B457" s="18" t="s">
        <v>2060</v>
      </c>
      <c r="C457" s="6" t="s">
        <v>1466</v>
      </c>
      <c r="D457" s="23">
        <v>17323032</v>
      </c>
      <c r="E457" s="23">
        <v>7176889</v>
      </c>
      <c r="F457" s="7">
        <f>INDEX('Rubro por CUI'!$E$5:$E$460,MATCH("003|2566500",'Rubro por CUI'!$N$5:$N$460,0))</f>
        <v>0.0</v>
      </c>
      <c r="G457" s="7">
        <f>INDEX('Rubro por CUI'!$F$5:$F$460,MATCH("003|2566500",'Rubro por CUI'!$N$5:$N$460,0))</f>
        <v>0.0</v>
      </c>
      <c r="H457" s="7">
        <f>INDEX('Rubro por CUI'!$G$5:$G$460,MATCH("003|2566500",'Rubro por CUI'!$N$5:$N$460,0))</f>
        <v>8205055.0</v>
      </c>
      <c r="I457" s="7">
        <f>INDEX('Rubro por CUI'!$H$5:$H$460,MATCH("003|2566500",'Rubro por CUI'!$N$5:$N$460,0))</f>
        <v>0.0</v>
      </c>
      <c r="J457" s="7">
        <f>INDEX('Rubro por CUI'!$I$5:$I$460,MATCH("003|2566500",'Rubro por CUI'!$N$5:$N$460,0))</f>
        <v>0.0</v>
      </c>
      <c r="K457" s="7">
        <f>L457-SUM(F457:J457)</f>
        <v>0.0</v>
      </c>
      <c r="L457" s="7">
        <f>SUMIFS(Base!$I$5:$I$509,Base!$A$5:$A$509,"003",Base!$F$5:$F$509,"2566500")</f>
        <v>8205055.0</v>
      </c>
      <c r="M457" s="7">
        <f>D457-E457-L457</f>
        <v>1941088.0</v>
      </c>
      <c r="N457" s="6" t="s">
        <v>63</v>
      </c>
    </row>
    <row r="458" spans="1:14">
      <c r="A458" s="18">
        <v>431</v>
      </c>
      <c r="B458" s="18" t="s">
        <v>2061</v>
      </c>
      <c r="C458" s="6" t="s">
        <v>1463</v>
      </c>
      <c r="D458" s="23">
        <v>26920338</v>
      </c>
      <c r="E458" s="23">
        <v>16193265</v>
      </c>
      <c r="F458" s="7">
        <f>INDEX('Rubro por CUI'!$E$5:$E$460,MATCH("003|2454391",'Rubro por CUI'!$N$5:$N$460,0))</f>
        <v>0.0</v>
      </c>
      <c r="G458" s="7">
        <f>INDEX('Rubro por CUI'!$F$5:$F$460,MATCH("003|2454391",'Rubro por CUI'!$N$5:$N$460,0))</f>
        <v>0.0</v>
      </c>
      <c r="H458" s="7">
        <f>INDEX('Rubro por CUI'!$G$5:$G$460,MATCH("003|2454391",'Rubro por CUI'!$N$5:$N$460,0))</f>
        <v>7891675.0</v>
      </c>
      <c r="I458" s="7">
        <f>INDEX('Rubro por CUI'!$H$5:$H$460,MATCH("003|2454391",'Rubro por CUI'!$N$5:$N$460,0))</f>
        <v>0.0</v>
      </c>
      <c r="J458" s="7">
        <f>INDEX('Rubro por CUI'!$I$5:$I$460,MATCH("003|2454391",'Rubro por CUI'!$N$5:$N$460,0))</f>
        <v>0.0</v>
      </c>
      <c r="K458" s="7">
        <f>L458-SUM(F458:J458)</f>
        <v>0.0</v>
      </c>
      <c r="L458" s="7">
        <f>SUMIFS(Base!$I$5:$I$509,Base!$A$5:$A$509,"003",Base!$F$5:$F$509,"2454391")</f>
        <v>7891675.0</v>
      </c>
      <c r="M458" s="7">
        <f>D458-E458-L458</f>
        <v>2835398.0</v>
      </c>
      <c r="N458" s="6" t="s">
        <v>63</v>
      </c>
    </row>
    <row r="459" spans="1:14">
      <c r="A459" s="18">
        <v>432</v>
      </c>
      <c r="B459" s="18" t="s">
        <v>2062</v>
      </c>
      <c r="C459" s="6" t="s">
        <v>1468</v>
      </c>
      <c r="D459" s="23">
        <v>53501411</v>
      </c>
      <c r="E459" s="23">
        <v>45167276</v>
      </c>
      <c r="F459" s="7">
        <f>INDEX('Rubro por CUI'!$E$5:$E$460,MATCH("003|2477014",'Rubro por CUI'!$N$5:$N$460,0))</f>
        <v>0.0</v>
      </c>
      <c r="G459" s="7">
        <f>INDEX('Rubro por CUI'!$F$5:$F$460,MATCH("003|2477014",'Rubro por CUI'!$N$5:$N$460,0))</f>
        <v>0.0</v>
      </c>
      <c r="H459" s="7">
        <f>INDEX('Rubro por CUI'!$G$5:$G$460,MATCH("003|2477014",'Rubro por CUI'!$N$5:$N$460,0))</f>
        <v>7233387.0</v>
      </c>
      <c r="I459" s="7">
        <f>INDEX('Rubro por CUI'!$H$5:$H$460,MATCH("003|2477014",'Rubro por CUI'!$N$5:$N$460,0))</f>
        <v>0.0</v>
      </c>
      <c r="J459" s="7">
        <f>INDEX('Rubro por CUI'!$I$5:$I$460,MATCH("003|2477014",'Rubro por CUI'!$N$5:$N$460,0))</f>
        <v>0.0</v>
      </c>
      <c r="K459" s="7">
        <f>L459-SUM(F459:J459)</f>
        <v>0.0</v>
      </c>
      <c r="L459" s="7">
        <f>SUMIFS(Base!$I$5:$I$509,Base!$A$5:$A$509,"003",Base!$F$5:$F$509,"2477014")</f>
        <v>7233387.0</v>
      </c>
      <c r="M459" s="7">
        <f>D459-E459-L459</f>
        <v>1100748.0</v>
      </c>
      <c r="N459" s="6" t="s">
        <v>63</v>
      </c>
    </row>
    <row r="460" spans="1:14">
      <c r="A460" s="18">
        <v>433</v>
      </c>
      <c r="B460" s="18" t="s">
        <v>2063</v>
      </c>
      <c r="C460" s="6" t="s">
        <v>1476</v>
      </c>
      <c r="D460" s="23">
        <v>20178441</v>
      </c>
      <c r="E460" s="23">
        <v>16532367</v>
      </c>
      <c r="F460" s="7">
        <f>INDEX('Rubro por CUI'!$E$5:$E$460,MATCH("003|2470845",'Rubro por CUI'!$N$5:$N$460,0))</f>
        <v>0.0</v>
      </c>
      <c r="G460" s="7">
        <f>INDEX('Rubro por CUI'!$F$5:$F$460,MATCH("003|2470845",'Rubro por CUI'!$N$5:$N$460,0))</f>
        <v>0.0</v>
      </c>
      <c r="H460" s="7">
        <f>INDEX('Rubro por CUI'!$G$5:$G$460,MATCH("003|2470845",'Rubro por CUI'!$N$5:$N$460,0))</f>
        <v>2302588.0</v>
      </c>
      <c r="I460" s="7">
        <f>INDEX('Rubro por CUI'!$H$5:$H$460,MATCH("003|2470845",'Rubro por CUI'!$N$5:$N$460,0))</f>
        <v>0.0</v>
      </c>
      <c r="J460" s="7">
        <f>INDEX('Rubro por CUI'!$I$5:$I$460,MATCH("003|2470845",'Rubro por CUI'!$N$5:$N$460,0))</f>
        <v>0.0</v>
      </c>
      <c r="K460" s="7">
        <f>L460-SUM(F460:J460)</f>
        <v>0.0</v>
      </c>
      <c r="L460" s="7">
        <f>SUMIFS(Base!$I$5:$I$509,Base!$A$5:$A$509,"003",Base!$F$5:$F$509,"2470845")</f>
        <v>2302588.0</v>
      </c>
      <c r="M460" s="7">
        <f>D460-E460-L460</f>
        <v>1343486.0</v>
      </c>
      <c r="N460" s="6" t="s">
        <v>63</v>
      </c>
    </row>
    <row r="461" spans="1:14">
      <c r="A461" s="18">
        <v>434</v>
      </c>
      <c r="B461" s="18" t="s">
        <v>2064</v>
      </c>
      <c r="C461" s="6" t="s">
        <v>1482</v>
      </c>
      <c r="D461" s="23">
        <v>42291169</v>
      </c>
      <c r="E461" s="23">
        <v>402808</v>
      </c>
      <c r="F461" s="7">
        <f>INDEX('Rubro por CUI'!$E$5:$E$460,MATCH("003|2651727",'Rubro por CUI'!$N$5:$N$460,0))</f>
        <v>0.0</v>
      </c>
      <c r="G461" s="7">
        <f>INDEX('Rubro por CUI'!$F$5:$F$460,MATCH("003|2651727",'Rubro por CUI'!$N$5:$N$460,0))</f>
        <v>0.0</v>
      </c>
      <c r="H461" s="7">
        <f>INDEX('Rubro por CUI'!$G$5:$G$460,MATCH("003|2651727",'Rubro por CUI'!$N$5:$N$460,0))</f>
        <v>270883.0</v>
      </c>
      <c r="I461" s="7">
        <f>INDEX('Rubro por CUI'!$H$5:$H$460,MATCH("003|2651727",'Rubro por CUI'!$N$5:$N$460,0))</f>
        <v>584370.0</v>
      </c>
      <c r="J461" s="7">
        <f>INDEX('Rubro por CUI'!$I$5:$I$460,MATCH("003|2651727",'Rubro por CUI'!$N$5:$N$460,0))</f>
        <v>0.0</v>
      </c>
      <c r="K461" s="7">
        <f>L461-SUM(F461:J461)</f>
        <v>0.0</v>
      </c>
      <c r="L461" s="7">
        <f>SUMIFS(Base!$I$5:$I$509,Base!$A$5:$A$509,"003",Base!$F$5:$F$509,"2651727")</f>
        <v>855253.0</v>
      </c>
      <c r="M461" s="7">
        <f>D461-E461-L461</f>
        <v>41033108.0</v>
      </c>
      <c r="N461" s="6" t="s">
        <v>63</v>
      </c>
    </row>
    <row r="462" spans="1:14">
      <c r="A462" s="18">
        <v>435</v>
      </c>
      <c r="B462" s="18" t="s">
        <v>2065</v>
      </c>
      <c r="C462" s="6" t="s">
        <v>1479</v>
      </c>
      <c r="D462" s="6" t="s">
        <v>69</v>
      </c>
      <c r="E462" s="6" t="s">
        <v>69</v>
      </c>
      <c r="F462" s="7">
        <f>INDEX('Rubro por CUI'!$E$5:$E$460,MATCH("003|2001621",'Rubro por CUI'!$N$5:$N$460,0))</f>
        <v>0.0</v>
      </c>
      <c r="G462" s="7">
        <f>INDEX('Rubro por CUI'!$F$5:$F$460,MATCH("003|2001621",'Rubro por CUI'!$N$5:$N$460,0))</f>
        <v>57914.0</v>
      </c>
      <c r="H462" s="7">
        <f>INDEX('Rubro por CUI'!$G$5:$G$460,MATCH("003|2001621",'Rubro por CUI'!$N$5:$N$460,0))</f>
        <v>620300.0</v>
      </c>
      <c r="I462" s="7">
        <f>INDEX('Rubro por CUI'!$H$5:$H$460,MATCH("003|2001621",'Rubro por CUI'!$N$5:$N$460,0))</f>
        <v>0.0</v>
      </c>
      <c r="J462" s="7">
        <f>INDEX('Rubro por CUI'!$I$5:$I$460,MATCH("003|2001621",'Rubro por CUI'!$N$5:$N$460,0))</f>
        <v>0.0</v>
      </c>
      <c r="K462" s="7">
        <f>L462-SUM(F462:J462)</f>
        <v>0.0</v>
      </c>
      <c r="L462" s="7">
        <f>SUMIFS(Base!$I$5:$I$509,Base!$A$5:$A$509,"003",Base!$F$5:$F$509,"2001621")</f>
        <v>678214.0</v>
      </c>
      <c r="M462" s="6" t="s">
        <v>69</v>
      </c>
      <c r="N462" s="6" t="s">
        <v>1634</v>
      </c>
    </row>
    <row r="463" spans="1:14">
      <c r="A463" s="18">
        <v>436</v>
      </c>
      <c r="B463" s="18" t="s">
        <v>2057</v>
      </c>
      <c r="C463" s="6" t="s">
        <v>1484</v>
      </c>
      <c r="D463" s="23">
        <v>26892463</v>
      </c>
      <c r="E463" s="23">
        <v>476308</v>
      </c>
      <c r="F463" s="7">
        <f>INDEX('Rubro por CUI'!$E$5:$E$460,MATCH("003|2634779",'Rubro por CUI'!$N$5:$N$460,0))</f>
        <v>0.0</v>
      </c>
      <c r="G463" s="7">
        <f>INDEX('Rubro por CUI'!$F$5:$F$460,MATCH("003|2634779",'Rubro por CUI'!$N$5:$N$460,0))</f>
        <v>0.0</v>
      </c>
      <c r="H463" s="7">
        <f>INDEX('Rubro por CUI'!$G$5:$G$460,MATCH("003|2634779",'Rubro por CUI'!$N$5:$N$460,0))</f>
        <v>267289.0</v>
      </c>
      <c r="I463" s="7">
        <f>INDEX('Rubro por CUI'!$H$5:$H$460,MATCH("003|2634779",'Rubro por CUI'!$N$5:$N$460,0))</f>
        <v>0.0</v>
      </c>
      <c r="J463" s="7">
        <f>INDEX('Rubro por CUI'!$I$5:$I$460,MATCH("003|2634779",'Rubro por CUI'!$N$5:$N$460,0))</f>
        <v>0.0</v>
      </c>
      <c r="K463" s="7">
        <f>L463-SUM(F463:J463)</f>
        <v>0.0</v>
      </c>
      <c r="L463" s="7">
        <f>SUMIFS(Base!$I$5:$I$509,Base!$A$5:$A$509,"003",Base!$F$5:$F$509,"2634779")</f>
        <v>267289.0</v>
      </c>
      <c r="M463" s="7">
        <f>D463-E463-L463</f>
        <v>26148866.0</v>
      </c>
      <c r="N463" s="6" t="s">
        <v>63</v>
      </c>
    </row>
    <row r="464" spans="1:14">
      <c r="A464" s="18">
        <v>437</v>
      </c>
      <c r="B464" s="18" t="s">
        <v>1960</v>
      </c>
      <c r="C464" s="6" t="s">
        <v>1487</v>
      </c>
      <c r="D464" s="6" t="s">
        <v>69</v>
      </c>
      <c r="E464" s="6" t="s">
        <v>69</v>
      </c>
      <c r="F464" s="7">
        <f>INDEX('Rubro por CUI'!$E$5:$E$460,MATCH("003|2668257",'Rubro por CUI'!$N$5:$N$460,0))</f>
        <v>0.0</v>
      </c>
      <c r="G464" s="7">
        <f>INDEX('Rubro por CUI'!$F$5:$F$460,MATCH("003|2668257",'Rubro por CUI'!$N$5:$N$460,0))</f>
        <v>0.0</v>
      </c>
      <c r="H464" s="7">
        <f>INDEX('Rubro por CUI'!$G$5:$G$460,MATCH("003|2668257",'Rubro por CUI'!$N$5:$N$460,0))</f>
        <v>152639.0</v>
      </c>
      <c r="I464" s="7">
        <f>INDEX('Rubro por CUI'!$H$5:$H$460,MATCH("003|2668257",'Rubro por CUI'!$N$5:$N$460,0))</f>
        <v>0.0</v>
      </c>
      <c r="J464" s="7">
        <f>INDEX('Rubro por CUI'!$I$5:$I$460,MATCH("003|2668257",'Rubro por CUI'!$N$5:$N$460,0))</f>
        <v>0.0</v>
      </c>
      <c r="K464" s="7">
        <f>L464-SUM(F464:J464)</f>
        <v>0.0</v>
      </c>
      <c r="L464" s="7">
        <f>SUMIFS(Base!$I$5:$I$509,Base!$A$5:$A$509,"003",Base!$F$5:$F$509,"2668257")</f>
        <v>152639.0</v>
      </c>
      <c r="M464" s="6" t="s">
        <v>69</v>
      </c>
      <c r="N464" s="6" t="s">
        <v>1634</v>
      </c>
    </row>
    <row r="465" spans="1:14">
      <c r="A465" s="18">
        <v>438</v>
      </c>
      <c r="B465" s="18" t="s">
        <v>1723</v>
      </c>
      <c r="C465" s="6" t="s">
        <v>1489</v>
      </c>
      <c r="D465" s="23">
        <v>11897637</v>
      </c>
      <c r="E465" s="23">
        <v>0</v>
      </c>
      <c r="F465" s="7">
        <f>INDEX('Rubro por CUI'!$E$5:$E$460,MATCH("003|2681358",'Rubro por CUI'!$N$5:$N$460,0))</f>
        <v>0.0</v>
      </c>
      <c r="G465" s="7">
        <f>INDEX('Rubro por CUI'!$F$5:$F$460,MATCH("003|2681358",'Rubro por CUI'!$N$5:$N$460,0))</f>
        <v>0.0</v>
      </c>
      <c r="H465" s="7">
        <f>INDEX('Rubro por CUI'!$G$5:$G$460,MATCH("003|2681358",'Rubro por CUI'!$N$5:$N$460,0))</f>
        <v>150000.0</v>
      </c>
      <c r="I465" s="7">
        <f>INDEX('Rubro por CUI'!$H$5:$H$460,MATCH("003|2681358",'Rubro por CUI'!$N$5:$N$460,0))</f>
        <v>0.0</v>
      </c>
      <c r="J465" s="7">
        <f>INDEX('Rubro por CUI'!$I$5:$I$460,MATCH("003|2681358",'Rubro por CUI'!$N$5:$N$460,0))</f>
        <v>0.0</v>
      </c>
      <c r="K465" s="7">
        <f>L465-SUM(F465:J465)</f>
        <v>0.0</v>
      </c>
      <c r="L465" s="7">
        <f>SUMIFS(Base!$I$5:$I$509,Base!$A$5:$A$509,"003",Base!$F$5:$F$509,"2681358")</f>
        <v>150000.0</v>
      </c>
      <c r="M465" s="7">
        <f>D465-E465-L465</f>
        <v>11747637.0</v>
      </c>
      <c r="N465" s="6" t="s">
        <v>63</v>
      </c>
    </row>
    <row r="466" spans="1:14">
      <c r="A466" s="18">
        <v>439</v>
      </c>
      <c r="B466" s="18" t="s">
        <v>2066</v>
      </c>
      <c r="C466" s="6" t="s">
        <v>1491</v>
      </c>
      <c r="D466" s="23">
        <v>30213440</v>
      </c>
      <c r="E466" s="23">
        <v>28495089</v>
      </c>
      <c r="F466" s="7">
        <f>INDEX('Rubro por CUI'!$E$5:$E$460,MATCH("003|2429723",'Rubro por CUI'!$N$5:$N$460,0))</f>
        <v>0.0</v>
      </c>
      <c r="G466" s="7">
        <f>INDEX('Rubro por CUI'!$F$5:$F$460,MATCH("003|2429723",'Rubro por CUI'!$N$5:$N$460,0))</f>
        <v>0.0</v>
      </c>
      <c r="H466" s="7">
        <f>INDEX('Rubro por CUI'!$G$5:$G$460,MATCH("003|2429723",'Rubro por CUI'!$N$5:$N$460,0))</f>
        <v>34081.0</v>
      </c>
      <c r="I466" s="7">
        <f>INDEX('Rubro por CUI'!$H$5:$H$460,MATCH("003|2429723",'Rubro por CUI'!$N$5:$N$460,0))</f>
        <v>0.0</v>
      </c>
      <c r="J466" s="7">
        <f>INDEX('Rubro por CUI'!$I$5:$I$460,MATCH("003|2429723",'Rubro por CUI'!$N$5:$N$460,0))</f>
        <v>0.0</v>
      </c>
      <c r="K466" s="7">
        <f>L466-SUM(F466:J466)</f>
        <v>0.0</v>
      </c>
      <c r="L466" s="7">
        <f>SUMIFS(Base!$I$5:$I$509,Base!$A$5:$A$509,"003",Base!$F$5:$F$509,"2429723")</f>
        <v>34081.0</v>
      </c>
      <c r="M466" s="7">
        <f>D466-E466-L466</f>
        <v>1684270.0</v>
      </c>
      <c r="N466" s="6" t="s">
        <v>63</v>
      </c>
    </row>
    <row r="467" spans="1:14">
      <c r="A467" s="18">
        <v>440</v>
      </c>
      <c r="B467" s="18" t="s">
        <v>2067</v>
      </c>
      <c r="C467" s="6" t="s">
        <v>1494</v>
      </c>
      <c r="D467" s="23">
        <v>25835525</v>
      </c>
      <c r="E467" s="23">
        <v>562513</v>
      </c>
      <c r="F467" s="7">
        <f>INDEX('Rubro por CUI'!$E$5:$E$460,MATCH("003|2541758",'Rubro por CUI'!$N$5:$N$460,0))</f>
        <v>0.0</v>
      </c>
      <c r="G467" s="7">
        <f>INDEX('Rubro por CUI'!$F$5:$F$460,MATCH("003|2541758",'Rubro por CUI'!$N$5:$N$460,0))</f>
        <v>0.0</v>
      </c>
      <c r="H467" s="7">
        <f>INDEX('Rubro por CUI'!$G$5:$G$460,MATCH("003|2541758",'Rubro por CUI'!$N$5:$N$460,0))</f>
        <v>0.0</v>
      </c>
      <c r="I467" s="7">
        <f>INDEX('Rubro por CUI'!$H$5:$H$460,MATCH("003|2541758",'Rubro por CUI'!$N$5:$N$460,0))</f>
        <v>0.0</v>
      </c>
      <c r="J467" s="7">
        <f>INDEX('Rubro por CUI'!$I$5:$I$460,MATCH("003|2541758",'Rubro por CUI'!$N$5:$N$460,0))</f>
        <v>0.0</v>
      </c>
      <c r="K467" s="7">
        <f>L467-SUM(F467:J467)</f>
        <v>0.0</v>
      </c>
      <c r="L467" s="7">
        <f>SUMIFS(Base!$I$5:$I$509,Base!$A$5:$A$509,"003",Base!$F$5:$F$509,"2541758")</f>
        <v>0.0</v>
      </c>
      <c r="M467" s="7">
        <f>D467-E467-L467</f>
        <v>25273012.0</v>
      </c>
      <c r="N467" s="6" t="s">
        <v>63</v>
      </c>
    </row>
    <row r="468" spans="1:14">
      <c r="A468" s="15" t="s">
        <v>271</v>
      </c>
      <c r="B468" s="15"/>
      <c r="C468" s="15"/>
      <c r="D468" s="16">
        <f>SUM(D469:D469)</f>
        <v>10271820.0</v>
      </c>
      <c r="E468" s="16">
        <f>SUM(E469:E469)</f>
        <v>2276133.0</v>
      </c>
      <c r="F468" s="16">
        <f>SUM(F469:F469)</f>
        <v>0.0</v>
      </c>
      <c r="G468" s="16">
        <f>SUM(G469:G469)</f>
        <v>0.0</v>
      </c>
      <c r="H468" s="16">
        <f>SUM(H469:H469)</f>
        <v>0.0</v>
      </c>
      <c r="I468" s="16">
        <f>SUM(I469:I469)</f>
        <v>0.0</v>
      </c>
      <c r="J468" s="16">
        <f>SUM(J469:J469)</f>
        <v>0.0</v>
      </c>
      <c r="K468" s="16">
        <f>SUM(K469:K469)</f>
        <v>0.0</v>
      </c>
      <c r="L468" s="16">
        <f>SUM(L469:L469)</f>
        <v>0.0</v>
      </c>
      <c r="M468" s="16">
        <f>SUM(M469:M469)</f>
        <v>7995687.0</v>
      </c>
      <c r="N468" s="15"/>
    </row>
    <row r="469" spans="1:14">
      <c r="A469" s="18">
        <v>441</v>
      </c>
      <c r="B469" s="18" t="s">
        <v>2068</v>
      </c>
      <c r="C469" s="6" t="s">
        <v>1498</v>
      </c>
      <c r="D469" s="23">
        <v>10271820</v>
      </c>
      <c r="E469" s="23">
        <v>2276133</v>
      </c>
      <c r="F469" s="7">
        <f>INDEX('Rubro por CUI'!$E$5:$E$460,MATCH("003|2616977",'Rubro por CUI'!$N$5:$N$460,0))</f>
        <v>0.0</v>
      </c>
      <c r="G469" s="7">
        <f>INDEX('Rubro por CUI'!$F$5:$F$460,MATCH("003|2616977",'Rubro por CUI'!$N$5:$N$460,0))</f>
        <v>0.0</v>
      </c>
      <c r="H469" s="7">
        <f>INDEX('Rubro por CUI'!$G$5:$G$460,MATCH("003|2616977",'Rubro por CUI'!$N$5:$N$460,0))</f>
        <v>0.0</v>
      </c>
      <c r="I469" s="7">
        <f>INDEX('Rubro por CUI'!$H$5:$H$460,MATCH("003|2616977",'Rubro por CUI'!$N$5:$N$460,0))</f>
        <v>0.0</v>
      </c>
      <c r="J469" s="7">
        <f>INDEX('Rubro por CUI'!$I$5:$I$460,MATCH("003|2616977",'Rubro por CUI'!$N$5:$N$460,0))</f>
        <v>0.0</v>
      </c>
      <c r="K469" s="7">
        <f>L469-SUM(F469:J469)</f>
        <v>0.0</v>
      </c>
      <c r="L469" s="7">
        <f>SUMIFS(Base!$I$5:$I$509,Base!$A$5:$A$509,"003",Base!$F$5:$F$509,"2616977")</f>
        <v>0.0</v>
      </c>
      <c r="M469" s="7">
        <f>D469-E469-L469</f>
        <v>7995687.0</v>
      </c>
      <c r="N469" s="6" t="s">
        <v>63</v>
      </c>
    </row>
    <row r="470" spans="1:14">
      <c r="A470" s="11" t="s">
        <v>1502</v>
      </c>
      <c r="B470" s="11"/>
      <c r="C470" s="11"/>
      <c r="D470" s="12">
        <f>D471</f>
        <v>218308784.0</v>
      </c>
      <c r="E470" s="12">
        <f>E471</f>
        <v>119278411.0</v>
      </c>
      <c r="F470" s="12">
        <f>F471</f>
        <v>0.0</v>
      </c>
      <c r="G470" s="12">
        <f>G471</f>
        <v>0.0</v>
      </c>
      <c r="H470" s="12">
        <f>H471</f>
        <v>18139969.0</v>
      </c>
      <c r="I470" s="12">
        <f>I471</f>
        <v>1947443.0</v>
      </c>
      <c r="J470" s="12">
        <f>J471</f>
        <v>0.0</v>
      </c>
      <c r="K470" s="12">
        <f>K471</f>
        <v>0.0</v>
      </c>
      <c r="L470" s="12">
        <f>L471</f>
        <v>20087412.0</v>
      </c>
      <c r="M470" s="12">
        <f>M471</f>
        <v>78942961.0</v>
      </c>
      <c r="N470" s="11"/>
    </row>
    <row r="471" spans="1:14">
      <c r="A471" s="15" t="s">
        <v>996</v>
      </c>
      <c r="B471" s="15"/>
      <c r="C471" s="15"/>
      <c r="D471" s="16">
        <f>SUM(D472:D476)</f>
        <v>218308784.0</v>
      </c>
      <c r="E471" s="16">
        <f>SUM(E472:E476)</f>
        <v>119278411.0</v>
      </c>
      <c r="F471" s="16">
        <f>SUM(F472:F476)</f>
        <v>0.0</v>
      </c>
      <c r="G471" s="16">
        <f>SUM(G472:G476)</f>
        <v>0.0</v>
      </c>
      <c r="H471" s="16">
        <f>SUM(H472:H476)</f>
        <v>18139969.0</v>
      </c>
      <c r="I471" s="16">
        <f>SUM(I472:I476)</f>
        <v>1947443.0</v>
      </c>
      <c r="J471" s="16">
        <f>SUM(J472:J476)</f>
        <v>0.0</v>
      </c>
      <c r="K471" s="16">
        <f>SUM(K472:K476)</f>
        <v>0.0</v>
      </c>
      <c r="L471" s="16">
        <f>SUM(L472:L476)</f>
        <v>20087412.0</v>
      </c>
      <c r="M471" s="16">
        <f>SUM(M472:M476)</f>
        <v>78942961.0</v>
      </c>
      <c r="N471" s="15"/>
    </row>
    <row r="472" spans="1:14">
      <c r="A472" s="18">
        <v>442</v>
      </c>
      <c r="B472" s="18" t="s">
        <v>2050</v>
      </c>
      <c r="C472" s="6" t="s">
        <v>1504</v>
      </c>
      <c r="D472" s="23">
        <v>31518091</v>
      </c>
      <c r="E472" s="23">
        <v>6984394</v>
      </c>
      <c r="F472" s="7">
        <f>INDEX('Rubro por CUI'!$E$5:$E$460,MATCH("005|2559663",'Rubro por CUI'!$N$5:$N$460,0))</f>
        <v>0.0</v>
      </c>
      <c r="G472" s="7">
        <f>INDEX('Rubro por CUI'!$F$5:$F$460,MATCH("005|2559663",'Rubro por CUI'!$N$5:$N$460,0))</f>
        <v>0.0</v>
      </c>
      <c r="H472" s="7">
        <f>INDEX('Rubro por CUI'!$G$5:$G$460,MATCH("005|2559663",'Rubro por CUI'!$N$5:$N$460,0))</f>
        <v>9372234.0</v>
      </c>
      <c r="I472" s="7">
        <f>INDEX('Rubro por CUI'!$H$5:$H$460,MATCH("005|2559663",'Rubro por CUI'!$N$5:$N$460,0))</f>
        <v>1100792.0</v>
      </c>
      <c r="J472" s="7">
        <f>INDEX('Rubro por CUI'!$I$5:$I$460,MATCH("005|2559663",'Rubro por CUI'!$N$5:$N$460,0))</f>
        <v>0.0</v>
      </c>
      <c r="K472" s="7">
        <f>L472-SUM(F472:J472)</f>
        <v>0.0</v>
      </c>
      <c r="L472" s="7">
        <f>SUMIFS(Base!$I$5:$I$509,Base!$A$5:$A$509,"005",Base!$F$5:$F$509,"2559663")</f>
        <v>10473026.0</v>
      </c>
      <c r="M472" s="7">
        <f>D472-E472-L472</f>
        <v>14060671.0</v>
      </c>
      <c r="N472" s="6" t="s">
        <v>63</v>
      </c>
    </row>
    <row r="473" spans="1:14">
      <c r="A473" s="18">
        <v>443</v>
      </c>
      <c r="B473" s="18" t="s">
        <v>1975</v>
      </c>
      <c r="C473" s="6" t="s">
        <v>1506</v>
      </c>
      <c r="D473" s="23">
        <v>28316034</v>
      </c>
      <c r="E473" s="23">
        <v>244723</v>
      </c>
      <c r="F473" s="7">
        <f>INDEX('Rubro por CUI'!$E$5:$E$460,MATCH("005|2631496",'Rubro por CUI'!$N$5:$N$460,0))</f>
        <v>0.0</v>
      </c>
      <c r="G473" s="7">
        <f>INDEX('Rubro por CUI'!$F$5:$F$460,MATCH("005|2631496",'Rubro por CUI'!$N$5:$N$460,0))</f>
        <v>0.0</v>
      </c>
      <c r="H473" s="7">
        <f>INDEX('Rubro por CUI'!$G$5:$G$460,MATCH("005|2631496",'Rubro por CUI'!$N$5:$N$460,0))</f>
        <v>5141948.0</v>
      </c>
      <c r="I473" s="7">
        <f>INDEX('Rubro por CUI'!$H$5:$H$460,MATCH("005|2631496",'Rubro por CUI'!$N$5:$N$460,0))</f>
        <v>560000.0</v>
      </c>
      <c r="J473" s="7">
        <f>INDEX('Rubro por CUI'!$I$5:$I$460,MATCH("005|2631496",'Rubro por CUI'!$N$5:$N$460,0))</f>
        <v>0.0</v>
      </c>
      <c r="K473" s="7">
        <f>L473-SUM(F473:J473)</f>
        <v>0.0</v>
      </c>
      <c r="L473" s="7">
        <f>SUMIFS(Base!$I$5:$I$509,Base!$A$5:$A$509,"005",Base!$F$5:$F$509,"2631496")</f>
        <v>5701948.0</v>
      </c>
      <c r="M473" s="7">
        <f>D473-E473-L473</f>
        <v>22369363.0</v>
      </c>
      <c r="N473" s="6" t="s">
        <v>63</v>
      </c>
    </row>
    <row r="474" spans="1:14">
      <c r="A474" s="18">
        <v>444</v>
      </c>
      <c r="B474" s="18" t="s">
        <v>2069</v>
      </c>
      <c r="C474" s="6" t="s">
        <v>1509</v>
      </c>
      <c r="D474" s="23">
        <v>82983920</v>
      </c>
      <c r="E474" s="23">
        <v>71616769</v>
      </c>
      <c r="F474" s="7">
        <f>INDEX('Rubro por CUI'!$E$5:$E$460,MATCH("005|2479852",'Rubro por CUI'!$N$5:$N$460,0))</f>
        <v>0.0</v>
      </c>
      <c r="G474" s="7">
        <f>INDEX('Rubro por CUI'!$F$5:$F$460,MATCH("005|2479852",'Rubro por CUI'!$N$5:$N$460,0))</f>
        <v>0.0</v>
      </c>
      <c r="H474" s="7">
        <f>INDEX('Rubro por CUI'!$G$5:$G$460,MATCH("005|2479852",'Rubro por CUI'!$N$5:$N$460,0))</f>
        <v>3595787.0</v>
      </c>
      <c r="I474" s="7">
        <f>INDEX('Rubro por CUI'!$H$5:$H$460,MATCH("005|2479852",'Rubro por CUI'!$N$5:$N$460,0))</f>
        <v>286651.0</v>
      </c>
      <c r="J474" s="7">
        <f>INDEX('Rubro por CUI'!$I$5:$I$460,MATCH("005|2479852",'Rubro por CUI'!$N$5:$N$460,0))</f>
        <v>0.0</v>
      </c>
      <c r="K474" s="7">
        <f>L474-SUM(F474:J474)</f>
        <v>0.0</v>
      </c>
      <c r="L474" s="7">
        <f>SUMIFS(Base!$I$5:$I$509,Base!$A$5:$A$509,"005",Base!$F$5:$F$509,"2479852")</f>
        <v>3882438.0</v>
      </c>
      <c r="M474" s="7">
        <f>D474-E474-L474</f>
        <v>7484713.0</v>
      </c>
      <c r="N474" s="6" t="s">
        <v>63</v>
      </c>
    </row>
    <row r="475" spans="1:14">
      <c r="A475" s="18">
        <v>445</v>
      </c>
      <c r="B475" s="18" t="s">
        <v>1672</v>
      </c>
      <c r="C475" s="6" t="s">
        <v>1512</v>
      </c>
      <c r="D475" s="23">
        <v>42541462</v>
      </c>
      <c r="E475" s="23">
        <v>40276297</v>
      </c>
      <c r="F475" s="7">
        <f>INDEX('Rubro por CUI'!$E$5:$E$460,MATCH("005|2325694",'Rubro por CUI'!$N$5:$N$460,0))</f>
        <v>0.0</v>
      </c>
      <c r="G475" s="7">
        <f>INDEX('Rubro por CUI'!$F$5:$F$460,MATCH("005|2325694",'Rubro por CUI'!$N$5:$N$460,0))</f>
        <v>0.0</v>
      </c>
      <c r="H475" s="7">
        <f>INDEX('Rubro por CUI'!$G$5:$G$460,MATCH("005|2325694",'Rubro por CUI'!$N$5:$N$460,0))</f>
        <v>30000.0</v>
      </c>
      <c r="I475" s="7">
        <f>INDEX('Rubro por CUI'!$H$5:$H$460,MATCH("005|2325694",'Rubro por CUI'!$N$5:$N$460,0))</f>
        <v>0.0</v>
      </c>
      <c r="J475" s="7">
        <f>INDEX('Rubro por CUI'!$I$5:$I$460,MATCH("005|2325694",'Rubro por CUI'!$N$5:$N$460,0))</f>
        <v>0.0</v>
      </c>
      <c r="K475" s="7">
        <f>L475-SUM(F475:J475)</f>
        <v>0.0</v>
      </c>
      <c r="L475" s="7">
        <f>SUMIFS(Base!$I$5:$I$509,Base!$A$5:$A$509,"005",Base!$F$5:$F$509,"2325694")</f>
        <v>30000.0</v>
      </c>
      <c r="M475" s="7">
        <f>D475-E475-L475</f>
        <v>2235165.0</v>
      </c>
      <c r="N475" s="6" t="s">
        <v>63</v>
      </c>
    </row>
    <row r="476" spans="1:14">
      <c r="A476" s="18">
        <v>446</v>
      </c>
      <c r="B476" s="18" t="s">
        <v>2051</v>
      </c>
      <c r="C476" s="6" t="s">
        <v>1514</v>
      </c>
      <c r="D476" s="23">
        <v>32949277</v>
      </c>
      <c r="E476" s="23">
        <v>156228</v>
      </c>
      <c r="F476" s="7">
        <f>INDEX('Rubro por CUI'!$E$5:$E$460,MATCH("005|2538654",'Rubro por CUI'!$N$5:$N$460,0))</f>
        <v>0.0</v>
      </c>
      <c r="G476" s="7">
        <f>INDEX('Rubro por CUI'!$F$5:$F$460,MATCH("005|2538654",'Rubro por CUI'!$N$5:$N$460,0))</f>
        <v>0.0</v>
      </c>
      <c r="H476" s="7">
        <f>INDEX('Rubro por CUI'!$G$5:$G$460,MATCH("005|2538654",'Rubro por CUI'!$N$5:$N$460,0))</f>
        <v>0.0</v>
      </c>
      <c r="I476" s="7">
        <f>INDEX('Rubro por CUI'!$H$5:$H$460,MATCH("005|2538654",'Rubro por CUI'!$N$5:$N$460,0))</f>
        <v>0.0</v>
      </c>
      <c r="J476" s="7">
        <f>INDEX('Rubro por CUI'!$I$5:$I$460,MATCH("005|2538654",'Rubro por CUI'!$N$5:$N$460,0))</f>
        <v>0.0</v>
      </c>
      <c r="K476" s="7">
        <f>L476-SUM(F476:J476)</f>
        <v>0.0</v>
      </c>
      <c r="L476" s="7">
        <f>SUMIFS(Base!$I$5:$I$509,Base!$A$5:$A$509,"005",Base!$F$5:$F$509,"2538654")</f>
        <v>0.0</v>
      </c>
      <c r="M476" s="7">
        <f>D476-E476-L476</f>
        <v>32793049.0</v>
      </c>
      <c r="N476" s="6" t="s">
        <v>63</v>
      </c>
    </row>
    <row r="477" spans="1:14">
      <c r="A477" s="11" t="s">
        <v>1517</v>
      </c>
      <c r="B477" s="11"/>
      <c r="C477" s="11"/>
      <c r="D477" s="12">
        <f>D478+D485</f>
        <v>184829137.0</v>
      </c>
      <c r="E477" s="12">
        <f>E478+E485</f>
        <v>83172115.0</v>
      </c>
      <c r="F477" s="12">
        <f>F478+F485</f>
        <v>0.0</v>
      </c>
      <c r="G477" s="12">
        <f>G478+G485</f>
        <v>1905155.0</v>
      </c>
      <c r="H477" s="12">
        <f>H478+H485</f>
        <v>12541847.0</v>
      </c>
      <c r="I477" s="12">
        <f>I478+I485</f>
        <v>134392.0</v>
      </c>
      <c r="J477" s="12">
        <f>J478+J485</f>
        <v>0.0</v>
      </c>
      <c r="K477" s="12">
        <f>K478+K485</f>
        <v>0.0</v>
      </c>
      <c r="L477" s="12">
        <f>L478+L485</f>
        <v>14581394.0</v>
      </c>
      <c r="M477" s="12">
        <f>M478+M485</f>
        <v>87249128.0</v>
      </c>
      <c r="N477" s="11"/>
    </row>
    <row r="478" spans="1:14">
      <c r="A478" s="15" t="s">
        <v>996</v>
      </c>
      <c r="B478" s="15"/>
      <c r="C478" s="15"/>
      <c r="D478" s="16">
        <f>SUM(D479:D484)</f>
        <v>184115202.0</v>
      </c>
      <c r="E478" s="16">
        <f>SUM(E479:E484)</f>
        <v>83172115.0</v>
      </c>
      <c r="F478" s="16">
        <f>SUM(F479:F484)</f>
        <v>0.0</v>
      </c>
      <c r="G478" s="16">
        <f>SUM(G479:G484)</f>
        <v>1905155.0</v>
      </c>
      <c r="H478" s="16">
        <f>SUM(H479:H484)</f>
        <v>12451847.0</v>
      </c>
      <c r="I478" s="16">
        <f>SUM(I479:I484)</f>
        <v>70892.0</v>
      </c>
      <c r="J478" s="16">
        <f>SUM(J479:J484)</f>
        <v>0.0</v>
      </c>
      <c r="K478" s="16">
        <f>SUM(K479:K484)</f>
        <v>0.0</v>
      </c>
      <c r="L478" s="16">
        <f>SUM(L479:L484)</f>
        <v>14427894.0</v>
      </c>
      <c r="M478" s="16">
        <f>SUM(M479:M484)</f>
        <v>86555193.0</v>
      </c>
      <c r="N478" s="15"/>
    </row>
    <row r="479" spans="1:14">
      <c r="A479" s="18">
        <v>447</v>
      </c>
      <c r="B479" s="18" t="s">
        <v>2070</v>
      </c>
      <c r="C479" s="6" t="s">
        <v>1519</v>
      </c>
      <c r="D479" s="23">
        <v>33515549</v>
      </c>
      <c r="E479" s="23">
        <v>1953654</v>
      </c>
      <c r="F479" s="7">
        <f>INDEX('Rubro por CUI'!$E$5:$E$460,MATCH("100|2557255",'Rubro por CUI'!$N$5:$N$460,0))</f>
        <v>0.0</v>
      </c>
      <c r="G479" s="7">
        <f>INDEX('Rubro por CUI'!$F$5:$F$460,MATCH("100|2557255",'Rubro por CUI'!$N$5:$N$460,0))</f>
        <v>1905155.0</v>
      </c>
      <c r="H479" s="7">
        <f>INDEX('Rubro por CUI'!$G$5:$G$460,MATCH("100|2557255",'Rubro por CUI'!$N$5:$N$460,0))</f>
        <v>5534000.0</v>
      </c>
      <c r="I479" s="7">
        <f>INDEX('Rubro por CUI'!$H$5:$H$460,MATCH("100|2557255",'Rubro por CUI'!$N$5:$N$460,0))</f>
        <v>0.0</v>
      </c>
      <c r="J479" s="7">
        <f>INDEX('Rubro por CUI'!$I$5:$I$460,MATCH("100|2557255",'Rubro por CUI'!$N$5:$N$460,0))</f>
        <v>0.0</v>
      </c>
      <c r="K479" s="7">
        <f>L479-SUM(F479:J479)</f>
        <v>0.0</v>
      </c>
      <c r="L479" s="7">
        <f>SUMIFS(Base!$I$5:$I$509,Base!$A$5:$A$509,"100",Base!$F$5:$F$509,"2557255")</f>
        <v>7439155.0</v>
      </c>
      <c r="M479" s="7">
        <f>D479-E479-L479</f>
        <v>24122740.0</v>
      </c>
      <c r="N479" s="6" t="s">
        <v>63</v>
      </c>
    </row>
    <row r="480" spans="1:14">
      <c r="A480" s="18">
        <v>448</v>
      </c>
      <c r="B480" s="18" t="s">
        <v>2051</v>
      </c>
      <c r="C480" s="6" t="s">
        <v>1521</v>
      </c>
      <c r="D480" s="23">
        <v>51132957</v>
      </c>
      <c r="E480" s="23">
        <v>28564308</v>
      </c>
      <c r="F480" s="7">
        <f>INDEX('Rubro por CUI'!$E$5:$E$460,MATCH("100|2470873",'Rubro por CUI'!$N$5:$N$460,0))</f>
        <v>0.0</v>
      </c>
      <c r="G480" s="7">
        <f>INDEX('Rubro por CUI'!$F$5:$F$460,MATCH("100|2470873",'Rubro por CUI'!$N$5:$N$460,0))</f>
        <v>0.0</v>
      </c>
      <c r="H480" s="7">
        <f>INDEX('Rubro por CUI'!$G$5:$G$460,MATCH("100|2470873",'Rubro por CUI'!$N$5:$N$460,0))</f>
        <v>4417847.0</v>
      </c>
      <c r="I480" s="7">
        <f>INDEX('Rubro por CUI'!$H$5:$H$460,MATCH("100|2470873",'Rubro por CUI'!$N$5:$N$460,0))</f>
        <v>0.0</v>
      </c>
      <c r="J480" s="7">
        <f>INDEX('Rubro por CUI'!$I$5:$I$460,MATCH("100|2470873",'Rubro por CUI'!$N$5:$N$460,0))</f>
        <v>0.0</v>
      </c>
      <c r="K480" s="7">
        <f>L480-SUM(F480:J480)</f>
        <v>0.0</v>
      </c>
      <c r="L480" s="7">
        <f>SUMIFS(Base!$I$5:$I$509,Base!$A$5:$A$509,"100",Base!$F$5:$F$509,"2470873")</f>
        <v>4417847.0</v>
      </c>
      <c r="M480" s="7">
        <f>D480-E480-L480</f>
        <v>18150802.0</v>
      </c>
      <c r="N480" s="6" t="s">
        <v>63</v>
      </c>
    </row>
    <row r="481" spans="1:14">
      <c r="A481" s="18">
        <v>449</v>
      </c>
      <c r="B481" s="18" t="s">
        <v>1728</v>
      </c>
      <c r="C481" s="6" t="s">
        <v>1523</v>
      </c>
      <c r="D481" s="23">
        <v>33055300</v>
      </c>
      <c r="E481" s="23">
        <v>29727249</v>
      </c>
      <c r="F481" s="7">
        <f>INDEX('Rubro por CUI'!$E$5:$E$460,MATCH("100|2511053",'Rubro por CUI'!$N$5:$N$460,0))</f>
        <v>0.0</v>
      </c>
      <c r="G481" s="7">
        <f>INDEX('Rubro por CUI'!$F$5:$F$460,MATCH("100|2511053",'Rubro por CUI'!$N$5:$N$460,0))</f>
        <v>0.0</v>
      </c>
      <c r="H481" s="7">
        <f>INDEX('Rubro por CUI'!$G$5:$G$460,MATCH("100|2511053",'Rubro por CUI'!$N$5:$N$460,0))</f>
        <v>2000000.0</v>
      </c>
      <c r="I481" s="7">
        <f>INDEX('Rubro por CUI'!$H$5:$H$460,MATCH("100|2511053",'Rubro por CUI'!$N$5:$N$460,0))</f>
        <v>0.0</v>
      </c>
      <c r="J481" s="7">
        <f>INDEX('Rubro por CUI'!$I$5:$I$460,MATCH("100|2511053",'Rubro por CUI'!$N$5:$N$460,0))</f>
        <v>0.0</v>
      </c>
      <c r="K481" s="7">
        <f>L481-SUM(F481:J481)</f>
        <v>0.0</v>
      </c>
      <c r="L481" s="7">
        <f>SUMIFS(Base!$I$5:$I$509,Base!$A$5:$A$509,"100",Base!$F$5:$F$509,"2511053")</f>
        <v>2000000.0</v>
      </c>
      <c r="M481" s="7">
        <f>D481-E481-L481</f>
        <v>1328051.0</v>
      </c>
      <c r="N481" s="6" t="s">
        <v>63</v>
      </c>
    </row>
    <row r="482" spans="1:14">
      <c r="A482" s="18">
        <v>450</v>
      </c>
      <c r="B482" s="18" t="s">
        <v>2071</v>
      </c>
      <c r="C482" s="6" t="s">
        <v>1526</v>
      </c>
      <c r="D482" s="23">
        <v>42956692</v>
      </c>
      <c r="E482" s="23">
        <v>242394</v>
      </c>
      <c r="F482" s="7">
        <f>INDEX('Rubro por CUI'!$E$5:$E$460,MATCH("100|2629018",'Rubro por CUI'!$N$5:$N$460,0))</f>
        <v>0.0</v>
      </c>
      <c r="G482" s="7">
        <f>INDEX('Rubro por CUI'!$F$5:$F$460,MATCH("100|2629018",'Rubro por CUI'!$N$5:$N$460,0))</f>
        <v>0.0</v>
      </c>
      <c r="H482" s="7">
        <f>INDEX('Rubro por CUI'!$G$5:$G$460,MATCH("100|2629018",'Rubro por CUI'!$N$5:$N$460,0))</f>
        <v>500000.0</v>
      </c>
      <c r="I482" s="7">
        <f>INDEX('Rubro por CUI'!$H$5:$H$460,MATCH("100|2629018",'Rubro por CUI'!$N$5:$N$460,0))</f>
        <v>0.0</v>
      </c>
      <c r="J482" s="7">
        <f>INDEX('Rubro por CUI'!$I$5:$I$460,MATCH("100|2629018",'Rubro por CUI'!$N$5:$N$460,0))</f>
        <v>0.0</v>
      </c>
      <c r="K482" s="7">
        <f>L482-SUM(F482:J482)</f>
        <v>0.0</v>
      </c>
      <c r="L482" s="7">
        <f>SUMIFS(Base!$I$5:$I$509,Base!$A$5:$A$509,"100",Base!$F$5:$F$509,"2629018")</f>
        <v>500000.0</v>
      </c>
      <c r="M482" s="7">
        <f>D482-E482-L482</f>
        <v>42214298.0</v>
      </c>
      <c r="N482" s="6" t="s">
        <v>63</v>
      </c>
    </row>
    <row r="483" spans="1:14">
      <c r="A483" s="18">
        <v>451</v>
      </c>
      <c r="B483" s="18" t="s">
        <v>1726</v>
      </c>
      <c r="C483" s="6" t="s">
        <v>1529</v>
      </c>
      <c r="D483" s="6" t="s">
        <v>69</v>
      </c>
      <c r="E483" s="6" t="s">
        <v>69</v>
      </c>
      <c r="F483" s="7">
        <f>INDEX('Rubro por CUI'!$E$5:$E$460,MATCH("100|2313145",'Rubro por CUI'!$N$5:$N$460,0))</f>
        <v>0.0</v>
      </c>
      <c r="G483" s="7">
        <f>INDEX('Rubro por CUI'!$F$5:$F$460,MATCH("100|2313145",'Rubro por CUI'!$N$5:$N$460,0))</f>
        <v>0.0</v>
      </c>
      <c r="H483" s="7">
        <f>INDEX('Rubro por CUI'!$G$5:$G$460,MATCH("100|2313145",'Rubro por CUI'!$N$5:$N$460,0))</f>
        <v>0.0</v>
      </c>
      <c r="I483" s="7">
        <f>INDEX('Rubro por CUI'!$H$5:$H$460,MATCH("100|2313145",'Rubro por CUI'!$N$5:$N$460,0))</f>
        <v>40000.0</v>
      </c>
      <c r="J483" s="7">
        <f>INDEX('Rubro por CUI'!$I$5:$I$460,MATCH("100|2313145",'Rubro por CUI'!$N$5:$N$460,0))</f>
        <v>0.0</v>
      </c>
      <c r="K483" s="7">
        <f>L483-SUM(F483:J483)</f>
        <v>0.0</v>
      </c>
      <c r="L483" s="7">
        <f>SUMIFS(Base!$I$5:$I$509,Base!$A$5:$A$509,"100",Base!$F$5:$F$509,"2313145")</f>
        <v>40000.0</v>
      </c>
      <c r="M483" s="6" t="s">
        <v>69</v>
      </c>
      <c r="N483" s="6" t="s">
        <v>1634</v>
      </c>
    </row>
    <row r="484" spans="1:14">
      <c r="A484" s="18">
        <v>452</v>
      </c>
      <c r="B484" s="18" t="s">
        <v>1710</v>
      </c>
      <c r="C484" s="6" t="s">
        <v>1531</v>
      </c>
      <c r="D484" s="23">
        <v>23454704</v>
      </c>
      <c r="E484" s="23">
        <v>22684510</v>
      </c>
      <c r="F484" s="7">
        <f>INDEX('Rubro por CUI'!$E$5:$E$460,MATCH("100|2318520",'Rubro por CUI'!$N$5:$N$460,0))</f>
        <v>0.0</v>
      </c>
      <c r="G484" s="7">
        <f>INDEX('Rubro por CUI'!$F$5:$F$460,MATCH("100|2318520",'Rubro por CUI'!$N$5:$N$460,0))</f>
        <v>0.0</v>
      </c>
      <c r="H484" s="7">
        <f>INDEX('Rubro por CUI'!$G$5:$G$460,MATCH("100|2318520",'Rubro por CUI'!$N$5:$N$460,0))</f>
        <v>0.0</v>
      </c>
      <c r="I484" s="7">
        <f>INDEX('Rubro por CUI'!$H$5:$H$460,MATCH("100|2318520",'Rubro por CUI'!$N$5:$N$460,0))</f>
        <v>30892.0</v>
      </c>
      <c r="J484" s="7">
        <f>INDEX('Rubro por CUI'!$I$5:$I$460,MATCH("100|2318520",'Rubro por CUI'!$N$5:$N$460,0))</f>
        <v>0.0</v>
      </c>
      <c r="K484" s="7">
        <f>L484-SUM(F484:J484)</f>
        <v>0.0</v>
      </c>
      <c r="L484" s="7">
        <f>SUMIFS(Base!$I$5:$I$509,Base!$A$5:$A$509,"100",Base!$F$5:$F$509,"2318520")</f>
        <v>30892.0</v>
      </c>
      <c r="M484" s="7">
        <f>D484-E484-L484</f>
        <v>739302.0</v>
      </c>
      <c r="N484" s="6" t="s">
        <v>63</v>
      </c>
    </row>
    <row r="485" spans="1:14">
      <c r="A485" s="15" t="s">
        <v>271</v>
      </c>
      <c r="B485" s="15"/>
      <c r="C485" s="15"/>
      <c r="D485" s="16">
        <f>SUM(D486:D487)</f>
        <v>713935.0</v>
      </c>
      <c r="E485" s="16">
        <f>SUM(E486:E487)</f>
        <v>0.0</v>
      </c>
      <c r="F485" s="16">
        <f>SUM(F486:F487)</f>
        <v>0.0</v>
      </c>
      <c r="G485" s="16">
        <f>SUM(G486:G487)</f>
        <v>0.0</v>
      </c>
      <c r="H485" s="16">
        <f>SUM(H486:H487)</f>
        <v>90000.0</v>
      </c>
      <c r="I485" s="16">
        <f>SUM(I486:I487)</f>
        <v>63500.0</v>
      </c>
      <c r="J485" s="16">
        <f>SUM(J486:J487)</f>
        <v>0.0</v>
      </c>
      <c r="K485" s="16">
        <f>SUM(K486:K487)</f>
        <v>0.0</v>
      </c>
      <c r="L485" s="16">
        <f>SUM(L486:L487)</f>
        <v>153500.0</v>
      </c>
      <c r="M485" s="16">
        <f>SUM(M486:M487)</f>
        <v>693935.0</v>
      </c>
      <c r="N485" s="15"/>
    </row>
    <row r="486" spans="1:14">
      <c r="A486" s="18">
        <v>453</v>
      </c>
      <c r="B486" s="18" t="s">
        <v>1794</v>
      </c>
      <c r="C486" s="6" t="s">
        <v>1479</v>
      </c>
      <c r="D486" s="6" t="s">
        <v>69</v>
      </c>
      <c r="E486" s="6" t="s">
        <v>69</v>
      </c>
      <c r="F486" s="7">
        <f>INDEX('Rubro por CUI'!$E$5:$E$460,MATCH("100|2001621",'Rubro por CUI'!$N$5:$N$460,0))</f>
        <v>0.0</v>
      </c>
      <c r="G486" s="7">
        <f>INDEX('Rubro por CUI'!$F$5:$F$460,MATCH("100|2001621",'Rubro por CUI'!$N$5:$N$460,0))</f>
        <v>0.0</v>
      </c>
      <c r="H486" s="7">
        <f>INDEX('Rubro por CUI'!$G$5:$G$460,MATCH("100|2001621",'Rubro por CUI'!$N$5:$N$460,0))</f>
        <v>90000.0</v>
      </c>
      <c r="I486" s="7">
        <f>INDEX('Rubro por CUI'!$H$5:$H$460,MATCH("100|2001621",'Rubro por CUI'!$N$5:$N$460,0))</f>
        <v>43500.0</v>
      </c>
      <c r="J486" s="7">
        <f>INDEX('Rubro por CUI'!$I$5:$I$460,MATCH("100|2001621",'Rubro por CUI'!$N$5:$N$460,0))</f>
        <v>0.0</v>
      </c>
      <c r="K486" s="7">
        <f>L486-SUM(F486:J486)</f>
        <v>0.0</v>
      </c>
      <c r="L486" s="7">
        <f>SUMIFS(Base!$I$5:$I$509,Base!$A$5:$A$509,"100",Base!$F$5:$F$509,"2001621")</f>
        <v>133500.0</v>
      </c>
      <c r="M486" s="6" t="s">
        <v>69</v>
      </c>
      <c r="N486" s="6" t="s">
        <v>1634</v>
      </c>
    </row>
    <row r="487" spans="1:14">
      <c r="A487" s="18">
        <v>454</v>
      </c>
      <c r="B487" s="18" t="s">
        <v>1737</v>
      </c>
      <c r="C487" s="6" t="s">
        <v>1533</v>
      </c>
      <c r="D487" s="23">
        <v>713935</v>
      </c>
      <c r="E487" s="23">
        <v>0</v>
      </c>
      <c r="F487" s="7">
        <f>INDEX('Rubro por CUI'!$E$5:$E$460,MATCH("100|2615902",'Rubro por CUI'!$N$5:$N$460,0))</f>
        <v>0.0</v>
      </c>
      <c r="G487" s="7">
        <f>INDEX('Rubro por CUI'!$F$5:$F$460,MATCH("100|2615902",'Rubro por CUI'!$N$5:$N$460,0))</f>
        <v>0.0</v>
      </c>
      <c r="H487" s="7">
        <f>INDEX('Rubro por CUI'!$G$5:$G$460,MATCH("100|2615902",'Rubro por CUI'!$N$5:$N$460,0))</f>
        <v>0.0</v>
      </c>
      <c r="I487" s="7">
        <f>INDEX('Rubro por CUI'!$H$5:$H$460,MATCH("100|2615902",'Rubro por CUI'!$N$5:$N$460,0))</f>
        <v>20000.0</v>
      </c>
      <c r="J487" s="7">
        <f>INDEX('Rubro por CUI'!$I$5:$I$460,MATCH("100|2615902",'Rubro por CUI'!$N$5:$N$460,0))</f>
        <v>0.0</v>
      </c>
      <c r="K487" s="7">
        <f>L487-SUM(F487:J487)</f>
        <v>0.0</v>
      </c>
      <c r="L487" s="7">
        <f>SUMIFS(Base!$I$5:$I$509,Base!$A$5:$A$509,"100",Base!$F$5:$F$509,"2615902")</f>
        <v>20000.0</v>
      </c>
      <c r="M487" s="7">
        <f>D487-E487-L487</f>
        <v>693935.0</v>
      </c>
      <c r="N487" s="6" t="s">
        <v>63</v>
      </c>
    </row>
    <row r="488" spans="1:14">
      <c r="A488" s="11" t="s">
        <v>1536</v>
      </c>
      <c r="B488" s="11"/>
      <c r="C488" s="11"/>
      <c r="D488" s="12">
        <f>D489</f>
        <v>3850781.0</v>
      </c>
      <c r="E488" s="12">
        <f>E489</f>
        <v>3695812.0</v>
      </c>
      <c r="F488" s="12">
        <f>F489</f>
        <v>0.0</v>
      </c>
      <c r="G488" s="12">
        <f>G489</f>
        <v>0.0</v>
      </c>
      <c r="H488" s="12">
        <f>H489</f>
        <v>0.0</v>
      </c>
      <c r="I488" s="12">
        <f>I489</f>
        <v>32592.0</v>
      </c>
      <c r="J488" s="12">
        <f>J489</f>
        <v>0.0</v>
      </c>
      <c r="K488" s="12">
        <f>K489</f>
        <v>0.0</v>
      </c>
      <c r="L488" s="12">
        <f>L489</f>
        <v>32592.0</v>
      </c>
      <c r="M488" s="12">
        <f>M489</f>
        <v>122377.0</v>
      </c>
      <c r="N488" s="11"/>
    </row>
    <row r="489" spans="1:14">
      <c r="A489" s="15" t="s">
        <v>71</v>
      </c>
      <c r="B489" s="15"/>
      <c r="C489" s="15"/>
      <c r="D489" s="16">
        <f>SUM(D490:D490)</f>
        <v>3850781.0</v>
      </c>
      <c r="E489" s="16">
        <f>SUM(E490:E490)</f>
        <v>3695812.0</v>
      </c>
      <c r="F489" s="16">
        <f>SUM(F490:F490)</f>
        <v>0.0</v>
      </c>
      <c r="G489" s="16">
        <f>SUM(G490:G490)</f>
        <v>0.0</v>
      </c>
      <c r="H489" s="16">
        <f>SUM(H490:H490)</f>
        <v>0.0</v>
      </c>
      <c r="I489" s="16">
        <f>SUM(I490:I490)</f>
        <v>32592.0</v>
      </c>
      <c r="J489" s="16">
        <f>SUM(J490:J490)</f>
        <v>0.0</v>
      </c>
      <c r="K489" s="16">
        <f>SUM(K490:K490)</f>
        <v>0.0</v>
      </c>
      <c r="L489" s="16">
        <f>SUM(L490:L490)</f>
        <v>32592.0</v>
      </c>
      <c r="M489" s="16">
        <f>SUM(M490:M490)</f>
        <v>122377.0</v>
      </c>
      <c r="N489" s="15"/>
    </row>
    <row r="490" spans="1:14">
      <c r="A490" s="18">
        <v>455</v>
      </c>
      <c r="B490" s="18" t="s">
        <v>1925</v>
      </c>
      <c r="C490" s="6" t="s">
        <v>944</v>
      </c>
      <c r="D490" s="23">
        <v>3850781</v>
      </c>
      <c r="E490" s="23">
        <v>3695812</v>
      </c>
      <c r="F490" s="7">
        <f>INDEX('Rubro por CUI'!$E$5:$E$460,MATCH("302|2393101",'Rubro por CUI'!$N$5:$N$460,0))</f>
        <v>0.0</v>
      </c>
      <c r="G490" s="7">
        <f>INDEX('Rubro por CUI'!$F$5:$F$460,MATCH("302|2393101",'Rubro por CUI'!$N$5:$N$460,0))</f>
        <v>0.0</v>
      </c>
      <c r="H490" s="7">
        <f>INDEX('Rubro por CUI'!$G$5:$G$460,MATCH("302|2393101",'Rubro por CUI'!$N$5:$N$460,0))</f>
        <v>0.0</v>
      </c>
      <c r="I490" s="7">
        <f>INDEX('Rubro por CUI'!$H$5:$H$460,MATCH("302|2393101",'Rubro por CUI'!$N$5:$N$460,0))</f>
        <v>32592.0</v>
      </c>
      <c r="J490" s="7">
        <f>INDEX('Rubro por CUI'!$I$5:$I$460,MATCH("302|2393101",'Rubro por CUI'!$N$5:$N$460,0))</f>
        <v>0.0</v>
      </c>
      <c r="K490" s="7">
        <f>L490-SUM(F490:J490)</f>
        <v>0.0</v>
      </c>
      <c r="L490" s="7">
        <f>SUMIFS(Base!$I$5:$I$509,Base!$A$5:$A$509,"302",Base!$F$5:$F$509,"2393101")</f>
        <v>32592.0</v>
      </c>
      <c r="M490" s="7">
        <f>D490-E490-L490</f>
        <v>122377.0</v>
      </c>
      <c r="N490" s="6" t="s">
        <v>63</v>
      </c>
    </row>
    <row r="491" spans="1:14">
      <c r="A491" s="11" t="s">
        <v>1539</v>
      </c>
      <c r="B491" s="11"/>
      <c r="C491" s="11"/>
      <c r="D491" s="12">
        <f>D492</f>
        <v>43800.0</v>
      </c>
      <c r="E491" s="12">
        <f>E492</f>
        <v>0.0</v>
      </c>
      <c r="F491" s="12">
        <f>F492</f>
        <v>41800.0</v>
      </c>
      <c r="G491" s="12">
        <f>G492</f>
        <v>0.0</v>
      </c>
      <c r="H491" s="12">
        <f>H492</f>
        <v>0.0</v>
      </c>
      <c r="I491" s="12">
        <f>I492</f>
        <v>0.0</v>
      </c>
      <c r="J491" s="12">
        <f>J492</f>
        <v>0.0</v>
      </c>
      <c r="K491" s="12">
        <f>K492</f>
        <v>0.0</v>
      </c>
      <c r="L491" s="12">
        <f>L492</f>
        <v>41800.0</v>
      </c>
      <c r="M491" s="12">
        <f>M492</f>
        <v>2000.0</v>
      </c>
      <c r="N491" s="11"/>
    </row>
    <row r="492" spans="1:14">
      <c r="A492" s="15" t="s">
        <v>58</v>
      </c>
      <c r="B492" s="15"/>
      <c r="C492" s="15"/>
      <c r="D492" s="16">
        <f>SUM(D493:D493)</f>
        <v>43800.0</v>
      </c>
      <c r="E492" s="16">
        <f>SUM(E493:E493)</f>
        <v>0.0</v>
      </c>
      <c r="F492" s="16">
        <f>SUM(F493:F493)</f>
        <v>41800.0</v>
      </c>
      <c r="G492" s="16">
        <f>SUM(G493:G493)</f>
        <v>0.0</v>
      </c>
      <c r="H492" s="16">
        <f>SUM(H493:H493)</f>
        <v>0.0</v>
      </c>
      <c r="I492" s="16">
        <f>SUM(I493:I493)</f>
        <v>0.0</v>
      </c>
      <c r="J492" s="16">
        <f>SUM(J493:J493)</f>
        <v>0.0</v>
      </c>
      <c r="K492" s="16">
        <f>SUM(K493:K493)</f>
        <v>0.0</v>
      </c>
      <c r="L492" s="16">
        <f>SUM(L493:L493)</f>
        <v>41800.0</v>
      </c>
      <c r="M492" s="16">
        <f>SUM(M493:M493)</f>
        <v>2000.0</v>
      </c>
      <c r="N492" s="15"/>
    </row>
    <row r="493" spans="1:14">
      <c r="A493" s="18">
        <v>456</v>
      </c>
      <c r="B493" s="18" t="s">
        <v>1858</v>
      </c>
      <c r="C493" s="6" t="s">
        <v>1541</v>
      </c>
      <c r="D493" s="23">
        <v>43800</v>
      </c>
      <c r="E493" s="23">
        <v>0</v>
      </c>
      <c r="F493" s="7">
        <f>INDEX('Rubro por CUI'!$E$5:$E$460,MATCH("413|2730957",'Rubro por CUI'!$N$5:$N$460,0))</f>
        <v>41800.0</v>
      </c>
      <c r="G493" s="7">
        <f>INDEX('Rubro por CUI'!$F$5:$F$460,MATCH("413|2730957",'Rubro por CUI'!$N$5:$N$460,0))</f>
        <v>0.0</v>
      </c>
      <c r="H493" s="7">
        <f>INDEX('Rubro por CUI'!$G$5:$G$460,MATCH("413|2730957",'Rubro por CUI'!$N$5:$N$460,0))</f>
        <v>0.0</v>
      </c>
      <c r="I493" s="7">
        <f>INDEX('Rubro por CUI'!$H$5:$H$460,MATCH("413|2730957",'Rubro por CUI'!$N$5:$N$460,0))</f>
        <v>0.0</v>
      </c>
      <c r="J493" s="7">
        <f>INDEX('Rubro por CUI'!$I$5:$I$460,MATCH("413|2730957",'Rubro por CUI'!$N$5:$N$460,0))</f>
        <v>0.0</v>
      </c>
      <c r="K493" s="7">
        <f>L493-SUM(F493:J493)</f>
        <v>0.0</v>
      </c>
      <c r="L493" s="7">
        <f>SUMIFS(Base!$I$5:$I$509,Base!$A$5:$A$509,"413",Base!$F$5:$F$509,"2730957")</f>
        <v>41800.0</v>
      </c>
      <c r="M493" s="7">
        <f>D493-E493-L493</f>
        <v>2000.0</v>
      </c>
      <c r="N493" s="6"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46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1" t="s">
        <v>1604</v>
      </c>
    </row>
    <row r="2" spans="1:14">
      <c r="A2" s="2" t="s">
        <v>1605</v>
      </c>
    </row>
    <row r="4" spans="1:14" ht="36" customHeight="1">
      <c r="A4" s="5" t="s">
        <v>30</v>
      </c>
      <c r="B4" s="5" t="s">
        <v>32</v>
      </c>
      <c r="C4" s="5" t="s">
        <v>25</v>
      </c>
      <c r="D4" s="5" t="s">
        <v>1606</v>
      </c>
      <c r="E4" s="5" t="s">
        <v>1607</v>
      </c>
      <c r="F4" s="5" t="s">
        <v>1608</v>
      </c>
      <c r="G4" s="5" t="s">
        <v>1609</v>
      </c>
      <c r="H4" s="5" t="s">
        <v>1610</v>
      </c>
      <c r="I4" s="5" t="s">
        <v>1611</v>
      </c>
      <c r="J4" s="5" t="s">
        <v>1612</v>
      </c>
      <c r="K4" s="5" t="s">
        <v>1613</v>
      </c>
      <c r="L4" s="5" t="s">
        <v>1614</v>
      </c>
      <c r="M4" s="5" t="s">
        <v>1615</v>
      </c>
      <c r="N4" s="5" t="s">
        <v>1616</v>
      </c>
    </row>
    <row r="5" spans="1:14">
      <c r="A5" s="24" t="s">
        <v>59</v>
      </c>
      <c r="B5" s="24" t="s">
        <v>61</v>
      </c>
      <c r="C5" s="24" t="s">
        <v>54</v>
      </c>
      <c r="D5" s="25">
        <v>167354</v>
      </c>
      <c r="E5" s="25">
        <v>0</v>
      </c>
      <c r="F5" s="25">
        <v>0</v>
      </c>
      <c r="G5" s="25">
        <v>167354</v>
      </c>
      <c r="H5" s="25">
        <v>0</v>
      </c>
      <c r="I5" s="25">
        <v>0</v>
      </c>
      <c r="J5" s="24" t="s">
        <v>63</v>
      </c>
      <c r="K5" s="26">
        <f>SUM(E5:J5)</f>
        <v>167354.0</v>
      </c>
      <c r="L5" s="26">
        <f>D5-K5</f>
        <v>0.0</v>
      </c>
      <c r="M5" s="24" t="s">
        <v>1617</v>
      </c>
      <c r="N5" s="24" t="str">
        <f>C5&amp;"|"&amp;A5</f>
        <v>001|2108576</v>
      </c>
    </row>
    <row r="6" spans="1:14">
      <c r="A6" s="24" t="s">
        <v>65</v>
      </c>
      <c r="B6" s="24" t="s">
        <v>67</v>
      </c>
      <c r="C6" s="24" t="s">
        <v>54</v>
      </c>
      <c r="D6" s="25">
        <v>53759397</v>
      </c>
      <c r="E6" s="25">
        <v>53759397</v>
      </c>
      <c r="F6" s="25">
        <v>0</v>
      </c>
      <c r="G6" s="25">
        <v>0</v>
      </c>
      <c r="H6" s="25">
        <v>0</v>
      </c>
      <c r="I6" s="25">
        <v>0</v>
      </c>
      <c r="J6" s="24" t="s">
        <v>63</v>
      </c>
      <c r="K6" s="26">
        <f>SUM(E6:J6)</f>
        <v>53759397.0</v>
      </c>
      <c r="L6" s="26">
        <f>D6-K6</f>
        <v>0.0</v>
      </c>
      <c r="M6" s="24" t="s">
        <v>1617</v>
      </c>
      <c r="N6" s="24" t="str">
        <f>C6&amp;"|"&amp;A6</f>
        <v>001|2279375</v>
      </c>
    </row>
    <row r="7" spans="1:14">
      <c r="A7" s="24" t="s">
        <v>72</v>
      </c>
      <c r="B7" s="24" t="s">
        <v>74</v>
      </c>
      <c r="C7" s="24" t="s">
        <v>54</v>
      </c>
      <c r="D7" s="25">
        <v>10519577</v>
      </c>
      <c r="E7" s="25">
        <v>0</v>
      </c>
      <c r="F7" s="25">
        <v>0</v>
      </c>
      <c r="G7" s="25">
        <v>10519577</v>
      </c>
      <c r="H7" s="25">
        <v>0</v>
      </c>
      <c r="I7" s="25">
        <v>0</v>
      </c>
      <c r="J7" s="24" t="s">
        <v>63</v>
      </c>
      <c r="K7" s="26">
        <f>SUM(E7:J7)</f>
        <v>10519577.0</v>
      </c>
      <c r="L7" s="26">
        <f>D7-K7</f>
        <v>0.0</v>
      </c>
      <c r="M7" s="24" t="s">
        <v>1617</v>
      </c>
      <c r="N7" s="24" t="str">
        <f>C7&amp;"|"&amp;A7</f>
        <v>001|2323700</v>
      </c>
    </row>
    <row r="8" spans="1:14">
      <c r="A8" s="24" t="s">
        <v>76</v>
      </c>
      <c r="B8" s="24" t="s">
        <v>78</v>
      </c>
      <c r="C8" s="24" t="s">
        <v>54</v>
      </c>
      <c r="D8" s="25">
        <v>10208307</v>
      </c>
      <c r="E8" s="25">
        <v>0</v>
      </c>
      <c r="F8" s="25">
        <v>0</v>
      </c>
      <c r="G8" s="25">
        <v>10208307</v>
      </c>
      <c r="H8" s="25">
        <v>0</v>
      </c>
      <c r="I8" s="25">
        <v>0</v>
      </c>
      <c r="J8" s="24" t="s">
        <v>63</v>
      </c>
      <c r="K8" s="26">
        <f>SUM(E8:J8)</f>
        <v>10208307.0</v>
      </c>
      <c r="L8" s="26">
        <f>D8-K8</f>
        <v>0.0</v>
      </c>
      <c r="M8" s="24" t="s">
        <v>1617</v>
      </c>
      <c r="N8" s="24" t="str">
        <f>C8&amp;"|"&amp;A8</f>
        <v>001|2335880</v>
      </c>
    </row>
    <row r="9" spans="1:14">
      <c r="A9" s="24" t="s">
        <v>80</v>
      </c>
      <c r="B9" s="24" t="s">
        <v>82</v>
      </c>
      <c r="C9" s="24" t="s">
        <v>54</v>
      </c>
      <c r="D9" s="25">
        <v>11203165</v>
      </c>
      <c r="E9" s="25">
        <v>1139986</v>
      </c>
      <c r="F9" s="25">
        <v>0</v>
      </c>
      <c r="G9" s="25">
        <v>10063179</v>
      </c>
      <c r="H9" s="25">
        <v>0</v>
      </c>
      <c r="I9" s="25">
        <v>0</v>
      </c>
      <c r="J9" s="24" t="s">
        <v>63</v>
      </c>
      <c r="K9" s="26">
        <f>SUM(E9:J9)</f>
        <v>11203165.0</v>
      </c>
      <c r="L9" s="26">
        <f>D9-K9</f>
        <v>0.0</v>
      </c>
      <c r="M9" s="24" t="s">
        <v>1617</v>
      </c>
      <c r="N9" s="24" t="str">
        <f>C9&amp;"|"&amp;A9</f>
        <v>001|2521936</v>
      </c>
    </row>
    <row r="10" spans="1:14">
      <c r="A10" s="24" t="s">
        <v>83</v>
      </c>
      <c r="B10" s="24" t="s">
        <v>85</v>
      </c>
      <c r="C10" s="24" t="s">
        <v>54</v>
      </c>
      <c r="D10" s="25">
        <v>2079431</v>
      </c>
      <c r="E10" s="25">
        <v>0</v>
      </c>
      <c r="F10" s="25">
        <v>0</v>
      </c>
      <c r="G10" s="25">
        <v>2079431</v>
      </c>
      <c r="H10" s="25">
        <v>0</v>
      </c>
      <c r="I10" s="25">
        <v>0</v>
      </c>
      <c r="J10" s="24" t="s">
        <v>63</v>
      </c>
      <c r="K10" s="26">
        <f>SUM(E10:J10)</f>
        <v>2079431.0</v>
      </c>
      <c r="L10" s="26">
        <f>D10-K10</f>
        <v>0.0</v>
      </c>
      <c r="M10" s="24" t="s">
        <v>1617</v>
      </c>
      <c r="N10" s="24" t="str">
        <f>C10&amp;"|"&amp;A10</f>
        <v>001|2344324</v>
      </c>
    </row>
    <row r="11" spans="1:14">
      <c r="A11" s="24" t="s">
        <v>86</v>
      </c>
      <c r="B11" s="24" t="s">
        <v>88</v>
      </c>
      <c r="C11" s="24" t="s">
        <v>54</v>
      </c>
      <c r="D11" s="25">
        <v>1425006</v>
      </c>
      <c r="E11" s="25">
        <v>0</v>
      </c>
      <c r="F11" s="25">
        <v>0</v>
      </c>
      <c r="G11" s="25">
        <v>1425006</v>
      </c>
      <c r="H11" s="25">
        <v>0</v>
      </c>
      <c r="I11" s="25">
        <v>0</v>
      </c>
      <c r="J11" s="24" t="s">
        <v>63</v>
      </c>
      <c r="K11" s="26">
        <f>SUM(E11:J11)</f>
        <v>1425006.0</v>
      </c>
      <c r="L11" s="26">
        <f>D11-K11</f>
        <v>0.0</v>
      </c>
      <c r="M11" s="24" t="s">
        <v>1617</v>
      </c>
      <c r="N11" s="24" t="str">
        <f>C11&amp;"|"&amp;A11</f>
        <v>001|2490075</v>
      </c>
    </row>
    <row r="12" spans="1:14">
      <c r="A12" s="24" t="s">
        <v>90</v>
      </c>
      <c r="B12" s="24" t="s">
        <v>92</v>
      </c>
      <c r="C12" s="24" t="s">
        <v>54</v>
      </c>
      <c r="D12" s="25">
        <v>9222405</v>
      </c>
      <c r="E12" s="25">
        <v>0</v>
      </c>
      <c r="F12" s="25">
        <v>0</v>
      </c>
      <c r="G12" s="25">
        <v>9222405</v>
      </c>
      <c r="H12" s="25">
        <v>0</v>
      </c>
      <c r="I12" s="25">
        <v>0</v>
      </c>
      <c r="J12" s="24" t="s">
        <v>63</v>
      </c>
      <c r="K12" s="26">
        <f>SUM(E12:J12)</f>
        <v>9222405.0</v>
      </c>
      <c r="L12" s="26">
        <f>D12-K12</f>
        <v>0.0</v>
      </c>
      <c r="M12" s="24" t="s">
        <v>1617</v>
      </c>
      <c r="N12" s="24" t="str">
        <f>C12&amp;"|"&amp;A12</f>
        <v>001|2570978</v>
      </c>
    </row>
    <row r="13" spans="1:14">
      <c r="A13" s="24" t="s">
        <v>93</v>
      </c>
      <c r="B13" s="24" t="s">
        <v>95</v>
      </c>
      <c r="C13" s="24" t="s">
        <v>54</v>
      </c>
      <c r="D13" s="25">
        <v>5194033</v>
      </c>
      <c r="E13" s="25">
        <v>0</v>
      </c>
      <c r="F13" s="25">
        <v>0</v>
      </c>
      <c r="G13" s="25">
        <v>5194033</v>
      </c>
      <c r="H13" s="25">
        <v>0</v>
      </c>
      <c r="I13" s="25">
        <v>0</v>
      </c>
      <c r="J13" s="24" t="s">
        <v>63</v>
      </c>
      <c r="K13" s="26">
        <f>SUM(E13:J13)</f>
        <v>5194033.0</v>
      </c>
      <c r="L13" s="26">
        <f>D13-K13</f>
        <v>0.0</v>
      </c>
      <c r="M13" s="24" t="s">
        <v>1617</v>
      </c>
      <c r="N13" s="24" t="str">
        <f>C13&amp;"|"&amp;A13</f>
        <v>001|2591926</v>
      </c>
    </row>
    <row r="14" spans="1:14">
      <c r="A14" s="24" t="s">
        <v>97</v>
      </c>
      <c r="B14" s="24" t="s">
        <v>99</v>
      </c>
      <c r="C14" s="24" t="s">
        <v>54</v>
      </c>
      <c r="D14" s="25">
        <v>3656326</v>
      </c>
      <c r="E14" s="25">
        <v>0</v>
      </c>
      <c r="F14" s="25">
        <v>0</v>
      </c>
      <c r="G14" s="25">
        <v>3656326</v>
      </c>
      <c r="H14" s="25">
        <v>0</v>
      </c>
      <c r="I14" s="25">
        <v>0</v>
      </c>
      <c r="J14" s="24" t="s">
        <v>63</v>
      </c>
      <c r="K14" s="26">
        <f>SUM(E14:J14)</f>
        <v>3656326.0</v>
      </c>
      <c r="L14" s="26">
        <f>D14-K14</f>
        <v>0.0</v>
      </c>
      <c r="M14" s="24" t="s">
        <v>1617</v>
      </c>
      <c r="N14" s="24" t="str">
        <f>C14&amp;"|"&amp;A14</f>
        <v>001|2629119</v>
      </c>
    </row>
    <row r="15" spans="1:14">
      <c r="A15" s="24" t="s">
        <v>102</v>
      </c>
      <c r="B15" s="24" t="s">
        <v>104</v>
      </c>
      <c r="C15" s="24" t="s">
        <v>54</v>
      </c>
      <c r="D15" s="25">
        <v>2000000</v>
      </c>
      <c r="E15" s="25">
        <v>0</v>
      </c>
      <c r="F15" s="25">
        <v>0</v>
      </c>
      <c r="G15" s="25">
        <v>2000000</v>
      </c>
      <c r="H15" s="25">
        <v>0</v>
      </c>
      <c r="I15" s="25">
        <v>0</v>
      </c>
      <c r="J15" s="24" t="s">
        <v>63</v>
      </c>
      <c r="K15" s="26">
        <f>SUM(E15:J15)</f>
        <v>2000000.0</v>
      </c>
      <c r="L15" s="26">
        <f>D15-K15</f>
        <v>0.0</v>
      </c>
      <c r="M15" s="24" t="s">
        <v>1617</v>
      </c>
      <c r="N15" s="24" t="str">
        <f>C15&amp;"|"&amp;A15</f>
        <v>001|2539673</v>
      </c>
    </row>
    <row r="16" spans="1:14">
      <c r="A16" s="24" t="s">
        <v>106</v>
      </c>
      <c r="B16" s="24" t="s">
        <v>108</v>
      </c>
      <c r="C16" s="24" t="s">
        <v>54</v>
      </c>
      <c r="D16" s="25">
        <v>0</v>
      </c>
      <c r="E16" s="25">
        <v>0</v>
      </c>
      <c r="F16" s="25">
        <v>0</v>
      </c>
      <c r="G16" s="25">
        <v>0</v>
      </c>
      <c r="H16" s="25">
        <v>0</v>
      </c>
      <c r="I16" s="25">
        <v>0</v>
      </c>
      <c r="J16" s="24" t="s">
        <v>63</v>
      </c>
      <c r="K16" s="26">
        <f>SUM(E16:J16)</f>
        <v>0.0</v>
      </c>
      <c r="L16" s="26">
        <f>D16-K16</f>
        <v>0.0</v>
      </c>
      <c r="M16" s="24" t="s">
        <v>1617</v>
      </c>
      <c r="N16" s="24" t="str">
        <f>C16&amp;"|"&amp;A16</f>
        <v>001|2637985</v>
      </c>
    </row>
    <row r="17" spans="1:14">
      <c r="A17" s="24" t="s">
        <v>109</v>
      </c>
      <c r="B17" s="24" t="s">
        <v>111</v>
      </c>
      <c r="C17" s="24" t="s">
        <v>54</v>
      </c>
      <c r="D17" s="25">
        <v>1861270</v>
      </c>
      <c r="E17" s="25">
        <v>0</v>
      </c>
      <c r="F17" s="25">
        <v>451270</v>
      </c>
      <c r="G17" s="25">
        <v>1410000</v>
      </c>
      <c r="H17" s="25">
        <v>0</v>
      </c>
      <c r="I17" s="25">
        <v>0</v>
      </c>
      <c r="J17" s="24" t="s">
        <v>63</v>
      </c>
      <c r="K17" s="26">
        <f>SUM(E17:J17)</f>
        <v>1861270.0</v>
      </c>
      <c r="L17" s="26">
        <f>D17-K17</f>
        <v>0.0</v>
      </c>
      <c r="M17" s="24" t="s">
        <v>1617</v>
      </c>
      <c r="N17" s="24" t="str">
        <f>C17&amp;"|"&amp;A17</f>
        <v>001|2664940</v>
      </c>
    </row>
    <row r="18" spans="1:14">
      <c r="A18" s="24" t="s">
        <v>113</v>
      </c>
      <c r="B18" s="24" t="s">
        <v>115</v>
      </c>
      <c r="C18" s="24" t="s">
        <v>54</v>
      </c>
      <c r="D18" s="25">
        <v>304829</v>
      </c>
      <c r="E18" s="25">
        <v>0</v>
      </c>
      <c r="F18" s="25">
        <v>0</v>
      </c>
      <c r="G18" s="25">
        <v>304829</v>
      </c>
      <c r="H18" s="25">
        <v>0</v>
      </c>
      <c r="I18" s="25">
        <v>0</v>
      </c>
      <c r="J18" s="24" t="s">
        <v>63</v>
      </c>
      <c r="K18" s="26">
        <f>SUM(E18:J18)</f>
        <v>304829.0</v>
      </c>
      <c r="L18" s="26">
        <f>D18-K18</f>
        <v>0.0</v>
      </c>
      <c r="M18" s="24" t="s">
        <v>1617</v>
      </c>
      <c r="N18" s="24" t="str">
        <f>C18&amp;"|"&amp;A18</f>
        <v>001|2637997</v>
      </c>
    </row>
    <row r="19" spans="1:14">
      <c r="A19" s="24" t="s">
        <v>116</v>
      </c>
      <c r="B19" s="24" t="s">
        <v>118</v>
      </c>
      <c r="C19" s="24" t="s">
        <v>54</v>
      </c>
      <c r="D19" s="25">
        <v>677644</v>
      </c>
      <c r="E19" s="25">
        <v>0</v>
      </c>
      <c r="F19" s="25">
        <v>0</v>
      </c>
      <c r="G19" s="25">
        <v>677644</v>
      </c>
      <c r="H19" s="25">
        <v>0</v>
      </c>
      <c r="I19" s="25">
        <v>0</v>
      </c>
      <c r="J19" s="24" t="s">
        <v>63</v>
      </c>
      <c r="K19" s="26">
        <f>SUM(E19:J19)</f>
        <v>677644.0</v>
      </c>
      <c r="L19" s="26">
        <f>D19-K19</f>
        <v>0.0</v>
      </c>
      <c r="M19" s="24" t="s">
        <v>1617</v>
      </c>
      <c r="N19" s="24" t="str">
        <f>C19&amp;"|"&amp;A19</f>
        <v>001|2650476</v>
      </c>
    </row>
    <row r="20" spans="1:14">
      <c r="A20" s="24" t="s">
        <v>120</v>
      </c>
      <c r="B20" s="24" t="s">
        <v>122</v>
      </c>
      <c r="C20" s="24" t="s">
        <v>54</v>
      </c>
      <c r="D20" s="25">
        <v>492669</v>
      </c>
      <c r="E20" s="25">
        <v>0</v>
      </c>
      <c r="F20" s="25">
        <v>0</v>
      </c>
      <c r="G20" s="25">
        <v>492669</v>
      </c>
      <c r="H20" s="25">
        <v>0</v>
      </c>
      <c r="I20" s="25">
        <v>0</v>
      </c>
      <c r="J20" s="24" t="s">
        <v>63</v>
      </c>
      <c r="K20" s="26">
        <f>SUM(E20:J20)</f>
        <v>492669.0</v>
      </c>
      <c r="L20" s="26">
        <f>D20-K20</f>
        <v>0.0</v>
      </c>
      <c r="M20" s="24" t="s">
        <v>1617</v>
      </c>
      <c r="N20" s="24" t="str">
        <f>C20&amp;"|"&amp;A20</f>
        <v>001|2695845</v>
      </c>
    </row>
    <row r="21" spans="1:14">
      <c r="A21" s="24" t="s">
        <v>125</v>
      </c>
      <c r="B21" s="24" t="s">
        <v>127</v>
      </c>
      <c r="C21" s="24" t="s">
        <v>54</v>
      </c>
      <c r="D21" s="25">
        <v>118539</v>
      </c>
      <c r="E21" s="25">
        <v>0</v>
      </c>
      <c r="F21" s="25">
        <v>0</v>
      </c>
      <c r="G21" s="25">
        <v>118539</v>
      </c>
      <c r="H21" s="25">
        <v>0</v>
      </c>
      <c r="I21" s="25">
        <v>0</v>
      </c>
      <c r="J21" s="24" t="s">
        <v>63</v>
      </c>
      <c r="K21" s="26">
        <f>SUM(E21:J21)</f>
        <v>118539.0</v>
      </c>
      <c r="L21" s="26">
        <f>D21-K21</f>
        <v>0.0</v>
      </c>
      <c r="M21" s="24" t="s">
        <v>1617</v>
      </c>
      <c r="N21" s="24" t="str">
        <f>C21&amp;"|"&amp;A21</f>
        <v>001|2196865</v>
      </c>
    </row>
    <row r="22" spans="1:14">
      <c r="A22" s="24" t="s">
        <v>130</v>
      </c>
      <c r="B22" s="24" t="s">
        <v>132</v>
      </c>
      <c r="C22" s="24" t="s">
        <v>54</v>
      </c>
      <c r="D22" s="25">
        <v>909086</v>
      </c>
      <c r="E22" s="25">
        <v>0</v>
      </c>
      <c r="F22" s="25">
        <v>0</v>
      </c>
      <c r="G22" s="25">
        <v>909086</v>
      </c>
      <c r="H22" s="25">
        <v>0</v>
      </c>
      <c r="I22" s="25">
        <v>0</v>
      </c>
      <c r="J22" s="24" t="s">
        <v>63</v>
      </c>
      <c r="K22" s="26">
        <f>SUM(E22:J22)</f>
        <v>909086.0</v>
      </c>
      <c r="L22" s="26">
        <f>D22-K22</f>
        <v>0.0</v>
      </c>
      <c r="M22" s="24" t="s">
        <v>1617</v>
      </c>
      <c r="N22" s="24" t="str">
        <f>C22&amp;"|"&amp;A22</f>
        <v>001|2301117</v>
      </c>
    </row>
    <row r="23" spans="1:14">
      <c r="A23" s="24" t="s">
        <v>135</v>
      </c>
      <c r="B23" s="24" t="s">
        <v>137</v>
      </c>
      <c r="C23" s="24" t="s">
        <v>54</v>
      </c>
      <c r="D23" s="25">
        <v>23560</v>
      </c>
      <c r="E23" s="25">
        <v>0</v>
      </c>
      <c r="F23" s="25">
        <v>0</v>
      </c>
      <c r="G23" s="25">
        <v>23560</v>
      </c>
      <c r="H23" s="25">
        <v>0</v>
      </c>
      <c r="I23" s="25">
        <v>0</v>
      </c>
      <c r="J23" s="24" t="s">
        <v>63</v>
      </c>
      <c r="K23" s="26">
        <f>SUM(E23:J23)</f>
        <v>23560.0</v>
      </c>
      <c r="L23" s="26">
        <f>D23-K23</f>
        <v>0.0</v>
      </c>
      <c r="M23" s="24" t="s">
        <v>1617</v>
      </c>
      <c r="N23" s="24" t="str">
        <f>C23&amp;"|"&amp;A23</f>
        <v>001|2623682</v>
      </c>
    </row>
    <row r="24" spans="1:14">
      <c r="A24" s="24" t="s">
        <v>138</v>
      </c>
      <c r="B24" s="24" t="s">
        <v>140</v>
      </c>
      <c r="C24" s="24" t="s">
        <v>54</v>
      </c>
      <c r="D24" s="25">
        <v>17714</v>
      </c>
      <c r="E24" s="25">
        <v>0</v>
      </c>
      <c r="F24" s="25">
        <v>0</v>
      </c>
      <c r="G24" s="25">
        <v>17714</v>
      </c>
      <c r="H24" s="25">
        <v>0</v>
      </c>
      <c r="I24" s="25">
        <v>0</v>
      </c>
      <c r="J24" s="24" t="s">
        <v>63</v>
      </c>
      <c r="K24" s="26">
        <f>SUM(E24:J24)</f>
        <v>17714.0</v>
      </c>
      <c r="L24" s="26">
        <f>D24-K24</f>
        <v>0.0</v>
      </c>
      <c r="M24" s="24" t="s">
        <v>1617</v>
      </c>
      <c r="N24" s="24" t="str">
        <f>C24&amp;"|"&amp;A24</f>
        <v>001|2196822</v>
      </c>
    </row>
    <row r="25" spans="1:14">
      <c r="A25" s="24" t="s">
        <v>142</v>
      </c>
      <c r="B25" s="24" t="s">
        <v>144</v>
      </c>
      <c r="C25" s="24" t="s">
        <v>54</v>
      </c>
      <c r="D25" s="25">
        <v>0</v>
      </c>
      <c r="E25" s="25">
        <v>0</v>
      </c>
      <c r="F25" s="25">
        <v>0</v>
      </c>
      <c r="G25" s="25">
        <v>0</v>
      </c>
      <c r="H25" s="25">
        <v>0</v>
      </c>
      <c r="I25" s="25">
        <v>0</v>
      </c>
      <c r="J25" s="24" t="s">
        <v>63</v>
      </c>
      <c r="K25" s="26">
        <f>SUM(E25:J25)</f>
        <v>0.0</v>
      </c>
      <c r="L25" s="26">
        <f>D25-K25</f>
        <v>0.0</v>
      </c>
      <c r="M25" s="24" t="s">
        <v>1617</v>
      </c>
      <c r="N25" s="24" t="str">
        <f>C25&amp;"|"&amp;A25</f>
        <v>001|2194504</v>
      </c>
    </row>
    <row r="26" spans="1:14">
      <c r="A26" s="24" t="s">
        <v>145</v>
      </c>
      <c r="B26" s="24" t="s">
        <v>147</v>
      </c>
      <c r="C26" s="24" t="s">
        <v>54</v>
      </c>
      <c r="D26" s="25">
        <v>728529</v>
      </c>
      <c r="E26" s="25">
        <v>0</v>
      </c>
      <c r="F26" s="25">
        <v>0</v>
      </c>
      <c r="G26" s="25">
        <v>728529</v>
      </c>
      <c r="H26" s="25">
        <v>0</v>
      </c>
      <c r="I26" s="25">
        <v>0</v>
      </c>
      <c r="J26" s="24" t="s">
        <v>63</v>
      </c>
      <c r="K26" s="26">
        <f>SUM(E26:J26)</f>
        <v>728529.0</v>
      </c>
      <c r="L26" s="26">
        <f>D26-K26</f>
        <v>0.0</v>
      </c>
      <c r="M26" s="24" t="s">
        <v>1617</v>
      </c>
      <c r="N26" s="24" t="str">
        <f>C26&amp;"|"&amp;A26</f>
        <v>001|2196834</v>
      </c>
    </row>
    <row r="27" spans="1:14">
      <c r="A27" s="24" t="s">
        <v>149</v>
      </c>
      <c r="B27" s="24" t="s">
        <v>151</v>
      </c>
      <c r="C27" s="24" t="s">
        <v>54</v>
      </c>
      <c r="D27" s="25">
        <v>40621</v>
      </c>
      <c r="E27" s="25">
        <v>0</v>
      </c>
      <c r="F27" s="25">
        <v>0</v>
      </c>
      <c r="G27" s="25">
        <v>40621</v>
      </c>
      <c r="H27" s="25">
        <v>0</v>
      </c>
      <c r="I27" s="25">
        <v>0</v>
      </c>
      <c r="J27" s="24" t="s">
        <v>63</v>
      </c>
      <c r="K27" s="26">
        <f>SUM(E27:J27)</f>
        <v>40621.0</v>
      </c>
      <c r="L27" s="26">
        <f>D27-K27</f>
        <v>0.0</v>
      </c>
      <c r="M27" s="24" t="s">
        <v>1617</v>
      </c>
      <c r="N27" s="24" t="str">
        <f>C27&amp;"|"&amp;A27</f>
        <v>001|2490131</v>
      </c>
    </row>
    <row r="28" spans="1:14">
      <c r="A28" s="24" t="s">
        <v>153</v>
      </c>
      <c r="B28" s="24" t="s">
        <v>155</v>
      </c>
      <c r="C28" s="24" t="s">
        <v>54</v>
      </c>
      <c r="D28" s="25">
        <v>0</v>
      </c>
      <c r="E28" s="25">
        <v>0</v>
      </c>
      <c r="F28" s="25">
        <v>0</v>
      </c>
      <c r="G28" s="25">
        <v>0</v>
      </c>
      <c r="H28" s="25">
        <v>0</v>
      </c>
      <c r="I28" s="25">
        <v>0</v>
      </c>
      <c r="J28" s="24" t="s">
        <v>63</v>
      </c>
      <c r="K28" s="26">
        <f>SUM(E28:J28)</f>
        <v>0.0</v>
      </c>
      <c r="L28" s="26">
        <f>D28-K28</f>
        <v>0.0</v>
      </c>
      <c r="M28" s="24" t="s">
        <v>1617</v>
      </c>
      <c r="N28" s="24" t="str">
        <f>C28&amp;"|"&amp;A28</f>
        <v>001|2196857</v>
      </c>
    </row>
    <row r="29" spans="1:14">
      <c r="A29" s="24" t="s">
        <v>157</v>
      </c>
      <c r="B29" s="24" t="s">
        <v>159</v>
      </c>
      <c r="C29" s="24" t="s">
        <v>54</v>
      </c>
      <c r="D29" s="25">
        <v>77590</v>
      </c>
      <c r="E29" s="25">
        <v>0</v>
      </c>
      <c r="F29" s="25">
        <v>0</v>
      </c>
      <c r="G29" s="25">
        <v>77590</v>
      </c>
      <c r="H29" s="25">
        <v>0</v>
      </c>
      <c r="I29" s="25">
        <v>0</v>
      </c>
      <c r="J29" s="24" t="s">
        <v>63</v>
      </c>
      <c r="K29" s="26">
        <f>SUM(E29:J29)</f>
        <v>77590.0</v>
      </c>
      <c r="L29" s="26">
        <f>D29-K29</f>
        <v>0.0</v>
      </c>
      <c r="M29" s="24" t="s">
        <v>1617</v>
      </c>
      <c r="N29" s="24" t="str">
        <f>C29&amp;"|"&amp;A29</f>
        <v>001|2194462</v>
      </c>
    </row>
    <row r="30" spans="1:14">
      <c r="A30" s="24" t="s">
        <v>160</v>
      </c>
      <c r="B30" s="24" t="s">
        <v>162</v>
      </c>
      <c r="C30" s="24" t="s">
        <v>54</v>
      </c>
      <c r="D30" s="25">
        <v>50132</v>
      </c>
      <c r="E30" s="25">
        <v>0</v>
      </c>
      <c r="F30" s="25">
        <v>0</v>
      </c>
      <c r="G30" s="25">
        <v>50132</v>
      </c>
      <c r="H30" s="25">
        <v>0</v>
      </c>
      <c r="I30" s="25">
        <v>0</v>
      </c>
      <c r="J30" s="24" t="s">
        <v>63</v>
      </c>
      <c r="K30" s="26">
        <f>SUM(E30:J30)</f>
        <v>50132.0</v>
      </c>
      <c r="L30" s="26">
        <f>D30-K30</f>
        <v>0.0</v>
      </c>
      <c r="M30" s="24" t="s">
        <v>1617</v>
      </c>
      <c r="N30" s="24" t="str">
        <f>C30&amp;"|"&amp;A30</f>
        <v>001|2467893</v>
      </c>
    </row>
    <row r="31" spans="1:14">
      <c r="A31" s="24" t="s">
        <v>164</v>
      </c>
      <c r="B31" s="24" t="s">
        <v>166</v>
      </c>
      <c r="C31" s="24" t="s">
        <v>54</v>
      </c>
      <c r="D31" s="25">
        <v>18401182</v>
      </c>
      <c r="E31" s="25">
        <v>0</v>
      </c>
      <c r="F31" s="25">
        <v>0</v>
      </c>
      <c r="G31" s="25">
        <v>18401182</v>
      </c>
      <c r="H31" s="25">
        <v>0</v>
      </c>
      <c r="I31" s="25">
        <v>0</v>
      </c>
      <c r="J31" s="24" t="s">
        <v>63</v>
      </c>
      <c r="K31" s="26">
        <f>SUM(E31:J31)</f>
        <v>18401182.0</v>
      </c>
      <c r="L31" s="26">
        <f>D31-K31</f>
        <v>0.0</v>
      </c>
      <c r="M31" s="24" t="s">
        <v>1617</v>
      </c>
      <c r="N31" s="24" t="str">
        <f>C31&amp;"|"&amp;A31</f>
        <v>001|2194702</v>
      </c>
    </row>
    <row r="32" spans="1:14">
      <c r="A32" s="24" t="s">
        <v>167</v>
      </c>
      <c r="B32" s="24" t="s">
        <v>169</v>
      </c>
      <c r="C32" s="24" t="s">
        <v>54</v>
      </c>
      <c r="D32" s="25">
        <v>10002053</v>
      </c>
      <c r="E32" s="25">
        <v>0</v>
      </c>
      <c r="F32" s="25">
        <v>0</v>
      </c>
      <c r="G32" s="25">
        <v>10002053</v>
      </c>
      <c r="H32" s="25">
        <v>0</v>
      </c>
      <c r="I32" s="25">
        <v>0</v>
      </c>
      <c r="J32" s="24" t="s">
        <v>63</v>
      </c>
      <c r="K32" s="26">
        <f>SUM(E32:J32)</f>
        <v>10002053.0</v>
      </c>
      <c r="L32" s="26">
        <f>D32-K32</f>
        <v>0.0</v>
      </c>
      <c r="M32" s="24" t="s">
        <v>1617</v>
      </c>
      <c r="N32" s="24" t="str">
        <f>C32&amp;"|"&amp;A32</f>
        <v>001|2287700</v>
      </c>
    </row>
    <row r="33" spans="1:14">
      <c r="A33" s="24" t="s">
        <v>170</v>
      </c>
      <c r="B33" s="24" t="s">
        <v>172</v>
      </c>
      <c r="C33" s="24" t="s">
        <v>54</v>
      </c>
      <c r="D33" s="25">
        <v>3297813</v>
      </c>
      <c r="E33" s="25">
        <v>0</v>
      </c>
      <c r="F33" s="25">
        <v>0</v>
      </c>
      <c r="G33" s="25">
        <v>3297813</v>
      </c>
      <c r="H33" s="25">
        <v>0</v>
      </c>
      <c r="I33" s="25">
        <v>0</v>
      </c>
      <c r="J33" s="24" t="s">
        <v>63</v>
      </c>
      <c r="K33" s="26">
        <f>SUM(E33:J33)</f>
        <v>3297813.0</v>
      </c>
      <c r="L33" s="26">
        <f>D33-K33</f>
        <v>0.0</v>
      </c>
      <c r="M33" s="24" t="s">
        <v>1617</v>
      </c>
      <c r="N33" s="24" t="str">
        <f>C33&amp;"|"&amp;A33</f>
        <v>001|2480499</v>
      </c>
    </row>
    <row r="34" spans="1:14">
      <c r="A34" s="24" t="s">
        <v>174</v>
      </c>
      <c r="B34" s="24" t="s">
        <v>176</v>
      </c>
      <c r="C34" s="24" t="s">
        <v>54</v>
      </c>
      <c r="D34" s="25">
        <v>2394023</v>
      </c>
      <c r="E34" s="25">
        <v>0</v>
      </c>
      <c r="F34" s="25">
        <v>0</v>
      </c>
      <c r="G34" s="25">
        <v>2394023</v>
      </c>
      <c r="H34" s="25">
        <v>0</v>
      </c>
      <c r="I34" s="25">
        <v>0</v>
      </c>
      <c r="J34" s="24" t="s">
        <v>63</v>
      </c>
      <c r="K34" s="26">
        <f>SUM(E34:J34)</f>
        <v>2394023.0</v>
      </c>
      <c r="L34" s="26">
        <f>D34-K34</f>
        <v>0.0</v>
      </c>
      <c r="M34" s="24" t="s">
        <v>1617</v>
      </c>
      <c r="N34" s="24" t="str">
        <f>C34&amp;"|"&amp;A34</f>
        <v>001|2300575</v>
      </c>
    </row>
    <row r="35" spans="1:14">
      <c r="A35" s="24" t="s">
        <v>177</v>
      </c>
      <c r="B35" s="24" t="s">
        <v>179</v>
      </c>
      <c r="C35" s="24" t="s">
        <v>54</v>
      </c>
      <c r="D35" s="25">
        <v>1122559</v>
      </c>
      <c r="E35" s="25">
        <v>0</v>
      </c>
      <c r="F35" s="25">
        <v>0</v>
      </c>
      <c r="G35" s="25">
        <v>1122559</v>
      </c>
      <c r="H35" s="25">
        <v>0</v>
      </c>
      <c r="I35" s="25">
        <v>0</v>
      </c>
      <c r="J35" s="24" t="s">
        <v>63</v>
      </c>
      <c r="K35" s="26">
        <f>SUM(E35:J35)</f>
        <v>1122559.0</v>
      </c>
      <c r="L35" s="26">
        <f>D35-K35</f>
        <v>0.0</v>
      </c>
      <c r="M35" s="24" t="s">
        <v>1617</v>
      </c>
      <c r="N35" s="24" t="str">
        <f>C35&amp;"|"&amp;A35</f>
        <v>001|2031310</v>
      </c>
    </row>
    <row r="36" spans="1:14">
      <c r="A36" s="24" t="s">
        <v>180</v>
      </c>
      <c r="B36" s="24" t="s">
        <v>182</v>
      </c>
      <c r="C36" s="24" t="s">
        <v>54</v>
      </c>
      <c r="D36" s="25">
        <v>1202934</v>
      </c>
      <c r="E36" s="25">
        <v>0</v>
      </c>
      <c r="F36" s="25">
        <v>0</v>
      </c>
      <c r="G36" s="25">
        <v>0</v>
      </c>
      <c r="H36" s="25">
        <v>1202934</v>
      </c>
      <c r="I36" s="25">
        <v>0</v>
      </c>
      <c r="J36" s="24" t="s">
        <v>63</v>
      </c>
      <c r="K36" s="26">
        <f>SUM(E36:J36)</f>
        <v>1202934.0</v>
      </c>
      <c r="L36" s="26">
        <f>D36-K36</f>
        <v>0.0</v>
      </c>
      <c r="M36" s="24" t="s">
        <v>1617</v>
      </c>
      <c r="N36" s="24" t="str">
        <f>C36&amp;"|"&amp;A36</f>
        <v>001|2163760</v>
      </c>
    </row>
    <row r="37" spans="1:14">
      <c r="A37" s="24" t="s">
        <v>183</v>
      </c>
      <c r="B37" s="24" t="s">
        <v>185</v>
      </c>
      <c r="C37" s="24" t="s">
        <v>54</v>
      </c>
      <c r="D37" s="25">
        <v>167638</v>
      </c>
      <c r="E37" s="25">
        <v>0</v>
      </c>
      <c r="F37" s="25">
        <v>0</v>
      </c>
      <c r="G37" s="25">
        <v>167638</v>
      </c>
      <c r="H37" s="25">
        <v>0</v>
      </c>
      <c r="I37" s="25">
        <v>0</v>
      </c>
      <c r="J37" s="24" t="s">
        <v>63</v>
      </c>
      <c r="K37" s="26">
        <f>SUM(E37:J37)</f>
        <v>167638.0</v>
      </c>
      <c r="L37" s="26">
        <f>D37-K37</f>
        <v>0.0</v>
      </c>
      <c r="M37" s="24" t="s">
        <v>1617</v>
      </c>
      <c r="N37" s="24" t="str">
        <f>C37&amp;"|"&amp;A37</f>
        <v>001|2375549</v>
      </c>
    </row>
    <row r="38" spans="1:14">
      <c r="A38" s="24" t="s">
        <v>186</v>
      </c>
      <c r="B38" s="24" t="s">
        <v>188</v>
      </c>
      <c r="C38" s="24" t="s">
        <v>54</v>
      </c>
      <c r="D38" s="25">
        <v>844818</v>
      </c>
      <c r="E38" s="25">
        <v>844818</v>
      </c>
      <c r="F38" s="25">
        <v>0</v>
      </c>
      <c r="G38" s="25">
        <v>0</v>
      </c>
      <c r="H38" s="25">
        <v>0</v>
      </c>
      <c r="I38" s="25">
        <v>0</v>
      </c>
      <c r="J38" s="24" t="s">
        <v>63</v>
      </c>
      <c r="K38" s="26">
        <f>SUM(E38:J38)</f>
        <v>844818.0</v>
      </c>
      <c r="L38" s="26">
        <f>D38-K38</f>
        <v>0.0</v>
      </c>
      <c r="M38" s="24" t="s">
        <v>1617</v>
      </c>
      <c r="N38" s="24" t="str">
        <f>C38&amp;"|"&amp;A38</f>
        <v>001|2321290</v>
      </c>
    </row>
    <row r="39" spans="1:14">
      <c r="A39" s="24" t="s">
        <v>190</v>
      </c>
      <c r="B39" s="24" t="s">
        <v>192</v>
      </c>
      <c r="C39" s="24" t="s">
        <v>54</v>
      </c>
      <c r="D39" s="25">
        <v>0</v>
      </c>
      <c r="E39" s="25">
        <v>0</v>
      </c>
      <c r="F39" s="25">
        <v>0</v>
      </c>
      <c r="G39" s="25">
        <v>0</v>
      </c>
      <c r="H39" s="25">
        <v>0</v>
      </c>
      <c r="I39" s="25">
        <v>0</v>
      </c>
      <c r="J39" s="24" t="s">
        <v>63</v>
      </c>
      <c r="K39" s="26">
        <f>SUM(E39:J39)</f>
        <v>0.0</v>
      </c>
      <c r="L39" s="26">
        <f>D39-K39</f>
        <v>0.0</v>
      </c>
      <c r="M39" s="24" t="s">
        <v>1617</v>
      </c>
      <c r="N39" s="24" t="str">
        <f>C39&amp;"|"&amp;A39</f>
        <v>001|2475053</v>
      </c>
    </row>
    <row r="40" spans="1:14">
      <c r="A40" s="24" t="s">
        <v>193</v>
      </c>
      <c r="B40" s="24" t="s">
        <v>195</v>
      </c>
      <c r="C40" s="24" t="s">
        <v>54</v>
      </c>
      <c r="D40" s="25">
        <v>1868752</v>
      </c>
      <c r="E40" s="25">
        <v>0</v>
      </c>
      <c r="F40" s="25">
        <v>0</v>
      </c>
      <c r="G40" s="25">
        <v>1868752</v>
      </c>
      <c r="H40" s="25">
        <v>0</v>
      </c>
      <c r="I40" s="25">
        <v>0</v>
      </c>
      <c r="J40" s="24" t="s">
        <v>63</v>
      </c>
      <c r="K40" s="26">
        <f>SUM(E40:J40)</f>
        <v>1868752.0</v>
      </c>
      <c r="L40" s="26">
        <f>D40-K40</f>
        <v>0.0</v>
      </c>
      <c r="M40" s="24" t="s">
        <v>1617</v>
      </c>
      <c r="N40" s="24" t="str">
        <f>C40&amp;"|"&amp;A40</f>
        <v>001|2131661</v>
      </c>
    </row>
    <row r="41" spans="1:14">
      <c r="A41" s="24" t="s">
        <v>197</v>
      </c>
      <c r="B41" s="24" t="s">
        <v>199</v>
      </c>
      <c r="C41" s="24" t="s">
        <v>54</v>
      </c>
      <c r="D41" s="25">
        <v>91759</v>
      </c>
      <c r="E41" s="25">
        <v>0</v>
      </c>
      <c r="F41" s="25">
        <v>0</v>
      </c>
      <c r="G41" s="25">
        <v>91759</v>
      </c>
      <c r="H41" s="25">
        <v>0</v>
      </c>
      <c r="I41" s="25">
        <v>0</v>
      </c>
      <c r="J41" s="24" t="s">
        <v>63</v>
      </c>
      <c r="K41" s="26">
        <f>SUM(E41:J41)</f>
        <v>91759.0</v>
      </c>
      <c r="L41" s="26">
        <f>D41-K41</f>
        <v>0.0</v>
      </c>
      <c r="M41" s="24" t="s">
        <v>1617</v>
      </c>
      <c r="N41" s="24" t="str">
        <f>C41&amp;"|"&amp;A41</f>
        <v>001|2195487</v>
      </c>
    </row>
    <row r="42" spans="1:14">
      <c r="A42" s="24" t="s">
        <v>200</v>
      </c>
      <c r="B42" s="24" t="s">
        <v>202</v>
      </c>
      <c r="C42" s="24" t="s">
        <v>54</v>
      </c>
      <c r="D42" s="25">
        <v>104124</v>
      </c>
      <c r="E42" s="25">
        <v>0</v>
      </c>
      <c r="F42" s="25">
        <v>0</v>
      </c>
      <c r="G42" s="25">
        <v>104124</v>
      </c>
      <c r="H42" s="25">
        <v>0</v>
      </c>
      <c r="I42" s="25">
        <v>0</v>
      </c>
      <c r="J42" s="24" t="s">
        <v>63</v>
      </c>
      <c r="K42" s="26">
        <f>SUM(E42:J42)</f>
        <v>104124.0</v>
      </c>
      <c r="L42" s="26">
        <f>D42-K42</f>
        <v>0.0</v>
      </c>
      <c r="M42" s="24" t="s">
        <v>1617</v>
      </c>
      <c r="N42" s="24" t="str">
        <f>C42&amp;"|"&amp;A42</f>
        <v>001|2514428</v>
      </c>
    </row>
    <row r="43" spans="1:14">
      <c r="A43" s="24" t="s">
        <v>203</v>
      </c>
      <c r="B43" s="24" t="s">
        <v>205</v>
      </c>
      <c r="C43" s="24" t="s">
        <v>54</v>
      </c>
      <c r="D43" s="25">
        <v>22224878</v>
      </c>
      <c r="E43" s="25">
        <v>0</v>
      </c>
      <c r="F43" s="25">
        <v>0</v>
      </c>
      <c r="G43" s="25">
        <v>22224878</v>
      </c>
      <c r="H43" s="25">
        <v>0</v>
      </c>
      <c r="I43" s="25">
        <v>0</v>
      </c>
      <c r="J43" s="24" t="s">
        <v>63</v>
      </c>
      <c r="K43" s="26">
        <f>SUM(E43:J43)</f>
        <v>22224878.0</v>
      </c>
      <c r="L43" s="26">
        <f>D43-K43</f>
        <v>0.0</v>
      </c>
      <c r="M43" s="24" t="s">
        <v>1617</v>
      </c>
      <c r="N43" s="24" t="str">
        <f>C43&amp;"|"&amp;A43</f>
        <v>001|2436247</v>
      </c>
    </row>
    <row r="44" spans="1:14">
      <c r="A44" s="24" t="s">
        <v>207</v>
      </c>
      <c r="B44" s="24" t="s">
        <v>209</v>
      </c>
      <c r="C44" s="24" t="s">
        <v>54</v>
      </c>
      <c r="D44" s="25">
        <v>11412366</v>
      </c>
      <c r="E44" s="25">
        <v>0</v>
      </c>
      <c r="F44" s="25">
        <v>2240194</v>
      </c>
      <c r="G44" s="25">
        <v>9172172</v>
      </c>
      <c r="H44" s="25">
        <v>0</v>
      </c>
      <c r="I44" s="25">
        <v>0</v>
      </c>
      <c r="J44" s="24" t="s">
        <v>63</v>
      </c>
      <c r="K44" s="26">
        <f>SUM(E44:J44)</f>
        <v>11412366.0</v>
      </c>
      <c r="L44" s="26">
        <f>D44-K44</f>
        <v>0.0</v>
      </c>
      <c r="M44" s="24" t="s">
        <v>1617</v>
      </c>
      <c r="N44" s="24" t="str">
        <f>C44&amp;"|"&amp;A44</f>
        <v>001|2603167</v>
      </c>
    </row>
    <row r="45" spans="1:14">
      <c r="A45" s="24" t="s">
        <v>211</v>
      </c>
      <c r="B45" s="24" t="s">
        <v>213</v>
      </c>
      <c r="C45" s="24" t="s">
        <v>54</v>
      </c>
      <c r="D45" s="25">
        <v>6830102</v>
      </c>
      <c r="E45" s="25">
        <v>0</v>
      </c>
      <c r="F45" s="25">
        <v>0</v>
      </c>
      <c r="G45" s="25">
        <v>6830102</v>
      </c>
      <c r="H45" s="25">
        <v>0</v>
      </c>
      <c r="I45" s="25">
        <v>0</v>
      </c>
      <c r="J45" s="24" t="s">
        <v>63</v>
      </c>
      <c r="K45" s="26">
        <f>SUM(E45:J45)</f>
        <v>6830102.0</v>
      </c>
      <c r="L45" s="26">
        <f>D45-K45</f>
        <v>0.0</v>
      </c>
      <c r="M45" s="24" t="s">
        <v>1617</v>
      </c>
      <c r="N45" s="24" t="str">
        <f>C45&amp;"|"&amp;A45</f>
        <v>001|2585540</v>
      </c>
    </row>
    <row r="46" spans="1:14">
      <c r="A46" s="24" t="s">
        <v>215</v>
      </c>
      <c r="B46" s="24" t="s">
        <v>217</v>
      </c>
      <c r="C46" s="24" t="s">
        <v>54</v>
      </c>
      <c r="D46" s="25">
        <v>9037622</v>
      </c>
      <c r="E46" s="25">
        <v>0</v>
      </c>
      <c r="F46" s="25">
        <v>1925000</v>
      </c>
      <c r="G46" s="25">
        <v>7112622</v>
      </c>
      <c r="H46" s="25">
        <v>0</v>
      </c>
      <c r="I46" s="25">
        <v>0</v>
      </c>
      <c r="J46" s="24" t="s">
        <v>63</v>
      </c>
      <c r="K46" s="26">
        <f>SUM(E46:J46)</f>
        <v>9037622.0</v>
      </c>
      <c r="L46" s="26">
        <f>D46-K46</f>
        <v>0.0</v>
      </c>
      <c r="M46" s="24" t="s">
        <v>1617</v>
      </c>
      <c r="N46" s="24" t="str">
        <f>C46&amp;"|"&amp;A46</f>
        <v>001|2603165</v>
      </c>
    </row>
    <row r="47" spans="1:14">
      <c r="A47" s="24" t="s">
        <v>219</v>
      </c>
      <c r="B47" s="24" t="s">
        <v>221</v>
      </c>
      <c r="C47" s="24" t="s">
        <v>54</v>
      </c>
      <c r="D47" s="25">
        <v>67139</v>
      </c>
      <c r="E47" s="25">
        <v>0</v>
      </c>
      <c r="F47" s="25">
        <v>0</v>
      </c>
      <c r="G47" s="25">
        <v>67139</v>
      </c>
      <c r="H47" s="25">
        <v>0</v>
      </c>
      <c r="I47" s="25">
        <v>0</v>
      </c>
      <c r="J47" s="24" t="s">
        <v>63</v>
      </c>
      <c r="K47" s="26">
        <f>SUM(E47:J47)</f>
        <v>67139.0</v>
      </c>
      <c r="L47" s="26">
        <f>D47-K47</f>
        <v>0.0</v>
      </c>
      <c r="M47" s="24" t="s">
        <v>1617</v>
      </c>
      <c r="N47" s="24" t="str">
        <f>C47&amp;"|"&amp;A47</f>
        <v>001|2185578</v>
      </c>
    </row>
    <row r="48" spans="1:14">
      <c r="A48" s="24" t="s">
        <v>222</v>
      </c>
      <c r="B48" s="24" t="s">
        <v>224</v>
      </c>
      <c r="C48" s="24" t="s">
        <v>54</v>
      </c>
      <c r="D48" s="25">
        <v>105000</v>
      </c>
      <c r="E48" s="25">
        <v>0</v>
      </c>
      <c r="F48" s="25">
        <v>0</v>
      </c>
      <c r="G48" s="25">
        <v>105000</v>
      </c>
      <c r="H48" s="25">
        <v>0</v>
      </c>
      <c r="I48" s="25">
        <v>0</v>
      </c>
      <c r="J48" s="24" t="s">
        <v>63</v>
      </c>
      <c r="K48" s="26">
        <f>SUM(E48:J48)</f>
        <v>105000.0</v>
      </c>
      <c r="L48" s="26">
        <f>D48-K48</f>
        <v>0.0</v>
      </c>
      <c r="M48" s="24" t="s">
        <v>1617</v>
      </c>
      <c r="N48" s="24" t="str">
        <f>C48&amp;"|"&amp;A48</f>
        <v>001|2515272</v>
      </c>
    </row>
    <row r="49" spans="1:14">
      <c r="A49" s="24" t="s">
        <v>226</v>
      </c>
      <c r="B49" s="24" t="s">
        <v>228</v>
      </c>
      <c r="C49" s="24" t="s">
        <v>54</v>
      </c>
      <c r="D49" s="25">
        <v>28752</v>
      </c>
      <c r="E49" s="25">
        <v>0</v>
      </c>
      <c r="F49" s="25">
        <v>0</v>
      </c>
      <c r="G49" s="25">
        <v>28752</v>
      </c>
      <c r="H49" s="25">
        <v>0</v>
      </c>
      <c r="I49" s="25">
        <v>0</v>
      </c>
      <c r="J49" s="24" t="s">
        <v>63</v>
      </c>
      <c r="K49" s="26">
        <f>SUM(E49:J49)</f>
        <v>28752.0</v>
      </c>
      <c r="L49" s="26">
        <f>D49-K49</f>
        <v>0.0</v>
      </c>
      <c r="M49" s="24" t="s">
        <v>1617</v>
      </c>
      <c r="N49" s="24" t="str">
        <f>C49&amp;"|"&amp;A49</f>
        <v>001|2440946</v>
      </c>
    </row>
    <row r="50" spans="1:14">
      <c r="A50" s="24" t="s">
        <v>229</v>
      </c>
      <c r="B50" s="24" t="s">
        <v>231</v>
      </c>
      <c r="C50" s="24" t="s">
        <v>54</v>
      </c>
      <c r="D50" s="25">
        <v>0</v>
      </c>
      <c r="E50" s="25">
        <v>0</v>
      </c>
      <c r="F50" s="25">
        <v>0</v>
      </c>
      <c r="G50" s="25">
        <v>0</v>
      </c>
      <c r="H50" s="25">
        <v>0</v>
      </c>
      <c r="I50" s="25">
        <v>0</v>
      </c>
      <c r="J50" s="24" t="s">
        <v>63</v>
      </c>
      <c r="K50" s="26">
        <f>SUM(E50:J50)</f>
        <v>0.0</v>
      </c>
      <c r="L50" s="26">
        <f>D50-K50</f>
        <v>0.0</v>
      </c>
      <c r="M50" s="24" t="s">
        <v>1617</v>
      </c>
      <c r="N50" s="24" t="str">
        <f>C50&amp;"|"&amp;A50</f>
        <v>001|2055915</v>
      </c>
    </row>
    <row r="51" spans="1:14">
      <c r="A51" s="24" t="s">
        <v>233</v>
      </c>
      <c r="B51" s="24" t="s">
        <v>235</v>
      </c>
      <c r="C51" s="24" t="s">
        <v>54</v>
      </c>
      <c r="D51" s="25">
        <v>0</v>
      </c>
      <c r="E51" s="25">
        <v>0</v>
      </c>
      <c r="F51" s="25">
        <v>0</v>
      </c>
      <c r="G51" s="25">
        <v>0</v>
      </c>
      <c r="H51" s="25">
        <v>0</v>
      </c>
      <c r="I51" s="25">
        <v>0</v>
      </c>
      <c r="J51" s="24" t="s">
        <v>63</v>
      </c>
      <c r="K51" s="26">
        <f>SUM(E51:J51)</f>
        <v>0.0</v>
      </c>
      <c r="L51" s="26">
        <f>D51-K51</f>
        <v>0.0</v>
      </c>
      <c r="M51" s="24" t="s">
        <v>1617</v>
      </c>
      <c r="N51" s="24" t="str">
        <f>C51&amp;"|"&amp;A51</f>
        <v>001|2131389</v>
      </c>
    </row>
    <row r="52" spans="1:14">
      <c r="A52" s="24" t="s">
        <v>236</v>
      </c>
      <c r="B52" s="24" t="s">
        <v>238</v>
      </c>
      <c r="C52" s="24" t="s">
        <v>54</v>
      </c>
      <c r="D52" s="25">
        <v>0</v>
      </c>
      <c r="E52" s="25">
        <v>0</v>
      </c>
      <c r="F52" s="25">
        <v>0</v>
      </c>
      <c r="G52" s="25">
        <v>0</v>
      </c>
      <c r="H52" s="25">
        <v>0</v>
      </c>
      <c r="I52" s="25">
        <v>0</v>
      </c>
      <c r="J52" s="24" t="s">
        <v>63</v>
      </c>
      <c r="K52" s="26">
        <f>SUM(E52:J52)</f>
        <v>0.0</v>
      </c>
      <c r="L52" s="26">
        <f>D52-K52</f>
        <v>0.0</v>
      </c>
      <c r="M52" s="24" t="s">
        <v>1617</v>
      </c>
      <c r="N52" s="24" t="str">
        <f>C52&amp;"|"&amp;A52</f>
        <v>001|2232371</v>
      </c>
    </row>
    <row r="53" spans="1:14">
      <c r="A53" s="24" t="s">
        <v>239</v>
      </c>
      <c r="B53" s="24" t="s">
        <v>241</v>
      </c>
      <c r="C53" s="24" t="s">
        <v>54</v>
      </c>
      <c r="D53" s="25">
        <v>0</v>
      </c>
      <c r="E53" s="25">
        <v>0</v>
      </c>
      <c r="F53" s="25">
        <v>0</v>
      </c>
      <c r="G53" s="25">
        <v>0</v>
      </c>
      <c r="H53" s="25">
        <v>0</v>
      </c>
      <c r="I53" s="25">
        <v>0</v>
      </c>
      <c r="J53" s="24" t="s">
        <v>63</v>
      </c>
      <c r="K53" s="26">
        <f>SUM(E53:J53)</f>
        <v>0.0</v>
      </c>
      <c r="L53" s="26">
        <f>D53-K53</f>
        <v>0.0</v>
      </c>
      <c r="M53" s="24" t="s">
        <v>1617</v>
      </c>
      <c r="N53" s="24" t="str">
        <f>C53&amp;"|"&amp;A53</f>
        <v>001|2443679</v>
      </c>
    </row>
    <row r="54" spans="1:14">
      <c r="A54" s="24" t="s">
        <v>243</v>
      </c>
      <c r="B54" s="24" t="s">
        <v>245</v>
      </c>
      <c r="C54" s="24" t="s">
        <v>54</v>
      </c>
      <c r="D54" s="25">
        <v>5810277</v>
      </c>
      <c r="E54" s="25">
        <v>0</v>
      </c>
      <c r="F54" s="25">
        <v>0</v>
      </c>
      <c r="G54" s="25">
        <v>5810277</v>
      </c>
      <c r="H54" s="25">
        <v>0</v>
      </c>
      <c r="I54" s="25">
        <v>0</v>
      </c>
      <c r="J54" s="24" t="s">
        <v>63</v>
      </c>
      <c r="K54" s="26">
        <f>SUM(E54:J54)</f>
        <v>5810277.0</v>
      </c>
      <c r="L54" s="26">
        <f>D54-K54</f>
        <v>0.0</v>
      </c>
      <c r="M54" s="24" t="s">
        <v>1617</v>
      </c>
      <c r="N54" s="24" t="str">
        <f>C54&amp;"|"&amp;A54</f>
        <v>001|2163853</v>
      </c>
    </row>
    <row r="55" spans="1:14">
      <c r="A55" s="24" t="s">
        <v>246</v>
      </c>
      <c r="B55" s="24" t="s">
        <v>248</v>
      </c>
      <c r="C55" s="24" t="s">
        <v>54</v>
      </c>
      <c r="D55" s="25">
        <v>5921783</v>
      </c>
      <c r="E55" s="25">
        <v>0</v>
      </c>
      <c r="F55" s="25">
        <v>0</v>
      </c>
      <c r="G55" s="25">
        <v>5921783</v>
      </c>
      <c r="H55" s="25">
        <v>0</v>
      </c>
      <c r="I55" s="25">
        <v>0</v>
      </c>
      <c r="J55" s="24" t="s">
        <v>63</v>
      </c>
      <c r="K55" s="26">
        <f>SUM(E55:J55)</f>
        <v>5921783.0</v>
      </c>
      <c r="L55" s="26">
        <f>D55-K55</f>
        <v>0.0</v>
      </c>
      <c r="M55" s="24" t="s">
        <v>1617</v>
      </c>
      <c r="N55" s="24" t="str">
        <f>C55&amp;"|"&amp;A55</f>
        <v>001|2188542</v>
      </c>
    </row>
    <row r="56" spans="1:14">
      <c r="A56" s="24" t="s">
        <v>250</v>
      </c>
      <c r="B56" s="24" t="s">
        <v>252</v>
      </c>
      <c r="C56" s="24" t="s">
        <v>54</v>
      </c>
      <c r="D56" s="25">
        <v>1506514</v>
      </c>
      <c r="E56" s="25">
        <v>0</v>
      </c>
      <c r="F56" s="25">
        <v>0</v>
      </c>
      <c r="G56" s="25">
        <v>1506514</v>
      </c>
      <c r="H56" s="25">
        <v>0</v>
      </c>
      <c r="I56" s="25">
        <v>0</v>
      </c>
      <c r="J56" s="24" t="s">
        <v>63</v>
      </c>
      <c r="K56" s="26">
        <f>SUM(E56:J56)</f>
        <v>1506514.0</v>
      </c>
      <c r="L56" s="26">
        <f>D56-K56</f>
        <v>0.0</v>
      </c>
      <c r="M56" s="24" t="s">
        <v>1617</v>
      </c>
      <c r="N56" s="24" t="str">
        <f>C56&amp;"|"&amp;A56</f>
        <v>001|2186641</v>
      </c>
    </row>
    <row r="57" spans="1:14">
      <c r="A57" s="24" t="s">
        <v>253</v>
      </c>
      <c r="B57" s="24" t="s">
        <v>255</v>
      </c>
      <c r="C57" s="24" t="s">
        <v>54</v>
      </c>
      <c r="D57" s="25">
        <v>2167000</v>
      </c>
      <c r="E57" s="25">
        <v>0</v>
      </c>
      <c r="F57" s="25">
        <v>0</v>
      </c>
      <c r="G57" s="25">
        <v>2167000</v>
      </c>
      <c r="H57" s="25">
        <v>0</v>
      </c>
      <c r="I57" s="25">
        <v>0</v>
      </c>
      <c r="J57" s="24" t="s">
        <v>63</v>
      </c>
      <c r="K57" s="26">
        <f>SUM(E57:J57)</f>
        <v>2167000.0</v>
      </c>
      <c r="L57" s="26">
        <f>D57-K57</f>
        <v>0.0</v>
      </c>
      <c r="M57" s="24" t="s">
        <v>1617</v>
      </c>
      <c r="N57" s="24" t="str">
        <f>C57&amp;"|"&amp;A57</f>
        <v>001|2646100</v>
      </c>
    </row>
    <row r="58" spans="1:14">
      <c r="A58" s="24" t="s">
        <v>256</v>
      </c>
      <c r="B58" s="24" t="s">
        <v>258</v>
      </c>
      <c r="C58" s="24" t="s">
        <v>54</v>
      </c>
      <c r="D58" s="25">
        <v>2575916</v>
      </c>
      <c r="E58" s="25">
        <v>0</v>
      </c>
      <c r="F58" s="25">
        <v>0</v>
      </c>
      <c r="G58" s="25">
        <v>2575916</v>
      </c>
      <c r="H58" s="25">
        <v>0</v>
      </c>
      <c r="I58" s="25">
        <v>0</v>
      </c>
      <c r="J58" s="24" t="s">
        <v>63</v>
      </c>
      <c r="K58" s="26">
        <f>SUM(E58:J58)</f>
        <v>2575916.0</v>
      </c>
      <c r="L58" s="26">
        <f>D58-K58</f>
        <v>0.0</v>
      </c>
      <c r="M58" s="24" t="s">
        <v>1617</v>
      </c>
      <c r="N58" s="24" t="str">
        <f>C58&amp;"|"&amp;A58</f>
        <v>001|2645380</v>
      </c>
    </row>
    <row r="59" spans="1:14">
      <c r="A59" s="24" t="s">
        <v>259</v>
      </c>
      <c r="B59" s="24" t="s">
        <v>261</v>
      </c>
      <c r="C59" s="24" t="s">
        <v>54</v>
      </c>
      <c r="D59" s="25">
        <v>2054253</v>
      </c>
      <c r="E59" s="25">
        <v>0</v>
      </c>
      <c r="F59" s="25">
        <v>0</v>
      </c>
      <c r="G59" s="25">
        <v>2054253</v>
      </c>
      <c r="H59" s="25">
        <v>0</v>
      </c>
      <c r="I59" s="25">
        <v>0</v>
      </c>
      <c r="J59" s="24" t="s">
        <v>63</v>
      </c>
      <c r="K59" s="26">
        <f>SUM(E59:J59)</f>
        <v>2054253.0</v>
      </c>
      <c r="L59" s="26">
        <f>D59-K59</f>
        <v>0.0</v>
      </c>
      <c r="M59" s="24" t="s">
        <v>1617</v>
      </c>
      <c r="N59" s="24" t="str">
        <f>C59&amp;"|"&amp;A59</f>
        <v>001|2646096</v>
      </c>
    </row>
    <row r="60" spans="1:14">
      <c r="A60" s="24" t="s">
        <v>262</v>
      </c>
      <c r="B60" s="24" t="s">
        <v>264</v>
      </c>
      <c r="C60" s="24" t="s">
        <v>54</v>
      </c>
      <c r="D60" s="25">
        <v>2038388</v>
      </c>
      <c r="E60" s="25">
        <v>0</v>
      </c>
      <c r="F60" s="25">
        <v>0</v>
      </c>
      <c r="G60" s="25">
        <v>2038388</v>
      </c>
      <c r="H60" s="25">
        <v>0</v>
      </c>
      <c r="I60" s="25">
        <v>0</v>
      </c>
      <c r="J60" s="24" t="s">
        <v>63</v>
      </c>
      <c r="K60" s="26">
        <f>SUM(E60:J60)</f>
        <v>2038388.0</v>
      </c>
      <c r="L60" s="26">
        <f>D60-K60</f>
        <v>0.0</v>
      </c>
      <c r="M60" s="24" t="s">
        <v>1617</v>
      </c>
      <c r="N60" s="24" t="str">
        <f>C60&amp;"|"&amp;A60</f>
        <v>001|2645340</v>
      </c>
    </row>
    <row r="61" spans="1:14">
      <c r="A61" s="24" t="s">
        <v>265</v>
      </c>
      <c r="B61" s="24" t="s">
        <v>267</v>
      </c>
      <c r="C61" s="24" t="s">
        <v>54</v>
      </c>
      <c r="D61" s="25">
        <v>2047936</v>
      </c>
      <c r="E61" s="25">
        <v>0</v>
      </c>
      <c r="F61" s="25">
        <v>0</v>
      </c>
      <c r="G61" s="25">
        <v>2047936</v>
      </c>
      <c r="H61" s="25">
        <v>0</v>
      </c>
      <c r="I61" s="25">
        <v>0</v>
      </c>
      <c r="J61" s="24" t="s">
        <v>63</v>
      </c>
      <c r="K61" s="26">
        <f>SUM(E61:J61)</f>
        <v>2047936.0</v>
      </c>
      <c r="L61" s="26">
        <f>D61-K61</f>
        <v>0.0</v>
      </c>
      <c r="M61" s="24" t="s">
        <v>1617</v>
      </c>
      <c r="N61" s="24" t="str">
        <f>C61&amp;"|"&amp;A61</f>
        <v>001|2555837</v>
      </c>
    </row>
    <row r="62" spans="1:14">
      <c r="A62" s="24" t="s">
        <v>268</v>
      </c>
      <c r="B62" s="24" t="s">
        <v>270</v>
      </c>
      <c r="C62" s="24" t="s">
        <v>54</v>
      </c>
      <c r="D62" s="25">
        <v>290270</v>
      </c>
      <c r="E62" s="25">
        <v>0</v>
      </c>
      <c r="F62" s="25">
        <v>0</v>
      </c>
      <c r="G62" s="25">
        <v>290270</v>
      </c>
      <c r="H62" s="25">
        <v>0</v>
      </c>
      <c r="I62" s="25">
        <v>0</v>
      </c>
      <c r="J62" s="24" t="s">
        <v>63</v>
      </c>
      <c r="K62" s="26">
        <f>SUM(E62:J62)</f>
        <v>290270.0</v>
      </c>
      <c r="L62" s="26">
        <f>D62-K62</f>
        <v>0.0</v>
      </c>
      <c r="M62" s="24" t="s">
        <v>1617</v>
      </c>
      <c r="N62" s="24" t="str">
        <f>C62&amp;"|"&amp;A62</f>
        <v>001|2593683</v>
      </c>
    </row>
    <row r="63" spans="1:14">
      <c r="A63" s="24" t="s">
        <v>272</v>
      </c>
      <c r="B63" s="24" t="s">
        <v>274</v>
      </c>
      <c r="C63" s="24" t="s">
        <v>54</v>
      </c>
      <c r="D63" s="25">
        <v>7609099</v>
      </c>
      <c r="E63" s="25">
        <v>0</v>
      </c>
      <c r="F63" s="25">
        <v>6900</v>
      </c>
      <c r="G63" s="25">
        <v>2434199</v>
      </c>
      <c r="H63" s="25">
        <v>5168000</v>
      </c>
      <c r="I63" s="25">
        <v>0</v>
      </c>
      <c r="J63" s="24" t="s">
        <v>63</v>
      </c>
      <c r="K63" s="26">
        <f>SUM(E63:J63)</f>
        <v>7609099.0</v>
      </c>
      <c r="L63" s="26">
        <f>D63-K63</f>
        <v>0.0</v>
      </c>
      <c r="M63" s="24" t="s">
        <v>1617</v>
      </c>
      <c r="N63" s="24" t="str">
        <f>C63&amp;"|"&amp;A63</f>
        <v>001|2592407</v>
      </c>
    </row>
    <row r="64" spans="1:14">
      <c r="A64" s="24" t="s">
        <v>278</v>
      </c>
      <c r="B64" s="24" t="s">
        <v>280</v>
      </c>
      <c r="C64" s="24" t="s">
        <v>54</v>
      </c>
      <c r="D64" s="25">
        <v>99230</v>
      </c>
      <c r="E64" s="25">
        <v>0</v>
      </c>
      <c r="F64" s="25">
        <v>0</v>
      </c>
      <c r="G64" s="25">
        <v>99230</v>
      </c>
      <c r="H64" s="25">
        <v>0</v>
      </c>
      <c r="I64" s="25">
        <v>0</v>
      </c>
      <c r="J64" s="24" t="s">
        <v>63</v>
      </c>
      <c r="K64" s="26">
        <f>SUM(E64:J64)</f>
        <v>99230.0</v>
      </c>
      <c r="L64" s="26">
        <f>D64-K64</f>
        <v>0.0</v>
      </c>
      <c r="M64" s="24" t="s">
        <v>1617</v>
      </c>
      <c r="N64" s="24" t="str">
        <f>C64&amp;"|"&amp;A64</f>
        <v>001|2230752</v>
      </c>
    </row>
    <row r="65" spans="1:14">
      <c r="A65" s="24" t="s">
        <v>281</v>
      </c>
      <c r="B65" s="24" t="s">
        <v>283</v>
      </c>
      <c r="C65" s="24" t="s">
        <v>54</v>
      </c>
      <c r="D65" s="25">
        <v>133512</v>
      </c>
      <c r="E65" s="25">
        <v>0</v>
      </c>
      <c r="F65" s="25">
        <v>0</v>
      </c>
      <c r="G65" s="25">
        <v>133512</v>
      </c>
      <c r="H65" s="25">
        <v>0</v>
      </c>
      <c r="I65" s="25">
        <v>0</v>
      </c>
      <c r="J65" s="24" t="s">
        <v>63</v>
      </c>
      <c r="K65" s="26">
        <f>SUM(E65:J65)</f>
        <v>133512.0</v>
      </c>
      <c r="L65" s="26">
        <f>D65-K65</f>
        <v>0.0</v>
      </c>
      <c r="M65" s="24" t="s">
        <v>1617</v>
      </c>
      <c r="N65" s="24" t="str">
        <f>C65&amp;"|"&amp;A65</f>
        <v>001|2194989</v>
      </c>
    </row>
    <row r="66" spans="1:14">
      <c r="A66" s="24" t="s">
        <v>286</v>
      </c>
      <c r="B66" s="24" t="s">
        <v>288</v>
      </c>
      <c r="C66" s="24" t="s">
        <v>54</v>
      </c>
      <c r="D66" s="25">
        <v>8256172</v>
      </c>
      <c r="E66" s="25">
        <v>0</v>
      </c>
      <c r="F66" s="25">
        <v>0</v>
      </c>
      <c r="G66" s="25">
        <v>8256172</v>
      </c>
      <c r="H66" s="25">
        <v>0</v>
      </c>
      <c r="I66" s="25">
        <v>0</v>
      </c>
      <c r="J66" s="24" t="s">
        <v>63</v>
      </c>
      <c r="K66" s="26">
        <f>SUM(E66:J66)</f>
        <v>8256172.0</v>
      </c>
      <c r="L66" s="26">
        <f>D66-K66</f>
        <v>0.0</v>
      </c>
      <c r="M66" s="24" t="s">
        <v>1617</v>
      </c>
      <c r="N66" s="24" t="str">
        <f>C66&amp;"|"&amp;A66</f>
        <v>001|2504553</v>
      </c>
    </row>
    <row r="67" spans="1:14">
      <c r="A67" s="24" t="s">
        <v>289</v>
      </c>
      <c r="B67" s="24" t="s">
        <v>291</v>
      </c>
      <c r="C67" s="24" t="s">
        <v>54</v>
      </c>
      <c r="D67" s="25">
        <v>7374992</v>
      </c>
      <c r="E67" s="25">
        <v>0</v>
      </c>
      <c r="F67" s="25">
        <v>6994018</v>
      </c>
      <c r="G67" s="25">
        <v>380974</v>
      </c>
      <c r="H67" s="25">
        <v>0</v>
      </c>
      <c r="I67" s="25">
        <v>0</v>
      </c>
      <c r="J67" s="24" t="s">
        <v>63</v>
      </c>
      <c r="K67" s="26">
        <f>SUM(E67:J67)</f>
        <v>7374992.0</v>
      </c>
      <c r="L67" s="26">
        <f>D67-K67</f>
        <v>0.0</v>
      </c>
      <c r="M67" s="24" t="s">
        <v>1617</v>
      </c>
      <c r="N67" s="24" t="str">
        <f>C67&amp;"|"&amp;A67</f>
        <v>001|2470517</v>
      </c>
    </row>
    <row r="68" spans="1:14">
      <c r="A68" s="24" t="s">
        <v>292</v>
      </c>
      <c r="B68" s="24" t="s">
        <v>294</v>
      </c>
      <c r="C68" s="24" t="s">
        <v>54</v>
      </c>
      <c r="D68" s="25">
        <v>6997430</v>
      </c>
      <c r="E68" s="25">
        <v>0</v>
      </c>
      <c r="F68" s="25">
        <v>0</v>
      </c>
      <c r="G68" s="25">
        <v>6997430</v>
      </c>
      <c r="H68" s="25">
        <v>0</v>
      </c>
      <c r="I68" s="25">
        <v>0</v>
      </c>
      <c r="J68" s="24" t="s">
        <v>63</v>
      </c>
      <c r="K68" s="26">
        <f>SUM(E68:J68)</f>
        <v>6997430.0</v>
      </c>
      <c r="L68" s="26">
        <f>D68-K68</f>
        <v>0.0</v>
      </c>
      <c r="M68" s="24" t="s">
        <v>1617</v>
      </c>
      <c r="N68" s="24" t="str">
        <f>C68&amp;"|"&amp;A68</f>
        <v>001|2357092</v>
      </c>
    </row>
    <row r="69" spans="1:14">
      <c r="A69" s="24" t="s">
        <v>295</v>
      </c>
      <c r="B69" s="24" t="s">
        <v>297</v>
      </c>
      <c r="C69" s="24" t="s">
        <v>54</v>
      </c>
      <c r="D69" s="25">
        <v>6688287</v>
      </c>
      <c r="E69" s="25">
        <v>0</v>
      </c>
      <c r="F69" s="25">
        <v>1378470</v>
      </c>
      <c r="G69" s="25">
        <v>2487115</v>
      </c>
      <c r="H69" s="25">
        <v>2822702</v>
      </c>
      <c r="I69" s="25">
        <v>0</v>
      </c>
      <c r="J69" s="24" t="s">
        <v>63</v>
      </c>
      <c r="K69" s="26">
        <f>SUM(E69:J69)</f>
        <v>6688287.0</v>
      </c>
      <c r="L69" s="26">
        <f>D69-K69</f>
        <v>0.0</v>
      </c>
      <c r="M69" s="24" t="s">
        <v>1617</v>
      </c>
      <c r="N69" s="24" t="str">
        <f>C69&amp;"|"&amp;A69</f>
        <v>001|2494039</v>
      </c>
    </row>
    <row r="70" spans="1:14">
      <c r="A70" s="24" t="s">
        <v>298</v>
      </c>
      <c r="B70" s="24" t="s">
        <v>300</v>
      </c>
      <c r="C70" s="24" t="s">
        <v>54</v>
      </c>
      <c r="D70" s="25">
        <v>3318026</v>
      </c>
      <c r="E70" s="25">
        <v>0</v>
      </c>
      <c r="F70" s="25">
        <v>77657</v>
      </c>
      <c r="G70" s="25">
        <v>3240369</v>
      </c>
      <c r="H70" s="25">
        <v>0</v>
      </c>
      <c r="I70" s="25">
        <v>0</v>
      </c>
      <c r="J70" s="24" t="s">
        <v>63</v>
      </c>
      <c r="K70" s="26">
        <f>SUM(E70:J70)</f>
        <v>3318026.0</v>
      </c>
      <c r="L70" s="26">
        <f>D70-K70</f>
        <v>0.0</v>
      </c>
      <c r="M70" s="24" t="s">
        <v>1617</v>
      </c>
      <c r="N70" s="24" t="str">
        <f>C70&amp;"|"&amp;A70</f>
        <v>001|2290342</v>
      </c>
    </row>
    <row r="71" spans="1:14">
      <c r="A71" s="24" t="s">
        <v>302</v>
      </c>
      <c r="B71" s="24" t="s">
        <v>304</v>
      </c>
      <c r="C71" s="24" t="s">
        <v>54</v>
      </c>
      <c r="D71" s="25">
        <v>0</v>
      </c>
      <c r="E71" s="25">
        <v>0</v>
      </c>
      <c r="F71" s="25">
        <v>0</v>
      </c>
      <c r="G71" s="25">
        <v>0</v>
      </c>
      <c r="H71" s="25">
        <v>0</v>
      </c>
      <c r="I71" s="25">
        <v>0</v>
      </c>
      <c r="J71" s="24" t="s">
        <v>63</v>
      </c>
      <c r="K71" s="26">
        <f>SUM(E71:J71)</f>
        <v>0.0</v>
      </c>
      <c r="L71" s="26">
        <f>D71-K71</f>
        <v>0.0</v>
      </c>
      <c r="M71" s="24" t="s">
        <v>1617</v>
      </c>
      <c r="N71" s="24" t="str">
        <f>C71&amp;"|"&amp;A71</f>
        <v>001|2451529</v>
      </c>
    </row>
    <row r="72" spans="1:14">
      <c r="A72" s="24" t="s">
        <v>305</v>
      </c>
      <c r="B72" s="24" t="s">
        <v>307</v>
      </c>
      <c r="C72" s="24" t="s">
        <v>54</v>
      </c>
      <c r="D72" s="25">
        <v>21914154</v>
      </c>
      <c r="E72" s="25">
        <v>0</v>
      </c>
      <c r="F72" s="25">
        <v>0</v>
      </c>
      <c r="G72" s="25">
        <v>21914154</v>
      </c>
      <c r="H72" s="25">
        <v>0</v>
      </c>
      <c r="I72" s="25">
        <v>0</v>
      </c>
      <c r="J72" s="24" t="s">
        <v>63</v>
      </c>
      <c r="K72" s="26">
        <f>SUM(E72:J72)</f>
        <v>21914154.0</v>
      </c>
      <c r="L72" s="26">
        <f>D72-K72</f>
        <v>0.0</v>
      </c>
      <c r="M72" s="24" t="s">
        <v>1617</v>
      </c>
      <c r="N72" s="24" t="str">
        <f>C72&amp;"|"&amp;A72</f>
        <v>001|2411336</v>
      </c>
    </row>
    <row r="73" spans="1:14">
      <c r="A73" s="24" t="s">
        <v>309</v>
      </c>
      <c r="B73" s="24" t="s">
        <v>311</v>
      </c>
      <c r="C73" s="24" t="s">
        <v>54</v>
      </c>
      <c r="D73" s="25">
        <v>22276780</v>
      </c>
      <c r="E73" s="25">
        <v>0</v>
      </c>
      <c r="F73" s="25">
        <v>5227548</v>
      </c>
      <c r="G73" s="25">
        <v>17049232</v>
      </c>
      <c r="H73" s="25">
        <v>0</v>
      </c>
      <c r="I73" s="25">
        <v>0</v>
      </c>
      <c r="J73" s="24" t="s">
        <v>63</v>
      </c>
      <c r="K73" s="26">
        <f>SUM(E73:J73)</f>
        <v>22276780.0</v>
      </c>
      <c r="L73" s="26">
        <f>D73-K73</f>
        <v>0.0</v>
      </c>
      <c r="M73" s="24" t="s">
        <v>1617</v>
      </c>
      <c r="N73" s="24" t="str">
        <f>C73&amp;"|"&amp;A73</f>
        <v>001|2284935</v>
      </c>
    </row>
    <row r="74" spans="1:14">
      <c r="A74" s="24" t="s">
        <v>312</v>
      </c>
      <c r="B74" s="24" t="s">
        <v>314</v>
      </c>
      <c r="C74" s="24" t="s">
        <v>54</v>
      </c>
      <c r="D74" s="25">
        <v>17354707</v>
      </c>
      <c r="E74" s="25">
        <v>0</v>
      </c>
      <c r="F74" s="25">
        <v>0</v>
      </c>
      <c r="G74" s="25">
        <v>17354707</v>
      </c>
      <c r="H74" s="25">
        <v>0</v>
      </c>
      <c r="I74" s="25">
        <v>0</v>
      </c>
      <c r="J74" s="24" t="s">
        <v>63</v>
      </c>
      <c r="K74" s="26">
        <f>SUM(E74:J74)</f>
        <v>17354707.0</v>
      </c>
      <c r="L74" s="26">
        <f>D74-K74</f>
        <v>0.0</v>
      </c>
      <c r="M74" s="24" t="s">
        <v>1617</v>
      </c>
      <c r="N74" s="24" t="str">
        <f>C74&amp;"|"&amp;A74</f>
        <v>001|2357330</v>
      </c>
    </row>
    <row r="75" spans="1:14">
      <c r="A75" s="24" t="s">
        <v>315</v>
      </c>
      <c r="B75" s="24" t="s">
        <v>317</v>
      </c>
      <c r="C75" s="24" t="s">
        <v>54</v>
      </c>
      <c r="D75" s="25">
        <v>19795501</v>
      </c>
      <c r="E75" s="25">
        <v>0</v>
      </c>
      <c r="F75" s="25">
        <v>0</v>
      </c>
      <c r="G75" s="25">
        <v>19795501</v>
      </c>
      <c r="H75" s="25">
        <v>0</v>
      </c>
      <c r="I75" s="25">
        <v>0</v>
      </c>
      <c r="J75" s="24" t="s">
        <v>63</v>
      </c>
      <c r="K75" s="26">
        <f>SUM(E75:J75)</f>
        <v>19795501.0</v>
      </c>
      <c r="L75" s="26">
        <f>D75-K75</f>
        <v>0.0</v>
      </c>
      <c r="M75" s="24" t="s">
        <v>1617</v>
      </c>
      <c r="N75" s="24" t="str">
        <f>C75&amp;"|"&amp;A75</f>
        <v>001|2357322</v>
      </c>
    </row>
    <row r="76" spans="1:14">
      <c r="A76" s="24" t="s">
        <v>318</v>
      </c>
      <c r="B76" s="24" t="s">
        <v>320</v>
      </c>
      <c r="C76" s="24" t="s">
        <v>54</v>
      </c>
      <c r="D76" s="25">
        <v>17241964</v>
      </c>
      <c r="E76" s="25">
        <v>0</v>
      </c>
      <c r="F76" s="25">
        <v>3706950</v>
      </c>
      <c r="G76" s="25">
        <v>5461344</v>
      </c>
      <c r="H76" s="25">
        <v>8073670</v>
      </c>
      <c r="I76" s="25">
        <v>0</v>
      </c>
      <c r="J76" s="24" t="s">
        <v>63</v>
      </c>
      <c r="K76" s="26">
        <f>SUM(E76:J76)</f>
        <v>17241964.0</v>
      </c>
      <c r="L76" s="26">
        <f>D76-K76</f>
        <v>0.0</v>
      </c>
      <c r="M76" s="24" t="s">
        <v>1617</v>
      </c>
      <c r="N76" s="24" t="str">
        <f>C76&amp;"|"&amp;A76</f>
        <v>001|2385673</v>
      </c>
    </row>
    <row r="77" spans="1:14">
      <c r="A77" s="24" t="s">
        <v>321</v>
      </c>
      <c r="B77" s="24" t="s">
        <v>323</v>
      </c>
      <c r="C77" s="24" t="s">
        <v>54</v>
      </c>
      <c r="D77" s="25">
        <v>15380884</v>
      </c>
      <c r="E77" s="25">
        <v>0</v>
      </c>
      <c r="F77" s="25">
        <v>1000000</v>
      </c>
      <c r="G77" s="25">
        <v>14380884</v>
      </c>
      <c r="H77" s="25">
        <v>0</v>
      </c>
      <c r="I77" s="25">
        <v>0</v>
      </c>
      <c r="J77" s="24" t="s">
        <v>63</v>
      </c>
      <c r="K77" s="26">
        <f>SUM(E77:J77)</f>
        <v>15380884.0</v>
      </c>
      <c r="L77" s="26">
        <f>D77-K77</f>
        <v>0.0</v>
      </c>
      <c r="M77" s="24" t="s">
        <v>1617</v>
      </c>
      <c r="N77" s="24" t="str">
        <f>C77&amp;"|"&amp;A77</f>
        <v>001|2585543</v>
      </c>
    </row>
    <row r="78" spans="1:14">
      <c r="A78" s="24" t="s">
        <v>324</v>
      </c>
      <c r="B78" s="24" t="s">
        <v>326</v>
      </c>
      <c r="C78" s="24" t="s">
        <v>54</v>
      </c>
      <c r="D78" s="25">
        <v>9666000</v>
      </c>
      <c r="E78" s="25">
        <v>0</v>
      </c>
      <c r="F78" s="25">
        <v>314282</v>
      </c>
      <c r="G78" s="25">
        <v>9351718</v>
      </c>
      <c r="H78" s="25">
        <v>0</v>
      </c>
      <c r="I78" s="25">
        <v>0</v>
      </c>
      <c r="J78" s="24" t="s">
        <v>63</v>
      </c>
      <c r="K78" s="26">
        <f>SUM(E78:J78)</f>
        <v>9666000.0</v>
      </c>
      <c r="L78" s="26">
        <f>D78-K78</f>
        <v>0.0</v>
      </c>
      <c r="M78" s="24" t="s">
        <v>1617</v>
      </c>
      <c r="N78" s="24" t="str">
        <f>C78&amp;"|"&amp;A78</f>
        <v>001|2535611</v>
      </c>
    </row>
    <row r="79" spans="1:14">
      <c r="A79" s="24" t="s">
        <v>327</v>
      </c>
      <c r="B79" s="24" t="s">
        <v>329</v>
      </c>
      <c r="C79" s="24" t="s">
        <v>54</v>
      </c>
      <c r="D79" s="25">
        <v>6765264</v>
      </c>
      <c r="E79" s="25">
        <v>0</v>
      </c>
      <c r="F79" s="25">
        <v>0</v>
      </c>
      <c r="G79" s="25">
        <v>6765264</v>
      </c>
      <c r="H79" s="25">
        <v>0</v>
      </c>
      <c r="I79" s="25">
        <v>0</v>
      </c>
      <c r="J79" s="24" t="s">
        <v>63</v>
      </c>
      <c r="K79" s="26">
        <f>SUM(E79:J79)</f>
        <v>6765264.0</v>
      </c>
      <c r="L79" s="26">
        <f>D79-K79</f>
        <v>0.0</v>
      </c>
      <c r="M79" s="24" t="s">
        <v>1617</v>
      </c>
      <c r="N79" s="24" t="str">
        <f>C79&amp;"|"&amp;A79</f>
        <v>001|2538950</v>
      </c>
    </row>
    <row r="80" spans="1:14">
      <c r="A80" s="24" t="s">
        <v>330</v>
      </c>
      <c r="B80" s="24" t="s">
        <v>332</v>
      </c>
      <c r="C80" s="24" t="s">
        <v>54</v>
      </c>
      <c r="D80" s="25">
        <v>4291327</v>
      </c>
      <c r="E80" s="25">
        <v>0</v>
      </c>
      <c r="F80" s="25">
        <v>0</v>
      </c>
      <c r="G80" s="25">
        <v>4291327</v>
      </c>
      <c r="H80" s="25">
        <v>0</v>
      </c>
      <c r="I80" s="25">
        <v>0</v>
      </c>
      <c r="J80" s="24" t="s">
        <v>63</v>
      </c>
      <c r="K80" s="26">
        <f>SUM(E80:J80)</f>
        <v>4291327.0</v>
      </c>
      <c r="L80" s="26">
        <f>D80-K80</f>
        <v>0.0</v>
      </c>
      <c r="M80" s="24" t="s">
        <v>1617</v>
      </c>
      <c r="N80" s="24" t="str">
        <f>C80&amp;"|"&amp;A80</f>
        <v>001|2289661</v>
      </c>
    </row>
    <row r="81" spans="1:14">
      <c r="A81" s="24" t="s">
        <v>333</v>
      </c>
      <c r="B81" s="24" t="s">
        <v>335</v>
      </c>
      <c r="C81" s="24" t="s">
        <v>54</v>
      </c>
      <c r="D81" s="25">
        <v>5799805</v>
      </c>
      <c r="E81" s="25">
        <v>0</v>
      </c>
      <c r="F81" s="25">
        <v>0</v>
      </c>
      <c r="G81" s="25">
        <v>5799805</v>
      </c>
      <c r="H81" s="25">
        <v>0</v>
      </c>
      <c r="I81" s="25">
        <v>0</v>
      </c>
      <c r="J81" s="24" t="s">
        <v>63</v>
      </c>
      <c r="K81" s="26">
        <f>SUM(E81:J81)</f>
        <v>5799805.0</v>
      </c>
      <c r="L81" s="26">
        <f>D81-K81</f>
        <v>0.0</v>
      </c>
      <c r="M81" s="24" t="s">
        <v>1617</v>
      </c>
      <c r="N81" s="24" t="str">
        <f>C81&amp;"|"&amp;A81</f>
        <v>001|2590087</v>
      </c>
    </row>
    <row r="82" spans="1:14">
      <c r="A82" s="24" t="s">
        <v>336</v>
      </c>
      <c r="B82" s="24" t="s">
        <v>338</v>
      </c>
      <c r="C82" s="24" t="s">
        <v>54</v>
      </c>
      <c r="D82" s="25">
        <v>9795205</v>
      </c>
      <c r="E82" s="25">
        <v>0</v>
      </c>
      <c r="F82" s="25">
        <v>0</v>
      </c>
      <c r="G82" s="25">
        <v>9795205</v>
      </c>
      <c r="H82" s="25">
        <v>0</v>
      </c>
      <c r="I82" s="25">
        <v>0</v>
      </c>
      <c r="J82" s="24" t="s">
        <v>63</v>
      </c>
      <c r="K82" s="26">
        <f>SUM(E82:J82)</f>
        <v>9795205.0</v>
      </c>
      <c r="L82" s="26">
        <f>D82-K82</f>
        <v>0.0</v>
      </c>
      <c r="M82" s="24" t="s">
        <v>1617</v>
      </c>
      <c r="N82" s="24" t="str">
        <f>C82&amp;"|"&amp;A82</f>
        <v>001|2417765</v>
      </c>
    </row>
    <row r="83" spans="1:14">
      <c r="A83" s="24" t="s">
        <v>340</v>
      </c>
      <c r="B83" s="24" t="s">
        <v>342</v>
      </c>
      <c r="C83" s="24" t="s">
        <v>54</v>
      </c>
      <c r="D83" s="25">
        <v>3853164</v>
      </c>
      <c r="E83" s="25">
        <v>0</v>
      </c>
      <c r="F83" s="25">
        <v>600641</v>
      </c>
      <c r="G83" s="25">
        <v>3252523</v>
      </c>
      <c r="H83" s="25">
        <v>0</v>
      </c>
      <c r="I83" s="25">
        <v>0</v>
      </c>
      <c r="J83" s="24" t="s">
        <v>63</v>
      </c>
      <c r="K83" s="26">
        <f>SUM(E83:J83)</f>
        <v>3853164.0</v>
      </c>
      <c r="L83" s="26">
        <f>D83-K83</f>
        <v>0.0</v>
      </c>
      <c r="M83" s="24" t="s">
        <v>1617</v>
      </c>
      <c r="N83" s="24" t="str">
        <f>C83&amp;"|"&amp;A83</f>
        <v>001|2606991</v>
      </c>
    </row>
    <row r="84" spans="1:14">
      <c r="A84" s="24" t="s">
        <v>343</v>
      </c>
      <c r="B84" s="24" t="s">
        <v>345</v>
      </c>
      <c r="C84" s="24" t="s">
        <v>54</v>
      </c>
      <c r="D84" s="25">
        <v>1142346</v>
      </c>
      <c r="E84" s="25">
        <v>0</v>
      </c>
      <c r="F84" s="25">
        <v>0</v>
      </c>
      <c r="G84" s="25">
        <v>1142346</v>
      </c>
      <c r="H84" s="25">
        <v>0</v>
      </c>
      <c r="I84" s="25">
        <v>0</v>
      </c>
      <c r="J84" s="24" t="s">
        <v>63</v>
      </c>
      <c r="K84" s="26">
        <f>SUM(E84:J84)</f>
        <v>1142346.0</v>
      </c>
      <c r="L84" s="26">
        <f>D84-K84</f>
        <v>0.0</v>
      </c>
      <c r="M84" s="24" t="s">
        <v>1617</v>
      </c>
      <c r="N84" s="24" t="str">
        <f>C84&amp;"|"&amp;A84</f>
        <v>001|2649852</v>
      </c>
    </row>
    <row r="85" spans="1:14">
      <c r="A85" s="24" t="s">
        <v>346</v>
      </c>
      <c r="B85" s="24" t="s">
        <v>348</v>
      </c>
      <c r="C85" s="24" t="s">
        <v>54</v>
      </c>
      <c r="D85" s="25">
        <v>2361641</v>
      </c>
      <c r="E85" s="25">
        <v>0</v>
      </c>
      <c r="F85" s="25">
        <v>0</v>
      </c>
      <c r="G85" s="25">
        <v>2361641</v>
      </c>
      <c r="H85" s="25">
        <v>0</v>
      </c>
      <c r="I85" s="25">
        <v>0</v>
      </c>
      <c r="J85" s="24" t="s">
        <v>63</v>
      </c>
      <c r="K85" s="26">
        <f>SUM(E85:J85)</f>
        <v>2361641.0</v>
      </c>
      <c r="L85" s="26">
        <f>D85-K85</f>
        <v>0.0</v>
      </c>
      <c r="M85" s="24" t="s">
        <v>1617</v>
      </c>
      <c r="N85" s="24" t="str">
        <f>C85&amp;"|"&amp;A85</f>
        <v>001|2649858</v>
      </c>
    </row>
    <row r="86" spans="1:14">
      <c r="A86" s="24" t="s">
        <v>349</v>
      </c>
      <c r="B86" s="24" t="s">
        <v>351</v>
      </c>
      <c r="C86" s="24" t="s">
        <v>54</v>
      </c>
      <c r="D86" s="25">
        <v>1272735</v>
      </c>
      <c r="E86" s="25">
        <v>0</v>
      </c>
      <c r="F86" s="25">
        <v>0</v>
      </c>
      <c r="G86" s="25">
        <v>1272735</v>
      </c>
      <c r="H86" s="25">
        <v>0</v>
      </c>
      <c r="I86" s="25">
        <v>0</v>
      </c>
      <c r="J86" s="24" t="s">
        <v>63</v>
      </c>
      <c r="K86" s="26">
        <f>SUM(E86:J86)</f>
        <v>1272735.0</v>
      </c>
      <c r="L86" s="26">
        <f>D86-K86</f>
        <v>0.0</v>
      </c>
      <c r="M86" s="24" t="s">
        <v>1617</v>
      </c>
      <c r="N86" s="24" t="str">
        <f>C86&amp;"|"&amp;A86</f>
        <v>001|2411335</v>
      </c>
    </row>
    <row r="87" spans="1:14">
      <c r="A87" s="24" t="s">
        <v>352</v>
      </c>
      <c r="B87" s="24" t="s">
        <v>354</v>
      </c>
      <c r="C87" s="24" t="s">
        <v>54</v>
      </c>
      <c r="D87" s="25">
        <v>919876</v>
      </c>
      <c r="E87" s="25">
        <v>0</v>
      </c>
      <c r="F87" s="25">
        <v>0</v>
      </c>
      <c r="G87" s="25">
        <v>919876</v>
      </c>
      <c r="H87" s="25">
        <v>0</v>
      </c>
      <c r="I87" s="25">
        <v>0</v>
      </c>
      <c r="J87" s="24" t="s">
        <v>63</v>
      </c>
      <c r="K87" s="26">
        <f>SUM(E87:J87)</f>
        <v>919876.0</v>
      </c>
      <c r="L87" s="26">
        <f>D87-K87</f>
        <v>0.0</v>
      </c>
      <c r="M87" s="24" t="s">
        <v>1617</v>
      </c>
      <c r="N87" s="24" t="str">
        <f>C87&amp;"|"&amp;A87</f>
        <v>001|2651383</v>
      </c>
    </row>
    <row r="88" spans="1:14">
      <c r="A88" s="24" t="s">
        <v>355</v>
      </c>
      <c r="B88" s="24" t="s">
        <v>357</v>
      </c>
      <c r="C88" s="24" t="s">
        <v>54</v>
      </c>
      <c r="D88" s="25">
        <v>41720</v>
      </c>
      <c r="E88" s="25">
        <v>0</v>
      </c>
      <c r="F88" s="25">
        <v>0</v>
      </c>
      <c r="G88" s="25">
        <v>41720</v>
      </c>
      <c r="H88" s="25">
        <v>0</v>
      </c>
      <c r="I88" s="25">
        <v>0</v>
      </c>
      <c r="J88" s="24" t="s">
        <v>63</v>
      </c>
      <c r="K88" s="26">
        <f>SUM(E88:J88)</f>
        <v>41720.0</v>
      </c>
      <c r="L88" s="26">
        <f>D88-K88</f>
        <v>0.0</v>
      </c>
      <c r="M88" s="24" t="s">
        <v>1617</v>
      </c>
      <c r="N88" s="24" t="str">
        <f>C88&amp;"|"&amp;A88</f>
        <v>001|2250396</v>
      </c>
    </row>
    <row r="89" spans="1:14">
      <c r="A89" s="24" t="s">
        <v>358</v>
      </c>
      <c r="B89" s="24" t="s">
        <v>360</v>
      </c>
      <c r="C89" s="24" t="s">
        <v>54</v>
      </c>
      <c r="D89" s="25">
        <v>704972</v>
      </c>
      <c r="E89" s="25">
        <v>0</v>
      </c>
      <c r="F89" s="25">
        <v>0</v>
      </c>
      <c r="G89" s="25">
        <v>704972</v>
      </c>
      <c r="H89" s="25">
        <v>0</v>
      </c>
      <c r="I89" s="25">
        <v>0</v>
      </c>
      <c r="J89" s="24" t="s">
        <v>63</v>
      </c>
      <c r="K89" s="26">
        <f>SUM(E89:J89)</f>
        <v>704972.0</v>
      </c>
      <c r="L89" s="26">
        <f>D89-K89</f>
        <v>0.0</v>
      </c>
      <c r="M89" s="24" t="s">
        <v>1617</v>
      </c>
      <c r="N89" s="24" t="str">
        <f>C89&amp;"|"&amp;A89</f>
        <v>001|2649805</v>
      </c>
    </row>
    <row r="90" spans="1:14">
      <c r="A90" s="24" t="s">
        <v>361</v>
      </c>
      <c r="B90" s="24" t="s">
        <v>363</v>
      </c>
      <c r="C90" s="24" t="s">
        <v>54</v>
      </c>
      <c r="D90" s="25">
        <v>61203</v>
      </c>
      <c r="E90" s="25">
        <v>0</v>
      </c>
      <c r="F90" s="25">
        <v>0</v>
      </c>
      <c r="G90" s="25">
        <v>61203</v>
      </c>
      <c r="H90" s="25">
        <v>0</v>
      </c>
      <c r="I90" s="25">
        <v>0</v>
      </c>
      <c r="J90" s="24" t="s">
        <v>63</v>
      </c>
      <c r="K90" s="26">
        <f>SUM(E90:J90)</f>
        <v>61203.0</v>
      </c>
      <c r="L90" s="26">
        <f>D90-K90</f>
        <v>0.0</v>
      </c>
      <c r="M90" s="24" t="s">
        <v>1617</v>
      </c>
      <c r="N90" s="24" t="str">
        <f>C90&amp;"|"&amp;A90</f>
        <v>001|2627406</v>
      </c>
    </row>
    <row r="91" spans="1:14">
      <c r="A91" s="24" t="s">
        <v>364</v>
      </c>
      <c r="B91" s="24" t="s">
        <v>366</v>
      </c>
      <c r="C91" s="24" t="s">
        <v>54</v>
      </c>
      <c r="D91" s="25">
        <v>23143575</v>
      </c>
      <c r="E91" s="25">
        <v>0</v>
      </c>
      <c r="F91" s="25">
        <v>0</v>
      </c>
      <c r="G91" s="25">
        <v>6917643</v>
      </c>
      <c r="H91" s="25">
        <v>16225932</v>
      </c>
      <c r="I91" s="25">
        <v>0</v>
      </c>
      <c r="J91" s="24" t="s">
        <v>63</v>
      </c>
      <c r="K91" s="26">
        <f>SUM(E91:J91)</f>
        <v>23143575.0</v>
      </c>
      <c r="L91" s="26">
        <f>D91-K91</f>
        <v>0.0</v>
      </c>
      <c r="M91" s="24" t="s">
        <v>1617</v>
      </c>
      <c r="N91" s="24" t="str">
        <f>C91&amp;"|"&amp;A91</f>
        <v>001|2456529</v>
      </c>
    </row>
    <row r="92" spans="1:14">
      <c r="A92" s="24" t="s">
        <v>367</v>
      </c>
      <c r="B92" s="24" t="s">
        <v>369</v>
      </c>
      <c r="C92" s="24" t="s">
        <v>54</v>
      </c>
      <c r="D92" s="25">
        <v>14991498</v>
      </c>
      <c r="E92" s="25">
        <v>0</v>
      </c>
      <c r="F92" s="25">
        <v>0</v>
      </c>
      <c r="G92" s="25">
        <v>2500000</v>
      </c>
      <c r="H92" s="25">
        <v>12491498</v>
      </c>
      <c r="I92" s="25">
        <v>0</v>
      </c>
      <c r="J92" s="24" t="s">
        <v>63</v>
      </c>
      <c r="K92" s="26">
        <f>SUM(E92:J92)</f>
        <v>14991498.0</v>
      </c>
      <c r="L92" s="26">
        <f>D92-K92</f>
        <v>0.0</v>
      </c>
      <c r="M92" s="24" t="s">
        <v>1617</v>
      </c>
      <c r="N92" s="24" t="str">
        <f>C92&amp;"|"&amp;A92</f>
        <v>001|2343199</v>
      </c>
    </row>
    <row r="93" spans="1:14">
      <c r="A93" s="24" t="s">
        <v>370</v>
      </c>
      <c r="B93" s="24" t="s">
        <v>372</v>
      </c>
      <c r="C93" s="24" t="s">
        <v>54</v>
      </c>
      <c r="D93" s="25">
        <v>5270087</v>
      </c>
      <c r="E93" s="25">
        <v>0</v>
      </c>
      <c r="F93" s="25">
        <v>0</v>
      </c>
      <c r="G93" s="25">
        <v>5270087</v>
      </c>
      <c r="H93" s="25">
        <v>0</v>
      </c>
      <c r="I93" s="25">
        <v>0</v>
      </c>
      <c r="J93" s="24" t="s">
        <v>63</v>
      </c>
      <c r="K93" s="26">
        <f>SUM(E93:J93)</f>
        <v>5270087.0</v>
      </c>
      <c r="L93" s="26">
        <f>D93-K93</f>
        <v>0.0</v>
      </c>
      <c r="M93" s="24" t="s">
        <v>1617</v>
      </c>
      <c r="N93" s="24" t="str">
        <f>C93&amp;"|"&amp;A93</f>
        <v>001|2399543</v>
      </c>
    </row>
    <row r="94" spans="1:14">
      <c r="A94" s="24" t="s">
        <v>373</v>
      </c>
      <c r="B94" s="24" t="s">
        <v>375</v>
      </c>
      <c r="C94" s="24" t="s">
        <v>54</v>
      </c>
      <c r="D94" s="25">
        <v>6770858</v>
      </c>
      <c r="E94" s="25">
        <v>0</v>
      </c>
      <c r="F94" s="25">
        <v>0</v>
      </c>
      <c r="G94" s="25">
        <v>6770858</v>
      </c>
      <c r="H94" s="25">
        <v>0</v>
      </c>
      <c r="I94" s="25">
        <v>0</v>
      </c>
      <c r="J94" s="24" t="s">
        <v>63</v>
      </c>
      <c r="K94" s="26">
        <f>SUM(E94:J94)</f>
        <v>6770858.0</v>
      </c>
      <c r="L94" s="26">
        <f>D94-K94</f>
        <v>0.0</v>
      </c>
      <c r="M94" s="24" t="s">
        <v>1617</v>
      </c>
      <c r="N94" s="24" t="str">
        <f>C94&amp;"|"&amp;A94</f>
        <v>001|2591951</v>
      </c>
    </row>
    <row r="95" spans="1:14">
      <c r="A95" s="24" t="s">
        <v>376</v>
      </c>
      <c r="B95" s="24" t="s">
        <v>378</v>
      </c>
      <c r="C95" s="24" t="s">
        <v>54</v>
      </c>
      <c r="D95" s="25">
        <v>2308286</v>
      </c>
      <c r="E95" s="25">
        <v>0</v>
      </c>
      <c r="F95" s="25">
        <v>0</v>
      </c>
      <c r="G95" s="25">
        <v>2308286</v>
      </c>
      <c r="H95" s="25">
        <v>0</v>
      </c>
      <c r="I95" s="25">
        <v>0</v>
      </c>
      <c r="J95" s="24" t="s">
        <v>63</v>
      </c>
      <c r="K95" s="26">
        <f>SUM(E95:J95)</f>
        <v>2308286.0</v>
      </c>
      <c r="L95" s="26">
        <f>D95-K95</f>
        <v>0.0</v>
      </c>
      <c r="M95" s="24" t="s">
        <v>1617</v>
      </c>
      <c r="N95" s="24" t="str">
        <f>C95&amp;"|"&amp;A95</f>
        <v>001|2602163</v>
      </c>
    </row>
    <row r="96" spans="1:14">
      <c r="A96" s="24" t="s">
        <v>379</v>
      </c>
      <c r="B96" s="24" t="s">
        <v>381</v>
      </c>
      <c r="C96" s="24" t="s">
        <v>54</v>
      </c>
      <c r="D96" s="25">
        <v>1827737</v>
      </c>
      <c r="E96" s="25">
        <v>0</v>
      </c>
      <c r="F96" s="25">
        <v>0</v>
      </c>
      <c r="G96" s="25">
        <v>1827737</v>
      </c>
      <c r="H96" s="25">
        <v>0</v>
      </c>
      <c r="I96" s="25">
        <v>0</v>
      </c>
      <c r="J96" s="24" t="s">
        <v>63</v>
      </c>
      <c r="K96" s="26">
        <f>SUM(E96:J96)</f>
        <v>1827737.0</v>
      </c>
      <c r="L96" s="26">
        <f>D96-K96</f>
        <v>0.0</v>
      </c>
      <c r="M96" s="24" t="s">
        <v>1617</v>
      </c>
      <c r="N96" s="24" t="str">
        <f>C96&amp;"|"&amp;A96</f>
        <v>001|2511009</v>
      </c>
    </row>
    <row r="97" spans="1:14">
      <c r="A97" s="24" t="s">
        <v>382</v>
      </c>
      <c r="B97" s="24" t="s">
        <v>384</v>
      </c>
      <c r="C97" s="24" t="s">
        <v>54</v>
      </c>
      <c r="D97" s="25">
        <v>4106961</v>
      </c>
      <c r="E97" s="25">
        <v>0</v>
      </c>
      <c r="F97" s="25">
        <v>0</v>
      </c>
      <c r="G97" s="25">
        <v>4106961</v>
      </c>
      <c r="H97" s="25">
        <v>0</v>
      </c>
      <c r="I97" s="25">
        <v>0</v>
      </c>
      <c r="J97" s="24" t="s">
        <v>63</v>
      </c>
      <c r="K97" s="26">
        <f>SUM(E97:J97)</f>
        <v>4106961.0</v>
      </c>
      <c r="L97" s="26">
        <f>D97-K97</f>
        <v>0.0</v>
      </c>
      <c r="M97" s="24" t="s">
        <v>1617</v>
      </c>
      <c r="N97" s="24" t="str">
        <f>C97&amp;"|"&amp;A97</f>
        <v>001|2634040</v>
      </c>
    </row>
    <row r="98" spans="1:14">
      <c r="A98" s="24" t="s">
        <v>385</v>
      </c>
      <c r="B98" s="24" t="s">
        <v>387</v>
      </c>
      <c r="C98" s="24" t="s">
        <v>54</v>
      </c>
      <c r="D98" s="25">
        <v>7751873</v>
      </c>
      <c r="E98" s="25">
        <v>0</v>
      </c>
      <c r="F98" s="25">
        <v>0</v>
      </c>
      <c r="G98" s="25">
        <v>6734873</v>
      </c>
      <c r="H98" s="25">
        <v>1017000</v>
      </c>
      <c r="I98" s="25">
        <v>0</v>
      </c>
      <c r="J98" s="24" t="s">
        <v>63</v>
      </c>
      <c r="K98" s="26">
        <f>SUM(E98:J98)</f>
        <v>7751873.0</v>
      </c>
      <c r="L98" s="26">
        <f>D98-K98</f>
        <v>0.0</v>
      </c>
      <c r="M98" s="24" t="s">
        <v>1617</v>
      </c>
      <c r="N98" s="24" t="str">
        <f>C98&amp;"|"&amp;A98</f>
        <v>001|2387422</v>
      </c>
    </row>
    <row r="99" spans="1:14">
      <c r="A99" s="24" t="s">
        <v>388</v>
      </c>
      <c r="B99" s="24" t="s">
        <v>390</v>
      </c>
      <c r="C99" s="24" t="s">
        <v>54</v>
      </c>
      <c r="D99" s="25">
        <v>936343</v>
      </c>
      <c r="E99" s="25">
        <v>0</v>
      </c>
      <c r="F99" s="25">
        <v>0</v>
      </c>
      <c r="G99" s="25">
        <v>936343</v>
      </c>
      <c r="H99" s="25">
        <v>0</v>
      </c>
      <c r="I99" s="25">
        <v>0</v>
      </c>
      <c r="J99" s="24" t="s">
        <v>63</v>
      </c>
      <c r="K99" s="26">
        <f>SUM(E99:J99)</f>
        <v>936343.0</v>
      </c>
      <c r="L99" s="26">
        <f>D99-K99</f>
        <v>0.0</v>
      </c>
      <c r="M99" s="24" t="s">
        <v>1617</v>
      </c>
      <c r="N99" s="24" t="str">
        <f>C99&amp;"|"&amp;A99</f>
        <v>001|2527184</v>
      </c>
    </row>
    <row r="100" spans="1:14">
      <c r="A100" s="24" t="s">
        <v>391</v>
      </c>
      <c r="B100" s="24" t="s">
        <v>393</v>
      </c>
      <c r="C100" s="24" t="s">
        <v>54</v>
      </c>
      <c r="D100" s="25">
        <v>565870</v>
      </c>
      <c r="E100" s="25">
        <v>0</v>
      </c>
      <c r="F100" s="25">
        <v>0</v>
      </c>
      <c r="G100" s="25">
        <v>565870</v>
      </c>
      <c r="H100" s="25">
        <v>0</v>
      </c>
      <c r="I100" s="25">
        <v>0</v>
      </c>
      <c r="J100" s="24" t="s">
        <v>63</v>
      </c>
      <c r="K100" s="26">
        <f>SUM(E100:J100)</f>
        <v>565870.0</v>
      </c>
      <c r="L100" s="26">
        <f>D100-K100</f>
        <v>0.0</v>
      </c>
      <c r="M100" s="24" t="s">
        <v>1617</v>
      </c>
      <c r="N100" s="24" t="str">
        <f>C100&amp;"|"&amp;A100</f>
        <v>001|2519621</v>
      </c>
    </row>
    <row r="101" spans="1:14">
      <c r="A101" s="24" t="s">
        <v>394</v>
      </c>
      <c r="B101" s="24" t="s">
        <v>396</v>
      </c>
      <c r="C101" s="24" t="s">
        <v>54</v>
      </c>
      <c r="D101" s="25">
        <v>1075076</v>
      </c>
      <c r="E101" s="25">
        <v>0</v>
      </c>
      <c r="F101" s="25">
        <v>0</v>
      </c>
      <c r="G101" s="25">
        <v>1075076</v>
      </c>
      <c r="H101" s="25">
        <v>0</v>
      </c>
      <c r="I101" s="25">
        <v>0</v>
      </c>
      <c r="J101" s="24" t="s">
        <v>63</v>
      </c>
      <c r="K101" s="26">
        <f>SUM(E101:J101)</f>
        <v>1075076.0</v>
      </c>
      <c r="L101" s="26">
        <f>D101-K101</f>
        <v>0.0</v>
      </c>
      <c r="M101" s="24" t="s">
        <v>1617</v>
      </c>
      <c r="N101" s="24" t="str">
        <f>C101&amp;"|"&amp;A101</f>
        <v>001|2645446</v>
      </c>
    </row>
    <row r="102" spans="1:14">
      <c r="A102" s="24" t="s">
        <v>398</v>
      </c>
      <c r="B102" s="24" t="s">
        <v>400</v>
      </c>
      <c r="C102" s="24" t="s">
        <v>54</v>
      </c>
      <c r="D102" s="25">
        <v>4474004</v>
      </c>
      <c r="E102" s="25">
        <v>0</v>
      </c>
      <c r="F102" s="25">
        <v>0</v>
      </c>
      <c r="G102" s="25">
        <v>4474004</v>
      </c>
      <c r="H102" s="25">
        <v>0</v>
      </c>
      <c r="I102" s="25">
        <v>0</v>
      </c>
      <c r="J102" s="24" t="s">
        <v>63</v>
      </c>
      <c r="K102" s="26">
        <f>SUM(E102:J102)</f>
        <v>4474004.0</v>
      </c>
      <c r="L102" s="26">
        <f>D102-K102</f>
        <v>0.0</v>
      </c>
      <c r="M102" s="24" t="s">
        <v>1617</v>
      </c>
      <c r="N102" s="24" t="str">
        <f>C102&amp;"|"&amp;A102</f>
        <v>001|2646109</v>
      </c>
    </row>
    <row r="103" spans="1:14">
      <c r="A103" s="24" t="s">
        <v>401</v>
      </c>
      <c r="B103" s="24" t="s">
        <v>403</v>
      </c>
      <c r="C103" s="24" t="s">
        <v>54</v>
      </c>
      <c r="D103" s="25">
        <v>900000</v>
      </c>
      <c r="E103" s="25">
        <v>0</v>
      </c>
      <c r="F103" s="25">
        <v>0</v>
      </c>
      <c r="G103" s="25">
        <v>900000</v>
      </c>
      <c r="H103" s="25">
        <v>0</v>
      </c>
      <c r="I103" s="25">
        <v>0</v>
      </c>
      <c r="J103" s="24" t="s">
        <v>63</v>
      </c>
      <c r="K103" s="26">
        <f>SUM(E103:J103)</f>
        <v>900000.0</v>
      </c>
      <c r="L103" s="26">
        <f>D103-K103</f>
        <v>0.0</v>
      </c>
      <c r="M103" s="24" t="s">
        <v>1617</v>
      </c>
      <c r="N103" s="24" t="str">
        <f>C103&amp;"|"&amp;A103</f>
        <v>001|2630072</v>
      </c>
    </row>
    <row r="104" spans="1:14">
      <c r="A104" s="24" t="s">
        <v>405</v>
      </c>
      <c r="B104" s="24" t="s">
        <v>407</v>
      </c>
      <c r="C104" s="24" t="s">
        <v>54</v>
      </c>
      <c r="D104" s="25">
        <v>18692228</v>
      </c>
      <c r="E104" s="25">
        <v>0</v>
      </c>
      <c r="F104" s="25">
        <v>0</v>
      </c>
      <c r="G104" s="25">
        <v>18692228</v>
      </c>
      <c r="H104" s="25">
        <v>0</v>
      </c>
      <c r="I104" s="25">
        <v>0</v>
      </c>
      <c r="J104" s="24" t="s">
        <v>63</v>
      </c>
      <c r="K104" s="26">
        <f>SUM(E104:J104)</f>
        <v>18692228.0</v>
      </c>
      <c r="L104" s="26">
        <f>D104-K104</f>
        <v>0.0</v>
      </c>
      <c r="M104" s="24" t="s">
        <v>1617</v>
      </c>
      <c r="N104" s="24" t="str">
        <f>C104&amp;"|"&amp;A104</f>
        <v>001|2393398</v>
      </c>
    </row>
    <row r="105" spans="1:14">
      <c r="A105" s="24" t="s">
        <v>409</v>
      </c>
      <c r="B105" s="24" t="s">
        <v>411</v>
      </c>
      <c r="C105" s="24" t="s">
        <v>54</v>
      </c>
      <c r="D105" s="25">
        <v>4437995</v>
      </c>
      <c r="E105" s="25">
        <v>0</v>
      </c>
      <c r="F105" s="25">
        <v>0</v>
      </c>
      <c r="G105" s="25">
        <v>4437995</v>
      </c>
      <c r="H105" s="25">
        <v>0</v>
      </c>
      <c r="I105" s="25">
        <v>0</v>
      </c>
      <c r="J105" s="24" t="s">
        <v>63</v>
      </c>
      <c r="K105" s="26">
        <f>SUM(E105:J105)</f>
        <v>4437995.0</v>
      </c>
      <c r="L105" s="26">
        <f>D105-K105</f>
        <v>0.0</v>
      </c>
      <c r="M105" s="24" t="s">
        <v>1617</v>
      </c>
      <c r="N105" s="24" t="str">
        <f>C105&amp;"|"&amp;A105</f>
        <v>001|2500458</v>
      </c>
    </row>
    <row r="106" spans="1:14">
      <c r="A106" s="24" t="s">
        <v>412</v>
      </c>
      <c r="B106" s="24" t="s">
        <v>414</v>
      </c>
      <c r="C106" s="24" t="s">
        <v>54</v>
      </c>
      <c r="D106" s="25">
        <v>4265759</v>
      </c>
      <c r="E106" s="25">
        <v>0</v>
      </c>
      <c r="F106" s="25">
        <v>0</v>
      </c>
      <c r="G106" s="25">
        <v>4265759</v>
      </c>
      <c r="H106" s="25">
        <v>0</v>
      </c>
      <c r="I106" s="25">
        <v>0</v>
      </c>
      <c r="J106" s="24" t="s">
        <v>63</v>
      </c>
      <c r="K106" s="26">
        <f>SUM(E106:J106)</f>
        <v>4265759.0</v>
      </c>
      <c r="L106" s="26">
        <f>D106-K106</f>
        <v>0.0</v>
      </c>
      <c r="M106" s="24" t="s">
        <v>1617</v>
      </c>
      <c r="N106" s="24" t="str">
        <f>C106&amp;"|"&amp;A106</f>
        <v>001|2453224</v>
      </c>
    </row>
    <row r="107" spans="1:14">
      <c r="A107" s="24" t="s">
        <v>415</v>
      </c>
      <c r="B107" s="24" t="s">
        <v>417</v>
      </c>
      <c r="C107" s="24" t="s">
        <v>54</v>
      </c>
      <c r="D107" s="25">
        <v>2342684</v>
      </c>
      <c r="E107" s="25">
        <v>0</v>
      </c>
      <c r="F107" s="25">
        <v>0</v>
      </c>
      <c r="G107" s="25">
        <v>2342684</v>
      </c>
      <c r="H107" s="25">
        <v>0</v>
      </c>
      <c r="I107" s="25">
        <v>0</v>
      </c>
      <c r="J107" s="24" t="s">
        <v>63</v>
      </c>
      <c r="K107" s="26">
        <f>SUM(E107:J107)</f>
        <v>2342684.0</v>
      </c>
      <c r="L107" s="26">
        <f>D107-K107</f>
        <v>0.0</v>
      </c>
      <c r="M107" s="24" t="s">
        <v>1617</v>
      </c>
      <c r="N107" s="24" t="str">
        <f>C107&amp;"|"&amp;A107</f>
        <v>001|2250382</v>
      </c>
    </row>
    <row r="108" spans="1:14">
      <c r="A108" s="24" t="s">
        <v>418</v>
      </c>
      <c r="B108" s="24" t="s">
        <v>420</v>
      </c>
      <c r="C108" s="24" t="s">
        <v>54</v>
      </c>
      <c r="D108" s="25">
        <v>4026127</v>
      </c>
      <c r="E108" s="25">
        <v>0</v>
      </c>
      <c r="F108" s="25">
        <v>0</v>
      </c>
      <c r="G108" s="25">
        <v>4026127</v>
      </c>
      <c r="H108" s="25">
        <v>0</v>
      </c>
      <c r="I108" s="25">
        <v>0</v>
      </c>
      <c r="J108" s="24" t="s">
        <v>63</v>
      </c>
      <c r="K108" s="26">
        <f>SUM(E108:J108)</f>
        <v>4026127.0</v>
      </c>
      <c r="L108" s="26">
        <f>D108-K108</f>
        <v>0.0</v>
      </c>
      <c r="M108" s="24" t="s">
        <v>1617</v>
      </c>
      <c r="N108" s="24" t="str">
        <f>C108&amp;"|"&amp;A108</f>
        <v>001|2344253</v>
      </c>
    </row>
    <row r="109" spans="1:14">
      <c r="A109" s="24" t="s">
        <v>421</v>
      </c>
      <c r="B109" s="24" t="s">
        <v>423</v>
      </c>
      <c r="C109" s="24" t="s">
        <v>54</v>
      </c>
      <c r="D109" s="25">
        <v>4927527</v>
      </c>
      <c r="E109" s="25">
        <v>0</v>
      </c>
      <c r="F109" s="25">
        <v>1627515</v>
      </c>
      <c r="G109" s="25">
        <v>3300012</v>
      </c>
      <c r="H109" s="25">
        <v>0</v>
      </c>
      <c r="I109" s="25">
        <v>0</v>
      </c>
      <c r="J109" s="24" t="s">
        <v>63</v>
      </c>
      <c r="K109" s="26">
        <f>SUM(E109:J109)</f>
        <v>4927527.0</v>
      </c>
      <c r="L109" s="26">
        <f>D109-K109</f>
        <v>0.0</v>
      </c>
      <c r="M109" s="24" t="s">
        <v>1617</v>
      </c>
      <c r="N109" s="24" t="str">
        <f>C109&amp;"|"&amp;A109</f>
        <v>001|2385051</v>
      </c>
    </row>
    <row r="110" spans="1:14">
      <c r="A110" s="24" t="s">
        <v>424</v>
      </c>
      <c r="B110" s="24" t="s">
        <v>426</v>
      </c>
      <c r="C110" s="24" t="s">
        <v>54</v>
      </c>
      <c r="D110" s="25">
        <v>1479604</v>
      </c>
      <c r="E110" s="25">
        <v>0</v>
      </c>
      <c r="F110" s="25">
        <v>0</v>
      </c>
      <c r="G110" s="25">
        <v>1479604</v>
      </c>
      <c r="H110" s="25">
        <v>0</v>
      </c>
      <c r="I110" s="25">
        <v>0</v>
      </c>
      <c r="J110" s="24" t="s">
        <v>63</v>
      </c>
      <c r="K110" s="26">
        <f>SUM(E110:J110)</f>
        <v>1479604.0</v>
      </c>
      <c r="L110" s="26">
        <f>D110-K110</f>
        <v>0.0</v>
      </c>
      <c r="M110" s="24" t="s">
        <v>1617</v>
      </c>
      <c r="N110" s="24" t="str">
        <f>C110&amp;"|"&amp;A110</f>
        <v>001|2566572</v>
      </c>
    </row>
    <row r="111" spans="1:14">
      <c r="A111" s="24" t="s">
        <v>427</v>
      </c>
      <c r="B111" s="24" t="s">
        <v>429</v>
      </c>
      <c r="C111" s="24" t="s">
        <v>54</v>
      </c>
      <c r="D111" s="25">
        <v>1038097</v>
      </c>
      <c r="E111" s="25">
        <v>0</v>
      </c>
      <c r="F111" s="25">
        <v>0</v>
      </c>
      <c r="G111" s="25">
        <v>1038097</v>
      </c>
      <c r="H111" s="25">
        <v>0</v>
      </c>
      <c r="I111" s="25">
        <v>0</v>
      </c>
      <c r="J111" s="24" t="s">
        <v>63</v>
      </c>
      <c r="K111" s="26">
        <f>SUM(E111:J111)</f>
        <v>1038097.0</v>
      </c>
      <c r="L111" s="26">
        <f>D111-K111</f>
        <v>0.0</v>
      </c>
      <c r="M111" s="24" t="s">
        <v>1617</v>
      </c>
      <c r="N111" s="24" t="str">
        <f>C111&amp;"|"&amp;A111</f>
        <v>001|2501244</v>
      </c>
    </row>
    <row r="112" spans="1:14">
      <c r="A112" s="24" t="s">
        <v>430</v>
      </c>
      <c r="B112" s="24" t="s">
        <v>432</v>
      </c>
      <c r="C112" s="24" t="s">
        <v>54</v>
      </c>
      <c r="D112" s="25">
        <v>0</v>
      </c>
      <c r="E112" s="25">
        <v>0</v>
      </c>
      <c r="F112" s="25">
        <v>0</v>
      </c>
      <c r="G112" s="25">
        <v>0</v>
      </c>
      <c r="H112" s="25">
        <v>0</v>
      </c>
      <c r="I112" s="25">
        <v>0</v>
      </c>
      <c r="J112" s="24" t="s">
        <v>63</v>
      </c>
      <c r="K112" s="26">
        <f>SUM(E112:J112)</f>
        <v>0.0</v>
      </c>
      <c r="L112" s="26">
        <f>D112-K112</f>
        <v>0.0</v>
      </c>
      <c r="M112" s="24" t="s">
        <v>1617</v>
      </c>
      <c r="N112" s="24" t="str">
        <f>C112&amp;"|"&amp;A112</f>
        <v>001|2194501</v>
      </c>
    </row>
    <row r="113" spans="1:14">
      <c r="A113" s="24" t="s">
        <v>433</v>
      </c>
      <c r="B113" s="24" t="s">
        <v>435</v>
      </c>
      <c r="C113" s="24" t="s">
        <v>54</v>
      </c>
      <c r="D113" s="25">
        <v>56150305</v>
      </c>
      <c r="E113" s="25">
        <v>56150305</v>
      </c>
      <c r="F113" s="25">
        <v>0</v>
      </c>
      <c r="G113" s="25">
        <v>0</v>
      </c>
      <c r="H113" s="25">
        <v>0</v>
      </c>
      <c r="I113" s="25">
        <v>0</v>
      </c>
      <c r="J113" s="24" t="s">
        <v>63</v>
      </c>
      <c r="K113" s="26">
        <f>SUM(E113:J113)</f>
        <v>56150305.0</v>
      </c>
      <c r="L113" s="26">
        <f>D113-K113</f>
        <v>0.0</v>
      </c>
      <c r="M113" s="24" t="s">
        <v>1617</v>
      </c>
      <c r="N113" s="24" t="str">
        <f>C113&amp;"|"&amp;A113</f>
        <v>001|2251136</v>
      </c>
    </row>
    <row r="114" spans="1:14">
      <c r="A114" s="24" t="s">
        <v>436</v>
      </c>
      <c r="B114" s="24" t="s">
        <v>438</v>
      </c>
      <c r="C114" s="24" t="s">
        <v>54</v>
      </c>
      <c r="D114" s="25">
        <v>8766661</v>
      </c>
      <c r="E114" s="25">
        <v>0</v>
      </c>
      <c r="F114" s="25">
        <v>0</v>
      </c>
      <c r="G114" s="25">
        <v>8766661</v>
      </c>
      <c r="H114" s="25">
        <v>0</v>
      </c>
      <c r="I114" s="25">
        <v>0</v>
      </c>
      <c r="J114" s="24" t="s">
        <v>63</v>
      </c>
      <c r="K114" s="26">
        <f>SUM(E114:J114)</f>
        <v>8766661.0</v>
      </c>
      <c r="L114" s="26">
        <f>D114-K114</f>
        <v>0.0</v>
      </c>
      <c r="M114" s="24" t="s">
        <v>1617</v>
      </c>
      <c r="N114" s="24" t="str">
        <f>C114&amp;"|"&amp;A114</f>
        <v>001|2490087</v>
      </c>
    </row>
    <row r="115" spans="1:14">
      <c r="A115" s="24" t="s">
        <v>439</v>
      </c>
      <c r="B115" s="24" t="s">
        <v>441</v>
      </c>
      <c r="C115" s="24" t="s">
        <v>54</v>
      </c>
      <c r="D115" s="25">
        <v>18753537</v>
      </c>
      <c r="E115" s="25">
        <v>0</v>
      </c>
      <c r="F115" s="25">
        <v>17494338</v>
      </c>
      <c r="G115" s="25">
        <v>1259199</v>
      </c>
      <c r="H115" s="25">
        <v>0</v>
      </c>
      <c r="I115" s="25">
        <v>0</v>
      </c>
      <c r="J115" s="24" t="s">
        <v>63</v>
      </c>
      <c r="K115" s="26">
        <f>SUM(E115:J115)</f>
        <v>18753537.0</v>
      </c>
      <c r="L115" s="26">
        <f>D115-K115</f>
        <v>0.0</v>
      </c>
      <c r="M115" s="24" t="s">
        <v>1617</v>
      </c>
      <c r="N115" s="24" t="str">
        <f>C115&amp;"|"&amp;A115</f>
        <v>001|2357089</v>
      </c>
    </row>
    <row r="116" spans="1:14">
      <c r="A116" s="24" t="s">
        <v>442</v>
      </c>
      <c r="B116" s="24" t="s">
        <v>444</v>
      </c>
      <c r="C116" s="24" t="s">
        <v>54</v>
      </c>
      <c r="D116" s="25">
        <v>17484286</v>
      </c>
      <c r="E116" s="25">
        <v>0</v>
      </c>
      <c r="F116" s="25">
        <v>16479574</v>
      </c>
      <c r="G116" s="25">
        <v>1004712</v>
      </c>
      <c r="H116" s="25">
        <v>0</v>
      </c>
      <c r="I116" s="25">
        <v>0</v>
      </c>
      <c r="J116" s="24" t="s">
        <v>63</v>
      </c>
      <c r="K116" s="26">
        <f>SUM(E116:J116)</f>
        <v>17484286.0</v>
      </c>
      <c r="L116" s="26">
        <f>D116-K116</f>
        <v>0.0</v>
      </c>
      <c r="M116" s="24" t="s">
        <v>1617</v>
      </c>
      <c r="N116" s="24" t="str">
        <f>C116&amp;"|"&amp;A116</f>
        <v>001|2435272</v>
      </c>
    </row>
    <row r="117" spans="1:14">
      <c r="A117" s="24" t="s">
        <v>445</v>
      </c>
      <c r="B117" s="24" t="s">
        <v>447</v>
      </c>
      <c r="C117" s="24" t="s">
        <v>54</v>
      </c>
      <c r="D117" s="25">
        <v>41519761</v>
      </c>
      <c r="E117" s="25">
        <v>0</v>
      </c>
      <c r="F117" s="25">
        <v>0</v>
      </c>
      <c r="G117" s="25">
        <v>7112293</v>
      </c>
      <c r="H117" s="25">
        <v>25711893</v>
      </c>
      <c r="I117" s="25">
        <v>8695575</v>
      </c>
      <c r="J117" s="24" t="s">
        <v>63</v>
      </c>
      <c r="K117" s="26">
        <f>SUM(E117:J117)</f>
        <v>41519761.0</v>
      </c>
      <c r="L117" s="26">
        <f>D117-K117</f>
        <v>0.0</v>
      </c>
      <c r="M117" s="24" t="s">
        <v>1617</v>
      </c>
      <c r="N117" s="24" t="str">
        <f>C117&amp;"|"&amp;A117</f>
        <v>001|2278822</v>
      </c>
    </row>
    <row r="118" spans="1:14">
      <c r="A118" s="24" t="s">
        <v>448</v>
      </c>
      <c r="B118" s="24" t="s">
        <v>450</v>
      </c>
      <c r="C118" s="24" t="s">
        <v>54</v>
      </c>
      <c r="D118" s="25">
        <v>966193</v>
      </c>
      <c r="E118" s="25">
        <v>0</v>
      </c>
      <c r="F118" s="25">
        <v>0</v>
      </c>
      <c r="G118" s="25">
        <v>966193</v>
      </c>
      <c r="H118" s="25">
        <v>0</v>
      </c>
      <c r="I118" s="25">
        <v>0</v>
      </c>
      <c r="J118" s="24" t="s">
        <v>63</v>
      </c>
      <c r="K118" s="26">
        <f>SUM(E118:J118)</f>
        <v>966193.0</v>
      </c>
      <c r="L118" s="26">
        <f>D118-K118</f>
        <v>0.0</v>
      </c>
      <c r="M118" s="24" t="s">
        <v>1617</v>
      </c>
      <c r="N118" s="24" t="str">
        <f>C118&amp;"|"&amp;A118</f>
        <v>001|2427364</v>
      </c>
    </row>
    <row r="119" spans="1:14">
      <c r="A119" s="24" t="s">
        <v>452</v>
      </c>
      <c r="B119" s="24" t="s">
        <v>454</v>
      </c>
      <c r="C119" s="24" t="s">
        <v>54</v>
      </c>
      <c r="D119" s="25">
        <v>4068561</v>
      </c>
      <c r="E119" s="25">
        <v>0</v>
      </c>
      <c r="F119" s="25">
        <v>0</v>
      </c>
      <c r="G119" s="25">
        <v>25106</v>
      </c>
      <c r="H119" s="25">
        <v>0</v>
      </c>
      <c r="I119" s="25">
        <v>4043455</v>
      </c>
      <c r="J119" s="24" t="s">
        <v>63</v>
      </c>
      <c r="K119" s="26">
        <f>SUM(E119:J119)</f>
        <v>4068561.0</v>
      </c>
      <c r="L119" s="26">
        <f>D119-K119</f>
        <v>0.0</v>
      </c>
      <c r="M119" s="24" t="s">
        <v>1617</v>
      </c>
      <c r="N119" s="24" t="str">
        <f>C119&amp;"|"&amp;A119</f>
        <v>001|2227389</v>
      </c>
    </row>
    <row r="120" spans="1:14">
      <c r="A120" s="24" t="s">
        <v>457</v>
      </c>
      <c r="B120" s="24" t="s">
        <v>459</v>
      </c>
      <c r="C120" s="24" t="s">
        <v>54</v>
      </c>
      <c r="D120" s="25">
        <v>1382457</v>
      </c>
      <c r="E120" s="25">
        <v>0</v>
      </c>
      <c r="F120" s="25">
        <v>0</v>
      </c>
      <c r="G120" s="25">
        <v>1382457</v>
      </c>
      <c r="H120" s="25">
        <v>0</v>
      </c>
      <c r="I120" s="25">
        <v>0</v>
      </c>
      <c r="J120" s="24" t="s">
        <v>63</v>
      </c>
      <c r="K120" s="26">
        <f>SUM(E120:J120)</f>
        <v>1382457.0</v>
      </c>
      <c r="L120" s="26">
        <f>D120-K120</f>
        <v>0.0</v>
      </c>
      <c r="M120" s="24" t="s">
        <v>1617</v>
      </c>
      <c r="N120" s="24" t="str">
        <f>C120&amp;"|"&amp;A120</f>
        <v>001|2657043</v>
      </c>
    </row>
    <row r="121" spans="1:14">
      <c r="A121" s="24" t="s">
        <v>461</v>
      </c>
      <c r="B121" s="24" t="s">
        <v>463</v>
      </c>
      <c r="C121" s="24" t="s">
        <v>54</v>
      </c>
      <c r="D121" s="25">
        <v>3866926</v>
      </c>
      <c r="E121" s="25">
        <v>0</v>
      </c>
      <c r="F121" s="25">
        <v>2305743</v>
      </c>
      <c r="G121" s="25">
        <v>1561183</v>
      </c>
      <c r="H121" s="25">
        <v>0</v>
      </c>
      <c r="I121" s="25">
        <v>0</v>
      </c>
      <c r="J121" s="24" t="s">
        <v>63</v>
      </c>
      <c r="K121" s="26">
        <f>SUM(E121:J121)</f>
        <v>3866926.0</v>
      </c>
      <c r="L121" s="26">
        <f>D121-K121</f>
        <v>0.0</v>
      </c>
      <c r="M121" s="24" t="s">
        <v>1617</v>
      </c>
      <c r="N121" s="24" t="str">
        <f>C121&amp;"|"&amp;A121</f>
        <v>001|2450812</v>
      </c>
    </row>
    <row r="122" spans="1:14">
      <c r="A122" s="24" t="s">
        <v>464</v>
      </c>
      <c r="B122" s="24" t="s">
        <v>466</v>
      </c>
      <c r="C122" s="24" t="s">
        <v>54</v>
      </c>
      <c r="D122" s="25">
        <v>407088</v>
      </c>
      <c r="E122" s="25">
        <v>0</v>
      </c>
      <c r="F122" s="25">
        <v>0</v>
      </c>
      <c r="G122" s="25">
        <v>407088</v>
      </c>
      <c r="H122" s="25">
        <v>0</v>
      </c>
      <c r="I122" s="25">
        <v>0</v>
      </c>
      <c r="J122" s="24" t="s">
        <v>63</v>
      </c>
      <c r="K122" s="26">
        <f>SUM(E122:J122)</f>
        <v>407088.0</v>
      </c>
      <c r="L122" s="26">
        <f>D122-K122</f>
        <v>0.0</v>
      </c>
      <c r="M122" s="24" t="s">
        <v>1617</v>
      </c>
      <c r="N122" s="24" t="str">
        <f>C122&amp;"|"&amp;A122</f>
        <v>001|2308220</v>
      </c>
    </row>
    <row r="123" spans="1:14">
      <c r="A123" s="24" t="s">
        <v>467</v>
      </c>
      <c r="B123" s="24" t="s">
        <v>469</v>
      </c>
      <c r="C123" s="24" t="s">
        <v>54</v>
      </c>
      <c r="D123" s="25">
        <v>3978899</v>
      </c>
      <c r="E123" s="25">
        <v>0</v>
      </c>
      <c r="F123" s="25">
        <v>0</v>
      </c>
      <c r="G123" s="25">
        <v>3978899</v>
      </c>
      <c r="H123" s="25">
        <v>0</v>
      </c>
      <c r="I123" s="25">
        <v>0</v>
      </c>
      <c r="J123" s="24" t="s">
        <v>63</v>
      </c>
      <c r="K123" s="26">
        <f>SUM(E123:J123)</f>
        <v>3978899.0</v>
      </c>
      <c r="L123" s="26">
        <f>D123-K123</f>
        <v>0.0</v>
      </c>
      <c r="M123" s="24" t="s">
        <v>1617</v>
      </c>
      <c r="N123" s="24" t="str">
        <f>C123&amp;"|"&amp;A123</f>
        <v>001|2447465</v>
      </c>
    </row>
    <row r="124" spans="1:14">
      <c r="A124" s="24" t="s">
        <v>470</v>
      </c>
      <c r="B124" s="24" t="s">
        <v>472</v>
      </c>
      <c r="C124" s="24" t="s">
        <v>54</v>
      </c>
      <c r="D124" s="25">
        <v>6912542</v>
      </c>
      <c r="E124" s="25">
        <v>0</v>
      </c>
      <c r="F124" s="25">
        <v>0</v>
      </c>
      <c r="G124" s="25">
        <v>6912542</v>
      </c>
      <c r="H124" s="25">
        <v>0</v>
      </c>
      <c r="I124" s="25">
        <v>0</v>
      </c>
      <c r="J124" s="24" t="s">
        <v>63</v>
      </c>
      <c r="K124" s="26">
        <f>SUM(E124:J124)</f>
        <v>6912542.0</v>
      </c>
      <c r="L124" s="26">
        <f>D124-K124</f>
        <v>0.0</v>
      </c>
      <c r="M124" s="24" t="s">
        <v>1617</v>
      </c>
      <c r="N124" s="24" t="str">
        <f>C124&amp;"|"&amp;A124</f>
        <v>001|2292669</v>
      </c>
    </row>
    <row r="125" spans="1:14">
      <c r="A125" s="24" t="s">
        <v>473</v>
      </c>
      <c r="B125" s="24" t="s">
        <v>475</v>
      </c>
      <c r="C125" s="24" t="s">
        <v>54</v>
      </c>
      <c r="D125" s="25">
        <v>3796481</v>
      </c>
      <c r="E125" s="25">
        <v>0</v>
      </c>
      <c r="F125" s="25">
        <v>0</v>
      </c>
      <c r="G125" s="25">
        <v>3796481</v>
      </c>
      <c r="H125" s="25">
        <v>0</v>
      </c>
      <c r="I125" s="25">
        <v>0</v>
      </c>
      <c r="J125" s="24" t="s">
        <v>63</v>
      </c>
      <c r="K125" s="26">
        <f>SUM(E125:J125)</f>
        <v>3796481.0</v>
      </c>
      <c r="L125" s="26">
        <f>D125-K125</f>
        <v>0.0</v>
      </c>
      <c r="M125" s="24" t="s">
        <v>1617</v>
      </c>
      <c r="N125" s="24" t="str">
        <f>C125&amp;"|"&amp;A125</f>
        <v>001|2645376</v>
      </c>
    </row>
    <row r="126" spans="1:14">
      <c r="A126" s="24" t="s">
        <v>477</v>
      </c>
      <c r="B126" s="24" t="s">
        <v>479</v>
      </c>
      <c r="C126" s="24" t="s">
        <v>54</v>
      </c>
      <c r="D126" s="25">
        <v>11000</v>
      </c>
      <c r="E126" s="25">
        <v>0</v>
      </c>
      <c r="F126" s="25">
        <v>0</v>
      </c>
      <c r="G126" s="25">
        <v>11000</v>
      </c>
      <c r="H126" s="25">
        <v>0</v>
      </c>
      <c r="I126" s="25">
        <v>0</v>
      </c>
      <c r="J126" s="24" t="s">
        <v>63</v>
      </c>
      <c r="K126" s="26">
        <f>SUM(E126:J126)</f>
        <v>11000.0</v>
      </c>
      <c r="L126" s="26">
        <f>D126-K126</f>
        <v>0.0</v>
      </c>
      <c r="M126" s="24" t="s">
        <v>1617</v>
      </c>
      <c r="N126" s="24" t="str">
        <f>C126&amp;"|"&amp;A126</f>
        <v>001|2492442</v>
      </c>
    </row>
    <row r="127" spans="1:14">
      <c r="A127" s="24" t="s">
        <v>482</v>
      </c>
      <c r="B127" s="24" t="s">
        <v>484</v>
      </c>
      <c r="C127" s="24" t="s">
        <v>54</v>
      </c>
      <c r="D127" s="25">
        <v>123816</v>
      </c>
      <c r="E127" s="25">
        <v>0</v>
      </c>
      <c r="F127" s="25">
        <v>0</v>
      </c>
      <c r="G127" s="25">
        <v>123816</v>
      </c>
      <c r="H127" s="25">
        <v>0</v>
      </c>
      <c r="I127" s="25">
        <v>0</v>
      </c>
      <c r="J127" s="24" t="s">
        <v>63</v>
      </c>
      <c r="K127" s="26">
        <f>SUM(E127:J127)</f>
        <v>123816.0</v>
      </c>
      <c r="L127" s="26">
        <f>D127-K127</f>
        <v>0.0</v>
      </c>
      <c r="M127" s="24" t="s">
        <v>1617</v>
      </c>
      <c r="N127" s="24" t="str">
        <f>C127&amp;"|"&amp;A127</f>
        <v>001|2699927</v>
      </c>
    </row>
    <row r="128" spans="1:14">
      <c r="A128" s="24" t="s">
        <v>485</v>
      </c>
      <c r="B128" s="24" t="s">
        <v>487</v>
      </c>
      <c r="C128" s="24" t="s">
        <v>54</v>
      </c>
      <c r="D128" s="25">
        <v>0</v>
      </c>
      <c r="E128" s="25">
        <v>0</v>
      </c>
      <c r="F128" s="25">
        <v>0</v>
      </c>
      <c r="G128" s="25">
        <v>0</v>
      </c>
      <c r="H128" s="25">
        <v>0</v>
      </c>
      <c r="I128" s="25">
        <v>0</v>
      </c>
      <c r="J128" s="24" t="s">
        <v>63</v>
      </c>
      <c r="K128" s="26">
        <f>SUM(E128:J128)</f>
        <v>0.0</v>
      </c>
      <c r="L128" s="26">
        <f>D128-K128</f>
        <v>0.0</v>
      </c>
      <c r="M128" s="24" t="s">
        <v>1617</v>
      </c>
      <c r="N128" s="24" t="str">
        <f>C128&amp;"|"&amp;A128</f>
        <v>001|2719323</v>
      </c>
    </row>
    <row r="129" spans="1:14">
      <c r="A129" s="24" t="s">
        <v>489</v>
      </c>
      <c r="B129" s="24" t="s">
        <v>491</v>
      </c>
      <c r="C129" s="24" t="s">
        <v>54</v>
      </c>
      <c r="D129" s="25">
        <v>150000</v>
      </c>
      <c r="E129" s="25">
        <v>0</v>
      </c>
      <c r="F129" s="25">
        <v>0</v>
      </c>
      <c r="G129" s="25">
        <v>0</v>
      </c>
      <c r="H129" s="25">
        <v>150000</v>
      </c>
      <c r="I129" s="25">
        <v>0</v>
      </c>
      <c r="J129" s="24" t="s">
        <v>63</v>
      </c>
      <c r="K129" s="26">
        <f>SUM(E129:J129)</f>
        <v>150000.0</v>
      </c>
      <c r="L129" s="26">
        <f>D129-K129</f>
        <v>0.0</v>
      </c>
      <c r="M129" s="24" t="s">
        <v>1617</v>
      </c>
      <c r="N129" s="24" t="str">
        <f>C129&amp;"|"&amp;A129</f>
        <v>001|2681074</v>
      </c>
    </row>
    <row r="130" spans="1:14">
      <c r="A130" s="24" t="s">
        <v>492</v>
      </c>
      <c r="B130" s="24" t="s">
        <v>494</v>
      </c>
      <c r="C130" s="24" t="s">
        <v>54</v>
      </c>
      <c r="D130" s="25">
        <v>57442</v>
      </c>
      <c r="E130" s="25">
        <v>0</v>
      </c>
      <c r="F130" s="25">
        <v>0</v>
      </c>
      <c r="G130" s="25">
        <v>57442</v>
      </c>
      <c r="H130" s="25">
        <v>0</v>
      </c>
      <c r="I130" s="25">
        <v>0</v>
      </c>
      <c r="J130" s="24" t="s">
        <v>63</v>
      </c>
      <c r="K130" s="26">
        <f>SUM(E130:J130)</f>
        <v>57442.0</v>
      </c>
      <c r="L130" s="26">
        <f>D130-K130</f>
        <v>0.0</v>
      </c>
      <c r="M130" s="24" t="s">
        <v>1617</v>
      </c>
      <c r="N130" s="24" t="str">
        <f>C130&amp;"|"&amp;A130</f>
        <v>001|2662467</v>
      </c>
    </row>
    <row r="131" spans="1:14">
      <c r="A131" s="24" t="s">
        <v>495</v>
      </c>
      <c r="B131" s="24" t="s">
        <v>497</v>
      </c>
      <c r="C131" s="24" t="s">
        <v>54</v>
      </c>
      <c r="D131" s="25">
        <v>53010</v>
      </c>
      <c r="E131" s="25">
        <v>0</v>
      </c>
      <c r="F131" s="25">
        <v>0</v>
      </c>
      <c r="G131" s="25">
        <v>53010</v>
      </c>
      <c r="H131" s="25">
        <v>0</v>
      </c>
      <c r="I131" s="25">
        <v>0</v>
      </c>
      <c r="J131" s="24" t="s">
        <v>63</v>
      </c>
      <c r="K131" s="26">
        <f>SUM(E131:J131)</f>
        <v>53010.0</v>
      </c>
      <c r="L131" s="26">
        <f>D131-K131</f>
        <v>0.0</v>
      </c>
      <c r="M131" s="24" t="s">
        <v>1617</v>
      </c>
      <c r="N131" s="24" t="str">
        <f>C131&amp;"|"&amp;A131</f>
        <v>001|2650268</v>
      </c>
    </row>
    <row r="132" spans="1:14">
      <c r="A132" s="24" t="s">
        <v>498</v>
      </c>
      <c r="B132" s="24" t="s">
        <v>500</v>
      </c>
      <c r="C132" s="24" t="s">
        <v>54</v>
      </c>
      <c r="D132" s="25">
        <v>40486</v>
      </c>
      <c r="E132" s="25">
        <v>0</v>
      </c>
      <c r="F132" s="25">
        <v>0</v>
      </c>
      <c r="G132" s="25">
        <v>40486</v>
      </c>
      <c r="H132" s="25">
        <v>0</v>
      </c>
      <c r="I132" s="25">
        <v>0</v>
      </c>
      <c r="J132" s="24" t="s">
        <v>63</v>
      </c>
      <c r="K132" s="26">
        <f>SUM(E132:J132)</f>
        <v>40486.0</v>
      </c>
      <c r="L132" s="26">
        <f>D132-K132</f>
        <v>0.0</v>
      </c>
      <c r="M132" s="24" t="s">
        <v>1617</v>
      </c>
      <c r="N132" s="24" t="str">
        <f>C132&amp;"|"&amp;A132</f>
        <v>001|2652473</v>
      </c>
    </row>
    <row r="133" spans="1:14">
      <c r="A133" s="24" t="s">
        <v>501</v>
      </c>
      <c r="B133" s="24" t="s">
        <v>503</v>
      </c>
      <c r="C133" s="24" t="s">
        <v>54</v>
      </c>
      <c r="D133" s="25">
        <v>350000</v>
      </c>
      <c r="E133" s="25">
        <v>0</v>
      </c>
      <c r="F133" s="25">
        <v>0</v>
      </c>
      <c r="G133" s="25">
        <v>350000</v>
      </c>
      <c r="H133" s="25">
        <v>0</v>
      </c>
      <c r="I133" s="25">
        <v>0</v>
      </c>
      <c r="J133" s="24" t="s">
        <v>63</v>
      </c>
      <c r="K133" s="26">
        <f>SUM(E133:J133)</f>
        <v>350000.0</v>
      </c>
      <c r="L133" s="26">
        <f>D133-K133</f>
        <v>0.0</v>
      </c>
      <c r="M133" s="24" t="s">
        <v>1617</v>
      </c>
      <c r="N133" s="24" t="str">
        <f>C133&amp;"|"&amp;A133</f>
        <v>001|2681042</v>
      </c>
    </row>
    <row r="134" spans="1:14">
      <c r="A134" s="24" t="s">
        <v>504</v>
      </c>
      <c r="B134" s="24" t="s">
        <v>506</v>
      </c>
      <c r="C134" s="24" t="s">
        <v>54</v>
      </c>
      <c r="D134" s="25">
        <v>81646</v>
      </c>
      <c r="E134" s="25">
        <v>0</v>
      </c>
      <c r="F134" s="25">
        <v>0</v>
      </c>
      <c r="G134" s="25">
        <v>81646</v>
      </c>
      <c r="H134" s="25">
        <v>0</v>
      </c>
      <c r="I134" s="25">
        <v>0</v>
      </c>
      <c r="J134" s="24" t="s">
        <v>63</v>
      </c>
      <c r="K134" s="26">
        <f>SUM(E134:J134)</f>
        <v>81646.0</v>
      </c>
      <c r="L134" s="26">
        <f>D134-K134</f>
        <v>0.0</v>
      </c>
      <c r="M134" s="24" t="s">
        <v>1617</v>
      </c>
      <c r="N134" s="24" t="str">
        <f>C134&amp;"|"&amp;A134</f>
        <v>001|2659573</v>
      </c>
    </row>
    <row r="135" spans="1:14">
      <c r="A135" s="24" t="s">
        <v>507</v>
      </c>
      <c r="B135" s="24" t="s">
        <v>509</v>
      </c>
      <c r="C135" s="24" t="s">
        <v>54</v>
      </c>
      <c r="D135" s="25">
        <v>292573</v>
      </c>
      <c r="E135" s="25">
        <v>0</v>
      </c>
      <c r="F135" s="25">
        <v>0</v>
      </c>
      <c r="G135" s="25">
        <v>292573</v>
      </c>
      <c r="H135" s="25">
        <v>0</v>
      </c>
      <c r="I135" s="25">
        <v>0</v>
      </c>
      <c r="J135" s="24" t="s">
        <v>63</v>
      </c>
      <c r="K135" s="26">
        <f>SUM(E135:J135)</f>
        <v>292573.0</v>
      </c>
      <c r="L135" s="26">
        <f>D135-K135</f>
        <v>0.0</v>
      </c>
      <c r="M135" s="24" t="s">
        <v>1617</v>
      </c>
      <c r="N135" s="24" t="str">
        <f>C135&amp;"|"&amp;A135</f>
        <v>001|2663002</v>
      </c>
    </row>
    <row r="136" spans="1:14">
      <c r="A136" s="24" t="s">
        <v>510</v>
      </c>
      <c r="B136" s="24" t="s">
        <v>512</v>
      </c>
      <c r="C136" s="24" t="s">
        <v>54</v>
      </c>
      <c r="D136" s="25">
        <v>645412</v>
      </c>
      <c r="E136" s="25">
        <v>0</v>
      </c>
      <c r="F136" s="25">
        <v>0</v>
      </c>
      <c r="G136" s="25">
        <v>645412</v>
      </c>
      <c r="H136" s="25">
        <v>0</v>
      </c>
      <c r="I136" s="25">
        <v>0</v>
      </c>
      <c r="J136" s="24" t="s">
        <v>63</v>
      </c>
      <c r="K136" s="26">
        <f>SUM(E136:J136)</f>
        <v>645412.0</v>
      </c>
      <c r="L136" s="26">
        <f>D136-K136</f>
        <v>0.0</v>
      </c>
      <c r="M136" s="24" t="s">
        <v>1617</v>
      </c>
      <c r="N136" s="24" t="str">
        <f>C136&amp;"|"&amp;A136</f>
        <v>001|2681028</v>
      </c>
    </row>
    <row r="137" spans="1:14">
      <c r="A137" s="24" t="s">
        <v>513</v>
      </c>
      <c r="B137" s="24" t="s">
        <v>515</v>
      </c>
      <c r="C137" s="24" t="s">
        <v>54</v>
      </c>
      <c r="D137" s="25">
        <v>45161</v>
      </c>
      <c r="E137" s="25">
        <v>0</v>
      </c>
      <c r="F137" s="25">
        <v>0</v>
      </c>
      <c r="G137" s="25">
        <v>45161</v>
      </c>
      <c r="H137" s="25">
        <v>0</v>
      </c>
      <c r="I137" s="25">
        <v>0</v>
      </c>
      <c r="J137" s="24" t="s">
        <v>63</v>
      </c>
      <c r="K137" s="26">
        <f>SUM(E137:J137)</f>
        <v>45161.0</v>
      </c>
      <c r="L137" s="26">
        <f>D137-K137</f>
        <v>0.0</v>
      </c>
      <c r="M137" s="24" t="s">
        <v>1617</v>
      </c>
      <c r="N137" s="24" t="str">
        <f>C137&amp;"|"&amp;A137</f>
        <v>001|2690009</v>
      </c>
    </row>
    <row r="138" spans="1:14">
      <c r="A138" s="24" t="s">
        <v>516</v>
      </c>
      <c r="B138" s="24" t="s">
        <v>518</v>
      </c>
      <c r="C138" s="24" t="s">
        <v>54</v>
      </c>
      <c r="D138" s="25">
        <v>58627</v>
      </c>
      <c r="E138" s="25">
        <v>0</v>
      </c>
      <c r="F138" s="25">
        <v>0</v>
      </c>
      <c r="G138" s="25">
        <v>58627</v>
      </c>
      <c r="H138" s="25">
        <v>0</v>
      </c>
      <c r="I138" s="25">
        <v>0</v>
      </c>
      <c r="J138" s="24" t="s">
        <v>63</v>
      </c>
      <c r="K138" s="26">
        <f>SUM(E138:J138)</f>
        <v>58627.0</v>
      </c>
      <c r="L138" s="26">
        <f>D138-K138</f>
        <v>0.0</v>
      </c>
      <c r="M138" s="24" t="s">
        <v>1617</v>
      </c>
      <c r="N138" s="24" t="str">
        <f>C138&amp;"|"&amp;A138</f>
        <v>001|2624292</v>
      </c>
    </row>
    <row r="139" spans="1:14">
      <c r="A139" s="24" t="s">
        <v>519</v>
      </c>
      <c r="B139" s="24" t="s">
        <v>521</v>
      </c>
      <c r="C139" s="24" t="s">
        <v>54</v>
      </c>
      <c r="D139" s="25">
        <v>0</v>
      </c>
      <c r="E139" s="25">
        <v>0</v>
      </c>
      <c r="F139" s="25">
        <v>0</v>
      </c>
      <c r="G139" s="25">
        <v>0</v>
      </c>
      <c r="H139" s="25">
        <v>0</v>
      </c>
      <c r="I139" s="25">
        <v>0</v>
      </c>
      <c r="J139" s="24" t="s">
        <v>63</v>
      </c>
      <c r="K139" s="26">
        <f>SUM(E139:J139)</f>
        <v>0.0</v>
      </c>
      <c r="L139" s="26">
        <f>D139-K139</f>
        <v>0.0</v>
      </c>
      <c r="M139" s="24" t="s">
        <v>1617</v>
      </c>
      <c r="N139" s="24" t="str">
        <f>C139&amp;"|"&amp;A139</f>
        <v>001|2196910</v>
      </c>
    </row>
    <row r="140" spans="1:14">
      <c r="A140" s="24" t="s">
        <v>522</v>
      </c>
      <c r="B140" s="24" t="s">
        <v>524</v>
      </c>
      <c r="C140" s="24" t="s">
        <v>54</v>
      </c>
      <c r="D140" s="25">
        <v>220496</v>
      </c>
      <c r="E140" s="25">
        <v>0</v>
      </c>
      <c r="F140" s="25">
        <v>0</v>
      </c>
      <c r="G140" s="25">
        <v>220496</v>
      </c>
      <c r="H140" s="25">
        <v>0</v>
      </c>
      <c r="I140" s="25">
        <v>0</v>
      </c>
      <c r="J140" s="24" t="s">
        <v>63</v>
      </c>
      <c r="K140" s="26">
        <f>SUM(E140:J140)</f>
        <v>220496.0</v>
      </c>
      <c r="L140" s="26">
        <f>D140-K140</f>
        <v>0.0</v>
      </c>
      <c r="M140" s="24" t="s">
        <v>1617</v>
      </c>
      <c r="N140" s="24" t="str">
        <f>C140&amp;"|"&amp;A140</f>
        <v>001|2492963</v>
      </c>
    </row>
    <row r="141" spans="1:14">
      <c r="A141" s="24" t="s">
        <v>525</v>
      </c>
      <c r="B141" s="24" t="s">
        <v>527</v>
      </c>
      <c r="C141" s="24" t="s">
        <v>54</v>
      </c>
      <c r="D141" s="25">
        <v>129991</v>
      </c>
      <c r="E141" s="25">
        <v>0</v>
      </c>
      <c r="F141" s="25">
        <v>0</v>
      </c>
      <c r="G141" s="25">
        <v>129991</v>
      </c>
      <c r="H141" s="25">
        <v>0</v>
      </c>
      <c r="I141" s="25">
        <v>0</v>
      </c>
      <c r="J141" s="24" t="s">
        <v>63</v>
      </c>
      <c r="K141" s="26">
        <f>SUM(E141:J141)</f>
        <v>129991.0</v>
      </c>
      <c r="L141" s="26">
        <f>D141-K141</f>
        <v>0.0</v>
      </c>
      <c r="M141" s="24" t="s">
        <v>1617</v>
      </c>
      <c r="N141" s="24" t="str">
        <f>C141&amp;"|"&amp;A141</f>
        <v>001|2650271</v>
      </c>
    </row>
    <row r="142" spans="1:14">
      <c r="A142" s="24" t="s">
        <v>528</v>
      </c>
      <c r="B142" s="24" t="s">
        <v>530</v>
      </c>
      <c r="C142" s="24" t="s">
        <v>54</v>
      </c>
      <c r="D142" s="25">
        <v>24413</v>
      </c>
      <c r="E142" s="25">
        <v>0</v>
      </c>
      <c r="F142" s="25">
        <v>0</v>
      </c>
      <c r="G142" s="25">
        <v>24413</v>
      </c>
      <c r="H142" s="25">
        <v>0</v>
      </c>
      <c r="I142" s="25">
        <v>0</v>
      </c>
      <c r="J142" s="24" t="s">
        <v>63</v>
      </c>
      <c r="K142" s="26">
        <f>SUM(E142:J142)</f>
        <v>24413.0</v>
      </c>
      <c r="L142" s="26">
        <f>D142-K142</f>
        <v>0.0</v>
      </c>
      <c r="M142" s="24" t="s">
        <v>1617</v>
      </c>
      <c r="N142" s="24" t="str">
        <f>C142&amp;"|"&amp;A142</f>
        <v>001|2651636</v>
      </c>
    </row>
    <row r="143" spans="1:14">
      <c r="A143" s="24" t="s">
        <v>531</v>
      </c>
      <c r="B143" s="24" t="s">
        <v>533</v>
      </c>
      <c r="C143" s="24" t="s">
        <v>54</v>
      </c>
      <c r="D143" s="25">
        <v>0</v>
      </c>
      <c r="E143" s="25">
        <v>0</v>
      </c>
      <c r="F143" s="25">
        <v>0</v>
      </c>
      <c r="G143" s="25">
        <v>0</v>
      </c>
      <c r="H143" s="25">
        <v>0</v>
      </c>
      <c r="I143" s="25">
        <v>0</v>
      </c>
      <c r="J143" s="24" t="s">
        <v>63</v>
      </c>
      <c r="K143" s="26">
        <f>SUM(E143:J143)</f>
        <v>0.0</v>
      </c>
      <c r="L143" s="26">
        <f>D143-K143</f>
        <v>0.0</v>
      </c>
      <c r="M143" s="24" t="s">
        <v>1617</v>
      </c>
      <c r="N143" s="24" t="str">
        <f>C143&amp;"|"&amp;A143</f>
        <v>001|2653339</v>
      </c>
    </row>
    <row r="144" spans="1:14">
      <c r="A144" s="24" t="s">
        <v>534</v>
      </c>
      <c r="B144" s="24" t="s">
        <v>536</v>
      </c>
      <c r="C144" s="24" t="s">
        <v>54</v>
      </c>
      <c r="D144" s="25">
        <v>621845</v>
      </c>
      <c r="E144" s="25">
        <v>0</v>
      </c>
      <c r="F144" s="25">
        <v>0</v>
      </c>
      <c r="G144" s="25">
        <v>621845</v>
      </c>
      <c r="H144" s="25">
        <v>0</v>
      </c>
      <c r="I144" s="25">
        <v>0</v>
      </c>
      <c r="J144" s="24" t="s">
        <v>63</v>
      </c>
      <c r="K144" s="26">
        <f>SUM(E144:J144)</f>
        <v>621845.0</v>
      </c>
      <c r="L144" s="26">
        <f>D144-K144</f>
        <v>0.0</v>
      </c>
      <c r="M144" s="24" t="s">
        <v>1617</v>
      </c>
      <c r="N144" s="24" t="str">
        <f>C144&amp;"|"&amp;A144</f>
        <v>001|2670402</v>
      </c>
    </row>
    <row r="145" spans="1:14">
      <c r="A145" s="24" t="s">
        <v>537</v>
      </c>
      <c r="B145" s="24" t="s">
        <v>539</v>
      </c>
      <c r="C145" s="24" t="s">
        <v>54</v>
      </c>
      <c r="D145" s="25">
        <v>784869</v>
      </c>
      <c r="E145" s="25">
        <v>0</v>
      </c>
      <c r="F145" s="25">
        <v>0</v>
      </c>
      <c r="G145" s="25">
        <v>784869</v>
      </c>
      <c r="H145" s="25">
        <v>0</v>
      </c>
      <c r="I145" s="25">
        <v>0</v>
      </c>
      <c r="J145" s="24" t="s">
        <v>63</v>
      </c>
      <c r="K145" s="26">
        <f>SUM(E145:J145)</f>
        <v>784869.0</v>
      </c>
      <c r="L145" s="26">
        <f>D145-K145</f>
        <v>0.0</v>
      </c>
      <c r="M145" s="24" t="s">
        <v>1617</v>
      </c>
      <c r="N145" s="24" t="str">
        <f>C145&amp;"|"&amp;A145</f>
        <v>001|2681029</v>
      </c>
    </row>
    <row r="146" spans="1:14">
      <c r="A146" s="24" t="s">
        <v>540</v>
      </c>
      <c r="B146" s="24" t="s">
        <v>542</v>
      </c>
      <c r="C146" s="24" t="s">
        <v>54</v>
      </c>
      <c r="D146" s="25">
        <v>373203</v>
      </c>
      <c r="E146" s="25">
        <v>0</v>
      </c>
      <c r="F146" s="25">
        <v>0</v>
      </c>
      <c r="G146" s="25">
        <v>373203</v>
      </c>
      <c r="H146" s="25">
        <v>0</v>
      </c>
      <c r="I146" s="25">
        <v>0</v>
      </c>
      <c r="J146" s="24" t="s">
        <v>63</v>
      </c>
      <c r="K146" s="26">
        <f>SUM(E146:J146)</f>
        <v>373203.0</v>
      </c>
      <c r="L146" s="26">
        <f>D146-K146</f>
        <v>0.0</v>
      </c>
      <c r="M146" s="24" t="s">
        <v>1617</v>
      </c>
      <c r="N146" s="24" t="str">
        <f>C146&amp;"|"&amp;A146</f>
        <v>001|2681019</v>
      </c>
    </row>
    <row r="147" spans="1:14">
      <c r="A147" s="24" t="s">
        <v>543</v>
      </c>
      <c r="B147" s="24" t="s">
        <v>545</v>
      </c>
      <c r="C147" s="24" t="s">
        <v>54</v>
      </c>
      <c r="D147" s="25">
        <v>192812</v>
      </c>
      <c r="E147" s="25">
        <v>0</v>
      </c>
      <c r="F147" s="25">
        <v>0</v>
      </c>
      <c r="G147" s="25">
        <v>192812</v>
      </c>
      <c r="H147" s="25">
        <v>0</v>
      </c>
      <c r="I147" s="25">
        <v>0</v>
      </c>
      <c r="J147" s="24" t="s">
        <v>63</v>
      </c>
      <c r="K147" s="26">
        <f>SUM(E147:J147)</f>
        <v>192812.0</v>
      </c>
      <c r="L147" s="26">
        <f>D147-K147</f>
        <v>0.0</v>
      </c>
      <c r="M147" s="24" t="s">
        <v>1617</v>
      </c>
      <c r="N147" s="24" t="str">
        <f>C147&amp;"|"&amp;A147</f>
        <v>001|2681037</v>
      </c>
    </row>
    <row r="148" spans="1:14">
      <c r="A148" s="24" t="s">
        <v>546</v>
      </c>
      <c r="B148" s="24" t="s">
        <v>548</v>
      </c>
      <c r="C148" s="24" t="s">
        <v>54</v>
      </c>
      <c r="D148" s="25">
        <v>287709</v>
      </c>
      <c r="E148" s="25">
        <v>0</v>
      </c>
      <c r="F148" s="25">
        <v>0</v>
      </c>
      <c r="G148" s="25">
        <v>287709</v>
      </c>
      <c r="H148" s="25">
        <v>0</v>
      </c>
      <c r="I148" s="25">
        <v>0</v>
      </c>
      <c r="J148" s="24" t="s">
        <v>63</v>
      </c>
      <c r="K148" s="26">
        <f>SUM(E148:J148)</f>
        <v>287709.0</v>
      </c>
      <c r="L148" s="26">
        <f>D148-K148</f>
        <v>0.0</v>
      </c>
      <c r="M148" s="24" t="s">
        <v>1617</v>
      </c>
      <c r="N148" s="24" t="str">
        <f>C148&amp;"|"&amp;A148</f>
        <v>001|2681054</v>
      </c>
    </row>
    <row r="149" spans="1:14">
      <c r="A149" s="24" t="s">
        <v>549</v>
      </c>
      <c r="B149" s="24" t="s">
        <v>551</v>
      </c>
      <c r="C149" s="24" t="s">
        <v>54</v>
      </c>
      <c r="D149" s="25">
        <v>140000</v>
      </c>
      <c r="E149" s="25">
        <v>0</v>
      </c>
      <c r="F149" s="25">
        <v>0</v>
      </c>
      <c r="G149" s="25">
        <v>140000</v>
      </c>
      <c r="H149" s="25">
        <v>0</v>
      </c>
      <c r="I149" s="25">
        <v>0</v>
      </c>
      <c r="J149" s="24" t="s">
        <v>63</v>
      </c>
      <c r="K149" s="26">
        <f>SUM(E149:J149)</f>
        <v>140000.0</v>
      </c>
      <c r="L149" s="26">
        <f>D149-K149</f>
        <v>0.0</v>
      </c>
      <c r="M149" s="24" t="s">
        <v>1617</v>
      </c>
      <c r="N149" s="24" t="str">
        <f>C149&amp;"|"&amp;A149</f>
        <v>001|2700348</v>
      </c>
    </row>
    <row r="150" spans="1:14">
      <c r="A150" s="24" t="s">
        <v>552</v>
      </c>
      <c r="B150" s="24" t="s">
        <v>554</v>
      </c>
      <c r="C150" s="24" t="s">
        <v>54</v>
      </c>
      <c r="D150" s="25">
        <v>0</v>
      </c>
      <c r="E150" s="25">
        <v>0</v>
      </c>
      <c r="F150" s="25">
        <v>0</v>
      </c>
      <c r="G150" s="25">
        <v>0</v>
      </c>
      <c r="H150" s="25">
        <v>0</v>
      </c>
      <c r="I150" s="25">
        <v>0</v>
      </c>
      <c r="J150" s="24" t="s">
        <v>63</v>
      </c>
      <c r="K150" s="26">
        <f>SUM(E150:J150)</f>
        <v>0.0</v>
      </c>
      <c r="L150" s="26">
        <f>D150-K150</f>
        <v>0.0</v>
      </c>
      <c r="M150" s="24" t="s">
        <v>1617</v>
      </c>
      <c r="N150" s="24" t="str">
        <f>C150&amp;"|"&amp;A150</f>
        <v>001|2727355</v>
      </c>
    </row>
    <row r="151" spans="1:14">
      <c r="A151" s="24" t="s">
        <v>555</v>
      </c>
      <c r="B151" s="24" t="s">
        <v>557</v>
      </c>
      <c r="C151" s="24" t="s">
        <v>54</v>
      </c>
      <c r="D151" s="25">
        <v>200000</v>
      </c>
      <c r="E151" s="25">
        <v>0</v>
      </c>
      <c r="F151" s="25">
        <v>0</v>
      </c>
      <c r="G151" s="25">
        <v>200000</v>
      </c>
      <c r="H151" s="25">
        <v>0</v>
      </c>
      <c r="I151" s="25">
        <v>0</v>
      </c>
      <c r="J151" s="24" t="s">
        <v>63</v>
      </c>
      <c r="K151" s="26">
        <f>SUM(E151:J151)</f>
        <v>200000.0</v>
      </c>
      <c r="L151" s="26">
        <f>D151-K151</f>
        <v>0.0</v>
      </c>
      <c r="M151" s="24" t="s">
        <v>1617</v>
      </c>
      <c r="N151" s="24" t="str">
        <f>C151&amp;"|"&amp;A151</f>
        <v>001|2650804</v>
      </c>
    </row>
    <row r="152" spans="1:14">
      <c r="A152" s="24" t="s">
        <v>558</v>
      </c>
      <c r="B152" s="24" t="s">
        <v>560</v>
      </c>
      <c r="C152" s="24" t="s">
        <v>54</v>
      </c>
      <c r="D152" s="25">
        <v>200000</v>
      </c>
      <c r="E152" s="25">
        <v>0</v>
      </c>
      <c r="F152" s="25">
        <v>0</v>
      </c>
      <c r="G152" s="25">
        <v>200000</v>
      </c>
      <c r="H152" s="25">
        <v>0</v>
      </c>
      <c r="I152" s="25">
        <v>0</v>
      </c>
      <c r="J152" s="24" t="s">
        <v>63</v>
      </c>
      <c r="K152" s="26">
        <f>SUM(E152:J152)</f>
        <v>200000.0</v>
      </c>
      <c r="L152" s="26">
        <f>D152-K152</f>
        <v>0.0</v>
      </c>
      <c r="M152" s="24" t="s">
        <v>1617</v>
      </c>
      <c r="N152" s="24" t="str">
        <f>C152&amp;"|"&amp;A152</f>
        <v>001|2681015</v>
      </c>
    </row>
    <row r="153" spans="1:14">
      <c r="A153" s="24" t="s">
        <v>561</v>
      </c>
      <c r="B153" s="24" t="s">
        <v>563</v>
      </c>
      <c r="C153" s="24" t="s">
        <v>54</v>
      </c>
      <c r="D153" s="25">
        <v>0</v>
      </c>
      <c r="E153" s="25">
        <v>0</v>
      </c>
      <c r="F153" s="25">
        <v>0</v>
      </c>
      <c r="G153" s="25">
        <v>0</v>
      </c>
      <c r="H153" s="25">
        <v>0</v>
      </c>
      <c r="I153" s="25">
        <v>0</v>
      </c>
      <c r="J153" s="24" t="s">
        <v>63</v>
      </c>
      <c r="K153" s="26">
        <f>SUM(E153:J153)</f>
        <v>0.0</v>
      </c>
      <c r="L153" s="26">
        <f>D153-K153</f>
        <v>0.0</v>
      </c>
      <c r="M153" s="24" t="s">
        <v>1617</v>
      </c>
      <c r="N153" s="24" t="str">
        <f>C153&amp;"|"&amp;A153</f>
        <v>001|2730161</v>
      </c>
    </row>
    <row r="154" spans="1:14">
      <c r="A154" s="24" t="s">
        <v>564</v>
      </c>
      <c r="B154" s="24" t="s">
        <v>566</v>
      </c>
      <c r="C154" s="24" t="s">
        <v>54</v>
      </c>
      <c r="D154" s="25">
        <v>0</v>
      </c>
      <c r="E154" s="25">
        <v>0</v>
      </c>
      <c r="F154" s="25">
        <v>0</v>
      </c>
      <c r="G154" s="25">
        <v>0</v>
      </c>
      <c r="H154" s="25">
        <v>0</v>
      </c>
      <c r="I154" s="25">
        <v>0</v>
      </c>
      <c r="J154" s="24" t="s">
        <v>63</v>
      </c>
      <c r="K154" s="26">
        <f>SUM(E154:J154)</f>
        <v>0.0</v>
      </c>
      <c r="L154" s="26">
        <f>D154-K154</f>
        <v>0.0</v>
      </c>
      <c r="M154" s="24" t="s">
        <v>1617</v>
      </c>
      <c r="N154" s="24" t="str">
        <f>C154&amp;"|"&amp;A154</f>
        <v>001|2718285</v>
      </c>
    </row>
    <row r="155" spans="1:14">
      <c r="A155" s="24" t="s">
        <v>567</v>
      </c>
      <c r="B155" s="24" t="s">
        <v>569</v>
      </c>
      <c r="C155" s="24" t="s">
        <v>54</v>
      </c>
      <c r="D155" s="25">
        <v>412686</v>
      </c>
      <c r="E155" s="25">
        <v>0</v>
      </c>
      <c r="F155" s="25">
        <v>0</v>
      </c>
      <c r="G155" s="25">
        <v>412686</v>
      </c>
      <c r="H155" s="25">
        <v>0</v>
      </c>
      <c r="I155" s="25">
        <v>0</v>
      </c>
      <c r="J155" s="24" t="s">
        <v>63</v>
      </c>
      <c r="K155" s="26">
        <f>SUM(E155:J155)</f>
        <v>412686.0</v>
      </c>
      <c r="L155" s="26">
        <f>D155-K155</f>
        <v>0.0</v>
      </c>
      <c r="M155" s="24" t="s">
        <v>1617</v>
      </c>
      <c r="N155" s="24" t="str">
        <f>C155&amp;"|"&amp;A155</f>
        <v>001|2539948</v>
      </c>
    </row>
    <row r="156" spans="1:14">
      <c r="A156" s="24" t="s">
        <v>570</v>
      </c>
      <c r="B156" s="24" t="s">
        <v>572</v>
      </c>
      <c r="C156" s="24" t="s">
        <v>54</v>
      </c>
      <c r="D156" s="25">
        <v>563376</v>
      </c>
      <c r="E156" s="25">
        <v>213376</v>
      </c>
      <c r="F156" s="25">
        <v>0</v>
      </c>
      <c r="G156" s="25">
        <v>350000</v>
      </c>
      <c r="H156" s="25">
        <v>0</v>
      </c>
      <c r="I156" s="25">
        <v>0</v>
      </c>
      <c r="J156" s="24" t="s">
        <v>63</v>
      </c>
      <c r="K156" s="26">
        <f>SUM(E156:J156)</f>
        <v>563376.0</v>
      </c>
      <c r="L156" s="26">
        <f>D156-K156</f>
        <v>0.0</v>
      </c>
      <c r="M156" s="24" t="s">
        <v>1617</v>
      </c>
      <c r="N156" s="24" t="str">
        <f>C156&amp;"|"&amp;A156</f>
        <v>001|2710291</v>
      </c>
    </row>
    <row r="157" spans="1:14">
      <c r="A157" s="24" t="s">
        <v>573</v>
      </c>
      <c r="B157" s="24" t="s">
        <v>575</v>
      </c>
      <c r="C157" s="24" t="s">
        <v>54</v>
      </c>
      <c r="D157" s="25">
        <v>400000</v>
      </c>
      <c r="E157" s="25">
        <v>0</v>
      </c>
      <c r="F157" s="25">
        <v>0</v>
      </c>
      <c r="G157" s="25">
        <v>400000</v>
      </c>
      <c r="H157" s="25">
        <v>0</v>
      </c>
      <c r="I157" s="25">
        <v>0</v>
      </c>
      <c r="J157" s="24" t="s">
        <v>63</v>
      </c>
      <c r="K157" s="26">
        <f>SUM(E157:J157)</f>
        <v>400000.0</v>
      </c>
      <c r="L157" s="26">
        <f>D157-K157</f>
        <v>0.0</v>
      </c>
      <c r="M157" s="24" t="s">
        <v>1617</v>
      </c>
      <c r="N157" s="24" t="str">
        <f>C157&amp;"|"&amp;A157</f>
        <v>001|2682870</v>
      </c>
    </row>
    <row r="158" spans="1:14">
      <c r="A158" s="24" t="s">
        <v>576</v>
      </c>
      <c r="B158" s="24" t="s">
        <v>578</v>
      </c>
      <c r="C158" s="24" t="s">
        <v>54</v>
      </c>
      <c r="D158" s="25">
        <v>386035</v>
      </c>
      <c r="E158" s="25">
        <v>0</v>
      </c>
      <c r="F158" s="25">
        <v>0</v>
      </c>
      <c r="G158" s="25">
        <v>386035</v>
      </c>
      <c r="H158" s="25">
        <v>0</v>
      </c>
      <c r="I158" s="25">
        <v>0</v>
      </c>
      <c r="J158" s="24" t="s">
        <v>63</v>
      </c>
      <c r="K158" s="26">
        <f>SUM(E158:J158)</f>
        <v>386035.0</v>
      </c>
      <c r="L158" s="26">
        <f>D158-K158</f>
        <v>0.0</v>
      </c>
      <c r="M158" s="24" t="s">
        <v>1617</v>
      </c>
      <c r="N158" s="24" t="str">
        <f>C158&amp;"|"&amp;A158</f>
        <v>001|2681092</v>
      </c>
    </row>
    <row r="159" spans="1:14">
      <c r="A159" s="24" t="s">
        <v>579</v>
      </c>
      <c r="B159" s="24" t="s">
        <v>581</v>
      </c>
      <c r="C159" s="24" t="s">
        <v>54</v>
      </c>
      <c r="D159" s="25">
        <v>18371</v>
      </c>
      <c r="E159" s="25">
        <v>0</v>
      </c>
      <c r="F159" s="25">
        <v>0</v>
      </c>
      <c r="G159" s="25">
        <v>18371</v>
      </c>
      <c r="H159" s="25">
        <v>0</v>
      </c>
      <c r="I159" s="25">
        <v>0</v>
      </c>
      <c r="J159" s="24" t="s">
        <v>63</v>
      </c>
      <c r="K159" s="26">
        <f>SUM(E159:J159)</f>
        <v>18371.0</v>
      </c>
      <c r="L159" s="26">
        <f>D159-K159</f>
        <v>0.0</v>
      </c>
      <c r="M159" s="24" t="s">
        <v>1617</v>
      </c>
      <c r="N159" s="24" t="str">
        <f>C159&amp;"|"&amp;A159</f>
        <v>001|2575299</v>
      </c>
    </row>
    <row r="160" spans="1:14">
      <c r="A160" s="24" t="s">
        <v>582</v>
      </c>
      <c r="B160" s="24" t="s">
        <v>584</v>
      </c>
      <c r="C160" s="24" t="s">
        <v>54</v>
      </c>
      <c r="D160" s="25">
        <v>225183</v>
      </c>
      <c r="E160" s="25">
        <v>0</v>
      </c>
      <c r="F160" s="25">
        <v>0</v>
      </c>
      <c r="G160" s="25">
        <v>225183</v>
      </c>
      <c r="H160" s="25">
        <v>0</v>
      </c>
      <c r="I160" s="25">
        <v>0</v>
      </c>
      <c r="J160" s="24" t="s">
        <v>63</v>
      </c>
      <c r="K160" s="26">
        <f>SUM(E160:J160)</f>
        <v>225183.0</v>
      </c>
      <c r="L160" s="26">
        <f>D160-K160</f>
        <v>0.0</v>
      </c>
      <c r="M160" s="24" t="s">
        <v>1617</v>
      </c>
      <c r="N160" s="24" t="str">
        <f>C160&amp;"|"&amp;A160</f>
        <v>001|2642160</v>
      </c>
    </row>
    <row r="161" spans="1:14">
      <c r="A161" s="24" t="s">
        <v>585</v>
      </c>
      <c r="B161" s="24" t="s">
        <v>587</v>
      </c>
      <c r="C161" s="24" t="s">
        <v>54</v>
      </c>
      <c r="D161" s="25">
        <v>680000</v>
      </c>
      <c r="E161" s="25">
        <v>0</v>
      </c>
      <c r="F161" s="25">
        <v>0</v>
      </c>
      <c r="G161" s="25">
        <v>680000</v>
      </c>
      <c r="H161" s="25">
        <v>0</v>
      </c>
      <c r="I161" s="25">
        <v>0</v>
      </c>
      <c r="J161" s="24" t="s">
        <v>63</v>
      </c>
      <c r="K161" s="26">
        <f>SUM(E161:J161)</f>
        <v>680000.0</v>
      </c>
      <c r="L161" s="26">
        <f>D161-K161</f>
        <v>0.0</v>
      </c>
      <c r="M161" s="24" t="s">
        <v>1617</v>
      </c>
      <c r="N161" s="24" t="str">
        <f>C161&amp;"|"&amp;A161</f>
        <v>001|2669470</v>
      </c>
    </row>
    <row r="162" spans="1:14">
      <c r="A162" s="24" t="s">
        <v>588</v>
      </c>
      <c r="B162" s="24" t="s">
        <v>590</v>
      </c>
      <c r="C162" s="24" t="s">
        <v>54</v>
      </c>
      <c r="D162" s="25">
        <v>519111</v>
      </c>
      <c r="E162" s="25">
        <v>0</v>
      </c>
      <c r="F162" s="25">
        <v>0</v>
      </c>
      <c r="G162" s="25">
        <v>519111</v>
      </c>
      <c r="H162" s="25">
        <v>0</v>
      </c>
      <c r="I162" s="25">
        <v>0</v>
      </c>
      <c r="J162" s="24" t="s">
        <v>63</v>
      </c>
      <c r="K162" s="26">
        <f>SUM(E162:J162)</f>
        <v>519111.0</v>
      </c>
      <c r="L162" s="26">
        <f>D162-K162</f>
        <v>0.0</v>
      </c>
      <c r="M162" s="24" t="s">
        <v>1617</v>
      </c>
      <c r="N162" s="24" t="str">
        <f>C162&amp;"|"&amp;A162</f>
        <v>001|2681096</v>
      </c>
    </row>
    <row r="163" spans="1:14">
      <c r="A163" s="24" t="s">
        <v>591</v>
      </c>
      <c r="B163" s="24" t="s">
        <v>593</v>
      </c>
      <c r="C163" s="24" t="s">
        <v>54</v>
      </c>
      <c r="D163" s="25">
        <v>206971</v>
      </c>
      <c r="E163" s="25">
        <v>0</v>
      </c>
      <c r="F163" s="25">
        <v>0</v>
      </c>
      <c r="G163" s="25">
        <v>206971</v>
      </c>
      <c r="H163" s="25">
        <v>0</v>
      </c>
      <c r="I163" s="25">
        <v>0</v>
      </c>
      <c r="J163" s="24" t="s">
        <v>63</v>
      </c>
      <c r="K163" s="26">
        <f>SUM(E163:J163)</f>
        <v>206971.0</v>
      </c>
      <c r="L163" s="26">
        <f>D163-K163</f>
        <v>0.0</v>
      </c>
      <c r="M163" s="24" t="s">
        <v>1617</v>
      </c>
      <c r="N163" s="24" t="str">
        <f>C163&amp;"|"&amp;A163</f>
        <v>001|2692317</v>
      </c>
    </row>
    <row r="164" spans="1:14">
      <c r="A164" s="24" t="s">
        <v>594</v>
      </c>
      <c r="B164" s="24" t="s">
        <v>596</v>
      </c>
      <c r="C164" s="24" t="s">
        <v>54</v>
      </c>
      <c r="D164" s="25">
        <v>654463</v>
      </c>
      <c r="E164" s="25">
        <v>0</v>
      </c>
      <c r="F164" s="25">
        <v>0</v>
      </c>
      <c r="G164" s="25">
        <v>654463</v>
      </c>
      <c r="H164" s="25">
        <v>0</v>
      </c>
      <c r="I164" s="25">
        <v>0</v>
      </c>
      <c r="J164" s="24" t="s">
        <v>63</v>
      </c>
      <c r="K164" s="26">
        <f>SUM(E164:J164)</f>
        <v>654463.0</v>
      </c>
      <c r="L164" s="26">
        <f>D164-K164</f>
        <v>0.0</v>
      </c>
      <c r="M164" s="24" t="s">
        <v>1617</v>
      </c>
      <c r="N164" s="24" t="str">
        <f>C164&amp;"|"&amp;A164</f>
        <v>001|2654204</v>
      </c>
    </row>
    <row r="165" spans="1:14">
      <c r="A165" s="24" t="s">
        <v>598</v>
      </c>
      <c r="B165" s="24" t="s">
        <v>600</v>
      </c>
      <c r="C165" s="24" t="s">
        <v>54</v>
      </c>
      <c r="D165" s="25">
        <v>40572</v>
      </c>
      <c r="E165" s="25">
        <v>0</v>
      </c>
      <c r="F165" s="25">
        <v>0</v>
      </c>
      <c r="G165" s="25">
        <v>40572</v>
      </c>
      <c r="H165" s="25">
        <v>0</v>
      </c>
      <c r="I165" s="25">
        <v>0</v>
      </c>
      <c r="J165" s="24" t="s">
        <v>63</v>
      </c>
      <c r="K165" s="26">
        <f>SUM(E165:J165)</f>
        <v>40572.0</v>
      </c>
      <c r="L165" s="26">
        <f>D165-K165</f>
        <v>0.0</v>
      </c>
      <c r="M165" s="24" t="s">
        <v>1617</v>
      </c>
      <c r="N165" s="24" t="str">
        <f>C165&amp;"|"&amp;A165</f>
        <v>001|2727133</v>
      </c>
    </row>
    <row r="166" spans="1:14">
      <c r="A166" s="24" t="s">
        <v>601</v>
      </c>
      <c r="B166" s="24" t="s">
        <v>603</v>
      </c>
      <c r="C166" s="24" t="s">
        <v>54</v>
      </c>
      <c r="D166" s="25">
        <v>75291</v>
      </c>
      <c r="E166" s="25">
        <v>0</v>
      </c>
      <c r="F166" s="25">
        <v>0</v>
      </c>
      <c r="G166" s="25">
        <v>75291</v>
      </c>
      <c r="H166" s="25">
        <v>0</v>
      </c>
      <c r="I166" s="25">
        <v>0</v>
      </c>
      <c r="J166" s="24" t="s">
        <v>63</v>
      </c>
      <c r="K166" s="26">
        <f>SUM(E166:J166)</f>
        <v>75291.0</v>
      </c>
      <c r="L166" s="26">
        <f>D166-K166</f>
        <v>0.0</v>
      </c>
      <c r="M166" s="24" t="s">
        <v>1617</v>
      </c>
      <c r="N166" s="24" t="str">
        <f>C166&amp;"|"&amp;A166</f>
        <v>001|2727299</v>
      </c>
    </row>
    <row r="167" spans="1:14">
      <c r="A167" s="24" t="s">
        <v>605</v>
      </c>
      <c r="B167" s="24" t="s">
        <v>607</v>
      </c>
      <c r="C167" s="24" t="s">
        <v>54</v>
      </c>
      <c r="D167" s="25">
        <v>100021</v>
      </c>
      <c r="E167" s="25">
        <v>0</v>
      </c>
      <c r="F167" s="25">
        <v>0</v>
      </c>
      <c r="G167" s="25">
        <v>100021</v>
      </c>
      <c r="H167" s="25">
        <v>0</v>
      </c>
      <c r="I167" s="25">
        <v>0</v>
      </c>
      <c r="J167" s="24" t="s">
        <v>63</v>
      </c>
      <c r="K167" s="26">
        <f>SUM(E167:J167)</f>
        <v>100021.0</v>
      </c>
      <c r="L167" s="26">
        <f>D167-K167</f>
        <v>0.0</v>
      </c>
      <c r="M167" s="24" t="s">
        <v>1617</v>
      </c>
      <c r="N167" s="24" t="str">
        <f>C167&amp;"|"&amp;A167</f>
        <v>001|2714049</v>
      </c>
    </row>
    <row r="168" spans="1:14">
      <c r="A168" s="24" t="s">
        <v>609</v>
      </c>
      <c r="B168" s="24" t="s">
        <v>611</v>
      </c>
      <c r="C168" s="24" t="s">
        <v>54</v>
      </c>
      <c r="D168" s="25">
        <v>500000</v>
      </c>
      <c r="E168" s="25">
        <v>0</v>
      </c>
      <c r="F168" s="25">
        <v>0</v>
      </c>
      <c r="G168" s="25">
        <v>200000</v>
      </c>
      <c r="H168" s="25">
        <v>300000</v>
      </c>
      <c r="I168" s="25">
        <v>0</v>
      </c>
      <c r="J168" s="24" t="s">
        <v>63</v>
      </c>
      <c r="K168" s="26">
        <f>SUM(E168:J168)</f>
        <v>500000.0</v>
      </c>
      <c r="L168" s="26">
        <f>D168-K168</f>
        <v>0.0</v>
      </c>
      <c r="M168" s="24" t="s">
        <v>1617</v>
      </c>
      <c r="N168" s="24" t="str">
        <f>C168&amp;"|"&amp;A168</f>
        <v>001|2518131</v>
      </c>
    </row>
    <row r="169" spans="1:14">
      <c r="A169" s="24" t="s">
        <v>613</v>
      </c>
      <c r="B169" s="24" t="s">
        <v>615</v>
      </c>
      <c r="C169" s="24" t="s">
        <v>54</v>
      </c>
      <c r="D169" s="25">
        <v>10399190</v>
      </c>
      <c r="E169" s="25">
        <v>0</v>
      </c>
      <c r="F169" s="25">
        <v>194638</v>
      </c>
      <c r="G169" s="25">
        <v>8204552</v>
      </c>
      <c r="H169" s="25">
        <v>2000000</v>
      </c>
      <c r="I169" s="25">
        <v>0</v>
      </c>
      <c r="J169" s="24" t="s">
        <v>63</v>
      </c>
      <c r="K169" s="26">
        <f>SUM(E169:J169)</f>
        <v>10399190.0</v>
      </c>
      <c r="L169" s="26">
        <f>D169-K169</f>
        <v>0.0</v>
      </c>
      <c r="M169" s="24" t="s">
        <v>1617</v>
      </c>
      <c r="N169" s="24" t="str">
        <f>C169&amp;"|"&amp;A169</f>
        <v>001|2357091</v>
      </c>
    </row>
    <row r="170" spans="1:14">
      <c r="A170" s="24" t="s">
        <v>616</v>
      </c>
      <c r="B170" s="24" t="s">
        <v>618</v>
      </c>
      <c r="C170" s="24" t="s">
        <v>54</v>
      </c>
      <c r="D170" s="25">
        <v>0</v>
      </c>
      <c r="E170" s="25">
        <v>0</v>
      </c>
      <c r="F170" s="25">
        <v>0</v>
      </c>
      <c r="G170" s="25">
        <v>0</v>
      </c>
      <c r="H170" s="25">
        <v>0</v>
      </c>
      <c r="I170" s="25">
        <v>0</v>
      </c>
      <c r="J170" s="24" t="s">
        <v>63</v>
      </c>
      <c r="K170" s="26">
        <f>SUM(E170:J170)</f>
        <v>0.0</v>
      </c>
      <c r="L170" s="26">
        <f>D170-K170</f>
        <v>0.0</v>
      </c>
      <c r="M170" s="24" t="s">
        <v>1617</v>
      </c>
      <c r="N170" s="24" t="str">
        <f>C170&amp;"|"&amp;A170</f>
        <v>001|2380088</v>
      </c>
    </row>
    <row r="171" spans="1:14">
      <c r="A171" s="24" t="s">
        <v>619</v>
      </c>
      <c r="B171" s="24" t="s">
        <v>621</v>
      </c>
      <c r="C171" s="24" t="s">
        <v>54</v>
      </c>
      <c r="D171" s="25">
        <v>184669</v>
      </c>
      <c r="E171" s="25">
        <v>0</v>
      </c>
      <c r="F171" s="25">
        <v>0</v>
      </c>
      <c r="G171" s="25">
        <v>184669</v>
      </c>
      <c r="H171" s="25">
        <v>0</v>
      </c>
      <c r="I171" s="25">
        <v>0</v>
      </c>
      <c r="J171" s="24" t="s">
        <v>63</v>
      </c>
      <c r="K171" s="26">
        <f>SUM(E171:J171)</f>
        <v>184669.0</v>
      </c>
      <c r="L171" s="26">
        <f>D171-K171</f>
        <v>0.0</v>
      </c>
      <c r="M171" s="24" t="s">
        <v>1617</v>
      </c>
      <c r="N171" s="24" t="str">
        <f>C171&amp;"|"&amp;A171</f>
        <v>001|2476464</v>
      </c>
    </row>
    <row r="172" spans="1:14">
      <c r="A172" s="24" t="s">
        <v>622</v>
      </c>
      <c r="B172" s="24" t="s">
        <v>624</v>
      </c>
      <c r="C172" s="24" t="s">
        <v>54</v>
      </c>
      <c r="D172" s="25">
        <v>200000</v>
      </c>
      <c r="E172" s="25">
        <v>0</v>
      </c>
      <c r="F172" s="25">
        <v>0</v>
      </c>
      <c r="G172" s="25">
        <v>200000</v>
      </c>
      <c r="H172" s="25">
        <v>0</v>
      </c>
      <c r="I172" s="25">
        <v>0</v>
      </c>
      <c r="J172" s="24" t="s">
        <v>63</v>
      </c>
      <c r="K172" s="26">
        <f>SUM(E172:J172)</f>
        <v>200000.0</v>
      </c>
      <c r="L172" s="26">
        <f>D172-K172</f>
        <v>0.0</v>
      </c>
      <c r="M172" s="24" t="s">
        <v>1617</v>
      </c>
      <c r="N172" s="24" t="str">
        <f>C172&amp;"|"&amp;A172</f>
        <v>001|2517448</v>
      </c>
    </row>
    <row r="173" spans="1:14">
      <c r="A173" s="24" t="s">
        <v>625</v>
      </c>
      <c r="B173" s="24" t="s">
        <v>627</v>
      </c>
      <c r="C173" s="24" t="s">
        <v>54</v>
      </c>
      <c r="D173" s="25">
        <v>654662</v>
      </c>
      <c r="E173" s="25">
        <v>0</v>
      </c>
      <c r="F173" s="25">
        <v>0</v>
      </c>
      <c r="G173" s="25">
        <v>654662</v>
      </c>
      <c r="H173" s="25">
        <v>0</v>
      </c>
      <c r="I173" s="25">
        <v>0</v>
      </c>
      <c r="J173" s="24" t="s">
        <v>63</v>
      </c>
      <c r="K173" s="26">
        <f>SUM(E173:J173)</f>
        <v>654662.0</v>
      </c>
      <c r="L173" s="26">
        <f>D173-K173</f>
        <v>0.0</v>
      </c>
      <c r="M173" s="24" t="s">
        <v>1617</v>
      </c>
      <c r="N173" s="24" t="str">
        <f>C173&amp;"|"&amp;A173</f>
        <v>001|2551456</v>
      </c>
    </row>
    <row r="174" spans="1:14">
      <c r="A174" s="24" t="s">
        <v>628</v>
      </c>
      <c r="B174" s="24" t="s">
        <v>630</v>
      </c>
      <c r="C174" s="24" t="s">
        <v>54</v>
      </c>
      <c r="D174" s="25">
        <v>82568</v>
      </c>
      <c r="E174" s="25">
        <v>0</v>
      </c>
      <c r="F174" s="25">
        <v>0</v>
      </c>
      <c r="G174" s="25">
        <v>82568</v>
      </c>
      <c r="H174" s="25">
        <v>0</v>
      </c>
      <c r="I174" s="25">
        <v>0</v>
      </c>
      <c r="J174" s="24" t="s">
        <v>63</v>
      </c>
      <c r="K174" s="26">
        <f>SUM(E174:J174)</f>
        <v>82568.0</v>
      </c>
      <c r="L174" s="26">
        <f>D174-K174</f>
        <v>0.0</v>
      </c>
      <c r="M174" s="24" t="s">
        <v>1617</v>
      </c>
      <c r="N174" s="24" t="str">
        <f>C174&amp;"|"&amp;A174</f>
        <v>001|2570943</v>
      </c>
    </row>
    <row r="175" spans="1:14">
      <c r="A175" s="24" t="s">
        <v>631</v>
      </c>
      <c r="B175" s="24" t="s">
        <v>633</v>
      </c>
      <c r="C175" s="24" t="s">
        <v>54</v>
      </c>
      <c r="D175" s="25">
        <v>100000</v>
      </c>
      <c r="E175" s="25">
        <v>0</v>
      </c>
      <c r="F175" s="25">
        <v>0</v>
      </c>
      <c r="G175" s="25">
        <v>100000</v>
      </c>
      <c r="H175" s="25">
        <v>0</v>
      </c>
      <c r="I175" s="25">
        <v>0</v>
      </c>
      <c r="J175" s="24" t="s">
        <v>63</v>
      </c>
      <c r="K175" s="26">
        <f>SUM(E175:J175)</f>
        <v>100000.0</v>
      </c>
      <c r="L175" s="26">
        <f>D175-K175</f>
        <v>0.0</v>
      </c>
      <c r="M175" s="24" t="s">
        <v>1617</v>
      </c>
      <c r="N175" s="24" t="str">
        <f>C175&amp;"|"&amp;A175</f>
        <v>001|2578405</v>
      </c>
    </row>
    <row r="176" spans="1:14">
      <c r="A176" s="24" t="s">
        <v>634</v>
      </c>
      <c r="B176" s="24" t="s">
        <v>636</v>
      </c>
      <c r="C176" s="24" t="s">
        <v>54</v>
      </c>
      <c r="D176" s="25">
        <v>0</v>
      </c>
      <c r="E176" s="25">
        <v>0</v>
      </c>
      <c r="F176" s="25">
        <v>0</v>
      </c>
      <c r="G176" s="25">
        <v>0</v>
      </c>
      <c r="H176" s="25">
        <v>0</v>
      </c>
      <c r="I176" s="25">
        <v>0</v>
      </c>
      <c r="J176" s="24" t="s">
        <v>63</v>
      </c>
      <c r="K176" s="26">
        <f>SUM(E176:J176)</f>
        <v>0.0</v>
      </c>
      <c r="L176" s="26">
        <f>D176-K176</f>
        <v>0.0</v>
      </c>
      <c r="M176" s="24" t="s">
        <v>1617</v>
      </c>
      <c r="N176" s="24" t="str">
        <f>C176&amp;"|"&amp;A176</f>
        <v>001|2585395</v>
      </c>
    </row>
    <row r="177" spans="1:14">
      <c r="A177" s="24" t="s">
        <v>637</v>
      </c>
      <c r="B177" s="24" t="s">
        <v>639</v>
      </c>
      <c r="C177" s="24" t="s">
        <v>54</v>
      </c>
      <c r="D177" s="25">
        <v>154665</v>
      </c>
      <c r="E177" s="25">
        <v>0</v>
      </c>
      <c r="F177" s="25">
        <v>0</v>
      </c>
      <c r="G177" s="25">
        <v>154665</v>
      </c>
      <c r="H177" s="25">
        <v>0</v>
      </c>
      <c r="I177" s="25">
        <v>0</v>
      </c>
      <c r="J177" s="24" t="s">
        <v>63</v>
      </c>
      <c r="K177" s="26">
        <f>SUM(E177:J177)</f>
        <v>154665.0</v>
      </c>
      <c r="L177" s="26">
        <f>D177-K177</f>
        <v>0.0</v>
      </c>
      <c r="M177" s="24" t="s">
        <v>1617</v>
      </c>
      <c r="N177" s="24" t="str">
        <f>C177&amp;"|"&amp;A177</f>
        <v>001|2594994</v>
      </c>
    </row>
    <row r="178" spans="1:14">
      <c r="A178" s="24" t="s">
        <v>640</v>
      </c>
      <c r="B178" s="24" t="s">
        <v>642</v>
      </c>
      <c r="C178" s="24" t="s">
        <v>54</v>
      </c>
      <c r="D178" s="25">
        <v>1750696</v>
      </c>
      <c r="E178" s="25">
        <v>0</v>
      </c>
      <c r="F178" s="25">
        <v>1371247</v>
      </c>
      <c r="G178" s="25">
        <v>379449</v>
      </c>
      <c r="H178" s="25">
        <v>0</v>
      </c>
      <c r="I178" s="25">
        <v>0</v>
      </c>
      <c r="J178" s="24" t="s">
        <v>63</v>
      </c>
      <c r="K178" s="26">
        <f>SUM(E178:J178)</f>
        <v>1750696.0</v>
      </c>
      <c r="L178" s="26">
        <f>D178-K178</f>
        <v>0.0</v>
      </c>
      <c r="M178" s="24" t="s">
        <v>1617</v>
      </c>
      <c r="N178" s="24" t="str">
        <f>C178&amp;"|"&amp;A178</f>
        <v>001|2599489</v>
      </c>
    </row>
    <row r="179" spans="1:14">
      <c r="A179" s="24" t="s">
        <v>644</v>
      </c>
      <c r="B179" s="24" t="s">
        <v>646</v>
      </c>
      <c r="C179" s="24" t="s">
        <v>54</v>
      </c>
      <c r="D179" s="25">
        <v>0</v>
      </c>
      <c r="E179" s="25">
        <v>0</v>
      </c>
      <c r="F179" s="25">
        <v>0</v>
      </c>
      <c r="G179" s="25">
        <v>0</v>
      </c>
      <c r="H179" s="25">
        <v>0</v>
      </c>
      <c r="I179" s="25">
        <v>0</v>
      </c>
      <c r="J179" s="24" t="s">
        <v>63</v>
      </c>
      <c r="K179" s="26">
        <f>SUM(E179:J179)</f>
        <v>0.0</v>
      </c>
      <c r="L179" s="26">
        <f>D179-K179</f>
        <v>0.0</v>
      </c>
      <c r="M179" s="24" t="s">
        <v>1617</v>
      </c>
      <c r="N179" s="24" t="str">
        <f>C179&amp;"|"&amp;A179</f>
        <v>001|2603161</v>
      </c>
    </row>
    <row r="180" spans="1:14">
      <c r="A180" s="24" t="s">
        <v>647</v>
      </c>
      <c r="B180" s="24" t="s">
        <v>649</v>
      </c>
      <c r="C180" s="24" t="s">
        <v>54</v>
      </c>
      <c r="D180" s="25">
        <v>656461</v>
      </c>
      <c r="E180" s="25">
        <v>0</v>
      </c>
      <c r="F180" s="25">
        <v>0</v>
      </c>
      <c r="G180" s="25">
        <v>656461</v>
      </c>
      <c r="H180" s="25">
        <v>0</v>
      </c>
      <c r="I180" s="25">
        <v>0</v>
      </c>
      <c r="J180" s="24" t="s">
        <v>63</v>
      </c>
      <c r="K180" s="26">
        <f>SUM(E180:J180)</f>
        <v>656461.0</v>
      </c>
      <c r="L180" s="26">
        <f>D180-K180</f>
        <v>0.0</v>
      </c>
      <c r="M180" s="24" t="s">
        <v>1617</v>
      </c>
      <c r="N180" s="24" t="str">
        <f>C180&amp;"|"&amp;A180</f>
        <v>001|2623878</v>
      </c>
    </row>
    <row r="181" spans="1:14">
      <c r="A181" s="24" t="s">
        <v>650</v>
      </c>
      <c r="B181" s="24" t="s">
        <v>652</v>
      </c>
      <c r="C181" s="24" t="s">
        <v>54</v>
      </c>
      <c r="D181" s="25">
        <v>606461</v>
      </c>
      <c r="E181" s="25">
        <v>0</v>
      </c>
      <c r="F181" s="25">
        <v>0</v>
      </c>
      <c r="G181" s="25">
        <v>606461</v>
      </c>
      <c r="H181" s="25">
        <v>0</v>
      </c>
      <c r="I181" s="25">
        <v>0</v>
      </c>
      <c r="J181" s="24" t="s">
        <v>63</v>
      </c>
      <c r="K181" s="26">
        <f>SUM(E181:J181)</f>
        <v>606461.0</v>
      </c>
      <c r="L181" s="26">
        <f>D181-K181</f>
        <v>0.0</v>
      </c>
      <c r="M181" s="24" t="s">
        <v>1617</v>
      </c>
      <c r="N181" s="24" t="str">
        <f>C181&amp;"|"&amp;A181</f>
        <v>001|2623879</v>
      </c>
    </row>
    <row r="182" spans="1:14">
      <c r="A182" s="24" t="s">
        <v>653</v>
      </c>
      <c r="B182" s="24" t="s">
        <v>655</v>
      </c>
      <c r="C182" s="24" t="s">
        <v>54</v>
      </c>
      <c r="D182" s="25">
        <v>0</v>
      </c>
      <c r="E182" s="25">
        <v>0</v>
      </c>
      <c r="F182" s="25">
        <v>0</v>
      </c>
      <c r="G182" s="25">
        <v>0</v>
      </c>
      <c r="H182" s="25">
        <v>0</v>
      </c>
      <c r="I182" s="25">
        <v>0</v>
      </c>
      <c r="J182" s="24" t="s">
        <v>63</v>
      </c>
      <c r="K182" s="26">
        <f>SUM(E182:J182)</f>
        <v>0.0</v>
      </c>
      <c r="L182" s="26">
        <f>D182-K182</f>
        <v>0.0</v>
      </c>
      <c r="M182" s="24" t="s">
        <v>1617</v>
      </c>
      <c r="N182" s="24" t="str">
        <f>C182&amp;"|"&amp;A182</f>
        <v>001|2632832</v>
      </c>
    </row>
    <row r="183" spans="1:14">
      <c r="A183" s="24" t="s">
        <v>656</v>
      </c>
      <c r="B183" s="24" t="s">
        <v>658</v>
      </c>
      <c r="C183" s="24" t="s">
        <v>54</v>
      </c>
      <c r="D183" s="25">
        <v>50000</v>
      </c>
      <c r="E183" s="25">
        <v>0</v>
      </c>
      <c r="F183" s="25">
        <v>0</v>
      </c>
      <c r="G183" s="25">
        <v>50000</v>
      </c>
      <c r="H183" s="25">
        <v>0</v>
      </c>
      <c r="I183" s="25">
        <v>0</v>
      </c>
      <c r="J183" s="24" t="s">
        <v>63</v>
      </c>
      <c r="K183" s="26">
        <f>SUM(E183:J183)</f>
        <v>50000.0</v>
      </c>
      <c r="L183" s="26">
        <f>D183-K183</f>
        <v>0.0</v>
      </c>
      <c r="M183" s="24" t="s">
        <v>1617</v>
      </c>
      <c r="N183" s="24" t="str">
        <f>C183&amp;"|"&amp;A183</f>
        <v>001|2649778</v>
      </c>
    </row>
    <row r="184" spans="1:14">
      <c r="A184" s="24" t="s">
        <v>659</v>
      </c>
      <c r="B184" s="24" t="s">
        <v>661</v>
      </c>
      <c r="C184" s="24" t="s">
        <v>54</v>
      </c>
      <c r="D184" s="25">
        <v>0</v>
      </c>
      <c r="E184" s="25">
        <v>0</v>
      </c>
      <c r="F184" s="25">
        <v>0</v>
      </c>
      <c r="G184" s="25">
        <v>0</v>
      </c>
      <c r="H184" s="25">
        <v>0</v>
      </c>
      <c r="I184" s="25">
        <v>0</v>
      </c>
      <c r="J184" s="24" t="s">
        <v>63</v>
      </c>
      <c r="K184" s="26">
        <f>SUM(E184:J184)</f>
        <v>0.0</v>
      </c>
      <c r="L184" s="26">
        <f>D184-K184</f>
        <v>0.0</v>
      </c>
      <c r="M184" s="24" t="s">
        <v>1617</v>
      </c>
      <c r="N184" s="24" t="str">
        <f>C184&amp;"|"&amp;A184</f>
        <v>001|2649779</v>
      </c>
    </row>
    <row r="185" spans="1:14">
      <c r="A185" s="24" t="s">
        <v>662</v>
      </c>
      <c r="B185" s="24" t="s">
        <v>664</v>
      </c>
      <c r="C185" s="24" t="s">
        <v>54</v>
      </c>
      <c r="D185" s="25">
        <v>82042</v>
      </c>
      <c r="E185" s="25">
        <v>0</v>
      </c>
      <c r="F185" s="25">
        <v>0</v>
      </c>
      <c r="G185" s="25">
        <v>82042</v>
      </c>
      <c r="H185" s="25">
        <v>0</v>
      </c>
      <c r="I185" s="25">
        <v>0</v>
      </c>
      <c r="J185" s="24" t="s">
        <v>63</v>
      </c>
      <c r="K185" s="26">
        <f>SUM(E185:J185)</f>
        <v>82042.0</v>
      </c>
      <c r="L185" s="26">
        <f>D185-K185</f>
        <v>0.0</v>
      </c>
      <c r="M185" s="24" t="s">
        <v>1617</v>
      </c>
      <c r="N185" s="24" t="str">
        <f>C185&amp;"|"&amp;A185</f>
        <v>001|2649780</v>
      </c>
    </row>
    <row r="186" spans="1:14">
      <c r="A186" s="24" t="s">
        <v>665</v>
      </c>
      <c r="B186" s="24" t="s">
        <v>667</v>
      </c>
      <c r="C186" s="24" t="s">
        <v>54</v>
      </c>
      <c r="D186" s="25">
        <v>0</v>
      </c>
      <c r="E186" s="25">
        <v>0</v>
      </c>
      <c r="F186" s="25">
        <v>0</v>
      </c>
      <c r="G186" s="25">
        <v>0</v>
      </c>
      <c r="H186" s="25">
        <v>0</v>
      </c>
      <c r="I186" s="25">
        <v>0</v>
      </c>
      <c r="J186" s="24" t="s">
        <v>63</v>
      </c>
      <c r="K186" s="26">
        <f>SUM(E186:J186)</f>
        <v>0.0</v>
      </c>
      <c r="L186" s="26">
        <f>D186-K186</f>
        <v>0.0</v>
      </c>
      <c r="M186" s="24" t="s">
        <v>1617</v>
      </c>
      <c r="N186" s="24" t="str">
        <f>C186&amp;"|"&amp;A186</f>
        <v>001|2649782</v>
      </c>
    </row>
    <row r="187" spans="1:14">
      <c r="A187" s="24" t="s">
        <v>668</v>
      </c>
      <c r="B187" s="24" t="s">
        <v>670</v>
      </c>
      <c r="C187" s="24" t="s">
        <v>54</v>
      </c>
      <c r="D187" s="25">
        <v>72190</v>
      </c>
      <c r="E187" s="25">
        <v>0</v>
      </c>
      <c r="F187" s="25">
        <v>0</v>
      </c>
      <c r="G187" s="25">
        <v>72190</v>
      </c>
      <c r="H187" s="25">
        <v>0</v>
      </c>
      <c r="I187" s="25">
        <v>0</v>
      </c>
      <c r="J187" s="24" t="s">
        <v>63</v>
      </c>
      <c r="K187" s="26">
        <f>SUM(E187:J187)</f>
        <v>72190.0</v>
      </c>
      <c r="L187" s="26">
        <f>D187-K187</f>
        <v>0.0</v>
      </c>
      <c r="M187" s="24" t="s">
        <v>1617</v>
      </c>
      <c r="N187" s="24" t="str">
        <f>C187&amp;"|"&amp;A187</f>
        <v>001|2649786</v>
      </c>
    </row>
    <row r="188" spans="1:14">
      <c r="A188" s="24" t="s">
        <v>671</v>
      </c>
      <c r="B188" s="24" t="s">
        <v>673</v>
      </c>
      <c r="C188" s="24" t="s">
        <v>54</v>
      </c>
      <c r="D188" s="25">
        <v>69837</v>
      </c>
      <c r="E188" s="25">
        <v>0</v>
      </c>
      <c r="F188" s="25">
        <v>0</v>
      </c>
      <c r="G188" s="25">
        <v>69837</v>
      </c>
      <c r="H188" s="25">
        <v>0</v>
      </c>
      <c r="I188" s="25">
        <v>0</v>
      </c>
      <c r="J188" s="24" t="s">
        <v>63</v>
      </c>
      <c r="K188" s="26">
        <f>SUM(E188:J188)</f>
        <v>69837.0</v>
      </c>
      <c r="L188" s="26">
        <f>D188-K188</f>
        <v>0.0</v>
      </c>
      <c r="M188" s="24" t="s">
        <v>1617</v>
      </c>
      <c r="N188" s="24" t="str">
        <f>C188&amp;"|"&amp;A188</f>
        <v>001|2649788</v>
      </c>
    </row>
    <row r="189" spans="1:14">
      <c r="A189" s="24" t="s">
        <v>674</v>
      </c>
      <c r="B189" s="24" t="s">
        <v>676</v>
      </c>
      <c r="C189" s="24" t="s">
        <v>54</v>
      </c>
      <c r="D189" s="25">
        <v>50000</v>
      </c>
      <c r="E189" s="25">
        <v>0</v>
      </c>
      <c r="F189" s="25">
        <v>0</v>
      </c>
      <c r="G189" s="25">
        <v>50000</v>
      </c>
      <c r="H189" s="25">
        <v>0</v>
      </c>
      <c r="I189" s="25">
        <v>0</v>
      </c>
      <c r="J189" s="24" t="s">
        <v>63</v>
      </c>
      <c r="K189" s="26">
        <f>SUM(E189:J189)</f>
        <v>50000.0</v>
      </c>
      <c r="L189" s="26">
        <f>D189-K189</f>
        <v>0.0</v>
      </c>
      <c r="M189" s="24" t="s">
        <v>1617</v>
      </c>
      <c r="N189" s="24" t="str">
        <f>C189&amp;"|"&amp;A189</f>
        <v>001|2649789</v>
      </c>
    </row>
    <row r="190" spans="1:14">
      <c r="A190" s="24" t="s">
        <v>677</v>
      </c>
      <c r="B190" s="24" t="s">
        <v>679</v>
      </c>
      <c r="C190" s="24" t="s">
        <v>54</v>
      </c>
      <c r="D190" s="25">
        <v>304060</v>
      </c>
      <c r="E190" s="25">
        <v>0</v>
      </c>
      <c r="F190" s="25">
        <v>0</v>
      </c>
      <c r="G190" s="25">
        <v>304060</v>
      </c>
      <c r="H190" s="25">
        <v>0</v>
      </c>
      <c r="I190" s="25">
        <v>0</v>
      </c>
      <c r="J190" s="24" t="s">
        <v>63</v>
      </c>
      <c r="K190" s="26">
        <f>SUM(E190:J190)</f>
        <v>304060.0</v>
      </c>
      <c r="L190" s="26">
        <f>D190-K190</f>
        <v>0.0</v>
      </c>
      <c r="M190" s="24" t="s">
        <v>1617</v>
      </c>
      <c r="N190" s="24" t="str">
        <f>C190&amp;"|"&amp;A190</f>
        <v>001|2649790</v>
      </c>
    </row>
    <row r="191" spans="1:14">
      <c r="A191" s="24" t="s">
        <v>680</v>
      </c>
      <c r="B191" s="24" t="s">
        <v>682</v>
      </c>
      <c r="C191" s="24" t="s">
        <v>54</v>
      </c>
      <c r="D191" s="25">
        <v>0</v>
      </c>
      <c r="E191" s="25">
        <v>0</v>
      </c>
      <c r="F191" s="25">
        <v>0</v>
      </c>
      <c r="G191" s="25">
        <v>0</v>
      </c>
      <c r="H191" s="25">
        <v>0</v>
      </c>
      <c r="I191" s="25">
        <v>0</v>
      </c>
      <c r="J191" s="24" t="s">
        <v>63</v>
      </c>
      <c r="K191" s="26">
        <f>SUM(E191:J191)</f>
        <v>0.0</v>
      </c>
      <c r="L191" s="26">
        <f>D191-K191</f>
        <v>0.0</v>
      </c>
      <c r="M191" s="24" t="s">
        <v>1617</v>
      </c>
      <c r="N191" s="24" t="str">
        <f>C191&amp;"|"&amp;A191</f>
        <v>001|2649793</v>
      </c>
    </row>
    <row r="192" spans="1:14">
      <c r="A192" s="24" t="s">
        <v>683</v>
      </c>
      <c r="B192" s="24" t="s">
        <v>685</v>
      </c>
      <c r="C192" s="24" t="s">
        <v>54</v>
      </c>
      <c r="D192" s="25">
        <v>0</v>
      </c>
      <c r="E192" s="25">
        <v>0</v>
      </c>
      <c r="F192" s="25">
        <v>0</v>
      </c>
      <c r="G192" s="25">
        <v>0</v>
      </c>
      <c r="H192" s="25">
        <v>0</v>
      </c>
      <c r="I192" s="25">
        <v>0</v>
      </c>
      <c r="J192" s="24" t="s">
        <v>63</v>
      </c>
      <c r="K192" s="26">
        <f>SUM(E192:J192)</f>
        <v>0.0</v>
      </c>
      <c r="L192" s="26">
        <f>D192-K192</f>
        <v>0.0</v>
      </c>
      <c r="M192" s="24" t="s">
        <v>1617</v>
      </c>
      <c r="N192" s="24" t="str">
        <f>C192&amp;"|"&amp;A192</f>
        <v>001|2649794</v>
      </c>
    </row>
    <row r="193" spans="1:14">
      <c r="A193" s="24" t="s">
        <v>686</v>
      </c>
      <c r="B193" s="24" t="s">
        <v>688</v>
      </c>
      <c r="C193" s="24" t="s">
        <v>54</v>
      </c>
      <c r="D193" s="25">
        <v>340317</v>
      </c>
      <c r="E193" s="25">
        <v>0</v>
      </c>
      <c r="F193" s="25">
        <v>0</v>
      </c>
      <c r="G193" s="25">
        <v>340317</v>
      </c>
      <c r="H193" s="25">
        <v>0</v>
      </c>
      <c r="I193" s="25">
        <v>0</v>
      </c>
      <c r="J193" s="24" t="s">
        <v>63</v>
      </c>
      <c r="K193" s="26">
        <f>SUM(E193:J193)</f>
        <v>340317.0</v>
      </c>
      <c r="L193" s="26">
        <f>D193-K193</f>
        <v>0.0</v>
      </c>
      <c r="M193" s="24" t="s">
        <v>1617</v>
      </c>
      <c r="N193" s="24" t="str">
        <f>C193&amp;"|"&amp;A193</f>
        <v>001|2658003</v>
      </c>
    </row>
    <row r="194" spans="1:14">
      <c r="A194" s="24" t="s">
        <v>689</v>
      </c>
      <c r="B194" s="24" t="s">
        <v>691</v>
      </c>
      <c r="C194" s="24" t="s">
        <v>54</v>
      </c>
      <c r="D194" s="25">
        <v>0</v>
      </c>
      <c r="E194" s="25">
        <v>0</v>
      </c>
      <c r="F194" s="25">
        <v>0</v>
      </c>
      <c r="G194" s="25">
        <v>0</v>
      </c>
      <c r="H194" s="25">
        <v>0</v>
      </c>
      <c r="I194" s="25">
        <v>0</v>
      </c>
      <c r="J194" s="24" t="s">
        <v>63</v>
      </c>
      <c r="K194" s="26">
        <f>SUM(E194:J194)</f>
        <v>0.0</v>
      </c>
      <c r="L194" s="26">
        <f>D194-K194</f>
        <v>0.0</v>
      </c>
      <c r="M194" s="24" t="s">
        <v>1617</v>
      </c>
      <c r="N194" s="24" t="str">
        <f>C194&amp;"|"&amp;A194</f>
        <v>001|2188379</v>
      </c>
    </row>
    <row r="195" spans="1:14">
      <c r="A195" s="24" t="s">
        <v>692</v>
      </c>
      <c r="B195" s="24" t="s">
        <v>694</v>
      </c>
      <c r="C195" s="24" t="s">
        <v>54</v>
      </c>
      <c r="D195" s="25">
        <v>100000</v>
      </c>
      <c r="E195" s="25">
        <v>0</v>
      </c>
      <c r="F195" s="25">
        <v>0</v>
      </c>
      <c r="G195" s="25">
        <v>100000</v>
      </c>
      <c r="H195" s="25">
        <v>0</v>
      </c>
      <c r="I195" s="25">
        <v>0</v>
      </c>
      <c r="J195" s="24" t="s">
        <v>63</v>
      </c>
      <c r="K195" s="26">
        <f>SUM(E195:J195)</f>
        <v>100000.0</v>
      </c>
      <c r="L195" s="26">
        <f>D195-K195</f>
        <v>0.0</v>
      </c>
      <c r="M195" s="24" t="s">
        <v>1617</v>
      </c>
      <c r="N195" s="24" t="str">
        <f>C195&amp;"|"&amp;A195</f>
        <v>001|2384978</v>
      </c>
    </row>
    <row r="196" spans="1:14">
      <c r="A196" s="24" t="s">
        <v>695</v>
      </c>
      <c r="B196" s="24" t="s">
        <v>697</v>
      </c>
      <c r="C196" s="24" t="s">
        <v>54</v>
      </c>
      <c r="D196" s="25">
        <v>0</v>
      </c>
      <c r="E196" s="25">
        <v>0</v>
      </c>
      <c r="F196" s="25">
        <v>0</v>
      </c>
      <c r="G196" s="25">
        <v>0</v>
      </c>
      <c r="H196" s="25">
        <v>0</v>
      </c>
      <c r="I196" s="25">
        <v>0</v>
      </c>
      <c r="J196" s="24" t="s">
        <v>63</v>
      </c>
      <c r="K196" s="26">
        <f>SUM(E196:J196)</f>
        <v>0.0</v>
      </c>
      <c r="L196" s="26">
        <f>D196-K196</f>
        <v>0.0</v>
      </c>
      <c r="M196" s="24" t="s">
        <v>1617</v>
      </c>
      <c r="N196" s="24" t="str">
        <f>C196&amp;"|"&amp;A196</f>
        <v>001|2525250</v>
      </c>
    </row>
    <row r="197" spans="1:14">
      <c r="A197" s="24" t="s">
        <v>698</v>
      </c>
      <c r="B197" s="24" t="s">
        <v>700</v>
      </c>
      <c r="C197" s="24" t="s">
        <v>54</v>
      </c>
      <c r="D197" s="25">
        <v>58259</v>
      </c>
      <c r="E197" s="25">
        <v>0</v>
      </c>
      <c r="F197" s="25">
        <v>0</v>
      </c>
      <c r="G197" s="25">
        <v>58259</v>
      </c>
      <c r="H197" s="25">
        <v>0</v>
      </c>
      <c r="I197" s="25">
        <v>0</v>
      </c>
      <c r="J197" s="24" t="s">
        <v>63</v>
      </c>
      <c r="K197" s="26">
        <f>SUM(E197:J197)</f>
        <v>58259.0</v>
      </c>
      <c r="L197" s="26">
        <f>D197-K197</f>
        <v>0.0</v>
      </c>
      <c r="M197" s="24" t="s">
        <v>1617</v>
      </c>
      <c r="N197" s="24" t="str">
        <f>C197&amp;"|"&amp;A197</f>
        <v>001|2585923</v>
      </c>
    </row>
    <row r="198" spans="1:14">
      <c r="A198" s="24" t="s">
        <v>701</v>
      </c>
      <c r="B198" s="24" t="s">
        <v>703</v>
      </c>
      <c r="C198" s="24" t="s">
        <v>54</v>
      </c>
      <c r="D198" s="25">
        <v>100000</v>
      </c>
      <c r="E198" s="25">
        <v>0</v>
      </c>
      <c r="F198" s="25">
        <v>0</v>
      </c>
      <c r="G198" s="25">
        <v>100000</v>
      </c>
      <c r="H198" s="25">
        <v>0</v>
      </c>
      <c r="I198" s="25">
        <v>0</v>
      </c>
      <c r="J198" s="24" t="s">
        <v>63</v>
      </c>
      <c r="K198" s="26">
        <f>SUM(E198:J198)</f>
        <v>100000.0</v>
      </c>
      <c r="L198" s="26">
        <f>D198-K198</f>
        <v>0.0</v>
      </c>
      <c r="M198" s="24" t="s">
        <v>1617</v>
      </c>
      <c r="N198" s="24" t="str">
        <f>C198&amp;"|"&amp;A198</f>
        <v>001|2616445</v>
      </c>
    </row>
    <row r="199" spans="1:14">
      <c r="A199" s="24" t="s">
        <v>704</v>
      </c>
      <c r="B199" s="24" t="s">
        <v>706</v>
      </c>
      <c r="C199" s="24" t="s">
        <v>54</v>
      </c>
      <c r="D199" s="25">
        <v>100000</v>
      </c>
      <c r="E199" s="25">
        <v>0</v>
      </c>
      <c r="F199" s="25">
        <v>0</v>
      </c>
      <c r="G199" s="25">
        <v>100000</v>
      </c>
      <c r="H199" s="25">
        <v>0</v>
      </c>
      <c r="I199" s="25">
        <v>0</v>
      </c>
      <c r="J199" s="24" t="s">
        <v>63</v>
      </c>
      <c r="K199" s="26">
        <f>SUM(E199:J199)</f>
        <v>100000.0</v>
      </c>
      <c r="L199" s="26">
        <f>D199-K199</f>
        <v>0.0</v>
      </c>
      <c r="M199" s="24" t="s">
        <v>1617</v>
      </c>
      <c r="N199" s="24" t="str">
        <f>C199&amp;"|"&amp;A199</f>
        <v>001|2618450</v>
      </c>
    </row>
    <row r="200" spans="1:14">
      <c r="A200" s="24" t="s">
        <v>707</v>
      </c>
      <c r="B200" s="24" t="s">
        <v>709</v>
      </c>
      <c r="C200" s="24" t="s">
        <v>54</v>
      </c>
      <c r="D200" s="25">
        <v>500172</v>
      </c>
      <c r="E200" s="25">
        <v>0</v>
      </c>
      <c r="F200" s="25">
        <v>0</v>
      </c>
      <c r="G200" s="25">
        <v>500172</v>
      </c>
      <c r="H200" s="25">
        <v>0</v>
      </c>
      <c r="I200" s="25">
        <v>0</v>
      </c>
      <c r="J200" s="24" t="s">
        <v>63</v>
      </c>
      <c r="K200" s="26">
        <f>SUM(E200:J200)</f>
        <v>500172.0</v>
      </c>
      <c r="L200" s="26">
        <f>D200-K200</f>
        <v>0.0</v>
      </c>
      <c r="M200" s="24" t="s">
        <v>1617</v>
      </c>
      <c r="N200" s="24" t="str">
        <f>C200&amp;"|"&amp;A200</f>
        <v>001|2638009</v>
      </c>
    </row>
    <row r="201" spans="1:14">
      <c r="A201" s="24" t="s">
        <v>710</v>
      </c>
      <c r="B201" s="24" t="s">
        <v>712</v>
      </c>
      <c r="C201" s="24" t="s">
        <v>54</v>
      </c>
      <c r="D201" s="25">
        <v>310000</v>
      </c>
      <c r="E201" s="25">
        <v>0</v>
      </c>
      <c r="F201" s="25">
        <v>0</v>
      </c>
      <c r="G201" s="25">
        <v>310000</v>
      </c>
      <c r="H201" s="25">
        <v>0</v>
      </c>
      <c r="I201" s="25">
        <v>0</v>
      </c>
      <c r="J201" s="24" t="s">
        <v>63</v>
      </c>
      <c r="K201" s="26">
        <f>SUM(E201:J201)</f>
        <v>310000.0</v>
      </c>
      <c r="L201" s="26">
        <f>D201-K201</f>
        <v>0.0</v>
      </c>
      <c r="M201" s="24" t="s">
        <v>1617</v>
      </c>
      <c r="N201" s="24" t="str">
        <f>C201&amp;"|"&amp;A201</f>
        <v>001|2652118</v>
      </c>
    </row>
    <row r="202" spans="1:14">
      <c r="A202" s="24" t="s">
        <v>713</v>
      </c>
      <c r="B202" s="24" t="s">
        <v>715</v>
      </c>
      <c r="C202" s="24" t="s">
        <v>54</v>
      </c>
      <c r="D202" s="25">
        <v>100000</v>
      </c>
      <c r="E202" s="25">
        <v>0</v>
      </c>
      <c r="F202" s="25">
        <v>0</v>
      </c>
      <c r="G202" s="25">
        <v>100000</v>
      </c>
      <c r="H202" s="25">
        <v>0</v>
      </c>
      <c r="I202" s="25">
        <v>0</v>
      </c>
      <c r="J202" s="24" t="s">
        <v>63</v>
      </c>
      <c r="K202" s="26">
        <f>SUM(E202:J202)</f>
        <v>100000.0</v>
      </c>
      <c r="L202" s="26">
        <f>D202-K202</f>
        <v>0.0</v>
      </c>
      <c r="M202" s="24" t="s">
        <v>1617</v>
      </c>
      <c r="N202" s="24" t="str">
        <f>C202&amp;"|"&amp;A202</f>
        <v>001|2652119</v>
      </c>
    </row>
    <row r="203" spans="1:14">
      <c r="A203" s="24" t="s">
        <v>716</v>
      </c>
      <c r="B203" s="24" t="s">
        <v>718</v>
      </c>
      <c r="C203" s="24" t="s">
        <v>54</v>
      </c>
      <c r="D203" s="25">
        <v>400214</v>
      </c>
      <c r="E203" s="25">
        <v>0</v>
      </c>
      <c r="F203" s="25">
        <v>0</v>
      </c>
      <c r="G203" s="25">
        <v>400214</v>
      </c>
      <c r="H203" s="25">
        <v>0</v>
      </c>
      <c r="I203" s="25">
        <v>0</v>
      </c>
      <c r="J203" s="24" t="s">
        <v>63</v>
      </c>
      <c r="K203" s="26">
        <f>SUM(E203:J203)</f>
        <v>400214.0</v>
      </c>
      <c r="L203" s="26">
        <f>D203-K203</f>
        <v>0.0</v>
      </c>
      <c r="M203" s="24" t="s">
        <v>1617</v>
      </c>
      <c r="N203" s="24" t="str">
        <f>C203&amp;"|"&amp;A203</f>
        <v>001|2652120</v>
      </c>
    </row>
    <row r="204" spans="1:14">
      <c r="A204" s="24" t="s">
        <v>719</v>
      </c>
      <c r="B204" s="24" t="s">
        <v>721</v>
      </c>
      <c r="C204" s="24" t="s">
        <v>54</v>
      </c>
      <c r="D204" s="25">
        <v>0</v>
      </c>
      <c r="E204" s="25">
        <v>0</v>
      </c>
      <c r="F204" s="25">
        <v>0</v>
      </c>
      <c r="G204" s="25">
        <v>0</v>
      </c>
      <c r="H204" s="25">
        <v>0</v>
      </c>
      <c r="I204" s="25">
        <v>0</v>
      </c>
      <c r="J204" s="24" t="s">
        <v>63</v>
      </c>
      <c r="K204" s="26">
        <f>SUM(E204:J204)</f>
        <v>0.0</v>
      </c>
      <c r="L204" s="26">
        <f>D204-K204</f>
        <v>0.0</v>
      </c>
      <c r="M204" s="24" t="s">
        <v>1617</v>
      </c>
      <c r="N204" s="24" t="str">
        <f>C204&amp;"|"&amp;A204</f>
        <v>001|2655774</v>
      </c>
    </row>
    <row r="205" spans="1:14">
      <c r="A205" s="24" t="s">
        <v>722</v>
      </c>
      <c r="B205" s="24" t="s">
        <v>724</v>
      </c>
      <c r="C205" s="24" t="s">
        <v>54</v>
      </c>
      <c r="D205" s="25">
        <v>126982</v>
      </c>
      <c r="E205" s="25">
        <v>0</v>
      </c>
      <c r="F205" s="25">
        <v>0</v>
      </c>
      <c r="G205" s="25">
        <v>126982</v>
      </c>
      <c r="H205" s="25">
        <v>0</v>
      </c>
      <c r="I205" s="25">
        <v>0</v>
      </c>
      <c r="J205" s="24" t="s">
        <v>63</v>
      </c>
      <c r="K205" s="26">
        <f>SUM(E205:J205)</f>
        <v>126982.0</v>
      </c>
      <c r="L205" s="26">
        <f>D205-K205</f>
        <v>0.0</v>
      </c>
      <c r="M205" s="24" t="s">
        <v>1617</v>
      </c>
      <c r="N205" s="24" t="str">
        <f>C205&amp;"|"&amp;A205</f>
        <v>001|2656882</v>
      </c>
    </row>
    <row r="206" spans="1:14">
      <c r="A206" s="24" t="s">
        <v>725</v>
      </c>
      <c r="B206" s="24" t="s">
        <v>727</v>
      </c>
      <c r="C206" s="24" t="s">
        <v>54</v>
      </c>
      <c r="D206" s="25">
        <v>0</v>
      </c>
      <c r="E206" s="25">
        <v>0</v>
      </c>
      <c r="F206" s="25">
        <v>0</v>
      </c>
      <c r="G206" s="25">
        <v>0</v>
      </c>
      <c r="H206" s="25">
        <v>0</v>
      </c>
      <c r="I206" s="25">
        <v>0</v>
      </c>
      <c r="J206" s="24" t="s">
        <v>63</v>
      </c>
      <c r="K206" s="26">
        <f>SUM(E206:J206)</f>
        <v>0.0</v>
      </c>
      <c r="L206" s="26">
        <f>D206-K206</f>
        <v>0.0</v>
      </c>
      <c r="M206" s="24" t="s">
        <v>1617</v>
      </c>
      <c r="N206" s="24" t="str">
        <f>C206&amp;"|"&amp;A206</f>
        <v>001|2659574</v>
      </c>
    </row>
    <row r="207" spans="1:14">
      <c r="A207" s="24" t="s">
        <v>728</v>
      </c>
      <c r="B207" s="24" t="s">
        <v>730</v>
      </c>
      <c r="C207" s="24" t="s">
        <v>54</v>
      </c>
      <c r="D207" s="25">
        <v>112244</v>
      </c>
      <c r="E207" s="25">
        <v>0</v>
      </c>
      <c r="F207" s="25">
        <v>0</v>
      </c>
      <c r="G207" s="25">
        <v>112244</v>
      </c>
      <c r="H207" s="25">
        <v>0</v>
      </c>
      <c r="I207" s="25">
        <v>0</v>
      </c>
      <c r="J207" s="24" t="s">
        <v>63</v>
      </c>
      <c r="K207" s="26">
        <f>SUM(E207:J207)</f>
        <v>112244.0</v>
      </c>
      <c r="L207" s="26">
        <f>D207-K207</f>
        <v>0.0</v>
      </c>
      <c r="M207" s="24" t="s">
        <v>1617</v>
      </c>
      <c r="N207" s="24" t="str">
        <f>C207&amp;"|"&amp;A207</f>
        <v>001|2660479</v>
      </c>
    </row>
    <row r="208" spans="1:14">
      <c r="A208" s="24" t="s">
        <v>731</v>
      </c>
      <c r="B208" s="24" t="s">
        <v>733</v>
      </c>
      <c r="C208" s="24" t="s">
        <v>54</v>
      </c>
      <c r="D208" s="25">
        <v>164979</v>
      </c>
      <c r="E208" s="25">
        <v>0</v>
      </c>
      <c r="F208" s="25">
        <v>0</v>
      </c>
      <c r="G208" s="25">
        <v>164979</v>
      </c>
      <c r="H208" s="25">
        <v>0</v>
      </c>
      <c r="I208" s="25">
        <v>0</v>
      </c>
      <c r="J208" s="24" t="s">
        <v>63</v>
      </c>
      <c r="K208" s="26">
        <f>SUM(E208:J208)</f>
        <v>164979.0</v>
      </c>
      <c r="L208" s="26">
        <f>D208-K208</f>
        <v>0.0</v>
      </c>
      <c r="M208" s="24" t="s">
        <v>1617</v>
      </c>
      <c r="N208" s="24" t="str">
        <f>C208&amp;"|"&amp;A208</f>
        <v>001|2662668</v>
      </c>
    </row>
    <row r="209" spans="1:14">
      <c r="A209" s="24" t="s">
        <v>734</v>
      </c>
      <c r="B209" s="24" t="s">
        <v>736</v>
      </c>
      <c r="C209" s="24" t="s">
        <v>54</v>
      </c>
      <c r="D209" s="25">
        <v>99897</v>
      </c>
      <c r="E209" s="25">
        <v>0</v>
      </c>
      <c r="F209" s="25">
        <v>0</v>
      </c>
      <c r="G209" s="25">
        <v>99897</v>
      </c>
      <c r="H209" s="25">
        <v>0</v>
      </c>
      <c r="I209" s="25">
        <v>0</v>
      </c>
      <c r="J209" s="24" t="s">
        <v>63</v>
      </c>
      <c r="K209" s="26">
        <f>SUM(E209:J209)</f>
        <v>99897.0</v>
      </c>
      <c r="L209" s="26">
        <f>D209-K209</f>
        <v>0.0</v>
      </c>
      <c r="M209" s="24" t="s">
        <v>1617</v>
      </c>
      <c r="N209" s="24" t="str">
        <f>C209&amp;"|"&amp;A209</f>
        <v>001|2662786</v>
      </c>
    </row>
    <row r="210" spans="1:14">
      <c r="A210" s="24" t="s">
        <v>737</v>
      </c>
      <c r="B210" s="24" t="s">
        <v>739</v>
      </c>
      <c r="C210" s="24" t="s">
        <v>54</v>
      </c>
      <c r="D210" s="25">
        <v>332000</v>
      </c>
      <c r="E210" s="25">
        <v>0</v>
      </c>
      <c r="F210" s="25">
        <v>0</v>
      </c>
      <c r="G210" s="25">
        <v>332000</v>
      </c>
      <c r="H210" s="25">
        <v>0</v>
      </c>
      <c r="I210" s="25">
        <v>0</v>
      </c>
      <c r="J210" s="24" t="s">
        <v>63</v>
      </c>
      <c r="K210" s="26">
        <f>SUM(E210:J210)</f>
        <v>332000.0</v>
      </c>
      <c r="L210" s="26">
        <f>D210-K210</f>
        <v>0.0</v>
      </c>
      <c r="M210" s="24" t="s">
        <v>1617</v>
      </c>
      <c r="N210" s="24" t="str">
        <f>C210&amp;"|"&amp;A210</f>
        <v>001|2664647</v>
      </c>
    </row>
    <row r="211" spans="1:14">
      <c r="A211" s="24" t="s">
        <v>740</v>
      </c>
      <c r="B211" s="24" t="s">
        <v>742</v>
      </c>
      <c r="C211" s="24" t="s">
        <v>54</v>
      </c>
      <c r="D211" s="25">
        <v>0</v>
      </c>
      <c r="E211" s="25">
        <v>0</v>
      </c>
      <c r="F211" s="25">
        <v>0</v>
      </c>
      <c r="G211" s="25">
        <v>0</v>
      </c>
      <c r="H211" s="25">
        <v>0</v>
      </c>
      <c r="I211" s="25">
        <v>0</v>
      </c>
      <c r="J211" s="24" t="s">
        <v>63</v>
      </c>
      <c r="K211" s="26">
        <f>SUM(E211:J211)</f>
        <v>0.0</v>
      </c>
      <c r="L211" s="26">
        <f>D211-K211</f>
        <v>0.0</v>
      </c>
      <c r="M211" s="24" t="s">
        <v>1617</v>
      </c>
      <c r="N211" s="24" t="str">
        <f>C211&amp;"|"&amp;A211</f>
        <v>001|2673628</v>
      </c>
    </row>
    <row r="212" spans="1:14">
      <c r="A212" s="24" t="s">
        <v>743</v>
      </c>
      <c r="B212" s="24" t="s">
        <v>745</v>
      </c>
      <c r="C212" s="24" t="s">
        <v>54</v>
      </c>
      <c r="D212" s="25">
        <v>100000</v>
      </c>
      <c r="E212" s="25">
        <v>0</v>
      </c>
      <c r="F212" s="25">
        <v>0</v>
      </c>
      <c r="G212" s="25">
        <v>100000</v>
      </c>
      <c r="H212" s="25">
        <v>0</v>
      </c>
      <c r="I212" s="25">
        <v>0</v>
      </c>
      <c r="J212" s="24" t="s">
        <v>63</v>
      </c>
      <c r="K212" s="26">
        <f>SUM(E212:J212)</f>
        <v>100000.0</v>
      </c>
      <c r="L212" s="26">
        <f>D212-K212</f>
        <v>0.0</v>
      </c>
      <c r="M212" s="24" t="s">
        <v>1617</v>
      </c>
      <c r="N212" s="24" t="str">
        <f>C212&amp;"|"&amp;A212</f>
        <v>001|2357337</v>
      </c>
    </row>
    <row r="213" spans="1:14">
      <c r="A213" s="24" t="s">
        <v>746</v>
      </c>
      <c r="B213" s="24" t="s">
        <v>748</v>
      </c>
      <c r="C213" s="24" t="s">
        <v>54</v>
      </c>
      <c r="D213" s="25">
        <v>408761</v>
      </c>
      <c r="E213" s="25">
        <v>0</v>
      </c>
      <c r="F213" s="25">
        <v>0</v>
      </c>
      <c r="G213" s="25">
        <v>408761</v>
      </c>
      <c r="H213" s="25">
        <v>0</v>
      </c>
      <c r="I213" s="25">
        <v>0</v>
      </c>
      <c r="J213" s="24" t="s">
        <v>63</v>
      </c>
      <c r="K213" s="26">
        <f>SUM(E213:J213)</f>
        <v>408761.0</v>
      </c>
      <c r="L213" s="26">
        <f>D213-K213</f>
        <v>0.0</v>
      </c>
      <c r="M213" s="24" t="s">
        <v>1617</v>
      </c>
      <c r="N213" s="24" t="str">
        <f>C213&amp;"|"&amp;A213</f>
        <v>001|2623873</v>
      </c>
    </row>
    <row r="214" spans="1:14">
      <c r="A214" s="24" t="s">
        <v>749</v>
      </c>
      <c r="B214" s="24" t="s">
        <v>751</v>
      </c>
      <c r="C214" s="24" t="s">
        <v>54</v>
      </c>
      <c r="D214" s="25">
        <v>261704</v>
      </c>
      <c r="E214" s="25">
        <v>0</v>
      </c>
      <c r="F214" s="25">
        <v>0</v>
      </c>
      <c r="G214" s="25">
        <v>261704</v>
      </c>
      <c r="H214" s="25">
        <v>0</v>
      </c>
      <c r="I214" s="25">
        <v>0</v>
      </c>
      <c r="J214" s="24" t="s">
        <v>63</v>
      </c>
      <c r="K214" s="26">
        <f>SUM(E214:J214)</f>
        <v>261704.0</v>
      </c>
      <c r="L214" s="26">
        <f>D214-K214</f>
        <v>0.0</v>
      </c>
      <c r="M214" s="24" t="s">
        <v>1617</v>
      </c>
      <c r="N214" s="24" t="str">
        <f>C214&amp;"|"&amp;A214</f>
        <v>001|2403888</v>
      </c>
    </row>
    <row r="215" spans="1:14">
      <c r="A215" s="24" t="s">
        <v>752</v>
      </c>
      <c r="B215" s="24" t="s">
        <v>754</v>
      </c>
      <c r="C215" s="24" t="s">
        <v>54</v>
      </c>
      <c r="D215" s="25">
        <v>5089845</v>
      </c>
      <c r="E215" s="25">
        <v>0</v>
      </c>
      <c r="F215" s="25">
        <v>0</v>
      </c>
      <c r="G215" s="25">
        <v>5089845</v>
      </c>
      <c r="H215" s="25">
        <v>0</v>
      </c>
      <c r="I215" s="25">
        <v>0</v>
      </c>
      <c r="J215" s="24" t="s">
        <v>63</v>
      </c>
      <c r="K215" s="26">
        <f>SUM(E215:J215)</f>
        <v>5089845.0</v>
      </c>
      <c r="L215" s="26">
        <f>D215-K215</f>
        <v>0.0</v>
      </c>
      <c r="M215" s="24" t="s">
        <v>1617</v>
      </c>
      <c r="N215" s="24" t="str">
        <f>C215&amp;"|"&amp;A215</f>
        <v>001|2570033</v>
      </c>
    </row>
    <row r="216" spans="1:14">
      <c r="A216" s="24" t="s">
        <v>755</v>
      </c>
      <c r="B216" s="24" t="s">
        <v>757</v>
      </c>
      <c r="C216" s="24" t="s">
        <v>54</v>
      </c>
      <c r="D216" s="25">
        <v>4863</v>
      </c>
      <c r="E216" s="25">
        <v>0</v>
      </c>
      <c r="F216" s="25">
        <v>0</v>
      </c>
      <c r="G216" s="25">
        <v>4863</v>
      </c>
      <c r="H216" s="25">
        <v>0</v>
      </c>
      <c r="I216" s="25">
        <v>0</v>
      </c>
      <c r="J216" s="24" t="s">
        <v>63</v>
      </c>
      <c r="K216" s="26">
        <f>SUM(E216:J216)</f>
        <v>4863.0</v>
      </c>
      <c r="L216" s="26">
        <f>D216-K216</f>
        <v>0.0</v>
      </c>
      <c r="M216" s="24" t="s">
        <v>1617</v>
      </c>
      <c r="N216" s="24" t="str">
        <f>C216&amp;"|"&amp;A216</f>
        <v>001|2570365</v>
      </c>
    </row>
    <row r="217" spans="1:14">
      <c r="A217" s="24" t="s">
        <v>758</v>
      </c>
      <c r="B217" s="24" t="s">
        <v>760</v>
      </c>
      <c r="C217" s="24" t="s">
        <v>54</v>
      </c>
      <c r="D217" s="25">
        <v>5931027</v>
      </c>
      <c r="E217" s="25">
        <v>0</v>
      </c>
      <c r="F217" s="25">
        <v>0</v>
      </c>
      <c r="G217" s="25">
        <v>5931027</v>
      </c>
      <c r="H217" s="25">
        <v>0</v>
      </c>
      <c r="I217" s="25">
        <v>0</v>
      </c>
      <c r="J217" s="24" t="s">
        <v>63</v>
      </c>
      <c r="K217" s="26">
        <f>SUM(E217:J217)</f>
        <v>5931027.0</v>
      </c>
      <c r="L217" s="26">
        <f>D217-K217</f>
        <v>0.0</v>
      </c>
      <c r="M217" s="24" t="s">
        <v>1617</v>
      </c>
      <c r="N217" s="24" t="str">
        <f>C217&amp;"|"&amp;A217</f>
        <v>001|2570369</v>
      </c>
    </row>
    <row r="218" spans="1:14">
      <c r="A218" s="24" t="s">
        <v>761</v>
      </c>
      <c r="B218" s="24" t="s">
        <v>763</v>
      </c>
      <c r="C218" s="24" t="s">
        <v>54</v>
      </c>
      <c r="D218" s="25">
        <v>178134</v>
      </c>
      <c r="E218" s="25">
        <v>0</v>
      </c>
      <c r="F218" s="25">
        <v>0</v>
      </c>
      <c r="G218" s="25">
        <v>178134</v>
      </c>
      <c r="H218" s="25">
        <v>0</v>
      </c>
      <c r="I218" s="25">
        <v>0</v>
      </c>
      <c r="J218" s="24" t="s">
        <v>63</v>
      </c>
      <c r="K218" s="26">
        <f>SUM(E218:J218)</f>
        <v>178134.0</v>
      </c>
      <c r="L218" s="26">
        <f>D218-K218</f>
        <v>0.0</v>
      </c>
      <c r="M218" s="24" t="s">
        <v>1617</v>
      </c>
      <c r="N218" s="24" t="str">
        <f>C218&amp;"|"&amp;A218</f>
        <v>001|2623875</v>
      </c>
    </row>
    <row r="219" spans="1:14">
      <c r="A219" s="24" t="s">
        <v>764</v>
      </c>
      <c r="B219" s="24" t="s">
        <v>766</v>
      </c>
      <c r="C219" s="24" t="s">
        <v>54</v>
      </c>
      <c r="D219" s="25">
        <v>220481</v>
      </c>
      <c r="E219" s="25">
        <v>0</v>
      </c>
      <c r="F219" s="25">
        <v>0</v>
      </c>
      <c r="G219" s="25">
        <v>194522</v>
      </c>
      <c r="H219" s="25">
        <v>25959</v>
      </c>
      <c r="I219" s="25">
        <v>0</v>
      </c>
      <c r="J219" s="24" t="s">
        <v>63</v>
      </c>
      <c r="K219" s="26">
        <f>SUM(E219:J219)</f>
        <v>220481.0</v>
      </c>
      <c r="L219" s="26">
        <f>D219-K219</f>
        <v>0.0</v>
      </c>
      <c r="M219" s="24" t="s">
        <v>1617</v>
      </c>
      <c r="N219" s="24" t="str">
        <f>C219&amp;"|"&amp;A219</f>
        <v>001|2623876</v>
      </c>
    </row>
    <row r="220" spans="1:14">
      <c r="A220" s="24" t="s">
        <v>767</v>
      </c>
      <c r="B220" s="24" t="s">
        <v>769</v>
      </c>
      <c r="C220" s="24" t="s">
        <v>54</v>
      </c>
      <c r="D220" s="25">
        <v>0</v>
      </c>
      <c r="E220" s="25">
        <v>0</v>
      </c>
      <c r="F220" s="25">
        <v>0</v>
      </c>
      <c r="G220" s="25">
        <v>0</v>
      </c>
      <c r="H220" s="25">
        <v>0</v>
      </c>
      <c r="I220" s="25">
        <v>0</v>
      </c>
      <c r="J220" s="24" t="s">
        <v>63</v>
      </c>
      <c r="K220" s="26">
        <f>SUM(E220:J220)</f>
        <v>0.0</v>
      </c>
      <c r="L220" s="26">
        <f>D220-K220</f>
        <v>0.0</v>
      </c>
      <c r="M220" s="24" t="s">
        <v>1617</v>
      </c>
      <c r="N220" s="24" t="str">
        <f>C220&amp;"|"&amp;A220</f>
        <v>001|2250307</v>
      </c>
    </row>
    <row r="221" spans="1:14">
      <c r="A221" s="24" t="s">
        <v>770</v>
      </c>
      <c r="B221" s="24" t="s">
        <v>772</v>
      </c>
      <c r="C221" s="24" t="s">
        <v>54</v>
      </c>
      <c r="D221" s="25">
        <v>0</v>
      </c>
      <c r="E221" s="25">
        <v>0</v>
      </c>
      <c r="F221" s="25">
        <v>0</v>
      </c>
      <c r="G221" s="25">
        <v>0</v>
      </c>
      <c r="H221" s="25">
        <v>0</v>
      </c>
      <c r="I221" s="25">
        <v>0</v>
      </c>
      <c r="J221" s="24" t="s">
        <v>63</v>
      </c>
      <c r="K221" s="26">
        <f>SUM(E221:J221)</f>
        <v>0.0</v>
      </c>
      <c r="L221" s="26">
        <f>D221-K221</f>
        <v>0.0</v>
      </c>
      <c r="M221" s="24" t="s">
        <v>1617</v>
      </c>
      <c r="N221" s="24" t="str">
        <f>C221&amp;"|"&amp;A221</f>
        <v>001|2250460</v>
      </c>
    </row>
    <row r="222" spans="1:14">
      <c r="A222" s="24" t="s">
        <v>773</v>
      </c>
      <c r="B222" s="24" t="s">
        <v>775</v>
      </c>
      <c r="C222" s="24" t="s">
        <v>54</v>
      </c>
      <c r="D222" s="25">
        <v>29298</v>
      </c>
      <c r="E222" s="25">
        <v>0</v>
      </c>
      <c r="F222" s="25">
        <v>0</v>
      </c>
      <c r="G222" s="25">
        <v>29298</v>
      </c>
      <c r="H222" s="25">
        <v>0</v>
      </c>
      <c r="I222" s="25">
        <v>0</v>
      </c>
      <c r="J222" s="24" t="s">
        <v>63</v>
      </c>
      <c r="K222" s="26">
        <f>SUM(E222:J222)</f>
        <v>29298.0</v>
      </c>
      <c r="L222" s="26">
        <f>D222-K222</f>
        <v>0.0</v>
      </c>
      <c r="M222" s="24" t="s">
        <v>1617</v>
      </c>
      <c r="N222" s="24" t="str">
        <f>C222&amp;"|"&amp;A222</f>
        <v>001|2649797</v>
      </c>
    </row>
    <row r="223" spans="1:14">
      <c r="A223" s="24" t="s">
        <v>776</v>
      </c>
      <c r="B223" s="24" t="s">
        <v>778</v>
      </c>
      <c r="C223" s="24" t="s">
        <v>54</v>
      </c>
      <c r="D223" s="25">
        <v>80000</v>
      </c>
      <c r="E223" s="25">
        <v>0</v>
      </c>
      <c r="F223" s="25">
        <v>0</v>
      </c>
      <c r="G223" s="25">
        <v>80000</v>
      </c>
      <c r="H223" s="25">
        <v>0</v>
      </c>
      <c r="I223" s="25">
        <v>0</v>
      </c>
      <c r="J223" s="24" t="s">
        <v>63</v>
      </c>
      <c r="K223" s="26">
        <f>SUM(E223:J223)</f>
        <v>80000.0</v>
      </c>
      <c r="L223" s="26">
        <f>D223-K223</f>
        <v>0.0</v>
      </c>
      <c r="M223" s="24" t="s">
        <v>1617</v>
      </c>
      <c r="N223" s="24" t="str">
        <f>C223&amp;"|"&amp;A223</f>
        <v>001|2649798</v>
      </c>
    </row>
    <row r="224" spans="1:14">
      <c r="A224" s="24" t="s">
        <v>779</v>
      </c>
      <c r="B224" s="24" t="s">
        <v>781</v>
      </c>
      <c r="C224" s="24" t="s">
        <v>54</v>
      </c>
      <c r="D224" s="25">
        <v>0</v>
      </c>
      <c r="E224" s="25">
        <v>0</v>
      </c>
      <c r="F224" s="25">
        <v>0</v>
      </c>
      <c r="G224" s="25">
        <v>0</v>
      </c>
      <c r="H224" s="25">
        <v>0</v>
      </c>
      <c r="I224" s="25">
        <v>0</v>
      </c>
      <c r="J224" s="24" t="s">
        <v>63</v>
      </c>
      <c r="K224" s="26">
        <f>SUM(E224:J224)</f>
        <v>0.0</v>
      </c>
      <c r="L224" s="26">
        <f>D224-K224</f>
        <v>0.0</v>
      </c>
      <c r="M224" s="24" t="s">
        <v>1617</v>
      </c>
      <c r="N224" s="24" t="str">
        <f>C224&amp;"|"&amp;A224</f>
        <v>001|2649800</v>
      </c>
    </row>
    <row r="225" spans="1:14">
      <c r="A225" s="24" t="s">
        <v>782</v>
      </c>
      <c r="B225" s="24" t="s">
        <v>784</v>
      </c>
      <c r="C225" s="24" t="s">
        <v>54</v>
      </c>
      <c r="D225" s="25">
        <v>209495</v>
      </c>
      <c r="E225" s="25">
        <v>0</v>
      </c>
      <c r="F225" s="25">
        <v>0</v>
      </c>
      <c r="G225" s="25">
        <v>209495</v>
      </c>
      <c r="H225" s="25">
        <v>0</v>
      </c>
      <c r="I225" s="25">
        <v>0</v>
      </c>
      <c r="J225" s="24" t="s">
        <v>63</v>
      </c>
      <c r="K225" s="26">
        <f>SUM(E225:J225)</f>
        <v>209495.0</v>
      </c>
      <c r="L225" s="26">
        <f>D225-K225</f>
        <v>0.0</v>
      </c>
      <c r="M225" s="24" t="s">
        <v>1617</v>
      </c>
      <c r="N225" s="24" t="str">
        <f>C225&amp;"|"&amp;A225</f>
        <v>001|2649803</v>
      </c>
    </row>
    <row r="226" spans="1:14">
      <c r="A226" s="24" t="s">
        <v>785</v>
      </c>
      <c r="B226" s="24" t="s">
        <v>787</v>
      </c>
      <c r="C226" s="24" t="s">
        <v>54</v>
      </c>
      <c r="D226" s="25">
        <v>400000</v>
      </c>
      <c r="E226" s="25">
        <v>0</v>
      </c>
      <c r="F226" s="25">
        <v>0</v>
      </c>
      <c r="G226" s="25">
        <v>400000</v>
      </c>
      <c r="H226" s="25">
        <v>0</v>
      </c>
      <c r="I226" s="25">
        <v>0</v>
      </c>
      <c r="J226" s="24" t="s">
        <v>63</v>
      </c>
      <c r="K226" s="26">
        <f>SUM(E226:J226)</f>
        <v>400000.0</v>
      </c>
      <c r="L226" s="26">
        <f>D226-K226</f>
        <v>0.0</v>
      </c>
      <c r="M226" s="24" t="s">
        <v>1617</v>
      </c>
      <c r="N226" s="24" t="str">
        <f>C226&amp;"|"&amp;A226</f>
        <v>001|2649804</v>
      </c>
    </row>
    <row r="227" spans="1:14">
      <c r="A227" s="24" t="s">
        <v>788</v>
      </c>
      <c r="B227" s="24" t="s">
        <v>790</v>
      </c>
      <c r="C227" s="24" t="s">
        <v>54</v>
      </c>
      <c r="D227" s="25">
        <v>179528</v>
      </c>
      <c r="E227" s="25">
        <v>0</v>
      </c>
      <c r="F227" s="25">
        <v>0</v>
      </c>
      <c r="G227" s="25">
        <v>179528</v>
      </c>
      <c r="H227" s="25">
        <v>0</v>
      </c>
      <c r="I227" s="25">
        <v>0</v>
      </c>
      <c r="J227" s="24" t="s">
        <v>63</v>
      </c>
      <c r="K227" s="26">
        <f>SUM(E227:J227)</f>
        <v>179528.0</v>
      </c>
      <c r="L227" s="26">
        <f>D227-K227</f>
        <v>0.0</v>
      </c>
      <c r="M227" s="24" t="s">
        <v>1617</v>
      </c>
      <c r="N227" s="24" t="str">
        <f>C227&amp;"|"&amp;A227</f>
        <v>001|2649853</v>
      </c>
    </row>
    <row r="228" spans="1:14">
      <c r="A228" s="24" t="s">
        <v>791</v>
      </c>
      <c r="B228" s="24" t="s">
        <v>793</v>
      </c>
      <c r="C228" s="24" t="s">
        <v>54</v>
      </c>
      <c r="D228" s="25">
        <v>0</v>
      </c>
      <c r="E228" s="25">
        <v>0</v>
      </c>
      <c r="F228" s="25">
        <v>0</v>
      </c>
      <c r="G228" s="25">
        <v>0</v>
      </c>
      <c r="H228" s="25">
        <v>0</v>
      </c>
      <c r="I228" s="25">
        <v>0</v>
      </c>
      <c r="J228" s="24" t="s">
        <v>63</v>
      </c>
      <c r="K228" s="26">
        <f>SUM(E228:J228)</f>
        <v>0.0</v>
      </c>
      <c r="L228" s="26">
        <f>D228-K228</f>
        <v>0.0</v>
      </c>
      <c r="M228" s="24" t="s">
        <v>1617</v>
      </c>
      <c r="N228" s="24" t="str">
        <f>C228&amp;"|"&amp;A228</f>
        <v>001|2649854</v>
      </c>
    </row>
    <row r="229" spans="1:14">
      <c r="A229" s="24" t="s">
        <v>794</v>
      </c>
      <c r="B229" s="24" t="s">
        <v>796</v>
      </c>
      <c r="C229" s="24" t="s">
        <v>54</v>
      </c>
      <c r="D229" s="25">
        <v>33556</v>
      </c>
      <c r="E229" s="25">
        <v>0</v>
      </c>
      <c r="F229" s="25">
        <v>0</v>
      </c>
      <c r="G229" s="25">
        <v>33556</v>
      </c>
      <c r="H229" s="25">
        <v>0</v>
      </c>
      <c r="I229" s="25">
        <v>0</v>
      </c>
      <c r="J229" s="24" t="s">
        <v>63</v>
      </c>
      <c r="K229" s="26">
        <f>SUM(E229:J229)</f>
        <v>33556.0</v>
      </c>
      <c r="L229" s="26">
        <f>D229-K229</f>
        <v>0.0</v>
      </c>
      <c r="M229" s="24" t="s">
        <v>1617</v>
      </c>
      <c r="N229" s="24" t="str">
        <f>C229&amp;"|"&amp;A229</f>
        <v>001|2649855</v>
      </c>
    </row>
    <row r="230" spans="1:14">
      <c r="A230" s="24" t="s">
        <v>797</v>
      </c>
      <c r="B230" s="24" t="s">
        <v>799</v>
      </c>
      <c r="C230" s="24" t="s">
        <v>54</v>
      </c>
      <c r="D230" s="25">
        <v>0</v>
      </c>
      <c r="E230" s="25">
        <v>0</v>
      </c>
      <c r="F230" s="25">
        <v>0</v>
      </c>
      <c r="G230" s="25">
        <v>0</v>
      </c>
      <c r="H230" s="25">
        <v>0</v>
      </c>
      <c r="I230" s="25">
        <v>0</v>
      </c>
      <c r="J230" s="24" t="s">
        <v>63</v>
      </c>
      <c r="K230" s="26">
        <f>SUM(E230:J230)</f>
        <v>0.0</v>
      </c>
      <c r="L230" s="26">
        <f>D230-K230</f>
        <v>0.0</v>
      </c>
      <c r="M230" s="24" t="s">
        <v>1617</v>
      </c>
      <c r="N230" s="24" t="str">
        <f>C230&amp;"|"&amp;A230</f>
        <v>001|2649856</v>
      </c>
    </row>
    <row r="231" spans="1:14">
      <c r="A231" s="24" t="s">
        <v>800</v>
      </c>
      <c r="B231" s="24" t="s">
        <v>802</v>
      </c>
      <c r="C231" s="24" t="s">
        <v>54</v>
      </c>
      <c r="D231" s="25">
        <v>0</v>
      </c>
      <c r="E231" s="25">
        <v>0</v>
      </c>
      <c r="F231" s="25">
        <v>0</v>
      </c>
      <c r="G231" s="25">
        <v>0</v>
      </c>
      <c r="H231" s="25">
        <v>0</v>
      </c>
      <c r="I231" s="25">
        <v>0</v>
      </c>
      <c r="J231" s="24" t="s">
        <v>63</v>
      </c>
      <c r="K231" s="26">
        <f>SUM(E231:J231)</f>
        <v>0.0</v>
      </c>
      <c r="L231" s="26">
        <f>D231-K231</f>
        <v>0.0</v>
      </c>
      <c r="M231" s="24" t="s">
        <v>1617</v>
      </c>
      <c r="N231" s="24" t="str">
        <f>C231&amp;"|"&amp;A231</f>
        <v>001|2649857</v>
      </c>
    </row>
    <row r="232" spans="1:14">
      <c r="A232" s="24" t="s">
        <v>803</v>
      </c>
      <c r="B232" s="24" t="s">
        <v>805</v>
      </c>
      <c r="C232" s="24" t="s">
        <v>54</v>
      </c>
      <c r="D232" s="25">
        <v>106670</v>
      </c>
      <c r="E232" s="25">
        <v>0</v>
      </c>
      <c r="F232" s="25">
        <v>0</v>
      </c>
      <c r="G232" s="25">
        <v>106670</v>
      </c>
      <c r="H232" s="25">
        <v>0</v>
      </c>
      <c r="I232" s="25">
        <v>0</v>
      </c>
      <c r="J232" s="24" t="s">
        <v>63</v>
      </c>
      <c r="K232" s="26">
        <f>SUM(E232:J232)</f>
        <v>106670.0</v>
      </c>
      <c r="L232" s="26">
        <f>D232-K232</f>
        <v>0.0</v>
      </c>
      <c r="M232" s="24" t="s">
        <v>1617</v>
      </c>
      <c r="N232" s="24" t="str">
        <f>C232&amp;"|"&amp;A232</f>
        <v>001|2651086</v>
      </c>
    </row>
    <row r="233" spans="1:14">
      <c r="A233" s="24" t="s">
        <v>806</v>
      </c>
      <c r="B233" s="24" t="s">
        <v>808</v>
      </c>
      <c r="C233" s="24" t="s">
        <v>54</v>
      </c>
      <c r="D233" s="25">
        <v>306148</v>
      </c>
      <c r="E233" s="25">
        <v>0</v>
      </c>
      <c r="F233" s="25">
        <v>0</v>
      </c>
      <c r="G233" s="25">
        <v>306148</v>
      </c>
      <c r="H233" s="25">
        <v>0</v>
      </c>
      <c r="I233" s="25">
        <v>0</v>
      </c>
      <c r="J233" s="24" t="s">
        <v>63</v>
      </c>
      <c r="K233" s="26">
        <f>SUM(E233:J233)</f>
        <v>306148.0</v>
      </c>
      <c r="L233" s="26">
        <f>D233-K233</f>
        <v>0.0</v>
      </c>
      <c r="M233" s="24" t="s">
        <v>1617</v>
      </c>
      <c r="N233" s="24" t="str">
        <f>C233&amp;"|"&amp;A233</f>
        <v>001|2652121</v>
      </c>
    </row>
    <row r="234" spans="1:14">
      <c r="A234" s="24" t="s">
        <v>809</v>
      </c>
      <c r="B234" s="24" t="s">
        <v>811</v>
      </c>
      <c r="C234" s="24" t="s">
        <v>54</v>
      </c>
      <c r="D234" s="25">
        <v>159574</v>
      </c>
      <c r="E234" s="25">
        <v>0</v>
      </c>
      <c r="F234" s="25">
        <v>0</v>
      </c>
      <c r="G234" s="25">
        <v>159574</v>
      </c>
      <c r="H234" s="25">
        <v>0</v>
      </c>
      <c r="I234" s="25">
        <v>0</v>
      </c>
      <c r="J234" s="24" t="s">
        <v>63</v>
      </c>
      <c r="K234" s="26">
        <f>SUM(E234:J234)</f>
        <v>159574.0</v>
      </c>
      <c r="L234" s="26">
        <f>D234-K234</f>
        <v>0.0</v>
      </c>
      <c r="M234" s="24" t="s">
        <v>1617</v>
      </c>
      <c r="N234" s="24" t="str">
        <f>C234&amp;"|"&amp;A234</f>
        <v>001|2659575</v>
      </c>
    </row>
    <row r="235" spans="1:14">
      <c r="A235" s="24" t="s">
        <v>812</v>
      </c>
      <c r="B235" s="24" t="s">
        <v>814</v>
      </c>
      <c r="C235" s="24" t="s">
        <v>54</v>
      </c>
      <c r="D235" s="25">
        <v>50467</v>
      </c>
      <c r="E235" s="25">
        <v>0</v>
      </c>
      <c r="F235" s="25">
        <v>0</v>
      </c>
      <c r="G235" s="25">
        <v>50467</v>
      </c>
      <c r="H235" s="25">
        <v>0</v>
      </c>
      <c r="I235" s="25">
        <v>0</v>
      </c>
      <c r="J235" s="24" t="s">
        <v>63</v>
      </c>
      <c r="K235" s="26">
        <f>SUM(E235:J235)</f>
        <v>50467.0</v>
      </c>
      <c r="L235" s="26">
        <f>D235-K235</f>
        <v>0.0</v>
      </c>
      <c r="M235" s="24" t="s">
        <v>1617</v>
      </c>
      <c r="N235" s="24" t="str">
        <f>C235&amp;"|"&amp;A235</f>
        <v>001|2673614</v>
      </c>
    </row>
    <row r="236" spans="1:14">
      <c r="A236" s="24" t="s">
        <v>815</v>
      </c>
      <c r="B236" s="24" t="s">
        <v>817</v>
      </c>
      <c r="C236" s="24" t="s">
        <v>54</v>
      </c>
      <c r="D236" s="25">
        <v>0</v>
      </c>
      <c r="E236" s="25">
        <v>0</v>
      </c>
      <c r="F236" s="25">
        <v>0</v>
      </c>
      <c r="G236" s="25">
        <v>0</v>
      </c>
      <c r="H236" s="25">
        <v>0</v>
      </c>
      <c r="I236" s="25">
        <v>0</v>
      </c>
      <c r="J236" s="24" t="s">
        <v>63</v>
      </c>
      <c r="K236" s="26">
        <f>SUM(E236:J236)</f>
        <v>0.0</v>
      </c>
      <c r="L236" s="26">
        <f>D236-K236</f>
        <v>0.0</v>
      </c>
      <c r="M236" s="24" t="s">
        <v>1617</v>
      </c>
      <c r="N236" s="24" t="str">
        <f>C236&amp;"|"&amp;A236</f>
        <v>001|2506927</v>
      </c>
    </row>
    <row r="237" spans="1:14">
      <c r="A237" s="24" t="s">
        <v>818</v>
      </c>
      <c r="B237" s="24" t="s">
        <v>820</v>
      </c>
      <c r="C237" s="24" t="s">
        <v>54</v>
      </c>
      <c r="D237" s="25">
        <v>2394005</v>
      </c>
      <c r="E237" s="25">
        <v>0</v>
      </c>
      <c r="F237" s="25">
        <v>653776</v>
      </c>
      <c r="G237" s="25">
        <v>0</v>
      </c>
      <c r="H237" s="25">
        <v>1740229</v>
      </c>
      <c r="I237" s="25">
        <v>0</v>
      </c>
      <c r="J237" s="24" t="s">
        <v>63</v>
      </c>
      <c r="K237" s="26">
        <f>SUM(E237:J237)</f>
        <v>2394005.0</v>
      </c>
      <c r="L237" s="26">
        <f>D237-K237</f>
        <v>0.0</v>
      </c>
      <c r="M237" s="24" t="s">
        <v>1617</v>
      </c>
      <c r="N237" s="24" t="str">
        <f>C237&amp;"|"&amp;A237</f>
        <v>001|2650473</v>
      </c>
    </row>
    <row r="238" spans="1:14">
      <c r="A238" s="24" t="s">
        <v>821</v>
      </c>
      <c r="B238" s="24" t="s">
        <v>823</v>
      </c>
      <c r="C238" s="24" t="s">
        <v>54</v>
      </c>
      <c r="D238" s="25">
        <v>350198</v>
      </c>
      <c r="E238" s="25">
        <v>0</v>
      </c>
      <c r="F238" s="25">
        <v>0</v>
      </c>
      <c r="G238" s="25">
        <v>350198</v>
      </c>
      <c r="H238" s="25">
        <v>0</v>
      </c>
      <c r="I238" s="25">
        <v>0</v>
      </c>
      <c r="J238" s="24" t="s">
        <v>63</v>
      </c>
      <c r="K238" s="26">
        <f>SUM(E238:J238)</f>
        <v>350198.0</v>
      </c>
      <c r="L238" s="26">
        <f>D238-K238</f>
        <v>0.0</v>
      </c>
      <c r="M238" s="24" t="s">
        <v>1617</v>
      </c>
      <c r="N238" s="24" t="str">
        <f>C238&amp;"|"&amp;A238</f>
        <v>001|2159836</v>
      </c>
    </row>
    <row r="239" spans="1:14">
      <c r="A239" s="24" t="s">
        <v>824</v>
      </c>
      <c r="B239" s="24" t="s">
        <v>826</v>
      </c>
      <c r="C239" s="24" t="s">
        <v>54</v>
      </c>
      <c r="D239" s="25">
        <v>0</v>
      </c>
      <c r="E239" s="25">
        <v>0</v>
      </c>
      <c r="F239" s="25">
        <v>0</v>
      </c>
      <c r="G239" s="25">
        <v>0</v>
      </c>
      <c r="H239" s="25">
        <v>0</v>
      </c>
      <c r="I239" s="25">
        <v>0</v>
      </c>
      <c r="J239" s="24" t="s">
        <v>63</v>
      </c>
      <c r="K239" s="26">
        <f>SUM(E239:J239)</f>
        <v>0.0</v>
      </c>
      <c r="L239" s="26">
        <f>D239-K239</f>
        <v>0.0</v>
      </c>
      <c r="M239" s="24" t="s">
        <v>1617</v>
      </c>
      <c r="N239" s="24" t="str">
        <f>C239&amp;"|"&amp;A239</f>
        <v>001|2185111</v>
      </c>
    </row>
    <row r="240" spans="1:14">
      <c r="A240" s="24" t="s">
        <v>827</v>
      </c>
      <c r="B240" s="24" t="s">
        <v>829</v>
      </c>
      <c r="C240" s="24" t="s">
        <v>54</v>
      </c>
      <c r="D240" s="25">
        <v>0</v>
      </c>
      <c r="E240" s="25">
        <v>0</v>
      </c>
      <c r="F240" s="25">
        <v>0</v>
      </c>
      <c r="G240" s="25">
        <v>0</v>
      </c>
      <c r="H240" s="25">
        <v>0</v>
      </c>
      <c r="I240" s="25">
        <v>0</v>
      </c>
      <c r="J240" s="24" t="s">
        <v>63</v>
      </c>
      <c r="K240" s="26">
        <f>SUM(E240:J240)</f>
        <v>0.0</v>
      </c>
      <c r="L240" s="26">
        <f>D240-K240</f>
        <v>0.0</v>
      </c>
      <c r="M240" s="24" t="s">
        <v>1617</v>
      </c>
      <c r="N240" s="24" t="str">
        <f>C240&amp;"|"&amp;A240</f>
        <v>001|2338085</v>
      </c>
    </row>
    <row r="241" spans="1:14">
      <c r="A241" s="24" t="s">
        <v>830</v>
      </c>
      <c r="B241" s="24" t="s">
        <v>832</v>
      </c>
      <c r="C241" s="24" t="s">
        <v>54</v>
      </c>
      <c r="D241" s="25">
        <v>0</v>
      </c>
      <c r="E241" s="25">
        <v>0</v>
      </c>
      <c r="F241" s="25">
        <v>0</v>
      </c>
      <c r="G241" s="25">
        <v>0</v>
      </c>
      <c r="H241" s="25">
        <v>0</v>
      </c>
      <c r="I241" s="25">
        <v>0</v>
      </c>
      <c r="J241" s="24" t="s">
        <v>63</v>
      </c>
      <c r="K241" s="26">
        <f>SUM(E241:J241)</f>
        <v>0.0</v>
      </c>
      <c r="L241" s="26">
        <f>D241-K241</f>
        <v>0.0</v>
      </c>
      <c r="M241" s="24" t="s">
        <v>1617</v>
      </c>
      <c r="N241" s="24" t="str">
        <f>C241&amp;"|"&amp;A241</f>
        <v>001|2316291</v>
      </c>
    </row>
    <row r="242" spans="1:14">
      <c r="A242" s="24" t="s">
        <v>833</v>
      </c>
      <c r="B242" s="24" t="s">
        <v>835</v>
      </c>
      <c r="C242" s="24" t="s">
        <v>54</v>
      </c>
      <c r="D242" s="25">
        <v>0</v>
      </c>
      <c r="E242" s="25">
        <v>0</v>
      </c>
      <c r="F242" s="25">
        <v>0</v>
      </c>
      <c r="G242" s="25">
        <v>0</v>
      </c>
      <c r="H242" s="25">
        <v>0</v>
      </c>
      <c r="I242" s="25">
        <v>0</v>
      </c>
      <c r="J242" s="24" t="s">
        <v>63</v>
      </c>
      <c r="K242" s="26">
        <f>SUM(E242:J242)</f>
        <v>0.0</v>
      </c>
      <c r="L242" s="26">
        <f>D242-K242</f>
        <v>0.0</v>
      </c>
      <c r="M242" s="24" t="s">
        <v>1617</v>
      </c>
      <c r="N242" s="24" t="str">
        <f>C242&amp;"|"&amp;A242</f>
        <v>001|2470024</v>
      </c>
    </row>
    <row r="243" spans="1:14">
      <c r="A243" s="24" t="s">
        <v>836</v>
      </c>
      <c r="B243" s="24" t="s">
        <v>838</v>
      </c>
      <c r="C243" s="24" t="s">
        <v>54</v>
      </c>
      <c r="D243" s="25">
        <v>100000</v>
      </c>
      <c r="E243" s="25">
        <v>0</v>
      </c>
      <c r="F243" s="25">
        <v>0</v>
      </c>
      <c r="G243" s="25">
        <v>100000</v>
      </c>
      <c r="H243" s="25">
        <v>0</v>
      </c>
      <c r="I243" s="25">
        <v>0</v>
      </c>
      <c r="J243" s="24" t="s">
        <v>63</v>
      </c>
      <c r="K243" s="26">
        <f>SUM(E243:J243)</f>
        <v>100000.0</v>
      </c>
      <c r="L243" s="26">
        <f>D243-K243</f>
        <v>0.0</v>
      </c>
      <c r="M243" s="24" t="s">
        <v>1617</v>
      </c>
      <c r="N243" s="24" t="str">
        <f>C243&amp;"|"&amp;A243</f>
        <v>001|2585398</v>
      </c>
    </row>
    <row r="244" spans="1:14">
      <c r="A244" s="24" t="s">
        <v>839</v>
      </c>
      <c r="B244" s="24" t="s">
        <v>841</v>
      </c>
      <c r="C244" s="24" t="s">
        <v>54</v>
      </c>
      <c r="D244" s="25">
        <v>391951</v>
      </c>
      <c r="E244" s="25">
        <v>0</v>
      </c>
      <c r="F244" s="25">
        <v>0</v>
      </c>
      <c r="G244" s="25">
        <v>391951</v>
      </c>
      <c r="H244" s="25">
        <v>0</v>
      </c>
      <c r="I244" s="25">
        <v>0</v>
      </c>
      <c r="J244" s="24" t="s">
        <v>63</v>
      </c>
      <c r="K244" s="26">
        <f>SUM(E244:J244)</f>
        <v>391951.0</v>
      </c>
      <c r="L244" s="26">
        <f>D244-K244</f>
        <v>0.0</v>
      </c>
      <c r="M244" s="24" t="s">
        <v>1617</v>
      </c>
      <c r="N244" s="24" t="str">
        <f>C244&amp;"|"&amp;A244</f>
        <v>001|2585541</v>
      </c>
    </row>
    <row r="245" spans="1:14">
      <c r="A245" s="24" t="s">
        <v>842</v>
      </c>
      <c r="B245" s="24" t="s">
        <v>844</v>
      </c>
      <c r="C245" s="24" t="s">
        <v>54</v>
      </c>
      <c r="D245" s="25">
        <v>0</v>
      </c>
      <c r="E245" s="25">
        <v>0</v>
      </c>
      <c r="F245" s="25">
        <v>0</v>
      </c>
      <c r="G245" s="25">
        <v>0</v>
      </c>
      <c r="H245" s="25">
        <v>0</v>
      </c>
      <c r="I245" s="25">
        <v>0</v>
      </c>
      <c r="J245" s="24" t="s">
        <v>63</v>
      </c>
      <c r="K245" s="26">
        <f>SUM(E245:J245)</f>
        <v>0.0</v>
      </c>
      <c r="L245" s="26">
        <f>D245-K245</f>
        <v>0.0</v>
      </c>
      <c r="M245" s="24" t="s">
        <v>1617</v>
      </c>
      <c r="N245" s="24" t="str">
        <f>C245&amp;"|"&amp;A245</f>
        <v>001|2591732</v>
      </c>
    </row>
    <row r="246" spans="1:14">
      <c r="A246" s="24" t="s">
        <v>845</v>
      </c>
      <c r="B246" s="24" t="s">
        <v>847</v>
      </c>
      <c r="C246" s="24" t="s">
        <v>54</v>
      </c>
      <c r="D246" s="25">
        <v>171047</v>
      </c>
      <c r="E246" s="25">
        <v>0</v>
      </c>
      <c r="F246" s="25">
        <v>0</v>
      </c>
      <c r="G246" s="25">
        <v>171047</v>
      </c>
      <c r="H246" s="25">
        <v>0</v>
      </c>
      <c r="I246" s="25">
        <v>0</v>
      </c>
      <c r="J246" s="24" t="s">
        <v>63</v>
      </c>
      <c r="K246" s="26">
        <f>SUM(E246:J246)</f>
        <v>171047.0</v>
      </c>
      <c r="L246" s="26">
        <f>D246-K246</f>
        <v>0.0</v>
      </c>
      <c r="M246" s="24" t="s">
        <v>1617</v>
      </c>
      <c r="N246" s="24" t="str">
        <f>C246&amp;"|"&amp;A246</f>
        <v>001|2602159</v>
      </c>
    </row>
    <row r="247" spans="1:14">
      <c r="A247" s="24" t="s">
        <v>848</v>
      </c>
      <c r="B247" s="24" t="s">
        <v>850</v>
      </c>
      <c r="C247" s="24" t="s">
        <v>54</v>
      </c>
      <c r="D247" s="25">
        <v>840279</v>
      </c>
      <c r="E247" s="25">
        <v>0</v>
      </c>
      <c r="F247" s="25">
        <v>0</v>
      </c>
      <c r="G247" s="25">
        <v>840279</v>
      </c>
      <c r="H247" s="25">
        <v>0</v>
      </c>
      <c r="I247" s="25">
        <v>0</v>
      </c>
      <c r="J247" s="24" t="s">
        <v>63</v>
      </c>
      <c r="K247" s="26">
        <f>SUM(E247:J247)</f>
        <v>840279.0</v>
      </c>
      <c r="L247" s="26">
        <f>D247-K247</f>
        <v>0.0</v>
      </c>
      <c r="M247" s="24" t="s">
        <v>1617</v>
      </c>
      <c r="N247" s="24" t="str">
        <f>C247&amp;"|"&amp;A247</f>
        <v>001|2603164</v>
      </c>
    </row>
    <row r="248" spans="1:14">
      <c r="A248" s="24" t="s">
        <v>851</v>
      </c>
      <c r="B248" s="24" t="s">
        <v>853</v>
      </c>
      <c r="C248" s="24" t="s">
        <v>54</v>
      </c>
      <c r="D248" s="25">
        <v>674368</v>
      </c>
      <c r="E248" s="25">
        <v>0</v>
      </c>
      <c r="F248" s="25">
        <v>0</v>
      </c>
      <c r="G248" s="25">
        <v>674368</v>
      </c>
      <c r="H248" s="25">
        <v>0</v>
      </c>
      <c r="I248" s="25">
        <v>0</v>
      </c>
      <c r="J248" s="24" t="s">
        <v>63</v>
      </c>
      <c r="K248" s="26">
        <f>SUM(E248:J248)</f>
        <v>674368.0</v>
      </c>
      <c r="L248" s="26">
        <f>D248-K248</f>
        <v>0.0</v>
      </c>
      <c r="M248" s="24" t="s">
        <v>1617</v>
      </c>
      <c r="N248" s="24" t="str">
        <f>C248&amp;"|"&amp;A248</f>
        <v>001|2603281</v>
      </c>
    </row>
    <row r="249" spans="1:14">
      <c r="A249" s="24" t="s">
        <v>854</v>
      </c>
      <c r="B249" s="24" t="s">
        <v>856</v>
      </c>
      <c r="C249" s="24" t="s">
        <v>54</v>
      </c>
      <c r="D249" s="25">
        <v>520686</v>
      </c>
      <c r="E249" s="25">
        <v>0</v>
      </c>
      <c r="F249" s="25">
        <v>0</v>
      </c>
      <c r="G249" s="25">
        <v>520686</v>
      </c>
      <c r="H249" s="25">
        <v>0</v>
      </c>
      <c r="I249" s="25">
        <v>0</v>
      </c>
      <c r="J249" s="24" t="s">
        <v>63</v>
      </c>
      <c r="K249" s="26">
        <f>SUM(E249:J249)</f>
        <v>520686.0</v>
      </c>
      <c r="L249" s="26">
        <f>D249-K249</f>
        <v>0.0</v>
      </c>
      <c r="M249" s="24" t="s">
        <v>1617</v>
      </c>
      <c r="N249" s="24" t="str">
        <f>C249&amp;"|"&amp;A249</f>
        <v>001|2607527</v>
      </c>
    </row>
    <row r="250" spans="1:14">
      <c r="A250" s="24" t="s">
        <v>857</v>
      </c>
      <c r="B250" s="24" t="s">
        <v>859</v>
      </c>
      <c r="C250" s="24" t="s">
        <v>54</v>
      </c>
      <c r="D250" s="25">
        <v>321536</v>
      </c>
      <c r="E250" s="25">
        <v>0</v>
      </c>
      <c r="F250" s="25">
        <v>0</v>
      </c>
      <c r="G250" s="25">
        <v>321536</v>
      </c>
      <c r="H250" s="25">
        <v>0</v>
      </c>
      <c r="I250" s="25">
        <v>0</v>
      </c>
      <c r="J250" s="24" t="s">
        <v>63</v>
      </c>
      <c r="K250" s="26">
        <f>SUM(E250:J250)</f>
        <v>321536.0</v>
      </c>
      <c r="L250" s="26">
        <f>D250-K250</f>
        <v>0.0</v>
      </c>
      <c r="M250" s="24" t="s">
        <v>1617</v>
      </c>
      <c r="N250" s="24" t="str">
        <f>C250&amp;"|"&amp;A250</f>
        <v>001|2614553</v>
      </c>
    </row>
    <row r="251" spans="1:14">
      <c r="A251" s="24" t="s">
        <v>860</v>
      </c>
      <c r="B251" s="24" t="s">
        <v>862</v>
      </c>
      <c r="C251" s="24" t="s">
        <v>54</v>
      </c>
      <c r="D251" s="25">
        <v>230847</v>
      </c>
      <c r="E251" s="25">
        <v>0</v>
      </c>
      <c r="F251" s="25">
        <v>0</v>
      </c>
      <c r="G251" s="25">
        <v>230847</v>
      </c>
      <c r="H251" s="25">
        <v>0</v>
      </c>
      <c r="I251" s="25">
        <v>0</v>
      </c>
      <c r="J251" s="24" t="s">
        <v>63</v>
      </c>
      <c r="K251" s="26">
        <f>SUM(E251:J251)</f>
        <v>230847.0</v>
      </c>
      <c r="L251" s="26">
        <f>D251-K251</f>
        <v>0.0</v>
      </c>
      <c r="M251" s="24" t="s">
        <v>1617</v>
      </c>
      <c r="N251" s="24" t="str">
        <f>C251&amp;"|"&amp;A251</f>
        <v>001|2645503</v>
      </c>
    </row>
    <row r="252" spans="1:14">
      <c r="A252" s="24" t="s">
        <v>863</v>
      </c>
      <c r="B252" s="24" t="s">
        <v>865</v>
      </c>
      <c r="C252" s="24" t="s">
        <v>54</v>
      </c>
      <c r="D252" s="25">
        <v>349206</v>
      </c>
      <c r="E252" s="25">
        <v>0</v>
      </c>
      <c r="F252" s="25">
        <v>0</v>
      </c>
      <c r="G252" s="25">
        <v>349206</v>
      </c>
      <c r="H252" s="25">
        <v>0</v>
      </c>
      <c r="I252" s="25">
        <v>0</v>
      </c>
      <c r="J252" s="24" t="s">
        <v>63</v>
      </c>
      <c r="K252" s="26">
        <f>SUM(E252:J252)</f>
        <v>349206.0</v>
      </c>
      <c r="L252" s="26">
        <f>D252-K252</f>
        <v>0.0</v>
      </c>
      <c r="M252" s="24" t="s">
        <v>1617</v>
      </c>
      <c r="N252" s="24" t="str">
        <f>C252&amp;"|"&amp;A252</f>
        <v>001|2646859</v>
      </c>
    </row>
    <row r="253" spans="1:14">
      <c r="A253" s="24" t="s">
        <v>866</v>
      </c>
      <c r="B253" s="24" t="s">
        <v>868</v>
      </c>
      <c r="C253" s="24" t="s">
        <v>54</v>
      </c>
      <c r="D253" s="25">
        <v>239379</v>
      </c>
      <c r="E253" s="25">
        <v>0</v>
      </c>
      <c r="F253" s="25">
        <v>0</v>
      </c>
      <c r="G253" s="25">
        <v>239379</v>
      </c>
      <c r="H253" s="25">
        <v>0</v>
      </c>
      <c r="I253" s="25">
        <v>0</v>
      </c>
      <c r="J253" s="24" t="s">
        <v>63</v>
      </c>
      <c r="K253" s="26">
        <f>SUM(E253:J253)</f>
        <v>239379.0</v>
      </c>
      <c r="L253" s="26">
        <f>D253-K253</f>
        <v>0.0</v>
      </c>
      <c r="M253" s="24" t="s">
        <v>1617</v>
      </c>
      <c r="N253" s="24" t="str">
        <f>C253&amp;"|"&amp;A253</f>
        <v>001|2649221</v>
      </c>
    </row>
    <row r="254" spans="1:14">
      <c r="A254" s="24" t="s">
        <v>869</v>
      </c>
      <c r="B254" s="24" t="s">
        <v>871</v>
      </c>
      <c r="C254" s="24" t="s">
        <v>54</v>
      </c>
      <c r="D254" s="25">
        <v>118786</v>
      </c>
      <c r="E254" s="25">
        <v>0</v>
      </c>
      <c r="F254" s="25">
        <v>0</v>
      </c>
      <c r="G254" s="25">
        <v>118786</v>
      </c>
      <c r="H254" s="25">
        <v>0</v>
      </c>
      <c r="I254" s="25">
        <v>0</v>
      </c>
      <c r="J254" s="24" t="s">
        <v>63</v>
      </c>
      <c r="K254" s="26">
        <f>SUM(E254:J254)</f>
        <v>118786.0</v>
      </c>
      <c r="L254" s="26">
        <f>D254-K254</f>
        <v>0.0</v>
      </c>
      <c r="M254" s="24" t="s">
        <v>1617</v>
      </c>
      <c r="N254" s="24" t="str">
        <f>C254&amp;"|"&amp;A254</f>
        <v>001|2651270</v>
      </c>
    </row>
    <row r="255" spans="1:14">
      <c r="A255" s="24" t="s">
        <v>872</v>
      </c>
      <c r="B255" s="24" t="s">
        <v>874</v>
      </c>
      <c r="C255" s="24" t="s">
        <v>54</v>
      </c>
      <c r="D255" s="25">
        <v>141416</v>
      </c>
      <c r="E255" s="25">
        <v>0</v>
      </c>
      <c r="F255" s="25">
        <v>0</v>
      </c>
      <c r="G255" s="25">
        <v>141416</v>
      </c>
      <c r="H255" s="25">
        <v>0</v>
      </c>
      <c r="I255" s="25">
        <v>0</v>
      </c>
      <c r="J255" s="24" t="s">
        <v>63</v>
      </c>
      <c r="K255" s="26">
        <f>SUM(E255:J255)</f>
        <v>141416.0</v>
      </c>
      <c r="L255" s="26">
        <f>D255-K255</f>
        <v>0.0</v>
      </c>
      <c r="M255" s="24" t="s">
        <v>1617</v>
      </c>
      <c r="N255" s="24" t="str">
        <f>C255&amp;"|"&amp;A255</f>
        <v>001|2651271</v>
      </c>
    </row>
    <row r="256" spans="1:14">
      <c r="A256" s="24" t="s">
        <v>875</v>
      </c>
      <c r="B256" s="24" t="s">
        <v>877</v>
      </c>
      <c r="C256" s="24" t="s">
        <v>54</v>
      </c>
      <c r="D256" s="25">
        <v>230550</v>
      </c>
      <c r="E256" s="25">
        <v>0</v>
      </c>
      <c r="F256" s="25">
        <v>0</v>
      </c>
      <c r="G256" s="25">
        <v>230550</v>
      </c>
      <c r="H256" s="25">
        <v>0</v>
      </c>
      <c r="I256" s="25">
        <v>0</v>
      </c>
      <c r="J256" s="24" t="s">
        <v>63</v>
      </c>
      <c r="K256" s="26">
        <f>SUM(E256:J256)</f>
        <v>230550.0</v>
      </c>
      <c r="L256" s="26">
        <f>D256-K256</f>
        <v>0.0</v>
      </c>
      <c r="M256" s="24" t="s">
        <v>1617</v>
      </c>
      <c r="N256" s="24" t="str">
        <f>C256&amp;"|"&amp;A256</f>
        <v>001|2652984</v>
      </c>
    </row>
    <row r="257" spans="1:14">
      <c r="A257" s="24" t="s">
        <v>878</v>
      </c>
      <c r="B257" s="24" t="s">
        <v>880</v>
      </c>
      <c r="C257" s="24" t="s">
        <v>54</v>
      </c>
      <c r="D257" s="25">
        <v>490000</v>
      </c>
      <c r="E257" s="25">
        <v>0</v>
      </c>
      <c r="F257" s="25">
        <v>0</v>
      </c>
      <c r="G257" s="25">
        <v>490000</v>
      </c>
      <c r="H257" s="25">
        <v>0</v>
      </c>
      <c r="I257" s="25">
        <v>0</v>
      </c>
      <c r="J257" s="24" t="s">
        <v>63</v>
      </c>
      <c r="K257" s="26">
        <f>SUM(E257:J257)</f>
        <v>490000.0</v>
      </c>
      <c r="L257" s="26">
        <f>D257-K257</f>
        <v>0.0</v>
      </c>
      <c r="M257" s="24" t="s">
        <v>1617</v>
      </c>
      <c r="N257" s="24" t="str">
        <f>C257&amp;"|"&amp;A257</f>
        <v>001|2653737</v>
      </c>
    </row>
    <row r="258" spans="1:14">
      <c r="A258" s="24" t="s">
        <v>881</v>
      </c>
      <c r="B258" s="24" t="s">
        <v>883</v>
      </c>
      <c r="C258" s="24" t="s">
        <v>54</v>
      </c>
      <c r="D258" s="25">
        <v>0</v>
      </c>
      <c r="E258" s="25">
        <v>0</v>
      </c>
      <c r="F258" s="25">
        <v>0</v>
      </c>
      <c r="G258" s="25">
        <v>0</v>
      </c>
      <c r="H258" s="25">
        <v>0</v>
      </c>
      <c r="I258" s="25">
        <v>0</v>
      </c>
      <c r="J258" s="24" t="s">
        <v>63</v>
      </c>
      <c r="K258" s="26">
        <f>SUM(E258:J258)</f>
        <v>0.0</v>
      </c>
      <c r="L258" s="26">
        <f>D258-K258</f>
        <v>0.0</v>
      </c>
      <c r="M258" s="24" t="s">
        <v>1617</v>
      </c>
      <c r="N258" s="24" t="str">
        <f>C258&amp;"|"&amp;A258</f>
        <v>001|2653926</v>
      </c>
    </row>
    <row r="259" spans="1:14">
      <c r="A259" s="24" t="s">
        <v>884</v>
      </c>
      <c r="B259" s="24" t="s">
        <v>886</v>
      </c>
      <c r="C259" s="24" t="s">
        <v>54</v>
      </c>
      <c r="D259" s="25">
        <v>601668</v>
      </c>
      <c r="E259" s="25">
        <v>0</v>
      </c>
      <c r="F259" s="25">
        <v>0</v>
      </c>
      <c r="G259" s="25">
        <v>601668</v>
      </c>
      <c r="H259" s="25">
        <v>0</v>
      </c>
      <c r="I259" s="25">
        <v>0</v>
      </c>
      <c r="J259" s="24" t="s">
        <v>63</v>
      </c>
      <c r="K259" s="26">
        <f>SUM(E259:J259)</f>
        <v>601668.0</v>
      </c>
      <c r="L259" s="26">
        <f>D259-K259</f>
        <v>0.0</v>
      </c>
      <c r="M259" s="24" t="s">
        <v>1617</v>
      </c>
      <c r="N259" s="24" t="str">
        <f>C259&amp;"|"&amp;A259</f>
        <v>001|2654509</v>
      </c>
    </row>
    <row r="260" spans="1:14">
      <c r="A260" s="24" t="s">
        <v>887</v>
      </c>
      <c r="B260" s="24" t="s">
        <v>889</v>
      </c>
      <c r="C260" s="24" t="s">
        <v>54</v>
      </c>
      <c r="D260" s="25">
        <v>870779</v>
      </c>
      <c r="E260" s="25">
        <v>0</v>
      </c>
      <c r="F260" s="25">
        <v>0</v>
      </c>
      <c r="G260" s="25">
        <v>870779</v>
      </c>
      <c r="H260" s="25">
        <v>0</v>
      </c>
      <c r="I260" s="25">
        <v>0</v>
      </c>
      <c r="J260" s="24" t="s">
        <v>63</v>
      </c>
      <c r="K260" s="26">
        <f>SUM(E260:J260)</f>
        <v>870779.0</v>
      </c>
      <c r="L260" s="26">
        <f>D260-K260</f>
        <v>0.0</v>
      </c>
      <c r="M260" s="24" t="s">
        <v>1617</v>
      </c>
      <c r="N260" s="24" t="str">
        <f>C260&amp;"|"&amp;A260</f>
        <v>001|2654549</v>
      </c>
    </row>
    <row r="261" spans="1:14">
      <c r="A261" s="24" t="s">
        <v>890</v>
      </c>
      <c r="B261" s="24" t="s">
        <v>892</v>
      </c>
      <c r="C261" s="24" t="s">
        <v>54</v>
      </c>
      <c r="D261" s="25">
        <v>101523</v>
      </c>
      <c r="E261" s="25">
        <v>0</v>
      </c>
      <c r="F261" s="25">
        <v>0</v>
      </c>
      <c r="G261" s="25">
        <v>101523</v>
      </c>
      <c r="H261" s="25">
        <v>0</v>
      </c>
      <c r="I261" s="25">
        <v>0</v>
      </c>
      <c r="J261" s="24" t="s">
        <v>63</v>
      </c>
      <c r="K261" s="26">
        <f>SUM(E261:J261)</f>
        <v>101523.0</v>
      </c>
      <c r="L261" s="26">
        <f>D261-K261</f>
        <v>0.0</v>
      </c>
      <c r="M261" s="24" t="s">
        <v>1617</v>
      </c>
      <c r="N261" s="24" t="str">
        <f>C261&amp;"|"&amp;A261</f>
        <v>001|2655389</v>
      </c>
    </row>
    <row r="262" spans="1:14">
      <c r="A262" s="24" t="s">
        <v>893</v>
      </c>
      <c r="B262" s="24" t="s">
        <v>895</v>
      </c>
      <c r="C262" s="24" t="s">
        <v>54</v>
      </c>
      <c r="D262" s="25">
        <v>0</v>
      </c>
      <c r="E262" s="25">
        <v>0</v>
      </c>
      <c r="F262" s="25">
        <v>0</v>
      </c>
      <c r="G262" s="25">
        <v>0</v>
      </c>
      <c r="H262" s="25">
        <v>0</v>
      </c>
      <c r="I262" s="25">
        <v>0</v>
      </c>
      <c r="J262" s="24" t="s">
        <v>63</v>
      </c>
      <c r="K262" s="26">
        <f>SUM(E262:J262)</f>
        <v>0.0</v>
      </c>
      <c r="L262" s="26">
        <f>D262-K262</f>
        <v>0.0</v>
      </c>
      <c r="M262" s="24" t="s">
        <v>1617</v>
      </c>
      <c r="N262" s="24" t="str">
        <f>C262&amp;"|"&amp;A262</f>
        <v>001|2656599</v>
      </c>
    </row>
    <row r="263" spans="1:14">
      <c r="A263" s="24" t="s">
        <v>896</v>
      </c>
      <c r="B263" s="24" t="s">
        <v>898</v>
      </c>
      <c r="C263" s="24" t="s">
        <v>54</v>
      </c>
      <c r="D263" s="25">
        <v>300000</v>
      </c>
      <c r="E263" s="25">
        <v>0</v>
      </c>
      <c r="F263" s="25">
        <v>0</v>
      </c>
      <c r="G263" s="25">
        <v>300000</v>
      </c>
      <c r="H263" s="25">
        <v>0</v>
      </c>
      <c r="I263" s="25">
        <v>0</v>
      </c>
      <c r="J263" s="24" t="s">
        <v>63</v>
      </c>
      <c r="K263" s="26">
        <f>SUM(E263:J263)</f>
        <v>300000.0</v>
      </c>
      <c r="L263" s="26">
        <f>D263-K263</f>
        <v>0.0</v>
      </c>
      <c r="M263" s="24" t="s">
        <v>1617</v>
      </c>
      <c r="N263" s="24" t="str">
        <f>C263&amp;"|"&amp;A263</f>
        <v>001|2656878</v>
      </c>
    </row>
    <row r="264" spans="1:14">
      <c r="A264" s="24" t="s">
        <v>899</v>
      </c>
      <c r="B264" s="24" t="s">
        <v>901</v>
      </c>
      <c r="C264" s="24" t="s">
        <v>54</v>
      </c>
      <c r="D264" s="25">
        <v>330710</v>
      </c>
      <c r="E264" s="25">
        <v>0</v>
      </c>
      <c r="F264" s="25">
        <v>0</v>
      </c>
      <c r="G264" s="25">
        <v>330710</v>
      </c>
      <c r="H264" s="25">
        <v>0</v>
      </c>
      <c r="I264" s="25">
        <v>0</v>
      </c>
      <c r="J264" s="24" t="s">
        <v>63</v>
      </c>
      <c r="K264" s="26">
        <f>SUM(E264:J264)</f>
        <v>330710.0</v>
      </c>
      <c r="L264" s="26">
        <f>D264-K264</f>
        <v>0.0</v>
      </c>
      <c r="M264" s="24" t="s">
        <v>1617</v>
      </c>
      <c r="N264" s="24" t="str">
        <f>C264&amp;"|"&amp;A264</f>
        <v>001|2657159</v>
      </c>
    </row>
    <row r="265" spans="1:14">
      <c r="A265" s="24" t="s">
        <v>902</v>
      </c>
      <c r="B265" s="24" t="s">
        <v>904</v>
      </c>
      <c r="C265" s="24" t="s">
        <v>54</v>
      </c>
      <c r="D265" s="25">
        <v>50000</v>
      </c>
      <c r="E265" s="25">
        <v>0</v>
      </c>
      <c r="F265" s="25">
        <v>0</v>
      </c>
      <c r="G265" s="25">
        <v>50000</v>
      </c>
      <c r="H265" s="25">
        <v>0</v>
      </c>
      <c r="I265" s="25">
        <v>0</v>
      </c>
      <c r="J265" s="24" t="s">
        <v>63</v>
      </c>
      <c r="K265" s="26">
        <f>SUM(E265:J265)</f>
        <v>50000.0</v>
      </c>
      <c r="L265" s="26">
        <f>D265-K265</f>
        <v>0.0</v>
      </c>
      <c r="M265" s="24" t="s">
        <v>1617</v>
      </c>
      <c r="N265" s="24" t="str">
        <f>C265&amp;"|"&amp;A265</f>
        <v>001|2657484</v>
      </c>
    </row>
    <row r="266" spans="1:14">
      <c r="A266" s="24" t="s">
        <v>905</v>
      </c>
      <c r="B266" s="24" t="s">
        <v>907</v>
      </c>
      <c r="C266" s="24" t="s">
        <v>54</v>
      </c>
      <c r="D266" s="25">
        <v>278409</v>
      </c>
      <c r="E266" s="25">
        <v>0</v>
      </c>
      <c r="F266" s="25">
        <v>0</v>
      </c>
      <c r="G266" s="25">
        <v>278409</v>
      </c>
      <c r="H266" s="25">
        <v>0</v>
      </c>
      <c r="I266" s="25">
        <v>0</v>
      </c>
      <c r="J266" s="24" t="s">
        <v>63</v>
      </c>
      <c r="K266" s="26">
        <f>SUM(E266:J266)</f>
        <v>278409.0</v>
      </c>
      <c r="L266" s="26">
        <f>D266-K266</f>
        <v>0.0</v>
      </c>
      <c r="M266" s="24" t="s">
        <v>1617</v>
      </c>
      <c r="N266" s="24" t="str">
        <f>C266&amp;"|"&amp;A266</f>
        <v>001|2657867</v>
      </c>
    </row>
    <row r="267" spans="1:14">
      <c r="A267" s="24" t="s">
        <v>908</v>
      </c>
      <c r="B267" s="24" t="s">
        <v>910</v>
      </c>
      <c r="C267" s="24" t="s">
        <v>54</v>
      </c>
      <c r="D267" s="25">
        <v>390297</v>
      </c>
      <c r="E267" s="25">
        <v>0</v>
      </c>
      <c r="F267" s="25">
        <v>0</v>
      </c>
      <c r="G267" s="25">
        <v>390297</v>
      </c>
      <c r="H267" s="25">
        <v>0</v>
      </c>
      <c r="I267" s="25">
        <v>0</v>
      </c>
      <c r="J267" s="24" t="s">
        <v>63</v>
      </c>
      <c r="K267" s="26">
        <f>SUM(E267:J267)</f>
        <v>390297.0</v>
      </c>
      <c r="L267" s="26">
        <f>D267-K267</f>
        <v>0.0</v>
      </c>
      <c r="M267" s="24" t="s">
        <v>1617</v>
      </c>
      <c r="N267" s="24" t="str">
        <f>C267&amp;"|"&amp;A267</f>
        <v>001|2657953</v>
      </c>
    </row>
    <row r="268" spans="1:14">
      <c r="A268" s="24" t="s">
        <v>911</v>
      </c>
      <c r="B268" s="24" t="s">
        <v>913</v>
      </c>
      <c r="C268" s="24" t="s">
        <v>54</v>
      </c>
      <c r="D268" s="25">
        <v>159651</v>
      </c>
      <c r="E268" s="25">
        <v>0</v>
      </c>
      <c r="F268" s="25">
        <v>0</v>
      </c>
      <c r="G268" s="25">
        <v>159651</v>
      </c>
      <c r="H268" s="25">
        <v>0</v>
      </c>
      <c r="I268" s="25">
        <v>0</v>
      </c>
      <c r="J268" s="24" t="s">
        <v>63</v>
      </c>
      <c r="K268" s="26">
        <f>SUM(E268:J268)</f>
        <v>159651.0</v>
      </c>
      <c r="L268" s="26">
        <f>D268-K268</f>
        <v>0.0</v>
      </c>
      <c r="M268" s="24" t="s">
        <v>1617</v>
      </c>
      <c r="N268" s="24" t="str">
        <f>C268&amp;"|"&amp;A268</f>
        <v>001|2661648</v>
      </c>
    </row>
    <row r="269" spans="1:14">
      <c r="A269" s="24" t="s">
        <v>914</v>
      </c>
      <c r="B269" s="24" t="s">
        <v>916</v>
      </c>
      <c r="C269" s="24" t="s">
        <v>54</v>
      </c>
      <c r="D269" s="25">
        <v>703231</v>
      </c>
      <c r="E269" s="25">
        <v>0</v>
      </c>
      <c r="F269" s="25">
        <v>0</v>
      </c>
      <c r="G269" s="25">
        <v>703231</v>
      </c>
      <c r="H269" s="25">
        <v>0</v>
      </c>
      <c r="I269" s="25">
        <v>0</v>
      </c>
      <c r="J269" s="24" t="s">
        <v>63</v>
      </c>
      <c r="K269" s="26">
        <f>SUM(E269:J269)</f>
        <v>703231.0</v>
      </c>
      <c r="L269" s="26">
        <f>D269-K269</f>
        <v>0.0</v>
      </c>
      <c r="M269" s="24" t="s">
        <v>1617</v>
      </c>
      <c r="N269" s="24" t="str">
        <f>C269&amp;"|"&amp;A269</f>
        <v>001|2661660</v>
      </c>
    </row>
    <row r="270" spans="1:14">
      <c r="A270" s="24" t="s">
        <v>917</v>
      </c>
      <c r="B270" s="24" t="s">
        <v>919</v>
      </c>
      <c r="C270" s="24" t="s">
        <v>54</v>
      </c>
      <c r="D270" s="25">
        <v>0</v>
      </c>
      <c r="E270" s="25">
        <v>0</v>
      </c>
      <c r="F270" s="25">
        <v>0</v>
      </c>
      <c r="G270" s="25">
        <v>0</v>
      </c>
      <c r="H270" s="25">
        <v>0</v>
      </c>
      <c r="I270" s="25">
        <v>0</v>
      </c>
      <c r="J270" s="24" t="s">
        <v>63</v>
      </c>
      <c r="K270" s="26">
        <f>SUM(E270:J270)</f>
        <v>0.0</v>
      </c>
      <c r="L270" s="26">
        <f>D270-K270</f>
        <v>0.0</v>
      </c>
      <c r="M270" s="24" t="s">
        <v>1617</v>
      </c>
      <c r="N270" s="24" t="str">
        <f>C270&amp;"|"&amp;A270</f>
        <v>001|2666182</v>
      </c>
    </row>
    <row r="271" spans="1:14">
      <c r="A271" s="24" t="s">
        <v>920</v>
      </c>
      <c r="B271" s="24" t="s">
        <v>922</v>
      </c>
      <c r="C271" s="24" t="s">
        <v>54</v>
      </c>
      <c r="D271" s="25">
        <v>275790</v>
      </c>
      <c r="E271" s="25">
        <v>0</v>
      </c>
      <c r="F271" s="25">
        <v>0</v>
      </c>
      <c r="G271" s="25">
        <v>275790</v>
      </c>
      <c r="H271" s="25">
        <v>0</v>
      </c>
      <c r="I271" s="25">
        <v>0</v>
      </c>
      <c r="J271" s="24" t="s">
        <v>63</v>
      </c>
      <c r="K271" s="26">
        <f>SUM(E271:J271)</f>
        <v>275790.0</v>
      </c>
      <c r="L271" s="26">
        <f>D271-K271</f>
        <v>0.0</v>
      </c>
      <c r="M271" s="24" t="s">
        <v>1617</v>
      </c>
      <c r="N271" s="24" t="str">
        <f>C271&amp;"|"&amp;A271</f>
        <v>001|2670620</v>
      </c>
    </row>
    <row r="272" spans="1:14">
      <c r="A272" s="24" t="s">
        <v>923</v>
      </c>
      <c r="B272" s="24" t="s">
        <v>925</v>
      </c>
      <c r="C272" s="24" t="s">
        <v>54</v>
      </c>
      <c r="D272" s="25">
        <v>255799</v>
      </c>
      <c r="E272" s="25">
        <v>0</v>
      </c>
      <c r="F272" s="25">
        <v>0</v>
      </c>
      <c r="G272" s="25">
        <v>255799</v>
      </c>
      <c r="H272" s="25">
        <v>0</v>
      </c>
      <c r="I272" s="25">
        <v>0</v>
      </c>
      <c r="J272" s="24" t="s">
        <v>63</v>
      </c>
      <c r="K272" s="26">
        <f>SUM(E272:J272)</f>
        <v>255799.0</v>
      </c>
      <c r="L272" s="26">
        <f>D272-K272</f>
        <v>0.0</v>
      </c>
      <c r="M272" s="24" t="s">
        <v>1617</v>
      </c>
      <c r="N272" s="24" t="str">
        <f>C272&amp;"|"&amp;A272</f>
        <v>001|2673441</v>
      </c>
    </row>
    <row r="273" spans="1:14">
      <c r="A273" s="24" t="s">
        <v>926</v>
      </c>
      <c r="B273" s="24" t="s">
        <v>928</v>
      </c>
      <c r="C273" s="24" t="s">
        <v>54</v>
      </c>
      <c r="D273" s="25">
        <v>222962</v>
      </c>
      <c r="E273" s="25">
        <v>0</v>
      </c>
      <c r="F273" s="25">
        <v>0</v>
      </c>
      <c r="G273" s="25">
        <v>222962</v>
      </c>
      <c r="H273" s="25">
        <v>0</v>
      </c>
      <c r="I273" s="25">
        <v>0</v>
      </c>
      <c r="J273" s="24" t="s">
        <v>63</v>
      </c>
      <c r="K273" s="26">
        <f>SUM(E273:J273)</f>
        <v>222962.0</v>
      </c>
      <c r="L273" s="26">
        <f>D273-K273</f>
        <v>0.0</v>
      </c>
      <c r="M273" s="24" t="s">
        <v>1617</v>
      </c>
      <c r="N273" s="24" t="str">
        <f>C273&amp;"|"&amp;A273</f>
        <v>001|2681264</v>
      </c>
    </row>
    <row r="274" spans="1:14">
      <c r="A274" s="24" t="s">
        <v>930</v>
      </c>
      <c r="B274" s="24" t="s">
        <v>932</v>
      </c>
      <c r="C274" s="24" t="s">
        <v>54</v>
      </c>
      <c r="D274" s="25">
        <v>48882</v>
      </c>
      <c r="E274" s="25">
        <v>0</v>
      </c>
      <c r="F274" s="25">
        <v>0</v>
      </c>
      <c r="G274" s="25">
        <v>48882</v>
      </c>
      <c r="H274" s="25">
        <v>0</v>
      </c>
      <c r="I274" s="25">
        <v>0</v>
      </c>
      <c r="J274" s="24" t="s">
        <v>63</v>
      </c>
      <c r="K274" s="26">
        <f>SUM(E274:J274)</f>
        <v>48882.0</v>
      </c>
      <c r="L274" s="26">
        <f>D274-K274</f>
        <v>0.0</v>
      </c>
      <c r="M274" s="24" t="s">
        <v>1617</v>
      </c>
      <c r="N274" s="24" t="str">
        <f>C274&amp;"|"&amp;A274</f>
        <v>001|2645444</v>
      </c>
    </row>
    <row r="275" spans="1:14">
      <c r="A275" s="24" t="s">
        <v>933</v>
      </c>
      <c r="B275" s="24" t="s">
        <v>935</v>
      </c>
      <c r="C275" s="24" t="s">
        <v>54</v>
      </c>
      <c r="D275" s="25">
        <v>25425</v>
      </c>
      <c r="E275" s="25">
        <v>0</v>
      </c>
      <c r="F275" s="25">
        <v>0</v>
      </c>
      <c r="G275" s="25">
        <v>25425</v>
      </c>
      <c r="H275" s="25">
        <v>0</v>
      </c>
      <c r="I275" s="25">
        <v>0</v>
      </c>
      <c r="J275" s="24" t="s">
        <v>63</v>
      </c>
      <c r="K275" s="26">
        <f>SUM(E275:J275)</f>
        <v>25425.0</v>
      </c>
      <c r="L275" s="26">
        <f>D275-K275</f>
        <v>0.0</v>
      </c>
      <c r="M275" s="24" t="s">
        <v>1617</v>
      </c>
      <c r="N275" s="24" t="str">
        <f>C275&amp;"|"&amp;A275</f>
        <v>001|2646095</v>
      </c>
    </row>
    <row r="276" spans="1:14">
      <c r="A276" s="24" t="s">
        <v>936</v>
      </c>
      <c r="B276" s="24" t="s">
        <v>938</v>
      </c>
      <c r="C276" s="24" t="s">
        <v>54</v>
      </c>
      <c r="D276" s="25">
        <v>50000</v>
      </c>
      <c r="E276" s="25">
        <v>0</v>
      </c>
      <c r="F276" s="25">
        <v>0</v>
      </c>
      <c r="G276" s="25">
        <v>50000</v>
      </c>
      <c r="H276" s="25">
        <v>0</v>
      </c>
      <c r="I276" s="25">
        <v>0</v>
      </c>
      <c r="J276" s="24" t="s">
        <v>63</v>
      </c>
      <c r="K276" s="26">
        <f>SUM(E276:J276)</f>
        <v>50000.0</v>
      </c>
      <c r="L276" s="26">
        <f>D276-K276</f>
        <v>0.0</v>
      </c>
      <c r="M276" s="24" t="s">
        <v>1617</v>
      </c>
      <c r="N276" s="24" t="str">
        <f>C276&amp;"|"&amp;A276</f>
        <v>001|2669946</v>
      </c>
    </row>
    <row r="277" spans="1:14">
      <c r="A277" s="24" t="s">
        <v>939</v>
      </c>
      <c r="B277" s="24" t="s">
        <v>941</v>
      </c>
      <c r="C277" s="24" t="s">
        <v>54</v>
      </c>
      <c r="D277" s="25">
        <v>369217</v>
      </c>
      <c r="E277" s="25">
        <v>19217</v>
      </c>
      <c r="F277" s="25">
        <v>0</v>
      </c>
      <c r="G277" s="25">
        <v>350000</v>
      </c>
      <c r="H277" s="25">
        <v>0</v>
      </c>
      <c r="I277" s="25">
        <v>0</v>
      </c>
      <c r="J277" s="24" t="s">
        <v>63</v>
      </c>
      <c r="K277" s="26">
        <f>SUM(E277:J277)</f>
        <v>369217.0</v>
      </c>
      <c r="L277" s="26">
        <f>D277-K277</f>
        <v>0.0</v>
      </c>
      <c r="M277" s="24" t="s">
        <v>1617</v>
      </c>
      <c r="N277" s="24" t="str">
        <f>C277&amp;"|"&amp;A277</f>
        <v>001|2527207</v>
      </c>
    </row>
    <row r="278" spans="1:14">
      <c r="A278" s="24" t="s">
        <v>942</v>
      </c>
      <c r="B278" s="24" t="s">
        <v>944</v>
      </c>
      <c r="C278" s="24" t="s">
        <v>54</v>
      </c>
      <c r="D278" s="25">
        <v>0</v>
      </c>
      <c r="E278" s="25">
        <v>0</v>
      </c>
      <c r="F278" s="25">
        <v>0</v>
      </c>
      <c r="G278" s="25">
        <v>0</v>
      </c>
      <c r="H278" s="25">
        <v>0</v>
      </c>
      <c r="I278" s="25">
        <v>0</v>
      </c>
      <c r="J278" s="24" t="s">
        <v>63</v>
      </c>
      <c r="K278" s="26">
        <f>SUM(E278:J278)</f>
        <v>0.0</v>
      </c>
      <c r="L278" s="26">
        <f>D278-K278</f>
        <v>0.0</v>
      </c>
      <c r="M278" s="24" t="s">
        <v>1617</v>
      </c>
      <c r="N278" s="24" t="str">
        <f>C278&amp;"|"&amp;A278</f>
        <v>001|2393101</v>
      </c>
    </row>
    <row r="279" spans="1:14">
      <c r="A279" s="24" t="s">
        <v>945</v>
      </c>
      <c r="B279" s="24" t="s">
        <v>947</v>
      </c>
      <c r="C279" s="24" t="s">
        <v>54</v>
      </c>
      <c r="D279" s="25">
        <v>0</v>
      </c>
      <c r="E279" s="25">
        <v>0</v>
      </c>
      <c r="F279" s="25">
        <v>0</v>
      </c>
      <c r="G279" s="25">
        <v>0</v>
      </c>
      <c r="H279" s="25">
        <v>0</v>
      </c>
      <c r="I279" s="25">
        <v>0</v>
      </c>
      <c r="J279" s="24" t="s">
        <v>63</v>
      </c>
      <c r="K279" s="26">
        <f>SUM(E279:J279)</f>
        <v>0.0</v>
      </c>
      <c r="L279" s="26">
        <f>D279-K279</f>
        <v>0.0</v>
      </c>
      <c r="M279" s="24" t="s">
        <v>1617</v>
      </c>
      <c r="N279" s="24" t="str">
        <f>C279&amp;"|"&amp;A279</f>
        <v>001|2411317</v>
      </c>
    </row>
    <row r="280" spans="1:14">
      <c r="A280" s="24" t="s">
        <v>948</v>
      </c>
      <c r="B280" s="24" t="s">
        <v>950</v>
      </c>
      <c r="C280" s="24" t="s">
        <v>54</v>
      </c>
      <c r="D280" s="25">
        <v>1376515</v>
      </c>
      <c r="E280" s="25">
        <v>0</v>
      </c>
      <c r="F280" s="25">
        <v>0</v>
      </c>
      <c r="G280" s="25">
        <v>0</v>
      </c>
      <c r="H280" s="25">
        <v>1376515</v>
      </c>
      <c r="I280" s="25">
        <v>0</v>
      </c>
      <c r="J280" s="24" t="s">
        <v>63</v>
      </c>
      <c r="K280" s="26">
        <f>SUM(E280:J280)</f>
        <v>1376515.0</v>
      </c>
      <c r="L280" s="26">
        <f>D280-K280</f>
        <v>0.0</v>
      </c>
      <c r="M280" s="24" t="s">
        <v>1617</v>
      </c>
      <c r="N280" s="24" t="str">
        <f>C280&amp;"|"&amp;A280</f>
        <v>001|2658446</v>
      </c>
    </row>
    <row r="281" spans="1:14">
      <c r="A281" s="24" t="s">
        <v>952</v>
      </c>
      <c r="B281" s="24" t="s">
        <v>954</v>
      </c>
      <c r="C281" s="24" t="s">
        <v>54</v>
      </c>
      <c r="D281" s="25">
        <v>46429</v>
      </c>
      <c r="E281" s="25">
        <v>0</v>
      </c>
      <c r="F281" s="25">
        <v>0</v>
      </c>
      <c r="G281" s="25">
        <v>46429</v>
      </c>
      <c r="H281" s="25">
        <v>0</v>
      </c>
      <c r="I281" s="25">
        <v>0</v>
      </c>
      <c r="J281" s="24" t="s">
        <v>63</v>
      </c>
      <c r="K281" s="26">
        <f>SUM(E281:J281)</f>
        <v>46429.0</v>
      </c>
      <c r="L281" s="26">
        <f>D281-K281</f>
        <v>0.0</v>
      </c>
      <c r="M281" s="24" t="s">
        <v>1617</v>
      </c>
      <c r="N281" s="24" t="str">
        <f>C281&amp;"|"&amp;A281</f>
        <v>001|2343538</v>
      </c>
    </row>
    <row r="282" spans="1:14">
      <c r="A282" s="24" t="s">
        <v>957</v>
      </c>
      <c r="B282" s="24" t="s">
        <v>959</v>
      </c>
      <c r="C282" s="24" t="s">
        <v>54</v>
      </c>
      <c r="D282" s="25">
        <v>1349649</v>
      </c>
      <c r="E282" s="25">
        <v>0</v>
      </c>
      <c r="F282" s="25">
        <v>0</v>
      </c>
      <c r="G282" s="25">
        <v>1349649</v>
      </c>
      <c r="H282" s="25">
        <v>0</v>
      </c>
      <c r="I282" s="25">
        <v>0</v>
      </c>
      <c r="J282" s="24" t="s">
        <v>63</v>
      </c>
      <c r="K282" s="26">
        <f>SUM(E282:J282)</f>
        <v>1349649.0</v>
      </c>
      <c r="L282" s="26">
        <f>D282-K282</f>
        <v>0.0</v>
      </c>
      <c r="M282" s="24" t="s">
        <v>1617</v>
      </c>
      <c r="N282" s="24" t="str">
        <f>C282&amp;"|"&amp;A282</f>
        <v>001|2645524</v>
      </c>
    </row>
    <row r="283" spans="1:14">
      <c r="A283" s="24" t="s">
        <v>961</v>
      </c>
      <c r="B283" s="24" t="s">
        <v>963</v>
      </c>
      <c r="C283" s="24" t="s">
        <v>54</v>
      </c>
      <c r="D283" s="25">
        <v>100000</v>
      </c>
      <c r="E283" s="25">
        <v>0</v>
      </c>
      <c r="F283" s="25">
        <v>0</v>
      </c>
      <c r="G283" s="25">
        <v>100000</v>
      </c>
      <c r="H283" s="25">
        <v>0</v>
      </c>
      <c r="I283" s="25">
        <v>0</v>
      </c>
      <c r="J283" s="24" t="s">
        <v>63</v>
      </c>
      <c r="K283" s="26">
        <f>SUM(E283:J283)</f>
        <v>100000.0</v>
      </c>
      <c r="L283" s="26">
        <f>D283-K283</f>
        <v>0.0</v>
      </c>
      <c r="M283" s="24" t="s">
        <v>1617</v>
      </c>
      <c r="N283" s="24" t="str">
        <f>C283&amp;"|"&amp;A283</f>
        <v>001|2625216</v>
      </c>
    </row>
    <row r="284" spans="1:14">
      <c r="A284" s="24" t="s">
        <v>965</v>
      </c>
      <c r="B284" s="24" t="s">
        <v>967</v>
      </c>
      <c r="C284" s="24" t="s">
        <v>54</v>
      </c>
      <c r="D284" s="25">
        <v>0</v>
      </c>
      <c r="E284" s="25">
        <v>0</v>
      </c>
      <c r="F284" s="25">
        <v>0</v>
      </c>
      <c r="G284" s="25">
        <v>0</v>
      </c>
      <c r="H284" s="25">
        <v>0</v>
      </c>
      <c r="I284" s="25">
        <v>0</v>
      </c>
      <c r="J284" s="24" t="s">
        <v>63</v>
      </c>
      <c r="K284" s="26">
        <f>SUM(E284:J284)</f>
        <v>0.0</v>
      </c>
      <c r="L284" s="26">
        <f>D284-K284</f>
        <v>0.0</v>
      </c>
      <c r="M284" s="24" t="s">
        <v>1617</v>
      </c>
      <c r="N284" s="24" t="str">
        <f>C284&amp;"|"&amp;A284</f>
        <v>001|2462296</v>
      </c>
    </row>
    <row r="285" spans="1:14">
      <c r="A285" s="24" t="s">
        <v>970</v>
      </c>
      <c r="B285" s="24" t="s">
        <v>972</v>
      </c>
      <c r="C285" s="24" t="s">
        <v>54</v>
      </c>
      <c r="D285" s="25">
        <v>2659376</v>
      </c>
      <c r="E285" s="25">
        <v>0</v>
      </c>
      <c r="F285" s="25">
        <v>0</v>
      </c>
      <c r="G285" s="25">
        <v>2659376</v>
      </c>
      <c r="H285" s="25">
        <v>0</v>
      </c>
      <c r="I285" s="25">
        <v>0</v>
      </c>
      <c r="J285" s="24" t="s">
        <v>63</v>
      </c>
      <c r="K285" s="26">
        <f>SUM(E285:J285)</f>
        <v>2659376.0</v>
      </c>
      <c r="L285" s="26">
        <f>D285-K285</f>
        <v>0.0</v>
      </c>
      <c r="M285" s="24" t="s">
        <v>1617</v>
      </c>
      <c r="N285" s="24" t="str">
        <f>C285&amp;"|"&amp;A285</f>
        <v>001|2526527</v>
      </c>
    </row>
    <row r="286" spans="1:14">
      <c r="A286" s="24" t="s">
        <v>973</v>
      </c>
      <c r="B286" s="24" t="s">
        <v>975</v>
      </c>
      <c r="C286" s="24" t="s">
        <v>54</v>
      </c>
      <c r="D286" s="25">
        <v>159946</v>
      </c>
      <c r="E286" s="25">
        <v>0</v>
      </c>
      <c r="F286" s="25">
        <v>0</v>
      </c>
      <c r="G286" s="25">
        <v>159946</v>
      </c>
      <c r="H286" s="25">
        <v>0</v>
      </c>
      <c r="I286" s="25">
        <v>0</v>
      </c>
      <c r="J286" s="24" t="s">
        <v>63</v>
      </c>
      <c r="K286" s="26">
        <f>SUM(E286:J286)</f>
        <v>159946.0</v>
      </c>
      <c r="L286" s="26">
        <f>D286-K286</f>
        <v>0.0</v>
      </c>
      <c r="M286" s="24" t="s">
        <v>1617</v>
      </c>
      <c r="N286" s="24" t="str">
        <f>C286&amp;"|"&amp;A286</f>
        <v>001|2717147</v>
      </c>
    </row>
    <row r="287" spans="1:14">
      <c r="A287" s="24" t="s">
        <v>978</v>
      </c>
      <c r="B287" s="24" t="s">
        <v>980</v>
      </c>
      <c r="C287" s="24" t="s">
        <v>54</v>
      </c>
      <c r="D287" s="25">
        <v>159560</v>
      </c>
      <c r="E287" s="25">
        <v>0</v>
      </c>
      <c r="F287" s="25">
        <v>0</v>
      </c>
      <c r="G287" s="25">
        <v>159560</v>
      </c>
      <c r="H287" s="25">
        <v>0</v>
      </c>
      <c r="I287" s="25">
        <v>0</v>
      </c>
      <c r="J287" s="24" t="s">
        <v>63</v>
      </c>
      <c r="K287" s="26">
        <f>SUM(E287:J287)</f>
        <v>159560.0</v>
      </c>
      <c r="L287" s="26">
        <f>D287-K287</f>
        <v>0.0</v>
      </c>
      <c r="M287" s="24" t="s">
        <v>1617</v>
      </c>
      <c r="N287" s="24" t="str">
        <f>C287&amp;"|"&amp;A287</f>
        <v>001|2723296</v>
      </c>
    </row>
    <row r="288" spans="1:14">
      <c r="A288" s="24" t="s">
        <v>981</v>
      </c>
      <c r="B288" s="24" t="s">
        <v>983</v>
      </c>
      <c r="C288" s="24" t="s">
        <v>54</v>
      </c>
      <c r="D288" s="25">
        <v>158892</v>
      </c>
      <c r="E288" s="25">
        <v>0</v>
      </c>
      <c r="F288" s="25">
        <v>0</v>
      </c>
      <c r="G288" s="25">
        <v>158892</v>
      </c>
      <c r="H288" s="25">
        <v>0</v>
      </c>
      <c r="I288" s="25">
        <v>0</v>
      </c>
      <c r="J288" s="24" t="s">
        <v>63</v>
      </c>
      <c r="K288" s="26">
        <f>SUM(E288:J288)</f>
        <v>158892.0</v>
      </c>
      <c r="L288" s="26">
        <f>D288-K288</f>
        <v>0.0</v>
      </c>
      <c r="M288" s="24" t="s">
        <v>1617</v>
      </c>
      <c r="N288" s="24" t="str">
        <f>C288&amp;"|"&amp;A288</f>
        <v>001|2717175</v>
      </c>
    </row>
    <row r="289" spans="1:14">
      <c r="A289" s="24" t="s">
        <v>984</v>
      </c>
      <c r="B289" s="24" t="s">
        <v>986</v>
      </c>
      <c r="C289" s="24" t="s">
        <v>54</v>
      </c>
      <c r="D289" s="25">
        <v>160000</v>
      </c>
      <c r="E289" s="25">
        <v>0</v>
      </c>
      <c r="F289" s="25">
        <v>0</v>
      </c>
      <c r="G289" s="25">
        <v>160000</v>
      </c>
      <c r="H289" s="25">
        <v>0</v>
      </c>
      <c r="I289" s="25">
        <v>0</v>
      </c>
      <c r="J289" s="24" t="s">
        <v>63</v>
      </c>
      <c r="K289" s="26">
        <f>SUM(E289:J289)</f>
        <v>160000.0</v>
      </c>
      <c r="L289" s="26">
        <f>D289-K289</f>
        <v>0.0</v>
      </c>
      <c r="M289" s="24" t="s">
        <v>1617</v>
      </c>
      <c r="N289" s="24" t="str">
        <f>C289&amp;"|"&amp;A289</f>
        <v>001|2717164</v>
      </c>
    </row>
    <row r="290" spans="1:14">
      <c r="A290" s="24" t="s">
        <v>987</v>
      </c>
      <c r="B290" s="24" t="s">
        <v>989</v>
      </c>
      <c r="C290" s="24" t="s">
        <v>54</v>
      </c>
      <c r="D290" s="25">
        <v>83160</v>
      </c>
      <c r="E290" s="25">
        <v>0</v>
      </c>
      <c r="F290" s="25">
        <v>0</v>
      </c>
      <c r="G290" s="25">
        <v>83160</v>
      </c>
      <c r="H290" s="25">
        <v>0</v>
      </c>
      <c r="I290" s="25">
        <v>0</v>
      </c>
      <c r="J290" s="24" t="s">
        <v>63</v>
      </c>
      <c r="K290" s="26">
        <f>SUM(E290:J290)</f>
        <v>83160.0</v>
      </c>
      <c r="L290" s="26">
        <f>D290-K290</f>
        <v>0.0</v>
      </c>
      <c r="M290" s="24" t="s">
        <v>1617</v>
      </c>
      <c r="N290" s="24" t="str">
        <f>C290&amp;"|"&amp;A290</f>
        <v>001|2676438</v>
      </c>
    </row>
    <row r="291" spans="1:14">
      <c r="A291" s="24" t="s">
        <v>991</v>
      </c>
      <c r="B291" s="24" t="s">
        <v>993</v>
      </c>
      <c r="C291" s="24" t="s">
        <v>54</v>
      </c>
      <c r="D291" s="25">
        <v>1098209</v>
      </c>
      <c r="E291" s="25">
        <v>0</v>
      </c>
      <c r="F291" s="25">
        <v>0</v>
      </c>
      <c r="G291" s="25">
        <v>1098209</v>
      </c>
      <c r="H291" s="25">
        <v>0</v>
      </c>
      <c r="I291" s="25">
        <v>0</v>
      </c>
      <c r="J291" s="24" t="s">
        <v>63</v>
      </c>
      <c r="K291" s="26">
        <f>SUM(E291:J291)</f>
        <v>1098209.0</v>
      </c>
      <c r="L291" s="26">
        <f>D291-K291</f>
        <v>0.0</v>
      </c>
      <c r="M291" s="24" t="s">
        <v>1617</v>
      </c>
      <c r="N291" s="24" t="str">
        <f>C291&amp;"|"&amp;A291</f>
        <v>001|2016766</v>
      </c>
    </row>
    <row r="292" spans="1:14">
      <c r="A292" s="24" t="s">
        <v>997</v>
      </c>
      <c r="B292" s="24" t="s">
        <v>999</v>
      </c>
      <c r="C292" s="24" t="s">
        <v>54</v>
      </c>
      <c r="D292" s="25">
        <v>350000</v>
      </c>
      <c r="E292" s="25">
        <v>0</v>
      </c>
      <c r="F292" s="25">
        <v>0</v>
      </c>
      <c r="G292" s="25">
        <v>350000</v>
      </c>
      <c r="H292" s="25">
        <v>0</v>
      </c>
      <c r="I292" s="25">
        <v>0</v>
      </c>
      <c r="J292" s="24" t="s">
        <v>63</v>
      </c>
      <c r="K292" s="26">
        <f>SUM(E292:J292)</f>
        <v>350000.0</v>
      </c>
      <c r="L292" s="26">
        <f>D292-K292</f>
        <v>0.0</v>
      </c>
      <c r="M292" s="24" t="s">
        <v>1617</v>
      </c>
      <c r="N292" s="24" t="str">
        <f>C292&amp;"|"&amp;A292</f>
        <v>001|2717186</v>
      </c>
    </row>
    <row r="293" spans="1:14">
      <c r="A293" s="24" t="s">
        <v>1000</v>
      </c>
      <c r="B293" s="24" t="s">
        <v>1002</v>
      </c>
      <c r="C293" s="24" t="s">
        <v>54</v>
      </c>
      <c r="D293" s="25">
        <v>349950</v>
      </c>
      <c r="E293" s="25">
        <v>0</v>
      </c>
      <c r="F293" s="25">
        <v>0</v>
      </c>
      <c r="G293" s="25">
        <v>349950</v>
      </c>
      <c r="H293" s="25">
        <v>0</v>
      </c>
      <c r="I293" s="25">
        <v>0</v>
      </c>
      <c r="J293" s="24" t="s">
        <v>63</v>
      </c>
      <c r="K293" s="26">
        <f>SUM(E293:J293)</f>
        <v>349950.0</v>
      </c>
      <c r="L293" s="26">
        <f>D293-K293</f>
        <v>0.0</v>
      </c>
      <c r="M293" s="24" t="s">
        <v>1617</v>
      </c>
      <c r="N293" s="24" t="str">
        <f>C293&amp;"|"&amp;A293</f>
        <v>001|2717193</v>
      </c>
    </row>
    <row r="294" spans="1:14">
      <c r="A294" s="24" t="s">
        <v>1003</v>
      </c>
      <c r="B294" s="24" t="s">
        <v>1005</v>
      </c>
      <c r="C294" s="24" t="s">
        <v>54</v>
      </c>
      <c r="D294" s="25">
        <v>349899</v>
      </c>
      <c r="E294" s="25">
        <v>0</v>
      </c>
      <c r="F294" s="25">
        <v>0</v>
      </c>
      <c r="G294" s="25">
        <v>349899</v>
      </c>
      <c r="H294" s="25">
        <v>0</v>
      </c>
      <c r="I294" s="25">
        <v>0</v>
      </c>
      <c r="J294" s="24" t="s">
        <v>63</v>
      </c>
      <c r="K294" s="26">
        <f>SUM(E294:J294)</f>
        <v>349899.0</v>
      </c>
      <c r="L294" s="26">
        <f>D294-K294</f>
        <v>0.0</v>
      </c>
      <c r="M294" s="24" t="s">
        <v>1617</v>
      </c>
      <c r="N294" s="24" t="str">
        <f>C294&amp;"|"&amp;A294</f>
        <v>001|2717178</v>
      </c>
    </row>
    <row r="295" spans="1:14">
      <c r="A295" s="24" t="s">
        <v>1006</v>
      </c>
      <c r="B295" s="24" t="s">
        <v>1008</v>
      </c>
      <c r="C295" s="24" t="s">
        <v>54</v>
      </c>
      <c r="D295" s="25">
        <v>349792</v>
      </c>
      <c r="E295" s="25">
        <v>0</v>
      </c>
      <c r="F295" s="25">
        <v>0</v>
      </c>
      <c r="G295" s="25">
        <v>349792</v>
      </c>
      <c r="H295" s="25">
        <v>0</v>
      </c>
      <c r="I295" s="25">
        <v>0</v>
      </c>
      <c r="J295" s="24" t="s">
        <v>63</v>
      </c>
      <c r="K295" s="26">
        <f>SUM(E295:J295)</f>
        <v>349792.0</v>
      </c>
      <c r="L295" s="26">
        <f>D295-K295</f>
        <v>0.0</v>
      </c>
      <c r="M295" s="24" t="s">
        <v>1617</v>
      </c>
      <c r="N295" s="24" t="str">
        <f>C295&amp;"|"&amp;A295</f>
        <v>001|2717158</v>
      </c>
    </row>
    <row r="296" spans="1:14">
      <c r="A296" s="24" t="s">
        <v>1009</v>
      </c>
      <c r="B296" s="24" t="s">
        <v>1011</v>
      </c>
      <c r="C296" s="24" t="s">
        <v>54</v>
      </c>
      <c r="D296" s="25">
        <v>349792</v>
      </c>
      <c r="E296" s="25">
        <v>0</v>
      </c>
      <c r="F296" s="25">
        <v>0</v>
      </c>
      <c r="G296" s="25">
        <v>349792</v>
      </c>
      <c r="H296" s="25">
        <v>0</v>
      </c>
      <c r="I296" s="25">
        <v>0</v>
      </c>
      <c r="J296" s="24" t="s">
        <v>63</v>
      </c>
      <c r="K296" s="26">
        <f>SUM(E296:J296)</f>
        <v>349792.0</v>
      </c>
      <c r="L296" s="26">
        <f>D296-K296</f>
        <v>0.0</v>
      </c>
      <c r="M296" s="24" t="s">
        <v>1617</v>
      </c>
      <c r="N296" s="24" t="str">
        <f>C296&amp;"|"&amp;A296</f>
        <v>001|2717173</v>
      </c>
    </row>
    <row r="297" spans="1:14">
      <c r="A297" s="24" t="s">
        <v>1012</v>
      </c>
      <c r="B297" s="24" t="s">
        <v>1014</v>
      </c>
      <c r="C297" s="24" t="s">
        <v>54</v>
      </c>
      <c r="D297" s="25">
        <v>346711</v>
      </c>
      <c r="E297" s="25">
        <v>0</v>
      </c>
      <c r="F297" s="25">
        <v>0</v>
      </c>
      <c r="G297" s="25">
        <v>346711</v>
      </c>
      <c r="H297" s="25">
        <v>0</v>
      </c>
      <c r="I297" s="25">
        <v>0</v>
      </c>
      <c r="J297" s="24" t="s">
        <v>63</v>
      </c>
      <c r="K297" s="26">
        <f>SUM(E297:J297)</f>
        <v>346711.0</v>
      </c>
      <c r="L297" s="26">
        <f>D297-K297</f>
        <v>0.0</v>
      </c>
      <c r="M297" s="24" t="s">
        <v>1617</v>
      </c>
      <c r="N297" s="24" t="str">
        <f>C297&amp;"|"&amp;A297</f>
        <v>001|2717189</v>
      </c>
    </row>
    <row r="298" spans="1:14">
      <c r="A298" s="24" t="s">
        <v>1015</v>
      </c>
      <c r="B298" s="24" t="s">
        <v>1017</v>
      </c>
      <c r="C298" s="24" t="s">
        <v>54</v>
      </c>
      <c r="D298" s="25">
        <v>269980</v>
      </c>
      <c r="E298" s="25">
        <v>0</v>
      </c>
      <c r="F298" s="25">
        <v>0</v>
      </c>
      <c r="G298" s="25">
        <v>269980</v>
      </c>
      <c r="H298" s="25">
        <v>0</v>
      </c>
      <c r="I298" s="25">
        <v>0</v>
      </c>
      <c r="J298" s="24" t="s">
        <v>63</v>
      </c>
      <c r="K298" s="26">
        <f>SUM(E298:J298)</f>
        <v>269980.0</v>
      </c>
      <c r="L298" s="26">
        <f>D298-K298</f>
        <v>0.0</v>
      </c>
      <c r="M298" s="24" t="s">
        <v>1617</v>
      </c>
      <c r="N298" s="24" t="str">
        <f>C298&amp;"|"&amp;A298</f>
        <v>001|2717151</v>
      </c>
    </row>
    <row r="299" spans="1:14">
      <c r="A299" s="24" t="s">
        <v>1018</v>
      </c>
      <c r="B299" s="24" t="s">
        <v>1020</v>
      </c>
      <c r="C299" s="24" t="s">
        <v>54</v>
      </c>
      <c r="D299" s="25">
        <v>209400</v>
      </c>
      <c r="E299" s="25">
        <v>0</v>
      </c>
      <c r="F299" s="25">
        <v>0</v>
      </c>
      <c r="G299" s="25">
        <v>209400</v>
      </c>
      <c r="H299" s="25">
        <v>0</v>
      </c>
      <c r="I299" s="25">
        <v>0</v>
      </c>
      <c r="J299" s="24" t="s">
        <v>63</v>
      </c>
      <c r="K299" s="26">
        <f>SUM(E299:J299)</f>
        <v>209400.0</v>
      </c>
      <c r="L299" s="26">
        <f>D299-K299</f>
        <v>0.0</v>
      </c>
      <c r="M299" s="24" t="s">
        <v>1617</v>
      </c>
      <c r="N299" s="24" t="str">
        <f>C299&amp;"|"&amp;A299</f>
        <v>001|2676440</v>
      </c>
    </row>
    <row r="300" spans="1:14">
      <c r="A300" s="24" t="s">
        <v>1021</v>
      </c>
      <c r="B300" s="24" t="s">
        <v>1023</v>
      </c>
      <c r="C300" s="24" t="s">
        <v>54</v>
      </c>
      <c r="D300" s="25">
        <v>160000</v>
      </c>
      <c r="E300" s="25">
        <v>0</v>
      </c>
      <c r="F300" s="25">
        <v>0</v>
      </c>
      <c r="G300" s="25">
        <v>160000</v>
      </c>
      <c r="H300" s="25">
        <v>0</v>
      </c>
      <c r="I300" s="25">
        <v>0</v>
      </c>
      <c r="J300" s="24" t="s">
        <v>63</v>
      </c>
      <c r="K300" s="26">
        <f>SUM(E300:J300)</f>
        <v>160000.0</v>
      </c>
      <c r="L300" s="26">
        <f>D300-K300</f>
        <v>0.0</v>
      </c>
      <c r="M300" s="24" t="s">
        <v>1617</v>
      </c>
      <c r="N300" s="24" t="str">
        <f>C300&amp;"|"&amp;A300</f>
        <v>001|2717156</v>
      </c>
    </row>
    <row r="301" spans="1:14">
      <c r="A301" s="24" t="s">
        <v>1024</v>
      </c>
      <c r="B301" s="24" t="s">
        <v>1026</v>
      </c>
      <c r="C301" s="24" t="s">
        <v>54</v>
      </c>
      <c r="D301" s="25">
        <v>160000</v>
      </c>
      <c r="E301" s="25">
        <v>0</v>
      </c>
      <c r="F301" s="25">
        <v>0</v>
      </c>
      <c r="G301" s="25">
        <v>160000</v>
      </c>
      <c r="H301" s="25">
        <v>0</v>
      </c>
      <c r="I301" s="25">
        <v>0</v>
      </c>
      <c r="J301" s="24" t="s">
        <v>63</v>
      </c>
      <c r="K301" s="26">
        <f>SUM(E301:J301)</f>
        <v>160000.0</v>
      </c>
      <c r="L301" s="26">
        <f>D301-K301</f>
        <v>0.0</v>
      </c>
      <c r="M301" s="24" t="s">
        <v>1617</v>
      </c>
      <c r="N301" s="24" t="str">
        <f>C301&amp;"|"&amp;A301</f>
        <v>001|2717157</v>
      </c>
    </row>
    <row r="302" spans="1:14">
      <c r="A302" s="24" t="s">
        <v>1027</v>
      </c>
      <c r="B302" s="24" t="s">
        <v>1029</v>
      </c>
      <c r="C302" s="24" t="s">
        <v>54</v>
      </c>
      <c r="D302" s="25">
        <v>160000</v>
      </c>
      <c r="E302" s="25">
        <v>0</v>
      </c>
      <c r="F302" s="25">
        <v>0</v>
      </c>
      <c r="G302" s="25">
        <v>160000</v>
      </c>
      <c r="H302" s="25">
        <v>0</v>
      </c>
      <c r="I302" s="25">
        <v>0</v>
      </c>
      <c r="J302" s="24" t="s">
        <v>63</v>
      </c>
      <c r="K302" s="26">
        <f>SUM(E302:J302)</f>
        <v>160000.0</v>
      </c>
      <c r="L302" s="26">
        <f>D302-K302</f>
        <v>0.0</v>
      </c>
      <c r="M302" s="24" t="s">
        <v>1617</v>
      </c>
      <c r="N302" s="24" t="str">
        <f>C302&amp;"|"&amp;A302</f>
        <v>001|2717161</v>
      </c>
    </row>
    <row r="303" spans="1:14">
      <c r="A303" s="24" t="s">
        <v>1030</v>
      </c>
      <c r="B303" s="24" t="s">
        <v>1032</v>
      </c>
      <c r="C303" s="24" t="s">
        <v>54</v>
      </c>
      <c r="D303" s="25">
        <v>160000</v>
      </c>
      <c r="E303" s="25">
        <v>0</v>
      </c>
      <c r="F303" s="25">
        <v>0</v>
      </c>
      <c r="G303" s="25">
        <v>160000</v>
      </c>
      <c r="H303" s="25">
        <v>0</v>
      </c>
      <c r="I303" s="25">
        <v>0</v>
      </c>
      <c r="J303" s="24" t="s">
        <v>63</v>
      </c>
      <c r="K303" s="26">
        <f>SUM(E303:J303)</f>
        <v>160000.0</v>
      </c>
      <c r="L303" s="26">
        <f>D303-K303</f>
        <v>0.0</v>
      </c>
      <c r="M303" s="24" t="s">
        <v>1617</v>
      </c>
      <c r="N303" s="24" t="str">
        <f>C303&amp;"|"&amp;A303</f>
        <v>001|2717169</v>
      </c>
    </row>
    <row r="304" spans="1:14">
      <c r="A304" s="24" t="s">
        <v>1033</v>
      </c>
      <c r="B304" s="24" t="s">
        <v>1035</v>
      </c>
      <c r="C304" s="24" t="s">
        <v>54</v>
      </c>
      <c r="D304" s="25">
        <v>160000</v>
      </c>
      <c r="E304" s="25">
        <v>0</v>
      </c>
      <c r="F304" s="25">
        <v>0</v>
      </c>
      <c r="G304" s="25">
        <v>160000</v>
      </c>
      <c r="H304" s="25">
        <v>0</v>
      </c>
      <c r="I304" s="25">
        <v>0</v>
      </c>
      <c r="J304" s="24" t="s">
        <v>63</v>
      </c>
      <c r="K304" s="26">
        <f>SUM(E304:J304)</f>
        <v>160000.0</v>
      </c>
      <c r="L304" s="26">
        <f>D304-K304</f>
        <v>0.0</v>
      </c>
      <c r="M304" s="24" t="s">
        <v>1617</v>
      </c>
      <c r="N304" s="24" t="str">
        <f>C304&amp;"|"&amp;A304</f>
        <v>001|2717172</v>
      </c>
    </row>
    <row r="305" spans="1:14">
      <c r="A305" s="24" t="s">
        <v>1036</v>
      </c>
      <c r="B305" s="24" t="s">
        <v>1038</v>
      </c>
      <c r="C305" s="24" t="s">
        <v>54</v>
      </c>
      <c r="D305" s="25">
        <v>160000</v>
      </c>
      <c r="E305" s="25">
        <v>0</v>
      </c>
      <c r="F305" s="25">
        <v>0</v>
      </c>
      <c r="G305" s="25">
        <v>160000</v>
      </c>
      <c r="H305" s="25">
        <v>0</v>
      </c>
      <c r="I305" s="25">
        <v>0</v>
      </c>
      <c r="J305" s="24" t="s">
        <v>63</v>
      </c>
      <c r="K305" s="26">
        <f>SUM(E305:J305)</f>
        <v>160000.0</v>
      </c>
      <c r="L305" s="26">
        <f>D305-K305</f>
        <v>0.0</v>
      </c>
      <c r="M305" s="24" t="s">
        <v>1617</v>
      </c>
      <c r="N305" s="24" t="str">
        <f>C305&amp;"|"&amp;A305</f>
        <v>001|2717177</v>
      </c>
    </row>
    <row r="306" spans="1:14">
      <c r="A306" s="24" t="s">
        <v>1039</v>
      </c>
      <c r="B306" s="24" t="s">
        <v>1041</v>
      </c>
      <c r="C306" s="24" t="s">
        <v>54</v>
      </c>
      <c r="D306" s="25">
        <v>160000</v>
      </c>
      <c r="E306" s="25">
        <v>0</v>
      </c>
      <c r="F306" s="25">
        <v>0</v>
      </c>
      <c r="G306" s="25">
        <v>160000</v>
      </c>
      <c r="H306" s="25">
        <v>0</v>
      </c>
      <c r="I306" s="25">
        <v>0</v>
      </c>
      <c r="J306" s="24" t="s">
        <v>63</v>
      </c>
      <c r="K306" s="26">
        <f>SUM(E306:J306)</f>
        <v>160000.0</v>
      </c>
      <c r="L306" s="26">
        <f>D306-K306</f>
        <v>0.0</v>
      </c>
      <c r="M306" s="24" t="s">
        <v>1617</v>
      </c>
      <c r="N306" s="24" t="str">
        <f>C306&amp;"|"&amp;A306</f>
        <v>001|2717188</v>
      </c>
    </row>
    <row r="307" spans="1:14">
      <c r="A307" s="24" t="s">
        <v>1042</v>
      </c>
      <c r="B307" s="24" t="s">
        <v>1044</v>
      </c>
      <c r="C307" s="24" t="s">
        <v>54</v>
      </c>
      <c r="D307" s="25">
        <v>160000</v>
      </c>
      <c r="E307" s="25">
        <v>0</v>
      </c>
      <c r="F307" s="25">
        <v>0</v>
      </c>
      <c r="G307" s="25">
        <v>160000</v>
      </c>
      <c r="H307" s="25">
        <v>0</v>
      </c>
      <c r="I307" s="25">
        <v>0</v>
      </c>
      <c r="J307" s="24" t="s">
        <v>63</v>
      </c>
      <c r="K307" s="26">
        <f>SUM(E307:J307)</f>
        <v>160000.0</v>
      </c>
      <c r="L307" s="26">
        <f>D307-K307</f>
        <v>0.0</v>
      </c>
      <c r="M307" s="24" t="s">
        <v>1617</v>
      </c>
      <c r="N307" s="24" t="str">
        <f>C307&amp;"|"&amp;A307</f>
        <v>001|2717192</v>
      </c>
    </row>
    <row r="308" spans="1:14">
      <c r="A308" s="24" t="s">
        <v>1045</v>
      </c>
      <c r="B308" s="24" t="s">
        <v>1047</v>
      </c>
      <c r="C308" s="24" t="s">
        <v>54</v>
      </c>
      <c r="D308" s="25">
        <v>160000</v>
      </c>
      <c r="E308" s="25">
        <v>0</v>
      </c>
      <c r="F308" s="25">
        <v>0</v>
      </c>
      <c r="G308" s="25">
        <v>160000</v>
      </c>
      <c r="H308" s="25">
        <v>0</v>
      </c>
      <c r="I308" s="25">
        <v>0</v>
      </c>
      <c r="J308" s="24" t="s">
        <v>63</v>
      </c>
      <c r="K308" s="26">
        <f>SUM(E308:J308)</f>
        <v>160000.0</v>
      </c>
      <c r="L308" s="26">
        <f>D308-K308</f>
        <v>0.0</v>
      </c>
      <c r="M308" s="24" t="s">
        <v>1617</v>
      </c>
      <c r="N308" s="24" t="str">
        <f>C308&amp;"|"&amp;A308</f>
        <v>001|2717194</v>
      </c>
    </row>
    <row r="309" spans="1:14">
      <c r="A309" s="24" t="s">
        <v>1048</v>
      </c>
      <c r="B309" s="24" t="s">
        <v>1050</v>
      </c>
      <c r="C309" s="24" t="s">
        <v>54</v>
      </c>
      <c r="D309" s="25">
        <v>61500</v>
      </c>
      <c r="E309" s="25">
        <v>0</v>
      </c>
      <c r="F309" s="25">
        <v>0</v>
      </c>
      <c r="G309" s="25">
        <v>61500</v>
      </c>
      <c r="H309" s="25">
        <v>0</v>
      </c>
      <c r="I309" s="25">
        <v>0</v>
      </c>
      <c r="J309" s="24" t="s">
        <v>63</v>
      </c>
      <c r="K309" s="26">
        <f>SUM(E309:J309)</f>
        <v>61500.0</v>
      </c>
      <c r="L309" s="26">
        <f>D309-K309</f>
        <v>0.0</v>
      </c>
      <c r="M309" s="24" t="s">
        <v>1617</v>
      </c>
      <c r="N309" s="24" t="str">
        <f>C309&amp;"|"&amp;A309</f>
        <v>001|2612522</v>
      </c>
    </row>
    <row r="310" spans="1:14">
      <c r="A310" s="24" t="s">
        <v>1051</v>
      </c>
      <c r="B310" s="24" t="s">
        <v>1053</v>
      </c>
      <c r="C310" s="24" t="s">
        <v>54</v>
      </c>
      <c r="D310" s="25">
        <v>62000</v>
      </c>
      <c r="E310" s="25">
        <v>0</v>
      </c>
      <c r="F310" s="25">
        <v>0</v>
      </c>
      <c r="G310" s="25">
        <v>62000</v>
      </c>
      <c r="H310" s="25">
        <v>0</v>
      </c>
      <c r="I310" s="25">
        <v>0</v>
      </c>
      <c r="J310" s="24" t="s">
        <v>63</v>
      </c>
      <c r="K310" s="26">
        <f>SUM(E310:J310)</f>
        <v>62000.0</v>
      </c>
      <c r="L310" s="26">
        <f>D310-K310</f>
        <v>0.0</v>
      </c>
      <c r="M310" s="24" t="s">
        <v>1617</v>
      </c>
      <c r="N310" s="24" t="str">
        <f>C310&amp;"|"&amp;A310</f>
        <v>001|2612541</v>
      </c>
    </row>
    <row r="311" spans="1:14">
      <c r="A311" s="24" t="s">
        <v>1054</v>
      </c>
      <c r="B311" s="24" t="s">
        <v>1056</v>
      </c>
      <c r="C311" s="24" t="s">
        <v>54</v>
      </c>
      <c r="D311" s="25">
        <v>63755</v>
      </c>
      <c r="E311" s="25">
        <v>0</v>
      </c>
      <c r="F311" s="25">
        <v>0</v>
      </c>
      <c r="G311" s="25">
        <v>63755</v>
      </c>
      <c r="H311" s="25">
        <v>0</v>
      </c>
      <c r="I311" s="25">
        <v>0</v>
      </c>
      <c r="J311" s="24" t="s">
        <v>63</v>
      </c>
      <c r="K311" s="26">
        <f>SUM(E311:J311)</f>
        <v>63755.0</v>
      </c>
      <c r="L311" s="26">
        <f>D311-K311</f>
        <v>0.0</v>
      </c>
      <c r="M311" s="24" t="s">
        <v>1617</v>
      </c>
      <c r="N311" s="24" t="str">
        <f>C311&amp;"|"&amp;A311</f>
        <v>001|2680578</v>
      </c>
    </row>
    <row r="312" spans="1:14">
      <c r="A312" s="24" t="s">
        <v>1057</v>
      </c>
      <c r="B312" s="24" t="s">
        <v>1059</v>
      </c>
      <c r="C312" s="24" t="s">
        <v>54</v>
      </c>
      <c r="D312" s="25">
        <v>65438</v>
      </c>
      <c r="E312" s="25">
        <v>0</v>
      </c>
      <c r="F312" s="25">
        <v>0</v>
      </c>
      <c r="G312" s="25">
        <v>65438</v>
      </c>
      <c r="H312" s="25">
        <v>0</v>
      </c>
      <c r="I312" s="25">
        <v>0</v>
      </c>
      <c r="J312" s="24" t="s">
        <v>63</v>
      </c>
      <c r="K312" s="26">
        <f>SUM(E312:J312)</f>
        <v>65438.0</v>
      </c>
      <c r="L312" s="26">
        <f>D312-K312</f>
        <v>0.0</v>
      </c>
      <c r="M312" s="24" t="s">
        <v>1617</v>
      </c>
      <c r="N312" s="24" t="str">
        <f>C312&amp;"|"&amp;A312</f>
        <v>001|2676418</v>
      </c>
    </row>
    <row r="313" spans="1:14">
      <c r="A313" s="24" t="s">
        <v>1060</v>
      </c>
      <c r="B313" s="24" t="s">
        <v>1062</v>
      </c>
      <c r="C313" s="24" t="s">
        <v>54</v>
      </c>
      <c r="D313" s="25">
        <v>61200</v>
      </c>
      <c r="E313" s="25">
        <v>0</v>
      </c>
      <c r="F313" s="25">
        <v>0</v>
      </c>
      <c r="G313" s="25">
        <v>61200</v>
      </c>
      <c r="H313" s="25">
        <v>0</v>
      </c>
      <c r="I313" s="25">
        <v>0</v>
      </c>
      <c r="J313" s="24" t="s">
        <v>63</v>
      </c>
      <c r="K313" s="26">
        <f>SUM(E313:J313)</f>
        <v>61200.0</v>
      </c>
      <c r="L313" s="26">
        <f>D313-K313</f>
        <v>0.0</v>
      </c>
      <c r="M313" s="24" t="s">
        <v>1617</v>
      </c>
      <c r="N313" s="24" t="str">
        <f>C313&amp;"|"&amp;A313</f>
        <v>001|2681120</v>
      </c>
    </row>
    <row r="314" spans="1:14">
      <c r="A314" s="24" t="s">
        <v>1063</v>
      </c>
      <c r="B314" s="24" t="s">
        <v>1065</v>
      </c>
      <c r="C314" s="24" t="s">
        <v>54</v>
      </c>
      <c r="D314" s="25">
        <v>2936</v>
      </c>
      <c r="E314" s="25">
        <v>0</v>
      </c>
      <c r="F314" s="25">
        <v>0</v>
      </c>
      <c r="G314" s="25">
        <v>2936</v>
      </c>
      <c r="H314" s="25">
        <v>0</v>
      </c>
      <c r="I314" s="25">
        <v>0</v>
      </c>
      <c r="J314" s="24" t="s">
        <v>63</v>
      </c>
      <c r="K314" s="26">
        <f>SUM(E314:J314)</f>
        <v>2936.0</v>
      </c>
      <c r="L314" s="26">
        <f>D314-K314</f>
        <v>0.0</v>
      </c>
      <c r="M314" s="24" t="s">
        <v>1617</v>
      </c>
      <c r="N314" s="24" t="str">
        <f>C314&amp;"|"&amp;A314</f>
        <v>001|2676423</v>
      </c>
    </row>
    <row r="315" spans="1:14">
      <c r="A315" s="24" t="s">
        <v>1066</v>
      </c>
      <c r="B315" s="24" t="s">
        <v>1068</v>
      </c>
      <c r="C315" s="24" t="s">
        <v>54</v>
      </c>
      <c r="D315" s="25">
        <v>10692</v>
      </c>
      <c r="E315" s="25">
        <v>0</v>
      </c>
      <c r="F315" s="25">
        <v>0</v>
      </c>
      <c r="G315" s="25">
        <v>10692</v>
      </c>
      <c r="H315" s="25">
        <v>0</v>
      </c>
      <c r="I315" s="25">
        <v>0</v>
      </c>
      <c r="J315" s="24" t="s">
        <v>63</v>
      </c>
      <c r="K315" s="26">
        <f>SUM(E315:J315)</f>
        <v>10692.0</v>
      </c>
      <c r="L315" s="26">
        <f>D315-K315</f>
        <v>0.0</v>
      </c>
      <c r="M315" s="24" t="s">
        <v>1617</v>
      </c>
      <c r="N315" s="24" t="str">
        <f>C315&amp;"|"&amp;A315</f>
        <v>001|2676424</v>
      </c>
    </row>
    <row r="316" spans="1:14">
      <c r="A316" s="24" t="s">
        <v>1069</v>
      </c>
      <c r="B316" s="24" t="s">
        <v>1071</v>
      </c>
      <c r="C316" s="24" t="s">
        <v>54</v>
      </c>
      <c r="D316" s="25">
        <v>7816</v>
      </c>
      <c r="E316" s="25">
        <v>0</v>
      </c>
      <c r="F316" s="25">
        <v>0</v>
      </c>
      <c r="G316" s="25">
        <v>7816</v>
      </c>
      <c r="H316" s="25">
        <v>0</v>
      </c>
      <c r="I316" s="25">
        <v>0</v>
      </c>
      <c r="J316" s="24" t="s">
        <v>63</v>
      </c>
      <c r="K316" s="26">
        <f>SUM(E316:J316)</f>
        <v>7816.0</v>
      </c>
      <c r="L316" s="26">
        <f>D316-K316</f>
        <v>0.0</v>
      </c>
      <c r="M316" s="24" t="s">
        <v>1617</v>
      </c>
      <c r="N316" s="24" t="str">
        <f>C316&amp;"|"&amp;A316</f>
        <v>001|2681121</v>
      </c>
    </row>
    <row r="317" spans="1:14">
      <c r="A317" s="24" t="s">
        <v>1072</v>
      </c>
      <c r="B317" s="24" t="s">
        <v>1074</v>
      </c>
      <c r="C317" s="24" t="s">
        <v>54</v>
      </c>
      <c r="D317" s="25">
        <v>3546</v>
      </c>
      <c r="E317" s="25">
        <v>0</v>
      </c>
      <c r="F317" s="25">
        <v>0</v>
      </c>
      <c r="G317" s="25">
        <v>3546</v>
      </c>
      <c r="H317" s="25">
        <v>0</v>
      </c>
      <c r="I317" s="25">
        <v>0</v>
      </c>
      <c r="J317" s="24" t="s">
        <v>63</v>
      </c>
      <c r="K317" s="26">
        <f>SUM(E317:J317)</f>
        <v>3546.0</v>
      </c>
      <c r="L317" s="26">
        <f>D317-K317</f>
        <v>0.0</v>
      </c>
      <c r="M317" s="24" t="s">
        <v>1617</v>
      </c>
      <c r="N317" s="24" t="str">
        <f>C317&amp;"|"&amp;A317</f>
        <v>001|2676426</v>
      </c>
    </row>
    <row r="318" spans="1:14">
      <c r="A318" s="24" t="s">
        <v>1075</v>
      </c>
      <c r="B318" s="24" t="s">
        <v>1077</v>
      </c>
      <c r="C318" s="24" t="s">
        <v>54</v>
      </c>
      <c r="D318" s="25">
        <v>2555</v>
      </c>
      <c r="E318" s="25">
        <v>0</v>
      </c>
      <c r="F318" s="25">
        <v>0</v>
      </c>
      <c r="G318" s="25">
        <v>2555</v>
      </c>
      <c r="H318" s="25">
        <v>0</v>
      </c>
      <c r="I318" s="25">
        <v>0</v>
      </c>
      <c r="J318" s="24" t="s">
        <v>63</v>
      </c>
      <c r="K318" s="26">
        <f>SUM(E318:J318)</f>
        <v>2555.0</v>
      </c>
      <c r="L318" s="26">
        <f>D318-K318</f>
        <v>0.0</v>
      </c>
      <c r="M318" s="24" t="s">
        <v>1617</v>
      </c>
      <c r="N318" s="24" t="str">
        <f>C318&amp;"|"&amp;A318</f>
        <v>001|2676427</v>
      </c>
    </row>
    <row r="319" spans="1:14">
      <c r="A319" s="24" t="s">
        <v>1078</v>
      </c>
      <c r="B319" s="24" t="s">
        <v>1080</v>
      </c>
      <c r="C319" s="24" t="s">
        <v>54</v>
      </c>
      <c r="D319" s="25">
        <v>73376</v>
      </c>
      <c r="E319" s="25">
        <v>0</v>
      </c>
      <c r="F319" s="25">
        <v>0</v>
      </c>
      <c r="G319" s="25">
        <v>73376</v>
      </c>
      <c r="H319" s="25">
        <v>0</v>
      </c>
      <c r="I319" s="25">
        <v>0</v>
      </c>
      <c r="J319" s="24" t="s">
        <v>63</v>
      </c>
      <c r="K319" s="26">
        <f>SUM(E319:J319)</f>
        <v>73376.0</v>
      </c>
      <c r="L319" s="26">
        <f>D319-K319</f>
        <v>0.0</v>
      </c>
      <c r="M319" s="24" t="s">
        <v>1617</v>
      </c>
      <c r="N319" s="24" t="str">
        <f>C319&amp;"|"&amp;A319</f>
        <v>001|2676430</v>
      </c>
    </row>
    <row r="320" spans="1:14">
      <c r="A320" s="24" t="s">
        <v>1081</v>
      </c>
      <c r="B320" s="24" t="s">
        <v>1083</v>
      </c>
      <c r="C320" s="24" t="s">
        <v>54</v>
      </c>
      <c r="D320" s="25">
        <v>54964</v>
      </c>
      <c r="E320" s="25">
        <v>0</v>
      </c>
      <c r="F320" s="25">
        <v>0</v>
      </c>
      <c r="G320" s="25">
        <v>54964</v>
      </c>
      <c r="H320" s="25">
        <v>0</v>
      </c>
      <c r="I320" s="25">
        <v>0</v>
      </c>
      <c r="J320" s="24" t="s">
        <v>63</v>
      </c>
      <c r="K320" s="26">
        <f>SUM(E320:J320)</f>
        <v>54964.0</v>
      </c>
      <c r="L320" s="26">
        <f>D320-K320</f>
        <v>0.0</v>
      </c>
      <c r="M320" s="24" t="s">
        <v>1617</v>
      </c>
      <c r="N320" s="24" t="str">
        <f>C320&amp;"|"&amp;A320</f>
        <v>001|2676431</v>
      </c>
    </row>
    <row r="321" spans="1:14">
      <c r="A321" s="24" t="s">
        <v>1084</v>
      </c>
      <c r="B321" s="24" t="s">
        <v>1086</v>
      </c>
      <c r="C321" s="24" t="s">
        <v>54</v>
      </c>
      <c r="D321" s="25">
        <v>73915</v>
      </c>
      <c r="E321" s="25">
        <v>0</v>
      </c>
      <c r="F321" s="25">
        <v>0</v>
      </c>
      <c r="G321" s="25">
        <v>73915</v>
      </c>
      <c r="H321" s="25">
        <v>0</v>
      </c>
      <c r="I321" s="25">
        <v>0</v>
      </c>
      <c r="J321" s="24" t="s">
        <v>63</v>
      </c>
      <c r="K321" s="26">
        <f>SUM(E321:J321)</f>
        <v>73915.0</v>
      </c>
      <c r="L321" s="26">
        <f>D321-K321</f>
        <v>0.0</v>
      </c>
      <c r="M321" s="24" t="s">
        <v>1617</v>
      </c>
      <c r="N321" s="24" t="str">
        <f>C321&amp;"|"&amp;A321</f>
        <v>001|2676432</v>
      </c>
    </row>
    <row r="322" spans="1:14">
      <c r="A322" s="24" t="s">
        <v>1087</v>
      </c>
      <c r="B322" s="24" t="s">
        <v>1089</v>
      </c>
      <c r="C322" s="24" t="s">
        <v>54</v>
      </c>
      <c r="D322" s="25">
        <v>5098</v>
      </c>
      <c r="E322" s="25">
        <v>0</v>
      </c>
      <c r="F322" s="25">
        <v>0</v>
      </c>
      <c r="G322" s="25">
        <v>5098</v>
      </c>
      <c r="H322" s="25">
        <v>0</v>
      </c>
      <c r="I322" s="25">
        <v>0</v>
      </c>
      <c r="J322" s="24" t="s">
        <v>63</v>
      </c>
      <c r="K322" s="26">
        <f>SUM(E322:J322)</f>
        <v>5098.0</v>
      </c>
      <c r="L322" s="26">
        <f>D322-K322</f>
        <v>0.0</v>
      </c>
      <c r="M322" s="24" t="s">
        <v>1617</v>
      </c>
      <c r="N322" s="24" t="str">
        <f>C322&amp;"|"&amp;A322</f>
        <v>001|2681125</v>
      </c>
    </row>
    <row r="323" spans="1:14">
      <c r="A323" s="24" t="s">
        <v>1090</v>
      </c>
      <c r="B323" s="24" t="s">
        <v>1092</v>
      </c>
      <c r="C323" s="24" t="s">
        <v>54</v>
      </c>
      <c r="D323" s="25">
        <v>4800</v>
      </c>
      <c r="E323" s="25">
        <v>0</v>
      </c>
      <c r="F323" s="25">
        <v>0</v>
      </c>
      <c r="G323" s="25">
        <v>4800</v>
      </c>
      <c r="H323" s="25">
        <v>0</v>
      </c>
      <c r="I323" s="25">
        <v>0</v>
      </c>
      <c r="J323" s="24" t="s">
        <v>63</v>
      </c>
      <c r="K323" s="26">
        <f>SUM(E323:J323)</f>
        <v>4800.0</v>
      </c>
      <c r="L323" s="26">
        <f>D323-K323</f>
        <v>0.0</v>
      </c>
      <c r="M323" s="24" t="s">
        <v>1617</v>
      </c>
      <c r="N323" s="24" t="str">
        <f>C323&amp;"|"&amp;A323</f>
        <v>001|2681128</v>
      </c>
    </row>
    <row r="324" spans="1:14">
      <c r="A324" s="24" t="s">
        <v>1093</v>
      </c>
      <c r="B324" s="24" t="s">
        <v>1095</v>
      </c>
      <c r="C324" s="24" t="s">
        <v>54</v>
      </c>
      <c r="D324" s="25">
        <v>12800</v>
      </c>
      <c r="E324" s="25">
        <v>0</v>
      </c>
      <c r="F324" s="25">
        <v>0</v>
      </c>
      <c r="G324" s="25">
        <v>12800</v>
      </c>
      <c r="H324" s="25">
        <v>0</v>
      </c>
      <c r="I324" s="25">
        <v>0</v>
      </c>
      <c r="J324" s="24" t="s">
        <v>63</v>
      </c>
      <c r="K324" s="26">
        <f>SUM(E324:J324)</f>
        <v>12800.0</v>
      </c>
      <c r="L324" s="26">
        <f>D324-K324</f>
        <v>0.0</v>
      </c>
      <c r="M324" s="24" t="s">
        <v>1617</v>
      </c>
      <c r="N324" s="24" t="str">
        <f>C324&amp;"|"&amp;A324</f>
        <v>001|2681129</v>
      </c>
    </row>
    <row r="325" spans="1:14">
      <c r="A325" s="24" t="s">
        <v>1096</v>
      </c>
      <c r="B325" s="24" t="s">
        <v>1098</v>
      </c>
      <c r="C325" s="24" t="s">
        <v>54</v>
      </c>
      <c r="D325" s="25">
        <v>57400</v>
      </c>
      <c r="E325" s="25">
        <v>0</v>
      </c>
      <c r="F325" s="25">
        <v>0</v>
      </c>
      <c r="G325" s="25">
        <v>57400</v>
      </c>
      <c r="H325" s="25">
        <v>0</v>
      </c>
      <c r="I325" s="25">
        <v>0</v>
      </c>
      <c r="J325" s="24" t="s">
        <v>63</v>
      </c>
      <c r="K325" s="26">
        <f>SUM(E325:J325)</f>
        <v>57400.0</v>
      </c>
      <c r="L325" s="26">
        <f>D325-K325</f>
        <v>0.0</v>
      </c>
      <c r="M325" s="24" t="s">
        <v>1617</v>
      </c>
      <c r="N325" s="24" t="str">
        <f>C325&amp;"|"&amp;A325</f>
        <v>001|2676435</v>
      </c>
    </row>
    <row r="326" spans="1:14">
      <c r="A326" s="24" t="s">
        <v>1099</v>
      </c>
      <c r="B326" s="24" t="s">
        <v>1101</v>
      </c>
      <c r="C326" s="24" t="s">
        <v>54</v>
      </c>
      <c r="D326" s="25">
        <v>5898</v>
      </c>
      <c r="E326" s="25">
        <v>0</v>
      </c>
      <c r="F326" s="25">
        <v>0</v>
      </c>
      <c r="G326" s="25">
        <v>5898</v>
      </c>
      <c r="H326" s="25">
        <v>0</v>
      </c>
      <c r="I326" s="25">
        <v>0</v>
      </c>
      <c r="J326" s="24" t="s">
        <v>63</v>
      </c>
      <c r="K326" s="26">
        <f>SUM(E326:J326)</f>
        <v>5898.0</v>
      </c>
      <c r="L326" s="26">
        <f>D326-K326</f>
        <v>0.0</v>
      </c>
      <c r="M326" s="24" t="s">
        <v>1617</v>
      </c>
      <c r="N326" s="24" t="str">
        <f>C326&amp;"|"&amp;A326</f>
        <v>001|2676436</v>
      </c>
    </row>
    <row r="327" spans="1:14">
      <c r="A327" s="24" t="s">
        <v>1102</v>
      </c>
      <c r="B327" s="24" t="s">
        <v>1104</v>
      </c>
      <c r="C327" s="24" t="s">
        <v>54</v>
      </c>
      <c r="D327" s="25">
        <v>3000</v>
      </c>
      <c r="E327" s="25">
        <v>0</v>
      </c>
      <c r="F327" s="25">
        <v>0</v>
      </c>
      <c r="G327" s="25">
        <v>3000</v>
      </c>
      <c r="H327" s="25">
        <v>0</v>
      </c>
      <c r="I327" s="25">
        <v>0</v>
      </c>
      <c r="J327" s="24" t="s">
        <v>63</v>
      </c>
      <c r="K327" s="26">
        <f>SUM(E327:J327)</f>
        <v>3000.0</v>
      </c>
      <c r="L327" s="26">
        <f>D327-K327</f>
        <v>0.0</v>
      </c>
      <c r="M327" s="24" t="s">
        <v>1617</v>
      </c>
      <c r="N327" s="24" t="str">
        <f>C327&amp;"|"&amp;A327</f>
        <v>001|2681276</v>
      </c>
    </row>
    <row r="328" spans="1:14">
      <c r="A328" s="24" t="s">
        <v>1105</v>
      </c>
      <c r="B328" s="24" t="s">
        <v>1107</v>
      </c>
      <c r="C328" s="24" t="s">
        <v>54</v>
      </c>
      <c r="D328" s="25">
        <v>87790</v>
      </c>
      <c r="E328" s="25">
        <v>0</v>
      </c>
      <c r="F328" s="25">
        <v>0</v>
      </c>
      <c r="G328" s="25">
        <v>87790</v>
      </c>
      <c r="H328" s="25">
        <v>0</v>
      </c>
      <c r="I328" s="25">
        <v>0</v>
      </c>
      <c r="J328" s="24" t="s">
        <v>63</v>
      </c>
      <c r="K328" s="26">
        <f>SUM(E328:J328)</f>
        <v>87790.0</v>
      </c>
      <c r="L328" s="26">
        <f>D328-K328</f>
        <v>0.0</v>
      </c>
      <c r="M328" s="24" t="s">
        <v>1617</v>
      </c>
      <c r="N328" s="24" t="str">
        <f>C328&amp;"|"&amp;A328</f>
        <v>001|2681132</v>
      </c>
    </row>
    <row r="329" spans="1:14">
      <c r="A329" s="24" t="s">
        <v>1108</v>
      </c>
      <c r="B329" s="24" t="s">
        <v>1110</v>
      </c>
      <c r="C329" s="24" t="s">
        <v>54</v>
      </c>
      <c r="D329" s="25">
        <v>14715</v>
      </c>
      <c r="E329" s="25">
        <v>0</v>
      </c>
      <c r="F329" s="25">
        <v>0</v>
      </c>
      <c r="G329" s="25">
        <v>14715</v>
      </c>
      <c r="H329" s="25">
        <v>0</v>
      </c>
      <c r="I329" s="25">
        <v>0</v>
      </c>
      <c r="J329" s="24" t="s">
        <v>63</v>
      </c>
      <c r="K329" s="26">
        <f>SUM(E329:J329)</f>
        <v>14715.0</v>
      </c>
      <c r="L329" s="26">
        <f>D329-K329</f>
        <v>0.0</v>
      </c>
      <c r="M329" s="24" t="s">
        <v>1617</v>
      </c>
      <c r="N329" s="24" t="str">
        <f>C329&amp;"|"&amp;A329</f>
        <v>001|2676433</v>
      </c>
    </row>
    <row r="330" spans="1:14">
      <c r="A330" s="24" t="s">
        <v>1111</v>
      </c>
      <c r="B330" s="24" t="s">
        <v>1113</v>
      </c>
      <c r="C330" s="24" t="s">
        <v>54</v>
      </c>
      <c r="D330" s="25">
        <v>159547</v>
      </c>
      <c r="E330" s="25">
        <v>0</v>
      </c>
      <c r="F330" s="25">
        <v>0</v>
      </c>
      <c r="G330" s="25">
        <v>159547</v>
      </c>
      <c r="H330" s="25">
        <v>0</v>
      </c>
      <c r="I330" s="25">
        <v>0</v>
      </c>
      <c r="J330" s="24" t="s">
        <v>63</v>
      </c>
      <c r="K330" s="26">
        <f>SUM(E330:J330)</f>
        <v>159547.0</v>
      </c>
      <c r="L330" s="26">
        <f>D330-K330</f>
        <v>0.0</v>
      </c>
      <c r="M330" s="24" t="s">
        <v>1617</v>
      </c>
      <c r="N330" s="24" t="str">
        <f>C330&amp;"|"&amp;A330</f>
        <v>001|2717148</v>
      </c>
    </row>
    <row r="331" spans="1:14">
      <c r="A331" s="24" t="s">
        <v>1114</v>
      </c>
      <c r="B331" s="24" t="s">
        <v>1116</v>
      </c>
      <c r="C331" s="24" t="s">
        <v>54</v>
      </c>
      <c r="D331" s="25">
        <v>158642</v>
      </c>
      <c r="E331" s="25">
        <v>0</v>
      </c>
      <c r="F331" s="25">
        <v>0</v>
      </c>
      <c r="G331" s="25">
        <v>158642</v>
      </c>
      <c r="H331" s="25">
        <v>0</v>
      </c>
      <c r="I331" s="25">
        <v>0</v>
      </c>
      <c r="J331" s="24" t="s">
        <v>63</v>
      </c>
      <c r="K331" s="26">
        <f>SUM(E331:J331)</f>
        <v>158642.0</v>
      </c>
      <c r="L331" s="26">
        <f>D331-K331</f>
        <v>0.0</v>
      </c>
      <c r="M331" s="24" t="s">
        <v>1617</v>
      </c>
      <c r="N331" s="24" t="str">
        <f>C331&amp;"|"&amp;A331</f>
        <v>001|2717149</v>
      </c>
    </row>
    <row r="332" spans="1:14">
      <c r="A332" s="24" t="s">
        <v>1117</v>
      </c>
      <c r="B332" s="24" t="s">
        <v>1119</v>
      </c>
      <c r="C332" s="24" t="s">
        <v>54</v>
      </c>
      <c r="D332" s="25">
        <v>159352</v>
      </c>
      <c r="E332" s="25">
        <v>0</v>
      </c>
      <c r="F332" s="25">
        <v>0</v>
      </c>
      <c r="G332" s="25">
        <v>159352</v>
      </c>
      <c r="H332" s="25">
        <v>0</v>
      </c>
      <c r="I332" s="25">
        <v>0</v>
      </c>
      <c r="J332" s="24" t="s">
        <v>63</v>
      </c>
      <c r="K332" s="26">
        <f>SUM(E332:J332)</f>
        <v>159352.0</v>
      </c>
      <c r="L332" s="26">
        <f>D332-K332</f>
        <v>0.0</v>
      </c>
      <c r="M332" s="24" t="s">
        <v>1617</v>
      </c>
      <c r="N332" s="24" t="str">
        <f>C332&amp;"|"&amp;A332</f>
        <v>001|2717152</v>
      </c>
    </row>
    <row r="333" spans="1:14">
      <c r="A333" s="24" t="s">
        <v>1120</v>
      </c>
      <c r="B333" s="24" t="s">
        <v>1122</v>
      </c>
      <c r="C333" s="24" t="s">
        <v>54</v>
      </c>
      <c r="D333" s="25">
        <v>159613</v>
      </c>
      <c r="E333" s="25">
        <v>0</v>
      </c>
      <c r="F333" s="25">
        <v>0</v>
      </c>
      <c r="G333" s="25">
        <v>159613</v>
      </c>
      <c r="H333" s="25">
        <v>0</v>
      </c>
      <c r="I333" s="25">
        <v>0</v>
      </c>
      <c r="J333" s="24" t="s">
        <v>63</v>
      </c>
      <c r="K333" s="26">
        <f>SUM(E333:J333)</f>
        <v>159613.0</v>
      </c>
      <c r="L333" s="26">
        <f>D333-K333</f>
        <v>0.0</v>
      </c>
      <c r="M333" s="24" t="s">
        <v>1617</v>
      </c>
      <c r="N333" s="24" t="str">
        <f>C333&amp;"|"&amp;A333</f>
        <v>001|2717153</v>
      </c>
    </row>
    <row r="334" spans="1:14">
      <c r="A334" s="24" t="s">
        <v>1123</v>
      </c>
      <c r="B334" s="24" t="s">
        <v>1125</v>
      </c>
      <c r="C334" s="24" t="s">
        <v>54</v>
      </c>
      <c r="D334" s="25">
        <v>159555</v>
      </c>
      <c r="E334" s="25">
        <v>0</v>
      </c>
      <c r="F334" s="25">
        <v>0</v>
      </c>
      <c r="G334" s="25">
        <v>159555</v>
      </c>
      <c r="H334" s="25">
        <v>0</v>
      </c>
      <c r="I334" s="25">
        <v>0</v>
      </c>
      <c r="J334" s="24" t="s">
        <v>63</v>
      </c>
      <c r="K334" s="26">
        <f>SUM(E334:J334)</f>
        <v>159555.0</v>
      </c>
      <c r="L334" s="26">
        <f>D334-K334</f>
        <v>0.0</v>
      </c>
      <c r="M334" s="24" t="s">
        <v>1617</v>
      </c>
      <c r="N334" s="24" t="str">
        <f>C334&amp;"|"&amp;A334</f>
        <v>001|2717154</v>
      </c>
    </row>
    <row r="335" spans="1:14">
      <c r="A335" s="24" t="s">
        <v>1126</v>
      </c>
      <c r="B335" s="24" t="s">
        <v>1128</v>
      </c>
      <c r="C335" s="24" t="s">
        <v>54</v>
      </c>
      <c r="D335" s="25">
        <v>154799</v>
      </c>
      <c r="E335" s="25">
        <v>0</v>
      </c>
      <c r="F335" s="25">
        <v>0</v>
      </c>
      <c r="G335" s="25">
        <v>154799</v>
      </c>
      <c r="H335" s="25">
        <v>0</v>
      </c>
      <c r="I335" s="25">
        <v>0</v>
      </c>
      <c r="J335" s="24" t="s">
        <v>63</v>
      </c>
      <c r="K335" s="26">
        <f>SUM(E335:J335)</f>
        <v>154799.0</v>
      </c>
      <c r="L335" s="26">
        <f>D335-K335</f>
        <v>0.0</v>
      </c>
      <c r="M335" s="24" t="s">
        <v>1617</v>
      </c>
      <c r="N335" s="24" t="str">
        <f>C335&amp;"|"&amp;A335</f>
        <v>001|2717155</v>
      </c>
    </row>
    <row r="336" spans="1:14">
      <c r="A336" s="24" t="s">
        <v>1129</v>
      </c>
      <c r="B336" s="24" t="s">
        <v>1131</v>
      </c>
      <c r="C336" s="24" t="s">
        <v>54</v>
      </c>
      <c r="D336" s="25">
        <v>155278</v>
      </c>
      <c r="E336" s="25">
        <v>0</v>
      </c>
      <c r="F336" s="25">
        <v>0</v>
      </c>
      <c r="G336" s="25">
        <v>155278</v>
      </c>
      <c r="H336" s="25">
        <v>0</v>
      </c>
      <c r="I336" s="25">
        <v>0</v>
      </c>
      <c r="J336" s="24" t="s">
        <v>63</v>
      </c>
      <c r="K336" s="26">
        <f>SUM(E336:J336)</f>
        <v>155278.0</v>
      </c>
      <c r="L336" s="26">
        <f>D336-K336</f>
        <v>0.0</v>
      </c>
      <c r="M336" s="24" t="s">
        <v>1617</v>
      </c>
      <c r="N336" s="24" t="str">
        <f>C336&amp;"|"&amp;A336</f>
        <v>001|2717159</v>
      </c>
    </row>
    <row r="337" spans="1:14">
      <c r="A337" s="24" t="s">
        <v>1132</v>
      </c>
      <c r="B337" s="24" t="s">
        <v>1134</v>
      </c>
      <c r="C337" s="24" t="s">
        <v>54</v>
      </c>
      <c r="D337" s="25">
        <v>159890</v>
      </c>
      <c r="E337" s="25">
        <v>0</v>
      </c>
      <c r="F337" s="25">
        <v>0</v>
      </c>
      <c r="G337" s="25">
        <v>159890</v>
      </c>
      <c r="H337" s="25">
        <v>0</v>
      </c>
      <c r="I337" s="25">
        <v>0</v>
      </c>
      <c r="J337" s="24" t="s">
        <v>63</v>
      </c>
      <c r="K337" s="26">
        <f>SUM(E337:J337)</f>
        <v>159890.0</v>
      </c>
      <c r="L337" s="26">
        <f>D337-K337</f>
        <v>0.0</v>
      </c>
      <c r="M337" s="24" t="s">
        <v>1617</v>
      </c>
      <c r="N337" s="24" t="str">
        <f>C337&amp;"|"&amp;A337</f>
        <v>001|2717160</v>
      </c>
    </row>
    <row r="338" spans="1:14">
      <c r="A338" s="24" t="s">
        <v>1135</v>
      </c>
      <c r="B338" s="24" t="s">
        <v>1137</v>
      </c>
      <c r="C338" s="24" t="s">
        <v>54</v>
      </c>
      <c r="D338" s="25">
        <v>159321</v>
      </c>
      <c r="E338" s="25">
        <v>0</v>
      </c>
      <c r="F338" s="25">
        <v>0</v>
      </c>
      <c r="G338" s="25">
        <v>159321</v>
      </c>
      <c r="H338" s="25">
        <v>0</v>
      </c>
      <c r="I338" s="25">
        <v>0</v>
      </c>
      <c r="J338" s="24" t="s">
        <v>63</v>
      </c>
      <c r="K338" s="26">
        <f>SUM(E338:J338)</f>
        <v>159321.0</v>
      </c>
      <c r="L338" s="26">
        <f>D338-K338</f>
        <v>0.0</v>
      </c>
      <c r="M338" s="24" t="s">
        <v>1617</v>
      </c>
      <c r="N338" s="24" t="str">
        <f>C338&amp;"|"&amp;A338</f>
        <v>001|2717162</v>
      </c>
    </row>
    <row r="339" spans="1:14">
      <c r="A339" s="24" t="s">
        <v>1138</v>
      </c>
      <c r="B339" s="24" t="s">
        <v>1140</v>
      </c>
      <c r="C339" s="24" t="s">
        <v>54</v>
      </c>
      <c r="D339" s="25">
        <v>146532</v>
      </c>
      <c r="E339" s="25">
        <v>0</v>
      </c>
      <c r="F339" s="25">
        <v>0</v>
      </c>
      <c r="G339" s="25">
        <v>146532</v>
      </c>
      <c r="H339" s="25">
        <v>0</v>
      </c>
      <c r="I339" s="25">
        <v>0</v>
      </c>
      <c r="J339" s="24" t="s">
        <v>63</v>
      </c>
      <c r="K339" s="26">
        <f>SUM(E339:J339)</f>
        <v>146532.0</v>
      </c>
      <c r="L339" s="26">
        <f>D339-K339</f>
        <v>0.0</v>
      </c>
      <c r="M339" s="24" t="s">
        <v>1617</v>
      </c>
      <c r="N339" s="24" t="str">
        <f>C339&amp;"|"&amp;A339</f>
        <v>001|2717165</v>
      </c>
    </row>
    <row r="340" spans="1:14">
      <c r="A340" s="24" t="s">
        <v>1141</v>
      </c>
      <c r="B340" s="24" t="s">
        <v>1143</v>
      </c>
      <c r="C340" s="24" t="s">
        <v>54</v>
      </c>
      <c r="D340" s="25">
        <v>155656</v>
      </c>
      <c r="E340" s="25">
        <v>0</v>
      </c>
      <c r="F340" s="25">
        <v>0</v>
      </c>
      <c r="G340" s="25">
        <v>155656</v>
      </c>
      <c r="H340" s="25">
        <v>0</v>
      </c>
      <c r="I340" s="25">
        <v>0</v>
      </c>
      <c r="J340" s="24" t="s">
        <v>63</v>
      </c>
      <c r="K340" s="26">
        <f>SUM(E340:J340)</f>
        <v>155656.0</v>
      </c>
      <c r="L340" s="26">
        <f>D340-K340</f>
        <v>0.0</v>
      </c>
      <c r="M340" s="24" t="s">
        <v>1617</v>
      </c>
      <c r="N340" s="24" t="str">
        <f>C340&amp;"|"&amp;A340</f>
        <v>001|2717166</v>
      </c>
    </row>
    <row r="341" spans="1:14">
      <c r="A341" s="24" t="s">
        <v>1144</v>
      </c>
      <c r="B341" s="24" t="s">
        <v>1146</v>
      </c>
      <c r="C341" s="24" t="s">
        <v>54</v>
      </c>
      <c r="D341" s="25">
        <v>159060</v>
      </c>
      <c r="E341" s="25">
        <v>0</v>
      </c>
      <c r="F341" s="25">
        <v>0</v>
      </c>
      <c r="G341" s="25">
        <v>159060</v>
      </c>
      <c r="H341" s="25">
        <v>0</v>
      </c>
      <c r="I341" s="25">
        <v>0</v>
      </c>
      <c r="J341" s="24" t="s">
        <v>63</v>
      </c>
      <c r="K341" s="26">
        <f>SUM(E341:J341)</f>
        <v>159060.0</v>
      </c>
      <c r="L341" s="26">
        <f>D341-K341</f>
        <v>0.0</v>
      </c>
      <c r="M341" s="24" t="s">
        <v>1617</v>
      </c>
      <c r="N341" s="24" t="str">
        <f>C341&amp;"|"&amp;A341</f>
        <v>001|2717167</v>
      </c>
    </row>
    <row r="342" spans="1:14">
      <c r="A342" s="24" t="s">
        <v>1147</v>
      </c>
      <c r="B342" s="24" t="s">
        <v>1149</v>
      </c>
      <c r="C342" s="24" t="s">
        <v>54</v>
      </c>
      <c r="D342" s="25">
        <v>159862</v>
      </c>
      <c r="E342" s="25">
        <v>0</v>
      </c>
      <c r="F342" s="25">
        <v>0</v>
      </c>
      <c r="G342" s="25">
        <v>159862</v>
      </c>
      <c r="H342" s="25">
        <v>0</v>
      </c>
      <c r="I342" s="25">
        <v>0</v>
      </c>
      <c r="J342" s="24" t="s">
        <v>63</v>
      </c>
      <c r="K342" s="26">
        <f>SUM(E342:J342)</f>
        <v>159862.0</v>
      </c>
      <c r="L342" s="26">
        <f>D342-K342</f>
        <v>0.0</v>
      </c>
      <c r="M342" s="24" t="s">
        <v>1617</v>
      </c>
      <c r="N342" s="24" t="str">
        <f>C342&amp;"|"&amp;A342</f>
        <v>001|2717168</v>
      </c>
    </row>
    <row r="343" spans="1:14">
      <c r="A343" s="24" t="s">
        <v>1150</v>
      </c>
      <c r="B343" s="24" t="s">
        <v>1152</v>
      </c>
      <c r="C343" s="24" t="s">
        <v>54</v>
      </c>
      <c r="D343" s="25">
        <v>157300</v>
      </c>
      <c r="E343" s="25">
        <v>0</v>
      </c>
      <c r="F343" s="25">
        <v>0</v>
      </c>
      <c r="G343" s="25">
        <v>157300</v>
      </c>
      <c r="H343" s="25">
        <v>0</v>
      </c>
      <c r="I343" s="25">
        <v>0</v>
      </c>
      <c r="J343" s="24" t="s">
        <v>63</v>
      </c>
      <c r="K343" s="26">
        <f>SUM(E343:J343)</f>
        <v>157300.0</v>
      </c>
      <c r="L343" s="26">
        <f>D343-K343</f>
        <v>0.0</v>
      </c>
      <c r="M343" s="24" t="s">
        <v>1617</v>
      </c>
      <c r="N343" s="24" t="str">
        <f>C343&amp;"|"&amp;A343</f>
        <v>001|2717170</v>
      </c>
    </row>
    <row r="344" spans="1:14">
      <c r="A344" s="24" t="s">
        <v>1153</v>
      </c>
      <c r="B344" s="24" t="s">
        <v>1155</v>
      </c>
      <c r="C344" s="24" t="s">
        <v>54</v>
      </c>
      <c r="D344" s="25">
        <v>159720</v>
      </c>
      <c r="E344" s="25">
        <v>0</v>
      </c>
      <c r="F344" s="25">
        <v>0</v>
      </c>
      <c r="G344" s="25">
        <v>159720</v>
      </c>
      <c r="H344" s="25">
        <v>0</v>
      </c>
      <c r="I344" s="25">
        <v>0</v>
      </c>
      <c r="J344" s="24" t="s">
        <v>63</v>
      </c>
      <c r="K344" s="26">
        <f>SUM(E344:J344)</f>
        <v>159720.0</v>
      </c>
      <c r="L344" s="26">
        <f>D344-K344</f>
        <v>0.0</v>
      </c>
      <c r="M344" s="24" t="s">
        <v>1617</v>
      </c>
      <c r="N344" s="24" t="str">
        <f>C344&amp;"|"&amp;A344</f>
        <v>001|2717171</v>
      </c>
    </row>
    <row r="345" spans="1:14">
      <c r="A345" s="24" t="s">
        <v>1156</v>
      </c>
      <c r="B345" s="24" t="s">
        <v>1158</v>
      </c>
      <c r="C345" s="24" t="s">
        <v>54</v>
      </c>
      <c r="D345" s="25">
        <v>159007</v>
      </c>
      <c r="E345" s="25">
        <v>0</v>
      </c>
      <c r="F345" s="25">
        <v>0</v>
      </c>
      <c r="G345" s="25">
        <v>159007</v>
      </c>
      <c r="H345" s="25">
        <v>0</v>
      </c>
      <c r="I345" s="25">
        <v>0</v>
      </c>
      <c r="J345" s="24" t="s">
        <v>63</v>
      </c>
      <c r="K345" s="26">
        <f>SUM(E345:J345)</f>
        <v>159007.0</v>
      </c>
      <c r="L345" s="26">
        <f>D345-K345</f>
        <v>0.0</v>
      </c>
      <c r="M345" s="24" t="s">
        <v>1617</v>
      </c>
      <c r="N345" s="24" t="str">
        <f>C345&amp;"|"&amp;A345</f>
        <v>001|2717174</v>
      </c>
    </row>
    <row r="346" spans="1:14">
      <c r="A346" s="24" t="s">
        <v>1159</v>
      </c>
      <c r="B346" s="24" t="s">
        <v>1161</v>
      </c>
      <c r="C346" s="24" t="s">
        <v>54</v>
      </c>
      <c r="D346" s="25">
        <v>159876</v>
      </c>
      <c r="E346" s="25">
        <v>0</v>
      </c>
      <c r="F346" s="25">
        <v>0</v>
      </c>
      <c r="G346" s="25">
        <v>159876</v>
      </c>
      <c r="H346" s="25">
        <v>0</v>
      </c>
      <c r="I346" s="25">
        <v>0</v>
      </c>
      <c r="J346" s="24" t="s">
        <v>63</v>
      </c>
      <c r="K346" s="26">
        <f>SUM(E346:J346)</f>
        <v>159876.0</v>
      </c>
      <c r="L346" s="26">
        <f>D346-K346</f>
        <v>0.0</v>
      </c>
      <c r="M346" s="24" t="s">
        <v>1617</v>
      </c>
      <c r="N346" s="24" t="str">
        <f>C346&amp;"|"&amp;A346</f>
        <v>001|2717176</v>
      </c>
    </row>
    <row r="347" spans="1:14">
      <c r="A347" s="24" t="s">
        <v>1162</v>
      </c>
      <c r="B347" s="24" t="s">
        <v>1164</v>
      </c>
      <c r="C347" s="24" t="s">
        <v>54</v>
      </c>
      <c r="D347" s="25">
        <v>158527</v>
      </c>
      <c r="E347" s="25">
        <v>0</v>
      </c>
      <c r="F347" s="25">
        <v>0</v>
      </c>
      <c r="G347" s="25">
        <v>158527</v>
      </c>
      <c r="H347" s="25">
        <v>0</v>
      </c>
      <c r="I347" s="25">
        <v>0</v>
      </c>
      <c r="J347" s="24" t="s">
        <v>63</v>
      </c>
      <c r="K347" s="26">
        <f>SUM(E347:J347)</f>
        <v>158527.0</v>
      </c>
      <c r="L347" s="26">
        <f>D347-K347</f>
        <v>0.0</v>
      </c>
      <c r="M347" s="24" t="s">
        <v>1617</v>
      </c>
      <c r="N347" s="24" t="str">
        <f>C347&amp;"|"&amp;A347</f>
        <v>001|2717179</v>
      </c>
    </row>
    <row r="348" spans="1:14">
      <c r="A348" s="24" t="s">
        <v>1165</v>
      </c>
      <c r="B348" s="24" t="s">
        <v>1167</v>
      </c>
      <c r="C348" s="24" t="s">
        <v>54</v>
      </c>
      <c r="D348" s="25">
        <v>158640</v>
      </c>
      <c r="E348" s="25">
        <v>0</v>
      </c>
      <c r="F348" s="25">
        <v>0</v>
      </c>
      <c r="G348" s="25">
        <v>158640</v>
      </c>
      <c r="H348" s="25">
        <v>0</v>
      </c>
      <c r="I348" s="25">
        <v>0</v>
      </c>
      <c r="J348" s="24" t="s">
        <v>63</v>
      </c>
      <c r="K348" s="26">
        <f>SUM(E348:J348)</f>
        <v>158640.0</v>
      </c>
      <c r="L348" s="26">
        <f>D348-K348</f>
        <v>0.0</v>
      </c>
      <c r="M348" s="24" t="s">
        <v>1617</v>
      </c>
      <c r="N348" s="24" t="str">
        <f>C348&amp;"|"&amp;A348</f>
        <v>001|2717180</v>
      </c>
    </row>
    <row r="349" spans="1:14">
      <c r="A349" s="24" t="s">
        <v>1168</v>
      </c>
      <c r="B349" s="24" t="s">
        <v>1170</v>
      </c>
      <c r="C349" s="24" t="s">
        <v>54</v>
      </c>
      <c r="D349" s="25">
        <v>159041</v>
      </c>
      <c r="E349" s="25">
        <v>0</v>
      </c>
      <c r="F349" s="25">
        <v>0</v>
      </c>
      <c r="G349" s="25">
        <v>159041</v>
      </c>
      <c r="H349" s="25">
        <v>0</v>
      </c>
      <c r="I349" s="25">
        <v>0</v>
      </c>
      <c r="J349" s="24" t="s">
        <v>63</v>
      </c>
      <c r="K349" s="26">
        <f>SUM(E349:J349)</f>
        <v>159041.0</v>
      </c>
      <c r="L349" s="26">
        <f>D349-K349</f>
        <v>0.0</v>
      </c>
      <c r="M349" s="24" t="s">
        <v>1617</v>
      </c>
      <c r="N349" s="24" t="str">
        <f>C349&amp;"|"&amp;A349</f>
        <v>001|2717184</v>
      </c>
    </row>
    <row r="350" spans="1:14">
      <c r="A350" s="24" t="s">
        <v>1171</v>
      </c>
      <c r="B350" s="24" t="s">
        <v>1173</v>
      </c>
      <c r="C350" s="24" t="s">
        <v>54</v>
      </c>
      <c r="D350" s="25">
        <v>159584</v>
      </c>
      <c r="E350" s="25">
        <v>0</v>
      </c>
      <c r="F350" s="25">
        <v>0</v>
      </c>
      <c r="G350" s="25">
        <v>159584</v>
      </c>
      <c r="H350" s="25">
        <v>0</v>
      </c>
      <c r="I350" s="25">
        <v>0</v>
      </c>
      <c r="J350" s="24" t="s">
        <v>63</v>
      </c>
      <c r="K350" s="26">
        <f>SUM(E350:J350)</f>
        <v>159584.0</v>
      </c>
      <c r="L350" s="26">
        <f>D350-K350</f>
        <v>0.0</v>
      </c>
      <c r="M350" s="24" t="s">
        <v>1617</v>
      </c>
      <c r="N350" s="24" t="str">
        <f>C350&amp;"|"&amp;A350</f>
        <v>001|2717187</v>
      </c>
    </row>
    <row r="351" spans="1:14">
      <c r="A351" s="24" t="s">
        <v>1174</v>
      </c>
      <c r="B351" s="24" t="s">
        <v>1176</v>
      </c>
      <c r="C351" s="24" t="s">
        <v>54</v>
      </c>
      <c r="D351" s="25">
        <v>159830</v>
      </c>
      <c r="E351" s="25">
        <v>0</v>
      </c>
      <c r="F351" s="25">
        <v>0</v>
      </c>
      <c r="G351" s="25">
        <v>159830</v>
      </c>
      <c r="H351" s="25">
        <v>0</v>
      </c>
      <c r="I351" s="25">
        <v>0</v>
      </c>
      <c r="J351" s="24" t="s">
        <v>63</v>
      </c>
      <c r="K351" s="26">
        <f>SUM(E351:J351)</f>
        <v>159830.0</v>
      </c>
      <c r="L351" s="26">
        <f>D351-K351</f>
        <v>0.0</v>
      </c>
      <c r="M351" s="24" t="s">
        <v>1617</v>
      </c>
      <c r="N351" s="24" t="str">
        <f>C351&amp;"|"&amp;A351</f>
        <v>001|2717190</v>
      </c>
    </row>
    <row r="352" spans="1:14">
      <c r="A352" s="24" t="s">
        <v>1177</v>
      </c>
      <c r="B352" s="24" t="s">
        <v>1179</v>
      </c>
      <c r="C352" s="24" t="s">
        <v>54</v>
      </c>
      <c r="D352" s="25">
        <v>159880</v>
      </c>
      <c r="E352" s="25">
        <v>0</v>
      </c>
      <c r="F352" s="25">
        <v>0</v>
      </c>
      <c r="G352" s="25">
        <v>159880</v>
      </c>
      <c r="H352" s="25">
        <v>0</v>
      </c>
      <c r="I352" s="25">
        <v>0</v>
      </c>
      <c r="J352" s="24" t="s">
        <v>63</v>
      </c>
      <c r="K352" s="26">
        <f>SUM(E352:J352)</f>
        <v>159880.0</v>
      </c>
      <c r="L352" s="26">
        <f>D352-K352</f>
        <v>0.0</v>
      </c>
      <c r="M352" s="24" t="s">
        <v>1617</v>
      </c>
      <c r="N352" s="24" t="str">
        <f>C352&amp;"|"&amp;A352</f>
        <v>001|2717191</v>
      </c>
    </row>
    <row r="353" spans="1:14">
      <c r="A353" s="24" t="s">
        <v>1180</v>
      </c>
      <c r="B353" s="24" t="s">
        <v>1182</v>
      </c>
      <c r="C353" s="24" t="s">
        <v>54</v>
      </c>
      <c r="D353" s="25">
        <v>159978</v>
      </c>
      <c r="E353" s="25">
        <v>0</v>
      </c>
      <c r="F353" s="25">
        <v>0</v>
      </c>
      <c r="G353" s="25">
        <v>159978</v>
      </c>
      <c r="H353" s="25">
        <v>0</v>
      </c>
      <c r="I353" s="25">
        <v>0</v>
      </c>
      <c r="J353" s="24" t="s">
        <v>63</v>
      </c>
      <c r="K353" s="26">
        <f>SUM(E353:J353)</f>
        <v>159978.0</v>
      </c>
      <c r="L353" s="26">
        <f>D353-K353</f>
        <v>0.0</v>
      </c>
      <c r="M353" s="24" t="s">
        <v>1617</v>
      </c>
      <c r="N353" s="24" t="str">
        <f>C353&amp;"|"&amp;A353</f>
        <v>001|2717181</v>
      </c>
    </row>
    <row r="354" spans="1:14">
      <c r="A354" s="24" t="s">
        <v>1183</v>
      </c>
      <c r="B354" s="24" t="s">
        <v>1185</v>
      </c>
      <c r="C354" s="24" t="s">
        <v>54</v>
      </c>
      <c r="D354" s="25">
        <v>44000</v>
      </c>
      <c r="E354" s="25">
        <v>0</v>
      </c>
      <c r="F354" s="25">
        <v>0</v>
      </c>
      <c r="G354" s="25">
        <v>44000</v>
      </c>
      <c r="H354" s="25">
        <v>0</v>
      </c>
      <c r="I354" s="25">
        <v>0</v>
      </c>
      <c r="J354" s="24" t="s">
        <v>63</v>
      </c>
      <c r="K354" s="26">
        <f>SUM(E354:J354)</f>
        <v>44000.0</v>
      </c>
      <c r="L354" s="26">
        <f>D354-K354</f>
        <v>0.0</v>
      </c>
      <c r="M354" s="24" t="s">
        <v>1617</v>
      </c>
      <c r="N354" s="24" t="str">
        <f>C354&amp;"|"&amp;A354</f>
        <v>001|2326588</v>
      </c>
    </row>
    <row r="355" spans="1:14">
      <c r="A355" s="24" t="s">
        <v>1186</v>
      </c>
      <c r="B355" s="24" t="s">
        <v>1188</v>
      </c>
      <c r="C355" s="24" t="s">
        <v>54</v>
      </c>
      <c r="D355" s="25">
        <v>2795</v>
      </c>
      <c r="E355" s="25">
        <v>0</v>
      </c>
      <c r="F355" s="25">
        <v>0</v>
      </c>
      <c r="G355" s="25">
        <v>2795</v>
      </c>
      <c r="H355" s="25">
        <v>0</v>
      </c>
      <c r="I355" s="25">
        <v>0</v>
      </c>
      <c r="J355" s="24" t="s">
        <v>63</v>
      </c>
      <c r="K355" s="26">
        <f>SUM(E355:J355)</f>
        <v>2795.0</v>
      </c>
      <c r="L355" s="26">
        <f>D355-K355</f>
        <v>0.0</v>
      </c>
      <c r="M355" s="24" t="s">
        <v>1617</v>
      </c>
      <c r="N355" s="24" t="str">
        <f>C355&amp;"|"&amp;A355</f>
        <v>001|2681133</v>
      </c>
    </row>
    <row r="356" spans="1:14">
      <c r="A356" s="24" t="s">
        <v>1190</v>
      </c>
      <c r="B356" s="24" t="s">
        <v>1192</v>
      </c>
      <c r="C356" s="24" t="s">
        <v>54</v>
      </c>
      <c r="D356" s="25">
        <v>179500</v>
      </c>
      <c r="E356" s="25">
        <v>0</v>
      </c>
      <c r="F356" s="25">
        <v>0</v>
      </c>
      <c r="G356" s="25">
        <v>179500</v>
      </c>
      <c r="H356" s="25">
        <v>0</v>
      </c>
      <c r="I356" s="25">
        <v>0</v>
      </c>
      <c r="J356" s="24" t="s">
        <v>63</v>
      </c>
      <c r="K356" s="26">
        <f>SUM(E356:J356)</f>
        <v>179500.0</v>
      </c>
      <c r="L356" s="26">
        <f>D356-K356</f>
        <v>0.0</v>
      </c>
      <c r="M356" s="24" t="s">
        <v>1617</v>
      </c>
      <c r="N356" s="24" t="str">
        <f>C356&amp;"|"&amp;A356</f>
        <v>001|2681278</v>
      </c>
    </row>
    <row r="357" spans="1:14">
      <c r="A357" s="24" t="s">
        <v>1193</v>
      </c>
      <c r="B357" s="24" t="s">
        <v>1195</v>
      </c>
      <c r="C357" s="24" t="s">
        <v>54</v>
      </c>
      <c r="D357" s="25">
        <v>175166</v>
      </c>
      <c r="E357" s="25">
        <v>0</v>
      </c>
      <c r="F357" s="25">
        <v>0</v>
      </c>
      <c r="G357" s="25">
        <v>175166</v>
      </c>
      <c r="H357" s="25">
        <v>0</v>
      </c>
      <c r="I357" s="25">
        <v>0</v>
      </c>
      <c r="J357" s="24" t="s">
        <v>63</v>
      </c>
      <c r="K357" s="26">
        <f>SUM(E357:J357)</f>
        <v>175166.0</v>
      </c>
      <c r="L357" s="26">
        <f>D357-K357</f>
        <v>0.0</v>
      </c>
      <c r="M357" s="24" t="s">
        <v>1617</v>
      </c>
      <c r="N357" s="24" t="str">
        <f>C357&amp;"|"&amp;A357</f>
        <v>001|2681123</v>
      </c>
    </row>
    <row r="358" spans="1:14">
      <c r="A358" s="24" t="s">
        <v>1196</v>
      </c>
      <c r="B358" s="24" t="s">
        <v>1198</v>
      </c>
      <c r="C358" s="24" t="s">
        <v>54</v>
      </c>
      <c r="D358" s="25">
        <v>349792</v>
      </c>
      <c r="E358" s="25">
        <v>0</v>
      </c>
      <c r="F358" s="25">
        <v>0</v>
      </c>
      <c r="G358" s="25">
        <v>349792</v>
      </c>
      <c r="H358" s="25">
        <v>0</v>
      </c>
      <c r="I358" s="25">
        <v>0</v>
      </c>
      <c r="J358" s="24" t="s">
        <v>63</v>
      </c>
      <c r="K358" s="26">
        <f>SUM(E358:J358)</f>
        <v>349792.0</v>
      </c>
      <c r="L358" s="26">
        <f>D358-K358</f>
        <v>0.0</v>
      </c>
      <c r="M358" s="24" t="s">
        <v>1617</v>
      </c>
      <c r="N358" s="24" t="str">
        <f>C358&amp;"|"&amp;A358</f>
        <v>001|2717185</v>
      </c>
    </row>
    <row r="359" spans="1:14">
      <c r="A359" s="24" t="s">
        <v>1199</v>
      </c>
      <c r="B359" s="24" t="s">
        <v>1201</v>
      </c>
      <c r="C359" s="24" t="s">
        <v>54</v>
      </c>
      <c r="D359" s="25">
        <v>349668</v>
      </c>
      <c r="E359" s="25">
        <v>0</v>
      </c>
      <c r="F359" s="25">
        <v>0</v>
      </c>
      <c r="G359" s="25">
        <v>349668</v>
      </c>
      <c r="H359" s="25">
        <v>0</v>
      </c>
      <c r="I359" s="25">
        <v>0</v>
      </c>
      <c r="J359" s="24" t="s">
        <v>63</v>
      </c>
      <c r="K359" s="26">
        <f>SUM(E359:J359)</f>
        <v>349668.0</v>
      </c>
      <c r="L359" s="26">
        <f>D359-K359</f>
        <v>0.0</v>
      </c>
      <c r="M359" s="24" t="s">
        <v>1617</v>
      </c>
      <c r="N359" s="24" t="str">
        <f>C359&amp;"|"&amp;A359</f>
        <v>001|2723300</v>
      </c>
    </row>
    <row r="360" spans="1:14">
      <c r="A360" s="24" t="s">
        <v>1203</v>
      </c>
      <c r="B360" s="24" t="s">
        <v>1205</v>
      </c>
      <c r="C360" s="24" t="s">
        <v>54</v>
      </c>
      <c r="D360" s="25">
        <v>5365</v>
      </c>
      <c r="E360" s="25">
        <v>0</v>
      </c>
      <c r="F360" s="25">
        <v>0</v>
      </c>
      <c r="G360" s="25">
        <v>5365</v>
      </c>
      <c r="H360" s="25">
        <v>0</v>
      </c>
      <c r="I360" s="25">
        <v>0</v>
      </c>
      <c r="J360" s="24" t="s">
        <v>63</v>
      </c>
      <c r="K360" s="26">
        <f>SUM(E360:J360)</f>
        <v>5365.0</v>
      </c>
      <c r="L360" s="26">
        <f>D360-K360</f>
        <v>0.0</v>
      </c>
      <c r="M360" s="24" t="s">
        <v>1617</v>
      </c>
      <c r="N360" s="24" t="str">
        <f>C360&amp;"|"&amp;A360</f>
        <v>001|2676422</v>
      </c>
    </row>
    <row r="361" spans="1:14">
      <c r="A361" s="24" t="s">
        <v>1206</v>
      </c>
      <c r="B361" s="24" t="s">
        <v>1208</v>
      </c>
      <c r="C361" s="24" t="s">
        <v>54</v>
      </c>
      <c r="D361" s="25">
        <v>335890</v>
      </c>
      <c r="E361" s="25">
        <v>0</v>
      </c>
      <c r="F361" s="25">
        <v>0</v>
      </c>
      <c r="G361" s="25">
        <v>335890</v>
      </c>
      <c r="H361" s="25">
        <v>0</v>
      </c>
      <c r="I361" s="25">
        <v>0</v>
      </c>
      <c r="J361" s="24" t="s">
        <v>63</v>
      </c>
      <c r="K361" s="26">
        <f>SUM(E361:J361)</f>
        <v>335890.0</v>
      </c>
      <c r="L361" s="26">
        <f>D361-K361</f>
        <v>0.0</v>
      </c>
      <c r="M361" s="24" t="s">
        <v>1617</v>
      </c>
      <c r="N361" s="24" t="str">
        <f>C361&amp;"|"&amp;A361</f>
        <v>001|2681274</v>
      </c>
    </row>
    <row r="362" spans="1:14">
      <c r="A362" s="24" t="s">
        <v>1209</v>
      </c>
      <c r="B362" s="24" t="s">
        <v>1211</v>
      </c>
      <c r="C362" s="24" t="s">
        <v>54</v>
      </c>
      <c r="D362" s="25">
        <v>157066</v>
      </c>
      <c r="E362" s="25">
        <v>0</v>
      </c>
      <c r="F362" s="25">
        <v>0</v>
      </c>
      <c r="G362" s="25">
        <v>157066</v>
      </c>
      <c r="H362" s="25">
        <v>0</v>
      </c>
      <c r="I362" s="25">
        <v>0</v>
      </c>
      <c r="J362" s="24" t="s">
        <v>63</v>
      </c>
      <c r="K362" s="26">
        <f>SUM(E362:J362)</f>
        <v>157066.0</v>
      </c>
      <c r="L362" s="26">
        <f>D362-K362</f>
        <v>0.0</v>
      </c>
      <c r="M362" s="24" t="s">
        <v>1617</v>
      </c>
      <c r="N362" s="24" t="str">
        <f>C362&amp;"|"&amp;A362</f>
        <v>001|2681130</v>
      </c>
    </row>
    <row r="363" spans="1:14">
      <c r="A363" s="24" t="s">
        <v>1212</v>
      </c>
      <c r="B363" s="24" t="s">
        <v>1214</v>
      </c>
      <c r="C363" s="24" t="s">
        <v>54</v>
      </c>
      <c r="D363" s="25">
        <v>159345</v>
      </c>
      <c r="E363" s="25">
        <v>0</v>
      </c>
      <c r="F363" s="25">
        <v>0</v>
      </c>
      <c r="G363" s="25">
        <v>159345</v>
      </c>
      <c r="H363" s="25">
        <v>0</v>
      </c>
      <c r="I363" s="25">
        <v>0</v>
      </c>
      <c r="J363" s="24" t="s">
        <v>63</v>
      </c>
      <c r="K363" s="26">
        <f>SUM(E363:J363)</f>
        <v>159345.0</v>
      </c>
      <c r="L363" s="26">
        <f>D363-K363</f>
        <v>0.0</v>
      </c>
      <c r="M363" s="24" t="s">
        <v>1617</v>
      </c>
      <c r="N363" s="24" t="str">
        <f>C363&amp;"|"&amp;A363</f>
        <v>001|2717150</v>
      </c>
    </row>
    <row r="364" spans="1:14">
      <c r="A364" s="24" t="s">
        <v>1215</v>
      </c>
      <c r="B364" s="24" t="s">
        <v>1217</v>
      </c>
      <c r="C364" s="24" t="s">
        <v>54</v>
      </c>
      <c r="D364" s="25">
        <v>160000</v>
      </c>
      <c r="E364" s="25">
        <v>0</v>
      </c>
      <c r="F364" s="25">
        <v>0</v>
      </c>
      <c r="G364" s="25">
        <v>160000</v>
      </c>
      <c r="H364" s="25">
        <v>0</v>
      </c>
      <c r="I364" s="25">
        <v>0</v>
      </c>
      <c r="J364" s="24" t="s">
        <v>63</v>
      </c>
      <c r="K364" s="26">
        <f>SUM(E364:J364)</f>
        <v>160000.0</v>
      </c>
      <c r="L364" s="26">
        <f>D364-K364</f>
        <v>0.0</v>
      </c>
      <c r="M364" s="24" t="s">
        <v>1617</v>
      </c>
      <c r="N364" s="24" t="str">
        <f>C364&amp;"|"&amp;A364</f>
        <v>001|2723295</v>
      </c>
    </row>
    <row r="365" spans="1:14">
      <c r="A365" s="24" t="s">
        <v>1218</v>
      </c>
      <c r="B365" s="24" t="s">
        <v>1220</v>
      </c>
      <c r="C365" s="24" t="s">
        <v>54</v>
      </c>
      <c r="D365" s="25">
        <v>141150</v>
      </c>
      <c r="E365" s="25">
        <v>0</v>
      </c>
      <c r="F365" s="25">
        <v>0</v>
      </c>
      <c r="G365" s="25">
        <v>141150</v>
      </c>
      <c r="H365" s="25">
        <v>0</v>
      </c>
      <c r="I365" s="25">
        <v>0</v>
      </c>
      <c r="J365" s="24" t="s">
        <v>63</v>
      </c>
      <c r="K365" s="26">
        <f>SUM(E365:J365)</f>
        <v>141150.0</v>
      </c>
      <c r="L365" s="26">
        <f>D365-K365</f>
        <v>0.0</v>
      </c>
      <c r="M365" s="24" t="s">
        <v>1617</v>
      </c>
      <c r="N365" s="24" t="str">
        <f>C365&amp;"|"&amp;A365</f>
        <v>001|2723301</v>
      </c>
    </row>
    <row r="366" spans="1:14">
      <c r="A366" s="24" t="s">
        <v>1221</v>
      </c>
      <c r="B366" s="24" t="s">
        <v>1223</v>
      </c>
      <c r="C366" s="24" t="s">
        <v>54</v>
      </c>
      <c r="D366" s="25">
        <v>350000</v>
      </c>
      <c r="E366" s="25">
        <v>0</v>
      </c>
      <c r="F366" s="25">
        <v>0</v>
      </c>
      <c r="G366" s="25">
        <v>350000</v>
      </c>
      <c r="H366" s="25">
        <v>0</v>
      </c>
      <c r="I366" s="25">
        <v>0</v>
      </c>
      <c r="J366" s="24" t="s">
        <v>63</v>
      </c>
      <c r="K366" s="26">
        <f>SUM(E366:J366)</f>
        <v>350000.0</v>
      </c>
      <c r="L366" s="26">
        <f>D366-K366</f>
        <v>0.0</v>
      </c>
      <c r="M366" s="24" t="s">
        <v>1617</v>
      </c>
      <c r="N366" s="24" t="str">
        <f>C366&amp;"|"&amp;A366</f>
        <v>001|2723299</v>
      </c>
    </row>
    <row r="367" spans="1:14">
      <c r="A367" s="24" t="s">
        <v>1226</v>
      </c>
      <c r="B367" s="24" t="s">
        <v>1228</v>
      </c>
      <c r="C367" s="24" t="s">
        <v>54</v>
      </c>
      <c r="D367" s="25">
        <v>10918999</v>
      </c>
      <c r="E367" s="25">
        <v>0</v>
      </c>
      <c r="F367" s="25">
        <v>0</v>
      </c>
      <c r="G367" s="25">
        <v>10918999</v>
      </c>
      <c r="H367" s="25">
        <v>0</v>
      </c>
      <c r="I367" s="25">
        <v>0</v>
      </c>
      <c r="J367" s="24" t="s">
        <v>63</v>
      </c>
      <c r="K367" s="26">
        <f>SUM(E367:J367)</f>
        <v>10918999.0</v>
      </c>
      <c r="L367" s="26">
        <f>D367-K367</f>
        <v>0.0</v>
      </c>
      <c r="M367" s="24" t="s">
        <v>1617</v>
      </c>
      <c r="N367" s="24" t="str">
        <f>C367&amp;"|"&amp;A367</f>
        <v>001|2183634</v>
      </c>
    </row>
    <row r="368" spans="1:14">
      <c r="A368" s="24" t="s">
        <v>1230</v>
      </c>
      <c r="B368" s="24" t="s">
        <v>1232</v>
      </c>
      <c r="C368" s="24" t="s">
        <v>54</v>
      </c>
      <c r="D368" s="25">
        <v>19658</v>
      </c>
      <c r="E368" s="25">
        <v>0</v>
      </c>
      <c r="F368" s="25">
        <v>0</v>
      </c>
      <c r="G368" s="25">
        <v>19658</v>
      </c>
      <c r="H368" s="25">
        <v>0</v>
      </c>
      <c r="I368" s="25">
        <v>0</v>
      </c>
      <c r="J368" s="24" t="s">
        <v>63</v>
      </c>
      <c r="K368" s="26">
        <f>SUM(E368:J368)</f>
        <v>19658.0</v>
      </c>
      <c r="L368" s="26">
        <f>D368-K368</f>
        <v>0.0</v>
      </c>
      <c r="M368" s="24" t="s">
        <v>1617</v>
      </c>
      <c r="N368" s="24" t="str">
        <f>C368&amp;"|"&amp;A368</f>
        <v>001|2532916</v>
      </c>
    </row>
    <row r="369" spans="1:14">
      <c r="A369" s="24" t="s">
        <v>1233</v>
      </c>
      <c r="B369" s="24" t="s">
        <v>1235</v>
      </c>
      <c r="C369" s="24" t="s">
        <v>54</v>
      </c>
      <c r="D369" s="25">
        <v>5182053</v>
      </c>
      <c r="E369" s="25">
        <v>0</v>
      </c>
      <c r="F369" s="25">
        <v>1464205</v>
      </c>
      <c r="G369" s="25">
        <v>3717848</v>
      </c>
      <c r="H369" s="25">
        <v>0</v>
      </c>
      <c r="I369" s="25">
        <v>0</v>
      </c>
      <c r="J369" s="24" t="s">
        <v>63</v>
      </c>
      <c r="K369" s="26">
        <f>SUM(E369:J369)</f>
        <v>5182053.0</v>
      </c>
      <c r="L369" s="26">
        <f>D369-K369</f>
        <v>0.0</v>
      </c>
      <c r="M369" s="24" t="s">
        <v>1617</v>
      </c>
      <c r="N369" s="24" t="str">
        <f>C369&amp;"|"&amp;A369</f>
        <v>001|2520451</v>
      </c>
    </row>
    <row r="370" spans="1:14">
      <c r="A370" s="24" t="s">
        <v>1236</v>
      </c>
      <c r="B370" s="24" t="s">
        <v>1238</v>
      </c>
      <c r="C370" s="24" t="s">
        <v>54</v>
      </c>
      <c r="D370" s="25">
        <v>1800000</v>
      </c>
      <c r="E370" s="25">
        <v>0</v>
      </c>
      <c r="F370" s="25">
        <v>0</v>
      </c>
      <c r="G370" s="25">
        <v>300000</v>
      </c>
      <c r="H370" s="25">
        <v>1500000</v>
      </c>
      <c r="I370" s="25">
        <v>0</v>
      </c>
      <c r="J370" s="24" t="s">
        <v>63</v>
      </c>
      <c r="K370" s="26">
        <f>SUM(E370:J370)</f>
        <v>1800000.0</v>
      </c>
      <c r="L370" s="26">
        <f>D370-K370</f>
        <v>0.0</v>
      </c>
      <c r="M370" s="24" t="s">
        <v>1617</v>
      </c>
      <c r="N370" s="24" t="str">
        <f>C370&amp;"|"&amp;A370</f>
        <v>001|2474102</v>
      </c>
    </row>
    <row r="371" spans="1:14">
      <c r="A371" s="24" t="s">
        <v>1240</v>
      </c>
      <c r="B371" s="24" t="s">
        <v>1242</v>
      </c>
      <c r="C371" s="24" t="s">
        <v>54</v>
      </c>
      <c r="D371" s="25">
        <v>32099</v>
      </c>
      <c r="E371" s="25">
        <v>0</v>
      </c>
      <c r="F371" s="25">
        <v>0</v>
      </c>
      <c r="G371" s="25">
        <v>32099</v>
      </c>
      <c r="H371" s="25">
        <v>0</v>
      </c>
      <c r="I371" s="25">
        <v>0</v>
      </c>
      <c r="J371" s="24" t="s">
        <v>63</v>
      </c>
      <c r="K371" s="26">
        <f>SUM(E371:J371)</f>
        <v>32099.0</v>
      </c>
      <c r="L371" s="26">
        <f>D371-K371</f>
        <v>0.0</v>
      </c>
      <c r="M371" s="24" t="s">
        <v>1617</v>
      </c>
      <c r="N371" s="24" t="str">
        <f>C371&amp;"|"&amp;A371</f>
        <v>001|2533866</v>
      </c>
    </row>
    <row r="372" spans="1:14">
      <c r="A372" s="24" t="s">
        <v>1243</v>
      </c>
      <c r="B372" s="24" t="s">
        <v>1245</v>
      </c>
      <c r="C372" s="24" t="s">
        <v>54</v>
      </c>
      <c r="D372" s="25">
        <v>30000</v>
      </c>
      <c r="E372" s="25">
        <v>0</v>
      </c>
      <c r="F372" s="25">
        <v>0</v>
      </c>
      <c r="G372" s="25">
        <v>30000</v>
      </c>
      <c r="H372" s="25">
        <v>0</v>
      </c>
      <c r="I372" s="25">
        <v>0</v>
      </c>
      <c r="J372" s="24" t="s">
        <v>63</v>
      </c>
      <c r="K372" s="26">
        <f>SUM(E372:J372)</f>
        <v>30000.0</v>
      </c>
      <c r="L372" s="26">
        <f>D372-K372</f>
        <v>0.0</v>
      </c>
      <c r="M372" s="24" t="s">
        <v>1617</v>
      </c>
      <c r="N372" s="24" t="str">
        <f>C372&amp;"|"&amp;A372</f>
        <v>001|2250970</v>
      </c>
    </row>
    <row r="373" spans="1:14">
      <c r="A373" s="24" t="s">
        <v>1246</v>
      </c>
      <c r="B373" s="24" t="s">
        <v>1248</v>
      </c>
      <c r="C373" s="24" t="s">
        <v>54</v>
      </c>
      <c r="D373" s="25">
        <v>90586</v>
      </c>
      <c r="E373" s="25">
        <v>0</v>
      </c>
      <c r="F373" s="25">
        <v>0</v>
      </c>
      <c r="G373" s="25">
        <v>90586</v>
      </c>
      <c r="H373" s="25">
        <v>0</v>
      </c>
      <c r="I373" s="25">
        <v>0</v>
      </c>
      <c r="J373" s="24" t="s">
        <v>63</v>
      </c>
      <c r="K373" s="26">
        <f>SUM(E373:J373)</f>
        <v>90586.0</v>
      </c>
      <c r="L373" s="26">
        <f>D373-K373</f>
        <v>0.0</v>
      </c>
      <c r="M373" s="24" t="s">
        <v>1617</v>
      </c>
      <c r="N373" s="24" t="str">
        <f>C373&amp;"|"&amp;A373</f>
        <v>001|2631070</v>
      </c>
    </row>
    <row r="374" spans="1:14">
      <c r="A374" s="24" t="s">
        <v>1249</v>
      </c>
      <c r="B374" s="24" t="s">
        <v>1251</v>
      </c>
      <c r="C374" s="24" t="s">
        <v>54</v>
      </c>
      <c r="D374" s="25">
        <v>0</v>
      </c>
      <c r="E374" s="25">
        <v>0</v>
      </c>
      <c r="F374" s="25">
        <v>0</v>
      </c>
      <c r="G374" s="25">
        <v>0</v>
      </c>
      <c r="H374" s="25">
        <v>0</v>
      </c>
      <c r="I374" s="25">
        <v>0</v>
      </c>
      <c r="J374" s="24" t="s">
        <v>63</v>
      </c>
      <c r="K374" s="26">
        <f>SUM(E374:J374)</f>
        <v>0.0</v>
      </c>
      <c r="L374" s="26">
        <f>D374-K374</f>
        <v>0.0</v>
      </c>
      <c r="M374" s="24" t="s">
        <v>1617</v>
      </c>
      <c r="N374" s="24" t="str">
        <f>C374&amp;"|"&amp;A374</f>
        <v>001|2549395</v>
      </c>
    </row>
    <row r="375" spans="1:14">
      <c r="A375" s="24" t="s">
        <v>1252</v>
      </c>
      <c r="B375" s="24" t="s">
        <v>1254</v>
      </c>
      <c r="C375" s="24" t="s">
        <v>54</v>
      </c>
      <c r="D375" s="25">
        <v>0</v>
      </c>
      <c r="E375" s="25">
        <v>0</v>
      </c>
      <c r="F375" s="25">
        <v>0</v>
      </c>
      <c r="G375" s="25">
        <v>0</v>
      </c>
      <c r="H375" s="25">
        <v>0</v>
      </c>
      <c r="I375" s="25">
        <v>0</v>
      </c>
      <c r="J375" s="24" t="s">
        <v>63</v>
      </c>
      <c r="K375" s="26">
        <f>SUM(E375:J375)</f>
        <v>0.0</v>
      </c>
      <c r="L375" s="26">
        <f>D375-K375</f>
        <v>0.0</v>
      </c>
      <c r="M375" s="24" t="s">
        <v>1617</v>
      </c>
      <c r="N375" s="24" t="str">
        <f>C375&amp;"|"&amp;A375</f>
        <v>001|2566295</v>
      </c>
    </row>
    <row r="376" spans="1:14">
      <c r="A376" s="24" t="s">
        <v>1255</v>
      </c>
      <c r="B376" s="24" t="s">
        <v>1257</v>
      </c>
      <c r="C376" s="24" t="s">
        <v>54</v>
      </c>
      <c r="D376" s="25">
        <v>70632</v>
      </c>
      <c r="E376" s="25">
        <v>0</v>
      </c>
      <c r="F376" s="25">
        <v>0</v>
      </c>
      <c r="G376" s="25">
        <v>70632</v>
      </c>
      <c r="H376" s="25">
        <v>0</v>
      </c>
      <c r="I376" s="25">
        <v>0</v>
      </c>
      <c r="J376" s="24" t="s">
        <v>63</v>
      </c>
      <c r="K376" s="26">
        <f>SUM(E376:J376)</f>
        <v>70632.0</v>
      </c>
      <c r="L376" s="26">
        <f>D376-K376</f>
        <v>0.0</v>
      </c>
      <c r="M376" s="24" t="s">
        <v>1617</v>
      </c>
      <c r="N376" s="24" t="str">
        <f>C376&amp;"|"&amp;A376</f>
        <v>001|2260735</v>
      </c>
    </row>
    <row r="377" spans="1:14">
      <c r="A377" s="24" t="s">
        <v>1258</v>
      </c>
      <c r="B377" s="24" t="s">
        <v>1260</v>
      </c>
      <c r="C377" s="24" t="s">
        <v>54</v>
      </c>
      <c r="D377" s="25">
        <v>11000</v>
      </c>
      <c r="E377" s="25">
        <v>0</v>
      </c>
      <c r="F377" s="25">
        <v>0</v>
      </c>
      <c r="G377" s="25">
        <v>11000</v>
      </c>
      <c r="H377" s="25">
        <v>0</v>
      </c>
      <c r="I377" s="25">
        <v>0</v>
      </c>
      <c r="J377" s="24" t="s">
        <v>63</v>
      </c>
      <c r="K377" s="26">
        <f>SUM(E377:J377)</f>
        <v>11000.0</v>
      </c>
      <c r="L377" s="26">
        <f>D377-K377</f>
        <v>0.0</v>
      </c>
      <c r="M377" s="24" t="s">
        <v>1617</v>
      </c>
      <c r="N377" s="24" t="str">
        <f>C377&amp;"|"&amp;A377</f>
        <v>001|2684838</v>
      </c>
    </row>
    <row r="378" spans="1:14">
      <c r="A378" s="24" t="s">
        <v>1262</v>
      </c>
      <c r="B378" s="24" t="s">
        <v>1264</v>
      </c>
      <c r="C378" s="24" t="s">
        <v>54</v>
      </c>
      <c r="D378" s="25">
        <v>550560</v>
      </c>
      <c r="E378" s="25">
        <v>0</v>
      </c>
      <c r="F378" s="25">
        <v>0</v>
      </c>
      <c r="G378" s="25">
        <v>550560</v>
      </c>
      <c r="H378" s="25">
        <v>0</v>
      </c>
      <c r="I378" s="25">
        <v>0</v>
      </c>
      <c r="J378" s="24" t="s">
        <v>63</v>
      </c>
      <c r="K378" s="26">
        <f>SUM(E378:J378)</f>
        <v>550560.0</v>
      </c>
      <c r="L378" s="26">
        <f>D378-K378</f>
        <v>0.0</v>
      </c>
      <c r="M378" s="24" t="s">
        <v>1617</v>
      </c>
      <c r="N378" s="24" t="str">
        <f>C378&amp;"|"&amp;A378</f>
        <v>001|2324613</v>
      </c>
    </row>
    <row r="379" spans="1:14">
      <c r="A379" s="24" t="s">
        <v>1267</v>
      </c>
      <c r="B379" s="24" t="s">
        <v>1269</v>
      </c>
      <c r="C379" s="24" t="s">
        <v>54</v>
      </c>
      <c r="D379" s="25">
        <v>12532522</v>
      </c>
      <c r="E379" s="25">
        <v>0</v>
      </c>
      <c r="F379" s="25">
        <v>0</v>
      </c>
      <c r="G379" s="25">
        <v>5000000</v>
      </c>
      <c r="H379" s="25">
        <v>7532522</v>
      </c>
      <c r="I379" s="25">
        <v>0</v>
      </c>
      <c r="J379" s="24" t="s">
        <v>63</v>
      </c>
      <c r="K379" s="26">
        <f>SUM(E379:J379)</f>
        <v>12532522.0</v>
      </c>
      <c r="L379" s="26">
        <f>D379-K379</f>
        <v>0.0</v>
      </c>
      <c r="M379" s="24" t="s">
        <v>1617</v>
      </c>
      <c r="N379" s="24" t="str">
        <f>C379&amp;"|"&amp;A379</f>
        <v>001|2603148</v>
      </c>
    </row>
    <row r="380" spans="1:14">
      <c r="A380" s="24" t="s">
        <v>1271</v>
      </c>
      <c r="B380" s="24" t="s">
        <v>1273</v>
      </c>
      <c r="C380" s="24" t="s">
        <v>54</v>
      </c>
      <c r="D380" s="25">
        <v>100000</v>
      </c>
      <c r="E380" s="25">
        <v>0</v>
      </c>
      <c r="F380" s="25">
        <v>0</v>
      </c>
      <c r="G380" s="25">
        <v>100000</v>
      </c>
      <c r="H380" s="25">
        <v>0</v>
      </c>
      <c r="I380" s="25">
        <v>0</v>
      </c>
      <c r="J380" s="24" t="s">
        <v>63</v>
      </c>
      <c r="K380" s="26">
        <f>SUM(E380:J380)</f>
        <v>100000.0</v>
      </c>
      <c r="L380" s="26">
        <f>D380-K380</f>
        <v>0.0</v>
      </c>
      <c r="M380" s="24" t="s">
        <v>1617</v>
      </c>
      <c r="N380" s="24" t="str">
        <f>C380&amp;"|"&amp;A380</f>
        <v>001|2603160</v>
      </c>
    </row>
    <row r="381" spans="1:14">
      <c r="A381" s="24" t="s">
        <v>1275</v>
      </c>
      <c r="B381" s="24" t="s">
        <v>1277</v>
      </c>
      <c r="C381" s="24" t="s">
        <v>54</v>
      </c>
      <c r="D381" s="25">
        <v>1332387</v>
      </c>
      <c r="E381" s="25">
        <v>0</v>
      </c>
      <c r="F381" s="25">
        <v>0</v>
      </c>
      <c r="G381" s="25">
        <v>1332387</v>
      </c>
      <c r="H381" s="25">
        <v>0</v>
      </c>
      <c r="I381" s="25">
        <v>0</v>
      </c>
      <c r="J381" s="24" t="s">
        <v>63</v>
      </c>
      <c r="K381" s="26">
        <f>SUM(E381:J381)</f>
        <v>1332387.0</v>
      </c>
      <c r="L381" s="26">
        <f>D381-K381</f>
        <v>0.0</v>
      </c>
      <c r="M381" s="24" t="s">
        <v>1617</v>
      </c>
      <c r="N381" s="24" t="str">
        <f>C381&amp;"|"&amp;A381</f>
        <v>001|2187217</v>
      </c>
    </row>
    <row r="382" spans="1:14">
      <c r="A382" s="24" t="s">
        <v>1279</v>
      </c>
      <c r="B382" s="24" t="s">
        <v>1281</v>
      </c>
      <c r="C382" s="24" t="s">
        <v>54</v>
      </c>
      <c r="D382" s="25">
        <v>4271598</v>
      </c>
      <c r="E382" s="25">
        <v>0</v>
      </c>
      <c r="F382" s="25">
        <v>0</v>
      </c>
      <c r="G382" s="25">
        <v>1500000</v>
      </c>
      <c r="H382" s="25">
        <v>2771598</v>
      </c>
      <c r="I382" s="25">
        <v>0</v>
      </c>
      <c r="J382" s="24" t="s">
        <v>63</v>
      </c>
      <c r="K382" s="26">
        <f>SUM(E382:J382)</f>
        <v>4271598.0</v>
      </c>
      <c r="L382" s="26">
        <f>D382-K382</f>
        <v>0.0</v>
      </c>
      <c r="M382" s="24" t="s">
        <v>1617</v>
      </c>
      <c r="N382" s="24" t="str">
        <f>C382&amp;"|"&amp;A382</f>
        <v>001|2603155</v>
      </c>
    </row>
    <row r="383" spans="1:14">
      <c r="A383" s="24" t="s">
        <v>1284</v>
      </c>
      <c r="B383" s="24" t="s">
        <v>1286</v>
      </c>
      <c r="C383" s="24" t="s">
        <v>54</v>
      </c>
      <c r="D383" s="25">
        <v>0</v>
      </c>
      <c r="E383" s="25">
        <v>0</v>
      </c>
      <c r="F383" s="25">
        <v>0</v>
      </c>
      <c r="G383" s="25">
        <v>0</v>
      </c>
      <c r="H383" s="25">
        <v>0</v>
      </c>
      <c r="I383" s="25">
        <v>0</v>
      </c>
      <c r="J383" s="24" t="s">
        <v>63</v>
      </c>
      <c r="K383" s="26">
        <f>SUM(E383:J383)</f>
        <v>0.0</v>
      </c>
      <c r="L383" s="26">
        <f>D383-K383</f>
        <v>0.0</v>
      </c>
      <c r="M383" s="24" t="s">
        <v>1617</v>
      </c>
      <c r="N383" s="24" t="str">
        <f>C383&amp;"|"&amp;A383</f>
        <v>001|2154443</v>
      </c>
    </row>
    <row r="384" spans="1:14">
      <c r="A384" s="24" t="s">
        <v>1287</v>
      </c>
      <c r="B384" s="24" t="s">
        <v>1289</v>
      </c>
      <c r="C384" s="24" t="s">
        <v>54</v>
      </c>
      <c r="D384" s="25">
        <v>0</v>
      </c>
      <c r="E384" s="25">
        <v>0</v>
      </c>
      <c r="F384" s="25">
        <v>0</v>
      </c>
      <c r="G384" s="25">
        <v>0</v>
      </c>
      <c r="H384" s="25">
        <v>0</v>
      </c>
      <c r="I384" s="25">
        <v>0</v>
      </c>
      <c r="J384" s="24" t="s">
        <v>63</v>
      </c>
      <c r="K384" s="26">
        <f>SUM(E384:J384)</f>
        <v>0.0</v>
      </c>
      <c r="L384" s="26">
        <f>D384-K384</f>
        <v>0.0</v>
      </c>
      <c r="M384" s="24" t="s">
        <v>1617</v>
      </c>
      <c r="N384" s="24" t="str">
        <f>C384&amp;"|"&amp;A384</f>
        <v>001|2159149</v>
      </c>
    </row>
    <row r="385" spans="1:14">
      <c r="A385" s="24" t="s">
        <v>1290</v>
      </c>
      <c r="B385" s="24" t="s">
        <v>1292</v>
      </c>
      <c r="C385" s="24" t="s">
        <v>54</v>
      </c>
      <c r="D385" s="25">
        <v>0</v>
      </c>
      <c r="E385" s="25">
        <v>0</v>
      </c>
      <c r="F385" s="25">
        <v>0</v>
      </c>
      <c r="G385" s="25">
        <v>0</v>
      </c>
      <c r="H385" s="25">
        <v>0</v>
      </c>
      <c r="I385" s="25">
        <v>0</v>
      </c>
      <c r="J385" s="24" t="s">
        <v>63</v>
      </c>
      <c r="K385" s="26">
        <f>SUM(E385:J385)</f>
        <v>0.0</v>
      </c>
      <c r="L385" s="26">
        <f>D385-K385</f>
        <v>0.0</v>
      </c>
      <c r="M385" s="24" t="s">
        <v>1617</v>
      </c>
      <c r="N385" s="24" t="str">
        <f>C385&amp;"|"&amp;A385</f>
        <v>001|2488048</v>
      </c>
    </row>
    <row r="386" spans="1:14">
      <c r="A386" s="24" t="s">
        <v>1293</v>
      </c>
      <c r="B386" s="24" t="s">
        <v>1295</v>
      </c>
      <c r="C386" s="24" t="s">
        <v>54</v>
      </c>
      <c r="D386" s="25">
        <v>0</v>
      </c>
      <c r="E386" s="25">
        <v>0</v>
      </c>
      <c r="F386" s="25">
        <v>0</v>
      </c>
      <c r="G386" s="25">
        <v>0</v>
      </c>
      <c r="H386" s="25">
        <v>0</v>
      </c>
      <c r="I386" s="25">
        <v>0</v>
      </c>
      <c r="J386" s="24" t="s">
        <v>63</v>
      </c>
      <c r="K386" s="26">
        <f>SUM(E386:J386)</f>
        <v>0.0</v>
      </c>
      <c r="L386" s="26">
        <f>D386-K386</f>
        <v>0.0</v>
      </c>
      <c r="M386" s="24" t="s">
        <v>1617</v>
      </c>
      <c r="N386" s="24" t="str">
        <f>C386&amp;"|"&amp;A386</f>
        <v>001|2544369</v>
      </c>
    </row>
    <row r="387" spans="1:14">
      <c r="A387" s="24" t="s">
        <v>1296</v>
      </c>
      <c r="B387" s="24" t="s">
        <v>1298</v>
      </c>
      <c r="C387" s="24" t="s">
        <v>54</v>
      </c>
      <c r="D387" s="25">
        <v>2390440</v>
      </c>
      <c r="E387" s="25">
        <v>0</v>
      </c>
      <c r="F387" s="25">
        <v>0</v>
      </c>
      <c r="G387" s="25">
        <v>2390440</v>
      </c>
      <c r="H387" s="25">
        <v>0</v>
      </c>
      <c r="I387" s="25">
        <v>0</v>
      </c>
      <c r="J387" s="24" t="s">
        <v>63</v>
      </c>
      <c r="K387" s="26">
        <f>SUM(E387:J387)</f>
        <v>2390440.0</v>
      </c>
      <c r="L387" s="26">
        <f>D387-K387</f>
        <v>0.0</v>
      </c>
      <c r="M387" s="24" t="s">
        <v>1617</v>
      </c>
      <c r="N387" s="24" t="str">
        <f>C387&amp;"|"&amp;A387</f>
        <v>001|2567368</v>
      </c>
    </row>
    <row r="388" spans="1:14">
      <c r="A388" s="24" t="s">
        <v>1299</v>
      </c>
      <c r="B388" s="24" t="s">
        <v>1301</v>
      </c>
      <c r="C388" s="24" t="s">
        <v>54</v>
      </c>
      <c r="D388" s="25">
        <v>20600</v>
      </c>
      <c r="E388" s="25">
        <v>0</v>
      </c>
      <c r="F388" s="25">
        <v>0</v>
      </c>
      <c r="G388" s="25">
        <v>20600</v>
      </c>
      <c r="H388" s="25">
        <v>0</v>
      </c>
      <c r="I388" s="25">
        <v>0</v>
      </c>
      <c r="J388" s="24" t="s">
        <v>63</v>
      </c>
      <c r="K388" s="26">
        <f>SUM(E388:J388)</f>
        <v>20600.0</v>
      </c>
      <c r="L388" s="26">
        <f>D388-K388</f>
        <v>0.0</v>
      </c>
      <c r="M388" s="24" t="s">
        <v>1617</v>
      </c>
      <c r="N388" s="24" t="str">
        <f>C388&amp;"|"&amp;A388</f>
        <v>001|2567375</v>
      </c>
    </row>
    <row r="389" spans="1:14">
      <c r="A389" s="24" t="s">
        <v>1302</v>
      </c>
      <c r="B389" s="24" t="s">
        <v>1304</v>
      </c>
      <c r="C389" s="24" t="s">
        <v>54</v>
      </c>
      <c r="D389" s="25">
        <v>3517960</v>
      </c>
      <c r="E389" s="25">
        <v>0</v>
      </c>
      <c r="F389" s="25">
        <v>1138241</v>
      </c>
      <c r="G389" s="25">
        <v>2379719</v>
      </c>
      <c r="H389" s="25">
        <v>0</v>
      </c>
      <c r="I389" s="25">
        <v>0</v>
      </c>
      <c r="J389" s="24" t="s">
        <v>63</v>
      </c>
      <c r="K389" s="26">
        <f>SUM(E389:J389)</f>
        <v>3517960.0</v>
      </c>
      <c r="L389" s="26">
        <f>D389-K389</f>
        <v>0.0</v>
      </c>
      <c r="M389" s="24" t="s">
        <v>1617</v>
      </c>
      <c r="N389" s="24" t="str">
        <f>C389&amp;"|"&amp;A389</f>
        <v>001|2600443</v>
      </c>
    </row>
    <row r="390" spans="1:14">
      <c r="A390" s="24" t="s">
        <v>1305</v>
      </c>
      <c r="B390" s="24" t="s">
        <v>1307</v>
      </c>
      <c r="C390" s="24" t="s">
        <v>54</v>
      </c>
      <c r="D390" s="25">
        <v>8043406</v>
      </c>
      <c r="E390" s="25">
        <v>0</v>
      </c>
      <c r="F390" s="25">
        <v>2800000</v>
      </c>
      <c r="G390" s="25">
        <v>5243406</v>
      </c>
      <c r="H390" s="25">
        <v>0</v>
      </c>
      <c r="I390" s="25">
        <v>0</v>
      </c>
      <c r="J390" s="24" t="s">
        <v>63</v>
      </c>
      <c r="K390" s="26">
        <f>SUM(E390:J390)</f>
        <v>8043406.0</v>
      </c>
      <c r="L390" s="26">
        <f>D390-K390</f>
        <v>0.0</v>
      </c>
      <c r="M390" s="24" t="s">
        <v>1617</v>
      </c>
      <c r="N390" s="24" t="str">
        <f>C390&amp;"|"&amp;A390</f>
        <v>001|2650340</v>
      </c>
    </row>
    <row r="391" spans="1:14">
      <c r="A391" s="24" t="s">
        <v>1308</v>
      </c>
      <c r="B391" s="24" t="s">
        <v>1310</v>
      </c>
      <c r="C391" s="24" t="s">
        <v>54</v>
      </c>
      <c r="D391" s="25">
        <v>31336</v>
      </c>
      <c r="E391" s="25">
        <v>0</v>
      </c>
      <c r="F391" s="25">
        <v>0</v>
      </c>
      <c r="G391" s="25">
        <v>31336</v>
      </c>
      <c r="H391" s="25">
        <v>0</v>
      </c>
      <c r="I391" s="25">
        <v>0</v>
      </c>
      <c r="J391" s="24" t="s">
        <v>63</v>
      </c>
      <c r="K391" s="26">
        <f>SUM(E391:J391)</f>
        <v>31336.0</v>
      </c>
      <c r="L391" s="26">
        <f>D391-K391</f>
        <v>0.0</v>
      </c>
      <c r="M391" s="24" t="s">
        <v>1617</v>
      </c>
      <c r="N391" s="24" t="str">
        <f>C391&amp;"|"&amp;A391</f>
        <v>001|2684028</v>
      </c>
    </row>
    <row r="392" spans="1:14">
      <c r="A392" s="24" t="s">
        <v>1311</v>
      </c>
      <c r="B392" s="24" t="s">
        <v>1313</v>
      </c>
      <c r="C392" s="24" t="s">
        <v>54</v>
      </c>
      <c r="D392" s="25">
        <v>1263865</v>
      </c>
      <c r="E392" s="25">
        <v>0</v>
      </c>
      <c r="F392" s="25">
        <v>1027163</v>
      </c>
      <c r="G392" s="25">
        <v>236702</v>
      </c>
      <c r="H392" s="25">
        <v>0</v>
      </c>
      <c r="I392" s="25">
        <v>0</v>
      </c>
      <c r="J392" s="24" t="s">
        <v>63</v>
      </c>
      <c r="K392" s="26">
        <f>SUM(E392:J392)</f>
        <v>1263865.0</v>
      </c>
      <c r="L392" s="26">
        <f>D392-K392</f>
        <v>0.0</v>
      </c>
      <c r="M392" s="24" t="s">
        <v>1617</v>
      </c>
      <c r="N392" s="24" t="str">
        <f>C392&amp;"|"&amp;A392</f>
        <v>001|2685776</v>
      </c>
    </row>
    <row r="393" spans="1:14">
      <c r="A393" s="24" t="s">
        <v>1314</v>
      </c>
      <c r="B393" s="24" t="s">
        <v>1316</v>
      </c>
      <c r="C393" s="24" t="s">
        <v>54</v>
      </c>
      <c r="D393" s="25">
        <v>8483998</v>
      </c>
      <c r="E393" s="25">
        <v>0</v>
      </c>
      <c r="F393" s="25">
        <v>0</v>
      </c>
      <c r="G393" s="25">
        <v>7233998</v>
      </c>
      <c r="H393" s="25">
        <v>1250000</v>
      </c>
      <c r="I393" s="25">
        <v>0</v>
      </c>
      <c r="J393" s="24" t="s">
        <v>63</v>
      </c>
      <c r="K393" s="26">
        <f>SUM(E393:J393)</f>
        <v>8483998.0</v>
      </c>
      <c r="L393" s="26">
        <f>D393-K393</f>
        <v>0.0</v>
      </c>
      <c r="M393" s="24" t="s">
        <v>1617</v>
      </c>
      <c r="N393" s="24" t="str">
        <f>C393&amp;"|"&amp;A393</f>
        <v>001|2694246</v>
      </c>
    </row>
    <row r="394" spans="1:14">
      <c r="A394" s="24" t="s">
        <v>1317</v>
      </c>
      <c r="B394" s="24" t="s">
        <v>1319</v>
      </c>
      <c r="C394" s="24" t="s">
        <v>54</v>
      </c>
      <c r="D394" s="25">
        <v>4219373</v>
      </c>
      <c r="E394" s="25">
        <v>0</v>
      </c>
      <c r="F394" s="25">
        <v>787495</v>
      </c>
      <c r="G394" s="25">
        <v>3431878</v>
      </c>
      <c r="H394" s="25">
        <v>0</v>
      </c>
      <c r="I394" s="25">
        <v>0</v>
      </c>
      <c r="J394" s="24" t="s">
        <v>63</v>
      </c>
      <c r="K394" s="26">
        <f>SUM(E394:J394)</f>
        <v>4219373.0</v>
      </c>
      <c r="L394" s="26">
        <f>D394-K394</f>
        <v>0.0</v>
      </c>
      <c r="M394" s="24" t="s">
        <v>1617</v>
      </c>
      <c r="N394" s="24" t="str">
        <f>C394&amp;"|"&amp;A394</f>
        <v>001|2611144</v>
      </c>
    </row>
    <row r="395" spans="1:14">
      <c r="A395" s="24" t="s">
        <v>1320</v>
      </c>
      <c r="B395" s="24" t="s">
        <v>1322</v>
      </c>
      <c r="C395" s="24" t="s">
        <v>54</v>
      </c>
      <c r="D395" s="25">
        <v>13926334</v>
      </c>
      <c r="E395" s="25">
        <v>0</v>
      </c>
      <c r="F395" s="25">
        <v>5457504</v>
      </c>
      <c r="G395" s="25">
        <v>4923830</v>
      </c>
      <c r="H395" s="25">
        <v>3545000</v>
      </c>
      <c r="I395" s="25">
        <v>0</v>
      </c>
      <c r="J395" s="24" t="s">
        <v>63</v>
      </c>
      <c r="K395" s="26">
        <f>SUM(E395:J395)</f>
        <v>13926334.0</v>
      </c>
      <c r="L395" s="26">
        <f>D395-K395</f>
        <v>0.0</v>
      </c>
      <c r="M395" s="24" t="s">
        <v>1617</v>
      </c>
      <c r="N395" s="24" t="str">
        <f>C395&amp;"|"&amp;A395</f>
        <v>001|2692290</v>
      </c>
    </row>
    <row r="396" spans="1:14">
      <c r="A396" s="24" t="s">
        <v>1323</v>
      </c>
      <c r="B396" s="24" t="s">
        <v>1325</v>
      </c>
      <c r="C396" s="24" t="s">
        <v>54</v>
      </c>
      <c r="D396" s="25">
        <v>1175365</v>
      </c>
      <c r="E396" s="25">
        <v>0</v>
      </c>
      <c r="F396" s="25">
        <v>0</v>
      </c>
      <c r="G396" s="25">
        <v>1044621</v>
      </c>
      <c r="H396" s="25">
        <v>130744</v>
      </c>
      <c r="I396" s="25">
        <v>0</v>
      </c>
      <c r="J396" s="24" t="s">
        <v>63</v>
      </c>
      <c r="K396" s="26">
        <f>SUM(E396:J396)</f>
        <v>1175365.0</v>
      </c>
      <c r="L396" s="26">
        <f>D396-K396</f>
        <v>0.0</v>
      </c>
      <c r="M396" s="24" t="s">
        <v>1617</v>
      </c>
      <c r="N396" s="24" t="str">
        <f>C396&amp;"|"&amp;A396</f>
        <v>001|2668521</v>
      </c>
    </row>
    <row r="397" spans="1:14">
      <c r="A397" s="24" t="s">
        <v>1326</v>
      </c>
      <c r="B397" s="24" t="s">
        <v>1328</v>
      </c>
      <c r="C397" s="24" t="s">
        <v>54</v>
      </c>
      <c r="D397" s="25">
        <v>392605</v>
      </c>
      <c r="E397" s="25">
        <v>0</v>
      </c>
      <c r="F397" s="25">
        <v>0</v>
      </c>
      <c r="G397" s="25">
        <v>392605</v>
      </c>
      <c r="H397" s="25">
        <v>0</v>
      </c>
      <c r="I397" s="25">
        <v>0</v>
      </c>
      <c r="J397" s="24" t="s">
        <v>63</v>
      </c>
      <c r="K397" s="26">
        <f>SUM(E397:J397)</f>
        <v>392605.0</v>
      </c>
      <c r="L397" s="26">
        <f>D397-K397</f>
        <v>0.0</v>
      </c>
      <c r="M397" s="24" t="s">
        <v>1617</v>
      </c>
      <c r="N397" s="24" t="str">
        <f>C397&amp;"|"&amp;A397</f>
        <v>001|2613817</v>
      </c>
    </row>
    <row r="398" spans="1:14">
      <c r="A398" s="24" t="s">
        <v>1330</v>
      </c>
      <c r="B398" s="24" t="s">
        <v>1332</v>
      </c>
      <c r="C398" s="24" t="s">
        <v>54</v>
      </c>
      <c r="D398" s="25">
        <v>167074</v>
      </c>
      <c r="E398" s="25">
        <v>0</v>
      </c>
      <c r="F398" s="25">
        <v>0</v>
      </c>
      <c r="G398" s="25">
        <v>167074</v>
      </c>
      <c r="H398" s="25">
        <v>0</v>
      </c>
      <c r="I398" s="25">
        <v>0</v>
      </c>
      <c r="J398" s="24" t="s">
        <v>63</v>
      </c>
      <c r="K398" s="26">
        <f>SUM(E398:J398)</f>
        <v>167074.0</v>
      </c>
      <c r="L398" s="26">
        <f>D398-K398</f>
        <v>0.0</v>
      </c>
      <c r="M398" s="24" t="s">
        <v>1617</v>
      </c>
      <c r="N398" s="24" t="str">
        <f>C398&amp;"|"&amp;A398</f>
        <v>001|2692846</v>
      </c>
    </row>
    <row r="399" spans="1:14">
      <c r="A399" s="24" t="s">
        <v>1333</v>
      </c>
      <c r="B399" s="24" t="s">
        <v>1335</v>
      </c>
      <c r="C399" s="24" t="s">
        <v>54</v>
      </c>
      <c r="D399" s="25">
        <v>2967206</v>
      </c>
      <c r="E399" s="25">
        <v>0</v>
      </c>
      <c r="F399" s="25">
        <v>0</v>
      </c>
      <c r="G399" s="25">
        <v>2967206</v>
      </c>
      <c r="H399" s="25">
        <v>0</v>
      </c>
      <c r="I399" s="25">
        <v>0</v>
      </c>
      <c r="J399" s="24" t="s">
        <v>63</v>
      </c>
      <c r="K399" s="26">
        <f>SUM(E399:J399)</f>
        <v>2967206.0</v>
      </c>
      <c r="L399" s="26">
        <f>D399-K399</f>
        <v>0.0</v>
      </c>
      <c r="M399" s="24" t="s">
        <v>1617</v>
      </c>
      <c r="N399" s="24" t="str">
        <f>C399&amp;"|"&amp;A399</f>
        <v>001|2691682</v>
      </c>
    </row>
    <row r="400" spans="1:14">
      <c r="A400" s="24" t="s">
        <v>1336</v>
      </c>
      <c r="B400" s="24" t="s">
        <v>1338</v>
      </c>
      <c r="C400" s="24" t="s">
        <v>54</v>
      </c>
      <c r="D400" s="25">
        <v>2040218</v>
      </c>
      <c r="E400" s="25">
        <v>0</v>
      </c>
      <c r="F400" s="25">
        <v>0</v>
      </c>
      <c r="G400" s="25">
        <v>2040218</v>
      </c>
      <c r="H400" s="25">
        <v>0</v>
      </c>
      <c r="I400" s="25">
        <v>0</v>
      </c>
      <c r="J400" s="24" t="s">
        <v>63</v>
      </c>
      <c r="K400" s="26">
        <f>SUM(E400:J400)</f>
        <v>2040218.0</v>
      </c>
      <c r="L400" s="26">
        <f>D400-K400</f>
        <v>0.0</v>
      </c>
      <c r="M400" s="24" t="s">
        <v>1617</v>
      </c>
      <c r="N400" s="24" t="str">
        <f>C400&amp;"|"&amp;A400</f>
        <v>001|2711034</v>
      </c>
    </row>
    <row r="401" spans="1:14">
      <c r="A401" s="24" t="s">
        <v>1341</v>
      </c>
      <c r="B401" s="24" t="s">
        <v>1343</v>
      </c>
      <c r="C401" s="24" t="s">
        <v>54</v>
      </c>
      <c r="D401" s="25">
        <v>3974680</v>
      </c>
      <c r="E401" s="25">
        <v>0</v>
      </c>
      <c r="F401" s="25">
        <v>0</v>
      </c>
      <c r="G401" s="25">
        <v>2900000</v>
      </c>
      <c r="H401" s="25">
        <v>1074680</v>
      </c>
      <c r="I401" s="25">
        <v>0</v>
      </c>
      <c r="J401" s="24" t="s">
        <v>63</v>
      </c>
      <c r="K401" s="26">
        <f>SUM(E401:J401)</f>
        <v>3974680.0</v>
      </c>
      <c r="L401" s="26">
        <f>D401-K401</f>
        <v>0.0</v>
      </c>
      <c r="M401" s="24" t="s">
        <v>1617</v>
      </c>
      <c r="N401" s="24" t="str">
        <f>C401&amp;"|"&amp;A401</f>
        <v>001|2693367</v>
      </c>
    </row>
    <row r="402" spans="1:14">
      <c r="A402" s="24" t="s">
        <v>1344</v>
      </c>
      <c r="B402" s="24" t="s">
        <v>1346</v>
      </c>
      <c r="C402" s="24" t="s">
        <v>54</v>
      </c>
      <c r="D402" s="25">
        <v>80738</v>
      </c>
      <c r="E402" s="25">
        <v>0</v>
      </c>
      <c r="F402" s="25">
        <v>0</v>
      </c>
      <c r="G402" s="25">
        <v>80738</v>
      </c>
      <c r="H402" s="25">
        <v>0</v>
      </c>
      <c r="I402" s="25">
        <v>0</v>
      </c>
      <c r="J402" s="24" t="s">
        <v>63</v>
      </c>
      <c r="K402" s="26">
        <f>SUM(E402:J402)</f>
        <v>80738.0</v>
      </c>
      <c r="L402" s="26">
        <f>D402-K402</f>
        <v>0.0</v>
      </c>
      <c r="M402" s="24" t="s">
        <v>1617</v>
      </c>
      <c r="N402" s="24" t="str">
        <f>C402&amp;"|"&amp;A402</f>
        <v>001|2707256</v>
      </c>
    </row>
    <row r="403" spans="1:14">
      <c r="A403" s="24" t="s">
        <v>1348</v>
      </c>
      <c r="B403" s="24" t="s">
        <v>1350</v>
      </c>
      <c r="C403" s="24" t="s">
        <v>54</v>
      </c>
      <c r="D403" s="25">
        <v>13758</v>
      </c>
      <c r="E403" s="25">
        <v>0</v>
      </c>
      <c r="F403" s="25">
        <v>0</v>
      </c>
      <c r="G403" s="25">
        <v>13758</v>
      </c>
      <c r="H403" s="25">
        <v>0</v>
      </c>
      <c r="I403" s="25">
        <v>0</v>
      </c>
      <c r="J403" s="24" t="s">
        <v>63</v>
      </c>
      <c r="K403" s="26">
        <f>SUM(E403:J403)</f>
        <v>13758.0</v>
      </c>
      <c r="L403" s="26">
        <f>D403-K403</f>
        <v>0.0</v>
      </c>
      <c r="M403" s="24" t="s">
        <v>1617</v>
      </c>
      <c r="N403" s="24" t="str">
        <f>C403&amp;"|"&amp;A403</f>
        <v>001|2531093</v>
      </c>
    </row>
    <row r="404" spans="1:14">
      <c r="A404" s="24" t="s">
        <v>1351</v>
      </c>
      <c r="B404" s="24" t="s">
        <v>1353</v>
      </c>
      <c r="C404" s="24" t="s">
        <v>54</v>
      </c>
      <c r="D404" s="25">
        <v>10277</v>
      </c>
      <c r="E404" s="25">
        <v>0</v>
      </c>
      <c r="F404" s="25">
        <v>0</v>
      </c>
      <c r="G404" s="25">
        <v>10277</v>
      </c>
      <c r="H404" s="25">
        <v>0</v>
      </c>
      <c r="I404" s="25">
        <v>0</v>
      </c>
      <c r="J404" s="24" t="s">
        <v>63</v>
      </c>
      <c r="K404" s="26">
        <f>SUM(E404:J404)</f>
        <v>10277.0</v>
      </c>
      <c r="L404" s="26">
        <f>D404-K404</f>
        <v>0.0</v>
      </c>
      <c r="M404" s="24" t="s">
        <v>1617</v>
      </c>
      <c r="N404" s="24" t="str">
        <f>C404&amp;"|"&amp;A404</f>
        <v>001|2639523</v>
      </c>
    </row>
    <row r="405" spans="1:14">
      <c r="A405" s="24" t="s">
        <v>1354</v>
      </c>
      <c r="B405" s="24" t="s">
        <v>1356</v>
      </c>
      <c r="C405" s="24" t="s">
        <v>54</v>
      </c>
      <c r="D405" s="25">
        <v>114255</v>
      </c>
      <c r="E405" s="25">
        <v>0</v>
      </c>
      <c r="F405" s="25">
        <v>0</v>
      </c>
      <c r="G405" s="25">
        <v>114255</v>
      </c>
      <c r="H405" s="25">
        <v>0</v>
      </c>
      <c r="I405" s="25">
        <v>0</v>
      </c>
      <c r="J405" s="24" t="s">
        <v>63</v>
      </c>
      <c r="K405" s="26">
        <f>SUM(E405:J405)</f>
        <v>114255.0</v>
      </c>
      <c r="L405" s="26">
        <f>D405-K405</f>
        <v>0.0</v>
      </c>
      <c r="M405" s="24" t="s">
        <v>1617</v>
      </c>
      <c r="N405" s="24" t="str">
        <f>C405&amp;"|"&amp;A405</f>
        <v>001|2695768</v>
      </c>
    </row>
    <row r="406" spans="1:14">
      <c r="A406" s="24" t="s">
        <v>1357</v>
      </c>
      <c r="B406" s="24" t="s">
        <v>1359</v>
      </c>
      <c r="C406" s="24" t="s">
        <v>54</v>
      </c>
      <c r="D406" s="25">
        <v>36445</v>
      </c>
      <c r="E406" s="25">
        <v>0</v>
      </c>
      <c r="F406" s="25">
        <v>0</v>
      </c>
      <c r="G406" s="25">
        <v>36445</v>
      </c>
      <c r="H406" s="25">
        <v>0</v>
      </c>
      <c r="I406" s="25">
        <v>0</v>
      </c>
      <c r="J406" s="24" t="s">
        <v>63</v>
      </c>
      <c r="K406" s="26">
        <f>SUM(E406:J406)</f>
        <v>36445.0</v>
      </c>
      <c r="L406" s="26">
        <f>D406-K406</f>
        <v>0.0</v>
      </c>
      <c r="M406" s="24" t="s">
        <v>1617</v>
      </c>
      <c r="N406" s="24" t="str">
        <f>C406&amp;"|"&amp;A406</f>
        <v>001|2694640</v>
      </c>
    </row>
    <row r="407" spans="1:14">
      <c r="A407" s="24" t="s">
        <v>1360</v>
      </c>
      <c r="B407" s="24" t="s">
        <v>1362</v>
      </c>
      <c r="C407" s="24" t="s">
        <v>54</v>
      </c>
      <c r="D407" s="25">
        <v>39485</v>
      </c>
      <c r="E407" s="25">
        <v>0</v>
      </c>
      <c r="F407" s="25">
        <v>0</v>
      </c>
      <c r="G407" s="25">
        <v>39485</v>
      </c>
      <c r="H407" s="25">
        <v>0</v>
      </c>
      <c r="I407" s="25">
        <v>0</v>
      </c>
      <c r="J407" s="24" t="s">
        <v>63</v>
      </c>
      <c r="K407" s="26">
        <f>SUM(E407:J407)</f>
        <v>39485.0</v>
      </c>
      <c r="L407" s="26">
        <f>D407-K407</f>
        <v>0.0</v>
      </c>
      <c r="M407" s="24" t="s">
        <v>1617</v>
      </c>
      <c r="N407" s="24" t="str">
        <f>C407&amp;"|"&amp;A407</f>
        <v>001|2694772</v>
      </c>
    </row>
    <row r="408" spans="1:14">
      <c r="A408" s="24" t="s">
        <v>1363</v>
      </c>
      <c r="B408" s="24" t="s">
        <v>1365</v>
      </c>
      <c r="C408" s="24" t="s">
        <v>54</v>
      </c>
      <c r="D408" s="25">
        <v>25610</v>
      </c>
      <c r="E408" s="25">
        <v>0</v>
      </c>
      <c r="F408" s="25">
        <v>0</v>
      </c>
      <c r="G408" s="25">
        <v>25610</v>
      </c>
      <c r="H408" s="25">
        <v>0</v>
      </c>
      <c r="I408" s="25">
        <v>0</v>
      </c>
      <c r="J408" s="24" t="s">
        <v>63</v>
      </c>
      <c r="K408" s="26">
        <f>SUM(E408:J408)</f>
        <v>25610.0</v>
      </c>
      <c r="L408" s="26">
        <f>D408-K408</f>
        <v>0.0</v>
      </c>
      <c r="M408" s="24" t="s">
        <v>1617</v>
      </c>
      <c r="N408" s="24" t="str">
        <f>C408&amp;"|"&amp;A408</f>
        <v>001|2733644</v>
      </c>
    </row>
    <row r="409" spans="1:14">
      <c r="A409" s="24" t="s">
        <v>1366</v>
      </c>
      <c r="B409" s="24" t="s">
        <v>1368</v>
      </c>
      <c r="C409" s="24" t="s">
        <v>54</v>
      </c>
      <c r="D409" s="25">
        <v>3254770</v>
      </c>
      <c r="E409" s="25">
        <v>0</v>
      </c>
      <c r="F409" s="25">
        <v>3254770</v>
      </c>
      <c r="G409" s="25">
        <v>0</v>
      </c>
      <c r="H409" s="25">
        <v>0</v>
      </c>
      <c r="I409" s="25">
        <v>0</v>
      </c>
      <c r="J409" s="24" t="s">
        <v>63</v>
      </c>
      <c r="K409" s="26">
        <f>SUM(E409:J409)</f>
        <v>3254770.0</v>
      </c>
      <c r="L409" s="26">
        <f>D409-K409</f>
        <v>0.0</v>
      </c>
      <c r="M409" s="24" t="s">
        <v>1617</v>
      </c>
      <c r="N409" s="24" t="str">
        <f>C409&amp;"|"&amp;A409</f>
        <v>001|2721991</v>
      </c>
    </row>
    <row r="410" spans="1:14">
      <c r="A410" s="24" t="s">
        <v>1370</v>
      </c>
      <c r="B410" s="24" t="s">
        <v>1372</v>
      </c>
      <c r="C410" s="24" t="s">
        <v>54</v>
      </c>
      <c r="D410" s="25">
        <v>1007572</v>
      </c>
      <c r="E410" s="25">
        <v>0</v>
      </c>
      <c r="F410" s="25">
        <v>1007572</v>
      </c>
      <c r="G410" s="25">
        <v>0</v>
      </c>
      <c r="H410" s="25">
        <v>0</v>
      </c>
      <c r="I410" s="25">
        <v>0</v>
      </c>
      <c r="J410" s="24" t="s">
        <v>63</v>
      </c>
      <c r="K410" s="26">
        <f>SUM(E410:J410)</f>
        <v>1007572.0</v>
      </c>
      <c r="L410" s="26">
        <f>D410-K410</f>
        <v>0.0</v>
      </c>
      <c r="M410" s="24" t="s">
        <v>1617</v>
      </c>
      <c r="N410" s="24" t="str">
        <f>C410&amp;"|"&amp;A410</f>
        <v>001|2721892</v>
      </c>
    </row>
    <row r="411" spans="1:14">
      <c r="A411" s="24" t="s">
        <v>1373</v>
      </c>
      <c r="B411" s="24" t="s">
        <v>1375</v>
      </c>
      <c r="C411" s="24" t="s">
        <v>54</v>
      </c>
      <c r="D411" s="25">
        <v>1688098</v>
      </c>
      <c r="E411" s="25">
        <v>0</v>
      </c>
      <c r="F411" s="25">
        <v>1688098</v>
      </c>
      <c r="G411" s="25">
        <v>0</v>
      </c>
      <c r="H411" s="25">
        <v>0</v>
      </c>
      <c r="I411" s="25">
        <v>0</v>
      </c>
      <c r="J411" s="24" t="s">
        <v>63</v>
      </c>
      <c r="K411" s="26">
        <f>SUM(E411:J411)</f>
        <v>1688098.0</v>
      </c>
      <c r="L411" s="26">
        <f>D411-K411</f>
        <v>0.0</v>
      </c>
      <c r="M411" s="24" t="s">
        <v>1617</v>
      </c>
      <c r="N411" s="24" t="str">
        <f>C411&amp;"|"&amp;A411</f>
        <v>001|2719529</v>
      </c>
    </row>
    <row r="412" spans="1:14">
      <c r="A412" s="24" t="s">
        <v>1376</v>
      </c>
      <c r="B412" s="24" t="s">
        <v>1378</v>
      </c>
      <c r="C412" s="24" t="s">
        <v>54</v>
      </c>
      <c r="D412" s="25">
        <v>680748</v>
      </c>
      <c r="E412" s="25">
        <v>0</v>
      </c>
      <c r="F412" s="25">
        <v>680748</v>
      </c>
      <c r="G412" s="25">
        <v>0</v>
      </c>
      <c r="H412" s="25">
        <v>0</v>
      </c>
      <c r="I412" s="25">
        <v>0</v>
      </c>
      <c r="J412" s="24" t="s">
        <v>63</v>
      </c>
      <c r="K412" s="26">
        <f>SUM(E412:J412)</f>
        <v>680748.0</v>
      </c>
      <c r="L412" s="26">
        <f>D412-K412</f>
        <v>0.0</v>
      </c>
      <c r="M412" s="24" t="s">
        <v>1617</v>
      </c>
      <c r="N412" s="24" t="str">
        <f>C412&amp;"|"&amp;A412</f>
        <v>001|2723359</v>
      </c>
    </row>
    <row r="413" spans="1:14">
      <c r="A413" s="24" t="s">
        <v>1379</v>
      </c>
      <c r="B413" s="24" t="s">
        <v>1381</v>
      </c>
      <c r="C413" s="24" t="s">
        <v>54</v>
      </c>
      <c r="D413" s="25">
        <v>670100</v>
      </c>
      <c r="E413" s="25">
        <v>0</v>
      </c>
      <c r="F413" s="25">
        <v>670100</v>
      </c>
      <c r="G413" s="25">
        <v>0</v>
      </c>
      <c r="H413" s="25">
        <v>0</v>
      </c>
      <c r="I413" s="25">
        <v>0</v>
      </c>
      <c r="J413" s="24" t="s">
        <v>63</v>
      </c>
      <c r="K413" s="26">
        <f>SUM(E413:J413)</f>
        <v>670100.0</v>
      </c>
      <c r="L413" s="26">
        <f>D413-K413</f>
        <v>0.0</v>
      </c>
      <c r="M413" s="24" t="s">
        <v>1617</v>
      </c>
      <c r="N413" s="24" t="str">
        <f>C413&amp;"|"&amp;A413</f>
        <v>001|2721888</v>
      </c>
    </row>
    <row r="414" spans="1:14">
      <c r="A414" s="24" t="s">
        <v>1382</v>
      </c>
      <c r="B414" s="24" t="s">
        <v>1384</v>
      </c>
      <c r="C414" s="24" t="s">
        <v>54</v>
      </c>
      <c r="D414" s="25">
        <v>388514</v>
      </c>
      <c r="E414" s="25">
        <v>0</v>
      </c>
      <c r="F414" s="25">
        <v>388514</v>
      </c>
      <c r="G414" s="25">
        <v>0</v>
      </c>
      <c r="H414" s="25">
        <v>0</v>
      </c>
      <c r="I414" s="25">
        <v>0</v>
      </c>
      <c r="J414" s="24" t="s">
        <v>63</v>
      </c>
      <c r="K414" s="26">
        <f>SUM(E414:J414)</f>
        <v>388514.0</v>
      </c>
      <c r="L414" s="26">
        <f>D414-K414</f>
        <v>0.0</v>
      </c>
      <c r="M414" s="24" t="s">
        <v>1617</v>
      </c>
      <c r="N414" s="24" t="str">
        <f>C414&amp;"|"&amp;A414</f>
        <v>001|2721886</v>
      </c>
    </row>
    <row r="415" spans="1:14">
      <c r="A415" s="24" t="s">
        <v>1385</v>
      </c>
      <c r="B415" s="24" t="s">
        <v>1387</v>
      </c>
      <c r="C415" s="24" t="s">
        <v>54</v>
      </c>
      <c r="D415" s="25">
        <v>542416</v>
      </c>
      <c r="E415" s="25">
        <v>0</v>
      </c>
      <c r="F415" s="25">
        <v>542416</v>
      </c>
      <c r="G415" s="25">
        <v>0</v>
      </c>
      <c r="H415" s="25">
        <v>0</v>
      </c>
      <c r="I415" s="25">
        <v>0</v>
      </c>
      <c r="J415" s="24" t="s">
        <v>63</v>
      </c>
      <c r="K415" s="26">
        <f>SUM(E415:J415)</f>
        <v>542416.0</v>
      </c>
      <c r="L415" s="26">
        <f>D415-K415</f>
        <v>0.0</v>
      </c>
      <c r="M415" s="24" t="s">
        <v>1617</v>
      </c>
      <c r="N415" s="24" t="str">
        <f>C415&amp;"|"&amp;A415</f>
        <v>001|2721889</v>
      </c>
    </row>
    <row r="416" spans="1:14">
      <c r="A416" s="24" t="s">
        <v>1388</v>
      </c>
      <c r="B416" s="24" t="s">
        <v>1390</v>
      </c>
      <c r="C416" s="24" t="s">
        <v>54</v>
      </c>
      <c r="D416" s="25">
        <v>928545</v>
      </c>
      <c r="E416" s="25">
        <v>0</v>
      </c>
      <c r="F416" s="25">
        <v>928545</v>
      </c>
      <c r="G416" s="25">
        <v>0</v>
      </c>
      <c r="H416" s="25">
        <v>0</v>
      </c>
      <c r="I416" s="25">
        <v>0</v>
      </c>
      <c r="J416" s="24" t="s">
        <v>63</v>
      </c>
      <c r="K416" s="26">
        <f>SUM(E416:J416)</f>
        <v>928545.0</v>
      </c>
      <c r="L416" s="26">
        <f>D416-K416</f>
        <v>0.0</v>
      </c>
      <c r="M416" s="24" t="s">
        <v>1617</v>
      </c>
      <c r="N416" s="24" t="str">
        <f>C416&amp;"|"&amp;A416</f>
        <v>001|2729834</v>
      </c>
    </row>
    <row r="417" spans="1:14">
      <c r="A417" s="24" t="s">
        <v>1391</v>
      </c>
      <c r="B417" s="24" t="s">
        <v>1393</v>
      </c>
      <c r="C417" s="24" t="s">
        <v>54</v>
      </c>
      <c r="D417" s="25">
        <v>70059</v>
      </c>
      <c r="E417" s="25">
        <v>0</v>
      </c>
      <c r="F417" s="25">
        <v>0</v>
      </c>
      <c r="G417" s="25">
        <v>70059</v>
      </c>
      <c r="H417" s="25">
        <v>0</v>
      </c>
      <c r="I417" s="25">
        <v>0</v>
      </c>
      <c r="J417" s="24" t="s">
        <v>63</v>
      </c>
      <c r="K417" s="26">
        <f>SUM(E417:J417)</f>
        <v>70059.0</v>
      </c>
      <c r="L417" s="26">
        <f>D417-K417</f>
        <v>0.0</v>
      </c>
      <c r="M417" s="24" t="s">
        <v>1617</v>
      </c>
      <c r="N417" s="24" t="str">
        <f>C417&amp;"|"&amp;A417</f>
        <v>001|2693441</v>
      </c>
    </row>
    <row r="418" spans="1:14">
      <c r="A418" s="24" t="s">
        <v>1395</v>
      </c>
      <c r="B418" s="24" t="s">
        <v>1397</v>
      </c>
      <c r="C418" s="24" t="s">
        <v>54</v>
      </c>
      <c r="D418" s="25">
        <v>100785</v>
      </c>
      <c r="E418" s="25">
        <v>0</v>
      </c>
      <c r="F418" s="25">
        <v>0</v>
      </c>
      <c r="G418" s="25">
        <v>100785</v>
      </c>
      <c r="H418" s="25">
        <v>0</v>
      </c>
      <c r="I418" s="25">
        <v>0</v>
      </c>
      <c r="J418" s="24" t="s">
        <v>63</v>
      </c>
      <c r="K418" s="26">
        <f>SUM(E418:J418)</f>
        <v>100785.0</v>
      </c>
      <c r="L418" s="26">
        <f>D418-K418</f>
        <v>0.0</v>
      </c>
      <c r="M418" s="24" t="s">
        <v>1617</v>
      </c>
      <c r="N418" s="24" t="str">
        <f>C418&amp;"|"&amp;A418</f>
        <v>001|2692840</v>
      </c>
    </row>
    <row r="419" spans="1:14">
      <c r="A419" s="24" t="s">
        <v>1399</v>
      </c>
      <c r="B419" s="24" t="s">
        <v>1401</v>
      </c>
      <c r="C419" s="24" t="s">
        <v>54</v>
      </c>
      <c r="D419" s="25">
        <v>195079</v>
      </c>
      <c r="E419" s="25">
        <v>0</v>
      </c>
      <c r="F419" s="25">
        <v>0</v>
      </c>
      <c r="G419" s="25">
        <v>195079</v>
      </c>
      <c r="H419" s="25">
        <v>0</v>
      </c>
      <c r="I419" s="25">
        <v>0</v>
      </c>
      <c r="J419" s="24" t="s">
        <v>63</v>
      </c>
      <c r="K419" s="26">
        <f>SUM(E419:J419)</f>
        <v>195079.0</v>
      </c>
      <c r="L419" s="26">
        <f>D419-K419</f>
        <v>0.0</v>
      </c>
      <c r="M419" s="24" t="s">
        <v>1617</v>
      </c>
      <c r="N419" s="24" t="str">
        <f>C419&amp;"|"&amp;A419</f>
        <v>001|2699544</v>
      </c>
    </row>
    <row r="420" spans="1:14">
      <c r="A420" s="24" t="s">
        <v>1402</v>
      </c>
      <c r="B420" s="24" t="s">
        <v>1404</v>
      </c>
      <c r="C420" s="24" t="s">
        <v>54</v>
      </c>
      <c r="D420" s="25">
        <v>6654893</v>
      </c>
      <c r="E420" s="25">
        <v>0</v>
      </c>
      <c r="F420" s="25">
        <v>0</v>
      </c>
      <c r="G420" s="25">
        <v>2593837</v>
      </c>
      <c r="H420" s="25">
        <v>4061056</v>
      </c>
      <c r="I420" s="25">
        <v>0</v>
      </c>
      <c r="J420" s="24" t="s">
        <v>63</v>
      </c>
      <c r="K420" s="26">
        <f>SUM(E420:J420)</f>
        <v>6654893.0</v>
      </c>
      <c r="L420" s="26">
        <f>D420-K420</f>
        <v>0.0</v>
      </c>
      <c r="M420" s="24" t="s">
        <v>1617</v>
      </c>
      <c r="N420" s="24" t="str">
        <f>C420&amp;"|"&amp;A420</f>
        <v>001|2683535</v>
      </c>
    </row>
    <row r="421" spans="1:14">
      <c r="A421" s="24" t="s">
        <v>1405</v>
      </c>
      <c r="B421" s="24" t="s">
        <v>1407</v>
      </c>
      <c r="C421" s="24" t="s">
        <v>54</v>
      </c>
      <c r="D421" s="25">
        <v>5281360</v>
      </c>
      <c r="E421" s="25">
        <v>0</v>
      </c>
      <c r="F421" s="25">
        <v>180000</v>
      </c>
      <c r="G421" s="25">
        <v>5101360</v>
      </c>
      <c r="H421" s="25">
        <v>0</v>
      </c>
      <c r="I421" s="25">
        <v>0</v>
      </c>
      <c r="J421" s="24" t="s">
        <v>63</v>
      </c>
      <c r="K421" s="26">
        <f>SUM(E421:J421)</f>
        <v>5281360.0</v>
      </c>
      <c r="L421" s="26">
        <f>D421-K421</f>
        <v>0.0</v>
      </c>
      <c r="M421" s="24" t="s">
        <v>1617</v>
      </c>
      <c r="N421" s="24" t="str">
        <f>C421&amp;"|"&amp;A421</f>
        <v>001|2685431</v>
      </c>
    </row>
    <row r="422" spans="1:14">
      <c r="A422" s="24" t="s">
        <v>1408</v>
      </c>
      <c r="B422" s="24" t="s">
        <v>1410</v>
      </c>
      <c r="C422" s="24" t="s">
        <v>54</v>
      </c>
      <c r="D422" s="25">
        <v>0</v>
      </c>
      <c r="E422" s="25">
        <v>0</v>
      </c>
      <c r="F422" s="25">
        <v>0</v>
      </c>
      <c r="G422" s="25">
        <v>0</v>
      </c>
      <c r="H422" s="25">
        <v>0</v>
      </c>
      <c r="I422" s="25">
        <v>0</v>
      </c>
      <c r="J422" s="24" t="s">
        <v>63</v>
      </c>
      <c r="K422" s="26">
        <f>SUM(E422:J422)</f>
        <v>0.0</v>
      </c>
      <c r="L422" s="26">
        <f>D422-K422</f>
        <v>0.0</v>
      </c>
      <c r="M422" s="24" t="s">
        <v>1617</v>
      </c>
      <c r="N422" s="24" t="str">
        <f>C422&amp;"|"&amp;A422</f>
        <v>001|2608728</v>
      </c>
    </row>
    <row r="423" spans="1:14">
      <c r="A423" s="24" t="s">
        <v>1412</v>
      </c>
      <c r="B423" s="24" t="s">
        <v>1414</v>
      </c>
      <c r="C423" s="24" t="s">
        <v>54</v>
      </c>
      <c r="D423" s="25">
        <v>7151039</v>
      </c>
      <c r="E423" s="25">
        <v>0</v>
      </c>
      <c r="F423" s="25">
        <v>0</v>
      </c>
      <c r="G423" s="25">
        <v>6717555</v>
      </c>
      <c r="H423" s="25">
        <v>433484</v>
      </c>
      <c r="I423" s="25">
        <v>0</v>
      </c>
      <c r="J423" s="24" t="s">
        <v>63</v>
      </c>
      <c r="K423" s="26">
        <f>SUM(E423:J423)</f>
        <v>7151039.0</v>
      </c>
      <c r="L423" s="26">
        <f>D423-K423</f>
        <v>0.0</v>
      </c>
      <c r="M423" s="24" t="s">
        <v>1617</v>
      </c>
      <c r="N423" s="24" t="str">
        <f>C423&amp;"|"&amp;A423</f>
        <v>001|2001621</v>
      </c>
    </row>
    <row r="424" spans="1:14">
      <c r="A424" s="24" t="s">
        <v>1427</v>
      </c>
      <c r="B424" s="24" t="s">
        <v>1429</v>
      </c>
      <c r="C424" s="24" t="s">
        <v>54</v>
      </c>
      <c r="D424" s="25">
        <v>282553</v>
      </c>
      <c r="E424" s="25">
        <v>0</v>
      </c>
      <c r="F424" s="25">
        <v>0</v>
      </c>
      <c r="G424" s="25">
        <v>282553</v>
      </c>
      <c r="H424" s="25">
        <v>0</v>
      </c>
      <c r="I424" s="25">
        <v>0</v>
      </c>
      <c r="J424" s="24" t="s">
        <v>63</v>
      </c>
      <c r="K424" s="26">
        <f>SUM(E424:J424)</f>
        <v>282553.0</v>
      </c>
      <c r="L424" s="26">
        <f>D424-K424</f>
        <v>0.0</v>
      </c>
      <c r="M424" s="24" t="s">
        <v>1617</v>
      </c>
      <c r="N424" s="24" t="str">
        <f>C424&amp;"|"&amp;A424</f>
        <v>001|2662519</v>
      </c>
    </row>
    <row r="425" spans="1:14">
      <c r="A425" s="24" t="s">
        <v>1431</v>
      </c>
      <c r="B425" s="24" t="s">
        <v>1433</v>
      </c>
      <c r="C425" s="24" t="s">
        <v>54</v>
      </c>
      <c r="D425" s="25">
        <v>271707</v>
      </c>
      <c r="E425" s="25">
        <v>0</v>
      </c>
      <c r="F425" s="25">
        <v>0</v>
      </c>
      <c r="G425" s="25">
        <v>271707</v>
      </c>
      <c r="H425" s="25">
        <v>0</v>
      </c>
      <c r="I425" s="25">
        <v>0</v>
      </c>
      <c r="J425" s="24" t="s">
        <v>63</v>
      </c>
      <c r="K425" s="26">
        <f>SUM(E425:J425)</f>
        <v>271707.0</v>
      </c>
      <c r="L425" s="26">
        <f>D425-K425</f>
        <v>0.0</v>
      </c>
      <c r="M425" s="24" t="s">
        <v>1617</v>
      </c>
      <c r="N425" s="24" t="str">
        <f>C425&amp;"|"&amp;A425</f>
        <v>001|2699546</v>
      </c>
    </row>
    <row r="426" spans="1:14">
      <c r="A426" s="24" t="s">
        <v>1436</v>
      </c>
      <c r="B426" s="24" t="s">
        <v>1438</v>
      </c>
      <c r="C426" s="24" t="s">
        <v>54</v>
      </c>
      <c r="D426" s="25">
        <v>218556</v>
      </c>
      <c r="E426" s="25">
        <v>0</v>
      </c>
      <c r="F426" s="25">
        <v>0</v>
      </c>
      <c r="G426" s="25">
        <v>218556</v>
      </c>
      <c r="H426" s="25">
        <v>0</v>
      </c>
      <c r="I426" s="25">
        <v>0</v>
      </c>
      <c r="J426" s="24" t="s">
        <v>63</v>
      </c>
      <c r="K426" s="26">
        <f>SUM(E426:J426)</f>
        <v>218556.0</v>
      </c>
      <c r="L426" s="26">
        <f>D426-K426</f>
        <v>0.0</v>
      </c>
      <c r="M426" s="24" t="s">
        <v>1617</v>
      </c>
      <c r="N426" s="24" t="str">
        <f>C426&amp;"|"&amp;A426</f>
        <v>001|2617364</v>
      </c>
    </row>
    <row r="427" spans="1:14">
      <c r="A427" s="24" t="s">
        <v>1442</v>
      </c>
      <c r="B427" s="24" t="s">
        <v>1444</v>
      </c>
      <c r="C427" s="24" t="s">
        <v>54</v>
      </c>
      <c r="D427" s="25">
        <v>100000</v>
      </c>
      <c r="E427" s="25">
        <v>0</v>
      </c>
      <c r="F427" s="25">
        <v>0</v>
      </c>
      <c r="G427" s="25">
        <v>0</v>
      </c>
      <c r="H427" s="25">
        <v>100000</v>
      </c>
      <c r="I427" s="25">
        <v>0</v>
      </c>
      <c r="J427" s="24" t="s">
        <v>63</v>
      </c>
      <c r="K427" s="26">
        <f>SUM(E427:J427)</f>
        <v>100000.0</v>
      </c>
      <c r="L427" s="26">
        <f>D427-K427</f>
        <v>0.0</v>
      </c>
      <c r="M427" s="24" t="s">
        <v>1617</v>
      </c>
      <c r="N427" s="24" t="str">
        <f>C427&amp;"|"&amp;A427</f>
        <v>001|2681141</v>
      </c>
    </row>
    <row r="428" spans="1:14">
      <c r="A428" s="24" t="s">
        <v>1445</v>
      </c>
      <c r="B428" s="24" t="s">
        <v>1447</v>
      </c>
      <c r="C428" s="24" t="s">
        <v>54</v>
      </c>
      <c r="D428" s="25">
        <v>20166</v>
      </c>
      <c r="E428" s="25">
        <v>0</v>
      </c>
      <c r="F428" s="25">
        <v>0</v>
      </c>
      <c r="G428" s="25">
        <v>20166</v>
      </c>
      <c r="H428" s="25">
        <v>0</v>
      </c>
      <c r="I428" s="25">
        <v>0</v>
      </c>
      <c r="J428" s="24" t="s">
        <v>63</v>
      </c>
      <c r="K428" s="26">
        <f>SUM(E428:J428)</f>
        <v>20166.0</v>
      </c>
      <c r="L428" s="26">
        <f>D428-K428</f>
        <v>0.0</v>
      </c>
      <c r="M428" s="24" t="s">
        <v>1617</v>
      </c>
      <c r="N428" s="24" t="str">
        <f>C428&amp;"|"&amp;A428</f>
        <v>001|2231037</v>
      </c>
    </row>
    <row r="429" spans="1:14">
      <c r="A429" s="24" t="s">
        <v>1451</v>
      </c>
      <c r="B429" s="24" t="s">
        <v>1452</v>
      </c>
      <c r="C429" s="24" t="s">
        <v>1448</v>
      </c>
      <c r="D429" s="25">
        <v>2417454</v>
      </c>
      <c r="E429" s="25">
        <v>0</v>
      </c>
      <c r="F429" s="25">
        <v>0</v>
      </c>
      <c r="G429" s="25">
        <v>2417454</v>
      </c>
      <c r="H429" s="25">
        <v>0</v>
      </c>
      <c r="I429" s="25">
        <v>0</v>
      </c>
      <c r="J429" s="24" t="s">
        <v>63</v>
      </c>
      <c r="K429" s="26">
        <f>SUM(E429:J429)</f>
        <v>2417454.0</v>
      </c>
      <c r="L429" s="26">
        <f>D429-K429</f>
        <v>0.0</v>
      </c>
      <c r="M429" s="24" t="s">
        <v>1617</v>
      </c>
      <c r="N429" s="24" t="str">
        <f>C429&amp;"|"&amp;A429</f>
        <v>002|2336682</v>
      </c>
    </row>
    <row r="430" spans="1:14">
      <c r="A430" s="24" t="s">
        <v>1453</v>
      </c>
      <c r="B430" s="24" t="s">
        <v>1455</v>
      </c>
      <c r="C430" s="24" t="s">
        <v>1448</v>
      </c>
      <c r="D430" s="25">
        <v>119950</v>
      </c>
      <c r="E430" s="25">
        <v>0</v>
      </c>
      <c r="F430" s="25">
        <v>0</v>
      </c>
      <c r="G430" s="25">
        <v>119950</v>
      </c>
      <c r="H430" s="25">
        <v>0</v>
      </c>
      <c r="I430" s="25">
        <v>0</v>
      </c>
      <c r="J430" s="24" t="s">
        <v>63</v>
      </c>
      <c r="K430" s="26">
        <f>SUM(E430:J430)</f>
        <v>119950.0</v>
      </c>
      <c r="L430" s="26">
        <f>D430-K430</f>
        <v>0.0</v>
      </c>
      <c r="M430" s="24" t="s">
        <v>1617</v>
      </c>
      <c r="N430" s="24" t="str">
        <f>C430&amp;"|"&amp;A430</f>
        <v>002|2230619</v>
      </c>
    </row>
    <row r="431" spans="1:14">
      <c r="A431" s="24" t="s">
        <v>1456</v>
      </c>
      <c r="B431" s="24" t="s">
        <v>1457</v>
      </c>
      <c r="C431" s="24" t="s">
        <v>1448</v>
      </c>
      <c r="D431" s="25">
        <v>45000</v>
      </c>
      <c r="E431" s="25">
        <v>0</v>
      </c>
      <c r="F431" s="25">
        <v>0</v>
      </c>
      <c r="G431" s="25">
        <v>45000</v>
      </c>
      <c r="H431" s="25">
        <v>0</v>
      </c>
      <c r="I431" s="25">
        <v>0</v>
      </c>
      <c r="J431" s="24" t="s">
        <v>63</v>
      </c>
      <c r="K431" s="26">
        <f>SUM(E431:J431)</f>
        <v>45000.0</v>
      </c>
      <c r="L431" s="26">
        <f>D431-K431</f>
        <v>0.0</v>
      </c>
      <c r="M431" s="24" t="s">
        <v>1617</v>
      </c>
      <c r="N431" s="24" t="str">
        <f>C431&amp;"|"&amp;A431</f>
        <v>002|2714101</v>
      </c>
    </row>
    <row r="432" spans="1:14">
      <c r="A432" s="24" t="s">
        <v>1462</v>
      </c>
      <c r="B432" s="24" t="s">
        <v>1463</v>
      </c>
      <c r="C432" s="24" t="s">
        <v>1459</v>
      </c>
      <c r="D432" s="25">
        <v>7891675</v>
      </c>
      <c r="E432" s="25">
        <v>0</v>
      </c>
      <c r="F432" s="25">
        <v>0</v>
      </c>
      <c r="G432" s="25">
        <v>7891675</v>
      </c>
      <c r="H432" s="25">
        <v>0</v>
      </c>
      <c r="I432" s="25">
        <v>0</v>
      </c>
      <c r="J432" s="24" t="s">
        <v>63</v>
      </c>
      <c r="K432" s="26">
        <f>SUM(E432:J432)</f>
        <v>7891675.0</v>
      </c>
      <c r="L432" s="26">
        <f>D432-K432</f>
        <v>0.0</v>
      </c>
      <c r="M432" s="24" t="s">
        <v>1617</v>
      </c>
      <c r="N432" s="24" t="str">
        <f>C432&amp;"|"&amp;A432</f>
        <v>003|2454391</v>
      </c>
    </row>
    <row r="433" spans="1:14">
      <c r="A433" s="24" t="s">
        <v>1464</v>
      </c>
      <c r="B433" s="24" t="s">
        <v>1466</v>
      </c>
      <c r="C433" s="24" t="s">
        <v>1459</v>
      </c>
      <c r="D433" s="25">
        <v>8205055</v>
      </c>
      <c r="E433" s="25">
        <v>0</v>
      </c>
      <c r="F433" s="25">
        <v>0</v>
      </c>
      <c r="G433" s="25">
        <v>8205055</v>
      </c>
      <c r="H433" s="25">
        <v>0</v>
      </c>
      <c r="I433" s="25">
        <v>0</v>
      </c>
      <c r="J433" s="24" t="s">
        <v>63</v>
      </c>
      <c r="K433" s="26">
        <f>SUM(E433:J433)</f>
        <v>8205055.0</v>
      </c>
      <c r="L433" s="26">
        <f>D433-K433</f>
        <v>0.0</v>
      </c>
      <c r="M433" s="24" t="s">
        <v>1617</v>
      </c>
      <c r="N433" s="24" t="str">
        <f>C433&amp;"|"&amp;A433</f>
        <v>003|2566500</v>
      </c>
    </row>
    <row r="434" spans="1:14">
      <c r="A434" s="24" t="s">
        <v>1467</v>
      </c>
      <c r="B434" s="24" t="s">
        <v>1468</v>
      </c>
      <c r="C434" s="24" t="s">
        <v>1459</v>
      </c>
      <c r="D434" s="25">
        <v>7233387</v>
      </c>
      <c r="E434" s="25">
        <v>0</v>
      </c>
      <c r="F434" s="25">
        <v>0</v>
      </c>
      <c r="G434" s="25">
        <v>7233387</v>
      </c>
      <c r="H434" s="25">
        <v>0</v>
      </c>
      <c r="I434" s="25">
        <v>0</v>
      </c>
      <c r="J434" s="24" t="s">
        <v>63</v>
      </c>
      <c r="K434" s="26">
        <f>SUM(E434:J434)</f>
        <v>7233387.0</v>
      </c>
      <c r="L434" s="26">
        <f>D434-K434</f>
        <v>0.0</v>
      </c>
      <c r="M434" s="24" t="s">
        <v>1617</v>
      </c>
      <c r="N434" s="24" t="str">
        <f>C434&amp;"|"&amp;A434</f>
        <v>003|2477014</v>
      </c>
    </row>
    <row r="435" spans="1:14">
      <c r="A435" s="24" t="s">
        <v>1469</v>
      </c>
      <c r="B435" s="24" t="s">
        <v>1471</v>
      </c>
      <c r="C435" s="24" t="s">
        <v>1459</v>
      </c>
      <c r="D435" s="25">
        <v>8979929</v>
      </c>
      <c r="E435" s="25">
        <v>0</v>
      </c>
      <c r="F435" s="25">
        <v>0</v>
      </c>
      <c r="G435" s="25">
        <v>8979929</v>
      </c>
      <c r="H435" s="25">
        <v>0</v>
      </c>
      <c r="I435" s="25">
        <v>0</v>
      </c>
      <c r="J435" s="24" t="s">
        <v>63</v>
      </c>
      <c r="K435" s="26">
        <f>SUM(E435:J435)</f>
        <v>8979929.0</v>
      </c>
      <c r="L435" s="26">
        <f>D435-K435</f>
        <v>0.0</v>
      </c>
      <c r="M435" s="24" t="s">
        <v>1617</v>
      </c>
      <c r="N435" s="24" t="str">
        <f>C435&amp;"|"&amp;A435</f>
        <v>003|2540745</v>
      </c>
    </row>
    <row r="436" spans="1:14">
      <c r="A436" s="24" t="s">
        <v>1472</v>
      </c>
      <c r="B436" s="24" t="s">
        <v>1473</v>
      </c>
      <c r="C436" s="24" t="s">
        <v>1459</v>
      </c>
      <c r="D436" s="25">
        <v>8887232</v>
      </c>
      <c r="E436" s="25">
        <v>0</v>
      </c>
      <c r="F436" s="25">
        <v>0</v>
      </c>
      <c r="G436" s="25">
        <v>8887232</v>
      </c>
      <c r="H436" s="25">
        <v>0</v>
      </c>
      <c r="I436" s="25">
        <v>0</v>
      </c>
      <c r="J436" s="24" t="s">
        <v>63</v>
      </c>
      <c r="K436" s="26">
        <f>SUM(E436:J436)</f>
        <v>8887232.0</v>
      </c>
      <c r="L436" s="26">
        <f>D436-K436</f>
        <v>0.0</v>
      </c>
      <c r="M436" s="24" t="s">
        <v>1617</v>
      </c>
      <c r="N436" s="24" t="str">
        <f>C436&amp;"|"&amp;A436</f>
        <v>003|2651742</v>
      </c>
    </row>
    <row r="437" spans="1:14">
      <c r="A437" s="24" t="s">
        <v>1475</v>
      </c>
      <c r="B437" s="24" t="s">
        <v>1476</v>
      </c>
      <c r="C437" s="24" t="s">
        <v>1459</v>
      </c>
      <c r="D437" s="25">
        <v>2302588</v>
      </c>
      <c r="E437" s="25">
        <v>0</v>
      </c>
      <c r="F437" s="25">
        <v>0</v>
      </c>
      <c r="G437" s="25">
        <v>2302588</v>
      </c>
      <c r="H437" s="25">
        <v>0</v>
      </c>
      <c r="I437" s="25">
        <v>0</v>
      </c>
      <c r="J437" s="24" t="s">
        <v>63</v>
      </c>
      <c r="K437" s="26">
        <f>SUM(E437:J437)</f>
        <v>2302588.0</v>
      </c>
      <c r="L437" s="26">
        <f>D437-K437</f>
        <v>0.0</v>
      </c>
      <c r="M437" s="24" t="s">
        <v>1617</v>
      </c>
      <c r="N437" s="24" t="str">
        <f>C437&amp;"|"&amp;A437</f>
        <v>003|2470845</v>
      </c>
    </row>
    <row r="438" spans="1:14">
      <c r="A438" s="24" t="s">
        <v>1412</v>
      </c>
      <c r="B438" s="24" t="s">
        <v>1479</v>
      </c>
      <c r="C438" s="24" t="s">
        <v>1459</v>
      </c>
      <c r="D438" s="25">
        <v>678214</v>
      </c>
      <c r="E438" s="25">
        <v>0</v>
      </c>
      <c r="F438" s="25">
        <v>57914</v>
      </c>
      <c r="G438" s="25">
        <v>620300</v>
      </c>
      <c r="H438" s="25">
        <v>0</v>
      </c>
      <c r="I438" s="25">
        <v>0</v>
      </c>
      <c r="J438" s="24" t="s">
        <v>63</v>
      </c>
      <c r="K438" s="26">
        <f>SUM(E438:J438)</f>
        <v>678214.0</v>
      </c>
      <c r="L438" s="26">
        <f>D438-K438</f>
        <v>0.0</v>
      </c>
      <c r="M438" s="24" t="s">
        <v>1617</v>
      </c>
      <c r="N438" s="24" t="str">
        <f>C438&amp;"|"&amp;A438</f>
        <v>003|2001621</v>
      </c>
    </row>
    <row r="439" spans="1:14">
      <c r="A439" s="24" t="s">
        <v>1481</v>
      </c>
      <c r="B439" s="24" t="s">
        <v>1482</v>
      </c>
      <c r="C439" s="24" t="s">
        <v>1459</v>
      </c>
      <c r="D439" s="25">
        <v>855253</v>
      </c>
      <c r="E439" s="25">
        <v>0</v>
      </c>
      <c r="F439" s="25">
        <v>0</v>
      </c>
      <c r="G439" s="25">
        <v>270883</v>
      </c>
      <c r="H439" s="25">
        <v>584370</v>
      </c>
      <c r="I439" s="25">
        <v>0</v>
      </c>
      <c r="J439" s="24" t="s">
        <v>63</v>
      </c>
      <c r="K439" s="26">
        <f>SUM(E439:J439)</f>
        <v>855253.0</v>
      </c>
      <c r="L439" s="26">
        <f>D439-K439</f>
        <v>0.0</v>
      </c>
      <c r="M439" s="24" t="s">
        <v>1617</v>
      </c>
      <c r="N439" s="24" t="str">
        <f>C439&amp;"|"&amp;A439</f>
        <v>003|2651727</v>
      </c>
    </row>
    <row r="440" spans="1:14">
      <c r="A440" s="24" t="s">
        <v>1483</v>
      </c>
      <c r="B440" s="24" t="s">
        <v>1484</v>
      </c>
      <c r="C440" s="24" t="s">
        <v>1459</v>
      </c>
      <c r="D440" s="25">
        <v>267289</v>
      </c>
      <c r="E440" s="25">
        <v>0</v>
      </c>
      <c r="F440" s="25">
        <v>0</v>
      </c>
      <c r="G440" s="25">
        <v>267289</v>
      </c>
      <c r="H440" s="25">
        <v>0</v>
      </c>
      <c r="I440" s="25">
        <v>0</v>
      </c>
      <c r="J440" s="24" t="s">
        <v>63</v>
      </c>
      <c r="K440" s="26">
        <f>SUM(E440:J440)</f>
        <v>267289.0</v>
      </c>
      <c r="L440" s="26">
        <f>D440-K440</f>
        <v>0.0</v>
      </c>
      <c r="M440" s="24" t="s">
        <v>1617</v>
      </c>
      <c r="N440" s="24" t="str">
        <f>C440&amp;"|"&amp;A440</f>
        <v>003|2634779</v>
      </c>
    </row>
    <row r="441" spans="1:14">
      <c r="A441" s="24" t="s">
        <v>1486</v>
      </c>
      <c r="B441" s="24" t="s">
        <v>1487</v>
      </c>
      <c r="C441" s="24" t="s">
        <v>1459</v>
      </c>
      <c r="D441" s="25">
        <v>152639</v>
      </c>
      <c r="E441" s="25">
        <v>0</v>
      </c>
      <c r="F441" s="25">
        <v>0</v>
      </c>
      <c r="G441" s="25">
        <v>152639</v>
      </c>
      <c r="H441" s="25">
        <v>0</v>
      </c>
      <c r="I441" s="25">
        <v>0</v>
      </c>
      <c r="J441" s="24" t="s">
        <v>63</v>
      </c>
      <c r="K441" s="26">
        <f>SUM(E441:J441)</f>
        <v>152639.0</v>
      </c>
      <c r="L441" s="26">
        <f>D441-K441</f>
        <v>0.0</v>
      </c>
      <c r="M441" s="24" t="s">
        <v>1617</v>
      </c>
      <c r="N441" s="24" t="str">
        <f>C441&amp;"|"&amp;A441</f>
        <v>003|2668257</v>
      </c>
    </row>
    <row r="442" spans="1:14">
      <c r="A442" s="24" t="s">
        <v>1488</v>
      </c>
      <c r="B442" s="24" t="s">
        <v>1489</v>
      </c>
      <c r="C442" s="24" t="s">
        <v>1459</v>
      </c>
      <c r="D442" s="25">
        <v>150000</v>
      </c>
      <c r="E442" s="25">
        <v>0</v>
      </c>
      <c r="F442" s="25">
        <v>0</v>
      </c>
      <c r="G442" s="25">
        <v>150000</v>
      </c>
      <c r="H442" s="25">
        <v>0</v>
      </c>
      <c r="I442" s="25">
        <v>0</v>
      </c>
      <c r="J442" s="24" t="s">
        <v>63</v>
      </c>
      <c r="K442" s="26">
        <f>SUM(E442:J442)</f>
        <v>150000.0</v>
      </c>
      <c r="L442" s="26">
        <f>D442-K442</f>
        <v>0.0</v>
      </c>
      <c r="M442" s="24" t="s">
        <v>1617</v>
      </c>
      <c r="N442" s="24" t="str">
        <f>C442&amp;"|"&amp;A442</f>
        <v>003|2681358</v>
      </c>
    </row>
    <row r="443" spans="1:14">
      <c r="A443" s="24" t="s">
        <v>1490</v>
      </c>
      <c r="B443" s="24" t="s">
        <v>1491</v>
      </c>
      <c r="C443" s="24" t="s">
        <v>1459</v>
      </c>
      <c r="D443" s="25">
        <v>34081</v>
      </c>
      <c r="E443" s="25">
        <v>0</v>
      </c>
      <c r="F443" s="25">
        <v>0</v>
      </c>
      <c r="G443" s="25">
        <v>34081</v>
      </c>
      <c r="H443" s="25">
        <v>0</v>
      </c>
      <c r="I443" s="25">
        <v>0</v>
      </c>
      <c r="J443" s="24" t="s">
        <v>63</v>
      </c>
      <c r="K443" s="26">
        <f>SUM(E443:J443)</f>
        <v>34081.0</v>
      </c>
      <c r="L443" s="26">
        <f>D443-K443</f>
        <v>0.0</v>
      </c>
      <c r="M443" s="24" t="s">
        <v>1617</v>
      </c>
      <c r="N443" s="24" t="str">
        <f>C443&amp;"|"&amp;A443</f>
        <v>003|2429723</v>
      </c>
    </row>
    <row r="444" spans="1:14">
      <c r="A444" s="24" t="s">
        <v>1492</v>
      </c>
      <c r="B444" s="24" t="s">
        <v>1494</v>
      </c>
      <c r="C444" s="24" t="s">
        <v>1459</v>
      </c>
      <c r="D444" s="25">
        <v>0</v>
      </c>
      <c r="E444" s="25">
        <v>0</v>
      </c>
      <c r="F444" s="25">
        <v>0</v>
      </c>
      <c r="G444" s="25">
        <v>0</v>
      </c>
      <c r="H444" s="25">
        <v>0</v>
      </c>
      <c r="I444" s="25">
        <v>0</v>
      </c>
      <c r="J444" s="24" t="s">
        <v>63</v>
      </c>
      <c r="K444" s="26">
        <f>SUM(E444:J444)</f>
        <v>0.0</v>
      </c>
      <c r="L444" s="26">
        <f>D444-K444</f>
        <v>0.0</v>
      </c>
      <c r="M444" s="24" t="s">
        <v>1617</v>
      </c>
      <c r="N444" s="24" t="str">
        <f>C444&amp;"|"&amp;A444</f>
        <v>003|2541758</v>
      </c>
    </row>
    <row r="445" spans="1:14">
      <c r="A445" s="24" t="s">
        <v>1496</v>
      </c>
      <c r="B445" s="24" t="s">
        <v>1498</v>
      </c>
      <c r="C445" s="24" t="s">
        <v>1459</v>
      </c>
      <c r="D445" s="25">
        <v>0</v>
      </c>
      <c r="E445" s="25">
        <v>0</v>
      </c>
      <c r="F445" s="25">
        <v>0</v>
      </c>
      <c r="G445" s="25">
        <v>0</v>
      </c>
      <c r="H445" s="25">
        <v>0</v>
      </c>
      <c r="I445" s="25">
        <v>0</v>
      </c>
      <c r="J445" s="24" t="s">
        <v>63</v>
      </c>
      <c r="K445" s="26">
        <f>SUM(E445:J445)</f>
        <v>0.0</v>
      </c>
      <c r="L445" s="26">
        <f>D445-K445</f>
        <v>0.0</v>
      </c>
      <c r="M445" s="24" t="s">
        <v>1617</v>
      </c>
      <c r="N445" s="24" t="str">
        <f>C445&amp;"|"&amp;A445</f>
        <v>003|2616977</v>
      </c>
    </row>
    <row r="446" spans="1:14">
      <c r="A446" s="24" t="s">
        <v>1503</v>
      </c>
      <c r="B446" s="24" t="s">
        <v>1504</v>
      </c>
      <c r="C446" s="24" t="s">
        <v>1500</v>
      </c>
      <c r="D446" s="25">
        <v>10473026</v>
      </c>
      <c r="E446" s="25">
        <v>0</v>
      </c>
      <c r="F446" s="25">
        <v>0</v>
      </c>
      <c r="G446" s="25">
        <v>9372234</v>
      </c>
      <c r="H446" s="25">
        <v>1100792</v>
      </c>
      <c r="I446" s="25">
        <v>0</v>
      </c>
      <c r="J446" s="24" t="s">
        <v>63</v>
      </c>
      <c r="K446" s="26">
        <f>SUM(E446:J446)</f>
        <v>10473026.0</v>
      </c>
      <c r="L446" s="26">
        <f>D446-K446</f>
        <v>0.0</v>
      </c>
      <c r="M446" s="24" t="s">
        <v>1617</v>
      </c>
      <c r="N446" s="24" t="str">
        <f>C446&amp;"|"&amp;A446</f>
        <v>005|2559663</v>
      </c>
    </row>
    <row r="447" spans="1:14">
      <c r="A447" s="24" t="s">
        <v>1505</v>
      </c>
      <c r="B447" s="24" t="s">
        <v>1506</v>
      </c>
      <c r="C447" s="24" t="s">
        <v>1500</v>
      </c>
      <c r="D447" s="25">
        <v>5701948</v>
      </c>
      <c r="E447" s="25">
        <v>0</v>
      </c>
      <c r="F447" s="25">
        <v>0</v>
      </c>
      <c r="G447" s="25">
        <v>5141948</v>
      </c>
      <c r="H447" s="25">
        <v>560000</v>
      </c>
      <c r="I447" s="25">
        <v>0</v>
      </c>
      <c r="J447" s="24" t="s">
        <v>63</v>
      </c>
      <c r="K447" s="26">
        <f>SUM(E447:J447)</f>
        <v>5701948.0</v>
      </c>
      <c r="L447" s="26">
        <f>D447-K447</f>
        <v>0.0</v>
      </c>
      <c r="M447" s="24" t="s">
        <v>1617</v>
      </c>
      <c r="N447" s="24" t="str">
        <f>C447&amp;"|"&amp;A447</f>
        <v>005|2631496</v>
      </c>
    </row>
    <row r="448" spans="1:14">
      <c r="A448" s="24" t="s">
        <v>1508</v>
      </c>
      <c r="B448" s="24" t="s">
        <v>1509</v>
      </c>
      <c r="C448" s="24" t="s">
        <v>1500</v>
      </c>
      <c r="D448" s="25">
        <v>3882438</v>
      </c>
      <c r="E448" s="25">
        <v>0</v>
      </c>
      <c r="F448" s="25">
        <v>0</v>
      </c>
      <c r="G448" s="25">
        <v>3595787</v>
      </c>
      <c r="H448" s="25">
        <v>286651</v>
      </c>
      <c r="I448" s="25">
        <v>0</v>
      </c>
      <c r="J448" s="24" t="s">
        <v>63</v>
      </c>
      <c r="K448" s="26">
        <f>SUM(E448:J448)</f>
        <v>3882438.0</v>
      </c>
      <c r="L448" s="26">
        <f>D448-K448</f>
        <v>0.0</v>
      </c>
      <c r="M448" s="24" t="s">
        <v>1617</v>
      </c>
      <c r="N448" s="24" t="str">
        <f>C448&amp;"|"&amp;A448</f>
        <v>005|2479852</v>
      </c>
    </row>
    <row r="449" spans="1:14">
      <c r="A449" s="24" t="s">
        <v>1511</v>
      </c>
      <c r="B449" s="24" t="s">
        <v>1512</v>
      </c>
      <c r="C449" s="24" t="s">
        <v>1500</v>
      </c>
      <c r="D449" s="25">
        <v>30000</v>
      </c>
      <c r="E449" s="25">
        <v>0</v>
      </c>
      <c r="F449" s="25">
        <v>0</v>
      </c>
      <c r="G449" s="25">
        <v>30000</v>
      </c>
      <c r="H449" s="25">
        <v>0</v>
      </c>
      <c r="I449" s="25">
        <v>0</v>
      </c>
      <c r="J449" s="24" t="s">
        <v>63</v>
      </c>
      <c r="K449" s="26">
        <f>SUM(E449:J449)</f>
        <v>30000.0</v>
      </c>
      <c r="L449" s="26">
        <f>D449-K449</f>
        <v>0.0</v>
      </c>
      <c r="M449" s="24" t="s">
        <v>1617</v>
      </c>
      <c r="N449" s="24" t="str">
        <f>C449&amp;"|"&amp;A449</f>
        <v>005|2325694</v>
      </c>
    </row>
    <row r="450" spans="1:14">
      <c r="A450" s="24" t="s">
        <v>1513</v>
      </c>
      <c r="B450" s="24" t="s">
        <v>1514</v>
      </c>
      <c r="C450" s="24" t="s">
        <v>1500</v>
      </c>
      <c r="D450" s="25">
        <v>0</v>
      </c>
      <c r="E450" s="25">
        <v>0</v>
      </c>
      <c r="F450" s="25">
        <v>0</v>
      </c>
      <c r="G450" s="25">
        <v>0</v>
      </c>
      <c r="H450" s="25">
        <v>0</v>
      </c>
      <c r="I450" s="25">
        <v>0</v>
      </c>
      <c r="J450" s="24" t="s">
        <v>63</v>
      </c>
      <c r="K450" s="26">
        <f>SUM(E450:J450)</f>
        <v>0.0</v>
      </c>
      <c r="L450" s="26">
        <f>D450-K450</f>
        <v>0.0</v>
      </c>
      <c r="M450" s="24" t="s">
        <v>1617</v>
      </c>
      <c r="N450" s="24" t="str">
        <f>C450&amp;"|"&amp;A450</f>
        <v>005|2538654</v>
      </c>
    </row>
    <row r="451" spans="1:14">
      <c r="A451" s="24" t="s">
        <v>1518</v>
      </c>
      <c r="B451" s="24" t="s">
        <v>1519</v>
      </c>
      <c r="C451" s="24" t="s">
        <v>1515</v>
      </c>
      <c r="D451" s="25">
        <v>7439155</v>
      </c>
      <c r="E451" s="25">
        <v>0</v>
      </c>
      <c r="F451" s="25">
        <v>1905155</v>
      </c>
      <c r="G451" s="25">
        <v>5534000</v>
      </c>
      <c r="H451" s="25">
        <v>0</v>
      </c>
      <c r="I451" s="25">
        <v>0</v>
      </c>
      <c r="J451" s="24" t="s">
        <v>63</v>
      </c>
      <c r="K451" s="26">
        <f>SUM(E451:J451)</f>
        <v>7439155.0</v>
      </c>
      <c r="L451" s="26">
        <f>D451-K451</f>
        <v>0.0</v>
      </c>
      <c r="M451" s="24" t="s">
        <v>1617</v>
      </c>
      <c r="N451" s="24" t="str">
        <f>C451&amp;"|"&amp;A451</f>
        <v>100|2557255</v>
      </c>
    </row>
    <row r="452" spans="1:14">
      <c r="A452" s="24" t="s">
        <v>1520</v>
      </c>
      <c r="B452" s="24" t="s">
        <v>1521</v>
      </c>
      <c r="C452" s="24" t="s">
        <v>1515</v>
      </c>
      <c r="D452" s="25">
        <v>4417847</v>
      </c>
      <c r="E452" s="25">
        <v>0</v>
      </c>
      <c r="F452" s="25">
        <v>0</v>
      </c>
      <c r="G452" s="25">
        <v>4417847</v>
      </c>
      <c r="H452" s="25">
        <v>0</v>
      </c>
      <c r="I452" s="25">
        <v>0</v>
      </c>
      <c r="J452" s="24" t="s">
        <v>63</v>
      </c>
      <c r="K452" s="26">
        <f>SUM(E452:J452)</f>
        <v>4417847.0</v>
      </c>
      <c r="L452" s="26">
        <f>D452-K452</f>
        <v>0.0</v>
      </c>
      <c r="M452" s="24" t="s">
        <v>1617</v>
      </c>
      <c r="N452" s="24" t="str">
        <f>C452&amp;"|"&amp;A452</f>
        <v>100|2470873</v>
      </c>
    </row>
    <row r="453" spans="1:14">
      <c r="A453" s="24" t="s">
        <v>1522</v>
      </c>
      <c r="B453" s="24" t="s">
        <v>1523</v>
      </c>
      <c r="C453" s="24" t="s">
        <v>1515</v>
      </c>
      <c r="D453" s="25">
        <v>2000000</v>
      </c>
      <c r="E453" s="25">
        <v>0</v>
      </c>
      <c r="F453" s="25">
        <v>0</v>
      </c>
      <c r="G453" s="25">
        <v>2000000</v>
      </c>
      <c r="H453" s="25">
        <v>0</v>
      </c>
      <c r="I453" s="25">
        <v>0</v>
      </c>
      <c r="J453" s="24" t="s">
        <v>63</v>
      </c>
      <c r="K453" s="26">
        <f>SUM(E453:J453)</f>
        <v>2000000.0</v>
      </c>
      <c r="L453" s="26">
        <f>D453-K453</f>
        <v>0.0</v>
      </c>
      <c r="M453" s="24" t="s">
        <v>1617</v>
      </c>
      <c r="N453" s="24" t="str">
        <f>C453&amp;"|"&amp;A453</f>
        <v>100|2511053</v>
      </c>
    </row>
    <row r="454" spans="1:14">
      <c r="A454" s="24" t="s">
        <v>1525</v>
      </c>
      <c r="B454" s="24" t="s">
        <v>1526</v>
      </c>
      <c r="C454" s="24" t="s">
        <v>1515</v>
      </c>
      <c r="D454" s="25">
        <v>500000</v>
      </c>
      <c r="E454" s="25">
        <v>0</v>
      </c>
      <c r="F454" s="25">
        <v>0</v>
      </c>
      <c r="G454" s="25">
        <v>500000</v>
      </c>
      <c r="H454" s="25">
        <v>0</v>
      </c>
      <c r="I454" s="25">
        <v>0</v>
      </c>
      <c r="J454" s="24" t="s">
        <v>63</v>
      </c>
      <c r="K454" s="26">
        <f>SUM(E454:J454)</f>
        <v>500000.0</v>
      </c>
      <c r="L454" s="26">
        <f>D454-K454</f>
        <v>0.0</v>
      </c>
      <c r="M454" s="24" t="s">
        <v>1617</v>
      </c>
      <c r="N454" s="24" t="str">
        <f>C454&amp;"|"&amp;A454</f>
        <v>100|2629018</v>
      </c>
    </row>
    <row r="455" spans="1:14">
      <c r="A455" s="24" t="s">
        <v>1412</v>
      </c>
      <c r="B455" s="24" t="s">
        <v>1479</v>
      </c>
      <c r="C455" s="24" t="s">
        <v>1515</v>
      </c>
      <c r="D455" s="25">
        <v>133500</v>
      </c>
      <c r="E455" s="25">
        <v>0</v>
      </c>
      <c r="F455" s="25">
        <v>0</v>
      </c>
      <c r="G455" s="25">
        <v>90000</v>
      </c>
      <c r="H455" s="25">
        <v>43500</v>
      </c>
      <c r="I455" s="25">
        <v>0</v>
      </c>
      <c r="J455" s="24" t="s">
        <v>63</v>
      </c>
      <c r="K455" s="26">
        <f>SUM(E455:J455)</f>
        <v>133500.0</v>
      </c>
      <c r="L455" s="26">
        <f>D455-K455</f>
        <v>0.0</v>
      </c>
      <c r="M455" s="24" t="s">
        <v>1617</v>
      </c>
      <c r="N455" s="24" t="str">
        <f>C455&amp;"|"&amp;A455</f>
        <v>100|2001621</v>
      </c>
    </row>
    <row r="456" spans="1:14">
      <c r="A456" s="24" t="s">
        <v>1528</v>
      </c>
      <c r="B456" s="24" t="s">
        <v>1529</v>
      </c>
      <c r="C456" s="24" t="s">
        <v>1515</v>
      </c>
      <c r="D456" s="25">
        <v>40000</v>
      </c>
      <c r="E456" s="25">
        <v>0</v>
      </c>
      <c r="F456" s="25">
        <v>0</v>
      </c>
      <c r="G456" s="25">
        <v>0</v>
      </c>
      <c r="H456" s="25">
        <v>40000</v>
      </c>
      <c r="I456" s="25">
        <v>0</v>
      </c>
      <c r="J456" s="24" t="s">
        <v>63</v>
      </c>
      <c r="K456" s="26">
        <f>SUM(E456:J456)</f>
        <v>40000.0</v>
      </c>
      <c r="L456" s="26">
        <f>D456-K456</f>
        <v>0.0</v>
      </c>
      <c r="M456" s="24" t="s">
        <v>1617</v>
      </c>
      <c r="N456" s="24" t="str">
        <f>C456&amp;"|"&amp;A456</f>
        <v>100|2313145</v>
      </c>
    </row>
    <row r="457" spans="1:14">
      <c r="A457" s="24" t="s">
        <v>1530</v>
      </c>
      <c r="B457" s="24" t="s">
        <v>1531</v>
      </c>
      <c r="C457" s="24" t="s">
        <v>1515</v>
      </c>
      <c r="D457" s="25">
        <v>30892</v>
      </c>
      <c r="E457" s="25">
        <v>0</v>
      </c>
      <c r="F457" s="25">
        <v>0</v>
      </c>
      <c r="G457" s="25">
        <v>0</v>
      </c>
      <c r="H457" s="25">
        <v>30892</v>
      </c>
      <c r="I457" s="25">
        <v>0</v>
      </c>
      <c r="J457" s="24" t="s">
        <v>63</v>
      </c>
      <c r="K457" s="26">
        <f>SUM(E457:J457)</f>
        <v>30892.0</v>
      </c>
      <c r="L457" s="26">
        <f>D457-K457</f>
        <v>0.0</v>
      </c>
      <c r="M457" s="24" t="s">
        <v>1617</v>
      </c>
      <c r="N457" s="24" t="str">
        <f>C457&amp;"|"&amp;A457</f>
        <v>100|2318520</v>
      </c>
    </row>
    <row r="458" spans="1:14">
      <c r="A458" s="24" t="s">
        <v>1532</v>
      </c>
      <c r="B458" s="24" t="s">
        <v>1533</v>
      </c>
      <c r="C458" s="24" t="s">
        <v>1515</v>
      </c>
      <c r="D458" s="25">
        <v>20000</v>
      </c>
      <c r="E458" s="25">
        <v>0</v>
      </c>
      <c r="F458" s="25">
        <v>0</v>
      </c>
      <c r="G458" s="25">
        <v>0</v>
      </c>
      <c r="H458" s="25">
        <v>20000</v>
      </c>
      <c r="I458" s="25">
        <v>0</v>
      </c>
      <c r="J458" s="24" t="s">
        <v>63</v>
      </c>
      <c r="K458" s="26">
        <f>SUM(E458:J458)</f>
        <v>20000.0</v>
      </c>
      <c r="L458" s="26">
        <f>D458-K458</f>
        <v>0.0</v>
      </c>
      <c r="M458" s="24" t="s">
        <v>1617</v>
      </c>
      <c r="N458" s="24" t="str">
        <f>C458&amp;"|"&amp;A458</f>
        <v>100|2615902</v>
      </c>
    </row>
    <row r="459" spans="1:14">
      <c r="A459" s="24" t="s">
        <v>942</v>
      </c>
      <c r="B459" s="24" t="s">
        <v>944</v>
      </c>
      <c r="C459" s="24" t="s">
        <v>1534</v>
      </c>
      <c r="D459" s="25">
        <v>32592</v>
      </c>
      <c r="E459" s="25">
        <v>0</v>
      </c>
      <c r="F459" s="25">
        <v>0</v>
      </c>
      <c r="G459" s="25">
        <v>0</v>
      </c>
      <c r="H459" s="25">
        <v>32592</v>
      </c>
      <c r="I459" s="25">
        <v>0</v>
      </c>
      <c r="J459" s="24" t="s">
        <v>63</v>
      </c>
      <c r="K459" s="26">
        <f>SUM(E459:J459)</f>
        <v>32592.0</v>
      </c>
      <c r="L459" s="26">
        <f>D459-K459</f>
        <v>0.0</v>
      </c>
      <c r="M459" s="24" t="s">
        <v>1617</v>
      </c>
      <c r="N459" s="24" t="str">
        <f>C459&amp;"|"&amp;A459</f>
        <v>302|2393101</v>
      </c>
    </row>
    <row r="460" spans="1:14">
      <c r="A460" s="24" t="s">
        <v>1540</v>
      </c>
      <c r="B460" s="24" t="s">
        <v>1541</v>
      </c>
      <c r="C460" s="24" t="s">
        <v>1537</v>
      </c>
      <c r="D460" s="25">
        <v>41800</v>
      </c>
      <c r="E460" s="25">
        <v>41800</v>
      </c>
      <c r="F460" s="25">
        <v>0</v>
      </c>
      <c r="G460" s="25">
        <v>0</v>
      </c>
      <c r="H460" s="25">
        <v>0</v>
      </c>
      <c r="I460" s="25">
        <v>0</v>
      </c>
      <c r="J460" s="24" t="s">
        <v>63</v>
      </c>
      <c r="K460" s="26">
        <f>SUM(E460:J460)</f>
        <v>41800.0</v>
      </c>
      <c r="L460" s="26">
        <f>D460-K460</f>
        <v>0.0</v>
      </c>
      <c r="M460" s="24" t="s">
        <v>1617</v>
      </c>
      <c r="N460" s="24" t="str">
        <f>C460&amp;"|"&amp;A460</f>
        <v>413|2730957</v>
      </c>
    </row>
  </sheetData>
  <autoFilter ref="A4:N460"/>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C509"/>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5.7109375" customWidth="1"/>
    <col min="2" max="2" width="24.7109375" customWidth="1"/>
    <col min="3" max="3" width="36.7109375" customWidth="1"/>
    <col min="4" max="4" width="30.7109375" customWidth="1"/>
    <col min="5" max="5" width="26.7109375" customWidth="1"/>
    <col min="6" max="7" width="9.7109375" customWidth="1"/>
    <col min="8" max="8" width="60.7109375" customWidth="1"/>
    <col min="9" max="17" width="14.7109375" customWidth="1"/>
    <col min="18" max="19" width="22.7109375" customWidth="1"/>
    <col min="20" max="20" width="16.7109375" customWidth="1"/>
    <col min="21" max="21" width="30.7109375" customWidth="1"/>
    <col min="22" max="25" width="14.7109375" customWidth="1"/>
    <col min="26" max="28" width="24.7109375" customWidth="1"/>
    <col min="29" max="29" width="30.7109375" customWidth="1"/>
  </cols>
  <sheetData>
    <row r="1" spans="1:29">
      <c r="A1" s="1" t="s">
        <v>23</v>
      </c>
    </row>
    <row r="2" spans="1:29">
      <c r="A2" s="2" t="s">
        <v>24</v>
      </c>
    </row>
    <row r="4" spans="1:29" ht="40" customHeight="1">
      <c r="A4" s="5" t="s">
        <v>25</v>
      </c>
      <c r="B4" s="5" t="s">
        <v>26</v>
      </c>
      <c r="C4" s="5" t="s">
        <v>27</v>
      </c>
      <c r="D4" s="5" t="s">
        <v>28</v>
      </c>
      <c r="E4" s="5" t="s">
        <v>29</v>
      </c>
      <c r="F4" s="5" t="s">
        <v>30</v>
      </c>
      <c r="G4" s="5" t="s">
        <v>31</v>
      </c>
      <c r="H4" s="5" t="s">
        <v>32</v>
      </c>
      <c r="I4" s="5" t="s">
        <v>33</v>
      </c>
      <c r="J4" s="5" t="s">
        <v>34</v>
      </c>
      <c r="K4" s="5" t="s">
        <v>35</v>
      </c>
      <c r="L4" s="5" t="s">
        <v>36</v>
      </c>
      <c r="M4" s="5" t="s">
        <v>37</v>
      </c>
      <c r="N4" s="5" t="s">
        <v>38</v>
      </c>
      <c r="O4" s="5" t="s">
        <v>39</v>
      </c>
      <c r="P4" s="5" t="s">
        <v>40</v>
      </c>
      <c r="Q4" s="5" t="s">
        <v>41</v>
      </c>
      <c r="R4" s="5" t="s">
        <v>42</v>
      </c>
      <c r="S4" s="5" t="s">
        <v>43</v>
      </c>
      <c r="T4" s="5" t="s">
        <v>44</v>
      </c>
      <c r="U4" s="5" t="s">
        <v>45</v>
      </c>
      <c r="V4" s="5" t="s">
        <v>46</v>
      </c>
      <c r="W4" s="5" t="s">
        <v>47</v>
      </c>
      <c r="X4" s="5" t="s">
        <v>48</v>
      </c>
      <c r="Y4" s="5" t="s">
        <v>49</v>
      </c>
      <c r="Z4" s="5" t="s">
        <v>50</v>
      </c>
      <c r="AA4" s="5" t="s">
        <v>51</v>
      </c>
      <c r="AB4" s="5" t="s">
        <v>52</v>
      </c>
      <c r="AC4" s="5" t="s">
        <v>53</v>
      </c>
    </row>
    <row r="5" spans="1:29">
      <c r="A5" s="24" t="s">
        <v>54</v>
      </c>
      <c r="B5" s="24" t="s">
        <v>55</v>
      </c>
      <c r="C5" s="24" t="s">
        <v>56</v>
      </c>
      <c r="D5" s="24" t="s">
        <v>57</v>
      </c>
      <c r="E5" s="24" t="s">
        <v>58</v>
      </c>
      <c r="F5" s="24" t="s">
        <v>59</v>
      </c>
      <c r="G5" s="24" t="s">
        <v>60</v>
      </c>
      <c r="H5" s="27" t="s">
        <v>61</v>
      </c>
      <c r="I5" s="25">
        <v>167354</v>
      </c>
      <c r="J5" s="25">
        <v>149951.3</v>
      </c>
      <c r="K5" s="25">
        <v>149951.3</v>
      </c>
      <c r="L5" s="25">
        <v>102781.21</v>
      </c>
      <c r="M5" s="26">
        <f>I5-J5</f>
        <v>17402.70000000001</v>
      </c>
      <c r="N5" s="26">
        <f>J5-K5</f>
        <v>0.0</v>
      </c>
      <c r="O5" s="26">
        <f>I5-L5</f>
        <v>64572.78999999999</v>
      </c>
      <c r="P5" s="28">
        <f>IF(I5&gt;0,L5/I5,0)</f>
        <v>0.6141544868960408</v>
      </c>
      <c r="Q5" s="28">
        <f>IF(I5&gt;0,K5/I5,0)</f>
        <v>0.8960126438567347</v>
      </c>
      <c r="R5" s="24" t="str">
        <f>IF(I5&lt;=0,"Sin PIM",IF(L5/I5&gt;=Config!$B$5,"Ejecutado",IF(K5/I5&gt;=Config!$B$6,"Mayormente comprometido",IF(K5&gt;0.005,"Parcialmente comprometido",IF(J5&gt;0.005,"Solo certificado","Sin certificar")))))</f>
        <v>Mayormente comprometido</v>
      </c>
      <c r="S5" s="24" t="str">
        <f>IF(R5="Sin certificar","Disponible",IF(R5="Solo certificado","Posible",IF(R5="Parcialmente comprometido","Parcial",IF(R5="Mayormente comprometido","Difícil",IF(R5="Ejecutado","No usar","Sin PIM")))))</f>
        <v>Difícil</v>
      </c>
      <c r="T5" s="26">
        <f>IF(OR(I5&lt;=0,R5="Ejecutado"),0,MAX(0,I5-K5))</f>
        <v>17402.70000000001</v>
      </c>
      <c r="U5" s="24" t="s">
        <v>62</v>
      </c>
      <c r="V5" s="25">
        <v>12460540</v>
      </c>
      <c r="W5" s="25">
        <v>5731000</v>
      </c>
      <c r="X5" s="25">
        <v>5000000</v>
      </c>
      <c r="Y5" s="25">
        <v>5000000</v>
      </c>
      <c r="Z5" s="24" t="s">
        <v>63</v>
      </c>
      <c r="AA5" s="24" t="s">
        <v>63</v>
      </c>
      <c r="AB5" s="24" t="s">
        <v>63</v>
      </c>
      <c r="AC5" s="24" t="s">
        <v>64</v>
      </c>
    </row>
    <row r="6" spans="1:29">
      <c r="A6" s="24" t="s">
        <v>54</v>
      </c>
      <c r="B6" s="24" t="s">
        <v>55</v>
      </c>
      <c r="C6" s="24" t="s">
        <v>56</v>
      </c>
      <c r="D6" s="24" t="s">
        <v>57</v>
      </c>
      <c r="E6" s="24" t="s">
        <v>58</v>
      </c>
      <c r="F6" s="24" t="s">
        <v>65</v>
      </c>
      <c r="G6" s="24" t="s">
        <v>66</v>
      </c>
      <c r="H6" s="27" t="s">
        <v>67</v>
      </c>
      <c r="I6" s="25">
        <v>53759397</v>
      </c>
      <c r="J6" s="25">
        <v>53759396.9</v>
      </c>
      <c r="K6" s="25">
        <v>262914.25</v>
      </c>
      <c r="L6" s="25">
        <v>261343.05</v>
      </c>
      <c r="M6" s="26">
        <f>I6-J6</f>
        <v>0.10000000149011612</v>
      </c>
      <c r="N6" s="26">
        <f>J6-K6</f>
        <v>53496482.65</v>
      </c>
      <c r="O6" s="26">
        <f>I6-L6</f>
        <v>53498053.95</v>
      </c>
      <c r="P6" s="28">
        <f>IF(I6&gt;0,L6/I6,0)</f>
        <v>0.004861346380057054</v>
      </c>
      <c r="Q6" s="28">
        <f>IF(I6&gt;0,K6/I6,0)</f>
        <v>0.004890572898353008</v>
      </c>
      <c r="R6" s="24" t="str">
        <f>IF(I6&lt;=0,"Sin PIM",IF(L6/I6&gt;=Config!$B$5,"Ejecutado",IF(K6/I6&gt;=Config!$B$6,"Mayormente comprometido",IF(K6&gt;0.005,"Parcialmente comprometido",IF(J6&gt;0.005,"Solo certificado","Sin certificar")))))</f>
        <v>Parcialmente comprometido</v>
      </c>
      <c r="S6" s="24" t="str">
        <f>IF(R6="Sin certificar","Disponible",IF(R6="Solo certificado","Posible",IF(R6="Parcialmente comprometido","Parcial",IF(R6="Mayormente comprometido","Difícil",IF(R6="Ejecutado","No usar","Sin PIM")))))</f>
        <v>Parcial</v>
      </c>
      <c r="T6" s="26">
        <f>IF(OR(I6&lt;=0,R6="Ejecutado"),0,MAX(0,I6-K6))</f>
        <v>53496482.75</v>
      </c>
      <c r="U6" s="24" t="s">
        <v>68</v>
      </c>
      <c r="V6" s="24" t="s">
        <v>69</v>
      </c>
      <c r="W6" s="24" t="s">
        <v>69</v>
      </c>
      <c r="X6" s="24" t="s">
        <v>69</v>
      </c>
      <c r="Y6" s="24" t="s">
        <v>69</v>
      </c>
      <c r="Z6" s="24" t="s">
        <v>63</v>
      </c>
      <c r="AA6" s="24" t="s">
        <v>63</v>
      </c>
      <c r="AB6" s="24" t="s">
        <v>63</v>
      </c>
      <c r="AC6" s="24" t="s">
        <v>70</v>
      </c>
    </row>
    <row r="7" spans="1:29">
      <c r="A7" s="24" t="s">
        <v>54</v>
      </c>
      <c r="B7" s="24" t="s">
        <v>55</v>
      </c>
      <c r="C7" s="24" t="s">
        <v>56</v>
      </c>
      <c r="D7" s="24" t="s">
        <v>57</v>
      </c>
      <c r="E7" s="24" t="s">
        <v>71</v>
      </c>
      <c r="F7" s="24" t="s">
        <v>72</v>
      </c>
      <c r="G7" s="24" t="s">
        <v>73</v>
      </c>
      <c r="H7" s="27" t="s">
        <v>74</v>
      </c>
      <c r="I7" s="25">
        <v>10519577</v>
      </c>
      <c r="J7" s="25">
        <v>10386241.22</v>
      </c>
      <c r="K7" s="25">
        <v>8483089.219999999</v>
      </c>
      <c r="L7" s="25">
        <v>7596372.68</v>
      </c>
      <c r="M7" s="26">
        <f>I7-J7</f>
        <v>133335.77999999933</v>
      </c>
      <c r="N7" s="26">
        <f>J7-K7</f>
        <v>1903152.0000000019</v>
      </c>
      <c r="O7" s="26">
        <f>I7-L7</f>
        <v>2923204.3200000003</v>
      </c>
      <c r="P7" s="28">
        <f>IF(I7&gt;0,L7/I7,0)</f>
        <v>0.7221176935156233</v>
      </c>
      <c r="Q7" s="28">
        <f>IF(I7&gt;0,K7/I7,0)</f>
        <v>0.8064097273112787</v>
      </c>
      <c r="R7" s="24" t="str">
        <f>IF(I7&lt;=0,"Sin PIM",IF(L7/I7&gt;=Config!$B$5,"Ejecutado",IF(K7/I7&gt;=Config!$B$6,"Mayormente comprometido",IF(K7&gt;0.005,"Parcialmente comprometido",IF(J7&gt;0.005,"Solo certificado","Sin certificar")))))</f>
        <v>Mayormente comprometido</v>
      </c>
      <c r="S7" s="24" t="str">
        <f>IF(R7="Sin certificar","Disponible",IF(R7="Solo certificado","Posible",IF(R7="Parcialmente comprometido","Parcial",IF(R7="Mayormente comprometido","Difícil",IF(R7="Ejecutado","No usar","Sin PIM")))))</f>
        <v>Difícil</v>
      </c>
      <c r="T7" s="26">
        <f>IF(OR(I7&lt;=0,R7="Ejecutado"),0,MAX(0,I7-K7))</f>
        <v>2036487.7800000012</v>
      </c>
      <c r="U7" s="24" t="s">
        <v>75</v>
      </c>
      <c r="V7" s="25">
        <v>2546207</v>
      </c>
      <c r="W7" s="25">
        <v>638376</v>
      </c>
      <c r="X7" s="25">
        <v>2568939</v>
      </c>
      <c r="Y7" s="25">
        <v>0</v>
      </c>
      <c r="Z7" s="24" t="s">
        <v>63</v>
      </c>
      <c r="AA7" s="24" t="s">
        <v>63</v>
      </c>
      <c r="AB7" s="24" t="s">
        <v>63</v>
      </c>
      <c r="AC7" s="24" t="s">
        <v>64</v>
      </c>
    </row>
    <row r="8" spans="1:29">
      <c r="A8" s="24" t="s">
        <v>54</v>
      </c>
      <c r="B8" s="24" t="s">
        <v>55</v>
      </c>
      <c r="C8" s="24" t="s">
        <v>56</v>
      </c>
      <c r="D8" s="24" t="s">
        <v>57</v>
      </c>
      <c r="E8" s="24" t="s">
        <v>71</v>
      </c>
      <c r="F8" s="24" t="s">
        <v>76</v>
      </c>
      <c r="G8" s="24" t="s">
        <v>77</v>
      </c>
      <c r="H8" s="27" t="s">
        <v>78</v>
      </c>
      <c r="I8" s="25">
        <v>10208307</v>
      </c>
      <c r="J8" s="25">
        <v>9968469.620000001</v>
      </c>
      <c r="K8" s="25">
        <v>9948238.340000002</v>
      </c>
      <c r="L8" s="25">
        <v>6440724.480000001</v>
      </c>
      <c r="M8" s="26">
        <f>I8-J8</f>
        <v>239837.37999999896</v>
      </c>
      <c r="N8" s="26">
        <f>J8-K8</f>
        <v>20231.27999999933</v>
      </c>
      <c r="O8" s="26">
        <f>I8-L8</f>
        <v>3767582.5199999986</v>
      </c>
      <c r="P8" s="28">
        <f>IF(I8&gt;0,L8/I8,0)</f>
        <v>0.6309297398677373</v>
      </c>
      <c r="Q8" s="28">
        <f>IF(I8&gt;0,K8/I8,0)</f>
        <v>0.9745238206492028</v>
      </c>
      <c r="R8" s="24" t="str">
        <f>IF(I8&lt;=0,"Sin PIM",IF(L8/I8&gt;=Config!$B$5,"Ejecutado",IF(K8/I8&gt;=Config!$B$6,"Mayormente comprometido",IF(K8&gt;0.005,"Parcialmente comprometido",IF(J8&gt;0.005,"Solo certificado","Sin certificar")))))</f>
        <v>Mayormente comprometido</v>
      </c>
      <c r="S8" s="24" t="str">
        <f>IF(R8="Sin certificar","Disponible",IF(R8="Solo certificado","Posible",IF(R8="Parcialmente comprometido","Parcial",IF(R8="Mayormente comprometido","Difícil",IF(R8="Ejecutado","No usar","Sin PIM")))))</f>
        <v>Difícil</v>
      </c>
      <c r="T8" s="26">
        <f>IF(OR(I8&lt;=0,R8="Ejecutado"),0,MAX(0,I8-K8))</f>
        <v>260068.6599999983</v>
      </c>
      <c r="U8" s="24" t="s">
        <v>79</v>
      </c>
      <c r="V8" s="25">
        <v>5597990</v>
      </c>
      <c r="W8" s="25">
        <v>1254673</v>
      </c>
      <c r="X8" s="25">
        <v>2493351</v>
      </c>
      <c r="Y8" s="25">
        <v>0</v>
      </c>
      <c r="Z8" s="24" t="s">
        <v>63</v>
      </c>
      <c r="AA8" s="24" t="s">
        <v>63</v>
      </c>
      <c r="AB8" s="24" t="s">
        <v>63</v>
      </c>
      <c r="AC8" s="24" t="s">
        <v>64</v>
      </c>
    </row>
    <row r="9" spans="1:29">
      <c r="A9" s="24" t="s">
        <v>54</v>
      </c>
      <c r="B9" s="24" t="s">
        <v>55</v>
      </c>
      <c r="C9" s="24" t="s">
        <v>56</v>
      </c>
      <c r="D9" s="24" t="s">
        <v>57</v>
      </c>
      <c r="E9" s="24" t="s">
        <v>71</v>
      </c>
      <c r="F9" s="24" t="s">
        <v>80</v>
      </c>
      <c r="G9" s="24" t="s">
        <v>81</v>
      </c>
      <c r="H9" s="27" t="s">
        <v>82</v>
      </c>
      <c r="I9" s="25">
        <v>11203165</v>
      </c>
      <c r="J9" s="25">
        <v>10889668.59</v>
      </c>
      <c r="K9" s="25">
        <v>8721489.870000001</v>
      </c>
      <c r="L9" s="25">
        <v>6395813.340000001</v>
      </c>
      <c r="M9" s="26">
        <f>I9-J9</f>
        <v>313496.41000000015</v>
      </c>
      <c r="N9" s="26">
        <f>J9-K9</f>
        <v>2168178.719999999</v>
      </c>
      <c r="O9" s="26">
        <f>I9-L9</f>
        <v>4807351.659999999</v>
      </c>
      <c r="P9" s="28">
        <f>IF(I9&gt;0,L9/I9,0)</f>
        <v>0.5708934341322297</v>
      </c>
      <c r="Q9" s="28">
        <f>IF(I9&gt;0,K9/I9,0)</f>
        <v>0.77848446131071</v>
      </c>
      <c r="R9" s="24" t="str">
        <f>IF(I9&lt;=0,"Sin PIM",IF(L9/I9&gt;=Config!$B$5,"Ejecutado",IF(K9/I9&gt;=Config!$B$6,"Mayormente comprometido",IF(K9&gt;0.005,"Parcialmente comprometido",IF(J9&gt;0.005,"Solo certificado","Sin certificar")))))</f>
        <v>Mayormente comprometido</v>
      </c>
      <c r="S9" s="24" t="str">
        <f>IF(R9="Sin certificar","Disponible",IF(R9="Solo certificado","Posible",IF(R9="Parcialmente comprometido","Parcial",IF(R9="Mayormente comprometido","Difícil",IF(R9="Ejecutado","No usar","Sin PIM")))))</f>
        <v>Difícil</v>
      </c>
      <c r="T9" s="26">
        <f>IF(OR(I9&lt;=0,R9="Ejecutado"),0,MAX(0,I9-K9))</f>
        <v>2481675.129999999</v>
      </c>
      <c r="U9" s="24" t="s">
        <v>79</v>
      </c>
      <c r="V9" s="25">
        <v>4902849</v>
      </c>
      <c r="W9" s="25">
        <v>60001</v>
      </c>
      <c r="X9" s="25">
        <v>2722594</v>
      </c>
      <c r="Y9" s="25">
        <v>0</v>
      </c>
      <c r="Z9" s="24" t="s">
        <v>63</v>
      </c>
      <c r="AA9" s="24" t="s">
        <v>63</v>
      </c>
      <c r="AB9" s="24" t="s">
        <v>63</v>
      </c>
      <c r="AC9" s="24" t="s">
        <v>64</v>
      </c>
    </row>
    <row r="10" spans="1:29">
      <c r="A10" s="24" t="s">
        <v>54</v>
      </c>
      <c r="B10" s="24" t="s">
        <v>55</v>
      </c>
      <c r="C10" s="24" t="s">
        <v>56</v>
      </c>
      <c r="D10" s="24" t="s">
        <v>57</v>
      </c>
      <c r="E10" s="24" t="s">
        <v>71</v>
      </c>
      <c r="F10" s="24" t="s">
        <v>83</v>
      </c>
      <c r="G10" s="24" t="s">
        <v>84</v>
      </c>
      <c r="H10" s="27" t="s">
        <v>85</v>
      </c>
      <c r="I10" s="25">
        <v>2079431</v>
      </c>
      <c r="J10" s="25">
        <v>1994037.46</v>
      </c>
      <c r="K10" s="25">
        <v>1986740.46</v>
      </c>
      <c r="L10" s="25">
        <v>1946470.94</v>
      </c>
      <c r="M10" s="26">
        <f>I10-J10</f>
        <v>85393.54000000004</v>
      </c>
      <c r="N10" s="26">
        <f>J10-K10</f>
        <v>7297.0</v>
      </c>
      <c r="O10" s="26">
        <f>I10-L10</f>
        <v>132960.0600000003</v>
      </c>
      <c r="P10" s="28">
        <f>IF(I10&gt;0,L10/I10,0)</f>
        <v>0.9360594027885512</v>
      </c>
      <c r="Q10" s="28">
        <f>IF(I10&gt;0,K10/I10,0)</f>
        <v>0.9554250465632185</v>
      </c>
      <c r="R10" s="24" t="str">
        <f>IF(I10&lt;=0,"Sin PIM",IF(L10/I10&gt;=Config!$B$5,"Ejecutado",IF(K10/I10&gt;=Config!$B$6,"Mayormente comprometido",IF(K10&gt;0.005,"Parcialmente comprometido",IF(J10&gt;0.005,"Solo certificado","Sin certificar")))))</f>
        <v>Ejecutado</v>
      </c>
      <c r="S10" s="24" t="str">
        <f>IF(R10="Sin certificar","Disponible",IF(R10="Solo certificado","Posible",IF(R10="Parcialmente comprometido","Parcial",IF(R10="Mayormente comprometido","Difícil",IF(R10="Ejecutado","No usar","Sin PIM")))))</f>
        <v>No usar</v>
      </c>
      <c r="T10" s="26">
        <f>IF(OR(I10&lt;=0,R10="Ejecutado"),0,MAX(0,I10-K10))</f>
        <v>0.0</v>
      </c>
      <c r="U10" s="24" t="s">
        <v>79</v>
      </c>
      <c r="V10" s="25">
        <v>298669</v>
      </c>
      <c r="W10" s="25">
        <v>349669</v>
      </c>
      <c r="X10" s="25">
        <v>84977</v>
      </c>
      <c r="Y10" s="25">
        <v>0</v>
      </c>
      <c r="Z10" s="24" t="s">
        <v>63</v>
      </c>
      <c r="AA10" s="24" t="s">
        <v>63</v>
      </c>
      <c r="AB10" s="24" t="s">
        <v>63</v>
      </c>
      <c r="AC10" s="24" t="s">
        <v>64</v>
      </c>
    </row>
    <row r="11" spans="1:29">
      <c r="A11" s="24" t="s">
        <v>54</v>
      </c>
      <c r="B11" s="24" t="s">
        <v>55</v>
      </c>
      <c r="C11" s="24" t="s">
        <v>56</v>
      </c>
      <c r="D11" s="24" t="s">
        <v>57</v>
      </c>
      <c r="E11" s="24" t="s">
        <v>71</v>
      </c>
      <c r="F11" s="24" t="s">
        <v>86</v>
      </c>
      <c r="G11" s="24" t="s">
        <v>87</v>
      </c>
      <c r="H11" s="27" t="s">
        <v>88</v>
      </c>
      <c r="I11" s="25">
        <v>1425006</v>
      </c>
      <c r="J11" s="25">
        <v>1239788.9</v>
      </c>
      <c r="K11" s="25">
        <v>1239288.9</v>
      </c>
      <c r="L11" s="25">
        <v>1170436.98</v>
      </c>
      <c r="M11" s="26">
        <f>I11-J11</f>
        <v>185217.1000000001</v>
      </c>
      <c r="N11" s="26">
        <f>J11-K11</f>
        <v>500.0</v>
      </c>
      <c r="O11" s="26">
        <f>I11-L11</f>
        <v>254569.02000000002</v>
      </c>
      <c r="P11" s="28">
        <f>IF(I11&gt;0,L11/I11,0)</f>
        <v>0.8213558258702068</v>
      </c>
      <c r="Q11" s="28">
        <f>IF(I11&gt;0,K11/I11,0)</f>
        <v>0.8696727592725925</v>
      </c>
      <c r="R11" s="24" t="str">
        <f>IF(I11&lt;=0,"Sin PIM",IF(L11/I11&gt;=Config!$B$5,"Ejecutado",IF(K11/I11&gt;=Config!$B$6,"Mayormente comprometido",IF(K11&gt;0.005,"Parcialmente comprometido",IF(J11&gt;0.005,"Solo certificado","Sin certificar")))))</f>
        <v>Mayormente comprometido</v>
      </c>
      <c r="S11" s="24" t="str">
        <f>IF(R11="Sin certificar","Disponible",IF(R11="Solo certificado","Posible",IF(R11="Parcialmente comprometido","Parcial",IF(R11="Mayormente comprometido","Difícil",IF(R11="Ejecutado","No usar","Sin PIM")))))</f>
        <v>Difícil</v>
      </c>
      <c r="T11" s="26">
        <f>IF(OR(I11&lt;=0,R11="Ejecutado"),0,MAX(0,I11-K11))</f>
        <v>185717.1000000001</v>
      </c>
      <c r="U11" s="24" t="s">
        <v>79</v>
      </c>
      <c r="V11" s="25">
        <v>1122019</v>
      </c>
      <c r="W11" s="25">
        <v>0</v>
      </c>
      <c r="X11" s="25">
        <v>32869</v>
      </c>
      <c r="Y11" s="25">
        <v>0</v>
      </c>
      <c r="Z11" s="24" t="s">
        <v>63</v>
      </c>
      <c r="AA11" s="24" t="s">
        <v>63</v>
      </c>
      <c r="AB11" s="24" t="s">
        <v>63</v>
      </c>
      <c r="AC11" s="24" t="s">
        <v>89</v>
      </c>
    </row>
    <row r="12" spans="1:29">
      <c r="A12" s="24" t="s">
        <v>54</v>
      </c>
      <c r="B12" s="24" t="s">
        <v>55</v>
      </c>
      <c r="C12" s="24" t="s">
        <v>56</v>
      </c>
      <c r="D12" s="24" t="s">
        <v>57</v>
      </c>
      <c r="E12" s="24" t="s">
        <v>71</v>
      </c>
      <c r="F12" s="24" t="s">
        <v>90</v>
      </c>
      <c r="G12" s="24" t="s">
        <v>91</v>
      </c>
      <c r="H12" s="27" t="s">
        <v>92</v>
      </c>
      <c r="I12" s="25">
        <v>9222405</v>
      </c>
      <c r="J12" s="25">
        <v>9003232.529999999</v>
      </c>
      <c r="K12" s="25">
        <v>6841617.31</v>
      </c>
      <c r="L12" s="25">
        <v>5421356.61</v>
      </c>
      <c r="M12" s="26">
        <f>I12-J12</f>
        <v>219172.47000000067</v>
      </c>
      <c r="N12" s="26">
        <f>J12-K12</f>
        <v>2161615.2199999997</v>
      </c>
      <c r="O12" s="26">
        <f>I12-L12</f>
        <v>3801048.3899999997</v>
      </c>
      <c r="P12" s="28">
        <f>IF(I12&gt;0,L12/I12,0)</f>
        <v>0.5878462949740334</v>
      </c>
      <c r="Q12" s="28">
        <f>IF(I12&gt;0,K12/I12,0)</f>
        <v>0.7418474150723157</v>
      </c>
      <c r="R12" s="24" t="str">
        <f>IF(I12&lt;=0,"Sin PIM",IF(L12/I12&gt;=Config!$B$5,"Ejecutado",IF(K12/I12&gt;=Config!$B$6,"Mayormente comprometido",IF(K12&gt;0.005,"Parcialmente comprometido",IF(J12&gt;0.005,"Solo certificado","Sin certificar")))))</f>
        <v>Mayormente comprometido</v>
      </c>
      <c r="S12" s="24" t="str">
        <f>IF(R12="Sin certificar","Disponible",IF(R12="Solo certificado","Posible",IF(R12="Parcialmente comprometido","Parcial",IF(R12="Mayormente comprometido","Difícil",IF(R12="Ejecutado","No usar","Sin PIM")))))</f>
        <v>Difícil</v>
      </c>
      <c r="T12" s="26">
        <f>IF(OR(I12&lt;=0,R12="Ejecutado"),0,MAX(0,I12-K12))</f>
        <v>2380787.6900000004</v>
      </c>
      <c r="U12" s="24" t="s">
        <v>79</v>
      </c>
      <c r="V12" s="25">
        <v>2595053</v>
      </c>
      <c r="W12" s="25">
        <v>255676</v>
      </c>
      <c r="X12" s="25">
        <v>1817178</v>
      </c>
      <c r="Y12" s="25">
        <v>0</v>
      </c>
      <c r="Z12" s="24" t="s">
        <v>63</v>
      </c>
      <c r="AA12" s="24" t="s">
        <v>63</v>
      </c>
      <c r="AB12" s="24" t="s">
        <v>63</v>
      </c>
      <c r="AC12" s="24" t="s">
        <v>89</v>
      </c>
    </row>
    <row r="13" spans="1:29">
      <c r="A13" s="24" t="s">
        <v>54</v>
      </c>
      <c r="B13" s="24" t="s">
        <v>55</v>
      </c>
      <c r="C13" s="24" t="s">
        <v>56</v>
      </c>
      <c r="D13" s="24" t="s">
        <v>57</v>
      </c>
      <c r="E13" s="24" t="s">
        <v>71</v>
      </c>
      <c r="F13" s="24" t="s">
        <v>93</v>
      </c>
      <c r="G13" s="24" t="s">
        <v>94</v>
      </c>
      <c r="H13" s="27" t="s">
        <v>95</v>
      </c>
      <c r="I13" s="25">
        <v>5194033</v>
      </c>
      <c r="J13" s="25">
        <v>5106124.77</v>
      </c>
      <c r="K13" s="25">
        <v>4283978.64</v>
      </c>
      <c r="L13" s="25">
        <v>1941765.29</v>
      </c>
      <c r="M13" s="26">
        <f>I13-J13</f>
        <v>87908.23000000045</v>
      </c>
      <c r="N13" s="26">
        <f>J13-K13</f>
        <v>822146.1299999999</v>
      </c>
      <c r="O13" s="26">
        <f>I13-L13</f>
        <v>3252267.71</v>
      </c>
      <c r="P13" s="28">
        <f>IF(I13&gt;0,L13/I13,0)</f>
        <v>0.3738453895075368</v>
      </c>
      <c r="Q13" s="28">
        <f>IF(I13&gt;0,K13/I13,0)</f>
        <v>0.824788490947208</v>
      </c>
      <c r="R13" s="24" t="str">
        <f>IF(I13&lt;=0,"Sin PIM",IF(L13/I13&gt;=Config!$B$5,"Ejecutado",IF(K13/I13&gt;=Config!$B$6,"Mayormente comprometido",IF(K13&gt;0.005,"Parcialmente comprometido",IF(J13&gt;0.005,"Solo certificado","Sin certificar")))))</f>
        <v>Mayormente comprometido</v>
      </c>
      <c r="S13" s="24" t="str">
        <f>IF(R13="Sin certificar","Disponible",IF(R13="Solo certificado","Posible",IF(R13="Parcialmente comprometido","Parcial",IF(R13="Mayormente comprometido","Difícil",IF(R13="Ejecutado","No usar","Sin PIM")))))</f>
        <v>Difícil</v>
      </c>
      <c r="T13" s="26">
        <f>IF(OR(I13&lt;=0,R13="Ejecutado"),0,MAX(0,I13-K13))</f>
        <v>910054.3600000003</v>
      </c>
      <c r="U13" s="24" t="s">
        <v>96</v>
      </c>
      <c r="V13" s="25">
        <v>5194033</v>
      </c>
      <c r="W13" s="25">
        <v>6569076</v>
      </c>
      <c r="X13" s="25">
        <v>1</v>
      </c>
      <c r="Y13" s="25">
        <v>0</v>
      </c>
      <c r="Z13" s="24" t="s">
        <v>63</v>
      </c>
      <c r="AA13" s="24" t="s">
        <v>63</v>
      </c>
      <c r="AB13" s="24" t="s">
        <v>63</v>
      </c>
      <c r="AC13" s="24" t="s">
        <v>70</v>
      </c>
    </row>
    <row r="14" spans="1:29">
      <c r="A14" s="24" t="s">
        <v>54</v>
      </c>
      <c r="B14" s="24" t="s">
        <v>55</v>
      </c>
      <c r="C14" s="24" t="s">
        <v>56</v>
      </c>
      <c r="D14" s="24" t="s">
        <v>57</v>
      </c>
      <c r="E14" s="24" t="s">
        <v>71</v>
      </c>
      <c r="F14" s="24" t="s">
        <v>97</v>
      </c>
      <c r="G14" s="24" t="s">
        <v>98</v>
      </c>
      <c r="H14" s="27" t="s">
        <v>99</v>
      </c>
      <c r="I14" s="25">
        <v>3656326</v>
      </c>
      <c r="J14" s="25">
        <v>3383177.1</v>
      </c>
      <c r="K14" s="25">
        <v>3097239.47</v>
      </c>
      <c r="L14" s="25">
        <v>2126125.38</v>
      </c>
      <c r="M14" s="26">
        <f>I14-J14</f>
        <v>273148.9000000004</v>
      </c>
      <c r="N14" s="26">
        <f>J14-K14</f>
        <v>285937.6299999999</v>
      </c>
      <c r="O14" s="26">
        <f>I14-L14</f>
        <v>1530200.62</v>
      </c>
      <c r="P14" s="28">
        <f>IF(I14&gt;0,L14/I14,0)</f>
        <v>0.5814922903482895</v>
      </c>
      <c r="Q14" s="28">
        <f>IF(I14&gt;0,K14/I14,0)</f>
        <v>0.8470906232102935</v>
      </c>
      <c r="R14" s="24" t="str">
        <f>IF(I14&lt;=0,"Sin PIM",IF(L14/I14&gt;=Config!$B$5,"Ejecutado",IF(K14/I14&gt;=Config!$B$6,"Mayormente comprometido",IF(K14&gt;0.005,"Parcialmente comprometido",IF(J14&gt;0.005,"Solo certificado","Sin certificar")))))</f>
        <v>Mayormente comprometido</v>
      </c>
      <c r="S14" s="24" t="str">
        <f>IF(R14="Sin certificar","Disponible",IF(R14="Solo certificado","Posible",IF(R14="Parcialmente comprometido","Parcial",IF(R14="Mayormente comprometido","Difícil",IF(R14="Ejecutado","No usar","Sin PIM")))))</f>
        <v>Difícil</v>
      </c>
      <c r="T14" s="26">
        <f>IF(OR(I14&lt;=0,R14="Ejecutado"),0,MAX(0,I14-K14))</f>
        <v>559086.5300000003</v>
      </c>
      <c r="U14" s="24" t="s">
        <v>100</v>
      </c>
      <c r="V14" s="25">
        <v>2278000</v>
      </c>
      <c r="W14" s="25">
        <v>1683936</v>
      </c>
      <c r="X14" s="25">
        <v>1459275</v>
      </c>
      <c r="Y14" s="25">
        <v>0</v>
      </c>
      <c r="Z14" s="24" t="s">
        <v>63</v>
      </c>
      <c r="AA14" s="24" t="s">
        <v>63</v>
      </c>
      <c r="AB14" s="24" t="s">
        <v>63</v>
      </c>
      <c r="AC14" s="24" t="s">
        <v>101</v>
      </c>
    </row>
    <row r="15" spans="1:29">
      <c r="A15" s="24" t="s">
        <v>54</v>
      </c>
      <c r="B15" s="24" t="s">
        <v>55</v>
      </c>
      <c r="C15" s="24" t="s">
        <v>56</v>
      </c>
      <c r="D15" s="24" t="s">
        <v>57</v>
      </c>
      <c r="E15" s="24" t="s">
        <v>71</v>
      </c>
      <c r="F15" s="24" t="s">
        <v>102</v>
      </c>
      <c r="G15" s="24" t="s">
        <v>103</v>
      </c>
      <c r="H15" s="27" t="s">
        <v>104</v>
      </c>
      <c r="I15" s="25">
        <v>2000000</v>
      </c>
      <c r="J15" s="25">
        <v>2000000</v>
      </c>
      <c r="K15" s="25">
        <v>0</v>
      </c>
      <c r="L15" s="25">
        <v>0</v>
      </c>
      <c r="M15" s="26">
        <f>I15-J15</f>
        <v>0.0</v>
      </c>
      <c r="N15" s="26">
        <f>J15-K15</f>
        <v>2000000.0</v>
      </c>
      <c r="O15" s="26">
        <f>I15-L15</f>
        <v>2000000.0</v>
      </c>
      <c r="P15" s="28">
        <f>IF(I15&gt;0,L15/I15,0)</f>
        <v>0.0</v>
      </c>
      <c r="Q15" s="28">
        <f>IF(I15&gt;0,K15/I15,0)</f>
        <v>0.0</v>
      </c>
      <c r="R15" s="24" t="str">
        <f>IF(I15&lt;=0,"Sin PIM",IF(L15/I15&gt;=Config!$B$5,"Ejecutado",IF(K15/I15&gt;=Config!$B$6,"Mayormente comprometido",IF(K15&gt;0.005,"Parcialmente comprometido",IF(J15&gt;0.005,"Solo certificado","Sin certificar")))))</f>
        <v>Solo certificado</v>
      </c>
      <c r="S15" s="24" t="str">
        <f>IF(R15="Sin certificar","Disponible",IF(R15="Solo certificado","Posible",IF(R15="Parcialmente comprometido","Parcial",IF(R15="Mayormente comprometido","Difícil",IF(R15="Ejecutado","No usar","Sin PIM")))))</f>
        <v>Posible</v>
      </c>
      <c r="T15" s="26">
        <f>IF(OR(I15&lt;=0,R15="Ejecutado"),0,MAX(0,I15-K15))</f>
        <v>2000000.0</v>
      </c>
      <c r="U15" s="24" t="s">
        <v>105</v>
      </c>
      <c r="V15" s="25">
        <v>12000000</v>
      </c>
      <c r="W15" s="25">
        <v>14558623</v>
      </c>
      <c r="X15" s="25">
        <v>14894208</v>
      </c>
      <c r="Y15" s="25">
        <v>10928387</v>
      </c>
      <c r="Z15" s="24" t="s">
        <v>63</v>
      </c>
      <c r="AA15" s="24" t="s">
        <v>63</v>
      </c>
      <c r="AB15" s="24" t="s">
        <v>63</v>
      </c>
      <c r="AC15" s="24" t="s">
        <v>101</v>
      </c>
    </row>
    <row r="16" spans="1:29">
      <c r="A16" s="24" t="s">
        <v>54</v>
      </c>
      <c r="B16" s="24" t="s">
        <v>55</v>
      </c>
      <c r="C16" s="24" t="s">
        <v>56</v>
      </c>
      <c r="D16" s="24" t="s">
        <v>57</v>
      </c>
      <c r="E16" s="24" t="s">
        <v>71</v>
      </c>
      <c r="F16" s="24" t="s">
        <v>106</v>
      </c>
      <c r="G16" s="24" t="s">
        <v>107</v>
      </c>
      <c r="H16" s="27" t="s">
        <v>108</v>
      </c>
      <c r="I16" s="25">
        <v>0</v>
      </c>
      <c r="J16" s="25">
        <v>0</v>
      </c>
      <c r="K16" s="25">
        <v>0</v>
      </c>
      <c r="L16" s="25">
        <v>0</v>
      </c>
      <c r="M16" s="26">
        <f>I16-J16</f>
        <v>0.0</v>
      </c>
      <c r="N16" s="26">
        <f>J16-K16</f>
        <v>0.0</v>
      </c>
      <c r="O16" s="26">
        <f>I16-L16</f>
        <v>0.0</v>
      </c>
      <c r="P16" s="28">
        <f>IF(I16&gt;0,L16/I16,0)</f>
        <v>0</v>
      </c>
      <c r="Q16" s="28">
        <f>IF(I16&gt;0,K16/I16,0)</f>
        <v>0</v>
      </c>
      <c r="R16" s="24" t="str">
        <f>IF(I16&lt;=0,"Sin PIM",IF(L16/I16&gt;=Config!$B$5,"Ejecutado",IF(K16/I16&gt;=Config!$B$6,"Mayormente comprometido",IF(K16&gt;0.005,"Parcialmente comprometido",IF(J16&gt;0.005,"Solo certificado","Sin certificar")))))</f>
        <v>Sin PIM</v>
      </c>
      <c r="S16" s="24" t="str">
        <f>IF(R16="Sin certificar","Disponible",IF(R16="Solo certificado","Posible",IF(R16="Parcialmente comprometido","Parcial",IF(R16="Mayormente comprometido","Difícil",IF(R16="Ejecutado","No usar","Sin PIM")))))</f>
        <v>Sin PIM</v>
      </c>
      <c r="T16" s="26">
        <f>IF(OR(I16&lt;=0,R16="Ejecutado"),0,MAX(0,I16-K16))</f>
        <v>0.0</v>
      </c>
      <c r="U16" s="24" t="s">
        <v>105</v>
      </c>
      <c r="V16" s="25">
        <v>100000</v>
      </c>
      <c r="W16" s="25">
        <v>1234564</v>
      </c>
      <c r="X16" s="25">
        <v>0</v>
      </c>
      <c r="Y16" s="25">
        <v>3335545</v>
      </c>
      <c r="Z16" s="24" t="s">
        <v>63</v>
      </c>
      <c r="AA16" s="24" t="s">
        <v>63</v>
      </c>
      <c r="AB16" s="24" t="s">
        <v>63</v>
      </c>
      <c r="AC16" s="24" t="s">
        <v>101</v>
      </c>
    </row>
    <row r="17" spans="1:29">
      <c r="A17" s="24" t="s">
        <v>54</v>
      </c>
      <c r="B17" s="24" t="s">
        <v>55</v>
      </c>
      <c r="C17" s="24" t="s">
        <v>56</v>
      </c>
      <c r="D17" s="24" t="s">
        <v>57</v>
      </c>
      <c r="E17" s="24" t="s">
        <v>71</v>
      </c>
      <c r="F17" s="24" t="s">
        <v>109</v>
      </c>
      <c r="G17" s="24" t="s">
        <v>110</v>
      </c>
      <c r="H17" s="27" t="s">
        <v>111</v>
      </c>
      <c r="I17" s="25">
        <v>1861270</v>
      </c>
      <c r="J17" s="25">
        <v>1466941.41</v>
      </c>
      <c r="K17" s="25">
        <v>1451566.41</v>
      </c>
      <c r="L17" s="25">
        <v>1164545.37</v>
      </c>
      <c r="M17" s="26">
        <f>I17-J17</f>
        <v>394328.58999999985</v>
      </c>
      <c r="N17" s="26">
        <f>J17-K17</f>
        <v>15375.0</v>
      </c>
      <c r="O17" s="26">
        <f>I17-L17</f>
        <v>696724.6299999999</v>
      </c>
      <c r="P17" s="28">
        <f>IF(I17&gt;0,L17/I17,0)</f>
        <v>0.6256724548292296</v>
      </c>
      <c r="Q17" s="28">
        <f>IF(I17&gt;0,K17/I17,0)</f>
        <v>0.779879549984688</v>
      </c>
      <c r="R17" s="24" t="str">
        <f>IF(I17&lt;=0,"Sin PIM",IF(L17/I17&gt;=Config!$B$5,"Ejecutado",IF(K17/I17&gt;=Config!$B$6,"Mayormente comprometido",IF(K17&gt;0.005,"Parcialmente comprometido",IF(J17&gt;0.005,"Solo certificado","Sin certificar")))))</f>
        <v>Mayormente comprometido</v>
      </c>
      <c r="S17" s="24" t="str">
        <f>IF(R17="Sin certificar","Disponible",IF(R17="Solo certificado","Posible",IF(R17="Parcialmente comprometido","Parcial",IF(R17="Mayormente comprometido","Difícil",IF(R17="Ejecutado","No usar","Sin PIM")))))</f>
        <v>Difícil</v>
      </c>
      <c r="T17" s="26">
        <f>IF(OR(I17&lt;=0,R17="Ejecutado"),0,MAX(0,I17-K17))</f>
        <v>409703.58999999985</v>
      </c>
      <c r="U17" s="24" t="s">
        <v>112</v>
      </c>
      <c r="V17" s="25">
        <v>1410000</v>
      </c>
      <c r="W17" s="25">
        <v>833474</v>
      </c>
      <c r="X17" s="25">
        <v>0</v>
      </c>
      <c r="Y17" s="25">
        <v>0</v>
      </c>
      <c r="Z17" s="24" t="s">
        <v>63</v>
      </c>
      <c r="AA17" s="24" t="s">
        <v>63</v>
      </c>
      <c r="AB17" s="24" t="s">
        <v>63</v>
      </c>
      <c r="AC17" s="24" t="s">
        <v>101</v>
      </c>
    </row>
    <row r="18" spans="1:29">
      <c r="A18" s="24" t="s">
        <v>54</v>
      </c>
      <c r="B18" s="24" t="s">
        <v>55</v>
      </c>
      <c r="C18" s="24" t="s">
        <v>56</v>
      </c>
      <c r="D18" s="24" t="s">
        <v>57</v>
      </c>
      <c r="E18" s="24" t="s">
        <v>71</v>
      </c>
      <c r="F18" s="24" t="s">
        <v>113</v>
      </c>
      <c r="G18" s="24" t="s">
        <v>114</v>
      </c>
      <c r="H18" s="27" t="s">
        <v>115</v>
      </c>
      <c r="I18" s="25">
        <v>304829</v>
      </c>
      <c r="J18" s="25">
        <v>0</v>
      </c>
      <c r="K18" s="25">
        <v>0</v>
      </c>
      <c r="L18" s="25">
        <v>0</v>
      </c>
      <c r="M18" s="26">
        <f>I18-J18</f>
        <v>304829.0</v>
      </c>
      <c r="N18" s="26">
        <f>J18-K18</f>
        <v>0.0</v>
      </c>
      <c r="O18" s="26">
        <f>I18-L18</f>
        <v>304829.0</v>
      </c>
      <c r="P18" s="28">
        <f>IF(I18&gt;0,L18/I18,0)</f>
        <v>0.0</v>
      </c>
      <c r="Q18" s="28">
        <f>IF(I18&gt;0,K18/I18,0)</f>
        <v>0.0</v>
      </c>
      <c r="R18" s="24" t="str">
        <f>IF(I18&lt;=0,"Sin PIM",IF(L18/I18&gt;=Config!$B$5,"Ejecutado",IF(K18/I18&gt;=Config!$B$6,"Mayormente comprometido",IF(K18&gt;0.005,"Parcialmente comprometido",IF(J18&gt;0.005,"Solo certificado","Sin certificar")))))</f>
        <v>Sin certificar</v>
      </c>
      <c r="S18" s="24" t="str">
        <f>IF(R18="Sin certificar","Disponible",IF(R18="Solo certificado","Posible",IF(R18="Parcialmente comprometido","Parcial",IF(R18="Mayormente comprometido","Difícil",IF(R18="Ejecutado","No usar","Sin PIM")))))</f>
        <v>Disponible</v>
      </c>
      <c r="T18" s="26">
        <f>IF(OR(I18&lt;=0,R18="Ejecutado"),0,MAX(0,I18-K18))</f>
        <v>304829.0</v>
      </c>
      <c r="U18" s="24" t="s">
        <v>105</v>
      </c>
      <c r="V18" s="25">
        <v>100000</v>
      </c>
      <c r="W18" s="25">
        <v>0</v>
      </c>
      <c r="X18" s="25">
        <v>0</v>
      </c>
      <c r="Y18" s="25">
        <v>4317457</v>
      </c>
      <c r="Z18" s="24" t="s">
        <v>63</v>
      </c>
      <c r="AA18" s="24" t="s">
        <v>63</v>
      </c>
      <c r="AB18" s="24" t="s">
        <v>63</v>
      </c>
      <c r="AC18" s="24" t="s">
        <v>101</v>
      </c>
    </row>
    <row r="19" spans="1:29">
      <c r="A19" s="24" t="s">
        <v>54</v>
      </c>
      <c r="B19" s="24" t="s">
        <v>55</v>
      </c>
      <c r="C19" s="24" t="s">
        <v>56</v>
      </c>
      <c r="D19" s="24" t="s">
        <v>57</v>
      </c>
      <c r="E19" s="24" t="s">
        <v>71</v>
      </c>
      <c r="F19" s="24" t="s">
        <v>116</v>
      </c>
      <c r="G19" s="24" t="s">
        <v>117</v>
      </c>
      <c r="H19" s="27" t="s">
        <v>118</v>
      </c>
      <c r="I19" s="25">
        <v>677644</v>
      </c>
      <c r="J19" s="25">
        <v>607692.88</v>
      </c>
      <c r="K19" s="25">
        <v>331244.1</v>
      </c>
      <c r="L19" s="25">
        <v>131223.38</v>
      </c>
      <c r="M19" s="26">
        <f>I19-J19</f>
        <v>69951.12</v>
      </c>
      <c r="N19" s="26">
        <f>J19-K19</f>
        <v>276448.78</v>
      </c>
      <c r="O19" s="26">
        <f>I19-L19</f>
        <v>546420.62</v>
      </c>
      <c r="P19" s="28">
        <f>IF(I19&gt;0,L19/I19,0)</f>
        <v>0.19364648694594802</v>
      </c>
      <c r="Q19" s="28">
        <f>IF(I19&gt;0,K19/I19,0)</f>
        <v>0.4888172845919096</v>
      </c>
      <c r="R19" s="24" t="str">
        <f>IF(I19&lt;=0,"Sin PIM",IF(L19/I19&gt;=Config!$B$5,"Ejecutado",IF(K19/I19&gt;=Config!$B$6,"Mayormente comprometido",IF(K19&gt;0.005,"Parcialmente comprometido",IF(J19&gt;0.005,"Solo certificado","Sin certificar")))))</f>
        <v>Parcialmente comprometido</v>
      </c>
      <c r="S19" s="24" t="str">
        <f>IF(R19="Sin certificar","Disponible",IF(R19="Solo certificado","Posible",IF(R19="Parcialmente comprometido","Parcial",IF(R19="Mayormente comprometido","Difícil",IF(R19="Ejecutado","No usar","Sin PIM")))))</f>
        <v>Parcial</v>
      </c>
      <c r="T19" s="26">
        <f>IF(OR(I19&lt;=0,R19="Ejecutado"),0,MAX(0,I19-K19))</f>
        <v>346399.9</v>
      </c>
      <c r="U19" s="24" t="s">
        <v>119</v>
      </c>
      <c r="V19" s="24" t="s">
        <v>69</v>
      </c>
      <c r="W19" s="24" t="s">
        <v>69</v>
      </c>
      <c r="X19" s="24" t="s">
        <v>69</v>
      </c>
      <c r="Y19" s="24" t="s">
        <v>69</v>
      </c>
      <c r="Z19" s="24" t="s">
        <v>63</v>
      </c>
      <c r="AA19" s="24" t="s">
        <v>63</v>
      </c>
      <c r="AB19" s="24" t="s">
        <v>63</v>
      </c>
      <c r="AC19" s="24" t="s">
        <v>89</v>
      </c>
    </row>
    <row r="20" spans="1:29">
      <c r="A20" s="24" t="s">
        <v>54</v>
      </c>
      <c r="B20" s="24" t="s">
        <v>55</v>
      </c>
      <c r="C20" s="24" t="s">
        <v>56</v>
      </c>
      <c r="D20" s="24" t="s">
        <v>57</v>
      </c>
      <c r="E20" s="24" t="s">
        <v>71</v>
      </c>
      <c r="F20" s="24" t="s">
        <v>120</v>
      </c>
      <c r="G20" s="24" t="s">
        <v>121</v>
      </c>
      <c r="H20" s="27" t="s">
        <v>122</v>
      </c>
      <c r="I20" s="25">
        <v>492669</v>
      </c>
      <c r="J20" s="25">
        <v>464894</v>
      </c>
      <c r="K20" s="25">
        <v>413671.98</v>
      </c>
      <c r="L20" s="25">
        <v>211662.5</v>
      </c>
      <c r="M20" s="26">
        <f>I20-J20</f>
        <v>27775.0</v>
      </c>
      <c r="N20" s="26">
        <f>J20-K20</f>
        <v>51222.02000000002</v>
      </c>
      <c r="O20" s="26">
        <f>I20-L20</f>
        <v>281006.5</v>
      </c>
      <c r="P20" s="28">
        <f>IF(I20&gt;0,L20/I20,0)</f>
        <v>0.4296241492766949</v>
      </c>
      <c r="Q20" s="28">
        <f>IF(I20&gt;0,K20/I20,0)</f>
        <v>0.8396549813363536</v>
      </c>
      <c r="R20" s="24" t="str">
        <f>IF(I20&lt;=0,"Sin PIM",IF(L20/I20&gt;=Config!$B$5,"Ejecutado",IF(K20/I20&gt;=Config!$B$6,"Mayormente comprometido",IF(K20&gt;0.005,"Parcialmente comprometido",IF(J20&gt;0.005,"Solo certificado","Sin certificar")))))</f>
        <v>Mayormente comprometido</v>
      </c>
      <c r="S20" s="24" t="str">
        <f>IF(R20="Sin certificar","Disponible",IF(R20="Solo certificado","Posible",IF(R20="Parcialmente comprometido","Parcial",IF(R20="Mayormente comprometido","Difícil",IF(R20="Ejecutado","No usar","Sin PIM")))))</f>
        <v>Difícil</v>
      </c>
      <c r="T20" s="26">
        <f>IF(OR(I20&lt;=0,R20="Ejecutado"),0,MAX(0,I20-K20))</f>
        <v>78997.02000000002</v>
      </c>
      <c r="U20" s="24" t="s">
        <v>123</v>
      </c>
      <c r="V20" s="24" t="s">
        <v>69</v>
      </c>
      <c r="W20" s="24" t="s">
        <v>69</v>
      </c>
      <c r="X20" s="24" t="s">
        <v>69</v>
      </c>
      <c r="Y20" s="24" t="s">
        <v>69</v>
      </c>
      <c r="Z20" s="24" t="s">
        <v>63</v>
      </c>
      <c r="AA20" s="24" t="s">
        <v>63</v>
      </c>
      <c r="AB20" s="24" t="s">
        <v>63</v>
      </c>
      <c r="AC20" s="24" t="s">
        <v>124</v>
      </c>
    </row>
    <row r="21" spans="1:29">
      <c r="A21" s="24" t="s">
        <v>54</v>
      </c>
      <c r="B21" s="24" t="s">
        <v>55</v>
      </c>
      <c r="C21" s="24" t="s">
        <v>56</v>
      </c>
      <c r="D21" s="24" t="s">
        <v>57</v>
      </c>
      <c r="E21" s="24" t="s">
        <v>71</v>
      </c>
      <c r="F21" s="24" t="s">
        <v>125</v>
      </c>
      <c r="G21" s="24" t="s">
        <v>126</v>
      </c>
      <c r="H21" s="27" t="s">
        <v>127</v>
      </c>
      <c r="I21" s="25">
        <v>118539</v>
      </c>
      <c r="J21" s="25">
        <v>70562.13</v>
      </c>
      <c r="K21" s="25">
        <v>70562.13</v>
      </c>
      <c r="L21" s="25">
        <v>70562.13</v>
      </c>
      <c r="M21" s="26">
        <f>I21-J21</f>
        <v>47976.869999999995</v>
      </c>
      <c r="N21" s="26">
        <f>J21-K21</f>
        <v>0.0</v>
      </c>
      <c r="O21" s="26">
        <f>I21-L21</f>
        <v>47976.869999999995</v>
      </c>
      <c r="P21" s="28">
        <f>IF(I21&gt;0,L21/I21,0)</f>
        <v>0.5952651026244528</v>
      </c>
      <c r="Q21" s="28">
        <f>IF(I21&gt;0,K21/I21,0)</f>
        <v>0.5952651026244528</v>
      </c>
      <c r="R21" s="24" t="str">
        <f>IF(I21&lt;=0,"Sin PIM",IF(L21/I21&gt;=Config!$B$5,"Ejecutado",IF(K21/I21&gt;=Config!$B$6,"Mayormente comprometido",IF(K21&gt;0.005,"Parcialmente comprometido",IF(J21&gt;0.005,"Solo certificado","Sin certificar")))))</f>
        <v>Mayormente comprometido</v>
      </c>
      <c r="S21" s="24" t="str">
        <f>IF(R21="Sin certificar","Disponible",IF(R21="Solo certificado","Posible",IF(R21="Parcialmente comprometido","Parcial",IF(R21="Mayormente comprometido","Difícil",IF(R21="Ejecutado","No usar","Sin PIM")))))</f>
        <v>Difícil</v>
      </c>
      <c r="T21" s="26">
        <f>IF(OR(I21&lt;=0,R21="Ejecutado"),0,MAX(0,I21-K21))</f>
        <v>47976.869999999995</v>
      </c>
      <c r="U21" s="24" t="s">
        <v>128</v>
      </c>
      <c r="V21" s="25">
        <v>159740</v>
      </c>
      <c r="W21" s="25">
        <v>0</v>
      </c>
      <c r="X21" s="25">
        <v>0</v>
      </c>
      <c r="Y21" s="25">
        <v>0</v>
      </c>
      <c r="Z21" s="24" t="s">
        <v>63</v>
      </c>
      <c r="AA21" s="24" t="s">
        <v>63</v>
      </c>
      <c r="AB21" s="24" t="s">
        <v>63</v>
      </c>
      <c r="AC21" s="24" t="s">
        <v>129</v>
      </c>
    </row>
    <row r="22" spans="1:29">
      <c r="A22" s="24" t="s">
        <v>54</v>
      </c>
      <c r="B22" s="24" t="s">
        <v>55</v>
      </c>
      <c r="C22" s="24" t="s">
        <v>56</v>
      </c>
      <c r="D22" s="24" t="s">
        <v>57</v>
      </c>
      <c r="E22" s="24" t="s">
        <v>71</v>
      </c>
      <c r="F22" s="24" t="s">
        <v>130</v>
      </c>
      <c r="G22" s="24" t="s">
        <v>131</v>
      </c>
      <c r="H22" s="27" t="s">
        <v>132</v>
      </c>
      <c r="I22" s="25">
        <v>28700</v>
      </c>
      <c r="J22" s="25">
        <v>0</v>
      </c>
      <c r="K22" s="25">
        <v>0</v>
      </c>
      <c r="L22" s="25">
        <v>0</v>
      </c>
      <c r="M22" s="26">
        <f>I22-J22</f>
        <v>28700.0</v>
      </c>
      <c r="N22" s="26">
        <f>J22-K22</f>
        <v>0.0</v>
      </c>
      <c r="O22" s="26">
        <f>I22-L22</f>
        <v>28700.0</v>
      </c>
      <c r="P22" s="28">
        <f>IF(I22&gt;0,L22/I22,0)</f>
        <v>0.0</v>
      </c>
      <c r="Q22" s="28">
        <f>IF(I22&gt;0,K22/I22,0)</f>
        <v>0.0</v>
      </c>
      <c r="R22" s="24" t="str">
        <f>IF(I22&lt;=0,"Sin PIM",IF(L22/I22&gt;=Config!$B$5,"Ejecutado",IF(K22/I22&gt;=Config!$B$6,"Mayormente comprometido",IF(K22&gt;0.005,"Parcialmente comprometido",IF(J22&gt;0.005,"Solo certificado","Sin certificar")))))</f>
        <v>Sin certificar</v>
      </c>
      <c r="S22" s="24" t="str">
        <f>IF(R22="Sin certificar","Disponible",IF(R22="Solo certificado","Posible",IF(R22="Parcialmente comprometido","Parcial",IF(R22="Mayormente comprometido","Difícil",IF(R22="Ejecutado","No usar","Sin PIM")))))</f>
        <v>Disponible</v>
      </c>
      <c r="T22" s="26">
        <f>IF(OR(I22&lt;=0,R22="Ejecutado"),0,MAX(0,I22-K22))</f>
        <v>28700.0</v>
      </c>
      <c r="U22" s="24" t="s">
        <v>133</v>
      </c>
      <c r="V22" s="25">
        <v>539829</v>
      </c>
      <c r="W22" s="25">
        <v>504509</v>
      </c>
      <c r="X22" s="25">
        <v>0</v>
      </c>
      <c r="Y22" s="25">
        <v>0</v>
      </c>
      <c r="Z22" s="24" t="s">
        <v>63</v>
      </c>
      <c r="AA22" s="24" t="s">
        <v>63</v>
      </c>
      <c r="AB22" s="24" t="s">
        <v>63</v>
      </c>
      <c r="AC22" s="24" t="s">
        <v>63</v>
      </c>
    </row>
    <row r="23" spans="1:29">
      <c r="A23" s="24" t="s">
        <v>54</v>
      </c>
      <c r="B23" s="24" t="s">
        <v>55</v>
      </c>
      <c r="C23" s="24" t="s">
        <v>56</v>
      </c>
      <c r="D23" s="24" t="s">
        <v>57</v>
      </c>
      <c r="E23" s="24" t="s">
        <v>71</v>
      </c>
      <c r="F23" s="24" t="s">
        <v>130</v>
      </c>
      <c r="G23" s="24" t="s">
        <v>134</v>
      </c>
      <c r="H23" s="27" t="s">
        <v>132</v>
      </c>
      <c r="I23" s="25">
        <v>25000</v>
      </c>
      <c r="J23" s="25">
        <v>0</v>
      </c>
      <c r="K23" s="25">
        <v>0</v>
      </c>
      <c r="L23" s="25">
        <v>0</v>
      </c>
      <c r="M23" s="26">
        <f>I23-J23</f>
        <v>25000.0</v>
      </c>
      <c r="N23" s="26">
        <f>J23-K23</f>
        <v>0.0</v>
      </c>
      <c r="O23" s="26">
        <f>I23-L23</f>
        <v>25000.0</v>
      </c>
      <c r="P23" s="28">
        <f>IF(I23&gt;0,L23/I23,0)</f>
        <v>0.0</v>
      </c>
      <c r="Q23" s="28">
        <f>IF(I23&gt;0,K23/I23,0)</f>
        <v>0.0</v>
      </c>
      <c r="R23" s="24" t="str">
        <f>IF(I23&lt;=0,"Sin PIM",IF(L23/I23&gt;=Config!$B$5,"Ejecutado",IF(K23/I23&gt;=Config!$B$6,"Mayormente comprometido",IF(K23&gt;0.005,"Parcialmente comprometido",IF(J23&gt;0.005,"Solo certificado","Sin certificar")))))</f>
        <v>Sin certificar</v>
      </c>
      <c r="S23" s="24" t="str">
        <f>IF(R23="Sin certificar","Disponible",IF(R23="Solo certificado","Posible",IF(R23="Parcialmente comprometido","Parcial",IF(R23="Mayormente comprometido","Difícil",IF(R23="Ejecutado","No usar","Sin PIM")))))</f>
        <v>Disponible</v>
      </c>
      <c r="T23" s="26">
        <f>IF(OR(I23&lt;=0,R23="Ejecutado"),0,MAX(0,I23-K23))</f>
        <v>25000.0</v>
      </c>
      <c r="U23" s="24" t="s">
        <v>133</v>
      </c>
      <c r="V23" s="25">
        <v>539829</v>
      </c>
      <c r="W23" s="25">
        <v>504509</v>
      </c>
      <c r="X23" s="25">
        <v>0</v>
      </c>
      <c r="Y23" s="25">
        <v>0</v>
      </c>
      <c r="Z23" s="24" t="s">
        <v>63</v>
      </c>
      <c r="AA23" s="24" t="s">
        <v>63</v>
      </c>
      <c r="AB23" s="24" t="s">
        <v>63</v>
      </c>
      <c r="AC23" s="24" t="s">
        <v>63</v>
      </c>
    </row>
    <row r="24" spans="1:29">
      <c r="A24" s="24" t="s">
        <v>54</v>
      </c>
      <c r="B24" s="24" t="s">
        <v>55</v>
      </c>
      <c r="C24" s="24" t="s">
        <v>56</v>
      </c>
      <c r="D24" s="24" t="s">
        <v>57</v>
      </c>
      <c r="E24" s="24" t="s">
        <v>71</v>
      </c>
      <c r="F24" s="24" t="s">
        <v>135</v>
      </c>
      <c r="G24" s="24" t="s">
        <v>136</v>
      </c>
      <c r="H24" s="27" t="s">
        <v>137</v>
      </c>
      <c r="I24" s="25">
        <v>23560</v>
      </c>
      <c r="J24" s="25">
        <v>22650</v>
      </c>
      <c r="K24" s="25">
        <v>22650</v>
      </c>
      <c r="L24" s="25">
        <v>14282.09</v>
      </c>
      <c r="M24" s="26">
        <f>I24-J24</f>
        <v>910.0</v>
      </c>
      <c r="N24" s="26">
        <f>J24-K24</f>
        <v>0.0</v>
      </c>
      <c r="O24" s="26">
        <f>I24-L24</f>
        <v>9277.91</v>
      </c>
      <c r="P24" s="28">
        <f>IF(I24&gt;0,L24/I24,0)</f>
        <v>0.6062007640067911</v>
      </c>
      <c r="Q24" s="28">
        <f>IF(I24&gt;0,K24/I24,0)</f>
        <v>0.9613752122241087</v>
      </c>
      <c r="R24" s="24" t="str">
        <f>IF(I24&lt;=0,"Sin PIM",IF(L24/I24&gt;=Config!$B$5,"Ejecutado",IF(K24/I24&gt;=Config!$B$6,"Mayormente comprometido",IF(K24&gt;0.005,"Parcialmente comprometido",IF(J24&gt;0.005,"Solo certificado","Sin certificar")))))</f>
        <v>Mayormente comprometido</v>
      </c>
      <c r="S24" s="24" t="str">
        <f>IF(R24="Sin certificar","Disponible",IF(R24="Solo certificado","Posible",IF(R24="Parcialmente comprometido","Parcial",IF(R24="Mayormente comprometido","Difícil",IF(R24="Ejecutado","No usar","Sin PIM")))))</f>
        <v>Difícil</v>
      </c>
      <c r="T24" s="26">
        <f>IF(OR(I24&lt;=0,R24="Ejecutado"),0,MAX(0,I24-K24))</f>
        <v>910.0</v>
      </c>
      <c r="U24" s="24" t="s">
        <v>96</v>
      </c>
      <c r="V24" s="25">
        <v>23560</v>
      </c>
      <c r="W24" s="25">
        <v>27080</v>
      </c>
      <c r="X24" s="25">
        <v>0</v>
      </c>
      <c r="Y24" s="25">
        <v>0</v>
      </c>
      <c r="Z24" s="24" t="s">
        <v>63</v>
      </c>
      <c r="AA24" s="24" t="s">
        <v>63</v>
      </c>
      <c r="AB24" s="24" t="s">
        <v>63</v>
      </c>
      <c r="AC24" s="24" t="s">
        <v>129</v>
      </c>
    </row>
    <row r="25" spans="1:29">
      <c r="A25" s="24" t="s">
        <v>54</v>
      </c>
      <c r="B25" s="24" t="s">
        <v>55</v>
      </c>
      <c r="C25" s="24" t="s">
        <v>56</v>
      </c>
      <c r="D25" s="24" t="s">
        <v>57</v>
      </c>
      <c r="E25" s="24" t="s">
        <v>71</v>
      </c>
      <c r="F25" s="24" t="s">
        <v>138</v>
      </c>
      <c r="G25" s="24" t="s">
        <v>139</v>
      </c>
      <c r="H25" s="27" t="s">
        <v>140</v>
      </c>
      <c r="I25" s="25">
        <v>17714</v>
      </c>
      <c r="J25" s="25">
        <v>14228.68</v>
      </c>
      <c r="K25" s="25">
        <v>14228.68</v>
      </c>
      <c r="L25" s="25">
        <v>9749.799999999999</v>
      </c>
      <c r="M25" s="26">
        <f>I25-J25</f>
        <v>3485.3199999999997</v>
      </c>
      <c r="N25" s="26">
        <f>J25-K25</f>
        <v>0.0</v>
      </c>
      <c r="O25" s="26">
        <f>I25-L25</f>
        <v>7964.200000000001</v>
      </c>
      <c r="P25" s="28">
        <f>IF(I25&gt;0,L25/I25,0)</f>
        <v>0.5504008129163374</v>
      </c>
      <c r="Q25" s="28">
        <f>IF(I25&gt;0,K25/I25,0)</f>
        <v>0.8032448910466298</v>
      </c>
      <c r="R25" s="24" t="str">
        <f>IF(I25&lt;=0,"Sin PIM",IF(L25/I25&gt;=Config!$B$5,"Ejecutado",IF(K25/I25&gt;=Config!$B$6,"Mayormente comprometido",IF(K25&gt;0.005,"Parcialmente comprometido",IF(J25&gt;0.005,"Solo certificado","Sin certificar")))))</f>
        <v>Mayormente comprometido</v>
      </c>
      <c r="S25" s="24" t="str">
        <f>IF(R25="Sin certificar","Disponible",IF(R25="Solo certificado","Posible",IF(R25="Parcialmente comprometido","Parcial",IF(R25="Mayormente comprometido","Difícil",IF(R25="Ejecutado","No usar","Sin PIM")))))</f>
        <v>Difícil</v>
      </c>
      <c r="T25" s="26">
        <f>IF(OR(I25&lt;=0,R25="Ejecutado"),0,MAX(0,I25-K25))</f>
        <v>3485.3199999999997</v>
      </c>
      <c r="U25" s="24" t="s">
        <v>141</v>
      </c>
      <c r="V25" s="25">
        <v>13915</v>
      </c>
      <c r="W25" s="25">
        <v>0</v>
      </c>
      <c r="X25" s="25">
        <v>0</v>
      </c>
      <c r="Y25" s="25">
        <v>0</v>
      </c>
      <c r="Z25" s="24" t="s">
        <v>63</v>
      </c>
      <c r="AA25" s="24" t="s">
        <v>63</v>
      </c>
      <c r="AB25" s="24" t="s">
        <v>63</v>
      </c>
      <c r="AC25" s="24" t="s">
        <v>129</v>
      </c>
    </row>
    <row r="26" spans="1:29">
      <c r="A26" s="24" t="s">
        <v>54</v>
      </c>
      <c r="B26" s="24" t="s">
        <v>55</v>
      </c>
      <c r="C26" s="24" t="s">
        <v>56</v>
      </c>
      <c r="D26" s="24" t="s">
        <v>57</v>
      </c>
      <c r="E26" s="24" t="s">
        <v>71</v>
      </c>
      <c r="F26" s="24" t="s">
        <v>142</v>
      </c>
      <c r="G26" s="24" t="s">
        <v>143</v>
      </c>
      <c r="H26" s="27" t="s">
        <v>144</v>
      </c>
      <c r="I26" s="25">
        <v>0</v>
      </c>
      <c r="J26" s="25">
        <v>0</v>
      </c>
      <c r="K26" s="25">
        <v>0</v>
      </c>
      <c r="L26" s="25">
        <v>0</v>
      </c>
      <c r="M26" s="26">
        <f>I26-J26</f>
        <v>0.0</v>
      </c>
      <c r="N26" s="26">
        <f>J26-K26</f>
        <v>0.0</v>
      </c>
      <c r="O26" s="26">
        <f>I26-L26</f>
        <v>0.0</v>
      </c>
      <c r="P26" s="28">
        <f>IF(I26&gt;0,L26/I26,0)</f>
        <v>0</v>
      </c>
      <c r="Q26" s="28">
        <f>IF(I26&gt;0,K26/I26,0)</f>
        <v>0</v>
      </c>
      <c r="R26" s="24" t="str">
        <f>IF(I26&lt;=0,"Sin PIM",IF(L26/I26&gt;=Config!$B$5,"Ejecutado",IF(K26/I26&gt;=Config!$B$6,"Mayormente comprometido",IF(K26&gt;0.005,"Parcialmente comprometido",IF(J26&gt;0.005,"Solo certificado","Sin certificar")))))</f>
        <v>Sin PIM</v>
      </c>
      <c r="S26" s="24" t="str">
        <f>IF(R26="Sin certificar","Disponible",IF(R26="Solo certificado","Posible",IF(R26="Parcialmente comprometido","Parcial",IF(R26="Mayormente comprometido","Difícil",IF(R26="Ejecutado","No usar","Sin PIM")))))</f>
        <v>Sin PIM</v>
      </c>
      <c r="T26" s="26">
        <f>IF(OR(I26&lt;=0,R26="Ejecutado"),0,MAX(0,I26-K26))</f>
        <v>0.0</v>
      </c>
      <c r="U26" s="24" t="s">
        <v>105</v>
      </c>
      <c r="V26" s="24" t="s">
        <v>69</v>
      </c>
      <c r="W26" s="24" t="s">
        <v>69</v>
      </c>
      <c r="X26" s="24" t="s">
        <v>69</v>
      </c>
      <c r="Y26" s="24" t="s">
        <v>69</v>
      </c>
      <c r="Z26" s="24" t="s">
        <v>63</v>
      </c>
      <c r="AA26" s="24" t="s">
        <v>63</v>
      </c>
      <c r="AB26" s="24" t="s">
        <v>63</v>
      </c>
      <c r="AC26" s="24" t="s">
        <v>129</v>
      </c>
    </row>
    <row r="27" spans="1:29">
      <c r="A27" s="24" t="s">
        <v>54</v>
      </c>
      <c r="B27" s="24" t="s">
        <v>55</v>
      </c>
      <c r="C27" s="24" t="s">
        <v>56</v>
      </c>
      <c r="D27" s="24" t="s">
        <v>57</v>
      </c>
      <c r="E27" s="24" t="s">
        <v>71</v>
      </c>
      <c r="F27" s="24" t="s">
        <v>145</v>
      </c>
      <c r="G27" s="24" t="s">
        <v>146</v>
      </c>
      <c r="H27" s="27" t="s">
        <v>147</v>
      </c>
      <c r="I27" s="25">
        <v>728529</v>
      </c>
      <c r="J27" s="25">
        <v>0</v>
      </c>
      <c r="K27" s="25">
        <v>0</v>
      </c>
      <c r="L27" s="25">
        <v>0</v>
      </c>
      <c r="M27" s="26">
        <f>I27-J27</f>
        <v>728529.0</v>
      </c>
      <c r="N27" s="26">
        <f>J27-K27</f>
        <v>0.0</v>
      </c>
      <c r="O27" s="26">
        <f>I27-L27</f>
        <v>728529.0</v>
      </c>
      <c r="P27" s="28">
        <f>IF(I27&gt;0,L27/I27,0)</f>
        <v>0.0</v>
      </c>
      <c r="Q27" s="28">
        <f>IF(I27&gt;0,K27/I27,0)</f>
        <v>0.0</v>
      </c>
      <c r="R27" s="24" t="str">
        <f>IF(I27&lt;=0,"Sin PIM",IF(L27/I27&gt;=Config!$B$5,"Ejecutado",IF(K27/I27&gt;=Config!$B$6,"Mayormente comprometido",IF(K27&gt;0.005,"Parcialmente comprometido",IF(J27&gt;0.005,"Solo certificado","Sin certificar")))))</f>
        <v>Sin certificar</v>
      </c>
      <c r="S27" s="24" t="str">
        <f>IF(R27="Sin certificar","Disponible",IF(R27="Solo certificado","Posible",IF(R27="Parcialmente comprometido","Parcial",IF(R27="Mayormente comprometido","Difícil",IF(R27="Ejecutado","No usar","Sin PIM")))))</f>
        <v>Disponible</v>
      </c>
      <c r="T27" s="26">
        <f>IF(OR(I27&lt;=0,R27="Ejecutado"),0,MAX(0,I27-K27))</f>
        <v>728529.0</v>
      </c>
      <c r="U27" s="24" t="s">
        <v>148</v>
      </c>
      <c r="V27" s="25">
        <v>699403</v>
      </c>
      <c r="W27" s="25">
        <v>0</v>
      </c>
      <c r="X27" s="25">
        <v>0</v>
      </c>
      <c r="Y27" s="25">
        <v>0</v>
      </c>
      <c r="Z27" s="24" t="s">
        <v>63</v>
      </c>
      <c r="AA27" s="24" t="s">
        <v>63</v>
      </c>
      <c r="AB27" s="24" t="s">
        <v>63</v>
      </c>
      <c r="AC27" s="24" t="s">
        <v>101</v>
      </c>
    </row>
    <row r="28" spans="1:29">
      <c r="A28" s="24" t="s">
        <v>54</v>
      </c>
      <c r="B28" s="24" t="s">
        <v>55</v>
      </c>
      <c r="C28" s="24" t="s">
        <v>56</v>
      </c>
      <c r="D28" s="24" t="s">
        <v>57</v>
      </c>
      <c r="E28" s="24" t="s">
        <v>71</v>
      </c>
      <c r="F28" s="24" t="s">
        <v>149</v>
      </c>
      <c r="G28" s="24" t="s">
        <v>150</v>
      </c>
      <c r="H28" s="27" t="s">
        <v>151</v>
      </c>
      <c r="I28" s="25">
        <v>40621</v>
      </c>
      <c r="J28" s="25">
        <v>28914.4</v>
      </c>
      <c r="K28" s="25">
        <v>28914.4</v>
      </c>
      <c r="L28" s="25">
        <v>27953.93</v>
      </c>
      <c r="M28" s="26">
        <f>I28-J28</f>
        <v>11706.599999999999</v>
      </c>
      <c r="N28" s="26">
        <f>J28-K28</f>
        <v>0.0</v>
      </c>
      <c r="O28" s="26">
        <f>I28-L28</f>
        <v>12667.07</v>
      </c>
      <c r="P28" s="28">
        <f>IF(I28&gt;0,L28/I28,0)</f>
        <v>0.6881644961965486</v>
      </c>
      <c r="Q28" s="28">
        <f>IF(I28&gt;0,K28/I28,0)</f>
        <v>0.7118091627483322</v>
      </c>
      <c r="R28" s="24" t="str">
        <f>IF(I28&lt;=0,"Sin PIM",IF(L28/I28&gt;=Config!$B$5,"Ejecutado",IF(K28/I28&gt;=Config!$B$6,"Mayormente comprometido",IF(K28&gt;0.005,"Parcialmente comprometido",IF(J28&gt;0.005,"Solo certificado","Sin certificar")))))</f>
        <v>Mayormente comprometido</v>
      </c>
      <c r="S28" s="24" t="str">
        <f>IF(R28="Sin certificar","Disponible",IF(R28="Solo certificado","Posible",IF(R28="Parcialmente comprometido","Parcial",IF(R28="Mayormente comprometido","Difícil",IF(R28="Ejecutado","No usar","Sin PIM")))))</f>
        <v>Difícil</v>
      </c>
      <c r="T28" s="26">
        <f>IF(OR(I28&lt;=0,R28="Ejecutado"),0,MAX(0,I28-K28))</f>
        <v>11706.599999999999</v>
      </c>
      <c r="U28" s="24" t="s">
        <v>152</v>
      </c>
      <c r="V28" s="25">
        <v>2455</v>
      </c>
      <c r="W28" s="25">
        <v>0</v>
      </c>
      <c r="X28" s="25">
        <v>0</v>
      </c>
      <c r="Y28" s="25">
        <v>0</v>
      </c>
      <c r="Z28" s="24" t="s">
        <v>63</v>
      </c>
      <c r="AA28" s="24" t="s">
        <v>63</v>
      </c>
      <c r="AB28" s="24" t="s">
        <v>63</v>
      </c>
      <c r="AC28" s="24" t="s">
        <v>129</v>
      </c>
    </row>
    <row r="29" spans="1:29">
      <c r="A29" s="24" t="s">
        <v>54</v>
      </c>
      <c r="B29" s="24" t="s">
        <v>55</v>
      </c>
      <c r="C29" s="24" t="s">
        <v>56</v>
      </c>
      <c r="D29" s="24" t="s">
        <v>57</v>
      </c>
      <c r="E29" s="24" t="s">
        <v>71</v>
      </c>
      <c r="F29" s="24" t="s">
        <v>153</v>
      </c>
      <c r="G29" s="24" t="s">
        <v>154</v>
      </c>
      <c r="H29" s="27" t="s">
        <v>155</v>
      </c>
      <c r="I29" s="25">
        <v>0</v>
      </c>
      <c r="J29" s="25">
        <v>0</v>
      </c>
      <c r="K29" s="25">
        <v>0</v>
      </c>
      <c r="L29" s="25">
        <v>0</v>
      </c>
      <c r="M29" s="26">
        <f>I29-J29</f>
        <v>0.0</v>
      </c>
      <c r="N29" s="26">
        <f>J29-K29</f>
        <v>0.0</v>
      </c>
      <c r="O29" s="26">
        <f>I29-L29</f>
        <v>0.0</v>
      </c>
      <c r="P29" s="28">
        <f>IF(I29&gt;0,L29/I29,0)</f>
        <v>0</v>
      </c>
      <c r="Q29" s="28">
        <f>IF(I29&gt;0,K29/I29,0)</f>
        <v>0</v>
      </c>
      <c r="R29" s="24" t="str">
        <f>IF(I29&lt;=0,"Sin PIM",IF(L29/I29&gt;=Config!$B$5,"Ejecutado",IF(K29/I29&gt;=Config!$B$6,"Mayormente comprometido",IF(K29&gt;0.005,"Parcialmente comprometido",IF(J29&gt;0.005,"Solo certificado","Sin certificar")))))</f>
        <v>Sin PIM</v>
      </c>
      <c r="S29" s="24" t="str">
        <f>IF(R29="Sin certificar","Disponible",IF(R29="Solo certificado","Posible",IF(R29="Parcialmente comprometido","Parcial",IF(R29="Mayormente comprometido","Difícil",IF(R29="Ejecutado","No usar","Sin PIM")))))</f>
        <v>Sin PIM</v>
      </c>
      <c r="T29" s="26">
        <f>IF(OR(I29&lt;=0,R29="Ejecutado"),0,MAX(0,I29-K29))</f>
        <v>0.0</v>
      </c>
      <c r="U29" s="24" t="s">
        <v>105</v>
      </c>
      <c r="V29" s="25">
        <v>2878733</v>
      </c>
      <c r="W29" s="25">
        <v>0</v>
      </c>
      <c r="X29" s="25">
        <v>0</v>
      </c>
      <c r="Y29" s="25">
        <v>0</v>
      </c>
      <c r="Z29" s="24" t="s">
        <v>63</v>
      </c>
      <c r="AA29" s="24" t="s">
        <v>63</v>
      </c>
      <c r="AB29" s="24" t="s">
        <v>63</v>
      </c>
      <c r="AC29" s="24" t="s">
        <v>101</v>
      </c>
    </row>
    <row r="30" spans="1:29">
      <c r="A30" s="24" t="s">
        <v>54</v>
      </c>
      <c r="B30" s="24" t="s">
        <v>55</v>
      </c>
      <c r="C30" s="24" t="s">
        <v>56</v>
      </c>
      <c r="D30" s="24" t="s">
        <v>57</v>
      </c>
      <c r="E30" s="24" t="s">
        <v>71</v>
      </c>
      <c r="F30" s="24" t="s">
        <v>130</v>
      </c>
      <c r="G30" s="24" t="s">
        <v>156</v>
      </c>
      <c r="H30" s="27" t="s">
        <v>132</v>
      </c>
      <c r="I30" s="25">
        <v>855386</v>
      </c>
      <c r="J30" s="25">
        <v>725859.11</v>
      </c>
      <c r="K30" s="25">
        <v>718409.6099999999</v>
      </c>
      <c r="L30" s="25">
        <v>715665.61</v>
      </c>
      <c r="M30" s="26">
        <f>I30-J30</f>
        <v>129526.89000000001</v>
      </c>
      <c r="N30" s="26">
        <f>J30-K30</f>
        <v>7449.500000000116</v>
      </c>
      <c r="O30" s="26">
        <f>I30-L30</f>
        <v>139720.39</v>
      </c>
      <c r="P30" s="28">
        <f>IF(I30&gt;0,L30/I30,0)</f>
        <v>0.8366580818484286</v>
      </c>
      <c r="Q30" s="28">
        <f>IF(I30&gt;0,K30/I30,0)</f>
        <v>0.8398659903248357</v>
      </c>
      <c r="R30" s="24" t="str">
        <f>IF(I30&lt;=0,"Sin PIM",IF(L30/I30&gt;=Config!$B$5,"Ejecutado",IF(K30/I30&gt;=Config!$B$6,"Mayormente comprometido",IF(K30&gt;0.005,"Parcialmente comprometido",IF(J30&gt;0.005,"Solo certificado","Sin certificar")))))</f>
        <v>Mayormente comprometido</v>
      </c>
      <c r="S30" s="24" t="str">
        <f>IF(R30="Sin certificar","Disponible",IF(R30="Solo certificado","Posible",IF(R30="Parcialmente comprometido","Parcial",IF(R30="Mayormente comprometido","Difícil",IF(R30="Ejecutado","No usar","Sin PIM")))))</f>
        <v>Difícil</v>
      </c>
      <c r="T30" s="26">
        <f>IF(OR(I30&lt;=0,R30="Ejecutado"),0,MAX(0,I30-K30))</f>
        <v>136976.39000000013</v>
      </c>
      <c r="U30" s="24" t="s">
        <v>112</v>
      </c>
      <c r="V30" s="25">
        <v>539829</v>
      </c>
      <c r="W30" s="25">
        <v>504509</v>
      </c>
      <c r="X30" s="25">
        <v>0</v>
      </c>
      <c r="Y30" s="25">
        <v>0</v>
      </c>
      <c r="Z30" s="24" t="s">
        <v>63</v>
      </c>
      <c r="AA30" s="24" t="s">
        <v>63</v>
      </c>
      <c r="AB30" s="24" t="s">
        <v>63</v>
      </c>
      <c r="AC30" s="24" t="s">
        <v>64</v>
      </c>
    </row>
    <row r="31" spans="1:29">
      <c r="A31" s="24" t="s">
        <v>54</v>
      </c>
      <c r="B31" s="24" t="s">
        <v>55</v>
      </c>
      <c r="C31" s="24" t="s">
        <v>56</v>
      </c>
      <c r="D31" s="24" t="s">
        <v>57</v>
      </c>
      <c r="E31" s="24" t="s">
        <v>71</v>
      </c>
      <c r="F31" s="24" t="s">
        <v>157</v>
      </c>
      <c r="G31" s="24" t="s">
        <v>158</v>
      </c>
      <c r="H31" s="27" t="s">
        <v>159</v>
      </c>
      <c r="I31" s="25">
        <v>77590</v>
      </c>
      <c r="J31" s="25">
        <v>76159.17999999999</v>
      </c>
      <c r="K31" s="25">
        <v>76159.17999999999</v>
      </c>
      <c r="L31" s="25">
        <v>76159.17999999999</v>
      </c>
      <c r="M31" s="26">
        <f>I31-J31</f>
        <v>1430.820000000007</v>
      </c>
      <c r="N31" s="26">
        <f>J31-K31</f>
        <v>0.0</v>
      </c>
      <c r="O31" s="26">
        <f>I31-L31</f>
        <v>1430.820000000007</v>
      </c>
      <c r="P31" s="28">
        <f>IF(I31&gt;0,L31/I31,0)</f>
        <v>0.9815592215491686</v>
      </c>
      <c r="Q31" s="28">
        <f>IF(I31&gt;0,K31/I31,0)</f>
        <v>0.9815592215491686</v>
      </c>
      <c r="R31" s="24" t="str">
        <f>IF(I31&lt;=0,"Sin PIM",IF(L31/I31&gt;=Config!$B$5,"Ejecutado",IF(K31/I31&gt;=Config!$B$6,"Mayormente comprometido",IF(K31&gt;0.005,"Parcialmente comprometido",IF(J31&gt;0.005,"Solo certificado","Sin certificar")))))</f>
        <v>Ejecutado</v>
      </c>
      <c r="S31" s="24" t="str">
        <f>IF(R31="Sin certificar","Disponible",IF(R31="Solo certificado","Posible",IF(R31="Parcialmente comprometido","Parcial",IF(R31="Mayormente comprometido","Difícil",IF(R31="Ejecutado","No usar","Sin PIM")))))</f>
        <v>No usar</v>
      </c>
      <c r="T31" s="26">
        <f>IF(OR(I31&lt;=0,R31="Ejecutado"),0,MAX(0,I31-K31))</f>
        <v>0.0</v>
      </c>
      <c r="U31" s="24" t="s">
        <v>96</v>
      </c>
      <c r="V31" s="25">
        <v>357505</v>
      </c>
      <c r="W31" s="25">
        <v>0</v>
      </c>
      <c r="X31" s="25">
        <v>0</v>
      </c>
      <c r="Y31" s="25">
        <v>344884</v>
      </c>
      <c r="Z31" s="24" t="s">
        <v>63</v>
      </c>
      <c r="AA31" s="24" t="s">
        <v>63</v>
      </c>
      <c r="AB31" s="24" t="s">
        <v>63</v>
      </c>
      <c r="AC31" s="24" t="s">
        <v>64</v>
      </c>
    </row>
    <row r="32" spans="1:29">
      <c r="A32" s="24" t="s">
        <v>54</v>
      </c>
      <c r="B32" s="24" t="s">
        <v>55</v>
      </c>
      <c r="C32" s="24" t="s">
        <v>56</v>
      </c>
      <c r="D32" s="24" t="s">
        <v>57</v>
      </c>
      <c r="E32" s="24" t="s">
        <v>71</v>
      </c>
      <c r="F32" s="24" t="s">
        <v>160</v>
      </c>
      <c r="G32" s="24" t="s">
        <v>161</v>
      </c>
      <c r="H32" s="27" t="s">
        <v>162</v>
      </c>
      <c r="I32" s="25">
        <v>50132</v>
      </c>
      <c r="J32" s="25">
        <v>47450.05</v>
      </c>
      <c r="K32" s="25">
        <v>47450.05</v>
      </c>
      <c r="L32" s="25">
        <v>47450.05</v>
      </c>
      <c r="M32" s="26">
        <f>I32-J32</f>
        <v>2681.949999999997</v>
      </c>
      <c r="N32" s="26">
        <f>J32-K32</f>
        <v>0.0</v>
      </c>
      <c r="O32" s="26">
        <f>I32-L32</f>
        <v>2681.949999999997</v>
      </c>
      <c r="P32" s="28">
        <f>IF(I32&gt;0,L32/I32,0)</f>
        <v>0.9465022341019709</v>
      </c>
      <c r="Q32" s="28">
        <f>IF(I32&gt;0,K32/I32,0)</f>
        <v>0.9465022341019709</v>
      </c>
      <c r="R32" s="24" t="str">
        <f>IF(I32&lt;=0,"Sin PIM",IF(L32/I32&gt;=Config!$B$5,"Ejecutado",IF(K32/I32&gt;=Config!$B$6,"Mayormente comprometido",IF(K32&gt;0.005,"Parcialmente comprometido",IF(J32&gt;0.005,"Solo certificado","Sin certificar")))))</f>
        <v>Ejecutado</v>
      </c>
      <c r="S32" s="24" t="str">
        <f>IF(R32="Sin certificar","Disponible",IF(R32="Solo certificado","Posible",IF(R32="Parcialmente comprometido","Parcial",IF(R32="Mayormente comprometido","Difícil",IF(R32="Ejecutado","No usar","Sin PIM")))))</f>
        <v>No usar</v>
      </c>
      <c r="T32" s="26">
        <f>IF(OR(I32&lt;=0,R32="Ejecutado"),0,MAX(0,I32-K32))</f>
        <v>0.0</v>
      </c>
      <c r="U32" s="24" t="s">
        <v>105</v>
      </c>
      <c r="V32" s="25">
        <v>175369</v>
      </c>
      <c r="W32" s="25">
        <v>79091</v>
      </c>
      <c r="X32" s="25">
        <v>583672</v>
      </c>
      <c r="Y32" s="25">
        <v>0</v>
      </c>
      <c r="Z32" s="24" t="s">
        <v>63</v>
      </c>
      <c r="AA32" s="24" t="s">
        <v>63</v>
      </c>
      <c r="AB32" s="24" t="s">
        <v>63</v>
      </c>
      <c r="AC32" s="24" t="s">
        <v>64</v>
      </c>
    </row>
    <row r="33" spans="1:29">
      <c r="A33" s="24" t="s">
        <v>54</v>
      </c>
      <c r="B33" s="24" t="s">
        <v>55</v>
      </c>
      <c r="C33" s="24" t="s">
        <v>56</v>
      </c>
      <c r="D33" s="24" t="s">
        <v>57</v>
      </c>
      <c r="E33" s="24" t="s">
        <v>163</v>
      </c>
      <c r="F33" s="24" t="s">
        <v>164</v>
      </c>
      <c r="G33" s="24" t="s">
        <v>165</v>
      </c>
      <c r="H33" s="27" t="s">
        <v>166</v>
      </c>
      <c r="I33" s="25">
        <v>18401182</v>
      </c>
      <c r="J33" s="25">
        <v>17764557.93</v>
      </c>
      <c r="K33" s="25">
        <v>17200006.53</v>
      </c>
      <c r="L33" s="25">
        <v>15484259.86</v>
      </c>
      <c r="M33" s="26">
        <f>I33-J33</f>
        <v>636624.0700000003</v>
      </c>
      <c r="N33" s="26">
        <f>J33-K33</f>
        <v>564551.3999999985</v>
      </c>
      <c r="O33" s="26">
        <f>I33-L33</f>
        <v>2916922.1400000025</v>
      </c>
      <c r="P33" s="28">
        <f>IF(I33&gt;0,L33/I33,0)</f>
        <v>0.8414818058970341</v>
      </c>
      <c r="Q33" s="28">
        <f>IF(I33&gt;0,K33/I33,0)</f>
        <v>0.9347229177995197</v>
      </c>
      <c r="R33" s="24" t="str">
        <f>IF(I33&lt;=0,"Sin PIM",IF(L33/I33&gt;=Config!$B$5,"Ejecutado",IF(K33/I33&gt;=Config!$B$6,"Mayormente comprometido",IF(K33&gt;0.005,"Parcialmente comprometido",IF(J33&gt;0.005,"Solo certificado","Sin certificar")))))</f>
        <v>Mayormente comprometido</v>
      </c>
      <c r="S33" s="24" t="str">
        <f>IF(R33="Sin certificar","Disponible",IF(R33="Solo certificado","Posible",IF(R33="Parcialmente comprometido","Parcial",IF(R33="Mayormente comprometido","Difícil",IF(R33="Ejecutado","No usar","Sin PIM")))))</f>
        <v>Difícil</v>
      </c>
      <c r="T33" s="26">
        <f>IF(OR(I33&lt;=0,R33="Ejecutado"),0,MAX(0,I33-K33))</f>
        <v>1201175.4699999988</v>
      </c>
      <c r="U33" s="24" t="s">
        <v>75</v>
      </c>
      <c r="V33" s="25">
        <v>9922902</v>
      </c>
      <c r="W33" s="25">
        <v>180000</v>
      </c>
      <c r="X33" s="25">
        <v>0</v>
      </c>
      <c r="Y33" s="25">
        <v>0</v>
      </c>
      <c r="Z33" s="24" t="s">
        <v>63</v>
      </c>
      <c r="AA33" s="24" t="s">
        <v>63</v>
      </c>
      <c r="AB33" s="24" t="s">
        <v>63</v>
      </c>
      <c r="AC33" s="24" t="s">
        <v>64</v>
      </c>
    </row>
    <row r="34" spans="1:29">
      <c r="A34" s="24" t="s">
        <v>54</v>
      </c>
      <c r="B34" s="24" t="s">
        <v>55</v>
      </c>
      <c r="C34" s="24" t="s">
        <v>56</v>
      </c>
      <c r="D34" s="24" t="s">
        <v>57</v>
      </c>
      <c r="E34" s="24" t="s">
        <v>163</v>
      </c>
      <c r="F34" s="24" t="s">
        <v>167</v>
      </c>
      <c r="G34" s="24" t="s">
        <v>168</v>
      </c>
      <c r="H34" s="27" t="s">
        <v>169</v>
      </c>
      <c r="I34" s="25">
        <v>10002053</v>
      </c>
      <c r="J34" s="25">
        <v>9636351.48</v>
      </c>
      <c r="K34" s="25">
        <v>9595158.27</v>
      </c>
      <c r="L34" s="25">
        <v>5473965.060000001</v>
      </c>
      <c r="M34" s="26">
        <f>I34-J34</f>
        <v>365701.51999999955</v>
      </c>
      <c r="N34" s="26">
        <f>J34-K34</f>
        <v>41193.210000000894</v>
      </c>
      <c r="O34" s="26">
        <f>I34-L34</f>
        <v>4528087.9399999995</v>
      </c>
      <c r="P34" s="28">
        <f>IF(I34&gt;0,L34/I34,0)</f>
        <v>0.5472841485642999</v>
      </c>
      <c r="Q34" s="28">
        <f>IF(I34&gt;0,K34/I34,0)</f>
        <v>0.9593188788341753</v>
      </c>
      <c r="R34" s="24" t="str">
        <f>IF(I34&lt;=0,"Sin PIM",IF(L34/I34&gt;=Config!$B$5,"Ejecutado",IF(K34/I34&gt;=Config!$B$6,"Mayormente comprometido",IF(K34&gt;0.005,"Parcialmente comprometido",IF(J34&gt;0.005,"Solo certificado","Sin certificar")))))</f>
        <v>Mayormente comprometido</v>
      </c>
      <c r="S34" s="24" t="str">
        <f>IF(R34="Sin certificar","Disponible",IF(R34="Solo certificado","Posible",IF(R34="Parcialmente comprometido","Parcial",IF(R34="Mayormente comprometido","Difícil",IF(R34="Ejecutado","No usar","Sin PIM")))))</f>
        <v>Difícil</v>
      </c>
      <c r="T34" s="26">
        <f>IF(OR(I34&lt;=0,R34="Ejecutado"),0,MAX(0,I34-K34))</f>
        <v>406894.73000000045</v>
      </c>
      <c r="U34" s="24" t="s">
        <v>75</v>
      </c>
      <c r="V34" s="25">
        <v>4289351</v>
      </c>
      <c r="W34" s="25">
        <v>500000</v>
      </c>
      <c r="X34" s="25">
        <v>109570</v>
      </c>
      <c r="Y34" s="25">
        <v>0</v>
      </c>
      <c r="Z34" s="24" t="s">
        <v>63</v>
      </c>
      <c r="AA34" s="24" t="s">
        <v>63</v>
      </c>
      <c r="AB34" s="24" t="s">
        <v>63</v>
      </c>
      <c r="AC34" s="24" t="s">
        <v>64</v>
      </c>
    </row>
    <row r="35" spans="1:29">
      <c r="A35" s="24" t="s">
        <v>54</v>
      </c>
      <c r="B35" s="24" t="s">
        <v>55</v>
      </c>
      <c r="C35" s="24" t="s">
        <v>56</v>
      </c>
      <c r="D35" s="24" t="s">
        <v>57</v>
      </c>
      <c r="E35" s="24" t="s">
        <v>163</v>
      </c>
      <c r="F35" s="24" t="s">
        <v>170</v>
      </c>
      <c r="G35" s="24" t="s">
        <v>171</v>
      </c>
      <c r="H35" s="27" t="s">
        <v>172</v>
      </c>
      <c r="I35" s="25">
        <v>3297813</v>
      </c>
      <c r="J35" s="25">
        <v>3286650.45</v>
      </c>
      <c r="K35" s="25">
        <v>3286650.45</v>
      </c>
      <c r="L35" s="25">
        <v>3269277.28</v>
      </c>
      <c r="M35" s="26">
        <f>I35-J35</f>
        <v>11162.549999999814</v>
      </c>
      <c r="N35" s="26">
        <f>J35-K35</f>
        <v>0.0</v>
      </c>
      <c r="O35" s="26">
        <f>I35-L35</f>
        <v>28535.71999999974</v>
      </c>
      <c r="P35" s="28">
        <f>IF(I35&gt;0,L35/I35,0)</f>
        <v>0.9913470775935447</v>
      </c>
      <c r="Q35" s="28">
        <f>IF(I35&gt;0,K35/I35,0)</f>
        <v>0.9966151658690169</v>
      </c>
      <c r="R35" s="24" t="str">
        <f>IF(I35&lt;=0,"Sin PIM",IF(L35/I35&gt;=Config!$B$5,"Ejecutado",IF(K35/I35&gt;=Config!$B$6,"Mayormente comprometido",IF(K35&gt;0.005,"Parcialmente comprometido",IF(J35&gt;0.005,"Solo certificado","Sin certificar")))))</f>
        <v>Ejecutado</v>
      </c>
      <c r="S35" s="24" t="str">
        <f>IF(R35="Sin certificar","Disponible",IF(R35="Solo certificado","Posible",IF(R35="Parcialmente comprometido","Parcial",IF(R35="Mayormente comprometido","Difícil",IF(R35="Ejecutado","No usar","Sin PIM")))))</f>
        <v>No usar</v>
      </c>
      <c r="T35" s="26">
        <f>IF(OR(I35&lt;=0,R35="Ejecutado"),0,MAX(0,I35-K35))</f>
        <v>0.0</v>
      </c>
      <c r="U35" s="24" t="s">
        <v>173</v>
      </c>
      <c r="V35" s="25">
        <v>5406629</v>
      </c>
      <c r="W35" s="25">
        <v>0</v>
      </c>
      <c r="X35" s="25">
        <v>304959</v>
      </c>
      <c r="Y35" s="25">
        <v>0</v>
      </c>
      <c r="Z35" s="24" t="s">
        <v>63</v>
      </c>
      <c r="AA35" s="24" t="s">
        <v>63</v>
      </c>
      <c r="AB35" s="24" t="s">
        <v>63</v>
      </c>
      <c r="AC35" s="24" t="s">
        <v>64</v>
      </c>
    </row>
    <row r="36" spans="1:29">
      <c r="A36" s="24" t="s">
        <v>54</v>
      </c>
      <c r="B36" s="24" t="s">
        <v>55</v>
      </c>
      <c r="C36" s="24" t="s">
        <v>56</v>
      </c>
      <c r="D36" s="24" t="s">
        <v>57</v>
      </c>
      <c r="E36" s="24" t="s">
        <v>163</v>
      </c>
      <c r="F36" s="24" t="s">
        <v>174</v>
      </c>
      <c r="G36" s="24" t="s">
        <v>175</v>
      </c>
      <c r="H36" s="27" t="s">
        <v>176</v>
      </c>
      <c r="I36" s="25">
        <v>2394023</v>
      </c>
      <c r="J36" s="25">
        <v>2316938.79</v>
      </c>
      <c r="K36" s="25">
        <v>2310743.79</v>
      </c>
      <c r="L36" s="25">
        <v>1138698.84</v>
      </c>
      <c r="M36" s="26">
        <f>I36-J36</f>
        <v>77084.20999999996</v>
      </c>
      <c r="N36" s="26">
        <f>J36-K36</f>
        <v>6195.0</v>
      </c>
      <c r="O36" s="26">
        <f>I36-L36</f>
        <v>1255324.1600000001</v>
      </c>
      <c r="P36" s="28">
        <f>IF(I36&gt;0,L36/I36,0)</f>
        <v>0.47564239775474165</v>
      </c>
      <c r="Q36" s="28">
        <f>IF(I36&gt;0,K36/I36,0)</f>
        <v>0.9652136967773493</v>
      </c>
      <c r="R36" s="24" t="str">
        <f>IF(I36&lt;=0,"Sin PIM",IF(L36/I36&gt;=Config!$B$5,"Ejecutado",IF(K36/I36&gt;=Config!$B$6,"Mayormente comprometido",IF(K36&gt;0.005,"Parcialmente comprometido",IF(J36&gt;0.005,"Solo certificado","Sin certificar")))))</f>
        <v>Mayormente comprometido</v>
      </c>
      <c r="S36" s="24" t="str">
        <f>IF(R36="Sin certificar","Disponible",IF(R36="Solo certificado","Posible",IF(R36="Parcialmente comprometido","Parcial",IF(R36="Mayormente comprometido","Difícil",IF(R36="Ejecutado","No usar","Sin PIM")))))</f>
        <v>Difícil</v>
      </c>
      <c r="T36" s="26">
        <f>IF(OR(I36&lt;=0,R36="Ejecutado"),0,MAX(0,I36-K36))</f>
        <v>83279.20999999996</v>
      </c>
      <c r="U36" s="24" t="s">
        <v>75</v>
      </c>
      <c r="V36" s="25">
        <v>3545977</v>
      </c>
      <c r="W36" s="25">
        <v>1000000</v>
      </c>
      <c r="X36" s="25">
        <v>3651450</v>
      </c>
      <c r="Y36" s="25">
        <v>1489826</v>
      </c>
      <c r="Z36" s="24" t="s">
        <v>63</v>
      </c>
      <c r="AA36" s="24" t="s">
        <v>63</v>
      </c>
      <c r="AB36" s="24" t="s">
        <v>63</v>
      </c>
      <c r="AC36" s="24" t="s">
        <v>64</v>
      </c>
    </row>
    <row r="37" spans="1:29">
      <c r="A37" s="24" t="s">
        <v>54</v>
      </c>
      <c r="B37" s="24" t="s">
        <v>55</v>
      </c>
      <c r="C37" s="24" t="s">
        <v>56</v>
      </c>
      <c r="D37" s="24" t="s">
        <v>57</v>
      </c>
      <c r="E37" s="24" t="s">
        <v>163</v>
      </c>
      <c r="F37" s="24" t="s">
        <v>177</v>
      </c>
      <c r="G37" s="24" t="s">
        <v>178</v>
      </c>
      <c r="H37" s="27" t="s">
        <v>179</v>
      </c>
      <c r="I37" s="25">
        <v>1122559</v>
      </c>
      <c r="J37" s="25">
        <v>1117871.05</v>
      </c>
      <c r="K37" s="25">
        <v>1117871.05</v>
      </c>
      <c r="L37" s="25">
        <v>1042098.56</v>
      </c>
      <c r="M37" s="26">
        <f>I37-J37</f>
        <v>4687.950000000186</v>
      </c>
      <c r="N37" s="26">
        <f>J37-K37</f>
        <v>0.0</v>
      </c>
      <c r="O37" s="26">
        <f>I37-L37</f>
        <v>80460.44000000006</v>
      </c>
      <c r="P37" s="28">
        <f>IF(I37&gt;0,L37/I37,0)</f>
        <v>0.9283240880880202</v>
      </c>
      <c r="Q37" s="28">
        <f>IF(I37&gt;0,K37/I37,0)</f>
        <v>0.9958238720637399</v>
      </c>
      <c r="R37" s="24" t="str">
        <f>IF(I37&lt;=0,"Sin PIM",IF(L37/I37&gt;=Config!$B$5,"Ejecutado",IF(K37/I37&gt;=Config!$B$6,"Mayormente comprometido",IF(K37&gt;0.005,"Parcialmente comprometido",IF(J37&gt;0.005,"Solo certificado","Sin certificar")))))</f>
        <v>Ejecutado</v>
      </c>
      <c r="S37" s="24" t="str">
        <f>IF(R37="Sin certificar","Disponible",IF(R37="Solo certificado","Posible",IF(R37="Parcialmente comprometido","Parcial",IF(R37="Mayormente comprometido","Difícil",IF(R37="Ejecutado","No usar","Sin PIM")))))</f>
        <v>No usar</v>
      </c>
      <c r="T37" s="26">
        <f>IF(OR(I37&lt;=0,R37="Ejecutado"),0,MAX(0,I37-K37))</f>
        <v>0.0</v>
      </c>
      <c r="U37" s="24" t="s">
        <v>75</v>
      </c>
      <c r="V37" s="25">
        <v>1404195</v>
      </c>
      <c r="W37" s="25">
        <v>324567</v>
      </c>
      <c r="X37" s="25">
        <v>0</v>
      </c>
      <c r="Y37" s="25">
        <v>936265</v>
      </c>
      <c r="Z37" s="24" t="s">
        <v>63</v>
      </c>
      <c r="AA37" s="24" t="s">
        <v>63</v>
      </c>
      <c r="AB37" s="24" t="s">
        <v>63</v>
      </c>
      <c r="AC37" s="24" t="s">
        <v>64</v>
      </c>
    </row>
    <row r="38" spans="1:29">
      <c r="A38" s="24" t="s">
        <v>54</v>
      </c>
      <c r="B38" s="24" t="s">
        <v>55</v>
      </c>
      <c r="C38" s="24" t="s">
        <v>56</v>
      </c>
      <c r="D38" s="24" t="s">
        <v>57</v>
      </c>
      <c r="E38" s="24" t="s">
        <v>163</v>
      </c>
      <c r="F38" s="24" t="s">
        <v>180</v>
      </c>
      <c r="G38" s="24" t="s">
        <v>181</v>
      </c>
      <c r="H38" s="27" t="s">
        <v>182</v>
      </c>
      <c r="I38" s="25">
        <v>1202934</v>
      </c>
      <c r="J38" s="25">
        <v>1151623.79</v>
      </c>
      <c r="K38" s="25">
        <v>1151623.79</v>
      </c>
      <c r="L38" s="25">
        <v>1105100.42</v>
      </c>
      <c r="M38" s="26">
        <f>I38-J38</f>
        <v>51310.20999999996</v>
      </c>
      <c r="N38" s="26">
        <f>J38-K38</f>
        <v>0.0</v>
      </c>
      <c r="O38" s="26">
        <f>I38-L38</f>
        <v>97833.58000000007</v>
      </c>
      <c r="P38" s="28">
        <f>IF(I38&gt;0,L38/I38,0)</f>
        <v>0.9186708663983227</v>
      </c>
      <c r="Q38" s="28">
        <f>IF(I38&gt;0,K38/I38,0)</f>
        <v>0.9573457812315556</v>
      </c>
      <c r="R38" s="24" t="str">
        <f>IF(I38&lt;=0,"Sin PIM",IF(L38/I38&gt;=Config!$B$5,"Ejecutado",IF(K38/I38&gt;=Config!$B$6,"Mayormente comprometido",IF(K38&gt;0.005,"Parcialmente comprometido",IF(J38&gt;0.005,"Solo certificado","Sin certificar")))))</f>
        <v>Ejecutado</v>
      </c>
      <c r="S38" s="24" t="str">
        <f>IF(R38="Sin certificar","Disponible",IF(R38="Solo certificado","Posible",IF(R38="Parcialmente comprometido","Parcial",IF(R38="Mayormente comprometido","Difícil",IF(R38="Ejecutado","No usar","Sin PIM")))))</f>
        <v>No usar</v>
      </c>
      <c r="T38" s="26">
        <f>IF(OR(I38&lt;=0,R38="Ejecutado"),0,MAX(0,I38-K38))</f>
        <v>0.0</v>
      </c>
      <c r="U38" s="24" t="s">
        <v>75</v>
      </c>
      <c r="V38" s="25">
        <v>2596051</v>
      </c>
      <c r="W38" s="25">
        <v>120000</v>
      </c>
      <c r="X38" s="25">
        <v>2215461</v>
      </c>
      <c r="Y38" s="25">
        <v>3675255</v>
      </c>
      <c r="Z38" s="24" t="s">
        <v>63</v>
      </c>
      <c r="AA38" s="24" t="s">
        <v>63</v>
      </c>
      <c r="AB38" s="24" t="s">
        <v>63</v>
      </c>
      <c r="AC38" s="24" t="s">
        <v>64</v>
      </c>
    </row>
    <row r="39" spans="1:29">
      <c r="A39" s="24" t="s">
        <v>54</v>
      </c>
      <c r="B39" s="24" t="s">
        <v>55</v>
      </c>
      <c r="C39" s="24" t="s">
        <v>56</v>
      </c>
      <c r="D39" s="24" t="s">
        <v>57</v>
      </c>
      <c r="E39" s="24" t="s">
        <v>163</v>
      </c>
      <c r="F39" s="24" t="s">
        <v>183</v>
      </c>
      <c r="G39" s="24" t="s">
        <v>184</v>
      </c>
      <c r="H39" s="27" t="s">
        <v>185</v>
      </c>
      <c r="I39" s="25">
        <v>167638</v>
      </c>
      <c r="J39" s="25">
        <v>167637.03</v>
      </c>
      <c r="K39" s="25">
        <v>167637.03</v>
      </c>
      <c r="L39" s="25">
        <v>124800.07</v>
      </c>
      <c r="M39" s="26">
        <f>I39-J39</f>
        <v>0.9700000000011642</v>
      </c>
      <c r="N39" s="26">
        <f>J39-K39</f>
        <v>0.0</v>
      </c>
      <c r="O39" s="26">
        <f>I39-L39</f>
        <v>42837.93000000001</v>
      </c>
      <c r="P39" s="28">
        <f>IF(I39&gt;0,L39/I39,0)</f>
        <v>0.7444616972285519</v>
      </c>
      <c r="Q39" s="28">
        <f>IF(I39&gt;0,K39/I39,0)</f>
        <v>0.9999942137224257</v>
      </c>
      <c r="R39" s="24" t="str">
        <f>IF(I39&lt;=0,"Sin PIM",IF(L39/I39&gt;=Config!$B$5,"Ejecutado",IF(K39/I39&gt;=Config!$B$6,"Mayormente comprometido",IF(K39&gt;0.005,"Parcialmente comprometido",IF(J39&gt;0.005,"Solo certificado","Sin certificar")))))</f>
        <v>Mayormente comprometido</v>
      </c>
      <c r="S39" s="24" t="str">
        <f>IF(R39="Sin certificar","Disponible",IF(R39="Solo certificado","Posible",IF(R39="Parcialmente comprometido","Parcial",IF(R39="Mayormente comprometido","Difícil",IF(R39="Ejecutado","No usar","Sin PIM")))))</f>
        <v>Difícil</v>
      </c>
      <c r="T39" s="26">
        <f>IF(OR(I39&lt;=0,R39="Ejecutado"),0,MAX(0,I39-K39))</f>
        <v>0.9700000000011642</v>
      </c>
      <c r="U39" s="24" t="s">
        <v>133</v>
      </c>
      <c r="V39" s="25">
        <v>1200000</v>
      </c>
      <c r="W39" s="25">
        <v>2500000</v>
      </c>
      <c r="X39" s="25">
        <v>2882362</v>
      </c>
      <c r="Y39" s="25">
        <v>1526602</v>
      </c>
      <c r="Z39" s="24" t="s">
        <v>63</v>
      </c>
      <c r="AA39" s="24" t="s">
        <v>63</v>
      </c>
      <c r="AB39" s="24" t="s">
        <v>63</v>
      </c>
      <c r="AC39" s="24" t="s">
        <v>64</v>
      </c>
    </row>
    <row r="40" spans="1:29">
      <c r="A40" s="24" t="s">
        <v>54</v>
      </c>
      <c r="B40" s="24" t="s">
        <v>55</v>
      </c>
      <c r="C40" s="24" t="s">
        <v>56</v>
      </c>
      <c r="D40" s="24" t="s">
        <v>57</v>
      </c>
      <c r="E40" s="24" t="s">
        <v>163</v>
      </c>
      <c r="F40" s="24" t="s">
        <v>186</v>
      </c>
      <c r="G40" s="24" t="s">
        <v>187</v>
      </c>
      <c r="H40" s="27" t="s">
        <v>188</v>
      </c>
      <c r="I40" s="25">
        <v>844818</v>
      </c>
      <c r="J40" s="25">
        <v>75387.03</v>
      </c>
      <c r="K40" s="25">
        <v>75387.03</v>
      </c>
      <c r="L40" s="25">
        <v>75387.03</v>
      </c>
      <c r="M40" s="26">
        <f>I40-J40</f>
        <v>769430.97</v>
      </c>
      <c r="N40" s="26">
        <f>J40-K40</f>
        <v>0.0</v>
      </c>
      <c r="O40" s="26">
        <f>I40-L40</f>
        <v>769430.97</v>
      </c>
      <c r="P40" s="28">
        <f>IF(I40&gt;0,L40/I40,0)</f>
        <v>0.08923463988693422</v>
      </c>
      <c r="Q40" s="28">
        <f>IF(I40&gt;0,K40/I40,0)</f>
        <v>0.08923463988693422</v>
      </c>
      <c r="R40" s="24" t="str">
        <f>IF(I40&lt;=0,"Sin PIM",IF(L40/I40&gt;=Config!$B$5,"Ejecutado",IF(K40/I40&gt;=Config!$B$6,"Mayormente comprometido",IF(K40&gt;0.005,"Parcialmente comprometido",IF(J40&gt;0.005,"Solo certificado","Sin certificar")))))</f>
        <v>Parcialmente comprometido</v>
      </c>
      <c r="S40" s="24" t="str">
        <f>IF(R40="Sin certificar","Disponible",IF(R40="Solo certificado","Posible",IF(R40="Parcialmente comprometido","Parcial",IF(R40="Mayormente comprometido","Difícil",IF(R40="Ejecutado","No usar","Sin PIM")))))</f>
        <v>Parcial</v>
      </c>
      <c r="T40" s="26">
        <f>IF(OR(I40&lt;=0,R40="Ejecutado"),0,MAX(0,I40-K40))</f>
        <v>769430.97</v>
      </c>
      <c r="U40" s="24" t="s">
        <v>189</v>
      </c>
      <c r="V40" s="25">
        <v>1050000</v>
      </c>
      <c r="W40" s="25">
        <v>50000</v>
      </c>
      <c r="X40" s="25">
        <v>1054806</v>
      </c>
      <c r="Y40" s="25">
        <v>0</v>
      </c>
      <c r="Z40" s="24" t="s">
        <v>63</v>
      </c>
      <c r="AA40" s="24" t="s">
        <v>63</v>
      </c>
      <c r="AB40" s="24" t="s">
        <v>63</v>
      </c>
      <c r="AC40" s="24" t="s">
        <v>129</v>
      </c>
    </row>
    <row r="41" spans="1:29">
      <c r="A41" s="24" t="s">
        <v>54</v>
      </c>
      <c r="B41" s="24" t="s">
        <v>55</v>
      </c>
      <c r="C41" s="24" t="s">
        <v>56</v>
      </c>
      <c r="D41" s="24" t="s">
        <v>57</v>
      </c>
      <c r="E41" s="24" t="s">
        <v>163</v>
      </c>
      <c r="F41" s="24" t="s">
        <v>190</v>
      </c>
      <c r="G41" s="24" t="s">
        <v>191</v>
      </c>
      <c r="H41" s="27" t="s">
        <v>192</v>
      </c>
      <c r="I41" s="25">
        <v>0</v>
      </c>
      <c r="J41" s="25">
        <v>0</v>
      </c>
      <c r="K41" s="25">
        <v>0</v>
      </c>
      <c r="L41" s="25">
        <v>0</v>
      </c>
      <c r="M41" s="26">
        <f>I41-J41</f>
        <v>0.0</v>
      </c>
      <c r="N41" s="26">
        <f>J41-K41</f>
        <v>0.0</v>
      </c>
      <c r="O41" s="26">
        <f>I41-L41</f>
        <v>0.0</v>
      </c>
      <c r="P41" s="28">
        <f>IF(I41&gt;0,L41/I41,0)</f>
        <v>0</v>
      </c>
      <c r="Q41" s="28">
        <f>IF(I41&gt;0,K41/I41,0)</f>
        <v>0</v>
      </c>
      <c r="R41" s="24" t="str">
        <f>IF(I41&lt;=0,"Sin PIM",IF(L41/I41&gt;=Config!$B$5,"Ejecutado",IF(K41/I41&gt;=Config!$B$6,"Mayormente comprometido",IF(K41&gt;0.005,"Parcialmente comprometido",IF(J41&gt;0.005,"Solo certificado","Sin certificar")))))</f>
        <v>Sin PIM</v>
      </c>
      <c r="S41" s="24" t="str">
        <f>IF(R41="Sin certificar","Disponible",IF(R41="Solo certificado","Posible",IF(R41="Parcialmente comprometido","Parcial",IF(R41="Mayormente comprometido","Difícil",IF(R41="Ejecutado","No usar","Sin PIM")))))</f>
        <v>Sin PIM</v>
      </c>
      <c r="T41" s="26">
        <f>IF(OR(I41&lt;=0,R41="Ejecutado"),0,MAX(0,I41-K41))</f>
        <v>0.0</v>
      </c>
      <c r="U41" s="24" t="s">
        <v>133</v>
      </c>
      <c r="V41" s="25">
        <v>675842</v>
      </c>
      <c r="W41" s="25">
        <v>110000</v>
      </c>
      <c r="X41" s="25">
        <v>0</v>
      </c>
      <c r="Y41" s="25">
        <v>0</v>
      </c>
      <c r="Z41" s="24" t="s">
        <v>63</v>
      </c>
      <c r="AA41" s="24" t="s">
        <v>63</v>
      </c>
      <c r="AB41" s="24" t="s">
        <v>63</v>
      </c>
      <c r="AC41" s="24" t="s">
        <v>64</v>
      </c>
    </row>
    <row r="42" spans="1:29">
      <c r="A42" s="24" t="s">
        <v>54</v>
      </c>
      <c r="B42" s="24" t="s">
        <v>55</v>
      </c>
      <c r="C42" s="24" t="s">
        <v>56</v>
      </c>
      <c r="D42" s="24" t="s">
        <v>57</v>
      </c>
      <c r="E42" s="24" t="s">
        <v>163</v>
      </c>
      <c r="F42" s="24" t="s">
        <v>193</v>
      </c>
      <c r="G42" s="24" t="s">
        <v>194</v>
      </c>
      <c r="H42" s="27" t="s">
        <v>195</v>
      </c>
      <c r="I42" s="25">
        <v>459851</v>
      </c>
      <c r="J42" s="25">
        <v>344060.18</v>
      </c>
      <c r="K42" s="25">
        <v>344060.18</v>
      </c>
      <c r="L42" s="25">
        <v>300345.76</v>
      </c>
      <c r="M42" s="26">
        <f>I42-J42</f>
        <v>115790.82</v>
      </c>
      <c r="N42" s="26">
        <f>J42-K42</f>
        <v>0.0</v>
      </c>
      <c r="O42" s="26">
        <f>I42-L42</f>
        <v>159505.24000000005</v>
      </c>
      <c r="P42" s="28">
        <f>IF(I42&gt;0,L42/I42,0)</f>
        <v>0.6531371248513105</v>
      </c>
      <c r="Q42" s="28">
        <f>IF(I42&gt;0,K42/I42,0)</f>
        <v>0.748199264544385</v>
      </c>
      <c r="R42" s="24" t="str">
        <f>IF(I42&lt;=0,"Sin PIM",IF(L42/I42&gt;=Config!$B$5,"Ejecutado",IF(K42/I42&gt;=Config!$B$6,"Mayormente comprometido",IF(K42&gt;0.005,"Parcialmente comprometido",IF(J42&gt;0.005,"Solo certificado","Sin certificar")))))</f>
        <v>Mayormente comprometido</v>
      </c>
      <c r="S42" s="24" t="str">
        <f>IF(R42="Sin certificar","Disponible",IF(R42="Solo certificado","Posible",IF(R42="Parcialmente comprometido","Parcial",IF(R42="Mayormente comprometido","Difícil",IF(R42="Ejecutado","No usar","Sin PIM")))))</f>
        <v>Difícil</v>
      </c>
      <c r="T42" s="26">
        <f>IF(OR(I42&lt;=0,R42="Ejecutado"),0,MAX(0,I42-K42))</f>
        <v>115790.82</v>
      </c>
      <c r="U42" s="24" t="s">
        <v>196</v>
      </c>
      <c r="V42" s="25">
        <v>4800690</v>
      </c>
      <c r="W42" s="25">
        <v>4000000</v>
      </c>
      <c r="X42" s="25">
        <v>14883202</v>
      </c>
      <c r="Y42" s="25">
        <v>19038629</v>
      </c>
      <c r="Z42" s="24" t="s">
        <v>63</v>
      </c>
      <c r="AA42" s="24" t="s">
        <v>63</v>
      </c>
      <c r="AB42" s="24" t="s">
        <v>63</v>
      </c>
      <c r="AC42" s="24" t="s">
        <v>129</v>
      </c>
    </row>
    <row r="43" spans="1:29">
      <c r="A43" s="24" t="s">
        <v>54</v>
      </c>
      <c r="B43" s="24" t="s">
        <v>55</v>
      </c>
      <c r="C43" s="24" t="s">
        <v>56</v>
      </c>
      <c r="D43" s="24" t="s">
        <v>57</v>
      </c>
      <c r="E43" s="24" t="s">
        <v>163</v>
      </c>
      <c r="F43" s="24" t="s">
        <v>197</v>
      </c>
      <c r="G43" s="24" t="s">
        <v>198</v>
      </c>
      <c r="H43" s="27" t="s">
        <v>199</v>
      </c>
      <c r="I43" s="25">
        <v>91759</v>
      </c>
      <c r="J43" s="25">
        <v>91758.5</v>
      </c>
      <c r="K43" s="25">
        <v>82308.5</v>
      </c>
      <c r="L43" s="25">
        <v>82094.58</v>
      </c>
      <c r="M43" s="26">
        <f>I43-J43</f>
        <v>0.5</v>
      </c>
      <c r="N43" s="26">
        <f>J43-K43</f>
        <v>9450.0</v>
      </c>
      <c r="O43" s="26">
        <f>I43-L43</f>
        <v>9664.419999999998</v>
      </c>
      <c r="P43" s="28">
        <f>IF(I43&gt;0,L43/I43,0)</f>
        <v>0.8946760535751261</v>
      </c>
      <c r="Q43" s="28">
        <f>IF(I43&gt;0,K43/I43,0)</f>
        <v>0.8970073780228642</v>
      </c>
      <c r="R43" s="24" t="str">
        <f>IF(I43&lt;=0,"Sin PIM",IF(L43/I43&gt;=Config!$B$5,"Ejecutado",IF(K43/I43&gt;=Config!$B$6,"Mayormente comprometido",IF(K43&gt;0.005,"Parcialmente comprometido",IF(J43&gt;0.005,"Solo certificado","Sin certificar")))))</f>
        <v>Mayormente comprometido</v>
      </c>
      <c r="S43" s="24" t="str">
        <f>IF(R43="Sin certificar","Disponible",IF(R43="Solo certificado","Posible",IF(R43="Parcialmente comprometido","Parcial",IF(R43="Mayormente comprometido","Difícil",IF(R43="Ejecutado","No usar","Sin PIM")))))</f>
        <v>Difícil</v>
      </c>
      <c r="T43" s="26">
        <f>IF(OR(I43&lt;=0,R43="Ejecutado"),0,MAX(0,I43-K43))</f>
        <v>9450.5</v>
      </c>
      <c r="U43" s="24" t="s">
        <v>141</v>
      </c>
      <c r="V43" s="25">
        <v>774665</v>
      </c>
      <c r="W43" s="25">
        <v>0</v>
      </c>
      <c r="X43" s="25">
        <v>707599</v>
      </c>
      <c r="Y43" s="25">
        <v>0</v>
      </c>
      <c r="Z43" s="24" t="s">
        <v>63</v>
      </c>
      <c r="AA43" s="24" t="s">
        <v>63</v>
      </c>
      <c r="AB43" s="24" t="s">
        <v>63</v>
      </c>
      <c r="AC43" s="24" t="s">
        <v>64</v>
      </c>
    </row>
    <row r="44" spans="1:29">
      <c r="A44" s="24" t="s">
        <v>54</v>
      </c>
      <c r="B44" s="24" t="s">
        <v>55</v>
      </c>
      <c r="C44" s="24" t="s">
        <v>56</v>
      </c>
      <c r="D44" s="24" t="s">
        <v>57</v>
      </c>
      <c r="E44" s="24" t="s">
        <v>163</v>
      </c>
      <c r="F44" s="24" t="s">
        <v>200</v>
      </c>
      <c r="G44" s="24" t="s">
        <v>201</v>
      </c>
      <c r="H44" s="27" t="s">
        <v>202</v>
      </c>
      <c r="I44" s="25">
        <v>104124</v>
      </c>
      <c r="J44" s="25">
        <v>48234.88</v>
      </c>
      <c r="K44" s="25">
        <v>48234.88</v>
      </c>
      <c r="L44" s="25">
        <v>48234.88</v>
      </c>
      <c r="M44" s="26">
        <f>I44-J44</f>
        <v>55889.12</v>
      </c>
      <c r="N44" s="26">
        <f>J44-K44</f>
        <v>0.0</v>
      </c>
      <c r="O44" s="26">
        <f>I44-L44</f>
        <v>55889.12</v>
      </c>
      <c r="P44" s="28">
        <f>IF(I44&gt;0,L44/I44,0)</f>
        <v>0.46324459298528675</v>
      </c>
      <c r="Q44" s="28">
        <f>IF(I44&gt;0,K44/I44,0)</f>
        <v>0.46324459298528675</v>
      </c>
      <c r="R44" s="24" t="str">
        <f>IF(I44&lt;=0,"Sin PIM",IF(L44/I44&gt;=Config!$B$5,"Ejecutado",IF(K44/I44&gt;=Config!$B$6,"Mayormente comprometido",IF(K44&gt;0.005,"Parcialmente comprometido",IF(J44&gt;0.005,"Solo certificado","Sin certificar")))))</f>
        <v>Parcialmente comprometido</v>
      </c>
      <c r="S44" s="24" t="str">
        <f>IF(R44="Sin certificar","Disponible",IF(R44="Solo certificado","Posible",IF(R44="Parcialmente comprometido","Parcial",IF(R44="Mayormente comprometido","Difícil",IF(R44="Ejecutado","No usar","Sin PIM")))))</f>
        <v>Parcial</v>
      </c>
      <c r="T44" s="26">
        <f>IF(OR(I44&lt;=0,R44="Ejecutado"),0,MAX(0,I44-K44))</f>
        <v>55889.12</v>
      </c>
      <c r="U44" s="24" t="s">
        <v>75</v>
      </c>
      <c r="V44" s="25">
        <v>228677</v>
      </c>
      <c r="W44" s="25">
        <v>0</v>
      </c>
      <c r="X44" s="25">
        <v>0</v>
      </c>
      <c r="Y44" s="25">
        <v>865181</v>
      </c>
      <c r="Z44" s="24" t="s">
        <v>63</v>
      </c>
      <c r="AA44" s="24" t="s">
        <v>63</v>
      </c>
      <c r="AB44" s="24" t="s">
        <v>63</v>
      </c>
      <c r="AC44" s="24" t="s">
        <v>64</v>
      </c>
    </row>
    <row r="45" spans="1:29">
      <c r="A45" s="24" t="s">
        <v>54</v>
      </c>
      <c r="B45" s="24" t="s">
        <v>55</v>
      </c>
      <c r="C45" s="24" t="s">
        <v>56</v>
      </c>
      <c r="D45" s="24" t="s">
        <v>57</v>
      </c>
      <c r="E45" s="24" t="s">
        <v>163</v>
      </c>
      <c r="F45" s="24" t="s">
        <v>203</v>
      </c>
      <c r="G45" s="24" t="s">
        <v>204</v>
      </c>
      <c r="H45" s="27" t="s">
        <v>205</v>
      </c>
      <c r="I45" s="25">
        <v>22224878</v>
      </c>
      <c r="J45" s="25">
        <v>21946068.2</v>
      </c>
      <c r="K45" s="25">
        <v>18817053.32</v>
      </c>
      <c r="L45" s="25">
        <v>7073509.560000001</v>
      </c>
      <c r="M45" s="26">
        <f>I45-J45</f>
        <v>278809.80000000075</v>
      </c>
      <c r="N45" s="26">
        <f>J45-K45</f>
        <v>3129014.879999999</v>
      </c>
      <c r="O45" s="26">
        <f>I45-L45</f>
        <v>15151368.44</v>
      </c>
      <c r="P45" s="28">
        <f>IF(I45&gt;0,L45/I45,0)</f>
        <v>0.31826989376499615</v>
      </c>
      <c r="Q45" s="28">
        <f>IF(I45&gt;0,K45/I45,0)</f>
        <v>0.8466662143207265</v>
      </c>
      <c r="R45" s="24" t="str">
        <f>IF(I45&lt;=0,"Sin PIM",IF(L45/I45&gt;=Config!$B$5,"Ejecutado",IF(K45/I45&gt;=Config!$B$6,"Mayormente comprometido",IF(K45&gt;0.005,"Parcialmente comprometido",IF(J45&gt;0.005,"Solo certificado","Sin certificar")))))</f>
        <v>Mayormente comprometido</v>
      </c>
      <c r="S45" s="24" t="str">
        <f>IF(R45="Sin certificar","Disponible",IF(R45="Solo certificado","Posible",IF(R45="Parcialmente comprometido","Parcial",IF(R45="Mayormente comprometido","Difícil",IF(R45="Ejecutado","No usar","Sin PIM")))))</f>
        <v>Difícil</v>
      </c>
      <c r="T45" s="26">
        <f>IF(OR(I45&lt;=0,R45="Ejecutado"),0,MAX(0,I45-K45))</f>
        <v>3407824.6799999997</v>
      </c>
      <c r="U45" s="24" t="s">
        <v>206</v>
      </c>
      <c r="V45" s="24" t="s">
        <v>69</v>
      </c>
      <c r="W45" s="24" t="s">
        <v>69</v>
      </c>
      <c r="X45" s="24" t="s">
        <v>69</v>
      </c>
      <c r="Y45" s="24" t="s">
        <v>69</v>
      </c>
      <c r="Z45" s="24" t="s">
        <v>63</v>
      </c>
      <c r="AA45" s="24" t="s">
        <v>63</v>
      </c>
      <c r="AB45" s="24" t="s">
        <v>63</v>
      </c>
      <c r="AC45" s="24" t="s">
        <v>70</v>
      </c>
    </row>
    <row r="46" spans="1:29">
      <c r="A46" s="24" t="s">
        <v>54</v>
      </c>
      <c r="B46" s="24" t="s">
        <v>55</v>
      </c>
      <c r="C46" s="24" t="s">
        <v>56</v>
      </c>
      <c r="D46" s="24" t="s">
        <v>57</v>
      </c>
      <c r="E46" s="24" t="s">
        <v>163</v>
      </c>
      <c r="F46" s="24" t="s">
        <v>207</v>
      </c>
      <c r="G46" s="24" t="s">
        <v>208</v>
      </c>
      <c r="H46" s="27" t="s">
        <v>209</v>
      </c>
      <c r="I46" s="25">
        <v>11412366</v>
      </c>
      <c r="J46" s="25">
        <v>10878205.23</v>
      </c>
      <c r="K46" s="25">
        <v>8448139.23</v>
      </c>
      <c r="L46" s="25">
        <v>6860678.420000001</v>
      </c>
      <c r="M46" s="26">
        <f>I46-J46</f>
        <v>534160.7700000014</v>
      </c>
      <c r="N46" s="26">
        <f>J46-K46</f>
        <v>2430065.999999998</v>
      </c>
      <c r="O46" s="26">
        <f>I46-L46</f>
        <v>4551687.579999999</v>
      </c>
      <c r="P46" s="28">
        <f>IF(I46&gt;0,L46/I46,0)</f>
        <v>0.6011617941450529</v>
      </c>
      <c r="Q46" s="28">
        <f>IF(I46&gt;0,K46/I46,0)</f>
        <v>0.7402618554294527</v>
      </c>
      <c r="R46" s="24" t="str">
        <f>IF(I46&lt;=0,"Sin PIM",IF(L46/I46&gt;=Config!$B$5,"Ejecutado",IF(K46/I46&gt;=Config!$B$6,"Mayormente comprometido",IF(K46&gt;0.005,"Parcialmente comprometido",IF(J46&gt;0.005,"Solo certificado","Sin certificar")))))</f>
        <v>Mayormente comprometido</v>
      </c>
      <c r="S46" s="24" t="str">
        <f>IF(R46="Sin certificar","Disponible",IF(R46="Solo certificado","Posible",IF(R46="Parcialmente comprometido","Parcial",IF(R46="Mayormente comprometido","Difícil",IF(R46="Ejecutado","No usar","Sin PIM")))))</f>
        <v>Difícil</v>
      </c>
      <c r="T46" s="26">
        <f>IF(OR(I46&lt;=0,R46="Ejecutado"),0,MAX(0,I46-K46))</f>
        <v>2964226.7699999996</v>
      </c>
      <c r="U46" s="24" t="s">
        <v>210</v>
      </c>
      <c r="V46" s="25">
        <v>2800000</v>
      </c>
      <c r="W46" s="25">
        <v>10234564</v>
      </c>
      <c r="X46" s="25">
        <v>6182303</v>
      </c>
      <c r="Y46" s="25">
        <v>9563936</v>
      </c>
      <c r="Z46" s="24" t="s">
        <v>63</v>
      </c>
      <c r="AA46" s="24" t="s">
        <v>63</v>
      </c>
      <c r="AB46" s="24" t="s">
        <v>63</v>
      </c>
      <c r="AC46" s="24" t="s">
        <v>89</v>
      </c>
    </row>
    <row r="47" spans="1:29">
      <c r="A47" s="24" t="s">
        <v>54</v>
      </c>
      <c r="B47" s="24" t="s">
        <v>55</v>
      </c>
      <c r="C47" s="24" t="s">
        <v>56</v>
      </c>
      <c r="D47" s="24" t="s">
        <v>57</v>
      </c>
      <c r="E47" s="24" t="s">
        <v>163</v>
      </c>
      <c r="F47" s="24" t="s">
        <v>211</v>
      </c>
      <c r="G47" s="24" t="s">
        <v>212</v>
      </c>
      <c r="H47" s="27" t="s">
        <v>213</v>
      </c>
      <c r="I47" s="25">
        <v>6736048</v>
      </c>
      <c r="J47" s="25">
        <v>6652871.21</v>
      </c>
      <c r="K47" s="25">
        <v>5551874.71</v>
      </c>
      <c r="L47" s="25">
        <v>3336854.35</v>
      </c>
      <c r="M47" s="26">
        <f>I47-J47</f>
        <v>83176.79000000004</v>
      </c>
      <c r="N47" s="26">
        <f>J47-K47</f>
        <v>1100996.5</v>
      </c>
      <c r="O47" s="26">
        <f>I47-L47</f>
        <v>3399193.65</v>
      </c>
      <c r="P47" s="28">
        <f>IF(I47&gt;0,L47/I47,0)</f>
        <v>0.4953727096362734</v>
      </c>
      <c r="Q47" s="28">
        <f>IF(I47&gt;0,K47/I47,0)</f>
        <v>0.8242035552597012</v>
      </c>
      <c r="R47" s="24" t="str">
        <f>IF(I47&lt;=0,"Sin PIM",IF(L47/I47&gt;=Config!$B$5,"Ejecutado",IF(K47/I47&gt;=Config!$B$6,"Mayormente comprometido",IF(K47&gt;0.005,"Parcialmente comprometido",IF(J47&gt;0.005,"Solo certificado","Sin certificar")))))</f>
        <v>Mayormente comprometido</v>
      </c>
      <c r="S47" s="24" t="str">
        <f>IF(R47="Sin certificar","Disponible",IF(R47="Solo certificado","Posible",IF(R47="Parcialmente comprometido","Parcial",IF(R47="Mayormente comprometido","Difícil",IF(R47="Ejecutado","No usar","Sin PIM")))))</f>
        <v>Difícil</v>
      </c>
      <c r="T47" s="26">
        <f>IF(OR(I47&lt;=0,R47="Ejecutado"),0,MAX(0,I47-K47))</f>
        <v>1184173.29</v>
      </c>
      <c r="U47" s="24" t="s">
        <v>214</v>
      </c>
      <c r="V47" s="25">
        <v>800000</v>
      </c>
      <c r="W47" s="25">
        <v>12057170</v>
      </c>
      <c r="X47" s="25">
        <v>6000000</v>
      </c>
      <c r="Y47" s="25">
        <v>7375100</v>
      </c>
      <c r="Z47" s="24" t="s">
        <v>63</v>
      </c>
      <c r="AA47" s="24" t="s">
        <v>63</v>
      </c>
      <c r="AB47" s="24" t="s">
        <v>63</v>
      </c>
      <c r="AC47" s="24" t="s">
        <v>89</v>
      </c>
    </row>
    <row r="48" spans="1:29">
      <c r="A48" s="24" t="s">
        <v>54</v>
      </c>
      <c r="B48" s="24" t="s">
        <v>55</v>
      </c>
      <c r="C48" s="24" t="s">
        <v>56</v>
      </c>
      <c r="D48" s="24" t="s">
        <v>57</v>
      </c>
      <c r="E48" s="24" t="s">
        <v>163</v>
      </c>
      <c r="F48" s="24" t="s">
        <v>215</v>
      </c>
      <c r="G48" s="24" t="s">
        <v>216</v>
      </c>
      <c r="H48" s="27" t="s">
        <v>217</v>
      </c>
      <c r="I48" s="25">
        <v>9037622</v>
      </c>
      <c r="J48" s="25">
        <v>8236997.09</v>
      </c>
      <c r="K48" s="25">
        <v>7212897.089999999</v>
      </c>
      <c r="L48" s="25">
        <v>5290297.699999999</v>
      </c>
      <c r="M48" s="26">
        <f>I48-J48</f>
        <v>800624.9100000001</v>
      </c>
      <c r="N48" s="26">
        <f>J48-K48</f>
        <v>1024100.0000000009</v>
      </c>
      <c r="O48" s="26">
        <f>I48-L48</f>
        <v>3747324.3000000007</v>
      </c>
      <c r="P48" s="28">
        <f>IF(I48&gt;0,L48/I48,0)</f>
        <v>0.585363904354486</v>
      </c>
      <c r="Q48" s="28">
        <f>IF(I48&gt;0,K48/I48,0)</f>
        <v>0.7980967880710212</v>
      </c>
      <c r="R48" s="24" t="str">
        <f>IF(I48&lt;=0,"Sin PIM",IF(L48/I48&gt;=Config!$B$5,"Ejecutado",IF(K48/I48&gt;=Config!$B$6,"Mayormente comprometido",IF(K48&gt;0.005,"Parcialmente comprometido",IF(J48&gt;0.005,"Solo certificado","Sin certificar")))))</f>
        <v>Mayormente comprometido</v>
      </c>
      <c r="S48" s="24" t="str">
        <f>IF(R48="Sin certificar","Disponible",IF(R48="Solo certificado","Posible",IF(R48="Parcialmente comprometido","Parcial",IF(R48="Mayormente comprometido","Difícil",IF(R48="Ejecutado","No usar","Sin PIM")))))</f>
        <v>Difícil</v>
      </c>
      <c r="T48" s="26">
        <f>IF(OR(I48&lt;=0,R48="Ejecutado"),0,MAX(0,I48-K48))</f>
        <v>1824724.910000001</v>
      </c>
      <c r="U48" s="24" t="s">
        <v>218</v>
      </c>
      <c r="V48" s="25">
        <v>2500000</v>
      </c>
      <c r="W48" s="25">
        <v>6578987</v>
      </c>
      <c r="X48" s="25">
        <v>6552040</v>
      </c>
      <c r="Y48" s="25">
        <v>2921013</v>
      </c>
      <c r="Z48" s="24" t="s">
        <v>63</v>
      </c>
      <c r="AA48" s="24" t="s">
        <v>63</v>
      </c>
      <c r="AB48" s="24" t="s">
        <v>63</v>
      </c>
      <c r="AC48" s="24" t="s">
        <v>89</v>
      </c>
    </row>
    <row r="49" spans="1:29">
      <c r="A49" s="24" t="s">
        <v>54</v>
      </c>
      <c r="B49" s="24" t="s">
        <v>55</v>
      </c>
      <c r="C49" s="24" t="s">
        <v>56</v>
      </c>
      <c r="D49" s="24" t="s">
        <v>57</v>
      </c>
      <c r="E49" s="24" t="s">
        <v>163</v>
      </c>
      <c r="F49" s="24" t="s">
        <v>219</v>
      </c>
      <c r="G49" s="24" t="s">
        <v>220</v>
      </c>
      <c r="H49" s="27" t="s">
        <v>221</v>
      </c>
      <c r="I49" s="25">
        <v>67139</v>
      </c>
      <c r="J49" s="25">
        <v>0</v>
      </c>
      <c r="K49" s="25">
        <v>0</v>
      </c>
      <c r="L49" s="25">
        <v>0</v>
      </c>
      <c r="M49" s="26">
        <f>I49-J49</f>
        <v>67139.0</v>
      </c>
      <c r="N49" s="26">
        <f>J49-K49</f>
        <v>0.0</v>
      </c>
      <c r="O49" s="26">
        <f>I49-L49</f>
        <v>67139.0</v>
      </c>
      <c r="P49" s="28">
        <f>IF(I49&gt;0,L49/I49,0)</f>
        <v>0.0</v>
      </c>
      <c r="Q49" s="28">
        <f>IF(I49&gt;0,K49/I49,0)</f>
        <v>0.0</v>
      </c>
      <c r="R49" s="24" t="str">
        <f>IF(I49&lt;=0,"Sin PIM",IF(L49/I49&gt;=Config!$B$5,"Ejecutado",IF(K49/I49&gt;=Config!$B$6,"Mayormente comprometido",IF(K49&gt;0.005,"Parcialmente comprometido",IF(J49&gt;0.005,"Solo certificado","Sin certificar")))))</f>
        <v>Sin certificar</v>
      </c>
      <c r="S49" s="24" t="str">
        <f>IF(R49="Sin certificar","Disponible",IF(R49="Solo certificado","Posible",IF(R49="Parcialmente comprometido","Parcial",IF(R49="Mayormente comprometido","Difícil",IF(R49="Ejecutado","No usar","Sin PIM")))))</f>
        <v>Disponible</v>
      </c>
      <c r="T49" s="26">
        <f>IF(OR(I49&lt;=0,R49="Ejecutado"),0,MAX(0,I49-K49))</f>
        <v>67139.0</v>
      </c>
      <c r="U49" s="24" t="s">
        <v>105</v>
      </c>
      <c r="V49" s="25">
        <v>1732548</v>
      </c>
      <c r="W49" s="25">
        <v>0</v>
      </c>
      <c r="X49" s="25">
        <v>2325267</v>
      </c>
      <c r="Y49" s="25">
        <v>0</v>
      </c>
      <c r="Z49" s="24" t="s">
        <v>63</v>
      </c>
      <c r="AA49" s="24" t="s">
        <v>63</v>
      </c>
      <c r="AB49" s="24" t="s">
        <v>63</v>
      </c>
      <c r="AC49" s="24" t="s">
        <v>129</v>
      </c>
    </row>
    <row r="50" spans="1:29">
      <c r="A50" s="24" t="s">
        <v>54</v>
      </c>
      <c r="B50" s="24" t="s">
        <v>55</v>
      </c>
      <c r="C50" s="24" t="s">
        <v>56</v>
      </c>
      <c r="D50" s="24" t="s">
        <v>57</v>
      </c>
      <c r="E50" s="24" t="s">
        <v>163</v>
      </c>
      <c r="F50" s="24" t="s">
        <v>222</v>
      </c>
      <c r="G50" s="24" t="s">
        <v>223</v>
      </c>
      <c r="H50" s="27" t="s">
        <v>224</v>
      </c>
      <c r="I50" s="25">
        <v>105000</v>
      </c>
      <c r="J50" s="25">
        <v>44312.3</v>
      </c>
      <c r="K50" s="25">
        <v>44312.3</v>
      </c>
      <c r="L50" s="25">
        <v>39935.87</v>
      </c>
      <c r="M50" s="26">
        <f>I50-J50</f>
        <v>60687.7</v>
      </c>
      <c r="N50" s="26">
        <f>J50-K50</f>
        <v>0.0</v>
      </c>
      <c r="O50" s="26">
        <f>I50-L50</f>
        <v>65064.13</v>
      </c>
      <c r="P50" s="28">
        <f>IF(I50&gt;0,L50/I50,0)</f>
        <v>0.3803416190476191</v>
      </c>
      <c r="Q50" s="28">
        <f>IF(I50&gt;0,K50/I50,0)</f>
        <v>0.42202190476190476</v>
      </c>
      <c r="R50" s="24" t="str">
        <f>IF(I50&lt;=0,"Sin PIM",IF(L50/I50&gt;=Config!$B$5,"Ejecutado",IF(K50/I50&gt;=Config!$B$6,"Mayormente comprometido",IF(K50&gt;0.005,"Parcialmente comprometido",IF(J50&gt;0.005,"Solo certificado","Sin certificar")))))</f>
        <v>Parcialmente comprometido</v>
      </c>
      <c r="S50" s="24" t="str">
        <f>IF(R50="Sin certificar","Disponible",IF(R50="Solo certificado","Posible",IF(R50="Parcialmente comprometido","Parcial",IF(R50="Mayormente comprometido","Difícil",IF(R50="Ejecutado","No usar","Sin PIM")))))</f>
        <v>Parcial</v>
      </c>
      <c r="T50" s="26">
        <f>IF(OR(I50&lt;=0,R50="Ejecutado"),0,MAX(0,I50-K50))</f>
        <v>60687.7</v>
      </c>
      <c r="U50" s="24" t="s">
        <v>75</v>
      </c>
      <c r="V50" s="25">
        <v>105000</v>
      </c>
      <c r="W50" s="25">
        <v>0</v>
      </c>
      <c r="X50" s="25">
        <v>0</v>
      </c>
      <c r="Y50" s="25">
        <v>0</v>
      </c>
      <c r="Z50" s="24" t="s">
        <v>63</v>
      </c>
      <c r="AA50" s="24" t="s">
        <v>63</v>
      </c>
      <c r="AB50" s="24" t="s">
        <v>63</v>
      </c>
      <c r="AC50" s="24" t="s">
        <v>89</v>
      </c>
    </row>
    <row r="51" spans="1:29">
      <c r="A51" s="24" t="s">
        <v>54</v>
      </c>
      <c r="B51" s="24" t="s">
        <v>55</v>
      </c>
      <c r="C51" s="24" t="s">
        <v>56</v>
      </c>
      <c r="D51" s="24" t="s">
        <v>57</v>
      </c>
      <c r="E51" s="24" t="s">
        <v>163</v>
      </c>
      <c r="F51" s="24" t="s">
        <v>211</v>
      </c>
      <c r="G51" s="24" t="s">
        <v>225</v>
      </c>
      <c r="H51" s="27" t="s">
        <v>213</v>
      </c>
      <c r="I51" s="25">
        <v>94054</v>
      </c>
      <c r="J51" s="25">
        <v>94054</v>
      </c>
      <c r="K51" s="25">
        <v>94054</v>
      </c>
      <c r="L51" s="25">
        <v>60075.86</v>
      </c>
      <c r="M51" s="26">
        <f>I51-J51</f>
        <v>0.0</v>
      </c>
      <c r="N51" s="26">
        <f>J51-K51</f>
        <v>0.0</v>
      </c>
      <c r="O51" s="26">
        <f>I51-L51</f>
        <v>33978.14</v>
      </c>
      <c r="P51" s="28">
        <f>IF(I51&gt;0,L51/I51,0)</f>
        <v>0.638737959044804</v>
      </c>
      <c r="Q51" s="28">
        <f>IF(I51&gt;0,K51/I51,0)</f>
        <v>1.0</v>
      </c>
      <c r="R51" s="24" t="str">
        <f>IF(I51&lt;=0,"Sin PIM",IF(L51/I51&gt;=Config!$B$5,"Ejecutado",IF(K51/I51&gt;=Config!$B$6,"Mayormente comprometido",IF(K51&gt;0.005,"Parcialmente comprometido",IF(J51&gt;0.005,"Solo certificado","Sin certificar")))))</f>
        <v>Mayormente comprometido</v>
      </c>
      <c r="S51" s="24" t="str">
        <f>IF(R51="Sin certificar","Disponible",IF(R51="Solo certificado","Posible",IF(R51="Parcialmente comprometido","Parcial",IF(R51="Mayormente comprometido","Difícil",IF(R51="Ejecutado","No usar","Sin PIM")))))</f>
        <v>Difícil</v>
      </c>
      <c r="T51" s="26">
        <f>IF(OR(I51&lt;=0,R51="Ejecutado"),0,MAX(0,I51-K51))</f>
        <v>0.0</v>
      </c>
      <c r="U51" s="24" t="s">
        <v>123</v>
      </c>
      <c r="V51" s="25">
        <v>800000</v>
      </c>
      <c r="W51" s="25">
        <v>12057170</v>
      </c>
      <c r="X51" s="25">
        <v>6000000</v>
      </c>
      <c r="Y51" s="25">
        <v>7375100</v>
      </c>
      <c r="Z51" s="24" t="s">
        <v>63</v>
      </c>
      <c r="AA51" s="24" t="s">
        <v>63</v>
      </c>
      <c r="AB51" s="24" t="s">
        <v>63</v>
      </c>
      <c r="AC51" s="24" t="s">
        <v>124</v>
      </c>
    </row>
    <row r="52" spans="1:29">
      <c r="A52" s="24" t="s">
        <v>54</v>
      </c>
      <c r="B52" s="24" t="s">
        <v>55</v>
      </c>
      <c r="C52" s="24" t="s">
        <v>56</v>
      </c>
      <c r="D52" s="24" t="s">
        <v>57</v>
      </c>
      <c r="E52" s="24" t="s">
        <v>163</v>
      </c>
      <c r="F52" s="24" t="s">
        <v>226</v>
      </c>
      <c r="G52" s="24" t="s">
        <v>227</v>
      </c>
      <c r="H52" s="27" t="s">
        <v>228</v>
      </c>
      <c r="I52" s="25">
        <v>28752</v>
      </c>
      <c r="J52" s="25">
        <v>28751.6</v>
      </c>
      <c r="K52" s="25">
        <v>28751.6</v>
      </c>
      <c r="L52" s="25">
        <v>28751.6</v>
      </c>
      <c r="M52" s="26">
        <f>I52-J52</f>
        <v>0.4000000000014552</v>
      </c>
      <c r="N52" s="26">
        <f>J52-K52</f>
        <v>0.0</v>
      </c>
      <c r="O52" s="26">
        <f>I52-L52</f>
        <v>0.4000000000014552</v>
      </c>
      <c r="P52" s="28">
        <f>IF(I52&gt;0,L52/I52,0)</f>
        <v>0.9999860879243183</v>
      </c>
      <c r="Q52" s="28">
        <f>IF(I52&gt;0,K52/I52,0)</f>
        <v>0.9999860879243183</v>
      </c>
      <c r="R52" s="24" t="str">
        <f>IF(I52&lt;=0,"Sin PIM",IF(L52/I52&gt;=Config!$B$5,"Ejecutado",IF(K52/I52&gt;=Config!$B$6,"Mayormente comprometido",IF(K52&gt;0.005,"Parcialmente comprometido",IF(J52&gt;0.005,"Solo certificado","Sin certificar")))))</f>
        <v>Ejecutado</v>
      </c>
      <c r="S52" s="24" t="str">
        <f>IF(R52="Sin certificar","Disponible",IF(R52="Solo certificado","Posible",IF(R52="Parcialmente comprometido","Parcial",IF(R52="Mayormente comprometido","Difícil",IF(R52="Ejecutado","No usar","Sin PIM")))))</f>
        <v>No usar</v>
      </c>
      <c r="T52" s="26">
        <f>IF(OR(I52&lt;=0,R52="Ejecutado"),0,MAX(0,I52-K52))</f>
        <v>0.0</v>
      </c>
      <c r="U52" s="24" t="s">
        <v>133</v>
      </c>
      <c r="V52" s="25">
        <v>28752</v>
      </c>
      <c r="W52" s="25">
        <v>50000</v>
      </c>
      <c r="X52" s="25">
        <v>0</v>
      </c>
      <c r="Y52" s="25">
        <v>0</v>
      </c>
      <c r="Z52" s="24" t="s">
        <v>63</v>
      </c>
      <c r="AA52" s="24" t="s">
        <v>63</v>
      </c>
      <c r="AB52" s="24" t="s">
        <v>63</v>
      </c>
      <c r="AC52" s="24" t="s">
        <v>89</v>
      </c>
    </row>
    <row r="53" spans="1:29">
      <c r="A53" s="24" t="s">
        <v>54</v>
      </c>
      <c r="B53" s="24" t="s">
        <v>55</v>
      </c>
      <c r="C53" s="24" t="s">
        <v>56</v>
      </c>
      <c r="D53" s="24" t="s">
        <v>57</v>
      </c>
      <c r="E53" s="24" t="s">
        <v>163</v>
      </c>
      <c r="F53" s="24" t="s">
        <v>229</v>
      </c>
      <c r="G53" s="24" t="s">
        <v>230</v>
      </c>
      <c r="H53" s="27" t="s">
        <v>231</v>
      </c>
      <c r="I53" s="25">
        <v>0</v>
      </c>
      <c r="J53" s="25">
        <v>0</v>
      </c>
      <c r="K53" s="25">
        <v>0</v>
      </c>
      <c r="L53" s="25">
        <v>0</v>
      </c>
      <c r="M53" s="26">
        <f>I53-J53</f>
        <v>0.0</v>
      </c>
      <c r="N53" s="26">
        <f>J53-K53</f>
        <v>0.0</v>
      </c>
      <c r="O53" s="26">
        <f>I53-L53</f>
        <v>0.0</v>
      </c>
      <c r="P53" s="28">
        <f>IF(I53&gt;0,L53/I53,0)</f>
        <v>0</v>
      </c>
      <c r="Q53" s="28">
        <f>IF(I53&gt;0,K53/I53,0)</f>
        <v>0</v>
      </c>
      <c r="R53" s="24" t="str">
        <f>IF(I53&lt;=0,"Sin PIM",IF(L53/I53&gt;=Config!$B$5,"Ejecutado",IF(K53/I53&gt;=Config!$B$6,"Mayormente comprometido",IF(K53&gt;0.005,"Parcialmente comprometido",IF(J53&gt;0.005,"Solo certificado","Sin certificar")))))</f>
        <v>Sin PIM</v>
      </c>
      <c r="S53" s="24" t="str">
        <f>IF(R53="Sin certificar","Disponible",IF(R53="Solo certificado","Posible",IF(R53="Parcialmente comprometido","Parcial",IF(R53="Mayormente comprometido","Difícil",IF(R53="Ejecutado","No usar","Sin PIM")))))</f>
        <v>Sin PIM</v>
      </c>
      <c r="T53" s="26">
        <f>IF(OR(I53&lt;=0,R53="Ejecutado"),0,MAX(0,I53-K53))</f>
        <v>0.0</v>
      </c>
      <c r="U53" s="24" t="s">
        <v>232</v>
      </c>
      <c r="V53" s="25">
        <v>7600000</v>
      </c>
      <c r="W53" s="25">
        <v>413080</v>
      </c>
      <c r="X53" s="25">
        <v>1413086</v>
      </c>
      <c r="Y53" s="25">
        <v>5797708</v>
      </c>
      <c r="Z53" s="24" t="s">
        <v>63</v>
      </c>
      <c r="AA53" s="24" t="s">
        <v>63</v>
      </c>
      <c r="AB53" s="24" t="s">
        <v>63</v>
      </c>
      <c r="AC53" s="24" t="s">
        <v>129</v>
      </c>
    </row>
    <row r="54" spans="1:29">
      <c r="A54" s="24" t="s">
        <v>54</v>
      </c>
      <c r="B54" s="24" t="s">
        <v>55</v>
      </c>
      <c r="C54" s="24" t="s">
        <v>56</v>
      </c>
      <c r="D54" s="24" t="s">
        <v>57</v>
      </c>
      <c r="E54" s="24" t="s">
        <v>163</v>
      </c>
      <c r="F54" s="24" t="s">
        <v>233</v>
      </c>
      <c r="G54" s="24" t="s">
        <v>234</v>
      </c>
      <c r="H54" s="27" t="s">
        <v>235</v>
      </c>
      <c r="I54" s="25">
        <v>0</v>
      </c>
      <c r="J54" s="25">
        <v>0</v>
      </c>
      <c r="K54" s="25">
        <v>0</v>
      </c>
      <c r="L54" s="25">
        <v>0</v>
      </c>
      <c r="M54" s="26">
        <f>I54-J54</f>
        <v>0.0</v>
      </c>
      <c r="N54" s="26">
        <f>J54-K54</f>
        <v>0.0</v>
      </c>
      <c r="O54" s="26">
        <f>I54-L54</f>
        <v>0.0</v>
      </c>
      <c r="P54" s="28">
        <f>IF(I54&gt;0,L54/I54,0)</f>
        <v>0</v>
      </c>
      <c r="Q54" s="28">
        <f>IF(I54&gt;0,K54/I54,0)</f>
        <v>0</v>
      </c>
      <c r="R54" s="24" t="str">
        <f>IF(I54&lt;=0,"Sin PIM",IF(L54/I54&gt;=Config!$B$5,"Ejecutado",IF(K54/I54&gt;=Config!$B$6,"Mayormente comprometido",IF(K54&gt;0.005,"Parcialmente comprometido",IF(J54&gt;0.005,"Solo certificado","Sin certificar")))))</f>
        <v>Sin PIM</v>
      </c>
      <c r="S54" s="24" t="str">
        <f>IF(R54="Sin certificar","Disponible",IF(R54="Solo certificado","Posible",IF(R54="Parcialmente comprometido","Parcial",IF(R54="Mayormente comprometido","Difícil",IF(R54="Ejecutado","No usar","Sin PIM")))))</f>
        <v>Sin PIM</v>
      </c>
      <c r="T54" s="26">
        <f>IF(OR(I54&lt;=0,R54="Ejecutado"),0,MAX(0,I54-K54))</f>
        <v>0.0</v>
      </c>
      <c r="U54" s="24" t="s">
        <v>105</v>
      </c>
      <c r="V54" s="25">
        <v>3778561</v>
      </c>
      <c r="W54" s="25">
        <v>0</v>
      </c>
      <c r="X54" s="25">
        <v>0</v>
      </c>
      <c r="Y54" s="25">
        <v>1047863</v>
      </c>
      <c r="Z54" s="24" t="s">
        <v>63</v>
      </c>
      <c r="AA54" s="24" t="s">
        <v>63</v>
      </c>
      <c r="AB54" s="24" t="s">
        <v>63</v>
      </c>
      <c r="AC54" s="24" t="s">
        <v>129</v>
      </c>
    </row>
    <row r="55" spans="1:29">
      <c r="A55" s="24" t="s">
        <v>54</v>
      </c>
      <c r="B55" s="24" t="s">
        <v>55</v>
      </c>
      <c r="C55" s="24" t="s">
        <v>56</v>
      </c>
      <c r="D55" s="24" t="s">
        <v>57</v>
      </c>
      <c r="E55" s="24" t="s">
        <v>163</v>
      </c>
      <c r="F55" s="24" t="s">
        <v>236</v>
      </c>
      <c r="G55" s="24" t="s">
        <v>237</v>
      </c>
      <c r="H55" s="27" t="s">
        <v>238</v>
      </c>
      <c r="I55" s="25">
        <v>0</v>
      </c>
      <c r="J55" s="25">
        <v>0</v>
      </c>
      <c r="K55" s="25">
        <v>0</v>
      </c>
      <c r="L55" s="25">
        <v>0</v>
      </c>
      <c r="M55" s="26">
        <f>I55-J55</f>
        <v>0.0</v>
      </c>
      <c r="N55" s="26">
        <f>J55-K55</f>
        <v>0.0</v>
      </c>
      <c r="O55" s="26">
        <f>I55-L55</f>
        <v>0.0</v>
      </c>
      <c r="P55" s="28">
        <f>IF(I55&gt;0,L55/I55,0)</f>
        <v>0</v>
      </c>
      <c r="Q55" s="28">
        <f>IF(I55&gt;0,K55/I55,0)</f>
        <v>0</v>
      </c>
      <c r="R55" s="24" t="str">
        <f>IF(I55&lt;=0,"Sin PIM",IF(L55/I55&gt;=Config!$B$5,"Ejecutado",IF(K55/I55&gt;=Config!$B$6,"Mayormente comprometido",IF(K55&gt;0.005,"Parcialmente comprometido",IF(J55&gt;0.005,"Solo certificado","Sin certificar")))))</f>
        <v>Sin PIM</v>
      </c>
      <c r="S55" s="24" t="str">
        <f>IF(R55="Sin certificar","Disponible",IF(R55="Solo certificado","Posible",IF(R55="Parcialmente comprometido","Parcial",IF(R55="Mayormente comprometido","Difícil",IF(R55="Ejecutado","No usar","Sin PIM")))))</f>
        <v>Sin PIM</v>
      </c>
      <c r="T55" s="26">
        <f>IF(OR(I55&lt;=0,R55="Ejecutado"),0,MAX(0,I55-K55))</f>
        <v>0.0</v>
      </c>
      <c r="U55" s="24" t="s">
        <v>105</v>
      </c>
      <c r="V55" s="25">
        <v>1023926</v>
      </c>
      <c r="W55" s="25">
        <v>0</v>
      </c>
      <c r="X55" s="25">
        <v>0</v>
      </c>
      <c r="Y55" s="25">
        <v>0</v>
      </c>
      <c r="Z55" s="24" t="s">
        <v>63</v>
      </c>
      <c r="AA55" s="24" t="s">
        <v>63</v>
      </c>
      <c r="AB55" s="24" t="s">
        <v>63</v>
      </c>
      <c r="AC55" s="24" t="s">
        <v>129</v>
      </c>
    </row>
    <row r="56" spans="1:29">
      <c r="A56" s="24" t="s">
        <v>54</v>
      </c>
      <c r="B56" s="24" t="s">
        <v>55</v>
      </c>
      <c r="C56" s="24" t="s">
        <v>56</v>
      </c>
      <c r="D56" s="24" t="s">
        <v>57</v>
      </c>
      <c r="E56" s="24" t="s">
        <v>163</v>
      </c>
      <c r="F56" s="24" t="s">
        <v>239</v>
      </c>
      <c r="G56" s="24" t="s">
        <v>240</v>
      </c>
      <c r="H56" s="27" t="s">
        <v>241</v>
      </c>
      <c r="I56" s="25">
        <v>0</v>
      </c>
      <c r="J56" s="25">
        <v>0</v>
      </c>
      <c r="K56" s="25">
        <v>0</v>
      </c>
      <c r="L56" s="25">
        <v>0</v>
      </c>
      <c r="M56" s="26">
        <f>I56-J56</f>
        <v>0.0</v>
      </c>
      <c r="N56" s="26">
        <f>J56-K56</f>
        <v>0.0</v>
      </c>
      <c r="O56" s="26">
        <f>I56-L56</f>
        <v>0.0</v>
      </c>
      <c r="P56" s="28">
        <f>IF(I56&gt;0,L56/I56,0)</f>
        <v>0</v>
      </c>
      <c r="Q56" s="28">
        <f>IF(I56&gt;0,K56/I56,0)</f>
        <v>0</v>
      </c>
      <c r="R56" s="24" t="str">
        <f>IF(I56&lt;=0,"Sin PIM",IF(L56/I56&gt;=Config!$B$5,"Ejecutado",IF(K56/I56&gt;=Config!$B$6,"Mayormente comprometido",IF(K56&gt;0.005,"Parcialmente comprometido",IF(J56&gt;0.005,"Solo certificado","Sin certificar")))))</f>
        <v>Sin PIM</v>
      </c>
      <c r="S56" s="24" t="str">
        <f>IF(R56="Sin certificar","Disponible",IF(R56="Solo certificado","Posible",IF(R56="Parcialmente comprometido","Parcial",IF(R56="Mayormente comprometido","Difícil",IF(R56="Ejecutado","No usar","Sin PIM")))))</f>
        <v>Sin PIM</v>
      </c>
      <c r="T56" s="26">
        <f>IF(OR(I56&lt;=0,R56="Ejecutado"),0,MAX(0,I56-K56))</f>
        <v>0.0</v>
      </c>
      <c r="U56" s="24" t="s">
        <v>105</v>
      </c>
      <c r="V56" s="25">
        <v>800000</v>
      </c>
      <c r="W56" s="25">
        <v>2345478</v>
      </c>
      <c r="X56" s="25">
        <v>9005306</v>
      </c>
      <c r="Y56" s="25">
        <v>19493721</v>
      </c>
      <c r="Z56" s="24" t="s">
        <v>63</v>
      </c>
      <c r="AA56" s="24" t="s">
        <v>63</v>
      </c>
      <c r="AB56" s="24" t="s">
        <v>63</v>
      </c>
      <c r="AC56" s="24" t="s">
        <v>89</v>
      </c>
    </row>
    <row r="57" spans="1:29">
      <c r="A57" s="24" t="s">
        <v>54</v>
      </c>
      <c r="B57" s="24" t="s">
        <v>55</v>
      </c>
      <c r="C57" s="24" t="s">
        <v>56</v>
      </c>
      <c r="D57" s="24" t="s">
        <v>57</v>
      </c>
      <c r="E57" s="24" t="s">
        <v>242</v>
      </c>
      <c r="F57" s="24" t="s">
        <v>243</v>
      </c>
      <c r="G57" s="24" t="s">
        <v>244</v>
      </c>
      <c r="H57" s="27" t="s">
        <v>245</v>
      </c>
      <c r="I57" s="25">
        <v>5810277</v>
      </c>
      <c r="J57" s="25">
        <v>5204423.6</v>
      </c>
      <c r="K57" s="25">
        <v>3160250.05</v>
      </c>
      <c r="L57" s="25">
        <v>1157372.6</v>
      </c>
      <c r="M57" s="26">
        <f>I57-J57</f>
        <v>605853.4000000004</v>
      </c>
      <c r="N57" s="26">
        <f>J57-K57</f>
        <v>2044173.5499999998</v>
      </c>
      <c r="O57" s="26">
        <f>I57-L57</f>
        <v>4652904.4</v>
      </c>
      <c r="P57" s="28">
        <f>IF(I57&gt;0,L57/I57,0)</f>
        <v>0.19919404875189256</v>
      </c>
      <c r="Q57" s="28">
        <f>IF(I57&gt;0,K57/I57,0)</f>
        <v>0.5439069514241748</v>
      </c>
      <c r="R57" s="24" t="str">
        <f>IF(I57&lt;=0,"Sin PIM",IF(L57/I57&gt;=Config!$B$5,"Ejecutado",IF(K57/I57&gt;=Config!$B$6,"Mayormente comprometido",IF(K57&gt;0.005,"Parcialmente comprometido",IF(J57&gt;0.005,"Solo certificado","Sin certificar")))))</f>
        <v>Mayormente comprometido</v>
      </c>
      <c r="S57" s="24" t="str">
        <f>IF(R57="Sin certificar","Disponible",IF(R57="Solo certificado","Posible",IF(R57="Parcialmente comprometido","Parcial",IF(R57="Mayormente comprometido","Difícil",IF(R57="Ejecutado","No usar","Sin PIM")))))</f>
        <v>Difícil</v>
      </c>
      <c r="T57" s="26">
        <f>IF(OR(I57&lt;=0,R57="Ejecutado"),0,MAX(0,I57-K57))</f>
        <v>2650026.95</v>
      </c>
      <c r="U57" s="24" t="s">
        <v>75</v>
      </c>
      <c r="V57" s="25">
        <v>6269000</v>
      </c>
      <c r="W57" s="25">
        <v>1345765</v>
      </c>
      <c r="X57" s="25">
        <v>5566267</v>
      </c>
      <c r="Y57" s="25">
        <v>0</v>
      </c>
      <c r="Z57" s="24" t="s">
        <v>63</v>
      </c>
      <c r="AA57" s="24" t="s">
        <v>63</v>
      </c>
      <c r="AB57" s="24" t="s">
        <v>63</v>
      </c>
      <c r="AC57" s="24" t="s">
        <v>64</v>
      </c>
    </row>
    <row r="58" spans="1:29">
      <c r="A58" s="24" t="s">
        <v>54</v>
      </c>
      <c r="B58" s="24" t="s">
        <v>55</v>
      </c>
      <c r="C58" s="24" t="s">
        <v>56</v>
      </c>
      <c r="D58" s="24" t="s">
        <v>57</v>
      </c>
      <c r="E58" s="24" t="s">
        <v>242</v>
      </c>
      <c r="F58" s="24" t="s">
        <v>246</v>
      </c>
      <c r="G58" s="24" t="s">
        <v>247</v>
      </c>
      <c r="H58" s="27" t="s">
        <v>248</v>
      </c>
      <c r="I58" s="25">
        <v>5921783</v>
      </c>
      <c r="J58" s="25">
        <v>5612635.52</v>
      </c>
      <c r="K58" s="25">
        <v>2263180.37</v>
      </c>
      <c r="L58" s="25">
        <v>1271806.72</v>
      </c>
      <c r="M58" s="26">
        <f>I58-J58</f>
        <v>309147.4799999995</v>
      </c>
      <c r="N58" s="26">
        <f>J58-K58</f>
        <v>3349455.1500000004</v>
      </c>
      <c r="O58" s="26">
        <f>I58-L58</f>
        <v>4649976.28</v>
      </c>
      <c r="P58" s="28">
        <f>IF(I58&gt;0,L58/I58,0)</f>
        <v>0.21476753200851836</v>
      </c>
      <c r="Q58" s="28">
        <f>IF(I58&gt;0,K58/I58,0)</f>
        <v>0.3821788758554645</v>
      </c>
      <c r="R58" s="24" t="str">
        <f>IF(I58&lt;=0,"Sin PIM",IF(L58/I58&gt;=Config!$B$5,"Ejecutado",IF(K58/I58&gt;=Config!$B$6,"Mayormente comprometido",IF(K58&gt;0.005,"Parcialmente comprometido",IF(J58&gt;0.005,"Solo certificado","Sin certificar")))))</f>
        <v>Parcialmente comprometido</v>
      </c>
      <c r="S58" s="24" t="str">
        <f>IF(R58="Sin certificar","Disponible",IF(R58="Solo certificado","Posible",IF(R58="Parcialmente comprometido","Parcial",IF(R58="Mayormente comprometido","Difícil",IF(R58="Ejecutado","No usar","Sin PIM")))))</f>
        <v>Parcial</v>
      </c>
      <c r="T58" s="26">
        <f>IF(OR(I58&lt;=0,R58="Ejecutado"),0,MAX(0,I58-K58))</f>
        <v>3658602.63</v>
      </c>
      <c r="U58" s="24" t="s">
        <v>249</v>
      </c>
      <c r="V58" s="25">
        <v>1139986</v>
      </c>
      <c r="W58" s="25">
        <v>500000</v>
      </c>
      <c r="X58" s="25">
        <v>3220643</v>
      </c>
      <c r="Y58" s="25">
        <v>0</v>
      </c>
      <c r="Z58" s="24" t="s">
        <v>63</v>
      </c>
      <c r="AA58" s="24" t="s">
        <v>63</v>
      </c>
      <c r="AB58" s="24" t="s">
        <v>63</v>
      </c>
      <c r="AC58" s="24" t="s">
        <v>64</v>
      </c>
    </row>
    <row r="59" spans="1:29">
      <c r="A59" s="24" t="s">
        <v>54</v>
      </c>
      <c r="B59" s="24" t="s">
        <v>55</v>
      </c>
      <c r="C59" s="24" t="s">
        <v>56</v>
      </c>
      <c r="D59" s="24" t="s">
        <v>57</v>
      </c>
      <c r="E59" s="24" t="s">
        <v>242</v>
      </c>
      <c r="F59" s="24" t="s">
        <v>250</v>
      </c>
      <c r="G59" s="24" t="s">
        <v>251</v>
      </c>
      <c r="H59" s="27" t="s">
        <v>252</v>
      </c>
      <c r="I59" s="25">
        <v>1180793</v>
      </c>
      <c r="J59" s="25">
        <v>1110291.73</v>
      </c>
      <c r="K59" s="25">
        <v>1110291.73</v>
      </c>
      <c r="L59" s="25">
        <v>1081390.27</v>
      </c>
      <c r="M59" s="26">
        <f>I59-J59</f>
        <v>70501.27000000002</v>
      </c>
      <c r="N59" s="26">
        <f>J59-K59</f>
        <v>0.0</v>
      </c>
      <c r="O59" s="26">
        <f>I59-L59</f>
        <v>99402.72999999998</v>
      </c>
      <c r="P59" s="28">
        <f>IF(I59&gt;0,L59/I59,0)</f>
        <v>0.9158169721534596</v>
      </c>
      <c r="Q59" s="28">
        <f>IF(I59&gt;0,K59/I59,0)</f>
        <v>0.9402932859527453</v>
      </c>
      <c r="R59" s="24" t="str">
        <f>IF(I59&lt;=0,"Sin PIM",IF(L59/I59&gt;=Config!$B$5,"Ejecutado",IF(K59/I59&gt;=Config!$B$6,"Mayormente comprometido",IF(K59&gt;0.005,"Parcialmente comprometido",IF(J59&gt;0.005,"Solo certificado","Sin certificar")))))</f>
        <v>Ejecutado</v>
      </c>
      <c r="S59" s="24" t="str">
        <f>IF(R59="Sin certificar","Disponible",IF(R59="Solo certificado","Posible",IF(R59="Parcialmente comprometido","Parcial",IF(R59="Mayormente comprometido","Difícil",IF(R59="Ejecutado","No usar","Sin PIM")))))</f>
        <v>No usar</v>
      </c>
      <c r="T59" s="26">
        <f>IF(OR(I59&lt;=0,R59="Ejecutado"),0,MAX(0,I59-K59))</f>
        <v>0.0</v>
      </c>
      <c r="U59" s="24" t="s">
        <v>133</v>
      </c>
      <c r="V59" s="25">
        <v>11675669</v>
      </c>
      <c r="W59" s="25">
        <v>6000000</v>
      </c>
      <c r="X59" s="25">
        <v>6503691</v>
      </c>
      <c r="Y59" s="25">
        <v>7526858</v>
      </c>
      <c r="Z59" s="24" t="s">
        <v>63</v>
      </c>
      <c r="AA59" s="24" t="s">
        <v>63</v>
      </c>
      <c r="AB59" s="24" t="s">
        <v>63</v>
      </c>
      <c r="AC59" s="24" t="s">
        <v>64</v>
      </c>
    </row>
    <row r="60" spans="1:29">
      <c r="A60" s="24" t="s">
        <v>54</v>
      </c>
      <c r="B60" s="24" t="s">
        <v>55</v>
      </c>
      <c r="C60" s="24" t="s">
        <v>56</v>
      </c>
      <c r="D60" s="24" t="s">
        <v>57</v>
      </c>
      <c r="E60" s="24" t="s">
        <v>242</v>
      </c>
      <c r="F60" s="24" t="s">
        <v>253</v>
      </c>
      <c r="G60" s="24" t="s">
        <v>254</v>
      </c>
      <c r="H60" s="27" t="s">
        <v>255</v>
      </c>
      <c r="I60" s="25">
        <v>2167000</v>
      </c>
      <c r="J60" s="25">
        <v>1860545</v>
      </c>
      <c r="K60" s="25">
        <v>1856334.8</v>
      </c>
      <c r="L60" s="25">
        <v>33059.94</v>
      </c>
      <c r="M60" s="26">
        <f>I60-J60</f>
        <v>306455.0</v>
      </c>
      <c r="N60" s="26">
        <f>J60-K60</f>
        <v>4210.199999999953</v>
      </c>
      <c r="O60" s="26">
        <f>I60-L60</f>
        <v>2133940.06</v>
      </c>
      <c r="P60" s="28">
        <f>IF(I60&gt;0,L60/I60,0)</f>
        <v>0.015256086755883712</v>
      </c>
      <c r="Q60" s="28">
        <f>IF(I60&gt;0,K60/I60,0)</f>
        <v>0.8566381172127365</v>
      </c>
      <c r="R60" s="24" t="str">
        <f>IF(I60&lt;=0,"Sin PIM",IF(L60/I60&gt;=Config!$B$5,"Ejecutado",IF(K60/I60&gt;=Config!$B$6,"Mayormente comprometido",IF(K60&gt;0.005,"Parcialmente comprometido",IF(J60&gt;0.005,"Solo certificado","Sin certificar")))))</f>
        <v>Mayormente comprometido</v>
      </c>
      <c r="S60" s="24" t="str">
        <f>IF(R60="Sin certificar","Disponible",IF(R60="Solo certificado","Posible",IF(R60="Parcialmente comprometido","Parcial",IF(R60="Mayormente comprometido","Difícil",IF(R60="Ejecutado","No usar","Sin PIM")))))</f>
        <v>Difícil</v>
      </c>
      <c r="T60" s="26">
        <f>IF(OR(I60&lt;=0,R60="Ejecutado"),0,MAX(0,I60-K60))</f>
        <v>310665.19999999995</v>
      </c>
      <c r="U60" s="24" t="s">
        <v>96</v>
      </c>
      <c r="V60" s="25">
        <v>2000000</v>
      </c>
      <c r="W60" s="25">
        <v>1547463</v>
      </c>
      <c r="X60" s="25">
        <v>0</v>
      </c>
      <c r="Y60" s="25">
        <v>0</v>
      </c>
      <c r="Z60" s="24" t="s">
        <v>63</v>
      </c>
      <c r="AA60" s="24" t="s">
        <v>63</v>
      </c>
      <c r="AB60" s="24" t="s">
        <v>63</v>
      </c>
      <c r="AC60" s="24" t="s">
        <v>101</v>
      </c>
    </row>
    <row r="61" spans="1:29">
      <c r="A61" s="24" t="s">
        <v>54</v>
      </c>
      <c r="B61" s="24" t="s">
        <v>55</v>
      </c>
      <c r="C61" s="24" t="s">
        <v>56</v>
      </c>
      <c r="D61" s="24" t="s">
        <v>57</v>
      </c>
      <c r="E61" s="24" t="s">
        <v>242</v>
      </c>
      <c r="F61" s="24" t="s">
        <v>256</v>
      </c>
      <c r="G61" s="24" t="s">
        <v>257</v>
      </c>
      <c r="H61" s="27" t="s">
        <v>258</v>
      </c>
      <c r="I61" s="25">
        <v>2575916</v>
      </c>
      <c r="J61" s="25">
        <v>2503779</v>
      </c>
      <c r="K61" s="25">
        <v>2111560</v>
      </c>
      <c r="L61" s="25">
        <v>23527.19</v>
      </c>
      <c r="M61" s="26">
        <f>I61-J61</f>
        <v>72137.0</v>
      </c>
      <c r="N61" s="26">
        <f>J61-K61</f>
        <v>392219.0</v>
      </c>
      <c r="O61" s="26">
        <f>I61-L61</f>
        <v>2552388.81</v>
      </c>
      <c r="P61" s="28">
        <f>IF(I61&gt;0,L61/I61,0)</f>
        <v>0.00913352376397367</v>
      </c>
      <c r="Q61" s="28">
        <f>IF(I61&gt;0,K61/I61,0)</f>
        <v>0.8197316993255991</v>
      </c>
      <c r="R61" s="24" t="str">
        <f>IF(I61&lt;=0,"Sin PIM",IF(L61/I61&gt;=Config!$B$5,"Ejecutado",IF(K61/I61&gt;=Config!$B$6,"Mayormente comprometido",IF(K61&gt;0.005,"Parcialmente comprometido",IF(J61&gt;0.005,"Solo certificado","Sin certificar")))))</f>
        <v>Mayormente comprometido</v>
      </c>
      <c r="S61" s="24" t="str">
        <f>IF(R61="Sin certificar","Disponible",IF(R61="Solo certificado","Posible",IF(R61="Parcialmente comprometido","Parcial",IF(R61="Mayormente comprometido","Difícil",IF(R61="Ejecutado","No usar","Sin PIM")))))</f>
        <v>Difícil</v>
      </c>
      <c r="T61" s="26">
        <f>IF(OR(I61&lt;=0,R61="Ejecutado"),0,MAX(0,I61-K61))</f>
        <v>464356.0</v>
      </c>
      <c r="U61" s="24" t="s">
        <v>96</v>
      </c>
      <c r="V61" s="25">
        <v>2575916</v>
      </c>
      <c r="W61" s="25">
        <v>2345678</v>
      </c>
      <c r="X61" s="25">
        <v>1558799</v>
      </c>
      <c r="Y61" s="25">
        <v>0</v>
      </c>
      <c r="Z61" s="24" t="s">
        <v>63</v>
      </c>
      <c r="AA61" s="24" t="s">
        <v>63</v>
      </c>
      <c r="AB61" s="24" t="s">
        <v>63</v>
      </c>
      <c r="AC61" s="24" t="s">
        <v>101</v>
      </c>
    </row>
    <row r="62" spans="1:29">
      <c r="A62" s="24" t="s">
        <v>54</v>
      </c>
      <c r="B62" s="24" t="s">
        <v>55</v>
      </c>
      <c r="C62" s="24" t="s">
        <v>56</v>
      </c>
      <c r="D62" s="24" t="s">
        <v>57</v>
      </c>
      <c r="E62" s="24" t="s">
        <v>242</v>
      </c>
      <c r="F62" s="24" t="s">
        <v>259</v>
      </c>
      <c r="G62" s="24" t="s">
        <v>260</v>
      </c>
      <c r="H62" s="27" t="s">
        <v>261</v>
      </c>
      <c r="I62" s="25">
        <v>2054253</v>
      </c>
      <c r="J62" s="25">
        <v>1854253</v>
      </c>
      <c r="K62" s="25">
        <v>0</v>
      </c>
      <c r="L62" s="25">
        <v>0</v>
      </c>
      <c r="M62" s="26">
        <f>I62-J62</f>
        <v>200000.0</v>
      </c>
      <c r="N62" s="26">
        <f>J62-K62</f>
        <v>1854253.0</v>
      </c>
      <c r="O62" s="26">
        <f>I62-L62</f>
        <v>2054253.0</v>
      </c>
      <c r="P62" s="28">
        <f>IF(I62&gt;0,L62/I62,0)</f>
        <v>0.0</v>
      </c>
      <c r="Q62" s="28">
        <f>IF(I62&gt;0,K62/I62,0)</f>
        <v>0.0</v>
      </c>
      <c r="R62" s="24" t="str">
        <f>IF(I62&lt;=0,"Sin PIM",IF(L62/I62&gt;=Config!$B$5,"Ejecutado",IF(K62/I62&gt;=Config!$B$6,"Mayormente comprometido",IF(K62&gt;0.005,"Parcialmente comprometido",IF(J62&gt;0.005,"Solo certificado","Sin certificar")))))</f>
        <v>Solo certificado</v>
      </c>
      <c r="S62" s="24" t="str">
        <f>IF(R62="Sin certificar","Disponible",IF(R62="Solo certificado","Posible",IF(R62="Parcialmente comprometido","Parcial",IF(R62="Mayormente comprometido","Difícil",IF(R62="Ejecutado","No usar","Sin PIM")))))</f>
        <v>Posible</v>
      </c>
      <c r="T62" s="26">
        <f>IF(OR(I62&lt;=0,R62="Ejecutado"),0,MAX(0,I62-K62))</f>
        <v>2054253.0</v>
      </c>
      <c r="U62" s="24" t="s">
        <v>105</v>
      </c>
      <c r="V62" s="25">
        <v>2054253</v>
      </c>
      <c r="W62" s="25">
        <v>2546789</v>
      </c>
      <c r="X62" s="25">
        <v>0</v>
      </c>
      <c r="Y62" s="25">
        <v>0</v>
      </c>
      <c r="Z62" s="24" t="s">
        <v>63</v>
      </c>
      <c r="AA62" s="24" t="s">
        <v>63</v>
      </c>
      <c r="AB62" s="24" t="s">
        <v>63</v>
      </c>
      <c r="AC62" s="24" t="s">
        <v>101</v>
      </c>
    </row>
    <row r="63" spans="1:29">
      <c r="A63" s="24" t="s">
        <v>54</v>
      </c>
      <c r="B63" s="24" t="s">
        <v>55</v>
      </c>
      <c r="C63" s="24" t="s">
        <v>56</v>
      </c>
      <c r="D63" s="24" t="s">
        <v>57</v>
      </c>
      <c r="E63" s="24" t="s">
        <v>242</v>
      </c>
      <c r="F63" s="24" t="s">
        <v>262</v>
      </c>
      <c r="G63" s="24" t="s">
        <v>263</v>
      </c>
      <c r="H63" s="27" t="s">
        <v>264</v>
      </c>
      <c r="I63" s="25">
        <v>2038388</v>
      </c>
      <c r="J63" s="25">
        <v>2031210.5</v>
      </c>
      <c r="K63" s="25">
        <v>2031210.37</v>
      </c>
      <c r="L63" s="25">
        <v>1711781.12</v>
      </c>
      <c r="M63" s="26">
        <f>I63-J63</f>
        <v>7177.5</v>
      </c>
      <c r="N63" s="26">
        <f>J63-K63</f>
        <v>0.1299999998882413</v>
      </c>
      <c r="O63" s="26">
        <f>I63-L63</f>
        <v>326606.8800000001</v>
      </c>
      <c r="P63" s="28">
        <f>IF(I63&gt;0,L63/I63,0)</f>
        <v>0.8397719766796115</v>
      </c>
      <c r="Q63" s="28">
        <f>IF(I63&gt;0,K63/I63,0)</f>
        <v>0.9964787714605856</v>
      </c>
      <c r="R63" s="24" t="str">
        <f>IF(I63&lt;=0,"Sin PIM",IF(L63/I63&gt;=Config!$B$5,"Ejecutado",IF(K63/I63&gt;=Config!$B$6,"Mayormente comprometido",IF(K63&gt;0.005,"Parcialmente comprometido",IF(J63&gt;0.005,"Solo certificado","Sin certificar")))))</f>
        <v>Mayormente comprometido</v>
      </c>
      <c r="S63" s="24" t="str">
        <f>IF(R63="Sin certificar","Disponible",IF(R63="Solo certificado","Posible",IF(R63="Parcialmente comprometido","Parcial",IF(R63="Mayormente comprometido","Difícil",IF(R63="Ejecutado","No usar","Sin PIM")))))</f>
        <v>Difícil</v>
      </c>
      <c r="T63" s="26">
        <f>IF(OR(I63&lt;=0,R63="Ejecutado"),0,MAX(0,I63-K63))</f>
        <v>7177.629999999888</v>
      </c>
      <c r="U63" s="24" t="s">
        <v>96</v>
      </c>
      <c r="V63" s="25">
        <v>2028388</v>
      </c>
      <c r="W63" s="25">
        <v>2258011</v>
      </c>
      <c r="X63" s="25">
        <v>0</v>
      </c>
      <c r="Y63" s="25">
        <v>0</v>
      </c>
      <c r="Z63" s="24" t="s">
        <v>63</v>
      </c>
      <c r="AA63" s="24" t="s">
        <v>63</v>
      </c>
      <c r="AB63" s="24" t="s">
        <v>63</v>
      </c>
      <c r="AC63" s="24" t="s">
        <v>101</v>
      </c>
    </row>
    <row r="64" spans="1:29">
      <c r="A64" s="24" t="s">
        <v>54</v>
      </c>
      <c r="B64" s="24" t="s">
        <v>55</v>
      </c>
      <c r="C64" s="24" t="s">
        <v>56</v>
      </c>
      <c r="D64" s="24" t="s">
        <v>57</v>
      </c>
      <c r="E64" s="24" t="s">
        <v>242</v>
      </c>
      <c r="F64" s="24" t="s">
        <v>265</v>
      </c>
      <c r="G64" s="24" t="s">
        <v>266</v>
      </c>
      <c r="H64" s="27" t="s">
        <v>267</v>
      </c>
      <c r="I64" s="25">
        <v>2047936</v>
      </c>
      <c r="J64" s="25">
        <v>377863</v>
      </c>
      <c r="K64" s="25">
        <v>366632.23</v>
      </c>
      <c r="L64" s="25">
        <v>318047.53</v>
      </c>
      <c r="M64" s="26">
        <f>I64-J64</f>
        <v>1670073.0</v>
      </c>
      <c r="N64" s="26">
        <f>J64-K64</f>
        <v>11230.770000000019</v>
      </c>
      <c r="O64" s="26">
        <f>I64-L64</f>
        <v>1729888.47</v>
      </c>
      <c r="P64" s="28">
        <f>IF(I64&gt;0,L64/I64,0)</f>
        <v>0.1553014986796462</v>
      </c>
      <c r="Q64" s="28">
        <f>IF(I64&gt;0,K64/I64,0)</f>
        <v>0.17902523809337792</v>
      </c>
      <c r="R64" s="24" t="str">
        <f>IF(I64&lt;=0,"Sin PIM",IF(L64/I64&gt;=Config!$B$5,"Ejecutado",IF(K64/I64&gt;=Config!$B$6,"Mayormente comprometido",IF(K64&gt;0.005,"Parcialmente comprometido",IF(J64&gt;0.005,"Solo certificado","Sin certificar")))))</f>
        <v>Parcialmente comprometido</v>
      </c>
      <c r="S64" s="24" t="str">
        <f>IF(R64="Sin certificar","Disponible",IF(R64="Solo certificado","Posible",IF(R64="Parcialmente comprometido","Parcial",IF(R64="Mayormente comprometido","Difícil",IF(R64="Ejecutado","No usar","Sin PIM")))))</f>
        <v>Parcial</v>
      </c>
      <c r="T64" s="26">
        <f>IF(OR(I64&lt;=0,R64="Ejecutado"),0,MAX(0,I64-K64))</f>
        <v>1681303.77</v>
      </c>
      <c r="U64" s="24" t="s">
        <v>96</v>
      </c>
      <c r="V64" s="25">
        <v>327863</v>
      </c>
      <c r="W64" s="25">
        <v>1876545</v>
      </c>
      <c r="X64" s="25">
        <v>0</v>
      </c>
      <c r="Y64" s="25">
        <v>0</v>
      </c>
      <c r="Z64" s="24" t="s">
        <v>63</v>
      </c>
      <c r="AA64" s="24" t="s">
        <v>63</v>
      </c>
      <c r="AB64" s="24" t="s">
        <v>63</v>
      </c>
      <c r="AC64" s="24" t="s">
        <v>70</v>
      </c>
    </row>
    <row r="65" spans="1:29">
      <c r="A65" s="24" t="s">
        <v>54</v>
      </c>
      <c r="B65" s="24" t="s">
        <v>55</v>
      </c>
      <c r="C65" s="24" t="s">
        <v>56</v>
      </c>
      <c r="D65" s="24" t="s">
        <v>57</v>
      </c>
      <c r="E65" s="24" t="s">
        <v>242</v>
      </c>
      <c r="F65" s="24" t="s">
        <v>268</v>
      </c>
      <c r="G65" s="24" t="s">
        <v>269</v>
      </c>
      <c r="H65" s="27" t="s">
        <v>270</v>
      </c>
      <c r="I65" s="25">
        <v>290270</v>
      </c>
      <c r="J65" s="25">
        <v>100000</v>
      </c>
      <c r="K65" s="25">
        <v>0</v>
      </c>
      <c r="L65" s="25">
        <v>0</v>
      </c>
      <c r="M65" s="26">
        <f>I65-J65</f>
        <v>190270.0</v>
      </c>
      <c r="N65" s="26">
        <f>J65-K65</f>
        <v>100000.0</v>
      </c>
      <c r="O65" s="26">
        <f>I65-L65</f>
        <v>290270.0</v>
      </c>
      <c r="P65" s="28">
        <f>IF(I65&gt;0,L65/I65,0)</f>
        <v>0.0</v>
      </c>
      <c r="Q65" s="28">
        <f>IF(I65&gt;0,K65/I65,0)</f>
        <v>0.0</v>
      </c>
      <c r="R65" s="24" t="str">
        <f>IF(I65&lt;=0,"Sin PIM",IF(L65/I65&gt;=Config!$B$5,"Ejecutado",IF(K65/I65&gt;=Config!$B$6,"Mayormente comprometido",IF(K65&gt;0.005,"Parcialmente comprometido",IF(J65&gt;0.005,"Solo certificado","Sin certificar")))))</f>
        <v>Solo certificado</v>
      </c>
      <c r="S65" s="24" t="str">
        <f>IF(R65="Sin certificar","Disponible",IF(R65="Solo certificado","Posible",IF(R65="Parcialmente comprometido","Parcial",IF(R65="Mayormente comprometido","Difícil",IF(R65="Ejecutado","No usar","Sin PIM")))))</f>
        <v>Posible</v>
      </c>
      <c r="T65" s="26">
        <f>IF(OR(I65&lt;=0,R65="Ejecutado"),0,MAX(0,I65-K65))</f>
        <v>290270.0</v>
      </c>
      <c r="U65" s="24" t="s">
        <v>105</v>
      </c>
      <c r="V65" s="25">
        <v>100000</v>
      </c>
      <c r="W65" s="25">
        <v>2089685</v>
      </c>
      <c r="X65" s="25">
        <v>3000000</v>
      </c>
      <c r="Y65" s="25">
        <v>11639950</v>
      </c>
      <c r="Z65" s="24" t="s">
        <v>63</v>
      </c>
      <c r="AA65" s="24" t="s">
        <v>63</v>
      </c>
      <c r="AB65" s="24" t="s">
        <v>63</v>
      </c>
      <c r="AC65" s="24" t="s">
        <v>70</v>
      </c>
    </row>
    <row r="66" spans="1:29">
      <c r="A66" s="24" t="s">
        <v>54</v>
      </c>
      <c r="B66" s="24" t="s">
        <v>55</v>
      </c>
      <c r="C66" s="24" t="s">
        <v>56</v>
      </c>
      <c r="D66" s="24" t="s">
        <v>57</v>
      </c>
      <c r="E66" s="24" t="s">
        <v>271</v>
      </c>
      <c r="F66" s="24" t="s">
        <v>272</v>
      </c>
      <c r="G66" s="24" t="s">
        <v>273</v>
      </c>
      <c r="H66" s="27" t="s">
        <v>274</v>
      </c>
      <c r="I66" s="25">
        <v>7609099</v>
      </c>
      <c r="J66" s="25">
        <v>7595390.88</v>
      </c>
      <c r="K66" s="25">
        <v>7595390.88</v>
      </c>
      <c r="L66" s="25">
        <v>7570246.390000001</v>
      </c>
      <c r="M66" s="26">
        <f>I66-J66</f>
        <v>13708.120000000112</v>
      </c>
      <c r="N66" s="26">
        <f>J66-K66</f>
        <v>0.0</v>
      </c>
      <c r="O66" s="26">
        <f>I66-L66</f>
        <v>38852.609999999404</v>
      </c>
      <c r="P66" s="28">
        <f>IF(I66&gt;0,L66/I66,0)</f>
        <v>0.9948939276516182</v>
      </c>
      <c r="Q66" s="28">
        <f>IF(I66&gt;0,K66/I66,0)</f>
        <v>0.9981984568738033</v>
      </c>
      <c r="R66" s="24" t="str">
        <f>IF(I66&lt;=0,"Sin PIM",IF(L66/I66&gt;=Config!$B$5,"Ejecutado",IF(K66/I66&gt;=Config!$B$6,"Mayormente comprometido",IF(K66&gt;0.005,"Parcialmente comprometido",IF(J66&gt;0.005,"Solo certificado","Sin certificar")))))</f>
        <v>Ejecutado</v>
      </c>
      <c r="S66" s="24" t="str">
        <f>IF(R66="Sin certificar","Disponible",IF(R66="Solo certificado","Posible",IF(R66="Parcialmente comprometido","Parcial",IF(R66="Mayormente comprometido","Difícil",IF(R66="Ejecutado","No usar","Sin PIM")))))</f>
        <v>No usar</v>
      </c>
      <c r="T66" s="26">
        <f>IF(OR(I66&lt;=0,R66="Ejecutado"),0,MAX(0,I66-K66))</f>
        <v>0.0</v>
      </c>
      <c r="U66" s="24" t="s">
        <v>275</v>
      </c>
      <c r="V66" s="25">
        <v>6185000</v>
      </c>
      <c r="W66" s="25">
        <v>1000000</v>
      </c>
      <c r="X66" s="25">
        <v>0</v>
      </c>
      <c r="Y66" s="25">
        <v>1000000</v>
      </c>
      <c r="Z66" s="24" t="s">
        <v>63</v>
      </c>
      <c r="AA66" s="24" t="s">
        <v>63</v>
      </c>
      <c r="AB66" s="24" t="s">
        <v>63</v>
      </c>
      <c r="AC66" s="24" t="s">
        <v>276</v>
      </c>
    </row>
    <row r="67" spans="1:29">
      <c r="A67" s="24" t="s">
        <v>54</v>
      </c>
      <c r="B67" s="24" t="s">
        <v>55</v>
      </c>
      <c r="C67" s="24" t="s">
        <v>56</v>
      </c>
      <c r="D67" s="24" t="s">
        <v>57</v>
      </c>
      <c r="E67" s="24" t="s">
        <v>277</v>
      </c>
      <c r="F67" s="24" t="s">
        <v>278</v>
      </c>
      <c r="G67" s="24" t="s">
        <v>279</v>
      </c>
      <c r="H67" s="27" t="s">
        <v>280</v>
      </c>
      <c r="I67" s="25">
        <v>99230</v>
      </c>
      <c r="J67" s="25">
        <v>99007.59</v>
      </c>
      <c r="K67" s="25">
        <v>96667.59</v>
      </c>
      <c r="L67" s="25">
        <v>96198.77</v>
      </c>
      <c r="M67" s="26">
        <f>I67-J67</f>
        <v>222.4100000000035</v>
      </c>
      <c r="N67" s="26">
        <f>J67-K67</f>
        <v>2340.0</v>
      </c>
      <c r="O67" s="26">
        <f>I67-L67</f>
        <v>3031.229999999996</v>
      </c>
      <c r="P67" s="28">
        <f>IF(I67&gt;0,L67/I67,0)</f>
        <v>0.969452484127784</v>
      </c>
      <c r="Q67" s="28">
        <f>IF(I67&gt;0,K67/I67,0)</f>
        <v>0.9741770633880883</v>
      </c>
      <c r="R67" s="24" t="str">
        <f>IF(I67&lt;=0,"Sin PIM",IF(L67/I67&gt;=Config!$B$5,"Ejecutado",IF(K67/I67&gt;=Config!$B$6,"Mayormente comprometido",IF(K67&gt;0.005,"Parcialmente comprometido",IF(J67&gt;0.005,"Solo certificado","Sin certificar")))))</f>
        <v>Ejecutado</v>
      </c>
      <c r="S67" s="24" t="str">
        <f>IF(R67="Sin certificar","Disponible",IF(R67="Solo certificado","Posible",IF(R67="Parcialmente comprometido","Parcial",IF(R67="Mayormente comprometido","Difícil",IF(R67="Ejecutado","No usar","Sin PIM")))))</f>
        <v>No usar</v>
      </c>
      <c r="T67" s="26">
        <f>IF(OR(I67&lt;=0,R67="Ejecutado"),0,MAX(0,I67-K67))</f>
        <v>0.0</v>
      </c>
      <c r="U67" s="24" t="s">
        <v>75</v>
      </c>
      <c r="V67" s="25">
        <v>99230</v>
      </c>
      <c r="W67" s="25">
        <v>0</v>
      </c>
      <c r="X67" s="25">
        <v>0</v>
      </c>
      <c r="Y67" s="25">
        <v>0</v>
      </c>
      <c r="Z67" s="24" t="s">
        <v>63</v>
      </c>
      <c r="AA67" s="24" t="s">
        <v>63</v>
      </c>
      <c r="AB67" s="24" t="s">
        <v>63</v>
      </c>
      <c r="AC67" s="24" t="s">
        <v>63</v>
      </c>
    </row>
    <row r="68" spans="1:29">
      <c r="A68" s="24" t="s">
        <v>54</v>
      </c>
      <c r="B68" s="24" t="s">
        <v>55</v>
      </c>
      <c r="C68" s="24" t="s">
        <v>56</v>
      </c>
      <c r="D68" s="24" t="s">
        <v>57</v>
      </c>
      <c r="E68" s="24" t="s">
        <v>277</v>
      </c>
      <c r="F68" s="24" t="s">
        <v>281</v>
      </c>
      <c r="G68" s="24" t="s">
        <v>282</v>
      </c>
      <c r="H68" s="27" t="s">
        <v>283</v>
      </c>
      <c r="I68" s="25">
        <v>133512</v>
      </c>
      <c r="J68" s="25">
        <v>0</v>
      </c>
      <c r="K68" s="25">
        <v>0</v>
      </c>
      <c r="L68" s="25">
        <v>0</v>
      </c>
      <c r="M68" s="26">
        <f>I68-J68</f>
        <v>133512.0</v>
      </c>
      <c r="N68" s="26">
        <f>J68-K68</f>
        <v>0.0</v>
      </c>
      <c r="O68" s="26">
        <f>I68-L68</f>
        <v>133512.0</v>
      </c>
      <c r="P68" s="28">
        <f>IF(I68&gt;0,L68/I68,0)</f>
        <v>0.0</v>
      </c>
      <c r="Q68" s="28">
        <f>IF(I68&gt;0,K68/I68,0)</f>
        <v>0.0</v>
      </c>
      <c r="R68" s="24" t="str">
        <f>IF(I68&lt;=0,"Sin PIM",IF(L68/I68&gt;=Config!$B$5,"Ejecutado",IF(K68/I68&gt;=Config!$B$6,"Mayormente comprometido",IF(K68&gt;0.005,"Parcialmente comprometido",IF(J68&gt;0.005,"Solo certificado","Sin certificar")))))</f>
        <v>Sin certificar</v>
      </c>
      <c r="S68" s="24" t="str">
        <f>IF(R68="Sin certificar","Disponible",IF(R68="Solo certificado","Posible",IF(R68="Parcialmente comprometido","Parcial",IF(R68="Mayormente comprometido","Difícil",IF(R68="Ejecutado","No usar","Sin PIM")))))</f>
        <v>Disponible</v>
      </c>
      <c r="T68" s="26">
        <f>IF(OR(I68&lt;=0,R68="Ejecutado"),0,MAX(0,I68-K68))</f>
        <v>133512.0</v>
      </c>
      <c r="U68" s="24" t="s">
        <v>133</v>
      </c>
      <c r="V68" s="24" t="s">
        <v>69</v>
      </c>
      <c r="W68" s="24" t="s">
        <v>69</v>
      </c>
      <c r="X68" s="24" t="s">
        <v>69</v>
      </c>
      <c r="Y68" s="24" t="s">
        <v>69</v>
      </c>
      <c r="Z68" s="24" t="s">
        <v>63</v>
      </c>
      <c r="AA68" s="24" t="s">
        <v>63</v>
      </c>
      <c r="AB68" s="24" t="s">
        <v>284</v>
      </c>
      <c r="AC68" s="24" t="s">
        <v>63</v>
      </c>
    </row>
    <row r="69" spans="1:29">
      <c r="A69" s="24" t="s">
        <v>54</v>
      </c>
      <c r="B69" s="24" t="s">
        <v>55</v>
      </c>
      <c r="C69" s="24" t="s">
        <v>56</v>
      </c>
      <c r="D69" s="24" t="s">
        <v>285</v>
      </c>
      <c r="E69" s="24" t="s">
        <v>58</v>
      </c>
      <c r="F69" s="24" t="s">
        <v>286</v>
      </c>
      <c r="G69" s="24" t="s">
        <v>287</v>
      </c>
      <c r="H69" s="27" t="s">
        <v>288</v>
      </c>
      <c r="I69" s="25">
        <v>8256172</v>
      </c>
      <c r="J69" s="25">
        <v>7527846.91</v>
      </c>
      <c r="K69" s="25">
        <v>5727178.370000001</v>
      </c>
      <c r="L69" s="25">
        <v>4485721.810000001</v>
      </c>
      <c r="M69" s="26">
        <f>I69-J69</f>
        <v>728325.0899999999</v>
      </c>
      <c r="N69" s="26">
        <f>J69-K69</f>
        <v>1800668.539999999</v>
      </c>
      <c r="O69" s="26">
        <f>I69-L69</f>
        <v>3770450.1899999995</v>
      </c>
      <c r="P69" s="28">
        <f>IF(I69&gt;0,L69/I69,0)</f>
        <v>0.5433173884943289</v>
      </c>
      <c r="Q69" s="28">
        <f>IF(I69&gt;0,K69/I69,0)</f>
        <v>0.6936844787148331</v>
      </c>
      <c r="R69" s="24" t="str">
        <f>IF(I69&lt;=0,"Sin PIM",IF(L69/I69&gt;=Config!$B$5,"Ejecutado",IF(K69/I69&gt;=Config!$B$6,"Mayormente comprometido",IF(K69&gt;0.005,"Parcialmente comprometido",IF(J69&gt;0.005,"Solo certificado","Sin certificar")))))</f>
        <v>Mayormente comprometido</v>
      </c>
      <c r="S69" s="24" t="str">
        <f>IF(R69="Sin certificar","Disponible",IF(R69="Solo certificado","Posible",IF(R69="Parcialmente comprometido","Parcial",IF(R69="Mayormente comprometido","Difícil",IF(R69="Ejecutado","No usar","Sin PIM")))))</f>
        <v>Difícil</v>
      </c>
      <c r="T69" s="26">
        <f>IF(OR(I69&lt;=0,R69="Ejecutado"),0,MAX(0,I69-K69))</f>
        <v>2528993.629999999</v>
      </c>
      <c r="U69" s="24" t="s">
        <v>79</v>
      </c>
      <c r="V69" s="25">
        <v>9468125</v>
      </c>
      <c r="W69" s="25">
        <v>933429</v>
      </c>
      <c r="X69" s="25">
        <v>6042788</v>
      </c>
      <c r="Y69" s="25">
        <v>2500000</v>
      </c>
      <c r="Z69" s="24" t="s">
        <v>63</v>
      </c>
      <c r="AA69" s="24" t="s">
        <v>63</v>
      </c>
      <c r="AB69" s="24" t="s">
        <v>63</v>
      </c>
      <c r="AC69" s="24" t="s">
        <v>89</v>
      </c>
    </row>
    <row r="70" spans="1:29">
      <c r="A70" s="24" t="s">
        <v>54</v>
      </c>
      <c r="B70" s="24" t="s">
        <v>55</v>
      </c>
      <c r="C70" s="24" t="s">
        <v>56</v>
      </c>
      <c r="D70" s="24" t="s">
        <v>285</v>
      </c>
      <c r="E70" s="24" t="s">
        <v>58</v>
      </c>
      <c r="F70" s="24" t="s">
        <v>289</v>
      </c>
      <c r="G70" s="24" t="s">
        <v>290</v>
      </c>
      <c r="H70" s="27" t="s">
        <v>291</v>
      </c>
      <c r="I70" s="25">
        <v>7374992</v>
      </c>
      <c r="J70" s="25">
        <v>7374802</v>
      </c>
      <c r="K70" s="25">
        <v>0</v>
      </c>
      <c r="L70" s="25">
        <v>0</v>
      </c>
      <c r="M70" s="26">
        <f>I70-J70</f>
        <v>190.0</v>
      </c>
      <c r="N70" s="26">
        <f>J70-K70</f>
        <v>7374802.0</v>
      </c>
      <c r="O70" s="26">
        <f>I70-L70</f>
        <v>7374992.0</v>
      </c>
      <c r="P70" s="28">
        <f>IF(I70&gt;0,L70/I70,0)</f>
        <v>0.0</v>
      </c>
      <c r="Q70" s="28">
        <f>IF(I70&gt;0,K70/I70,0)</f>
        <v>0.0</v>
      </c>
      <c r="R70" s="24" t="str">
        <f>IF(I70&lt;=0,"Sin PIM",IF(L70/I70&gt;=Config!$B$5,"Ejecutado",IF(K70/I70&gt;=Config!$B$6,"Mayormente comprometido",IF(K70&gt;0.005,"Parcialmente comprometido",IF(J70&gt;0.005,"Solo certificado","Sin certificar")))))</f>
        <v>Solo certificado</v>
      </c>
      <c r="S70" s="24" t="str">
        <f>IF(R70="Sin certificar","Disponible",IF(R70="Solo certificado","Posible",IF(R70="Parcialmente comprometido","Parcial",IF(R70="Mayormente comprometido","Difícil",IF(R70="Ejecutado","No usar","Sin PIM")))))</f>
        <v>Posible</v>
      </c>
      <c r="T70" s="26">
        <f>IF(OR(I70&lt;=0,R70="Ejecutado"),0,MAX(0,I70-K70))</f>
        <v>7374992.0</v>
      </c>
      <c r="U70" s="24" t="s">
        <v>105</v>
      </c>
      <c r="V70" s="25">
        <v>8000000</v>
      </c>
      <c r="W70" s="25">
        <v>8258658</v>
      </c>
      <c r="X70" s="25">
        <v>10741348</v>
      </c>
      <c r="Y70" s="25">
        <v>1075057</v>
      </c>
      <c r="Z70" s="24" t="s">
        <v>63</v>
      </c>
      <c r="AA70" s="24" t="s">
        <v>63</v>
      </c>
      <c r="AB70" s="24" t="s">
        <v>63</v>
      </c>
      <c r="AC70" s="24" t="s">
        <v>70</v>
      </c>
    </row>
    <row r="71" spans="1:29">
      <c r="A71" s="24" t="s">
        <v>54</v>
      </c>
      <c r="B71" s="24" t="s">
        <v>55</v>
      </c>
      <c r="C71" s="24" t="s">
        <v>56</v>
      </c>
      <c r="D71" s="24" t="s">
        <v>285</v>
      </c>
      <c r="E71" s="24" t="s">
        <v>58</v>
      </c>
      <c r="F71" s="24" t="s">
        <v>292</v>
      </c>
      <c r="G71" s="24" t="s">
        <v>293</v>
      </c>
      <c r="H71" s="27" t="s">
        <v>294</v>
      </c>
      <c r="I71" s="25">
        <v>6997430</v>
      </c>
      <c r="J71" s="25">
        <v>6787158.810000001</v>
      </c>
      <c r="K71" s="25">
        <v>5366065.080000001</v>
      </c>
      <c r="L71" s="25">
        <v>2630352.42</v>
      </c>
      <c r="M71" s="26">
        <f>I71-J71</f>
        <v>210271.18999999948</v>
      </c>
      <c r="N71" s="26">
        <f>J71-K71</f>
        <v>1421093.7299999995</v>
      </c>
      <c r="O71" s="26">
        <f>I71-L71</f>
        <v>4367077.58</v>
      </c>
      <c r="P71" s="28">
        <f>IF(I71&gt;0,L71/I71,0)</f>
        <v>0.375902641398342</v>
      </c>
      <c r="Q71" s="28">
        <f>IF(I71&gt;0,K71/I71,0)</f>
        <v>0.7668622737204946</v>
      </c>
      <c r="R71" s="24" t="str">
        <f>IF(I71&lt;=0,"Sin PIM",IF(L71/I71&gt;=Config!$B$5,"Ejecutado",IF(K71/I71&gt;=Config!$B$6,"Mayormente comprometido",IF(K71&gt;0.005,"Parcialmente comprometido",IF(J71&gt;0.005,"Solo certificado","Sin certificar")))))</f>
        <v>Mayormente comprometido</v>
      </c>
      <c r="S71" s="24" t="str">
        <f>IF(R71="Sin certificar","Disponible",IF(R71="Solo certificado","Posible",IF(R71="Parcialmente comprometido","Parcial",IF(R71="Mayormente comprometido","Difícil",IF(R71="Ejecutado","No usar","Sin PIM")))))</f>
        <v>Difícil</v>
      </c>
      <c r="T71" s="26">
        <f>IF(OR(I71&lt;=0,R71="Ejecutado"),0,MAX(0,I71-K71))</f>
        <v>1631364.919999999</v>
      </c>
      <c r="U71" s="24" t="s">
        <v>100</v>
      </c>
      <c r="V71" s="25">
        <v>8000000</v>
      </c>
      <c r="W71" s="25">
        <v>10256256</v>
      </c>
      <c r="X71" s="25">
        <v>15069544</v>
      </c>
      <c r="Y71" s="25">
        <v>4478827</v>
      </c>
      <c r="Z71" s="24" t="s">
        <v>63</v>
      </c>
      <c r="AA71" s="24" t="s">
        <v>63</v>
      </c>
      <c r="AB71" s="24" t="s">
        <v>63</v>
      </c>
      <c r="AC71" s="24" t="s">
        <v>89</v>
      </c>
    </row>
    <row r="72" spans="1:29">
      <c r="A72" s="24" t="s">
        <v>54</v>
      </c>
      <c r="B72" s="24" t="s">
        <v>55</v>
      </c>
      <c r="C72" s="24" t="s">
        <v>56</v>
      </c>
      <c r="D72" s="24" t="s">
        <v>285</v>
      </c>
      <c r="E72" s="24" t="s">
        <v>58</v>
      </c>
      <c r="F72" s="24" t="s">
        <v>295</v>
      </c>
      <c r="G72" s="24" t="s">
        <v>296</v>
      </c>
      <c r="H72" s="27" t="s">
        <v>297</v>
      </c>
      <c r="I72" s="25">
        <v>6688287</v>
      </c>
      <c r="J72" s="25">
        <v>6156914.23</v>
      </c>
      <c r="K72" s="25">
        <v>4901105.74</v>
      </c>
      <c r="L72" s="25">
        <v>3692512.7</v>
      </c>
      <c r="M72" s="26">
        <f>I72-J72</f>
        <v>531372.7700000005</v>
      </c>
      <c r="N72" s="26">
        <f>J72-K72</f>
        <v>1255808.4899999993</v>
      </c>
      <c r="O72" s="26">
        <f>I72-L72</f>
        <v>2995774.3000000003</v>
      </c>
      <c r="P72" s="28">
        <f>IF(I72&gt;0,L72/I72,0)</f>
        <v>0.5520864610026454</v>
      </c>
      <c r="Q72" s="28">
        <f>IF(I72&gt;0,K72/I72,0)</f>
        <v>0.7327893883740336</v>
      </c>
      <c r="R72" s="24" t="str">
        <f>IF(I72&lt;=0,"Sin PIM",IF(L72/I72&gt;=Config!$B$5,"Ejecutado",IF(K72/I72&gt;=Config!$B$6,"Mayormente comprometido",IF(K72&gt;0.005,"Parcialmente comprometido",IF(J72&gt;0.005,"Solo certificado","Sin certificar")))))</f>
        <v>Mayormente comprometido</v>
      </c>
      <c r="S72" s="24" t="str">
        <f>IF(R72="Sin certificar","Disponible",IF(R72="Solo certificado","Posible",IF(R72="Parcialmente comprometido","Parcial",IF(R72="Mayormente comprometido","Difícil",IF(R72="Ejecutado","No usar","Sin PIM")))))</f>
        <v>Difícil</v>
      </c>
      <c r="T72" s="26">
        <f>IF(OR(I72&lt;=0,R72="Ejecutado"),0,MAX(0,I72-K72))</f>
        <v>1787181.2599999998</v>
      </c>
      <c r="U72" s="24" t="s">
        <v>79</v>
      </c>
      <c r="V72" s="25">
        <v>2822702</v>
      </c>
      <c r="W72" s="25">
        <v>65844</v>
      </c>
      <c r="X72" s="25">
        <v>0</v>
      </c>
      <c r="Y72" s="25">
        <v>0</v>
      </c>
      <c r="Z72" s="24" t="s">
        <v>63</v>
      </c>
      <c r="AA72" s="24" t="s">
        <v>63</v>
      </c>
      <c r="AB72" s="24" t="s">
        <v>63</v>
      </c>
      <c r="AC72" s="24" t="s">
        <v>89</v>
      </c>
    </row>
    <row r="73" spans="1:29">
      <c r="A73" s="24" t="s">
        <v>54</v>
      </c>
      <c r="B73" s="24" t="s">
        <v>55</v>
      </c>
      <c r="C73" s="24" t="s">
        <v>56</v>
      </c>
      <c r="D73" s="24" t="s">
        <v>285</v>
      </c>
      <c r="E73" s="24" t="s">
        <v>58</v>
      </c>
      <c r="F73" s="24" t="s">
        <v>298</v>
      </c>
      <c r="G73" s="24" t="s">
        <v>299</v>
      </c>
      <c r="H73" s="27" t="s">
        <v>300</v>
      </c>
      <c r="I73" s="25">
        <v>3318026</v>
      </c>
      <c r="J73" s="25">
        <v>3154441.57</v>
      </c>
      <c r="K73" s="25">
        <v>2828127.4</v>
      </c>
      <c r="L73" s="25">
        <v>2243366.709999999</v>
      </c>
      <c r="M73" s="26">
        <f>I73-J73</f>
        <v>163584.4299999997</v>
      </c>
      <c r="N73" s="26">
        <f>J73-K73</f>
        <v>326314.1699999999</v>
      </c>
      <c r="O73" s="26">
        <f>I73-L73</f>
        <v>1074659.2900000005</v>
      </c>
      <c r="P73" s="28">
        <f>IF(I73&gt;0,L73/I73,0)</f>
        <v>0.6761148676954308</v>
      </c>
      <c r="Q73" s="28">
        <f>IF(I73&gt;0,K73/I73,0)</f>
        <v>0.8523523926575621</v>
      </c>
      <c r="R73" s="24" t="str">
        <f>IF(I73&lt;=0,"Sin PIM",IF(L73/I73&gt;=Config!$B$5,"Ejecutado",IF(K73/I73&gt;=Config!$B$6,"Mayormente comprometido",IF(K73&gt;0.005,"Parcialmente comprometido",IF(J73&gt;0.005,"Solo certificado","Sin certificar")))))</f>
        <v>Mayormente comprometido</v>
      </c>
      <c r="S73" s="24" t="str">
        <f>IF(R73="Sin certificar","Disponible",IF(R73="Solo certificado","Posible",IF(R73="Parcialmente comprometido","Parcial",IF(R73="Mayormente comprometido","Difícil",IF(R73="Ejecutado","No usar","Sin PIM")))))</f>
        <v>Difícil</v>
      </c>
      <c r="T73" s="26">
        <f>IF(OR(I73&lt;=0,R73="Ejecutado"),0,MAX(0,I73-K73))</f>
        <v>489898.5999999996</v>
      </c>
      <c r="U73" s="24" t="s">
        <v>301</v>
      </c>
      <c r="V73" s="25">
        <v>821892</v>
      </c>
      <c r="W73" s="25">
        <v>47336</v>
      </c>
      <c r="X73" s="25">
        <v>0</v>
      </c>
      <c r="Y73" s="25">
        <v>0</v>
      </c>
      <c r="Z73" s="24" t="s">
        <v>63</v>
      </c>
      <c r="AA73" s="24" t="s">
        <v>63</v>
      </c>
      <c r="AB73" s="24" t="s">
        <v>63</v>
      </c>
      <c r="AC73" s="24" t="s">
        <v>89</v>
      </c>
    </row>
    <row r="74" spans="1:29">
      <c r="A74" s="24" t="s">
        <v>54</v>
      </c>
      <c r="B74" s="24" t="s">
        <v>55</v>
      </c>
      <c r="C74" s="24" t="s">
        <v>56</v>
      </c>
      <c r="D74" s="24" t="s">
        <v>285</v>
      </c>
      <c r="E74" s="24" t="s">
        <v>58</v>
      </c>
      <c r="F74" s="24" t="s">
        <v>302</v>
      </c>
      <c r="G74" s="24" t="s">
        <v>303</v>
      </c>
      <c r="H74" s="27" t="s">
        <v>304</v>
      </c>
      <c r="I74" s="25">
        <v>0</v>
      </c>
      <c r="J74" s="25">
        <v>0</v>
      </c>
      <c r="K74" s="25">
        <v>0</v>
      </c>
      <c r="L74" s="25">
        <v>0</v>
      </c>
      <c r="M74" s="26">
        <f>I74-J74</f>
        <v>0.0</v>
      </c>
      <c r="N74" s="26">
        <f>J74-K74</f>
        <v>0.0</v>
      </c>
      <c r="O74" s="26">
        <f>I74-L74</f>
        <v>0.0</v>
      </c>
      <c r="P74" s="28">
        <f>IF(I74&gt;0,L74/I74,0)</f>
        <v>0</v>
      </c>
      <c r="Q74" s="28">
        <f>IF(I74&gt;0,K74/I74,0)</f>
        <v>0</v>
      </c>
      <c r="R74" s="24" t="str">
        <f>IF(I74&lt;=0,"Sin PIM",IF(L74/I74&gt;=Config!$B$5,"Ejecutado",IF(K74/I74&gt;=Config!$B$6,"Mayormente comprometido",IF(K74&gt;0.005,"Parcialmente comprometido",IF(J74&gt;0.005,"Solo certificado","Sin certificar")))))</f>
        <v>Sin PIM</v>
      </c>
      <c r="S74" s="24" t="str">
        <f>IF(R74="Sin certificar","Disponible",IF(R74="Solo certificado","Posible",IF(R74="Parcialmente comprometido","Parcial",IF(R74="Mayormente comprometido","Difícil",IF(R74="Ejecutado","No usar","Sin PIM")))))</f>
        <v>Sin PIM</v>
      </c>
      <c r="T74" s="26">
        <f>IF(OR(I74&lt;=0,R74="Ejecutado"),0,MAX(0,I74-K74))</f>
        <v>0.0</v>
      </c>
      <c r="U74" s="24" t="s">
        <v>105</v>
      </c>
      <c r="V74" s="25">
        <v>12571000</v>
      </c>
      <c r="W74" s="25">
        <v>5987564</v>
      </c>
      <c r="X74" s="25">
        <v>16094501</v>
      </c>
      <c r="Y74" s="25">
        <v>22576094</v>
      </c>
      <c r="Z74" s="24" t="s">
        <v>63</v>
      </c>
      <c r="AA74" s="24" t="s">
        <v>63</v>
      </c>
      <c r="AB74" s="24" t="s">
        <v>63</v>
      </c>
      <c r="AC74" s="24" t="s">
        <v>89</v>
      </c>
    </row>
    <row r="75" spans="1:29">
      <c r="A75" s="24" t="s">
        <v>54</v>
      </c>
      <c r="B75" s="24" t="s">
        <v>55</v>
      </c>
      <c r="C75" s="24" t="s">
        <v>56</v>
      </c>
      <c r="D75" s="24" t="s">
        <v>285</v>
      </c>
      <c r="E75" s="24" t="s">
        <v>71</v>
      </c>
      <c r="F75" s="24" t="s">
        <v>305</v>
      </c>
      <c r="G75" s="24" t="s">
        <v>306</v>
      </c>
      <c r="H75" s="27" t="s">
        <v>307</v>
      </c>
      <c r="I75" s="25">
        <v>21914154</v>
      </c>
      <c r="J75" s="25">
        <v>21776068.05999999</v>
      </c>
      <c r="K75" s="25">
        <v>20527324.14</v>
      </c>
      <c r="L75" s="25">
        <v>15564867.44</v>
      </c>
      <c r="M75" s="26">
        <f>I75-J75</f>
        <v>138085.94000000507</v>
      </c>
      <c r="N75" s="26">
        <f>J75-K75</f>
        <v>1248743.919999998</v>
      </c>
      <c r="O75" s="26">
        <f>I75-L75</f>
        <v>6349286.5600000005</v>
      </c>
      <c r="P75" s="28">
        <f>IF(I75&gt;0,L75/I75,0)</f>
        <v>0.7102654950768348</v>
      </c>
      <c r="Q75" s="28">
        <f>IF(I75&gt;0,K75/I75,0)</f>
        <v>0.9367153365810972</v>
      </c>
      <c r="R75" s="24" t="str">
        <f>IF(I75&lt;=0,"Sin PIM",IF(L75/I75&gt;=Config!$B$5,"Ejecutado",IF(K75/I75&gt;=Config!$B$6,"Mayormente comprometido",IF(K75&gt;0.005,"Parcialmente comprometido",IF(J75&gt;0.005,"Solo certificado","Sin certificar")))))</f>
        <v>Mayormente comprometido</v>
      </c>
      <c r="S75" s="24" t="str">
        <f>IF(R75="Sin certificar","Disponible",IF(R75="Solo certificado","Posible",IF(R75="Parcialmente comprometido","Parcial",IF(R75="Mayormente comprometido","Difícil",IF(R75="Ejecutado","No usar","Sin PIM")))))</f>
        <v>Difícil</v>
      </c>
      <c r="T75" s="26">
        <f>IF(OR(I75&lt;=0,R75="Ejecutado"),0,MAX(0,I75-K75))</f>
        <v>1386829.8600000031</v>
      </c>
      <c r="U75" s="24" t="s">
        <v>308</v>
      </c>
      <c r="V75" s="25">
        <v>11955231</v>
      </c>
      <c r="W75" s="25">
        <v>2500000</v>
      </c>
      <c r="X75" s="25">
        <v>3884089</v>
      </c>
      <c r="Y75" s="25">
        <v>0</v>
      </c>
      <c r="Z75" s="24" t="s">
        <v>63</v>
      </c>
      <c r="AA75" s="24" t="s">
        <v>63</v>
      </c>
      <c r="AB75" s="24" t="s">
        <v>63</v>
      </c>
      <c r="AC75" s="24" t="s">
        <v>89</v>
      </c>
    </row>
    <row r="76" spans="1:29">
      <c r="A76" s="24" t="s">
        <v>54</v>
      </c>
      <c r="B76" s="24" t="s">
        <v>55</v>
      </c>
      <c r="C76" s="24" t="s">
        <v>56</v>
      </c>
      <c r="D76" s="24" t="s">
        <v>285</v>
      </c>
      <c r="E76" s="24" t="s">
        <v>71</v>
      </c>
      <c r="F76" s="24" t="s">
        <v>309</v>
      </c>
      <c r="G76" s="24" t="s">
        <v>310</v>
      </c>
      <c r="H76" s="27" t="s">
        <v>311</v>
      </c>
      <c r="I76" s="25">
        <v>22276780</v>
      </c>
      <c r="J76" s="25">
        <v>17912911.21</v>
      </c>
      <c r="K76" s="25">
        <v>17717778.72</v>
      </c>
      <c r="L76" s="25">
        <v>15417466.05</v>
      </c>
      <c r="M76" s="26">
        <f>I76-J76</f>
        <v>4363868.789999999</v>
      </c>
      <c r="N76" s="26">
        <f>J76-K76</f>
        <v>195132.4900000021</v>
      </c>
      <c r="O76" s="26">
        <f>I76-L76</f>
        <v>6859313.950000003</v>
      </c>
      <c r="P76" s="28">
        <f>IF(I76&gt;0,L76/I76,0)</f>
        <v>0.6920868298739763</v>
      </c>
      <c r="Q76" s="28">
        <f>IF(I76&gt;0,K76/I76,0)</f>
        <v>0.7953473850350005</v>
      </c>
      <c r="R76" s="24" t="str">
        <f>IF(I76&lt;=0,"Sin PIM",IF(L76/I76&gt;=Config!$B$5,"Ejecutado",IF(K76/I76&gt;=Config!$B$6,"Mayormente comprometido",IF(K76&gt;0.005,"Parcialmente comprometido",IF(J76&gt;0.005,"Solo certificado","Sin certificar")))))</f>
        <v>Mayormente comprometido</v>
      </c>
      <c r="S76" s="24" t="str">
        <f>IF(R76="Sin certificar","Disponible",IF(R76="Solo certificado","Posible",IF(R76="Parcialmente comprometido","Parcial",IF(R76="Mayormente comprometido","Difícil",IF(R76="Ejecutado","No usar","Sin PIM")))))</f>
        <v>Difícil</v>
      </c>
      <c r="T76" s="26">
        <f>IF(OR(I76&lt;=0,R76="Ejecutado"),0,MAX(0,I76-K76))</f>
        <v>4559001.280000001</v>
      </c>
      <c r="U76" s="24" t="s">
        <v>100</v>
      </c>
      <c r="V76" s="25">
        <v>15800000</v>
      </c>
      <c r="W76" s="25">
        <v>14789542</v>
      </c>
      <c r="X76" s="25">
        <v>15918407</v>
      </c>
      <c r="Y76" s="25">
        <v>10295229</v>
      </c>
      <c r="Z76" s="24" t="s">
        <v>63</v>
      </c>
      <c r="AA76" s="24" t="s">
        <v>63</v>
      </c>
      <c r="AB76" s="24" t="s">
        <v>63</v>
      </c>
      <c r="AC76" s="24" t="s">
        <v>89</v>
      </c>
    </row>
    <row r="77" spans="1:29">
      <c r="A77" s="24" t="s">
        <v>54</v>
      </c>
      <c r="B77" s="24" t="s">
        <v>55</v>
      </c>
      <c r="C77" s="24" t="s">
        <v>56</v>
      </c>
      <c r="D77" s="24" t="s">
        <v>285</v>
      </c>
      <c r="E77" s="24" t="s">
        <v>71</v>
      </c>
      <c r="F77" s="24" t="s">
        <v>312</v>
      </c>
      <c r="G77" s="24" t="s">
        <v>313</v>
      </c>
      <c r="H77" s="27" t="s">
        <v>314</v>
      </c>
      <c r="I77" s="25">
        <v>17354707</v>
      </c>
      <c r="J77" s="25">
        <v>17083718.41999999</v>
      </c>
      <c r="K77" s="25">
        <v>13375984.72</v>
      </c>
      <c r="L77" s="25">
        <v>8610007.65</v>
      </c>
      <c r="M77" s="26">
        <f>I77-J77</f>
        <v>270988.58000000566</v>
      </c>
      <c r="N77" s="26">
        <f>J77-K77</f>
        <v>3707733.6999999974</v>
      </c>
      <c r="O77" s="26">
        <f>I77-L77</f>
        <v>8744699.35</v>
      </c>
      <c r="P77" s="28">
        <f>IF(I77&gt;0,L77/I77,0)</f>
        <v>0.49611944759424637</v>
      </c>
      <c r="Q77" s="28">
        <f>IF(I77&gt;0,K77/I77,0)</f>
        <v>0.7707410283561685</v>
      </c>
      <c r="R77" s="24" t="str">
        <f>IF(I77&lt;=0,"Sin PIM",IF(L77/I77&gt;=Config!$B$5,"Ejecutado",IF(K77/I77&gt;=Config!$B$6,"Mayormente comprometido",IF(K77&gt;0.005,"Parcialmente comprometido",IF(J77&gt;0.005,"Solo certificado","Sin certificar")))))</f>
        <v>Mayormente comprometido</v>
      </c>
      <c r="S77" s="24" t="str">
        <f>IF(R77="Sin certificar","Disponible",IF(R77="Solo certificado","Posible",IF(R77="Parcialmente comprometido","Parcial",IF(R77="Mayormente comprometido","Difícil",IF(R77="Ejecutado","No usar","Sin PIM")))))</f>
        <v>Difícil</v>
      </c>
      <c r="T77" s="26">
        <f>IF(OR(I77&lt;=0,R77="Ejecutado"),0,MAX(0,I77-K77))</f>
        <v>3978722.280000003</v>
      </c>
      <c r="U77" s="24" t="s">
        <v>79</v>
      </c>
      <c r="V77" s="25">
        <v>12500000</v>
      </c>
      <c r="W77" s="25">
        <v>4806839</v>
      </c>
      <c r="X77" s="25">
        <v>753613</v>
      </c>
      <c r="Y77" s="25">
        <v>0</v>
      </c>
      <c r="Z77" s="24" t="s">
        <v>63</v>
      </c>
      <c r="AA77" s="24" t="s">
        <v>63</v>
      </c>
      <c r="AB77" s="24" t="s">
        <v>63</v>
      </c>
      <c r="AC77" s="24" t="s">
        <v>89</v>
      </c>
    </row>
    <row r="78" spans="1:29">
      <c r="A78" s="24" t="s">
        <v>54</v>
      </c>
      <c r="B78" s="24" t="s">
        <v>55</v>
      </c>
      <c r="C78" s="24" t="s">
        <v>56</v>
      </c>
      <c r="D78" s="24" t="s">
        <v>285</v>
      </c>
      <c r="E78" s="24" t="s">
        <v>71</v>
      </c>
      <c r="F78" s="24" t="s">
        <v>315</v>
      </c>
      <c r="G78" s="24" t="s">
        <v>316</v>
      </c>
      <c r="H78" s="27" t="s">
        <v>317</v>
      </c>
      <c r="I78" s="25">
        <v>19795501</v>
      </c>
      <c r="J78" s="25">
        <v>19793411.72</v>
      </c>
      <c r="K78" s="25">
        <v>18134194.74</v>
      </c>
      <c r="L78" s="25">
        <v>14545766.24</v>
      </c>
      <c r="M78" s="26">
        <f>I78-J78</f>
        <v>2089.280000001192</v>
      </c>
      <c r="N78" s="26">
        <f>J78-K78</f>
        <v>1659216.9799999967</v>
      </c>
      <c r="O78" s="26">
        <f>I78-L78</f>
        <v>5249734.7600000035</v>
      </c>
      <c r="P78" s="28">
        <f>IF(I78&gt;0,L78/I78,0)</f>
        <v>0.7348016218432661</v>
      </c>
      <c r="Q78" s="28">
        <f>IF(I78&gt;0,K78/I78,0)</f>
        <v>0.9160765741670293</v>
      </c>
      <c r="R78" s="24" t="str">
        <f>IF(I78&lt;=0,"Sin PIM",IF(L78/I78&gt;=Config!$B$5,"Ejecutado",IF(K78/I78&gt;=Config!$B$6,"Mayormente comprometido",IF(K78&gt;0.005,"Parcialmente comprometido",IF(J78&gt;0.005,"Solo certificado","Sin certificar")))))</f>
        <v>Mayormente comprometido</v>
      </c>
      <c r="S78" s="24" t="str">
        <f>IF(R78="Sin certificar","Disponible",IF(R78="Solo certificado","Posible",IF(R78="Parcialmente comprometido","Parcial",IF(R78="Mayormente comprometido","Difícil",IF(R78="Ejecutado","No usar","Sin PIM")))))</f>
        <v>Difícil</v>
      </c>
      <c r="T78" s="26">
        <f>IF(OR(I78&lt;=0,R78="Ejecutado"),0,MAX(0,I78-K78))</f>
        <v>1661306.259999998</v>
      </c>
      <c r="U78" s="24" t="s">
        <v>79</v>
      </c>
      <c r="V78" s="25">
        <v>9609000</v>
      </c>
      <c r="W78" s="25">
        <v>897867</v>
      </c>
      <c r="X78" s="25">
        <v>6124874</v>
      </c>
      <c r="Y78" s="25">
        <v>0</v>
      </c>
      <c r="Z78" s="24" t="s">
        <v>63</v>
      </c>
      <c r="AA78" s="24" t="s">
        <v>63</v>
      </c>
      <c r="AB78" s="24" t="s">
        <v>63</v>
      </c>
      <c r="AC78" s="24" t="s">
        <v>89</v>
      </c>
    </row>
    <row r="79" spans="1:29">
      <c r="A79" s="24" t="s">
        <v>54</v>
      </c>
      <c r="B79" s="24" t="s">
        <v>55</v>
      </c>
      <c r="C79" s="24" t="s">
        <v>56</v>
      </c>
      <c r="D79" s="24" t="s">
        <v>285</v>
      </c>
      <c r="E79" s="24" t="s">
        <v>71</v>
      </c>
      <c r="F79" s="24" t="s">
        <v>318</v>
      </c>
      <c r="G79" s="24" t="s">
        <v>319</v>
      </c>
      <c r="H79" s="27" t="s">
        <v>320</v>
      </c>
      <c r="I79" s="25">
        <v>17241964</v>
      </c>
      <c r="J79" s="25">
        <v>17144704.56</v>
      </c>
      <c r="K79" s="25">
        <v>14900492.38</v>
      </c>
      <c r="L79" s="25">
        <v>11639796.34</v>
      </c>
      <c r="M79" s="26">
        <f>I79-J79</f>
        <v>97259.43999999762</v>
      </c>
      <c r="N79" s="26">
        <f>J79-K79</f>
        <v>2244212.1800000016</v>
      </c>
      <c r="O79" s="26">
        <f>I79-L79</f>
        <v>5602167.66</v>
      </c>
      <c r="P79" s="28">
        <f>IF(I79&gt;0,L79/I79,0)</f>
        <v>0.6750852942275022</v>
      </c>
      <c r="Q79" s="28">
        <f>IF(I79&gt;0,K79/I79,0)</f>
        <v>0.8641992513149894</v>
      </c>
      <c r="R79" s="24" t="str">
        <f>IF(I79&lt;=0,"Sin PIM",IF(L79/I79&gt;=Config!$B$5,"Ejecutado",IF(K79/I79&gt;=Config!$B$6,"Mayormente comprometido",IF(K79&gt;0.005,"Parcialmente comprometido",IF(J79&gt;0.005,"Solo certificado","Sin certificar")))))</f>
        <v>Mayormente comprometido</v>
      </c>
      <c r="S79" s="24" t="str">
        <f>IF(R79="Sin certificar","Disponible",IF(R79="Solo certificado","Posible",IF(R79="Parcialmente comprometido","Parcial",IF(R79="Mayormente comprometido","Difícil",IF(R79="Ejecutado","No usar","Sin PIM")))))</f>
        <v>Difícil</v>
      </c>
      <c r="T79" s="26">
        <f>IF(OR(I79&lt;=0,R79="Ejecutado"),0,MAX(0,I79-K79))</f>
        <v>2341471.619999999</v>
      </c>
      <c r="U79" s="24" t="s">
        <v>100</v>
      </c>
      <c r="V79" s="25">
        <v>8016014</v>
      </c>
      <c r="W79" s="25">
        <v>10000000</v>
      </c>
      <c r="X79" s="25">
        <v>1057112</v>
      </c>
      <c r="Y79" s="25">
        <v>2541629</v>
      </c>
      <c r="Z79" s="24" t="s">
        <v>63</v>
      </c>
      <c r="AA79" s="24" t="s">
        <v>63</v>
      </c>
      <c r="AB79" s="24" t="s">
        <v>63</v>
      </c>
      <c r="AC79" s="24" t="s">
        <v>89</v>
      </c>
    </row>
    <row r="80" spans="1:29">
      <c r="A80" s="24" t="s">
        <v>54</v>
      </c>
      <c r="B80" s="24" t="s">
        <v>55</v>
      </c>
      <c r="C80" s="24" t="s">
        <v>56</v>
      </c>
      <c r="D80" s="24" t="s">
        <v>285</v>
      </c>
      <c r="E80" s="24" t="s">
        <v>71</v>
      </c>
      <c r="F80" s="24" t="s">
        <v>321</v>
      </c>
      <c r="G80" s="24" t="s">
        <v>322</v>
      </c>
      <c r="H80" s="27" t="s">
        <v>323</v>
      </c>
      <c r="I80" s="25">
        <v>15380884</v>
      </c>
      <c r="J80" s="25">
        <v>14270657.16</v>
      </c>
      <c r="K80" s="25">
        <v>11262956.71</v>
      </c>
      <c r="L80" s="25">
        <v>9463521.460000003</v>
      </c>
      <c r="M80" s="26">
        <f>I80-J80</f>
        <v>1110226.839999998</v>
      </c>
      <c r="N80" s="26">
        <f>J80-K80</f>
        <v>3007700.4499999993</v>
      </c>
      <c r="O80" s="26">
        <f>I80-L80</f>
        <v>5917362.539999997</v>
      </c>
      <c r="P80" s="28">
        <f>IF(I80&gt;0,L80/I80,0)</f>
        <v>0.6152781244563058</v>
      </c>
      <c r="Q80" s="28">
        <f>IF(I80&gt;0,K80/I80,0)</f>
        <v>0.7322697908650766</v>
      </c>
      <c r="R80" s="24" t="str">
        <f>IF(I80&lt;=0,"Sin PIM",IF(L80/I80&gt;=Config!$B$5,"Ejecutado",IF(K80/I80&gt;=Config!$B$6,"Mayormente comprometido",IF(K80&gt;0.005,"Parcialmente comprometido",IF(J80&gt;0.005,"Solo certificado","Sin certificar")))))</f>
        <v>Mayormente comprometido</v>
      </c>
      <c r="S80" s="24" t="str">
        <f>IF(R80="Sin certificar","Disponible",IF(R80="Solo certificado","Posible",IF(R80="Parcialmente comprometido","Parcial",IF(R80="Mayormente comprometido","Difícil",IF(R80="Ejecutado","No usar","Sin PIM")))))</f>
        <v>Difícil</v>
      </c>
      <c r="T80" s="26">
        <f>IF(OR(I80&lt;=0,R80="Ejecutado"),0,MAX(0,I80-K80))</f>
        <v>4117927.2899999972</v>
      </c>
      <c r="U80" s="24" t="s">
        <v>79</v>
      </c>
      <c r="V80" s="25">
        <v>6000000</v>
      </c>
      <c r="W80" s="25">
        <v>3456765</v>
      </c>
      <c r="X80" s="25">
        <v>1108030</v>
      </c>
      <c r="Y80" s="25">
        <v>0</v>
      </c>
      <c r="Z80" s="24" t="s">
        <v>63</v>
      </c>
      <c r="AA80" s="24" t="s">
        <v>63</v>
      </c>
      <c r="AB80" s="24" t="s">
        <v>63</v>
      </c>
      <c r="AC80" s="24" t="s">
        <v>89</v>
      </c>
    </row>
    <row r="81" spans="1:29">
      <c r="A81" s="24" t="s">
        <v>54</v>
      </c>
      <c r="B81" s="24" t="s">
        <v>55</v>
      </c>
      <c r="C81" s="24" t="s">
        <v>56</v>
      </c>
      <c r="D81" s="24" t="s">
        <v>285</v>
      </c>
      <c r="E81" s="24" t="s">
        <v>71</v>
      </c>
      <c r="F81" s="24" t="s">
        <v>324</v>
      </c>
      <c r="G81" s="24" t="s">
        <v>325</v>
      </c>
      <c r="H81" s="27" t="s">
        <v>326</v>
      </c>
      <c r="I81" s="25">
        <v>9666000</v>
      </c>
      <c r="J81" s="25">
        <v>9191703.83</v>
      </c>
      <c r="K81" s="25">
        <v>6821296.680000001</v>
      </c>
      <c r="L81" s="25">
        <v>5594991.060000001</v>
      </c>
      <c r="M81" s="26">
        <f>I81-J81</f>
        <v>474296.1699999999</v>
      </c>
      <c r="N81" s="26">
        <f>J81-K81</f>
        <v>2370407.1499999994</v>
      </c>
      <c r="O81" s="26">
        <f>I81-L81</f>
        <v>4071008.9399999985</v>
      </c>
      <c r="P81" s="28">
        <f>IF(I81&gt;0,L81/I81,0)</f>
        <v>0.5788320980757296</v>
      </c>
      <c r="Q81" s="28">
        <f>IF(I81&gt;0,K81/I81,0)</f>
        <v>0.7057000496585972</v>
      </c>
      <c r="R81" s="24" t="str">
        <f>IF(I81&lt;=0,"Sin PIM",IF(L81/I81&gt;=Config!$B$5,"Ejecutado",IF(K81/I81&gt;=Config!$B$6,"Mayormente comprometido",IF(K81&gt;0.005,"Parcialmente comprometido",IF(J81&gt;0.005,"Solo certificado","Sin certificar")))))</f>
        <v>Mayormente comprometido</v>
      </c>
      <c r="S81" s="24" t="str">
        <f>IF(R81="Sin certificar","Disponible",IF(R81="Solo certificado","Posible",IF(R81="Parcialmente comprometido","Parcial",IF(R81="Mayormente comprometido","Difícil",IF(R81="Ejecutado","No usar","Sin PIM")))))</f>
        <v>Difícil</v>
      </c>
      <c r="T81" s="26">
        <f>IF(OR(I81&lt;=0,R81="Ejecutado"),0,MAX(0,I81-K81))</f>
        <v>2844703.3199999994</v>
      </c>
      <c r="U81" s="24" t="s">
        <v>75</v>
      </c>
      <c r="V81" s="25">
        <v>7546000</v>
      </c>
      <c r="W81" s="25">
        <v>1410563</v>
      </c>
      <c r="X81" s="25">
        <v>1509243</v>
      </c>
      <c r="Y81" s="25">
        <v>0</v>
      </c>
      <c r="Z81" s="24" t="s">
        <v>63</v>
      </c>
      <c r="AA81" s="24" t="s">
        <v>63</v>
      </c>
      <c r="AB81" s="24" t="s">
        <v>63</v>
      </c>
      <c r="AC81" s="24" t="s">
        <v>89</v>
      </c>
    </row>
    <row r="82" spans="1:29">
      <c r="A82" s="24" t="s">
        <v>54</v>
      </c>
      <c r="B82" s="24" t="s">
        <v>55</v>
      </c>
      <c r="C82" s="24" t="s">
        <v>56</v>
      </c>
      <c r="D82" s="24" t="s">
        <v>285</v>
      </c>
      <c r="E82" s="24" t="s">
        <v>71</v>
      </c>
      <c r="F82" s="24" t="s">
        <v>327</v>
      </c>
      <c r="G82" s="24" t="s">
        <v>328</v>
      </c>
      <c r="H82" s="27" t="s">
        <v>329</v>
      </c>
      <c r="I82" s="25">
        <v>6765264</v>
      </c>
      <c r="J82" s="25">
        <v>6659441.19</v>
      </c>
      <c r="K82" s="25">
        <v>5358469.79</v>
      </c>
      <c r="L82" s="25">
        <v>4177875.529999999</v>
      </c>
      <c r="M82" s="26">
        <f>I82-J82</f>
        <v>105822.80999999959</v>
      </c>
      <c r="N82" s="26">
        <f>J82-K82</f>
        <v>1300971.4000000004</v>
      </c>
      <c r="O82" s="26">
        <f>I82-L82</f>
        <v>2587388.470000001</v>
      </c>
      <c r="P82" s="28">
        <f>IF(I82&gt;0,L82/I82,0)</f>
        <v>0.6175480409929308</v>
      </c>
      <c r="Q82" s="28">
        <f>IF(I82&gt;0,K82/I82,0)</f>
        <v>0.7920562730441857</v>
      </c>
      <c r="R82" s="24" t="str">
        <f>IF(I82&lt;=0,"Sin PIM",IF(L82/I82&gt;=Config!$B$5,"Ejecutado",IF(K82/I82&gt;=Config!$B$6,"Mayormente comprometido",IF(K82&gt;0.005,"Parcialmente comprometido",IF(J82&gt;0.005,"Solo certificado","Sin certificar")))))</f>
        <v>Mayormente comprometido</v>
      </c>
      <c r="S82" s="24" t="str">
        <f>IF(R82="Sin certificar","Disponible",IF(R82="Solo certificado","Posible",IF(R82="Parcialmente comprometido","Parcial",IF(R82="Mayormente comprometido","Difícil",IF(R82="Ejecutado","No usar","Sin PIM")))))</f>
        <v>Difícil</v>
      </c>
      <c r="T82" s="26">
        <f>IF(OR(I82&lt;=0,R82="Ejecutado"),0,MAX(0,I82-K82))</f>
        <v>1406794.21</v>
      </c>
      <c r="U82" s="24" t="s">
        <v>79</v>
      </c>
      <c r="V82" s="24" t="s">
        <v>69</v>
      </c>
      <c r="W82" s="24" t="s">
        <v>69</v>
      </c>
      <c r="X82" s="24" t="s">
        <v>69</v>
      </c>
      <c r="Y82" s="24" t="s">
        <v>69</v>
      </c>
      <c r="Z82" s="24" t="s">
        <v>63</v>
      </c>
      <c r="AA82" s="24" t="s">
        <v>63</v>
      </c>
      <c r="AB82" s="24" t="s">
        <v>63</v>
      </c>
      <c r="AC82" s="24" t="s">
        <v>89</v>
      </c>
    </row>
    <row r="83" spans="1:29">
      <c r="A83" s="24" t="s">
        <v>54</v>
      </c>
      <c r="B83" s="24" t="s">
        <v>55</v>
      </c>
      <c r="C83" s="24" t="s">
        <v>56</v>
      </c>
      <c r="D83" s="24" t="s">
        <v>285</v>
      </c>
      <c r="E83" s="24" t="s">
        <v>71</v>
      </c>
      <c r="F83" s="24" t="s">
        <v>330</v>
      </c>
      <c r="G83" s="24" t="s">
        <v>331</v>
      </c>
      <c r="H83" s="27" t="s">
        <v>332</v>
      </c>
      <c r="I83" s="25">
        <v>4291327</v>
      </c>
      <c r="J83" s="25">
        <v>4093667.05</v>
      </c>
      <c r="K83" s="25">
        <v>4092925.67</v>
      </c>
      <c r="L83" s="25">
        <v>3891386.790000001</v>
      </c>
      <c r="M83" s="26">
        <f>I83-J83</f>
        <v>197659.9500000002</v>
      </c>
      <c r="N83" s="26">
        <f>J83-K83</f>
        <v>741.3799999998882</v>
      </c>
      <c r="O83" s="26">
        <f>I83-L83</f>
        <v>399940.20999999903</v>
      </c>
      <c r="P83" s="28">
        <f>IF(I83&gt;0,L83/I83,0)</f>
        <v>0.9068026719940011</v>
      </c>
      <c r="Q83" s="28">
        <f>IF(I83&gt;0,K83/I83,0)</f>
        <v>0.9537669047359942</v>
      </c>
      <c r="R83" s="24" t="str">
        <f>IF(I83&lt;=0,"Sin PIM",IF(L83/I83&gt;=Config!$B$5,"Ejecutado",IF(K83/I83&gt;=Config!$B$6,"Mayormente comprometido",IF(K83&gt;0.005,"Parcialmente comprometido",IF(J83&gt;0.005,"Solo certificado","Sin certificar")))))</f>
        <v>Ejecutado</v>
      </c>
      <c r="S83" s="24" t="str">
        <f>IF(R83="Sin certificar","Disponible",IF(R83="Solo certificado","Posible",IF(R83="Parcialmente comprometido","Parcial",IF(R83="Mayormente comprometido","Difícil",IF(R83="Ejecutado","No usar","Sin PIM")))))</f>
        <v>No usar</v>
      </c>
      <c r="T83" s="26">
        <f>IF(OR(I83&lt;=0,R83="Ejecutado"),0,MAX(0,I83-K83))</f>
        <v>0.0</v>
      </c>
      <c r="U83" s="24" t="s">
        <v>148</v>
      </c>
      <c r="V83" s="24" t="s">
        <v>69</v>
      </c>
      <c r="W83" s="24" t="s">
        <v>69</v>
      </c>
      <c r="X83" s="24" t="s">
        <v>69</v>
      </c>
      <c r="Y83" s="24" t="s">
        <v>69</v>
      </c>
      <c r="Z83" s="24" t="s">
        <v>63</v>
      </c>
      <c r="AA83" s="24" t="s">
        <v>63</v>
      </c>
      <c r="AB83" s="24" t="s">
        <v>63</v>
      </c>
      <c r="AC83" s="24" t="s">
        <v>89</v>
      </c>
    </row>
    <row r="84" spans="1:29">
      <c r="A84" s="24" t="s">
        <v>54</v>
      </c>
      <c r="B84" s="24" t="s">
        <v>55</v>
      </c>
      <c r="C84" s="24" t="s">
        <v>56</v>
      </c>
      <c r="D84" s="24" t="s">
        <v>285</v>
      </c>
      <c r="E84" s="24" t="s">
        <v>71</v>
      </c>
      <c r="F84" s="24" t="s">
        <v>333</v>
      </c>
      <c r="G84" s="24" t="s">
        <v>334</v>
      </c>
      <c r="H84" s="27" t="s">
        <v>335</v>
      </c>
      <c r="I84" s="25">
        <v>5799805</v>
      </c>
      <c r="J84" s="25">
        <v>5459070.300000001</v>
      </c>
      <c r="K84" s="25">
        <v>5004147.27</v>
      </c>
      <c r="L84" s="25">
        <v>3888315.880000001</v>
      </c>
      <c r="M84" s="26">
        <f>I84-J84</f>
        <v>340734.69999999925</v>
      </c>
      <c r="N84" s="26">
        <f>J84-K84</f>
        <v>454923.03000000026</v>
      </c>
      <c r="O84" s="26">
        <f>I84-L84</f>
        <v>1911489.1199999992</v>
      </c>
      <c r="P84" s="28">
        <f>IF(I84&gt;0,L84/I84,0)</f>
        <v>0.670421829699447</v>
      </c>
      <c r="Q84" s="28">
        <f>IF(I84&gt;0,K84/I84,0)</f>
        <v>0.8628130204377562</v>
      </c>
      <c r="R84" s="24" t="str">
        <f>IF(I84&lt;=0,"Sin PIM",IF(L84/I84&gt;=Config!$B$5,"Ejecutado",IF(K84/I84&gt;=Config!$B$6,"Mayormente comprometido",IF(K84&gt;0.005,"Parcialmente comprometido",IF(J84&gt;0.005,"Solo certificado","Sin certificar")))))</f>
        <v>Mayormente comprometido</v>
      </c>
      <c r="S84" s="24" t="str">
        <f>IF(R84="Sin certificar","Disponible",IF(R84="Solo certificado","Posible",IF(R84="Parcialmente comprometido","Parcial",IF(R84="Mayormente comprometido","Difícil",IF(R84="Ejecutado","No usar","Sin PIM")))))</f>
        <v>Difícil</v>
      </c>
      <c r="T84" s="26">
        <f>IF(OR(I84&lt;=0,R84="Ejecutado"),0,MAX(0,I84-K84))</f>
        <v>795657.7299999995</v>
      </c>
      <c r="U84" s="24" t="s">
        <v>148</v>
      </c>
      <c r="V84" s="24" t="s">
        <v>69</v>
      </c>
      <c r="W84" s="24" t="s">
        <v>69</v>
      </c>
      <c r="X84" s="24" t="s">
        <v>69</v>
      </c>
      <c r="Y84" s="24" t="s">
        <v>69</v>
      </c>
      <c r="Z84" s="24" t="s">
        <v>63</v>
      </c>
      <c r="AA84" s="24" t="s">
        <v>63</v>
      </c>
      <c r="AB84" s="24" t="s">
        <v>63</v>
      </c>
      <c r="AC84" s="24" t="s">
        <v>89</v>
      </c>
    </row>
    <row r="85" spans="1:29">
      <c r="A85" s="24" t="s">
        <v>54</v>
      </c>
      <c r="B85" s="24" t="s">
        <v>55</v>
      </c>
      <c r="C85" s="24" t="s">
        <v>56</v>
      </c>
      <c r="D85" s="24" t="s">
        <v>285</v>
      </c>
      <c r="E85" s="24" t="s">
        <v>71</v>
      </c>
      <c r="F85" s="24" t="s">
        <v>336</v>
      </c>
      <c r="G85" s="24" t="s">
        <v>337</v>
      </c>
      <c r="H85" s="27" t="s">
        <v>338</v>
      </c>
      <c r="I85" s="25">
        <v>4802506</v>
      </c>
      <c r="J85" s="25">
        <v>4376181.619999999</v>
      </c>
      <c r="K85" s="25">
        <v>4092158.62</v>
      </c>
      <c r="L85" s="25">
        <v>3250907.82</v>
      </c>
      <c r="M85" s="26">
        <f>I85-J85</f>
        <v>426324.3800000008</v>
      </c>
      <c r="N85" s="26">
        <f>J85-K85</f>
        <v>284022.99999999953</v>
      </c>
      <c r="O85" s="26">
        <f>I85-L85</f>
        <v>1551598.1799999997</v>
      </c>
      <c r="P85" s="28">
        <f>IF(I85&gt;0,L85/I85,0)</f>
        <v>0.6769190543437115</v>
      </c>
      <c r="Q85" s="28">
        <f>IF(I85&gt;0,K85/I85,0)</f>
        <v>0.8520881847935223</v>
      </c>
      <c r="R85" s="24" t="str">
        <f>IF(I85&lt;=0,"Sin PIM",IF(L85/I85&gt;=Config!$B$5,"Ejecutado",IF(K85/I85&gt;=Config!$B$6,"Mayormente comprometido",IF(K85&gt;0.005,"Parcialmente comprometido",IF(J85&gt;0.005,"Solo certificado","Sin certificar")))))</f>
        <v>Mayormente comprometido</v>
      </c>
      <c r="S85" s="24" t="str">
        <f>IF(R85="Sin certificar","Disponible",IF(R85="Solo certificado","Posible",IF(R85="Parcialmente comprometido","Parcial",IF(R85="Mayormente comprometido","Difícil",IF(R85="Ejecutado","No usar","Sin PIM")))))</f>
        <v>Difícil</v>
      </c>
      <c r="T85" s="26">
        <f>IF(OR(I85&lt;=0,R85="Ejecutado"),0,MAX(0,I85-K85))</f>
        <v>710347.3800000004</v>
      </c>
      <c r="U85" s="24" t="s">
        <v>148</v>
      </c>
      <c r="V85" s="25">
        <v>3770000</v>
      </c>
      <c r="W85" s="25">
        <v>876556</v>
      </c>
      <c r="X85" s="25">
        <v>4649244</v>
      </c>
      <c r="Y85" s="25">
        <v>7795363</v>
      </c>
      <c r="Z85" s="24" t="s">
        <v>63</v>
      </c>
      <c r="AA85" s="24" t="s">
        <v>63</v>
      </c>
      <c r="AB85" s="24" t="s">
        <v>63</v>
      </c>
      <c r="AC85" s="24" t="s">
        <v>89</v>
      </c>
    </row>
    <row r="86" spans="1:29">
      <c r="A86" s="24" t="s">
        <v>54</v>
      </c>
      <c r="B86" s="24" t="s">
        <v>55</v>
      </c>
      <c r="C86" s="24" t="s">
        <v>56</v>
      </c>
      <c r="D86" s="24" t="s">
        <v>285</v>
      </c>
      <c r="E86" s="24" t="s">
        <v>71</v>
      </c>
      <c r="F86" s="24" t="s">
        <v>336</v>
      </c>
      <c r="G86" s="24" t="s">
        <v>339</v>
      </c>
      <c r="H86" s="27" t="s">
        <v>338</v>
      </c>
      <c r="I86" s="25">
        <v>4992699</v>
      </c>
      <c r="J86" s="25">
        <v>4276945.21</v>
      </c>
      <c r="K86" s="25">
        <v>4118771.96</v>
      </c>
      <c r="L86" s="25">
        <v>3252598.59</v>
      </c>
      <c r="M86" s="26">
        <f>I86-J86</f>
        <v>715753.79</v>
      </c>
      <c r="N86" s="26">
        <f>J86-K86</f>
        <v>158173.25</v>
      </c>
      <c r="O86" s="26">
        <f>I86-L86</f>
        <v>1740100.4099999997</v>
      </c>
      <c r="P86" s="28">
        <f>IF(I86&gt;0,L86/I86,0)</f>
        <v>0.6514709959482837</v>
      </c>
      <c r="Q86" s="28">
        <f>IF(I86&gt;0,K86/I86,0)</f>
        <v>0.8249589971276057</v>
      </c>
      <c r="R86" s="24" t="str">
        <f>IF(I86&lt;=0,"Sin PIM",IF(L86/I86&gt;=Config!$B$5,"Ejecutado",IF(K86/I86&gt;=Config!$B$6,"Mayormente comprometido",IF(K86&gt;0.005,"Parcialmente comprometido",IF(J86&gt;0.005,"Solo certificado","Sin certificar")))))</f>
        <v>Mayormente comprometido</v>
      </c>
      <c r="S86" s="24" t="str">
        <f>IF(R86="Sin certificar","Disponible",IF(R86="Solo certificado","Posible",IF(R86="Parcialmente comprometido","Parcial",IF(R86="Mayormente comprometido","Difícil",IF(R86="Ejecutado","No usar","Sin PIM")))))</f>
        <v>Difícil</v>
      </c>
      <c r="T86" s="26">
        <f>IF(OR(I86&lt;=0,R86="Ejecutado"),0,MAX(0,I86-K86))</f>
        <v>873927.04</v>
      </c>
      <c r="U86" s="24" t="s">
        <v>148</v>
      </c>
      <c r="V86" s="25">
        <v>3770000</v>
      </c>
      <c r="W86" s="25">
        <v>876556</v>
      </c>
      <c r="X86" s="25">
        <v>4649244</v>
      </c>
      <c r="Y86" s="25">
        <v>7795363</v>
      </c>
      <c r="Z86" s="24" t="s">
        <v>63</v>
      </c>
      <c r="AA86" s="24" t="s">
        <v>63</v>
      </c>
      <c r="AB86" s="24" t="s">
        <v>63</v>
      </c>
      <c r="AC86" s="24" t="s">
        <v>89</v>
      </c>
    </row>
    <row r="87" spans="1:29">
      <c r="A87" s="24" t="s">
        <v>54</v>
      </c>
      <c r="B87" s="24" t="s">
        <v>55</v>
      </c>
      <c r="C87" s="24" t="s">
        <v>56</v>
      </c>
      <c r="D87" s="24" t="s">
        <v>285</v>
      </c>
      <c r="E87" s="24" t="s">
        <v>71</v>
      </c>
      <c r="F87" s="24" t="s">
        <v>340</v>
      </c>
      <c r="G87" s="24" t="s">
        <v>341</v>
      </c>
      <c r="H87" s="27" t="s">
        <v>342</v>
      </c>
      <c r="I87" s="25">
        <v>3853164</v>
      </c>
      <c r="J87" s="25">
        <v>3701445.63</v>
      </c>
      <c r="K87" s="25">
        <v>3690348.76</v>
      </c>
      <c r="L87" s="25">
        <v>3036070.049999999</v>
      </c>
      <c r="M87" s="26">
        <f>I87-J87</f>
        <v>151718.3700000001</v>
      </c>
      <c r="N87" s="26">
        <f>J87-K87</f>
        <v>11096.870000000112</v>
      </c>
      <c r="O87" s="26">
        <f>I87-L87</f>
        <v>817093.9500000007</v>
      </c>
      <c r="P87" s="28">
        <f>IF(I87&gt;0,L87/I87,0)</f>
        <v>0.7879420782504973</v>
      </c>
      <c r="Q87" s="28">
        <f>IF(I87&gt;0,K87/I87,0)</f>
        <v>0.9577450531563151</v>
      </c>
      <c r="R87" s="24" t="str">
        <f>IF(I87&lt;=0,"Sin PIM",IF(L87/I87&gt;=Config!$B$5,"Ejecutado",IF(K87/I87&gt;=Config!$B$6,"Mayormente comprometido",IF(K87&gt;0.005,"Parcialmente comprometido",IF(J87&gt;0.005,"Solo certificado","Sin certificar")))))</f>
        <v>Mayormente comprometido</v>
      </c>
      <c r="S87" s="24" t="str">
        <f>IF(R87="Sin certificar","Disponible",IF(R87="Solo certificado","Posible",IF(R87="Parcialmente comprometido","Parcial",IF(R87="Mayormente comprometido","Difícil",IF(R87="Ejecutado","No usar","Sin PIM")))))</f>
        <v>Difícil</v>
      </c>
      <c r="T87" s="26">
        <f>IF(OR(I87&lt;=0,R87="Ejecutado"),0,MAX(0,I87-K87))</f>
        <v>162815.24000000022</v>
      </c>
      <c r="U87" s="24" t="s">
        <v>148</v>
      </c>
      <c r="V87" s="24" t="s">
        <v>69</v>
      </c>
      <c r="W87" s="24" t="s">
        <v>69</v>
      </c>
      <c r="X87" s="24" t="s">
        <v>69</v>
      </c>
      <c r="Y87" s="24" t="s">
        <v>69</v>
      </c>
      <c r="Z87" s="24" t="s">
        <v>63</v>
      </c>
      <c r="AA87" s="24" t="s">
        <v>63</v>
      </c>
      <c r="AB87" s="24" t="s">
        <v>63</v>
      </c>
      <c r="AC87" s="24" t="s">
        <v>89</v>
      </c>
    </row>
    <row r="88" spans="1:29">
      <c r="A88" s="24" t="s">
        <v>54</v>
      </c>
      <c r="B88" s="24" t="s">
        <v>55</v>
      </c>
      <c r="C88" s="24" t="s">
        <v>56</v>
      </c>
      <c r="D88" s="24" t="s">
        <v>285</v>
      </c>
      <c r="E88" s="24" t="s">
        <v>71</v>
      </c>
      <c r="F88" s="24" t="s">
        <v>343</v>
      </c>
      <c r="G88" s="24" t="s">
        <v>344</v>
      </c>
      <c r="H88" s="27" t="s">
        <v>345</v>
      </c>
      <c r="I88" s="25">
        <v>1142346</v>
      </c>
      <c r="J88" s="25">
        <v>911210.5600000001</v>
      </c>
      <c r="K88" s="25">
        <v>703126.63</v>
      </c>
      <c r="L88" s="25">
        <v>18478.9</v>
      </c>
      <c r="M88" s="26">
        <f>I88-J88</f>
        <v>231135.43999999994</v>
      </c>
      <c r="N88" s="26">
        <f>J88-K88</f>
        <v>208083.93000000005</v>
      </c>
      <c r="O88" s="26">
        <f>I88-L88</f>
        <v>1123867.1</v>
      </c>
      <c r="P88" s="28">
        <f>IF(I88&gt;0,L88/I88,0)</f>
        <v>0.016176272337803083</v>
      </c>
      <c r="Q88" s="28">
        <f>IF(I88&gt;0,K88/I88,0)</f>
        <v>0.6155110885843693</v>
      </c>
      <c r="R88" s="24" t="str">
        <f>IF(I88&lt;=0,"Sin PIM",IF(L88/I88&gt;=Config!$B$5,"Ejecutado",IF(K88/I88&gt;=Config!$B$6,"Mayormente comprometido",IF(K88&gt;0.005,"Parcialmente comprometido",IF(J88&gt;0.005,"Solo certificado","Sin certificar")))))</f>
        <v>Mayormente comprometido</v>
      </c>
      <c r="S88" s="24" t="str">
        <f>IF(R88="Sin certificar","Disponible",IF(R88="Solo certificado","Posible",IF(R88="Parcialmente comprometido","Parcial",IF(R88="Mayormente comprometido","Difícil",IF(R88="Ejecutado","No usar","Sin PIM")))))</f>
        <v>Difícil</v>
      </c>
      <c r="T88" s="26">
        <f>IF(OR(I88&lt;=0,R88="Ejecutado"),0,MAX(0,I88-K88))</f>
        <v>439219.37</v>
      </c>
      <c r="U88" s="24" t="s">
        <v>100</v>
      </c>
      <c r="V88" s="25">
        <v>100000</v>
      </c>
      <c r="W88" s="25">
        <v>0</v>
      </c>
      <c r="X88" s="25">
        <v>959009</v>
      </c>
      <c r="Y88" s="25">
        <v>0</v>
      </c>
      <c r="Z88" s="24" t="s">
        <v>63</v>
      </c>
      <c r="AA88" s="24" t="s">
        <v>63</v>
      </c>
      <c r="AB88" s="24" t="s">
        <v>63</v>
      </c>
      <c r="AC88" s="24" t="s">
        <v>89</v>
      </c>
    </row>
    <row r="89" spans="1:29">
      <c r="A89" s="24" t="s">
        <v>54</v>
      </c>
      <c r="B89" s="24" t="s">
        <v>55</v>
      </c>
      <c r="C89" s="24" t="s">
        <v>56</v>
      </c>
      <c r="D89" s="24" t="s">
        <v>285</v>
      </c>
      <c r="E89" s="24" t="s">
        <v>71</v>
      </c>
      <c r="F89" s="24" t="s">
        <v>346</v>
      </c>
      <c r="G89" s="24" t="s">
        <v>347</v>
      </c>
      <c r="H89" s="27" t="s">
        <v>348</v>
      </c>
      <c r="I89" s="25">
        <v>2361641</v>
      </c>
      <c r="J89" s="25">
        <v>1509241.36</v>
      </c>
      <c r="K89" s="25">
        <v>1501265.72</v>
      </c>
      <c r="L89" s="25">
        <v>1059463.81</v>
      </c>
      <c r="M89" s="26">
        <f>I89-J89</f>
        <v>852399.6400000001</v>
      </c>
      <c r="N89" s="26">
        <f>J89-K89</f>
        <v>7975.639999999898</v>
      </c>
      <c r="O89" s="26">
        <f>I89-L89</f>
        <v>1302177.1900000002</v>
      </c>
      <c r="P89" s="28">
        <f>IF(I89&gt;0,L89/I89,0)</f>
        <v>0.4486134048316403</v>
      </c>
      <c r="Q89" s="28">
        <f>IF(I89&gt;0,K89/I89,0)</f>
        <v>0.6356875240563659</v>
      </c>
      <c r="R89" s="24" t="str">
        <f>IF(I89&lt;=0,"Sin PIM",IF(L89/I89&gt;=Config!$B$5,"Ejecutado",IF(K89/I89&gt;=Config!$B$6,"Mayormente comprometido",IF(K89&gt;0.005,"Parcialmente comprometido",IF(J89&gt;0.005,"Solo certificado","Sin certificar")))))</f>
        <v>Mayormente comprometido</v>
      </c>
      <c r="S89" s="24" t="str">
        <f>IF(R89="Sin certificar","Disponible",IF(R89="Solo certificado","Posible",IF(R89="Parcialmente comprometido","Parcial",IF(R89="Mayormente comprometido","Difícil",IF(R89="Ejecutado","No usar","Sin PIM")))))</f>
        <v>Difícil</v>
      </c>
      <c r="T89" s="26">
        <f>IF(OR(I89&lt;=0,R89="Ejecutado"),0,MAX(0,I89-K89))</f>
        <v>860375.28</v>
      </c>
      <c r="U89" s="24" t="s">
        <v>148</v>
      </c>
      <c r="V89" s="25">
        <v>100000</v>
      </c>
      <c r="W89" s="25">
        <v>45539</v>
      </c>
      <c r="X89" s="25">
        <v>0</v>
      </c>
      <c r="Y89" s="25">
        <v>0</v>
      </c>
      <c r="Z89" s="24" t="s">
        <v>63</v>
      </c>
      <c r="AA89" s="24" t="s">
        <v>63</v>
      </c>
      <c r="AB89" s="24" t="s">
        <v>63</v>
      </c>
      <c r="AC89" s="24" t="s">
        <v>101</v>
      </c>
    </row>
    <row r="90" spans="1:29">
      <c r="A90" s="24" t="s">
        <v>54</v>
      </c>
      <c r="B90" s="24" t="s">
        <v>55</v>
      </c>
      <c r="C90" s="24" t="s">
        <v>56</v>
      </c>
      <c r="D90" s="24" t="s">
        <v>285</v>
      </c>
      <c r="E90" s="24" t="s">
        <v>71</v>
      </c>
      <c r="F90" s="24" t="s">
        <v>349</v>
      </c>
      <c r="G90" s="24" t="s">
        <v>350</v>
      </c>
      <c r="H90" s="27" t="s">
        <v>351</v>
      </c>
      <c r="I90" s="25">
        <v>1272735</v>
      </c>
      <c r="J90" s="25">
        <v>1253656.86</v>
      </c>
      <c r="K90" s="25">
        <v>1253656.86</v>
      </c>
      <c r="L90" s="25">
        <v>1181486.15</v>
      </c>
      <c r="M90" s="26">
        <f>I90-J90</f>
        <v>19078.14000000013</v>
      </c>
      <c r="N90" s="26">
        <f>J90-K90</f>
        <v>0.0</v>
      </c>
      <c r="O90" s="26">
        <f>I90-L90</f>
        <v>91248.8500000001</v>
      </c>
      <c r="P90" s="28">
        <f>IF(I90&gt;0,L90/I90,0)</f>
        <v>0.928304910291616</v>
      </c>
      <c r="Q90" s="28">
        <f>IF(I90&gt;0,K90/I90,0)</f>
        <v>0.985010123867105</v>
      </c>
      <c r="R90" s="24" t="str">
        <f>IF(I90&lt;=0,"Sin PIM",IF(L90/I90&gt;=Config!$B$5,"Ejecutado",IF(K90/I90&gt;=Config!$B$6,"Mayormente comprometido",IF(K90&gt;0.005,"Parcialmente comprometido",IF(J90&gt;0.005,"Solo certificado","Sin certificar")))))</f>
        <v>Ejecutado</v>
      </c>
      <c r="S90" s="24" t="str">
        <f>IF(R90="Sin certificar","Disponible",IF(R90="Solo certificado","Posible",IF(R90="Parcialmente comprometido","Parcial",IF(R90="Mayormente comprometido","Difícil",IF(R90="Ejecutado","No usar","Sin PIM")))))</f>
        <v>No usar</v>
      </c>
      <c r="T90" s="26">
        <f>IF(OR(I90&lt;=0,R90="Ejecutado"),0,MAX(0,I90-K90))</f>
        <v>0.0</v>
      </c>
      <c r="U90" s="24" t="s">
        <v>100</v>
      </c>
      <c r="V90" s="25">
        <v>1216856</v>
      </c>
      <c r="W90" s="25">
        <v>370264</v>
      </c>
      <c r="X90" s="25">
        <v>0</v>
      </c>
      <c r="Y90" s="25">
        <v>0</v>
      </c>
      <c r="Z90" s="24" t="s">
        <v>63</v>
      </c>
      <c r="AA90" s="24" t="s">
        <v>63</v>
      </c>
      <c r="AB90" s="24" t="s">
        <v>63</v>
      </c>
      <c r="AC90" s="24" t="s">
        <v>89</v>
      </c>
    </row>
    <row r="91" spans="1:29">
      <c r="A91" s="24" t="s">
        <v>54</v>
      </c>
      <c r="B91" s="24" t="s">
        <v>55</v>
      </c>
      <c r="C91" s="24" t="s">
        <v>56</v>
      </c>
      <c r="D91" s="24" t="s">
        <v>285</v>
      </c>
      <c r="E91" s="24" t="s">
        <v>71</v>
      </c>
      <c r="F91" s="24" t="s">
        <v>352</v>
      </c>
      <c r="G91" s="24" t="s">
        <v>353</v>
      </c>
      <c r="H91" s="27" t="s">
        <v>354</v>
      </c>
      <c r="I91" s="25">
        <v>919876</v>
      </c>
      <c r="J91" s="25">
        <v>340967.6</v>
      </c>
      <c r="K91" s="25">
        <v>242000</v>
      </c>
      <c r="L91" s="25">
        <v>7840.91</v>
      </c>
      <c r="M91" s="26">
        <f>I91-J91</f>
        <v>578908.4</v>
      </c>
      <c r="N91" s="26">
        <f>J91-K91</f>
        <v>98967.59999999998</v>
      </c>
      <c r="O91" s="26">
        <f>I91-L91</f>
        <v>912035.09</v>
      </c>
      <c r="P91" s="28">
        <f>IF(I91&gt;0,L91/I91,0)</f>
        <v>0.008523877131265518</v>
      </c>
      <c r="Q91" s="28">
        <f>IF(I91&gt;0,K91/I91,0)</f>
        <v>0.26307893672625443</v>
      </c>
      <c r="R91" s="24" t="str">
        <f>IF(I91&lt;=0,"Sin PIM",IF(L91/I91&gt;=Config!$B$5,"Ejecutado",IF(K91/I91&gt;=Config!$B$6,"Mayormente comprometido",IF(K91&gt;0.005,"Parcialmente comprometido",IF(J91&gt;0.005,"Solo certificado","Sin certificar")))))</f>
        <v>Parcialmente comprometido</v>
      </c>
      <c r="S91" s="24" t="str">
        <f>IF(R91="Sin certificar","Disponible",IF(R91="Solo certificado","Posible",IF(R91="Parcialmente comprometido","Parcial",IF(R91="Mayormente comprometido","Difícil",IF(R91="Ejecutado","No usar","Sin PIM")))))</f>
        <v>Parcial</v>
      </c>
      <c r="T91" s="26">
        <f>IF(OR(I91&lt;=0,R91="Ejecutado"),0,MAX(0,I91-K91))</f>
        <v>677876.0</v>
      </c>
      <c r="U91" s="24" t="s">
        <v>100</v>
      </c>
      <c r="V91" s="25">
        <v>903516</v>
      </c>
      <c r="W91" s="25">
        <v>919620</v>
      </c>
      <c r="X91" s="25">
        <v>268263</v>
      </c>
      <c r="Y91" s="25">
        <v>0</v>
      </c>
      <c r="Z91" s="24" t="s">
        <v>63</v>
      </c>
      <c r="AA91" s="24" t="s">
        <v>63</v>
      </c>
      <c r="AB91" s="24" t="s">
        <v>63</v>
      </c>
      <c r="AC91" s="24" t="s">
        <v>89</v>
      </c>
    </row>
    <row r="92" spans="1:29">
      <c r="A92" s="24" t="s">
        <v>54</v>
      </c>
      <c r="B92" s="24" t="s">
        <v>55</v>
      </c>
      <c r="C92" s="24" t="s">
        <v>56</v>
      </c>
      <c r="D92" s="24" t="s">
        <v>285</v>
      </c>
      <c r="E92" s="24" t="s">
        <v>71</v>
      </c>
      <c r="F92" s="24" t="s">
        <v>355</v>
      </c>
      <c r="G92" s="24" t="s">
        <v>356</v>
      </c>
      <c r="H92" s="27" t="s">
        <v>357</v>
      </c>
      <c r="I92" s="25">
        <v>41720</v>
      </c>
      <c r="J92" s="25">
        <v>31883.37</v>
      </c>
      <c r="K92" s="25">
        <v>31883.37</v>
      </c>
      <c r="L92" s="25">
        <v>31883.37</v>
      </c>
      <c r="M92" s="26">
        <f>I92-J92</f>
        <v>9836.629999999997</v>
      </c>
      <c r="N92" s="26">
        <f>J92-K92</f>
        <v>0.0</v>
      </c>
      <c r="O92" s="26">
        <f>I92-L92</f>
        <v>9836.629999999997</v>
      </c>
      <c r="P92" s="28">
        <f>IF(I92&gt;0,L92/I92,0)</f>
        <v>0.7642226749760307</v>
      </c>
      <c r="Q92" s="28">
        <f>IF(I92&gt;0,K92/I92,0)</f>
        <v>0.7642226749760307</v>
      </c>
      <c r="R92" s="24" t="str">
        <f>IF(I92&lt;=0,"Sin PIM",IF(L92/I92&gt;=Config!$B$5,"Ejecutado",IF(K92/I92&gt;=Config!$B$6,"Mayormente comprometido",IF(K92&gt;0.005,"Parcialmente comprometido",IF(J92&gt;0.005,"Solo certificado","Sin certificar")))))</f>
        <v>Mayormente comprometido</v>
      </c>
      <c r="S92" s="24" t="str">
        <f>IF(R92="Sin certificar","Disponible",IF(R92="Solo certificado","Posible",IF(R92="Parcialmente comprometido","Parcial",IF(R92="Mayormente comprometido","Difícil",IF(R92="Ejecutado","No usar","Sin PIM")))))</f>
        <v>Difícil</v>
      </c>
      <c r="T92" s="26">
        <f>IF(OR(I92&lt;=0,R92="Ejecutado"),0,MAX(0,I92-K92))</f>
        <v>9836.629999999997</v>
      </c>
      <c r="U92" s="24" t="s">
        <v>96</v>
      </c>
      <c r="V92" s="25">
        <v>120201</v>
      </c>
      <c r="W92" s="25">
        <v>0</v>
      </c>
      <c r="X92" s="25">
        <v>0</v>
      </c>
      <c r="Y92" s="25">
        <v>0</v>
      </c>
      <c r="Z92" s="24" t="s">
        <v>63</v>
      </c>
      <c r="AA92" s="24" t="s">
        <v>63</v>
      </c>
      <c r="AB92" s="24" t="s">
        <v>63</v>
      </c>
      <c r="AC92" s="24" t="s">
        <v>89</v>
      </c>
    </row>
    <row r="93" spans="1:29">
      <c r="A93" s="24" t="s">
        <v>54</v>
      </c>
      <c r="B93" s="24" t="s">
        <v>55</v>
      </c>
      <c r="C93" s="24" t="s">
        <v>56</v>
      </c>
      <c r="D93" s="24" t="s">
        <v>285</v>
      </c>
      <c r="E93" s="24" t="s">
        <v>71</v>
      </c>
      <c r="F93" s="24" t="s">
        <v>358</v>
      </c>
      <c r="G93" s="24" t="s">
        <v>359</v>
      </c>
      <c r="H93" s="27" t="s">
        <v>360</v>
      </c>
      <c r="I93" s="25">
        <v>704972</v>
      </c>
      <c r="J93" s="25">
        <v>309066</v>
      </c>
      <c r="K93" s="25">
        <v>255972</v>
      </c>
      <c r="L93" s="25">
        <v>15770.09</v>
      </c>
      <c r="M93" s="26">
        <f>I93-J93</f>
        <v>395906.0</v>
      </c>
      <c r="N93" s="26">
        <f>J93-K93</f>
        <v>53094.0</v>
      </c>
      <c r="O93" s="26">
        <f>I93-L93</f>
        <v>689201.91</v>
      </c>
      <c r="P93" s="28">
        <f>IF(I93&gt;0,L93/I93,0)</f>
        <v>0.022369810432187377</v>
      </c>
      <c r="Q93" s="28">
        <f>IF(I93&gt;0,K93/I93,0)</f>
        <v>0.3630952718689537</v>
      </c>
      <c r="R93" s="24" t="str">
        <f>IF(I93&lt;=0,"Sin PIM",IF(L93/I93&gt;=Config!$B$5,"Ejecutado",IF(K93/I93&gt;=Config!$B$6,"Mayormente comprometido",IF(K93&gt;0.005,"Parcialmente comprometido",IF(J93&gt;0.005,"Solo certificado","Sin certificar")))))</f>
        <v>Parcialmente comprometido</v>
      </c>
      <c r="S93" s="24" t="str">
        <f>IF(R93="Sin certificar","Disponible",IF(R93="Solo certificado","Posible",IF(R93="Parcialmente comprometido","Parcial",IF(R93="Mayormente comprometido","Difícil",IF(R93="Ejecutado","No usar","Sin PIM")))))</f>
        <v>Parcial</v>
      </c>
      <c r="T93" s="26">
        <f>IF(OR(I93&lt;=0,R93="Ejecutado"),0,MAX(0,I93-K93))</f>
        <v>449000.0</v>
      </c>
      <c r="U93" s="24" t="s">
        <v>214</v>
      </c>
      <c r="V93" s="25">
        <v>100000</v>
      </c>
      <c r="W93" s="25">
        <v>0</v>
      </c>
      <c r="X93" s="25">
        <v>921923</v>
      </c>
      <c r="Y93" s="25">
        <v>0</v>
      </c>
      <c r="Z93" s="24" t="s">
        <v>63</v>
      </c>
      <c r="AA93" s="24" t="s">
        <v>63</v>
      </c>
      <c r="AB93" s="24" t="s">
        <v>63</v>
      </c>
      <c r="AC93" s="24" t="s">
        <v>101</v>
      </c>
    </row>
    <row r="94" spans="1:29">
      <c r="A94" s="24" t="s">
        <v>54</v>
      </c>
      <c r="B94" s="24" t="s">
        <v>55</v>
      </c>
      <c r="C94" s="24" t="s">
        <v>56</v>
      </c>
      <c r="D94" s="24" t="s">
        <v>285</v>
      </c>
      <c r="E94" s="24" t="s">
        <v>71</v>
      </c>
      <c r="F94" s="24" t="s">
        <v>361</v>
      </c>
      <c r="G94" s="24" t="s">
        <v>362</v>
      </c>
      <c r="H94" s="27" t="s">
        <v>363</v>
      </c>
      <c r="I94" s="25">
        <v>61203</v>
      </c>
      <c r="J94" s="25">
        <v>0</v>
      </c>
      <c r="K94" s="25">
        <v>0</v>
      </c>
      <c r="L94" s="25">
        <v>0</v>
      </c>
      <c r="M94" s="26">
        <f>I94-J94</f>
        <v>61203.0</v>
      </c>
      <c r="N94" s="26">
        <f>J94-K94</f>
        <v>0.0</v>
      </c>
      <c r="O94" s="26">
        <f>I94-L94</f>
        <v>61203.0</v>
      </c>
      <c r="P94" s="28">
        <f>IF(I94&gt;0,L94/I94,0)</f>
        <v>0.0</v>
      </c>
      <c r="Q94" s="28">
        <f>IF(I94&gt;0,K94/I94,0)</f>
        <v>0.0</v>
      </c>
      <c r="R94" s="24" t="str">
        <f>IF(I94&lt;=0,"Sin PIM",IF(L94/I94&gt;=Config!$B$5,"Ejecutado",IF(K94/I94&gt;=Config!$B$6,"Mayormente comprometido",IF(K94&gt;0.005,"Parcialmente comprometido",IF(J94&gt;0.005,"Solo certificado","Sin certificar")))))</f>
        <v>Sin certificar</v>
      </c>
      <c r="S94" s="24" t="str">
        <f>IF(R94="Sin certificar","Disponible",IF(R94="Solo certificado","Posible",IF(R94="Parcialmente comprometido","Parcial",IF(R94="Mayormente comprometido","Difícil",IF(R94="Ejecutado","No usar","Sin PIM")))))</f>
        <v>Disponible</v>
      </c>
      <c r="T94" s="26">
        <f>IF(OR(I94&lt;=0,R94="Ejecutado"),0,MAX(0,I94-K94))</f>
        <v>61203.0</v>
      </c>
      <c r="U94" s="24" t="s">
        <v>133</v>
      </c>
      <c r="V94" s="25">
        <v>61203</v>
      </c>
      <c r="W94" s="25">
        <v>0</v>
      </c>
      <c r="X94" s="25">
        <v>0</v>
      </c>
      <c r="Y94" s="25">
        <v>0</v>
      </c>
      <c r="Z94" s="24" t="s">
        <v>63</v>
      </c>
      <c r="AA94" s="24" t="s">
        <v>63</v>
      </c>
      <c r="AB94" s="24" t="s">
        <v>63</v>
      </c>
      <c r="AC94" s="24" t="s">
        <v>89</v>
      </c>
    </row>
    <row r="95" spans="1:29">
      <c r="A95" s="24" t="s">
        <v>54</v>
      </c>
      <c r="B95" s="24" t="s">
        <v>55</v>
      </c>
      <c r="C95" s="24" t="s">
        <v>56</v>
      </c>
      <c r="D95" s="24" t="s">
        <v>285</v>
      </c>
      <c r="E95" s="24" t="s">
        <v>163</v>
      </c>
      <c r="F95" s="24" t="s">
        <v>364</v>
      </c>
      <c r="G95" s="24" t="s">
        <v>365</v>
      </c>
      <c r="H95" s="27" t="s">
        <v>366</v>
      </c>
      <c r="I95" s="25">
        <v>23143575</v>
      </c>
      <c r="J95" s="25">
        <v>22275710.84</v>
      </c>
      <c r="K95" s="25">
        <v>19031848.84</v>
      </c>
      <c r="L95" s="25">
        <v>12059018.4</v>
      </c>
      <c r="M95" s="26">
        <f>I95-J95</f>
        <v>867864.1600000001</v>
      </c>
      <c r="N95" s="26">
        <f>J95-K95</f>
        <v>3243862.0</v>
      </c>
      <c r="O95" s="26">
        <f>I95-L95</f>
        <v>11084556.600000001</v>
      </c>
      <c r="P95" s="28">
        <f>IF(I95&gt;0,L95/I95,0)</f>
        <v>0.5210525340186206</v>
      </c>
      <c r="Q95" s="28">
        <f>IF(I95&gt;0,K95/I95,0)</f>
        <v>0.8223383310486819</v>
      </c>
      <c r="R95" s="24" t="str">
        <f>IF(I95&lt;=0,"Sin PIM",IF(L95/I95&gt;=Config!$B$5,"Ejecutado",IF(K95/I95&gt;=Config!$B$6,"Mayormente comprometido",IF(K95&gt;0.005,"Parcialmente comprometido",IF(J95&gt;0.005,"Solo certificado","Sin certificar")))))</f>
        <v>Mayormente comprometido</v>
      </c>
      <c r="S95" s="24" t="str">
        <f>IF(R95="Sin certificar","Disponible",IF(R95="Solo certificado","Posible",IF(R95="Parcialmente comprometido","Parcial",IF(R95="Mayormente comprometido","Difícil",IF(R95="Ejecutado","No usar","Sin PIM")))))</f>
        <v>Difícil</v>
      </c>
      <c r="T95" s="26">
        <f>IF(OR(I95&lt;=0,R95="Ejecutado"),0,MAX(0,I95-K95))</f>
        <v>4111726.16</v>
      </c>
      <c r="U95" s="24" t="s">
        <v>75</v>
      </c>
      <c r="V95" s="25">
        <v>15500800</v>
      </c>
      <c r="W95" s="25">
        <v>4458489</v>
      </c>
      <c r="X95" s="25">
        <v>450011</v>
      </c>
      <c r="Y95" s="25">
        <v>0</v>
      </c>
      <c r="Z95" s="24" t="s">
        <v>63</v>
      </c>
      <c r="AA95" s="24" t="s">
        <v>63</v>
      </c>
      <c r="AB95" s="24" t="s">
        <v>63</v>
      </c>
      <c r="AC95" s="24" t="s">
        <v>89</v>
      </c>
    </row>
    <row r="96" spans="1:29">
      <c r="A96" s="24" t="s">
        <v>54</v>
      </c>
      <c r="B96" s="24" t="s">
        <v>55</v>
      </c>
      <c r="C96" s="24" t="s">
        <v>56</v>
      </c>
      <c r="D96" s="24" t="s">
        <v>285</v>
      </c>
      <c r="E96" s="24" t="s">
        <v>163</v>
      </c>
      <c r="F96" s="24" t="s">
        <v>367</v>
      </c>
      <c r="G96" s="24" t="s">
        <v>368</v>
      </c>
      <c r="H96" s="27" t="s">
        <v>369</v>
      </c>
      <c r="I96" s="25">
        <v>14991498</v>
      </c>
      <c r="J96" s="25">
        <v>14685002.97</v>
      </c>
      <c r="K96" s="25">
        <v>13584705.06</v>
      </c>
      <c r="L96" s="25">
        <v>11502166.71</v>
      </c>
      <c r="M96" s="26">
        <f>I96-J96</f>
        <v>306495.0300000012</v>
      </c>
      <c r="N96" s="26">
        <f>J96-K96</f>
        <v>1100297.9099999964</v>
      </c>
      <c r="O96" s="26">
        <f>I96-L96</f>
        <v>3489331.289999999</v>
      </c>
      <c r="P96" s="28">
        <f>IF(I96&gt;0,L96/I96,0)</f>
        <v>0.7672459890265804</v>
      </c>
      <c r="Q96" s="28">
        <f>IF(I96&gt;0,K96/I96,0)</f>
        <v>0.9061606158370566</v>
      </c>
      <c r="R96" s="24" t="str">
        <f>IF(I96&lt;=0,"Sin PIM",IF(L96/I96&gt;=Config!$B$5,"Ejecutado",IF(K96/I96&gt;=Config!$B$6,"Mayormente comprometido",IF(K96&gt;0.005,"Parcialmente comprometido",IF(J96&gt;0.005,"Solo certificado","Sin certificar")))))</f>
        <v>Mayormente comprometido</v>
      </c>
      <c r="S96" s="24" t="str">
        <f>IF(R96="Sin certificar","Disponible",IF(R96="Solo certificado","Posible",IF(R96="Parcialmente comprometido","Parcial",IF(R96="Mayormente comprometido","Difícil",IF(R96="Ejecutado","No usar","Sin PIM")))))</f>
        <v>Difícil</v>
      </c>
      <c r="T96" s="26">
        <f>IF(OR(I96&lt;=0,R96="Ejecutado"),0,MAX(0,I96-K96))</f>
        <v>1406792.9399999976</v>
      </c>
      <c r="U96" s="24" t="s">
        <v>75</v>
      </c>
      <c r="V96" s="25">
        <v>12491498</v>
      </c>
      <c r="W96" s="25">
        <v>632388</v>
      </c>
      <c r="X96" s="25">
        <v>41870</v>
      </c>
      <c r="Y96" s="25">
        <v>0</v>
      </c>
      <c r="Z96" s="24" t="s">
        <v>63</v>
      </c>
      <c r="AA96" s="24" t="s">
        <v>63</v>
      </c>
      <c r="AB96" s="24" t="s">
        <v>63</v>
      </c>
      <c r="AC96" s="24" t="s">
        <v>89</v>
      </c>
    </row>
    <row r="97" spans="1:29">
      <c r="A97" s="24" t="s">
        <v>54</v>
      </c>
      <c r="B97" s="24" t="s">
        <v>55</v>
      </c>
      <c r="C97" s="24" t="s">
        <v>56</v>
      </c>
      <c r="D97" s="24" t="s">
        <v>285</v>
      </c>
      <c r="E97" s="24" t="s">
        <v>163</v>
      </c>
      <c r="F97" s="24" t="s">
        <v>370</v>
      </c>
      <c r="G97" s="24" t="s">
        <v>371</v>
      </c>
      <c r="H97" s="27" t="s">
        <v>372</v>
      </c>
      <c r="I97" s="25">
        <v>5270087</v>
      </c>
      <c r="J97" s="25">
        <v>5222084.29</v>
      </c>
      <c r="K97" s="25">
        <v>5222084.29</v>
      </c>
      <c r="L97" s="25">
        <v>5220159.289999999</v>
      </c>
      <c r="M97" s="26">
        <f>I97-J97</f>
        <v>48002.70999999996</v>
      </c>
      <c r="N97" s="26">
        <f>J97-K97</f>
        <v>0.0</v>
      </c>
      <c r="O97" s="26">
        <f>I97-L97</f>
        <v>49927.710000000894</v>
      </c>
      <c r="P97" s="28">
        <f>IF(I97&gt;0,L97/I97,0)</f>
        <v>0.9905262076318663</v>
      </c>
      <c r="Q97" s="28">
        <f>IF(I97&gt;0,K97/I97,0)</f>
        <v>0.990891476744122</v>
      </c>
      <c r="R97" s="24" t="str">
        <f>IF(I97&lt;=0,"Sin PIM",IF(L97/I97&gt;=Config!$B$5,"Ejecutado",IF(K97/I97&gt;=Config!$B$6,"Mayormente comprometido",IF(K97&gt;0.005,"Parcialmente comprometido",IF(J97&gt;0.005,"Solo certificado","Sin certificar")))))</f>
        <v>Ejecutado</v>
      </c>
      <c r="S97" s="24" t="str">
        <f>IF(R97="Sin certificar","Disponible",IF(R97="Solo certificado","Posible",IF(R97="Parcialmente comprometido","Parcial",IF(R97="Mayormente comprometido","Difícil",IF(R97="Ejecutado","No usar","Sin PIM")))))</f>
        <v>No usar</v>
      </c>
      <c r="T97" s="26">
        <f>IF(OR(I97&lt;=0,R97="Ejecutado"),0,MAX(0,I97-K97))</f>
        <v>0.0</v>
      </c>
      <c r="U97" s="24" t="s">
        <v>75</v>
      </c>
      <c r="V97" s="24" t="s">
        <v>69</v>
      </c>
      <c r="W97" s="24" t="s">
        <v>69</v>
      </c>
      <c r="X97" s="24" t="s">
        <v>69</v>
      </c>
      <c r="Y97" s="24" t="s">
        <v>69</v>
      </c>
      <c r="Z97" s="24" t="s">
        <v>63</v>
      </c>
      <c r="AA97" s="24" t="s">
        <v>63</v>
      </c>
      <c r="AB97" s="24" t="s">
        <v>63</v>
      </c>
      <c r="AC97" s="24" t="s">
        <v>89</v>
      </c>
    </row>
    <row r="98" spans="1:29">
      <c r="A98" s="24" t="s">
        <v>54</v>
      </c>
      <c r="B98" s="24" t="s">
        <v>55</v>
      </c>
      <c r="C98" s="24" t="s">
        <v>56</v>
      </c>
      <c r="D98" s="24" t="s">
        <v>285</v>
      </c>
      <c r="E98" s="24" t="s">
        <v>163</v>
      </c>
      <c r="F98" s="24" t="s">
        <v>373</v>
      </c>
      <c r="G98" s="24" t="s">
        <v>374</v>
      </c>
      <c r="H98" s="27" t="s">
        <v>375</v>
      </c>
      <c r="I98" s="25">
        <v>6770858</v>
      </c>
      <c r="J98" s="25">
        <v>6051014.289999999</v>
      </c>
      <c r="K98" s="25">
        <v>5148470.100000001</v>
      </c>
      <c r="L98" s="25">
        <v>3961148.719999999</v>
      </c>
      <c r="M98" s="26">
        <f>I98-J98</f>
        <v>719843.7100000009</v>
      </c>
      <c r="N98" s="26">
        <f>J98-K98</f>
        <v>902544.1899999985</v>
      </c>
      <c r="O98" s="26">
        <f>I98-L98</f>
        <v>2809709.2800000007</v>
      </c>
      <c r="P98" s="28">
        <f>IF(I98&gt;0,L98/I98,0)</f>
        <v>0.5850290642633473</v>
      </c>
      <c r="Q98" s="28">
        <f>IF(I98&gt;0,K98/I98,0)</f>
        <v>0.7603866600067526</v>
      </c>
      <c r="R98" s="24" t="str">
        <f>IF(I98&lt;=0,"Sin PIM",IF(L98/I98&gt;=Config!$B$5,"Ejecutado",IF(K98/I98&gt;=Config!$B$6,"Mayormente comprometido",IF(K98&gt;0.005,"Parcialmente comprometido",IF(J98&gt;0.005,"Solo certificado","Sin certificar")))))</f>
        <v>Mayormente comprometido</v>
      </c>
      <c r="S98" s="24" t="str">
        <f>IF(R98="Sin certificar","Disponible",IF(R98="Solo certificado","Posible",IF(R98="Parcialmente comprometido","Parcial",IF(R98="Mayormente comprometido","Difícil",IF(R98="Ejecutado","No usar","Sin PIM")))))</f>
        <v>Difícil</v>
      </c>
      <c r="T98" s="26">
        <f>IF(OR(I98&lt;=0,R98="Ejecutado"),0,MAX(0,I98-K98))</f>
        <v>1622387.8999999994</v>
      </c>
      <c r="U98" s="24" t="s">
        <v>100</v>
      </c>
      <c r="V98" s="24" t="s">
        <v>69</v>
      </c>
      <c r="W98" s="24" t="s">
        <v>69</v>
      </c>
      <c r="X98" s="24" t="s">
        <v>69</v>
      </c>
      <c r="Y98" s="24" t="s">
        <v>69</v>
      </c>
      <c r="Z98" s="24" t="s">
        <v>63</v>
      </c>
      <c r="AA98" s="24" t="s">
        <v>63</v>
      </c>
      <c r="AB98" s="24" t="s">
        <v>63</v>
      </c>
      <c r="AC98" s="24" t="s">
        <v>89</v>
      </c>
    </row>
    <row r="99" spans="1:29">
      <c r="A99" s="24" t="s">
        <v>54</v>
      </c>
      <c r="B99" s="24" t="s">
        <v>55</v>
      </c>
      <c r="C99" s="24" t="s">
        <v>56</v>
      </c>
      <c r="D99" s="24" t="s">
        <v>285</v>
      </c>
      <c r="E99" s="24" t="s">
        <v>163</v>
      </c>
      <c r="F99" s="24" t="s">
        <v>376</v>
      </c>
      <c r="G99" s="24" t="s">
        <v>377</v>
      </c>
      <c r="H99" s="27" t="s">
        <v>378</v>
      </c>
      <c r="I99" s="25">
        <v>2308286</v>
      </c>
      <c r="J99" s="25">
        <v>0</v>
      </c>
      <c r="K99" s="25">
        <v>0</v>
      </c>
      <c r="L99" s="25">
        <v>0</v>
      </c>
      <c r="M99" s="26">
        <f>I99-J99</f>
        <v>2308286.0</v>
      </c>
      <c r="N99" s="26">
        <f>J99-K99</f>
        <v>0.0</v>
      </c>
      <c r="O99" s="26">
        <f>I99-L99</f>
        <v>2308286.0</v>
      </c>
      <c r="P99" s="28">
        <f>IF(I99&gt;0,L99/I99,0)</f>
        <v>0.0</v>
      </c>
      <c r="Q99" s="28">
        <f>IF(I99&gt;0,K99/I99,0)</f>
        <v>0.0</v>
      </c>
      <c r="R99" s="24" t="str">
        <f>IF(I99&lt;=0,"Sin PIM",IF(L99/I99&gt;=Config!$B$5,"Ejecutado",IF(K99/I99&gt;=Config!$B$6,"Mayormente comprometido",IF(K99&gt;0.005,"Parcialmente comprometido",IF(J99&gt;0.005,"Solo certificado","Sin certificar")))))</f>
        <v>Sin certificar</v>
      </c>
      <c r="S99" s="24" t="str">
        <f>IF(R99="Sin certificar","Disponible",IF(R99="Solo certificado","Posible",IF(R99="Parcialmente comprometido","Parcial",IF(R99="Mayormente comprometido","Difícil",IF(R99="Ejecutado","No usar","Sin PIM")))))</f>
        <v>Disponible</v>
      </c>
      <c r="T99" s="26">
        <f>IF(OR(I99&lt;=0,R99="Ejecutado"),0,MAX(0,I99-K99))</f>
        <v>2308286.0</v>
      </c>
      <c r="U99" s="24" t="s">
        <v>173</v>
      </c>
      <c r="V99" s="25">
        <v>800000</v>
      </c>
      <c r="W99" s="25">
        <v>10345657</v>
      </c>
      <c r="X99" s="25">
        <v>0</v>
      </c>
      <c r="Y99" s="25">
        <v>10973904</v>
      </c>
      <c r="Z99" s="24" t="s">
        <v>63</v>
      </c>
      <c r="AA99" s="24" t="s">
        <v>63</v>
      </c>
      <c r="AB99" s="24" t="s">
        <v>63</v>
      </c>
      <c r="AC99" s="24" t="s">
        <v>89</v>
      </c>
    </row>
    <row r="100" spans="1:29">
      <c r="A100" s="24" t="s">
        <v>54</v>
      </c>
      <c r="B100" s="24" t="s">
        <v>55</v>
      </c>
      <c r="C100" s="24" t="s">
        <v>56</v>
      </c>
      <c r="D100" s="24" t="s">
        <v>285</v>
      </c>
      <c r="E100" s="24" t="s">
        <v>163</v>
      </c>
      <c r="F100" s="24" t="s">
        <v>379</v>
      </c>
      <c r="G100" s="24" t="s">
        <v>380</v>
      </c>
      <c r="H100" s="27" t="s">
        <v>381</v>
      </c>
      <c r="I100" s="25">
        <v>1827737</v>
      </c>
      <c r="J100" s="25">
        <v>1014425.98</v>
      </c>
      <c r="K100" s="25">
        <v>399211.6</v>
      </c>
      <c r="L100" s="25">
        <v>13810.34</v>
      </c>
      <c r="M100" s="26">
        <f>I100-J100</f>
        <v>813311.02</v>
      </c>
      <c r="N100" s="26">
        <f>J100-K100</f>
        <v>615214.38</v>
      </c>
      <c r="O100" s="26">
        <f>I100-L100</f>
        <v>1813926.66</v>
      </c>
      <c r="P100" s="28">
        <f>IF(I100&gt;0,L100/I100,0)</f>
        <v>0.007555977692633021</v>
      </c>
      <c r="Q100" s="28">
        <f>IF(I100&gt;0,K100/I100,0)</f>
        <v>0.21841851426107803</v>
      </c>
      <c r="R100" s="24" t="str">
        <f>IF(I100&lt;=0,"Sin PIM",IF(L100/I100&gt;=Config!$B$5,"Ejecutado",IF(K100/I100&gt;=Config!$B$6,"Mayormente comprometido",IF(K100&gt;0.005,"Parcialmente comprometido",IF(J100&gt;0.005,"Solo certificado","Sin certificar")))))</f>
        <v>Parcialmente comprometido</v>
      </c>
      <c r="S100" s="24" t="str">
        <f>IF(R100="Sin certificar","Disponible",IF(R100="Solo certificado","Posible",IF(R100="Parcialmente comprometido","Parcial",IF(R100="Mayormente comprometido","Difícil",IF(R100="Ejecutado","No usar","Sin PIM")))))</f>
        <v>Parcial</v>
      </c>
      <c r="T100" s="26">
        <f>IF(OR(I100&lt;=0,R100="Ejecutado"),0,MAX(0,I100-K100))</f>
        <v>1428525.4</v>
      </c>
      <c r="U100" s="24" t="s">
        <v>173</v>
      </c>
      <c r="V100" s="24" t="s">
        <v>69</v>
      </c>
      <c r="W100" s="24" t="s">
        <v>69</v>
      </c>
      <c r="X100" s="24" t="s">
        <v>69</v>
      </c>
      <c r="Y100" s="24" t="s">
        <v>69</v>
      </c>
      <c r="Z100" s="24" t="s">
        <v>63</v>
      </c>
      <c r="AA100" s="24" t="s">
        <v>63</v>
      </c>
      <c r="AB100" s="24" t="s">
        <v>63</v>
      </c>
      <c r="AC100" s="24" t="s">
        <v>89</v>
      </c>
    </row>
    <row r="101" spans="1:29">
      <c r="A101" s="24" t="s">
        <v>54</v>
      </c>
      <c r="B101" s="24" t="s">
        <v>55</v>
      </c>
      <c r="C101" s="24" t="s">
        <v>56</v>
      </c>
      <c r="D101" s="24" t="s">
        <v>285</v>
      </c>
      <c r="E101" s="24" t="s">
        <v>163</v>
      </c>
      <c r="F101" s="24" t="s">
        <v>382</v>
      </c>
      <c r="G101" s="24" t="s">
        <v>383</v>
      </c>
      <c r="H101" s="27" t="s">
        <v>384</v>
      </c>
      <c r="I101" s="25">
        <v>4106961</v>
      </c>
      <c r="J101" s="25">
        <v>3355560.21</v>
      </c>
      <c r="K101" s="25">
        <v>2782790.94</v>
      </c>
      <c r="L101" s="25">
        <v>1831598.54</v>
      </c>
      <c r="M101" s="26">
        <f>I101-J101</f>
        <v>751400.7899999996</v>
      </c>
      <c r="N101" s="26">
        <f>J101-K101</f>
        <v>572769.2700000005</v>
      </c>
      <c r="O101" s="26">
        <f>I101-L101</f>
        <v>2275362.46</v>
      </c>
      <c r="P101" s="28">
        <f>IF(I101&gt;0,L101/I101,0)</f>
        <v>0.4459741740912563</v>
      </c>
      <c r="Q101" s="28">
        <f>IF(I101&gt;0,K101/I101,0)</f>
        <v>0.6775791004589525</v>
      </c>
      <c r="R101" s="24" t="str">
        <f>IF(I101&lt;=0,"Sin PIM",IF(L101/I101&gt;=Config!$B$5,"Ejecutado",IF(K101/I101&gt;=Config!$B$6,"Mayormente comprometido",IF(K101&gt;0.005,"Parcialmente comprometido",IF(J101&gt;0.005,"Solo certificado","Sin certificar")))))</f>
        <v>Mayormente comprometido</v>
      </c>
      <c r="S101" s="24" t="str">
        <f>IF(R101="Sin certificar","Disponible",IF(R101="Solo certificado","Posible",IF(R101="Parcialmente comprometido","Parcial",IF(R101="Mayormente comprometido","Difícil",IF(R101="Ejecutado","No usar","Sin PIM")))))</f>
        <v>Difícil</v>
      </c>
      <c r="T101" s="26">
        <f>IF(OR(I101&lt;=0,R101="Ejecutado"),0,MAX(0,I101-K101))</f>
        <v>1324170.06</v>
      </c>
      <c r="U101" s="24" t="s">
        <v>75</v>
      </c>
      <c r="V101" s="24" t="s">
        <v>69</v>
      </c>
      <c r="W101" s="24" t="s">
        <v>69</v>
      </c>
      <c r="X101" s="24" t="s">
        <v>69</v>
      </c>
      <c r="Y101" s="24" t="s">
        <v>69</v>
      </c>
      <c r="Z101" s="24" t="s">
        <v>63</v>
      </c>
      <c r="AA101" s="24" t="s">
        <v>63</v>
      </c>
      <c r="AB101" s="24" t="s">
        <v>63</v>
      </c>
      <c r="AC101" s="24" t="s">
        <v>89</v>
      </c>
    </row>
    <row r="102" spans="1:29">
      <c r="A102" s="24" t="s">
        <v>54</v>
      </c>
      <c r="B102" s="24" t="s">
        <v>55</v>
      </c>
      <c r="C102" s="24" t="s">
        <v>56</v>
      </c>
      <c r="D102" s="24" t="s">
        <v>285</v>
      </c>
      <c r="E102" s="24" t="s">
        <v>163</v>
      </c>
      <c r="F102" s="24" t="s">
        <v>385</v>
      </c>
      <c r="G102" s="24" t="s">
        <v>386</v>
      </c>
      <c r="H102" s="27" t="s">
        <v>387</v>
      </c>
      <c r="I102" s="25">
        <v>7751873</v>
      </c>
      <c r="J102" s="25">
        <v>7482027.37</v>
      </c>
      <c r="K102" s="25">
        <v>6468122.89</v>
      </c>
      <c r="L102" s="25">
        <v>5292812.77</v>
      </c>
      <c r="M102" s="26">
        <f>I102-J102</f>
        <v>269845.6299999999</v>
      </c>
      <c r="N102" s="26">
        <f>J102-K102</f>
        <v>1013904.4800000004</v>
      </c>
      <c r="O102" s="26">
        <f>I102-L102</f>
        <v>2459060.2299999995</v>
      </c>
      <c r="P102" s="28">
        <f>IF(I102&gt;0,L102/I102,0)</f>
        <v>0.6827785710627613</v>
      </c>
      <c r="Q102" s="28">
        <f>IF(I102&gt;0,K102/I102,0)</f>
        <v>0.8343948475420069</v>
      </c>
      <c r="R102" s="24" t="str">
        <f>IF(I102&lt;=0,"Sin PIM",IF(L102/I102&gt;=Config!$B$5,"Ejecutado",IF(K102/I102&gt;=Config!$B$6,"Mayormente comprometido",IF(K102&gt;0.005,"Parcialmente comprometido",IF(J102&gt;0.005,"Solo certificado","Sin certificar")))))</f>
        <v>Mayormente comprometido</v>
      </c>
      <c r="S102" s="24" t="str">
        <f>IF(R102="Sin certificar","Disponible",IF(R102="Solo certificado","Posible",IF(R102="Parcialmente comprometido","Parcial",IF(R102="Mayormente comprometido","Difícil",IF(R102="Ejecutado","No usar","Sin PIM")))))</f>
        <v>Difícil</v>
      </c>
      <c r="T102" s="26">
        <f>IF(OR(I102&lt;=0,R102="Ejecutado"),0,MAX(0,I102-K102))</f>
        <v>1283750.1100000003</v>
      </c>
      <c r="U102" s="24" t="s">
        <v>100</v>
      </c>
      <c r="V102" s="24" t="s">
        <v>69</v>
      </c>
      <c r="W102" s="24" t="s">
        <v>69</v>
      </c>
      <c r="X102" s="24" t="s">
        <v>69</v>
      </c>
      <c r="Y102" s="24" t="s">
        <v>69</v>
      </c>
      <c r="Z102" s="24" t="s">
        <v>63</v>
      </c>
      <c r="AA102" s="24" t="s">
        <v>63</v>
      </c>
      <c r="AB102" s="24" t="s">
        <v>63</v>
      </c>
      <c r="AC102" s="24" t="s">
        <v>89</v>
      </c>
    </row>
    <row r="103" spans="1:29">
      <c r="A103" s="24" t="s">
        <v>54</v>
      </c>
      <c r="B103" s="24" t="s">
        <v>55</v>
      </c>
      <c r="C103" s="24" t="s">
        <v>56</v>
      </c>
      <c r="D103" s="24" t="s">
        <v>285</v>
      </c>
      <c r="E103" s="24" t="s">
        <v>163</v>
      </c>
      <c r="F103" s="24" t="s">
        <v>388</v>
      </c>
      <c r="G103" s="24" t="s">
        <v>389</v>
      </c>
      <c r="H103" s="27" t="s">
        <v>390</v>
      </c>
      <c r="I103" s="25">
        <v>936343</v>
      </c>
      <c r="J103" s="25">
        <v>868354.77</v>
      </c>
      <c r="K103" s="25">
        <v>868354.77</v>
      </c>
      <c r="L103" s="25">
        <v>868354.72</v>
      </c>
      <c r="M103" s="26">
        <f>I103-J103</f>
        <v>67988.22999999998</v>
      </c>
      <c r="N103" s="26">
        <f>J103-K103</f>
        <v>0.0</v>
      </c>
      <c r="O103" s="26">
        <f>I103-L103</f>
        <v>67988.28000000003</v>
      </c>
      <c r="P103" s="28">
        <f>IF(I103&gt;0,L103/I103,0)</f>
        <v>0.927389557031985</v>
      </c>
      <c r="Q103" s="28">
        <f>IF(I103&gt;0,K103/I103,0)</f>
        <v>0.9273896104312203</v>
      </c>
      <c r="R103" s="24" t="str">
        <f>IF(I103&lt;=0,"Sin PIM",IF(L103/I103&gt;=Config!$B$5,"Ejecutado",IF(K103/I103&gt;=Config!$B$6,"Mayormente comprometido",IF(K103&gt;0.005,"Parcialmente comprometido",IF(J103&gt;0.005,"Solo certificado","Sin certificar")))))</f>
        <v>Ejecutado</v>
      </c>
      <c r="S103" s="24" t="str">
        <f>IF(R103="Sin certificar","Disponible",IF(R103="Solo certificado","Posible",IF(R103="Parcialmente comprometido","Parcial",IF(R103="Mayormente comprometido","Difícil",IF(R103="Ejecutado","No usar","Sin PIM")))))</f>
        <v>No usar</v>
      </c>
      <c r="T103" s="26">
        <f>IF(OR(I103&lt;=0,R103="Ejecutado"),0,MAX(0,I103-K103))</f>
        <v>0.0</v>
      </c>
      <c r="U103" s="24" t="s">
        <v>75</v>
      </c>
      <c r="V103" s="24" t="s">
        <v>69</v>
      </c>
      <c r="W103" s="24" t="s">
        <v>69</v>
      </c>
      <c r="X103" s="24" t="s">
        <v>69</v>
      </c>
      <c r="Y103" s="24" t="s">
        <v>69</v>
      </c>
      <c r="Z103" s="24" t="s">
        <v>63</v>
      </c>
      <c r="AA103" s="24" t="s">
        <v>63</v>
      </c>
      <c r="AB103" s="24" t="s">
        <v>63</v>
      </c>
      <c r="AC103" s="24" t="s">
        <v>89</v>
      </c>
    </row>
    <row r="104" spans="1:29">
      <c r="A104" s="24" t="s">
        <v>54</v>
      </c>
      <c r="B104" s="24" t="s">
        <v>55</v>
      </c>
      <c r="C104" s="24" t="s">
        <v>56</v>
      </c>
      <c r="D104" s="24" t="s">
        <v>285</v>
      </c>
      <c r="E104" s="24" t="s">
        <v>163</v>
      </c>
      <c r="F104" s="24" t="s">
        <v>391</v>
      </c>
      <c r="G104" s="24" t="s">
        <v>392</v>
      </c>
      <c r="H104" s="27" t="s">
        <v>393</v>
      </c>
      <c r="I104" s="25">
        <v>565870</v>
      </c>
      <c r="J104" s="25">
        <v>502948.5700000001</v>
      </c>
      <c r="K104" s="25">
        <v>500422.57</v>
      </c>
      <c r="L104" s="25">
        <v>446229.16</v>
      </c>
      <c r="M104" s="26">
        <f>I104-J104</f>
        <v>62921.429999999935</v>
      </c>
      <c r="N104" s="26">
        <f>J104-K104</f>
        <v>2526.000000000058</v>
      </c>
      <c r="O104" s="26">
        <f>I104-L104</f>
        <v>119640.84000000003</v>
      </c>
      <c r="P104" s="28">
        <f>IF(I104&gt;0,L104/I104,0)</f>
        <v>0.7885718627953416</v>
      </c>
      <c r="Q104" s="28">
        <f>IF(I104&gt;0,K104/I104,0)</f>
        <v>0.8843419336596745</v>
      </c>
      <c r="R104" s="24" t="str">
        <f>IF(I104&lt;=0,"Sin PIM",IF(L104/I104&gt;=Config!$B$5,"Ejecutado",IF(K104/I104&gt;=Config!$B$6,"Mayormente comprometido",IF(K104&gt;0.005,"Parcialmente comprometido",IF(J104&gt;0.005,"Solo certificado","Sin certificar")))))</f>
        <v>Mayormente comprometido</v>
      </c>
      <c r="S104" s="24" t="str">
        <f>IF(R104="Sin certificar","Disponible",IF(R104="Solo certificado","Posible",IF(R104="Parcialmente comprometido","Parcial",IF(R104="Mayormente comprometido","Difícil",IF(R104="Ejecutado","No usar","Sin PIM")))))</f>
        <v>Difícil</v>
      </c>
      <c r="T104" s="26">
        <f>IF(OR(I104&lt;=0,R104="Ejecutado"),0,MAX(0,I104-K104))</f>
        <v>65447.42999999999</v>
      </c>
      <c r="U104" s="24" t="s">
        <v>75</v>
      </c>
      <c r="V104" s="24" t="s">
        <v>69</v>
      </c>
      <c r="W104" s="24" t="s">
        <v>69</v>
      </c>
      <c r="X104" s="24" t="s">
        <v>69</v>
      </c>
      <c r="Y104" s="24" t="s">
        <v>69</v>
      </c>
      <c r="Z104" s="24" t="s">
        <v>63</v>
      </c>
      <c r="AA104" s="24" t="s">
        <v>63</v>
      </c>
      <c r="AB104" s="24" t="s">
        <v>63</v>
      </c>
      <c r="AC104" s="24" t="s">
        <v>89</v>
      </c>
    </row>
    <row r="105" spans="1:29">
      <c r="A105" s="24" t="s">
        <v>54</v>
      </c>
      <c r="B105" s="24" t="s">
        <v>55</v>
      </c>
      <c r="C105" s="24" t="s">
        <v>56</v>
      </c>
      <c r="D105" s="24" t="s">
        <v>285</v>
      </c>
      <c r="E105" s="24" t="s">
        <v>242</v>
      </c>
      <c r="F105" s="24" t="s">
        <v>394</v>
      </c>
      <c r="G105" s="24" t="s">
        <v>395</v>
      </c>
      <c r="H105" s="27" t="s">
        <v>396</v>
      </c>
      <c r="I105" s="25">
        <v>1075076</v>
      </c>
      <c r="J105" s="25">
        <v>1062250</v>
      </c>
      <c r="K105" s="25">
        <v>25418</v>
      </c>
      <c r="L105" s="25">
        <v>20822.47</v>
      </c>
      <c r="M105" s="26">
        <f>I105-J105</f>
        <v>12826.0</v>
      </c>
      <c r="N105" s="26">
        <f>J105-K105</f>
        <v>1036832.0</v>
      </c>
      <c r="O105" s="26">
        <f>I105-L105</f>
        <v>1054253.53</v>
      </c>
      <c r="P105" s="28">
        <f>IF(I105&gt;0,L105/I105,0)</f>
        <v>0.019368370236150748</v>
      </c>
      <c r="Q105" s="28">
        <f>IF(I105&gt;0,K105/I105,0)</f>
        <v>0.02364297965911247</v>
      </c>
      <c r="R105" s="24" t="str">
        <f>IF(I105&lt;=0,"Sin PIM",IF(L105/I105&gt;=Config!$B$5,"Ejecutado",IF(K105/I105&gt;=Config!$B$6,"Mayormente comprometido",IF(K105&gt;0.005,"Parcialmente comprometido",IF(J105&gt;0.005,"Solo certificado","Sin certificar")))))</f>
        <v>Parcialmente comprometido</v>
      </c>
      <c r="S105" s="24" t="str">
        <f>IF(R105="Sin certificar","Disponible",IF(R105="Solo certificado","Posible",IF(R105="Parcialmente comprometido","Parcial",IF(R105="Mayormente comprometido","Difícil",IF(R105="Ejecutado","No usar","Sin PIM")))))</f>
        <v>Parcial</v>
      </c>
      <c r="T105" s="26">
        <f>IF(OR(I105&lt;=0,R105="Ejecutado"),0,MAX(0,I105-K105))</f>
        <v>1049658.0</v>
      </c>
      <c r="U105" s="24" t="s">
        <v>397</v>
      </c>
      <c r="V105" s="25">
        <v>1062638</v>
      </c>
      <c r="W105" s="25">
        <v>245874</v>
      </c>
      <c r="X105" s="25">
        <v>0</v>
      </c>
      <c r="Y105" s="25">
        <v>0</v>
      </c>
      <c r="Z105" s="24" t="s">
        <v>63</v>
      </c>
      <c r="AA105" s="24" t="s">
        <v>63</v>
      </c>
      <c r="AB105" s="24" t="s">
        <v>63</v>
      </c>
      <c r="AC105" s="24" t="s">
        <v>101</v>
      </c>
    </row>
    <row r="106" spans="1:29">
      <c r="A106" s="24" t="s">
        <v>54</v>
      </c>
      <c r="B106" s="24" t="s">
        <v>55</v>
      </c>
      <c r="C106" s="24" t="s">
        <v>56</v>
      </c>
      <c r="D106" s="24" t="s">
        <v>285</v>
      </c>
      <c r="E106" s="24" t="s">
        <v>242</v>
      </c>
      <c r="F106" s="24" t="s">
        <v>398</v>
      </c>
      <c r="G106" s="24" t="s">
        <v>399</v>
      </c>
      <c r="H106" s="27" t="s">
        <v>400</v>
      </c>
      <c r="I106" s="25">
        <v>4474004</v>
      </c>
      <c r="J106" s="25">
        <v>4473905</v>
      </c>
      <c r="K106" s="25">
        <v>0</v>
      </c>
      <c r="L106" s="25">
        <v>0</v>
      </c>
      <c r="M106" s="26">
        <f>I106-J106</f>
        <v>99.0</v>
      </c>
      <c r="N106" s="26">
        <f>J106-K106</f>
        <v>4473905.0</v>
      </c>
      <c r="O106" s="26">
        <f>I106-L106</f>
        <v>4474004.0</v>
      </c>
      <c r="P106" s="28">
        <f>IF(I106&gt;0,L106/I106,0)</f>
        <v>0.0</v>
      </c>
      <c r="Q106" s="28">
        <f>IF(I106&gt;0,K106/I106,0)</f>
        <v>0.0</v>
      </c>
      <c r="R106" s="24" t="str">
        <f>IF(I106&lt;=0,"Sin PIM",IF(L106/I106&gt;=Config!$B$5,"Ejecutado",IF(K106/I106&gt;=Config!$B$6,"Mayormente comprometido",IF(K106&gt;0.005,"Parcialmente comprometido",IF(J106&gt;0.005,"Solo certificado","Sin certificar")))))</f>
        <v>Solo certificado</v>
      </c>
      <c r="S106" s="24" t="str">
        <f>IF(R106="Sin certificar","Disponible",IF(R106="Solo certificado","Posible",IF(R106="Parcialmente comprometido","Parcial",IF(R106="Mayormente comprometido","Difícil",IF(R106="Ejecutado","No usar","Sin PIM")))))</f>
        <v>Posible</v>
      </c>
      <c r="T106" s="26">
        <f>IF(OR(I106&lt;=0,R106="Ejecutado"),0,MAX(0,I106-K106))</f>
        <v>4474004.0</v>
      </c>
      <c r="U106" s="24" t="s">
        <v>397</v>
      </c>
      <c r="V106" s="25">
        <v>1556258</v>
      </c>
      <c r="W106" s="25">
        <v>2054256</v>
      </c>
      <c r="X106" s="25">
        <v>0</v>
      </c>
      <c r="Y106" s="25">
        <v>994904</v>
      </c>
      <c r="Z106" s="24" t="s">
        <v>63</v>
      </c>
      <c r="AA106" s="24" t="s">
        <v>63</v>
      </c>
      <c r="AB106" s="24" t="s">
        <v>63</v>
      </c>
      <c r="AC106" s="24" t="s">
        <v>70</v>
      </c>
    </row>
    <row r="107" spans="1:29">
      <c r="A107" s="24" t="s">
        <v>54</v>
      </c>
      <c r="B107" s="24" t="s">
        <v>55</v>
      </c>
      <c r="C107" s="24" t="s">
        <v>56</v>
      </c>
      <c r="D107" s="24" t="s">
        <v>285</v>
      </c>
      <c r="E107" s="24" t="s">
        <v>242</v>
      </c>
      <c r="F107" s="24" t="s">
        <v>401</v>
      </c>
      <c r="G107" s="24" t="s">
        <v>402</v>
      </c>
      <c r="H107" s="27" t="s">
        <v>403</v>
      </c>
      <c r="I107" s="25">
        <v>900000</v>
      </c>
      <c r="J107" s="25">
        <v>855389.64</v>
      </c>
      <c r="K107" s="25">
        <v>536922.54</v>
      </c>
      <c r="L107" s="25">
        <v>187642.38</v>
      </c>
      <c r="M107" s="26">
        <f>I107-J107</f>
        <v>44610.359999999986</v>
      </c>
      <c r="N107" s="26">
        <f>J107-K107</f>
        <v>318467.1</v>
      </c>
      <c r="O107" s="26">
        <f>I107-L107</f>
        <v>712357.62</v>
      </c>
      <c r="P107" s="28">
        <f>IF(I107&gt;0,L107/I107,0)</f>
        <v>0.2084915333333333</v>
      </c>
      <c r="Q107" s="28">
        <f>IF(I107&gt;0,K107/I107,0)</f>
        <v>0.5965806</v>
      </c>
      <c r="R107" s="24" t="str">
        <f>IF(I107&lt;=0,"Sin PIM",IF(L107/I107&gt;=Config!$B$5,"Ejecutado",IF(K107/I107&gt;=Config!$B$6,"Mayormente comprometido",IF(K107&gt;0.005,"Parcialmente comprometido",IF(J107&gt;0.005,"Solo certificado","Sin certificar")))))</f>
        <v>Mayormente comprometido</v>
      </c>
      <c r="S107" s="24" t="str">
        <f>IF(R107="Sin certificar","Disponible",IF(R107="Solo certificado","Posible",IF(R107="Parcialmente comprometido","Parcial",IF(R107="Mayormente comprometido","Difícil",IF(R107="Ejecutado","No usar","Sin PIM")))))</f>
        <v>Difícil</v>
      </c>
      <c r="T107" s="26">
        <f>IF(OR(I107&lt;=0,R107="Ejecutado"),0,MAX(0,I107-K107))</f>
        <v>363077.45999999996</v>
      </c>
      <c r="U107" s="24" t="s">
        <v>100</v>
      </c>
      <c r="V107" s="24" t="s">
        <v>69</v>
      </c>
      <c r="W107" s="24" t="s">
        <v>69</v>
      </c>
      <c r="X107" s="24" t="s">
        <v>69</v>
      </c>
      <c r="Y107" s="24" t="s">
        <v>69</v>
      </c>
      <c r="Z107" s="24" t="s">
        <v>63</v>
      </c>
      <c r="AA107" s="24" t="s">
        <v>63</v>
      </c>
      <c r="AB107" s="24" t="s">
        <v>63</v>
      </c>
      <c r="AC107" s="24" t="s">
        <v>89</v>
      </c>
    </row>
    <row r="108" spans="1:29">
      <c r="A108" s="24" t="s">
        <v>54</v>
      </c>
      <c r="B108" s="24" t="s">
        <v>55</v>
      </c>
      <c r="C108" s="24" t="s">
        <v>56</v>
      </c>
      <c r="D108" s="24" t="s">
        <v>404</v>
      </c>
      <c r="E108" s="24" t="s">
        <v>71</v>
      </c>
      <c r="F108" s="24" t="s">
        <v>405</v>
      </c>
      <c r="G108" s="24" t="s">
        <v>406</v>
      </c>
      <c r="H108" s="27" t="s">
        <v>407</v>
      </c>
      <c r="I108" s="25">
        <v>18692228</v>
      </c>
      <c r="J108" s="25">
        <v>18634477.36</v>
      </c>
      <c r="K108" s="25">
        <v>18176428.4</v>
      </c>
      <c r="L108" s="25">
        <v>4987667.55</v>
      </c>
      <c r="M108" s="26">
        <f>I108-J108</f>
        <v>57750.640000000596</v>
      </c>
      <c r="N108" s="26">
        <f>J108-K108</f>
        <v>458048.95999999717</v>
      </c>
      <c r="O108" s="26">
        <f>I108-L108</f>
        <v>13704560.45</v>
      </c>
      <c r="P108" s="28">
        <f>IF(I108&gt;0,L108/I108,0)</f>
        <v>0.266831088835424</v>
      </c>
      <c r="Q108" s="28">
        <f>IF(I108&gt;0,K108/I108,0)</f>
        <v>0.9724056650710661</v>
      </c>
      <c r="R108" s="24" t="str">
        <f>IF(I108&lt;=0,"Sin PIM",IF(L108/I108&gt;=Config!$B$5,"Ejecutado",IF(K108/I108&gt;=Config!$B$6,"Mayormente comprometido",IF(K108&gt;0.005,"Parcialmente comprometido",IF(J108&gt;0.005,"Solo certificado","Sin certificar")))))</f>
        <v>Mayormente comprometido</v>
      </c>
      <c r="S108" s="24" t="str">
        <f>IF(R108="Sin certificar","Disponible",IF(R108="Solo certificado","Posible",IF(R108="Parcialmente comprometido","Parcial",IF(R108="Mayormente comprometido","Difícil",IF(R108="Ejecutado","No usar","Sin PIM")))))</f>
        <v>Difícil</v>
      </c>
      <c r="T108" s="26">
        <f>IF(OR(I108&lt;=0,R108="Ejecutado"),0,MAX(0,I108-K108))</f>
        <v>515799.59999999776</v>
      </c>
      <c r="U108" s="24" t="s">
        <v>408</v>
      </c>
      <c r="V108" s="25">
        <v>12431185</v>
      </c>
      <c r="W108" s="25">
        <v>4843790</v>
      </c>
      <c r="X108" s="25">
        <v>2910115</v>
      </c>
      <c r="Y108" s="25">
        <v>0</v>
      </c>
      <c r="Z108" s="24" t="s">
        <v>63</v>
      </c>
      <c r="AA108" s="24" t="s">
        <v>63</v>
      </c>
      <c r="AB108" s="24" t="s">
        <v>63</v>
      </c>
      <c r="AC108" s="24" t="s">
        <v>70</v>
      </c>
    </row>
    <row r="109" spans="1:29">
      <c r="A109" s="24" t="s">
        <v>54</v>
      </c>
      <c r="B109" s="24" t="s">
        <v>55</v>
      </c>
      <c r="C109" s="24" t="s">
        <v>56</v>
      </c>
      <c r="D109" s="24" t="s">
        <v>404</v>
      </c>
      <c r="E109" s="24" t="s">
        <v>71</v>
      </c>
      <c r="F109" s="24" t="s">
        <v>409</v>
      </c>
      <c r="G109" s="24" t="s">
        <v>410</v>
      </c>
      <c r="H109" s="27" t="s">
        <v>411</v>
      </c>
      <c r="I109" s="25">
        <v>4437995</v>
      </c>
      <c r="J109" s="25">
        <v>3573868.859999999</v>
      </c>
      <c r="K109" s="25">
        <v>3191400.99</v>
      </c>
      <c r="L109" s="25">
        <v>2493396.69</v>
      </c>
      <c r="M109" s="26">
        <f>I109-J109</f>
        <v>864126.1400000006</v>
      </c>
      <c r="N109" s="26">
        <f>J109-K109</f>
        <v>382467.8699999992</v>
      </c>
      <c r="O109" s="26">
        <f>I109-L109</f>
        <v>1944598.31</v>
      </c>
      <c r="P109" s="28">
        <f>IF(I109&gt;0,L109/I109,0)</f>
        <v>0.5618295401414377</v>
      </c>
      <c r="Q109" s="28">
        <f>IF(I109&gt;0,K109/I109,0)</f>
        <v>0.7191087394194902</v>
      </c>
      <c r="R109" s="24" t="str">
        <f>IF(I109&lt;=0,"Sin PIM",IF(L109/I109&gt;=Config!$B$5,"Ejecutado",IF(K109/I109&gt;=Config!$B$6,"Mayormente comprometido",IF(K109&gt;0.005,"Parcialmente comprometido",IF(J109&gt;0.005,"Solo certificado","Sin certificar")))))</f>
        <v>Mayormente comprometido</v>
      </c>
      <c r="S109" s="24" t="str">
        <f>IF(R109="Sin certificar","Disponible",IF(R109="Solo certificado","Posible",IF(R109="Parcialmente comprometido","Parcial",IF(R109="Mayormente comprometido","Difícil",IF(R109="Ejecutado","No usar","Sin PIM")))))</f>
        <v>Difícil</v>
      </c>
      <c r="T109" s="26">
        <f>IF(OR(I109&lt;=0,R109="Ejecutado"),0,MAX(0,I109-K109))</f>
        <v>1246594.0099999998</v>
      </c>
      <c r="U109" s="24" t="s">
        <v>148</v>
      </c>
      <c r="V109" s="24" t="s">
        <v>69</v>
      </c>
      <c r="W109" s="24" t="s">
        <v>69</v>
      </c>
      <c r="X109" s="24" t="s">
        <v>69</v>
      </c>
      <c r="Y109" s="24" t="s">
        <v>69</v>
      </c>
      <c r="Z109" s="24" t="s">
        <v>63</v>
      </c>
      <c r="AA109" s="24" t="s">
        <v>63</v>
      </c>
      <c r="AB109" s="24" t="s">
        <v>63</v>
      </c>
      <c r="AC109" s="24" t="s">
        <v>89</v>
      </c>
    </row>
    <row r="110" spans="1:29">
      <c r="A110" s="24" t="s">
        <v>54</v>
      </c>
      <c r="B110" s="24" t="s">
        <v>55</v>
      </c>
      <c r="C110" s="24" t="s">
        <v>56</v>
      </c>
      <c r="D110" s="24" t="s">
        <v>404</v>
      </c>
      <c r="E110" s="24" t="s">
        <v>71</v>
      </c>
      <c r="F110" s="24" t="s">
        <v>412</v>
      </c>
      <c r="G110" s="24" t="s">
        <v>413</v>
      </c>
      <c r="H110" s="27" t="s">
        <v>414</v>
      </c>
      <c r="I110" s="25">
        <v>4265759</v>
      </c>
      <c r="J110" s="25">
        <v>3847052.939999999</v>
      </c>
      <c r="K110" s="25">
        <v>3704328.129999999</v>
      </c>
      <c r="L110" s="25">
        <v>2741829.61</v>
      </c>
      <c r="M110" s="26">
        <f>I110-J110</f>
        <v>418706.0600000005</v>
      </c>
      <c r="N110" s="26">
        <f>J110-K110</f>
        <v>142724.81000000006</v>
      </c>
      <c r="O110" s="26">
        <f>I110-L110</f>
        <v>1523929.3900000001</v>
      </c>
      <c r="P110" s="28">
        <f>IF(I110&gt;0,L110/I110,0)</f>
        <v>0.6427530505122301</v>
      </c>
      <c r="Q110" s="28">
        <f>IF(I110&gt;0,K110/I110,0)</f>
        <v>0.868386641158115</v>
      </c>
      <c r="R110" s="24" t="str">
        <f>IF(I110&lt;=0,"Sin PIM",IF(L110/I110&gt;=Config!$B$5,"Ejecutado",IF(K110/I110&gt;=Config!$B$6,"Mayormente comprometido",IF(K110&gt;0.005,"Parcialmente comprometido",IF(J110&gt;0.005,"Solo certificado","Sin certificar")))))</f>
        <v>Mayormente comprometido</v>
      </c>
      <c r="S110" s="24" t="str">
        <f>IF(R110="Sin certificar","Disponible",IF(R110="Solo certificado","Posible",IF(R110="Parcialmente comprometido","Parcial",IF(R110="Mayormente comprometido","Difícil",IF(R110="Ejecutado","No usar","Sin PIM")))))</f>
        <v>Difícil</v>
      </c>
      <c r="T110" s="26">
        <f>IF(OR(I110&lt;=0,R110="Ejecutado"),0,MAX(0,I110-K110))</f>
        <v>561430.8700000006</v>
      </c>
      <c r="U110" s="24" t="s">
        <v>148</v>
      </c>
      <c r="V110" s="24" t="s">
        <v>69</v>
      </c>
      <c r="W110" s="24" t="s">
        <v>69</v>
      </c>
      <c r="X110" s="24" t="s">
        <v>69</v>
      </c>
      <c r="Y110" s="24" t="s">
        <v>69</v>
      </c>
      <c r="Z110" s="24" t="s">
        <v>63</v>
      </c>
      <c r="AA110" s="24" t="s">
        <v>63</v>
      </c>
      <c r="AB110" s="24" t="s">
        <v>63</v>
      </c>
      <c r="AC110" s="24" t="s">
        <v>89</v>
      </c>
    </row>
    <row r="111" spans="1:29">
      <c r="A111" s="24" t="s">
        <v>54</v>
      </c>
      <c r="B111" s="24" t="s">
        <v>55</v>
      </c>
      <c r="C111" s="24" t="s">
        <v>56</v>
      </c>
      <c r="D111" s="24" t="s">
        <v>404</v>
      </c>
      <c r="E111" s="24" t="s">
        <v>71</v>
      </c>
      <c r="F111" s="24" t="s">
        <v>415</v>
      </c>
      <c r="G111" s="24" t="s">
        <v>416</v>
      </c>
      <c r="H111" s="27" t="s">
        <v>417</v>
      </c>
      <c r="I111" s="25">
        <v>2342684</v>
      </c>
      <c r="J111" s="25">
        <v>2159343.33</v>
      </c>
      <c r="K111" s="25">
        <v>1958587.66</v>
      </c>
      <c r="L111" s="25">
        <v>1123789.35</v>
      </c>
      <c r="M111" s="26">
        <f>I111-J111</f>
        <v>183340.66999999993</v>
      </c>
      <c r="N111" s="26">
        <f>J111-K111</f>
        <v>200755.67000000016</v>
      </c>
      <c r="O111" s="26">
        <f>I111-L111</f>
        <v>1218894.65</v>
      </c>
      <c r="P111" s="28">
        <f>IF(I111&gt;0,L111/I111,0)</f>
        <v>0.47970163709659525</v>
      </c>
      <c r="Q111" s="28">
        <f>IF(I111&gt;0,K111/I111,0)</f>
        <v>0.8360443235195186</v>
      </c>
      <c r="R111" s="24" t="str">
        <f>IF(I111&lt;=0,"Sin PIM",IF(L111/I111&gt;=Config!$B$5,"Ejecutado",IF(K111/I111&gt;=Config!$B$6,"Mayormente comprometido",IF(K111&gt;0.005,"Parcialmente comprometido",IF(J111&gt;0.005,"Solo certificado","Sin certificar")))))</f>
        <v>Mayormente comprometido</v>
      </c>
      <c r="S111" s="24" t="str">
        <f>IF(R111="Sin certificar","Disponible",IF(R111="Solo certificado","Posible",IF(R111="Parcialmente comprometido","Parcial",IF(R111="Mayormente comprometido","Difícil",IF(R111="Ejecutado","No usar","Sin PIM")))))</f>
        <v>Difícil</v>
      </c>
      <c r="T111" s="26">
        <f>IF(OR(I111&lt;=0,R111="Ejecutado"),0,MAX(0,I111-K111))</f>
        <v>384096.3400000001</v>
      </c>
      <c r="U111" s="24" t="s">
        <v>75</v>
      </c>
      <c r="V111" s="25">
        <v>800000</v>
      </c>
      <c r="W111" s="25">
        <v>26969</v>
      </c>
      <c r="X111" s="25">
        <v>0</v>
      </c>
      <c r="Y111" s="25">
        <v>0</v>
      </c>
      <c r="Z111" s="24" t="s">
        <v>63</v>
      </c>
      <c r="AA111" s="24" t="s">
        <v>63</v>
      </c>
      <c r="AB111" s="24" t="s">
        <v>63</v>
      </c>
      <c r="AC111" s="24" t="s">
        <v>89</v>
      </c>
    </row>
    <row r="112" spans="1:29">
      <c r="A112" s="24" t="s">
        <v>54</v>
      </c>
      <c r="B112" s="24" t="s">
        <v>55</v>
      </c>
      <c r="C112" s="24" t="s">
        <v>56</v>
      </c>
      <c r="D112" s="24" t="s">
        <v>404</v>
      </c>
      <c r="E112" s="24" t="s">
        <v>71</v>
      </c>
      <c r="F112" s="24" t="s">
        <v>418</v>
      </c>
      <c r="G112" s="24" t="s">
        <v>419</v>
      </c>
      <c r="H112" s="27" t="s">
        <v>420</v>
      </c>
      <c r="I112" s="25">
        <v>4026127</v>
      </c>
      <c r="J112" s="25">
        <v>3933834.94</v>
      </c>
      <c r="K112" s="25">
        <v>2228280.54</v>
      </c>
      <c r="L112" s="25">
        <v>1387806.25</v>
      </c>
      <c r="M112" s="26">
        <f>I112-J112</f>
        <v>92292.06000000006</v>
      </c>
      <c r="N112" s="26">
        <f>J112-K112</f>
        <v>1705554.4</v>
      </c>
      <c r="O112" s="26">
        <f>I112-L112</f>
        <v>2638320.75</v>
      </c>
      <c r="P112" s="28">
        <f>IF(I112&gt;0,L112/I112,0)</f>
        <v>0.34470006783193874</v>
      </c>
      <c r="Q112" s="28">
        <f>IF(I112&gt;0,K112/I112,0)</f>
        <v>0.5534551046203957</v>
      </c>
      <c r="R112" s="24" t="str">
        <f>IF(I112&lt;=0,"Sin PIM",IF(L112/I112&gt;=Config!$B$5,"Ejecutado",IF(K112/I112&gt;=Config!$B$6,"Mayormente comprometido",IF(K112&gt;0.005,"Parcialmente comprometido",IF(J112&gt;0.005,"Solo certificado","Sin certificar")))))</f>
        <v>Mayormente comprometido</v>
      </c>
      <c r="S112" s="24" t="str">
        <f>IF(R112="Sin certificar","Disponible",IF(R112="Solo certificado","Posible",IF(R112="Parcialmente comprometido","Parcial",IF(R112="Mayormente comprometido","Difícil",IF(R112="Ejecutado","No usar","Sin PIM")))))</f>
        <v>Difícil</v>
      </c>
      <c r="T112" s="26">
        <f>IF(OR(I112&lt;=0,R112="Ejecutado"),0,MAX(0,I112-K112))</f>
        <v>1797846.46</v>
      </c>
      <c r="U112" s="24" t="s">
        <v>96</v>
      </c>
      <c r="V112" s="25">
        <v>2120577</v>
      </c>
      <c r="W112" s="25">
        <v>5094106</v>
      </c>
      <c r="X112" s="25">
        <v>4994536</v>
      </c>
      <c r="Y112" s="25">
        <v>0</v>
      </c>
      <c r="Z112" s="24" t="s">
        <v>63</v>
      </c>
      <c r="AA112" s="24" t="s">
        <v>63</v>
      </c>
      <c r="AB112" s="24" t="s">
        <v>63</v>
      </c>
      <c r="AC112" s="24" t="s">
        <v>101</v>
      </c>
    </row>
    <row r="113" spans="1:29">
      <c r="A113" s="24" t="s">
        <v>54</v>
      </c>
      <c r="B113" s="24" t="s">
        <v>55</v>
      </c>
      <c r="C113" s="24" t="s">
        <v>56</v>
      </c>
      <c r="D113" s="24" t="s">
        <v>404</v>
      </c>
      <c r="E113" s="24" t="s">
        <v>71</v>
      </c>
      <c r="F113" s="24" t="s">
        <v>421</v>
      </c>
      <c r="G113" s="24" t="s">
        <v>422</v>
      </c>
      <c r="H113" s="27" t="s">
        <v>423</v>
      </c>
      <c r="I113" s="25">
        <v>4927527</v>
      </c>
      <c r="J113" s="25">
        <v>4223260.689999999</v>
      </c>
      <c r="K113" s="25">
        <v>2264680.17</v>
      </c>
      <c r="L113" s="25">
        <v>1725644.14</v>
      </c>
      <c r="M113" s="26">
        <f>I113-J113</f>
        <v>704266.3100000005</v>
      </c>
      <c r="N113" s="26">
        <f>J113-K113</f>
        <v>1958580.519999999</v>
      </c>
      <c r="O113" s="26">
        <f>I113-L113</f>
        <v>3201882.8600000003</v>
      </c>
      <c r="P113" s="28">
        <f>IF(I113&gt;0,L113/I113,0)</f>
        <v>0.35020490806037186</v>
      </c>
      <c r="Q113" s="28">
        <f>IF(I113&gt;0,K113/I113,0)</f>
        <v>0.4595977190992562</v>
      </c>
      <c r="R113" s="24" t="str">
        <f>IF(I113&lt;=0,"Sin PIM",IF(L113/I113&gt;=Config!$B$5,"Ejecutado",IF(K113/I113&gt;=Config!$B$6,"Mayormente comprometido",IF(K113&gt;0.005,"Parcialmente comprometido",IF(J113&gt;0.005,"Solo certificado","Sin certificar")))))</f>
        <v>Parcialmente comprometido</v>
      </c>
      <c r="S113" s="24" t="str">
        <f>IF(R113="Sin certificar","Disponible",IF(R113="Solo certificado","Posible",IF(R113="Parcialmente comprometido","Parcial",IF(R113="Mayormente comprometido","Difícil",IF(R113="Ejecutado","No usar","Sin PIM")))))</f>
        <v>Parcial</v>
      </c>
      <c r="T113" s="26">
        <f>IF(OR(I113&lt;=0,R113="Ejecutado"),0,MAX(0,I113-K113))</f>
        <v>2662846.8299999996</v>
      </c>
      <c r="U113" s="24" t="s">
        <v>148</v>
      </c>
      <c r="V113" s="25">
        <v>2000000</v>
      </c>
      <c r="W113" s="25">
        <v>8000000</v>
      </c>
      <c r="X113" s="25">
        <v>9133500</v>
      </c>
      <c r="Y113" s="25">
        <v>8629252</v>
      </c>
      <c r="Z113" s="24" t="s">
        <v>63</v>
      </c>
      <c r="AA113" s="24" t="s">
        <v>63</v>
      </c>
      <c r="AB113" s="24" t="s">
        <v>63</v>
      </c>
      <c r="AC113" s="24" t="s">
        <v>101</v>
      </c>
    </row>
    <row r="114" spans="1:29">
      <c r="A114" s="24" t="s">
        <v>54</v>
      </c>
      <c r="B114" s="24" t="s">
        <v>55</v>
      </c>
      <c r="C114" s="24" t="s">
        <v>56</v>
      </c>
      <c r="D114" s="24" t="s">
        <v>404</v>
      </c>
      <c r="E114" s="24" t="s">
        <v>71</v>
      </c>
      <c r="F114" s="24" t="s">
        <v>424</v>
      </c>
      <c r="G114" s="24" t="s">
        <v>425</v>
      </c>
      <c r="H114" s="27" t="s">
        <v>426</v>
      </c>
      <c r="I114" s="25">
        <v>1479604</v>
      </c>
      <c r="J114" s="25">
        <v>1473924.03</v>
      </c>
      <c r="K114" s="25">
        <v>9462.030000000001</v>
      </c>
      <c r="L114" s="25">
        <v>7416.86</v>
      </c>
      <c r="M114" s="26">
        <f>I114-J114</f>
        <v>5679.969999999972</v>
      </c>
      <c r="N114" s="26">
        <f>J114-K114</f>
        <v>1464462.0</v>
      </c>
      <c r="O114" s="26">
        <f>I114-L114</f>
        <v>1472187.14</v>
      </c>
      <c r="P114" s="28">
        <f>IF(I114&gt;0,L114/I114,0)</f>
        <v>0.005012733136704145</v>
      </c>
      <c r="Q114" s="28">
        <f>IF(I114&gt;0,K114/I114,0)</f>
        <v>0.006394974601312243</v>
      </c>
      <c r="R114" s="24" t="str">
        <f>IF(I114&lt;=0,"Sin PIM",IF(L114/I114&gt;=Config!$B$5,"Ejecutado",IF(K114/I114&gt;=Config!$B$6,"Mayormente comprometido",IF(K114&gt;0.005,"Parcialmente comprometido",IF(J114&gt;0.005,"Solo certificado","Sin certificar")))))</f>
        <v>Parcialmente comprometido</v>
      </c>
      <c r="S114" s="24" t="str">
        <f>IF(R114="Sin certificar","Disponible",IF(R114="Solo certificado","Posible",IF(R114="Parcialmente comprometido","Parcial",IF(R114="Mayormente comprometido","Difícil",IF(R114="Ejecutado","No usar","Sin PIM")))))</f>
        <v>Parcial</v>
      </c>
      <c r="T114" s="26">
        <f>IF(OR(I114&lt;=0,R114="Ejecutado"),0,MAX(0,I114-K114))</f>
        <v>1470141.97</v>
      </c>
      <c r="U114" s="24" t="s">
        <v>397</v>
      </c>
      <c r="V114" s="25">
        <v>3000000</v>
      </c>
      <c r="W114" s="25">
        <v>6984785</v>
      </c>
      <c r="X114" s="25">
        <v>0</v>
      </c>
      <c r="Y114" s="25">
        <v>6681576</v>
      </c>
      <c r="Z114" s="24" t="s">
        <v>63</v>
      </c>
      <c r="AA114" s="24" t="s">
        <v>63</v>
      </c>
      <c r="AB114" s="24" t="s">
        <v>63</v>
      </c>
      <c r="AC114" s="24" t="s">
        <v>101</v>
      </c>
    </row>
    <row r="115" spans="1:29">
      <c r="A115" s="24" t="s">
        <v>54</v>
      </c>
      <c r="B115" s="24" t="s">
        <v>55</v>
      </c>
      <c r="C115" s="24" t="s">
        <v>56</v>
      </c>
      <c r="D115" s="24" t="s">
        <v>404</v>
      </c>
      <c r="E115" s="24" t="s">
        <v>71</v>
      </c>
      <c r="F115" s="24" t="s">
        <v>427</v>
      </c>
      <c r="G115" s="24" t="s">
        <v>428</v>
      </c>
      <c r="H115" s="27" t="s">
        <v>429</v>
      </c>
      <c r="I115" s="25">
        <v>1038097</v>
      </c>
      <c r="J115" s="25">
        <v>1038097</v>
      </c>
      <c r="K115" s="25">
        <v>0</v>
      </c>
      <c r="L115" s="25">
        <v>0</v>
      </c>
      <c r="M115" s="26">
        <f>I115-J115</f>
        <v>0.0</v>
      </c>
      <c r="N115" s="26">
        <f>J115-K115</f>
        <v>1038097.0</v>
      </c>
      <c r="O115" s="26">
        <f>I115-L115</f>
        <v>1038097.0</v>
      </c>
      <c r="P115" s="28">
        <f>IF(I115&gt;0,L115/I115,0)</f>
        <v>0.0</v>
      </c>
      <c r="Q115" s="28">
        <f>IF(I115&gt;0,K115/I115,0)</f>
        <v>0.0</v>
      </c>
      <c r="R115" s="24" t="str">
        <f>IF(I115&lt;=0,"Sin PIM",IF(L115/I115&gt;=Config!$B$5,"Ejecutado",IF(K115/I115&gt;=Config!$B$6,"Mayormente comprometido",IF(K115&gt;0.005,"Parcialmente comprometido",IF(J115&gt;0.005,"Solo certificado","Sin certificar")))))</f>
        <v>Solo certificado</v>
      </c>
      <c r="S115" s="24" t="str">
        <f>IF(R115="Sin certificar","Disponible",IF(R115="Solo certificado","Posible",IF(R115="Parcialmente comprometido","Parcial",IF(R115="Mayormente comprometido","Difícil",IF(R115="Ejecutado","No usar","Sin PIM")))))</f>
        <v>Posible</v>
      </c>
      <c r="T115" s="26">
        <f>IF(OR(I115&lt;=0,R115="Ejecutado"),0,MAX(0,I115-K115))</f>
        <v>1038097.0</v>
      </c>
      <c r="U115" s="24" t="s">
        <v>105</v>
      </c>
      <c r="V115" s="24" t="s">
        <v>69</v>
      </c>
      <c r="W115" s="24" t="s">
        <v>69</v>
      </c>
      <c r="X115" s="24" t="s">
        <v>69</v>
      </c>
      <c r="Y115" s="24" t="s">
        <v>69</v>
      </c>
      <c r="Z115" s="24" t="s">
        <v>63</v>
      </c>
      <c r="AA115" s="24" t="s">
        <v>63</v>
      </c>
      <c r="AB115" s="24" t="s">
        <v>63</v>
      </c>
      <c r="AC115" s="24" t="s">
        <v>89</v>
      </c>
    </row>
    <row r="116" spans="1:29">
      <c r="A116" s="24" t="s">
        <v>54</v>
      </c>
      <c r="B116" s="24" t="s">
        <v>55</v>
      </c>
      <c r="C116" s="24" t="s">
        <v>56</v>
      </c>
      <c r="D116" s="24" t="s">
        <v>404</v>
      </c>
      <c r="E116" s="24" t="s">
        <v>71</v>
      </c>
      <c r="F116" s="24" t="s">
        <v>430</v>
      </c>
      <c r="G116" s="24" t="s">
        <v>431</v>
      </c>
      <c r="H116" s="27" t="s">
        <v>432</v>
      </c>
      <c r="I116" s="25">
        <v>0</v>
      </c>
      <c r="J116" s="25">
        <v>0</v>
      </c>
      <c r="K116" s="25">
        <v>0</v>
      </c>
      <c r="L116" s="25">
        <v>0</v>
      </c>
      <c r="M116" s="26">
        <f>I116-J116</f>
        <v>0.0</v>
      </c>
      <c r="N116" s="26">
        <f>J116-K116</f>
        <v>0.0</v>
      </c>
      <c r="O116" s="26">
        <f>I116-L116</f>
        <v>0.0</v>
      </c>
      <c r="P116" s="28">
        <f>IF(I116&gt;0,L116/I116,0)</f>
        <v>0</v>
      </c>
      <c r="Q116" s="28">
        <f>IF(I116&gt;0,K116/I116,0)</f>
        <v>0</v>
      </c>
      <c r="R116" s="24" t="str">
        <f>IF(I116&lt;=0,"Sin PIM",IF(L116/I116&gt;=Config!$B$5,"Ejecutado",IF(K116/I116&gt;=Config!$B$6,"Mayormente comprometido",IF(K116&gt;0.005,"Parcialmente comprometido",IF(J116&gt;0.005,"Solo certificado","Sin certificar")))))</f>
        <v>Sin PIM</v>
      </c>
      <c r="S116" s="24" t="str">
        <f>IF(R116="Sin certificar","Disponible",IF(R116="Solo certificado","Posible",IF(R116="Parcialmente comprometido","Parcial",IF(R116="Mayormente comprometido","Difícil",IF(R116="Ejecutado","No usar","Sin PIM")))))</f>
        <v>Sin PIM</v>
      </c>
      <c r="T116" s="26">
        <f>IF(OR(I116&lt;=0,R116="Ejecutado"),0,MAX(0,I116-K116))</f>
        <v>0.0</v>
      </c>
      <c r="U116" s="24" t="s">
        <v>232</v>
      </c>
      <c r="V116" s="25">
        <v>144908</v>
      </c>
      <c r="W116" s="25">
        <v>229001</v>
      </c>
      <c r="X116" s="25">
        <v>0</v>
      </c>
      <c r="Y116" s="25">
        <v>0</v>
      </c>
      <c r="Z116" s="24" t="s">
        <v>63</v>
      </c>
      <c r="AA116" s="24" t="s">
        <v>63</v>
      </c>
      <c r="AB116" s="24" t="s">
        <v>63</v>
      </c>
      <c r="AC116" s="24" t="s">
        <v>129</v>
      </c>
    </row>
    <row r="117" spans="1:29">
      <c r="A117" s="24" t="s">
        <v>54</v>
      </c>
      <c r="B117" s="24" t="s">
        <v>55</v>
      </c>
      <c r="C117" s="24" t="s">
        <v>56</v>
      </c>
      <c r="D117" s="24" t="s">
        <v>404</v>
      </c>
      <c r="E117" s="24" t="s">
        <v>58</v>
      </c>
      <c r="F117" s="24" t="s">
        <v>433</v>
      </c>
      <c r="G117" s="24" t="s">
        <v>434</v>
      </c>
      <c r="H117" s="27" t="s">
        <v>435</v>
      </c>
      <c r="I117" s="25">
        <v>56150305</v>
      </c>
      <c r="J117" s="25">
        <v>56150304.02</v>
      </c>
      <c r="K117" s="25">
        <v>55370047.94</v>
      </c>
      <c r="L117" s="25">
        <v>29724123.72000001</v>
      </c>
      <c r="M117" s="26">
        <f>I117-J117</f>
        <v>0.9799999967217445</v>
      </c>
      <c r="N117" s="26">
        <f>J117-K117</f>
        <v>780256.0800000057</v>
      </c>
      <c r="O117" s="26">
        <f>I117-L117</f>
        <v>26426181.279999994</v>
      </c>
      <c r="P117" s="28">
        <f>IF(I117&gt;0,L117/I117,0)</f>
        <v>0.5293670928412589</v>
      </c>
      <c r="Q117" s="28">
        <f>IF(I117&gt;0,K117/I117,0)</f>
        <v>0.9861041349641823</v>
      </c>
      <c r="R117" s="24" t="str">
        <f>IF(I117&lt;=0,"Sin PIM",IF(L117/I117&gt;=Config!$B$5,"Ejecutado",IF(K117/I117&gt;=Config!$B$6,"Mayormente comprometido",IF(K117&gt;0.005,"Parcialmente comprometido",IF(J117&gt;0.005,"Solo certificado","Sin certificar")))))</f>
        <v>Mayormente comprometido</v>
      </c>
      <c r="S117" s="24" t="str">
        <f>IF(R117="Sin certificar","Disponible",IF(R117="Solo certificado","Posible",IF(R117="Parcialmente comprometido","Parcial",IF(R117="Mayormente comprometido","Difícil",IF(R117="Ejecutado","No usar","Sin PIM")))))</f>
        <v>Difícil</v>
      </c>
      <c r="T117" s="26">
        <f>IF(OR(I117&lt;=0,R117="Ejecutado"),0,MAX(0,I117-K117))</f>
        <v>780257.0600000024</v>
      </c>
      <c r="U117" s="24" t="s">
        <v>96</v>
      </c>
      <c r="V117" s="24" t="s">
        <v>69</v>
      </c>
      <c r="W117" s="24" t="s">
        <v>69</v>
      </c>
      <c r="X117" s="24" t="s">
        <v>69</v>
      </c>
      <c r="Y117" s="24" t="s">
        <v>69</v>
      </c>
      <c r="Z117" s="24" t="s">
        <v>63</v>
      </c>
      <c r="AA117" s="24" t="s">
        <v>63</v>
      </c>
      <c r="AB117" s="24" t="s">
        <v>63</v>
      </c>
      <c r="AC117" s="24" t="s">
        <v>70</v>
      </c>
    </row>
    <row r="118" spans="1:29">
      <c r="A118" s="24" t="s">
        <v>54</v>
      </c>
      <c r="B118" s="24" t="s">
        <v>55</v>
      </c>
      <c r="C118" s="24" t="s">
        <v>56</v>
      </c>
      <c r="D118" s="24" t="s">
        <v>404</v>
      </c>
      <c r="E118" s="24" t="s">
        <v>58</v>
      </c>
      <c r="F118" s="24" t="s">
        <v>436</v>
      </c>
      <c r="G118" s="24" t="s">
        <v>437</v>
      </c>
      <c r="H118" s="27" t="s">
        <v>438</v>
      </c>
      <c r="I118" s="25">
        <v>8766661</v>
      </c>
      <c r="J118" s="25">
        <v>8493624.369999997</v>
      </c>
      <c r="K118" s="25">
        <v>4063268.09</v>
      </c>
      <c r="L118" s="25">
        <v>3843826.37</v>
      </c>
      <c r="M118" s="26">
        <f>I118-J118</f>
        <v>273036.6300000027</v>
      </c>
      <c r="N118" s="26">
        <f>J118-K118</f>
        <v>4430356.2799999975</v>
      </c>
      <c r="O118" s="26">
        <f>I118-L118</f>
        <v>4922834.63</v>
      </c>
      <c r="P118" s="28">
        <f>IF(I118&gt;0,L118/I118,0)</f>
        <v>0.4384595651639775</v>
      </c>
      <c r="Q118" s="28">
        <f>IF(I118&gt;0,K118/I118,0)</f>
        <v>0.46349095624890707</v>
      </c>
      <c r="R118" s="24" t="str">
        <f>IF(I118&lt;=0,"Sin PIM",IF(L118/I118&gt;=Config!$B$5,"Ejecutado",IF(K118/I118&gt;=Config!$B$6,"Mayormente comprometido",IF(K118&gt;0.005,"Parcialmente comprometido",IF(J118&gt;0.005,"Solo certificado","Sin certificar")))))</f>
        <v>Parcialmente comprometido</v>
      </c>
      <c r="S118" s="24" t="str">
        <f>IF(R118="Sin certificar","Disponible",IF(R118="Solo certificado","Posible",IF(R118="Parcialmente comprometido","Parcial",IF(R118="Mayormente comprometido","Difícil",IF(R118="Ejecutado","No usar","Sin PIM")))))</f>
        <v>Parcial</v>
      </c>
      <c r="T118" s="26">
        <f>IF(OR(I118&lt;=0,R118="Ejecutado"),0,MAX(0,I118-K118))</f>
        <v>4703392.91</v>
      </c>
      <c r="U118" s="24" t="s">
        <v>96</v>
      </c>
      <c r="V118" s="25">
        <v>22181694</v>
      </c>
      <c r="W118" s="25">
        <v>12443559</v>
      </c>
      <c r="X118" s="25">
        <v>23194677</v>
      </c>
      <c r="Y118" s="25">
        <v>529157</v>
      </c>
      <c r="Z118" s="24" t="s">
        <v>63</v>
      </c>
      <c r="AA118" s="24" t="s">
        <v>63</v>
      </c>
      <c r="AB118" s="24" t="s">
        <v>63</v>
      </c>
      <c r="AC118" s="24" t="s">
        <v>70</v>
      </c>
    </row>
    <row r="119" spans="1:29">
      <c r="A119" s="24" t="s">
        <v>54</v>
      </c>
      <c r="B119" s="24" t="s">
        <v>55</v>
      </c>
      <c r="C119" s="24" t="s">
        <v>56</v>
      </c>
      <c r="D119" s="24" t="s">
        <v>404</v>
      </c>
      <c r="E119" s="24" t="s">
        <v>58</v>
      </c>
      <c r="F119" s="24" t="s">
        <v>439</v>
      </c>
      <c r="G119" s="24" t="s">
        <v>440</v>
      </c>
      <c r="H119" s="27" t="s">
        <v>441</v>
      </c>
      <c r="I119" s="25">
        <v>18753537</v>
      </c>
      <c r="J119" s="25">
        <v>18471517.02</v>
      </c>
      <c r="K119" s="25">
        <v>17212318.05</v>
      </c>
      <c r="L119" s="25">
        <v>17212318.05</v>
      </c>
      <c r="M119" s="26">
        <f>I119-J119</f>
        <v>282019.98000000045</v>
      </c>
      <c r="N119" s="26">
        <f>J119-K119</f>
        <v>1259198.9699999988</v>
      </c>
      <c r="O119" s="26">
        <f>I119-L119</f>
        <v>1541218.9499999993</v>
      </c>
      <c r="P119" s="28">
        <f>IF(I119&gt;0,L119/I119,0)</f>
        <v>0.9178171589711317</v>
      </c>
      <c r="Q119" s="28">
        <f>IF(I119&gt;0,K119/I119,0)</f>
        <v>0.9178171589711317</v>
      </c>
      <c r="R119" s="24" t="str">
        <f>IF(I119&lt;=0,"Sin PIM",IF(L119/I119&gt;=Config!$B$5,"Ejecutado",IF(K119/I119&gt;=Config!$B$6,"Mayormente comprometido",IF(K119&gt;0.005,"Parcialmente comprometido",IF(J119&gt;0.005,"Solo certificado","Sin certificar")))))</f>
        <v>Ejecutado</v>
      </c>
      <c r="S119" s="24" t="str">
        <f>IF(R119="Sin certificar","Disponible",IF(R119="Solo certificado","Posible",IF(R119="Parcialmente comprometido","Parcial",IF(R119="Mayormente comprometido","Difícil",IF(R119="Ejecutado","No usar","Sin PIM")))))</f>
        <v>No usar</v>
      </c>
      <c r="T119" s="26">
        <f>IF(OR(I119&lt;=0,R119="Ejecutado"),0,MAX(0,I119-K119))</f>
        <v>0.0</v>
      </c>
      <c r="U119" s="24" t="s">
        <v>105</v>
      </c>
      <c r="V119" s="25">
        <v>12200258</v>
      </c>
      <c r="W119" s="25">
        <v>14587856</v>
      </c>
      <c r="X119" s="25">
        <v>16487882</v>
      </c>
      <c r="Y119" s="25">
        <v>20726909</v>
      </c>
      <c r="Z119" s="24" t="s">
        <v>63</v>
      </c>
      <c r="AA119" s="24" t="s">
        <v>63</v>
      </c>
      <c r="AB119" s="24" t="s">
        <v>63</v>
      </c>
      <c r="AC119" s="24" t="s">
        <v>101</v>
      </c>
    </row>
    <row r="120" spans="1:29">
      <c r="A120" s="24" t="s">
        <v>54</v>
      </c>
      <c r="B120" s="24" t="s">
        <v>55</v>
      </c>
      <c r="C120" s="24" t="s">
        <v>56</v>
      </c>
      <c r="D120" s="24" t="s">
        <v>404</v>
      </c>
      <c r="E120" s="24" t="s">
        <v>58</v>
      </c>
      <c r="F120" s="24" t="s">
        <v>442</v>
      </c>
      <c r="G120" s="24" t="s">
        <v>443</v>
      </c>
      <c r="H120" s="27" t="s">
        <v>444</v>
      </c>
      <c r="I120" s="25">
        <v>17484286</v>
      </c>
      <c r="J120" s="25">
        <v>17380462.93</v>
      </c>
      <c r="K120" s="25">
        <v>16260021.31</v>
      </c>
      <c r="L120" s="25">
        <v>15761867.26</v>
      </c>
      <c r="M120" s="26">
        <f>I120-J120</f>
        <v>103823.0700000003</v>
      </c>
      <c r="N120" s="26">
        <f>J120-K120</f>
        <v>1120441.6199999992</v>
      </c>
      <c r="O120" s="26">
        <f>I120-L120</f>
        <v>1722418.7399999984</v>
      </c>
      <c r="P120" s="28">
        <f>IF(I120&gt;0,L120/I120,0)</f>
        <v>0.9014876135062079</v>
      </c>
      <c r="Q120" s="28">
        <f>IF(I120&gt;0,K120/I120,0)</f>
        <v>0.9299791429858789</v>
      </c>
      <c r="R120" s="24" t="str">
        <f>IF(I120&lt;=0,"Sin PIM",IF(L120/I120&gt;=Config!$B$5,"Ejecutado",IF(K120/I120&gt;=Config!$B$6,"Mayormente comprometido",IF(K120&gt;0.005,"Parcialmente comprometido",IF(J120&gt;0.005,"Solo certificado","Sin certificar")))))</f>
        <v>Ejecutado</v>
      </c>
      <c r="S120" s="24" t="str">
        <f>IF(R120="Sin certificar","Disponible",IF(R120="Solo certificado","Posible",IF(R120="Parcialmente comprometido","Parcial",IF(R120="Mayormente comprometido","Difícil",IF(R120="Ejecutado","No usar","Sin PIM")))))</f>
        <v>No usar</v>
      </c>
      <c r="T120" s="26">
        <f>IF(OR(I120&lt;=0,R120="Ejecutado"),0,MAX(0,I120-K120))</f>
        <v>0.0</v>
      </c>
      <c r="U120" s="24" t="s">
        <v>105</v>
      </c>
      <c r="V120" s="25">
        <v>12000000</v>
      </c>
      <c r="W120" s="25">
        <v>14587598</v>
      </c>
      <c r="X120" s="25">
        <v>26545222</v>
      </c>
      <c r="Y120" s="25">
        <v>3405517</v>
      </c>
      <c r="Z120" s="24" t="s">
        <v>63</v>
      </c>
      <c r="AA120" s="24" t="s">
        <v>63</v>
      </c>
      <c r="AB120" s="24" t="s">
        <v>63</v>
      </c>
      <c r="AC120" s="24" t="s">
        <v>70</v>
      </c>
    </row>
    <row r="121" spans="1:29">
      <c r="A121" s="24" t="s">
        <v>54</v>
      </c>
      <c r="B121" s="24" t="s">
        <v>55</v>
      </c>
      <c r="C121" s="24" t="s">
        <v>56</v>
      </c>
      <c r="D121" s="24" t="s">
        <v>404</v>
      </c>
      <c r="E121" s="24" t="s">
        <v>58</v>
      </c>
      <c r="F121" s="24" t="s">
        <v>445</v>
      </c>
      <c r="G121" s="24" t="s">
        <v>446</v>
      </c>
      <c r="H121" s="27" t="s">
        <v>447</v>
      </c>
      <c r="I121" s="25">
        <v>41519761</v>
      </c>
      <c r="J121" s="25">
        <v>39201248.73</v>
      </c>
      <c r="K121" s="25">
        <v>10839278.54</v>
      </c>
      <c r="L121" s="25">
        <v>10652959.62</v>
      </c>
      <c r="M121" s="26">
        <f>I121-J121</f>
        <v>2318512.2700000033</v>
      </c>
      <c r="N121" s="26">
        <f>J121-K121</f>
        <v>28361970.189999998</v>
      </c>
      <c r="O121" s="26">
        <f>I121-L121</f>
        <v>30866801.380000003</v>
      </c>
      <c r="P121" s="28">
        <f>IF(I121&gt;0,L121/I121,0)</f>
        <v>0.2565756488819866</v>
      </c>
      <c r="Q121" s="28">
        <f>IF(I121&gt;0,K121/I121,0)</f>
        <v>0.26106312461673375</v>
      </c>
      <c r="R121" s="24" t="str">
        <f>IF(I121&lt;=0,"Sin PIM",IF(L121/I121&gt;=Config!$B$5,"Ejecutado",IF(K121/I121&gt;=Config!$B$6,"Mayormente comprometido",IF(K121&gt;0.005,"Parcialmente comprometido",IF(J121&gt;0.005,"Solo certificado","Sin certificar")))))</f>
        <v>Parcialmente comprometido</v>
      </c>
      <c r="S121" s="24" t="str">
        <f>IF(R121="Sin certificar","Disponible",IF(R121="Solo certificado","Posible",IF(R121="Parcialmente comprometido","Parcial",IF(R121="Mayormente comprometido","Difícil",IF(R121="Ejecutado","No usar","Sin PIM")))))</f>
        <v>Parcial</v>
      </c>
      <c r="T121" s="26">
        <f>IF(OR(I121&lt;=0,R121="Ejecutado"),0,MAX(0,I121-K121))</f>
        <v>30680482.46</v>
      </c>
      <c r="U121" s="24" t="s">
        <v>105</v>
      </c>
      <c r="V121" s="24" t="s">
        <v>69</v>
      </c>
      <c r="W121" s="24" t="s">
        <v>69</v>
      </c>
      <c r="X121" s="24" t="s">
        <v>69</v>
      </c>
      <c r="Y121" s="24" t="s">
        <v>69</v>
      </c>
      <c r="Z121" s="24" t="s">
        <v>63</v>
      </c>
      <c r="AA121" s="24" t="s">
        <v>63</v>
      </c>
      <c r="AB121" s="24" t="s">
        <v>63</v>
      </c>
      <c r="AC121" s="24" t="s">
        <v>89</v>
      </c>
    </row>
    <row r="122" spans="1:29">
      <c r="A122" s="24" t="s">
        <v>54</v>
      </c>
      <c r="B122" s="24" t="s">
        <v>55</v>
      </c>
      <c r="C122" s="24" t="s">
        <v>56</v>
      </c>
      <c r="D122" s="24" t="s">
        <v>404</v>
      </c>
      <c r="E122" s="24" t="s">
        <v>58</v>
      </c>
      <c r="F122" s="24" t="s">
        <v>448</v>
      </c>
      <c r="G122" s="24" t="s">
        <v>449</v>
      </c>
      <c r="H122" s="27" t="s">
        <v>450</v>
      </c>
      <c r="I122" s="25">
        <v>966193</v>
      </c>
      <c r="J122" s="25">
        <v>746819.0600000001</v>
      </c>
      <c r="K122" s="25">
        <v>6257.4</v>
      </c>
      <c r="L122" s="25">
        <v>6257.4</v>
      </c>
      <c r="M122" s="26">
        <f>I122-J122</f>
        <v>219373.93999999994</v>
      </c>
      <c r="N122" s="26">
        <f>J122-K122</f>
        <v>740561.66</v>
      </c>
      <c r="O122" s="26">
        <f>I122-L122</f>
        <v>959935.6</v>
      </c>
      <c r="P122" s="28">
        <f>IF(I122&gt;0,L122/I122,0)</f>
        <v>0.006476345823246494</v>
      </c>
      <c r="Q122" s="28">
        <f>IF(I122&gt;0,K122/I122,0)</f>
        <v>0.006476345823246494</v>
      </c>
      <c r="R122" s="24" t="str">
        <f>IF(I122&lt;=0,"Sin PIM",IF(L122/I122&gt;=Config!$B$5,"Ejecutado",IF(K122/I122&gt;=Config!$B$6,"Mayormente comprometido",IF(K122&gt;0.005,"Parcialmente comprometido",IF(J122&gt;0.005,"Solo certificado","Sin certificar")))))</f>
        <v>Parcialmente comprometido</v>
      </c>
      <c r="S122" s="24" t="str">
        <f>IF(R122="Sin certificar","Disponible",IF(R122="Solo certificado","Posible",IF(R122="Parcialmente comprometido","Parcial",IF(R122="Mayormente comprometido","Difícil",IF(R122="Ejecutado","No usar","Sin PIM")))))</f>
        <v>Parcial</v>
      </c>
      <c r="T122" s="26">
        <f>IF(OR(I122&lt;=0,R122="Ejecutado"),0,MAX(0,I122-K122))</f>
        <v>959935.6</v>
      </c>
      <c r="U122" s="24" t="s">
        <v>451</v>
      </c>
      <c r="V122" s="24" t="s">
        <v>69</v>
      </c>
      <c r="W122" s="24" t="s">
        <v>69</v>
      </c>
      <c r="X122" s="24" t="s">
        <v>69</v>
      </c>
      <c r="Y122" s="24" t="s">
        <v>69</v>
      </c>
      <c r="Z122" s="24" t="s">
        <v>63</v>
      </c>
      <c r="AA122" s="24" t="s">
        <v>63</v>
      </c>
      <c r="AB122" s="24" t="s">
        <v>63</v>
      </c>
      <c r="AC122" s="24" t="s">
        <v>101</v>
      </c>
    </row>
    <row r="123" spans="1:29">
      <c r="A123" s="24" t="s">
        <v>54</v>
      </c>
      <c r="B123" s="24" t="s">
        <v>55</v>
      </c>
      <c r="C123" s="24" t="s">
        <v>56</v>
      </c>
      <c r="D123" s="24" t="s">
        <v>404</v>
      </c>
      <c r="E123" s="24" t="s">
        <v>58</v>
      </c>
      <c r="F123" s="24" t="s">
        <v>452</v>
      </c>
      <c r="G123" s="24" t="s">
        <v>453</v>
      </c>
      <c r="H123" s="27" t="s">
        <v>454</v>
      </c>
      <c r="I123" s="25">
        <v>4068561</v>
      </c>
      <c r="J123" s="25">
        <v>4043454.41</v>
      </c>
      <c r="K123" s="25">
        <v>4043454.41</v>
      </c>
      <c r="L123" s="25">
        <v>4043454.41</v>
      </c>
      <c r="M123" s="26">
        <f>I123-J123</f>
        <v>25106.58999999985</v>
      </c>
      <c r="N123" s="26">
        <f>J123-K123</f>
        <v>0.0</v>
      </c>
      <c r="O123" s="26">
        <f>I123-L123</f>
        <v>25106.58999999985</v>
      </c>
      <c r="P123" s="28">
        <f>IF(I123&gt;0,L123/I123,0)</f>
        <v>0.9938291228766142</v>
      </c>
      <c r="Q123" s="28">
        <f>IF(I123&gt;0,K123/I123,0)</f>
        <v>0.9938291228766142</v>
      </c>
      <c r="R123" s="24" t="str">
        <f>IF(I123&lt;=0,"Sin PIM",IF(L123/I123&gt;=Config!$B$5,"Ejecutado",IF(K123/I123&gt;=Config!$B$6,"Mayormente comprometido",IF(K123&gt;0.005,"Parcialmente comprometido",IF(J123&gt;0.005,"Solo certificado","Sin certificar")))))</f>
        <v>Ejecutado</v>
      </c>
      <c r="S123" s="24" t="str">
        <f>IF(R123="Sin certificar","Disponible",IF(R123="Solo certificado","Posible",IF(R123="Parcialmente comprometido","Parcial",IF(R123="Mayormente comprometido","Difícil",IF(R123="Ejecutado","No usar","Sin PIM")))))</f>
        <v>No usar</v>
      </c>
      <c r="T123" s="26">
        <f>IF(OR(I123&lt;=0,R123="Ejecutado"),0,MAX(0,I123-K123))</f>
        <v>0.0</v>
      </c>
      <c r="U123" s="24" t="s">
        <v>455</v>
      </c>
      <c r="V123" s="25">
        <v>100000</v>
      </c>
      <c r="W123" s="25">
        <v>0</v>
      </c>
      <c r="X123" s="25">
        <v>0</v>
      </c>
      <c r="Y123" s="25">
        <v>900000</v>
      </c>
      <c r="Z123" s="24" t="s">
        <v>63</v>
      </c>
      <c r="AA123" s="24" t="s">
        <v>63</v>
      </c>
      <c r="AB123" s="24" t="s">
        <v>63</v>
      </c>
      <c r="AC123" s="24" t="s">
        <v>456</v>
      </c>
    </row>
    <row r="124" spans="1:29">
      <c r="A124" s="24" t="s">
        <v>54</v>
      </c>
      <c r="B124" s="24" t="s">
        <v>55</v>
      </c>
      <c r="C124" s="24" t="s">
        <v>56</v>
      </c>
      <c r="D124" s="24" t="s">
        <v>404</v>
      </c>
      <c r="E124" s="24" t="s">
        <v>58</v>
      </c>
      <c r="F124" s="24" t="s">
        <v>457</v>
      </c>
      <c r="G124" s="24" t="s">
        <v>458</v>
      </c>
      <c r="H124" s="27" t="s">
        <v>459</v>
      </c>
      <c r="I124" s="25">
        <v>1382457</v>
      </c>
      <c r="J124" s="25">
        <v>1382455.8</v>
      </c>
      <c r="K124" s="25">
        <v>1076855.8</v>
      </c>
      <c r="L124" s="25">
        <v>215371.16</v>
      </c>
      <c r="M124" s="26">
        <f>I124-J124</f>
        <v>1.1999999999534339</v>
      </c>
      <c r="N124" s="26">
        <f>J124-K124</f>
        <v>305600.0</v>
      </c>
      <c r="O124" s="26">
        <f>I124-L124</f>
        <v>1167085.84</v>
      </c>
      <c r="P124" s="28">
        <f>IF(I124&gt;0,L124/I124,0)</f>
        <v>0.15578868637505544</v>
      </c>
      <c r="Q124" s="28">
        <f>IF(I124&gt;0,K124/I124,0)</f>
        <v>0.7789434318752771</v>
      </c>
      <c r="R124" s="24" t="str">
        <f>IF(I124&lt;=0,"Sin PIM",IF(L124/I124&gt;=Config!$B$5,"Ejecutado",IF(K124/I124&gt;=Config!$B$6,"Mayormente comprometido",IF(K124&gt;0.005,"Parcialmente comprometido",IF(J124&gt;0.005,"Solo certificado","Sin certificar")))))</f>
        <v>Mayormente comprometido</v>
      </c>
      <c r="S124" s="24" t="str">
        <f>IF(R124="Sin certificar","Disponible",IF(R124="Solo certificado","Posible",IF(R124="Parcialmente comprometido","Parcial",IF(R124="Mayormente comprometido","Difícil",IF(R124="Ejecutado","No usar","Sin PIM")))))</f>
        <v>Difícil</v>
      </c>
      <c r="T124" s="26">
        <f>IF(OR(I124&lt;=0,R124="Ejecutado"),0,MAX(0,I124-K124))</f>
        <v>305601.19999999995</v>
      </c>
      <c r="U124" s="24" t="s">
        <v>460</v>
      </c>
      <c r="V124" s="25">
        <v>5480901</v>
      </c>
      <c r="W124" s="25">
        <v>12000000</v>
      </c>
      <c r="X124" s="25">
        <v>0</v>
      </c>
      <c r="Y124" s="25">
        <v>100000</v>
      </c>
      <c r="Z124" s="24" t="s">
        <v>63</v>
      </c>
      <c r="AA124" s="24" t="s">
        <v>63</v>
      </c>
      <c r="AB124" s="24" t="s">
        <v>63</v>
      </c>
      <c r="AC124" s="24" t="s">
        <v>70</v>
      </c>
    </row>
    <row r="125" spans="1:29">
      <c r="A125" s="24" t="s">
        <v>54</v>
      </c>
      <c r="B125" s="24" t="s">
        <v>55</v>
      </c>
      <c r="C125" s="24" t="s">
        <v>56</v>
      </c>
      <c r="D125" s="24" t="s">
        <v>404</v>
      </c>
      <c r="E125" s="24" t="s">
        <v>58</v>
      </c>
      <c r="F125" s="24" t="s">
        <v>461</v>
      </c>
      <c r="G125" s="24" t="s">
        <v>462</v>
      </c>
      <c r="H125" s="27" t="s">
        <v>463</v>
      </c>
      <c r="I125" s="25">
        <v>3866926</v>
      </c>
      <c r="J125" s="25">
        <v>2225809.46</v>
      </c>
      <c r="K125" s="25">
        <v>2101121.26</v>
      </c>
      <c r="L125" s="25">
        <v>1961815.83</v>
      </c>
      <c r="M125" s="26">
        <f>I125-J125</f>
        <v>1641116.54</v>
      </c>
      <c r="N125" s="26">
        <f>J125-K125</f>
        <v>124688.20000000019</v>
      </c>
      <c r="O125" s="26">
        <f>I125-L125</f>
        <v>1905110.17</v>
      </c>
      <c r="P125" s="28">
        <f>IF(I125&gt;0,L125/I125,0)</f>
        <v>0.5073321366894531</v>
      </c>
      <c r="Q125" s="28">
        <f>IF(I125&gt;0,K125/I125,0)</f>
        <v>0.5433569869193255</v>
      </c>
      <c r="R125" s="24" t="str">
        <f>IF(I125&lt;=0,"Sin PIM",IF(L125/I125&gt;=Config!$B$5,"Ejecutado",IF(K125/I125&gt;=Config!$B$6,"Mayormente comprometido",IF(K125&gt;0.005,"Parcialmente comprometido",IF(J125&gt;0.005,"Solo certificado","Sin certificar")))))</f>
        <v>Mayormente comprometido</v>
      </c>
      <c r="S125" s="24" t="str">
        <f>IF(R125="Sin certificar","Disponible",IF(R125="Solo certificado","Posible",IF(R125="Parcialmente comprometido","Parcial",IF(R125="Mayormente comprometido","Difícil",IF(R125="Ejecutado","No usar","Sin PIM")))))</f>
        <v>Difícil</v>
      </c>
      <c r="T125" s="26">
        <f>IF(OR(I125&lt;=0,R125="Ejecutado"),0,MAX(0,I125-K125))</f>
        <v>1765804.7400000002</v>
      </c>
      <c r="U125" s="24" t="s">
        <v>105</v>
      </c>
      <c r="V125" s="25">
        <v>200000</v>
      </c>
      <c r="W125" s="25">
        <v>0</v>
      </c>
      <c r="X125" s="25">
        <v>522166</v>
      </c>
      <c r="Y125" s="25">
        <v>0</v>
      </c>
      <c r="Z125" s="24" t="s">
        <v>63</v>
      </c>
      <c r="AA125" s="24" t="s">
        <v>63</v>
      </c>
      <c r="AB125" s="24" t="s">
        <v>63</v>
      </c>
      <c r="AC125" s="24" t="s">
        <v>70</v>
      </c>
    </row>
    <row r="126" spans="1:29">
      <c r="A126" s="24" t="s">
        <v>54</v>
      </c>
      <c r="B126" s="24" t="s">
        <v>55</v>
      </c>
      <c r="C126" s="24" t="s">
        <v>56</v>
      </c>
      <c r="D126" s="24" t="s">
        <v>404</v>
      </c>
      <c r="E126" s="24" t="s">
        <v>58</v>
      </c>
      <c r="F126" s="24" t="s">
        <v>464</v>
      </c>
      <c r="G126" s="24" t="s">
        <v>465</v>
      </c>
      <c r="H126" s="27" t="s">
        <v>466</v>
      </c>
      <c r="I126" s="25">
        <v>407088</v>
      </c>
      <c r="J126" s="25">
        <v>327566</v>
      </c>
      <c r="K126" s="25">
        <v>323566</v>
      </c>
      <c r="L126" s="25">
        <v>287714.38</v>
      </c>
      <c r="M126" s="26">
        <f>I126-J126</f>
        <v>79522.0</v>
      </c>
      <c r="N126" s="26">
        <f>J126-K126</f>
        <v>4000.0</v>
      </c>
      <c r="O126" s="26">
        <f>I126-L126</f>
        <v>119373.62</v>
      </c>
      <c r="P126" s="28">
        <f>IF(I126&gt;0,L126/I126,0)</f>
        <v>0.7067621251424754</v>
      </c>
      <c r="Q126" s="28">
        <f>IF(I126&gt;0,K126/I126,0)</f>
        <v>0.7948306017372165</v>
      </c>
      <c r="R126" s="24" t="str">
        <f>IF(I126&lt;=0,"Sin PIM",IF(L126/I126&gt;=Config!$B$5,"Ejecutado",IF(K126/I126&gt;=Config!$B$6,"Mayormente comprometido",IF(K126&gt;0.005,"Parcialmente comprometido",IF(J126&gt;0.005,"Solo certificado","Sin certificar")))))</f>
        <v>Mayormente comprometido</v>
      </c>
      <c r="S126" s="24" t="str">
        <f>IF(R126="Sin certificar","Disponible",IF(R126="Solo certificado","Posible",IF(R126="Parcialmente comprometido","Parcial",IF(R126="Mayormente comprometido","Difícil",IF(R126="Ejecutado","No usar","Sin PIM")))))</f>
        <v>Difícil</v>
      </c>
      <c r="T126" s="26">
        <f>IF(OR(I126&lt;=0,R126="Ejecutado"),0,MAX(0,I126-K126))</f>
        <v>83522.0</v>
      </c>
      <c r="U126" s="24" t="s">
        <v>460</v>
      </c>
      <c r="V126" s="25">
        <v>1199085</v>
      </c>
      <c r="W126" s="25">
        <v>5128392</v>
      </c>
      <c r="X126" s="25">
        <v>53288</v>
      </c>
      <c r="Y126" s="25">
        <v>0</v>
      </c>
      <c r="Z126" s="24" t="s">
        <v>63</v>
      </c>
      <c r="AA126" s="24" t="s">
        <v>63</v>
      </c>
      <c r="AB126" s="24" t="s">
        <v>63</v>
      </c>
      <c r="AC126" s="24" t="s">
        <v>101</v>
      </c>
    </row>
    <row r="127" spans="1:29">
      <c r="A127" s="24" t="s">
        <v>54</v>
      </c>
      <c r="B127" s="24" t="s">
        <v>55</v>
      </c>
      <c r="C127" s="24" t="s">
        <v>56</v>
      </c>
      <c r="D127" s="24" t="s">
        <v>404</v>
      </c>
      <c r="E127" s="24" t="s">
        <v>163</v>
      </c>
      <c r="F127" s="24" t="s">
        <v>467</v>
      </c>
      <c r="G127" s="24" t="s">
        <v>468</v>
      </c>
      <c r="H127" s="27" t="s">
        <v>469</v>
      </c>
      <c r="I127" s="25">
        <v>3978899</v>
      </c>
      <c r="J127" s="25">
        <v>3978899</v>
      </c>
      <c r="K127" s="25">
        <v>3978899</v>
      </c>
      <c r="L127" s="25">
        <v>0</v>
      </c>
      <c r="M127" s="26">
        <f>I127-J127</f>
        <v>0.0</v>
      </c>
      <c r="N127" s="26">
        <f>J127-K127</f>
        <v>0.0</v>
      </c>
      <c r="O127" s="26">
        <f>I127-L127</f>
        <v>3978899.0</v>
      </c>
      <c r="P127" s="28">
        <f>IF(I127&gt;0,L127/I127,0)</f>
        <v>0.0</v>
      </c>
      <c r="Q127" s="28">
        <f>IF(I127&gt;0,K127/I127,0)</f>
        <v>1.0</v>
      </c>
      <c r="R127" s="24" t="str">
        <f>IF(I127&lt;=0,"Sin PIM",IF(L127/I127&gt;=Config!$B$5,"Ejecutado",IF(K127/I127&gt;=Config!$B$6,"Mayormente comprometido",IF(K127&gt;0.005,"Parcialmente comprometido",IF(J127&gt;0.005,"Solo certificado","Sin certificar")))))</f>
        <v>Mayormente comprometido</v>
      </c>
      <c r="S127" s="24" t="str">
        <f>IF(R127="Sin certificar","Disponible",IF(R127="Solo certificado","Posible",IF(R127="Parcialmente comprometido","Parcial",IF(R127="Mayormente comprometido","Difícil",IF(R127="Ejecutado","No usar","Sin PIM")))))</f>
        <v>Difícil</v>
      </c>
      <c r="T127" s="26">
        <f>IF(OR(I127&lt;=0,R127="Ejecutado"),0,MAX(0,I127-K127))</f>
        <v>0.0</v>
      </c>
      <c r="U127" s="24" t="s">
        <v>105</v>
      </c>
      <c r="V127" s="25">
        <v>4000000</v>
      </c>
      <c r="W127" s="25">
        <v>8256356</v>
      </c>
      <c r="X127" s="25">
        <v>4200001</v>
      </c>
      <c r="Y127" s="25">
        <v>103192</v>
      </c>
      <c r="Z127" s="24" t="s">
        <v>63</v>
      </c>
      <c r="AA127" s="24" t="s">
        <v>63</v>
      </c>
      <c r="AB127" s="24" t="s">
        <v>63</v>
      </c>
      <c r="AC127" s="24" t="s">
        <v>101</v>
      </c>
    </row>
    <row r="128" spans="1:29">
      <c r="A128" s="24" t="s">
        <v>54</v>
      </c>
      <c r="B128" s="24" t="s">
        <v>55</v>
      </c>
      <c r="C128" s="24" t="s">
        <v>56</v>
      </c>
      <c r="D128" s="24" t="s">
        <v>404</v>
      </c>
      <c r="E128" s="24" t="s">
        <v>242</v>
      </c>
      <c r="F128" s="24" t="s">
        <v>470</v>
      </c>
      <c r="G128" s="24" t="s">
        <v>471</v>
      </c>
      <c r="H128" s="27" t="s">
        <v>472</v>
      </c>
      <c r="I128" s="25">
        <v>6912542</v>
      </c>
      <c r="J128" s="25">
        <v>6855594.060000001</v>
      </c>
      <c r="K128" s="25">
        <v>5864788.6</v>
      </c>
      <c r="L128" s="25">
        <v>4377038.86</v>
      </c>
      <c r="M128" s="26">
        <f>I128-J128</f>
        <v>56947.93999999948</v>
      </c>
      <c r="N128" s="26">
        <f>J128-K128</f>
        <v>990805.4600000009</v>
      </c>
      <c r="O128" s="26">
        <f>I128-L128</f>
        <v>2535503.1399999997</v>
      </c>
      <c r="P128" s="28">
        <f>IF(I128&gt;0,L128/I128,0)</f>
        <v>0.6332024977208096</v>
      </c>
      <c r="Q128" s="28">
        <f>IF(I128&gt;0,K128/I128,0)</f>
        <v>0.8484271921964451</v>
      </c>
      <c r="R128" s="24" t="str">
        <f>IF(I128&lt;=0,"Sin PIM",IF(L128/I128&gt;=Config!$B$5,"Ejecutado",IF(K128/I128&gt;=Config!$B$6,"Mayormente comprometido",IF(K128&gt;0.005,"Parcialmente comprometido",IF(J128&gt;0.005,"Solo certificado","Sin certificar")))))</f>
        <v>Mayormente comprometido</v>
      </c>
      <c r="S128" s="24" t="str">
        <f>IF(R128="Sin certificar","Disponible",IF(R128="Solo certificado","Posible",IF(R128="Parcialmente comprometido","Parcial",IF(R128="Mayormente comprometido","Difícil",IF(R128="Ejecutado","No usar","Sin PIM")))))</f>
        <v>Difícil</v>
      </c>
      <c r="T128" s="26">
        <f>IF(OR(I128&lt;=0,R128="Ejecutado"),0,MAX(0,I128-K128))</f>
        <v>1047753.4000000004</v>
      </c>
      <c r="U128" s="24" t="s">
        <v>96</v>
      </c>
      <c r="V128" s="25">
        <v>3160785</v>
      </c>
      <c r="W128" s="25">
        <v>5000000</v>
      </c>
      <c r="X128" s="25">
        <v>0</v>
      </c>
      <c r="Y128" s="25">
        <v>1000000</v>
      </c>
      <c r="Z128" s="24" t="s">
        <v>63</v>
      </c>
      <c r="AA128" s="24" t="s">
        <v>63</v>
      </c>
      <c r="AB128" s="24" t="s">
        <v>63</v>
      </c>
      <c r="AC128" s="24" t="s">
        <v>70</v>
      </c>
    </row>
    <row r="129" spans="1:29">
      <c r="A129" s="24" t="s">
        <v>54</v>
      </c>
      <c r="B129" s="24" t="s">
        <v>55</v>
      </c>
      <c r="C129" s="24" t="s">
        <v>56</v>
      </c>
      <c r="D129" s="24" t="s">
        <v>404</v>
      </c>
      <c r="E129" s="24" t="s">
        <v>242</v>
      </c>
      <c r="F129" s="24" t="s">
        <v>473</v>
      </c>
      <c r="G129" s="24" t="s">
        <v>474</v>
      </c>
      <c r="H129" s="27" t="s">
        <v>475</v>
      </c>
      <c r="I129" s="25">
        <v>3796481</v>
      </c>
      <c r="J129" s="25">
        <v>3705791.48</v>
      </c>
      <c r="K129" s="25">
        <v>3372727.48</v>
      </c>
      <c r="L129" s="25">
        <v>1897532.92</v>
      </c>
      <c r="M129" s="26">
        <f>I129-J129</f>
        <v>90689.52000000002</v>
      </c>
      <c r="N129" s="26">
        <f>J129-K129</f>
        <v>333064.0</v>
      </c>
      <c r="O129" s="26">
        <f>I129-L129</f>
        <v>1898948.08</v>
      </c>
      <c r="P129" s="28">
        <f>IF(I129&gt;0,L129/I129,0)</f>
        <v>0.4998136221411354</v>
      </c>
      <c r="Q129" s="28">
        <f>IF(I129&gt;0,K129/I129,0)</f>
        <v>0.8883825521581696</v>
      </c>
      <c r="R129" s="24" t="str">
        <f>IF(I129&lt;=0,"Sin PIM",IF(L129/I129&gt;=Config!$B$5,"Ejecutado",IF(K129/I129&gt;=Config!$B$6,"Mayormente comprometido",IF(K129&gt;0.005,"Parcialmente comprometido",IF(J129&gt;0.005,"Solo certificado","Sin certificar")))))</f>
        <v>Mayormente comprometido</v>
      </c>
      <c r="S129" s="24" t="str">
        <f>IF(R129="Sin certificar","Disponible",IF(R129="Solo certificado","Posible",IF(R129="Parcialmente comprometido","Parcial",IF(R129="Mayormente comprometido","Difícil",IF(R129="Ejecutado","No usar","Sin PIM")))))</f>
        <v>Difícil</v>
      </c>
      <c r="T129" s="26">
        <f>IF(OR(I129&lt;=0,R129="Ejecutado"),0,MAX(0,I129-K129))</f>
        <v>423753.52</v>
      </c>
      <c r="U129" s="24" t="s">
        <v>96</v>
      </c>
      <c r="V129" s="25">
        <v>3796481</v>
      </c>
      <c r="W129" s="25">
        <v>1394507</v>
      </c>
      <c r="X129" s="25">
        <v>0</v>
      </c>
      <c r="Y129" s="25">
        <v>0</v>
      </c>
      <c r="Z129" s="24" t="s">
        <v>63</v>
      </c>
      <c r="AA129" s="24" t="s">
        <v>63</v>
      </c>
      <c r="AB129" s="24" t="s">
        <v>63</v>
      </c>
      <c r="AC129" s="24" t="s">
        <v>101</v>
      </c>
    </row>
    <row r="130" spans="1:29">
      <c r="A130" s="24" t="s">
        <v>54</v>
      </c>
      <c r="B130" s="24" t="s">
        <v>55</v>
      </c>
      <c r="C130" s="24" t="s">
        <v>56</v>
      </c>
      <c r="D130" s="24" t="s">
        <v>404</v>
      </c>
      <c r="E130" s="24" t="s">
        <v>476</v>
      </c>
      <c r="F130" s="24" t="s">
        <v>477</v>
      </c>
      <c r="G130" s="24" t="s">
        <v>478</v>
      </c>
      <c r="H130" s="27" t="s">
        <v>479</v>
      </c>
      <c r="I130" s="25">
        <v>11000</v>
      </c>
      <c r="J130" s="25">
        <v>11000</v>
      </c>
      <c r="K130" s="25">
        <v>0</v>
      </c>
      <c r="L130" s="25">
        <v>0</v>
      </c>
      <c r="M130" s="26">
        <f>I130-J130</f>
        <v>0.0</v>
      </c>
      <c r="N130" s="26">
        <f>J130-K130</f>
        <v>11000.0</v>
      </c>
      <c r="O130" s="26">
        <f>I130-L130</f>
        <v>11000.0</v>
      </c>
      <c r="P130" s="28">
        <f>IF(I130&gt;0,L130/I130,0)</f>
        <v>0.0</v>
      </c>
      <c r="Q130" s="28">
        <f>IF(I130&gt;0,K130/I130,0)</f>
        <v>0.0</v>
      </c>
      <c r="R130" s="24" t="str">
        <f>IF(I130&lt;=0,"Sin PIM",IF(L130/I130&gt;=Config!$B$5,"Ejecutado",IF(K130/I130&gt;=Config!$B$6,"Mayormente comprometido",IF(K130&gt;0.005,"Parcialmente comprometido",IF(J130&gt;0.005,"Solo certificado","Sin certificar")))))</f>
        <v>Solo certificado</v>
      </c>
      <c r="S130" s="24" t="str">
        <f>IF(R130="Sin certificar","Disponible",IF(R130="Solo certificado","Posible",IF(R130="Parcialmente comprometido","Parcial",IF(R130="Mayormente comprometido","Difícil",IF(R130="Ejecutado","No usar","Sin PIM")))))</f>
        <v>Posible</v>
      </c>
      <c r="T130" s="26">
        <f>IF(OR(I130&lt;=0,R130="Ejecutado"),0,MAX(0,I130-K130))</f>
        <v>11000.0</v>
      </c>
      <c r="U130" s="24" t="s">
        <v>480</v>
      </c>
      <c r="V130" s="24" t="s">
        <v>69</v>
      </c>
      <c r="W130" s="24" t="s">
        <v>69</v>
      </c>
      <c r="X130" s="24" t="s">
        <v>69</v>
      </c>
      <c r="Y130" s="24" t="s">
        <v>69</v>
      </c>
      <c r="Z130" s="24" t="s">
        <v>63</v>
      </c>
      <c r="AA130" s="24" t="s">
        <v>63</v>
      </c>
      <c r="AB130" s="24" t="s">
        <v>63</v>
      </c>
      <c r="AC130" s="24" t="s">
        <v>63</v>
      </c>
    </row>
    <row r="131" spans="1:29">
      <c r="A131" s="24" t="s">
        <v>54</v>
      </c>
      <c r="B131" s="24" t="s">
        <v>55</v>
      </c>
      <c r="C131" s="24" t="s">
        <v>56</v>
      </c>
      <c r="D131" s="24" t="s">
        <v>481</v>
      </c>
      <c r="E131" s="24" t="s">
        <v>58</v>
      </c>
      <c r="F131" s="24" t="s">
        <v>482</v>
      </c>
      <c r="G131" s="24" t="s">
        <v>483</v>
      </c>
      <c r="H131" s="27" t="s">
        <v>484</v>
      </c>
      <c r="I131" s="25">
        <v>123816</v>
      </c>
      <c r="J131" s="25">
        <v>123816</v>
      </c>
      <c r="K131" s="25">
        <v>123816</v>
      </c>
      <c r="L131" s="25">
        <v>113941.65</v>
      </c>
      <c r="M131" s="26">
        <f>I131-J131</f>
        <v>0.0</v>
      </c>
      <c r="N131" s="26">
        <f>J131-K131</f>
        <v>0.0</v>
      </c>
      <c r="O131" s="26">
        <f>I131-L131</f>
        <v>9874.349999999991</v>
      </c>
      <c r="P131" s="28">
        <f>IF(I131&gt;0,L131/I131,0)</f>
        <v>0.9202498061639853</v>
      </c>
      <c r="Q131" s="28">
        <f>IF(I131&gt;0,K131/I131,0)</f>
        <v>1.0</v>
      </c>
      <c r="R131" s="24" t="str">
        <f>IF(I131&lt;=0,"Sin PIM",IF(L131/I131&gt;=Config!$B$5,"Ejecutado",IF(K131/I131&gt;=Config!$B$6,"Mayormente comprometido",IF(K131&gt;0.005,"Parcialmente comprometido",IF(J131&gt;0.005,"Solo certificado","Sin certificar")))))</f>
        <v>Ejecutado</v>
      </c>
      <c r="S131" s="24" t="str">
        <f>IF(R131="Sin certificar","Disponible",IF(R131="Solo certificado","Posible",IF(R131="Parcialmente comprometido","Parcial",IF(R131="Mayormente comprometido","Difícil",IF(R131="Ejecutado","No usar","Sin PIM")))))</f>
        <v>No usar</v>
      </c>
      <c r="T131" s="26">
        <f>IF(OR(I131&lt;=0,R131="Ejecutado"),0,MAX(0,I131-K131))</f>
        <v>0.0</v>
      </c>
      <c r="U131" s="24" t="s">
        <v>123</v>
      </c>
      <c r="V131" s="25">
        <v>111816</v>
      </c>
      <c r="W131" s="25">
        <v>978654</v>
      </c>
      <c r="X131" s="25">
        <v>625659</v>
      </c>
      <c r="Y131" s="25">
        <v>0</v>
      </c>
      <c r="Z131" s="24" t="s">
        <v>63</v>
      </c>
      <c r="AA131" s="24" t="s">
        <v>63</v>
      </c>
      <c r="AB131" s="24" t="s">
        <v>63</v>
      </c>
      <c r="AC131" s="24" t="s">
        <v>124</v>
      </c>
    </row>
    <row r="132" spans="1:29">
      <c r="A132" s="24" t="s">
        <v>54</v>
      </c>
      <c r="B132" s="24" t="s">
        <v>55</v>
      </c>
      <c r="C132" s="24" t="s">
        <v>56</v>
      </c>
      <c r="D132" s="24" t="s">
        <v>481</v>
      </c>
      <c r="E132" s="24" t="s">
        <v>58</v>
      </c>
      <c r="F132" s="24" t="s">
        <v>485</v>
      </c>
      <c r="G132" s="24" t="s">
        <v>486</v>
      </c>
      <c r="H132" s="27" t="s">
        <v>487</v>
      </c>
      <c r="I132" s="25">
        <v>0</v>
      </c>
      <c r="J132" s="25">
        <v>0</v>
      </c>
      <c r="K132" s="25">
        <v>0</v>
      </c>
      <c r="L132" s="25">
        <v>0</v>
      </c>
      <c r="M132" s="26">
        <f>I132-J132</f>
        <v>0.0</v>
      </c>
      <c r="N132" s="26">
        <f>J132-K132</f>
        <v>0.0</v>
      </c>
      <c r="O132" s="26">
        <f>I132-L132</f>
        <v>0.0</v>
      </c>
      <c r="P132" s="28">
        <f>IF(I132&gt;0,L132/I132,0)</f>
        <v>0</v>
      </c>
      <c r="Q132" s="28">
        <f>IF(I132&gt;0,K132/I132,0)</f>
        <v>0</v>
      </c>
      <c r="R132" s="24" t="str">
        <f>IF(I132&lt;=0,"Sin PIM",IF(L132/I132&gt;=Config!$B$5,"Ejecutado",IF(K132/I132&gt;=Config!$B$6,"Mayormente comprometido",IF(K132&gt;0.005,"Parcialmente comprometido",IF(J132&gt;0.005,"Solo certificado","Sin certificar")))))</f>
        <v>Sin PIM</v>
      </c>
      <c r="S132" s="24" t="str">
        <f>IF(R132="Sin certificar","Disponible",IF(R132="Solo certificado","Posible",IF(R132="Parcialmente comprometido","Parcial",IF(R132="Mayormente comprometido","Difícil",IF(R132="Ejecutado","No usar","Sin PIM")))))</f>
        <v>Sin PIM</v>
      </c>
      <c r="T132" s="26">
        <f>IF(OR(I132&lt;=0,R132="Ejecutado"),0,MAX(0,I132-K132))</f>
        <v>0.0</v>
      </c>
      <c r="U132" s="24" t="s">
        <v>488</v>
      </c>
      <c r="V132" s="24" t="s">
        <v>69</v>
      </c>
      <c r="W132" s="24" t="s">
        <v>69</v>
      </c>
      <c r="X132" s="24" t="s">
        <v>69</v>
      </c>
      <c r="Y132" s="24" t="s">
        <v>69</v>
      </c>
      <c r="Z132" s="24" t="s">
        <v>63</v>
      </c>
      <c r="AA132" s="24" t="s">
        <v>63</v>
      </c>
      <c r="AB132" s="24" t="s">
        <v>63</v>
      </c>
      <c r="AC132" s="24" t="s">
        <v>63</v>
      </c>
    </row>
    <row r="133" spans="1:29">
      <c r="A133" s="24" t="s">
        <v>54</v>
      </c>
      <c r="B133" s="24" t="s">
        <v>55</v>
      </c>
      <c r="C133" s="24" t="s">
        <v>56</v>
      </c>
      <c r="D133" s="24" t="s">
        <v>481</v>
      </c>
      <c r="E133" s="24" t="s">
        <v>58</v>
      </c>
      <c r="F133" s="24" t="s">
        <v>489</v>
      </c>
      <c r="G133" s="24" t="s">
        <v>490</v>
      </c>
      <c r="H133" s="27" t="s">
        <v>491</v>
      </c>
      <c r="I133" s="25">
        <v>150000</v>
      </c>
      <c r="J133" s="25">
        <v>150000</v>
      </c>
      <c r="K133" s="25">
        <v>150000</v>
      </c>
      <c r="L133" s="25">
        <v>0</v>
      </c>
      <c r="M133" s="26">
        <f>I133-J133</f>
        <v>0.0</v>
      </c>
      <c r="N133" s="26">
        <f>J133-K133</f>
        <v>0.0</v>
      </c>
      <c r="O133" s="26">
        <f>I133-L133</f>
        <v>150000.0</v>
      </c>
      <c r="P133" s="28">
        <f>IF(I133&gt;0,L133/I133,0)</f>
        <v>0.0</v>
      </c>
      <c r="Q133" s="28">
        <f>IF(I133&gt;0,K133/I133,0)</f>
        <v>1.0</v>
      </c>
      <c r="R133" s="24" t="str">
        <f>IF(I133&lt;=0,"Sin PIM",IF(L133/I133&gt;=Config!$B$5,"Ejecutado",IF(K133/I133&gt;=Config!$B$6,"Mayormente comprometido",IF(K133&gt;0.005,"Parcialmente comprometido",IF(J133&gt;0.005,"Solo certificado","Sin certificar")))))</f>
        <v>Mayormente comprometido</v>
      </c>
      <c r="S133" s="24" t="str">
        <f>IF(R133="Sin certificar","Disponible",IF(R133="Solo certificado","Posible",IF(R133="Parcialmente comprometido","Parcial",IF(R133="Mayormente comprometido","Difícil",IF(R133="Ejecutado","No usar","Sin PIM")))))</f>
        <v>Difícil</v>
      </c>
      <c r="T133" s="26">
        <f>IF(OR(I133&lt;=0,R133="Ejecutado"),0,MAX(0,I133-K133))</f>
        <v>0.0</v>
      </c>
      <c r="U133" s="24" t="s">
        <v>123</v>
      </c>
      <c r="V133" s="25">
        <v>150000</v>
      </c>
      <c r="W133" s="25">
        <v>0</v>
      </c>
      <c r="X133" s="25">
        <v>0</v>
      </c>
      <c r="Y133" s="25">
        <v>1000000</v>
      </c>
      <c r="Z133" s="24" t="s">
        <v>63</v>
      </c>
      <c r="AA133" s="24" t="s">
        <v>63</v>
      </c>
      <c r="AB133" s="24" t="s">
        <v>63</v>
      </c>
      <c r="AC133" s="24" t="s">
        <v>63</v>
      </c>
    </row>
    <row r="134" spans="1:29">
      <c r="A134" s="24" t="s">
        <v>54</v>
      </c>
      <c r="B134" s="24" t="s">
        <v>55</v>
      </c>
      <c r="C134" s="24" t="s">
        <v>56</v>
      </c>
      <c r="D134" s="24" t="s">
        <v>481</v>
      </c>
      <c r="E134" s="24" t="s">
        <v>71</v>
      </c>
      <c r="F134" s="24" t="s">
        <v>492</v>
      </c>
      <c r="G134" s="24" t="s">
        <v>493</v>
      </c>
      <c r="H134" s="27" t="s">
        <v>494</v>
      </c>
      <c r="I134" s="25">
        <v>57442</v>
      </c>
      <c r="J134" s="25">
        <v>57136.9</v>
      </c>
      <c r="K134" s="25">
        <v>57136.9</v>
      </c>
      <c r="L134" s="25">
        <v>54415.03</v>
      </c>
      <c r="M134" s="26">
        <f>I134-J134</f>
        <v>305.09999999999854</v>
      </c>
      <c r="N134" s="26">
        <f>J134-K134</f>
        <v>0.0</v>
      </c>
      <c r="O134" s="26">
        <f>I134-L134</f>
        <v>3026.970000000001</v>
      </c>
      <c r="P134" s="28">
        <f>IF(I134&gt;0,L134/I134,0)</f>
        <v>0.9473038891403502</v>
      </c>
      <c r="Q134" s="28">
        <f>IF(I134&gt;0,K134/I134,0)</f>
        <v>0.9946885554124161</v>
      </c>
      <c r="R134" s="24" t="str">
        <f>IF(I134&lt;=0,"Sin PIM",IF(L134/I134&gt;=Config!$B$5,"Ejecutado",IF(K134/I134&gt;=Config!$B$6,"Mayormente comprometido",IF(K134&gt;0.005,"Parcialmente comprometido",IF(J134&gt;0.005,"Solo certificado","Sin certificar")))))</f>
        <v>Ejecutado</v>
      </c>
      <c r="S134" s="24" t="str">
        <f>IF(R134="Sin certificar","Disponible",IF(R134="Solo certificado","Posible",IF(R134="Parcialmente comprometido","Parcial",IF(R134="Mayormente comprometido","Difícil",IF(R134="Ejecutado","No usar","Sin PIM")))))</f>
        <v>No usar</v>
      </c>
      <c r="T134" s="26">
        <f>IF(OR(I134&lt;=0,R134="Ejecutado"),0,MAX(0,I134-K134))</f>
        <v>0.0</v>
      </c>
      <c r="U134" s="24" t="s">
        <v>123</v>
      </c>
      <c r="V134" s="25">
        <v>1500000</v>
      </c>
      <c r="W134" s="25">
        <v>2568954</v>
      </c>
      <c r="X134" s="25">
        <v>0</v>
      </c>
      <c r="Y134" s="25">
        <v>500000</v>
      </c>
      <c r="Z134" s="24" t="s">
        <v>63</v>
      </c>
      <c r="AA134" s="24" t="s">
        <v>63</v>
      </c>
      <c r="AB134" s="24" t="s">
        <v>63</v>
      </c>
      <c r="AC134" s="24" t="s">
        <v>101</v>
      </c>
    </row>
    <row r="135" spans="1:29">
      <c r="A135" s="24" t="s">
        <v>54</v>
      </c>
      <c r="B135" s="24" t="s">
        <v>55</v>
      </c>
      <c r="C135" s="24" t="s">
        <v>56</v>
      </c>
      <c r="D135" s="24" t="s">
        <v>481</v>
      </c>
      <c r="E135" s="24" t="s">
        <v>71</v>
      </c>
      <c r="F135" s="24" t="s">
        <v>495</v>
      </c>
      <c r="G135" s="24" t="s">
        <v>496</v>
      </c>
      <c r="H135" s="27" t="s">
        <v>497</v>
      </c>
      <c r="I135" s="25">
        <v>53010</v>
      </c>
      <c r="J135" s="25">
        <v>24506.97</v>
      </c>
      <c r="K135" s="25">
        <v>24506.97</v>
      </c>
      <c r="L135" s="25">
        <v>24506.97</v>
      </c>
      <c r="M135" s="26">
        <f>I135-J135</f>
        <v>28503.03</v>
      </c>
      <c r="N135" s="26">
        <f>J135-K135</f>
        <v>0.0</v>
      </c>
      <c r="O135" s="26">
        <f>I135-L135</f>
        <v>28503.03</v>
      </c>
      <c r="P135" s="28">
        <f>IF(I135&gt;0,L135/I135,0)</f>
        <v>0.46230843237125074</v>
      </c>
      <c r="Q135" s="28">
        <f>IF(I135&gt;0,K135/I135,0)</f>
        <v>0.46230843237125074</v>
      </c>
      <c r="R135" s="24" t="str">
        <f>IF(I135&lt;=0,"Sin PIM",IF(L135/I135&gt;=Config!$B$5,"Ejecutado",IF(K135/I135&gt;=Config!$B$6,"Mayormente comprometido",IF(K135&gt;0.005,"Parcialmente comprometido",IF(J135&gt;0.005,"Solo certificado","Sin certificar")))))</f>
        <v>Parcialmente comprometido</v>
      </c>
      <c r="S135" s="24" t="str">
        <f>IF(R135="Sin certificar","Disponible",IF(R135="Solo certificado","Posible",IF(R135="Parcialmente comprometido","Parcial",IF(R135="Mayormente comprometido","Difícil",IF(R135="Ejecutado","No usar","Sin PIM")))))</f>
        <v>Parcial</v>
      </c>
      <c r="T135" s="26">
        <f>IF(OR(I135&lt;=0,R135="Ejecutado"),0,MAX(0,I135-K135))</f>
        <v>28503.03</v>
      </c>
      <c r="U135" s="24" t="s">
        <v>123</v>
      </c>
      <c r="V135" s="25">
        <v>100000</v>
      </c>
      <c r="W135" s="25">
        <v>1254675</v>
      </c>
      <c r="X135" s="25">
        <v>0</v>
      </c>
      <c r="Y135" s="25">
        <v>747276</v>
      </c>
      <c r="Z135" s="24" t="s">
        <v>63</v>
      </c>
      <c r="AA135" s="24" t="s">
        <v>63</v>
      </c>
      <c r="AB135" s="24" t="s">
        <v>63</v>
      </c>
      <c r="AC135" s="24" t="s">
        <v>101</v>
      </c>
    </row>
    <row r="136" spans="1:29">
      <c r="A136" s="24" t="s">
        <v>54</v>
      </c>
      <c r="B136" s="24" t="s">
        <v>55</v>
      </c>
      <c r="C136" s="24" t="s">
        <v>56</v>
      </c>
      <c r="D136" s="24" t="s">
        <v>481</v>
      </c>
      <c r="E136" s="24" t="s">
        <v>71</v>
      </c>
      <c r="F136" s="24" t="s">
        <v>498</v>
      </c>
      <c r="G136" s="24" t="s">
        <v>499</v>
      </c>
      <c r="H136" s="27" t="s">
        <v>500</v>
      </c>
      <c r="I136" s="25">
        <v>40486</v>
      </c>
      <c r="J136" s="25">
        <v>40486</v>
      </c>
      <c r="K136" s="25">
        <v>40486</v>
      </c>
      <c r="L136" s="25">
        <v>25380.63</v>
      </c>
      <c r="M136" s="26">
        <f>I136-J136</f>
        <v>0.0</v>
      </c>
      <c r="N136" s="26">
        <f>J136-K136</f>
        <v>0.0</v>
      </c>
      <c r="O136" s="26">
        <f>I136-L136</f>
        <v>15105.369999999999</v>
      </c>
      <c r="P136" s="28">
        <f>IF(I136&gt;0,L136/I136,0)</f>
        <v>0.6268989280245023</v>
      </c>
      <c r="Q136" s="28">
        <f>IF(I136&gt;0,K136/I136,0)</f>
        <v>1.0</v>
      </c>
      <c r="R136" s="24" t="str">
        <f>IF(I136&lt;=0,"Sin PIM",IF(L136/I136&gt;=Config!$B$5,"Ejecutado",IF(K136/I136&gt;=Config!$B$6,"Mayormente comprometido",IF(K136&gt;0.005,"Parcialmente comprometido",IF(J136&gt;0.005,"Solo certificado","Sin certificar")))))</f>
        <v>Mayormente comprometido</v>
      </c>
      <c r="S136" s="24" t="str">
        <f>IF(R136="Sin certificar","Disponible",IF(R136="Solo certificado","Posible",IF(R136="Parcialmente comprometido","Parcial",IF(R136="Mayormente comprometido","Difícil",IF(R136="Ejecutado","No usar","Sin PIM")))))</f>
        <v>Difícil</v>
      </c>
      <c r="T136" s="26">
        <f>IF(OR(I136&lt;=0,R136="Ejecutado"),0,MAX(0,I136-K136))</f>
        <v>0.0</v>
      </c>
      <c r="U136" s="24" t="s">
        <v>123</v>
      </c>
      <c r="V136" s="25">
        <v>100000</v>
      </c>
      <c r="W136" s="25">
        <v>0</v>
      </c>
      <c r="X136" s="25">
        <v>0</v>
      </c>
      <c r="Y136" s="25">
        <v>1247609</v>
      </c>
      <c r="Z136" s="24" t="s">
        <v>63</v>
      </c>
      <c r="AA136" s="24" t="s">
        <v>63</v>
      </c>
      <c r="AB136" s="24" t="s">
        <v>63</v>
      </c>
      <c r="AC136" s="24" t="s">
        <v>101</v>
      </c>
    </row>
    <row r="137" spans="1:29">
      <c r="A137" s="24" t="s">
        <v>54</v>
      </c>
      <c r="B137" s="24" t="s">
        <v>55</v>
      </c>
      <c r="C137" s="24" t="s">
        <v>56</v>
      </c>
      <c r="D137" s="24" t="s">
        <v>481</v>
      </c>
      <c r="E137" s="24" t="s">
        <v>71</v>
      </c>
      <c r="F137" s="24" t="s">
        <v>501</v>
      </c>
      <c r="G137" s="24" t="s">
        <v>502</v>
      </c>
      <c r="H137" s="27" t="s">
        <v>503</v>
      </c>
      <c r="I137" s="25">
        <v>350000</v>
      </c>
      <c r="J137" s="25">
        <v>350000</v>
      </c>
      <c r="K137" s="25">
        <v>350000</v>
      </c>
      <c r="L137" s="25">
        <v>163264.48</v>
      </c>
      <c r="M137" s="26">
        <f>I137-J137</f>
        <v>0.0</v>
      </c>
      <c r="N137" s="26">
        <f>J137-K137</f>
        <v>0.0</v>
      </c>
      <c r="O137" s="26">
        <f>I137-L137</f>
        <v>186735.52000000002</v>
      </c>
      <c r="P137" s="28">
        <f>IF(I137&gt;0,L137/I137,0)</f>
        <v>0.4664699428571428</v>
      </c>
      <c r="Q137" s="28">
        <f>IF(I137&gt;0,K137/I137,0)</f>
        <v>1.0</v>
      </c>
      <c r="R137" s="24" t="str">
        <f>IF(I137&lt;=0,"Sin PIM",IF(L137/I137&gt;=Config!$B$5,"Ejecutado",IF(K137/I137&gt;=Config!$B$6,"Mayormente comprometido",IF(K137&gt;0.005,"Parcialmente comprometido",IF(J137&gt;0.005,"Solo certificado","Sin certificar")))))</f>
        <v>Mayormente comprometido</v>
      </c>
      <c r="S137" s="24" t="str">
        <f>IF(R137="Sin certificar","Disponible",IF(R137="Solo certificado","Posible",IF(R137="Parcialmente comprometido","Parcial",IF(R137="Mayormente comprometido","Difícil",IF(R137="Ejecutado","No usar","Sin PIM")))))</f>
        <v>Difícil</v>
      </c>
      <c r="T137" s="26">
        <f>IF(OR(I137&lt;=0,R137="Ejecutado"),0,MAX(0,I137-K137))</f>
        <v>0.0</v>
      </c>
      <c r="U137" s="24" t="s">
        <v>123</v>
      </c>
      <c r="V137" s="25">
        <v>350000</v>
      </c>
      <c r="W137" s="25">
        <v>575452</v>
      </c>
      <c r="X137" s="25">
        <v>0</v>
      </c>
      <c r="Y137" s="25">
        <v>1000000</v>
      </c>
      <c r="Z137" s="24" t="s">
        <v>63</v>
      </c>
      <c r="AA137" s="24" t="s">
        <v>63</v>
      </c>
      <c r="AB137" s="24" t="s">
        <v>63</v>
      </c>
      <c r="AC137" s="24" t="s">
        <v>124</v>
      </c>
    </row>
    <row r="138" spans="1:29">
      <c r="A138" s="24" t="s">
        <v>54</v>
      </c>
      <c r="B138" s="24" t="s">
        <v>55</v>
      </c>
      <c r="C138" s="24" t="s">
        <v>56</v>
      </c>
      <c r="D138" s="24" t="s">
        <v>481</v>
      </c>
      <c r="E138" s="24" t="s">
        <v>71</v>
      </c>
      <c r="F138" s="24" t="s">
        <v>504</v>
      </c>
      <c r="G138" s="24" t="s">
        <v>505</v>
      </c>
      <c r="H138" s="27" t="s">
        <v>506</v>
      </c>
      <c r="I138" s="25">
        <v>81646</v>
      </c>
      <c r="J138" s="25">
        <v>0</v>
      </c>
      <c r="K138" s="25">
        <v>0</v>
      </c>
      <c r="L138" s="25">
        <v>0</v>
      </c>
      <c r="M138" s="26">
        <f>I138-J138</f>
        <v>81646.0</v>
      </c>
      <c r="N138" s="26">
        <f>J138-K138</f>
        <v>0.0</v>
      </c>
      <c r="O138" s="26">
        <f>I138-L138</f>
        <v>81646.0</v>
      </c>
      <c r="P138" s="28">
        <f>IF(I138&gt;0,L138/I138,0)</f>
        <v>0.0</v>
      </c>
      <c r="Q138" s="28">
        <f>IF(I138&gt;0,K138/I138,0)</f>
        <v>0.0</v>
      </c>
      <c r="R138" s="24" t="str">
        <f>IF(I138&lt;=0,"Sin PIM",IF(L138/I138&gt;=Config!$B$5,"Ejecutado",IF(K138/I138&gt;=Config!$B$6,"Mayormente comprometido",IF(K138&gt;0.005,"Parcialmente comprometido",IF(J138&gt;0.005,"Solo certificado","Sin certificar")))))</f>
        <v>Sin certificar</v>
      </c>
      <c r="S138" s="24" t="str">
        <f>IF(R138="Sin certificar","Disponible",IF(R138="Solo certificado","Posible",IF(R138="Parcialmente comprometido","Parcial",IF(R138="Mayormente comprometido","Difícil",IF(R138="Ejecutado","No usar","Sin PIM")))))</f>
        <v>Disponible</v>
      </c>
      <c r="T138" s="26">
        <f>IF(OR(I138&lt;=0,R138="Ejecutado"),0,MAX(0,I138-K138))</f>
        <v>81646.0</v>
      </c>
      <c r="U138" s="24" t="s">
        <v>123</v>
      </c>
      <c r="V138" s="24" t="s">
        <v>69</v>
      </c>
      <c r="W138" s="24" t="s">
        <v>69</v>
      </c>
      <c r="X138" s="24" t="s">
        <v>69</v>
      </c>
      <c r="Y138" s="24" t="s">
        <v>69</v>
      </c>
      <c r="Z138" s="24" t="s">
        <v>63</v>
      </c>
      <c r="AA138" s="24" t="s">
        <v>63</v>
      </c>
      <c r="AB138" s="24" t="s">
        <v>63</v>
      </c>
      <c r="AC138" s="24" t="s">
        <v>124</v>
      </c>
    </row>
    <row r="139" spans="1:29">
      <c r="A139" s="24" t="s">
        <v>54</v>
      </c>
      <c r="B139" s="24" t="s">
        <v>55</v>
      </c>
      <c r="C139" s="24" t="s">
        <v>56</v>
      </c>
      <c r="D139" s="24" t="s">
        <v>481</v>
      </c>
      <c r="E139" s="24" t="s">
        <v>71</v>
      </c>
      <c r="F139" s="24" t="s">
        <v>507</v>
      </c>
      <c r="G139" s="24" t="s">
        <v>508</v>
      </c>
      <c r="H139" s="27" t="s">
        <v>509</v>
      </c>
      <c r="I139" s="25">
        <v>292573</v>
      </c>
      <c r="J139" s="25">
        <v>0</v>
      </c>
      <c r="K139" s="25">
        <v>0</v>
      </c>
      <c r="L139" s="25">
        <v>0</v>
      </c>
      <c r="M139" s="26">
        <f>I139-J139</f>
        <v>292573.0</v>
      </c>
      <c r="N139" s="26">
        <f>J139-K139</f>
        <v>0.0</v>
      </c>
      <c r="O139" s="26">
        <f>I139-L139</f>
        <v>292573.0</v>
      </c>
      <c r="P139" s="28">
        <f>IF(I139&gt;0,L139/I139,0)</f>
        <v>0.0</v>
      </c>
      <c r="Q139" s="28">
        <f>IF(I139&gt;0,K139/I139,0)</f>
        <v>0.0</v>
      </c>
      <c r="R139" s="24" t="str">
        <f>IF(I139&lt;=0,"Sin PIM",IF(L139/I139&gt;=Config!$B$5,"Ejecutado",IF(K139/I139&gt;=Config!$B$6,"Mayormente comprometido",IF(K139&gt;0.005,"Parcialmente comprometido",IF(J139&gt;0.005,"Solo certificado","Sin certificar")))))</f>
        <v>Sin certificar</v>
      </c>
      <c r="S139" s="24" t="str">
        <f>IF(R139="Sin certificar","Disponible",IF(R139="Solo certificado","Posible",IF(R139="Parcialmente comprometido","Parcial",IF(R139="Mayormente comprometido","Difícil",IF(R139="Ejecutado","No usar","Sin PIM")))))</f>
        <v>Disponible</v>
      </c>
      <c r="T139" s="26">
        <f>IF(OR(I139&lt;=0,R139="Ejecutado"),0,MAX(0,I139-K139))</f>
        <v>292573.0</v>
      </c>
      <c r="U139" s="24" t="s">
        <v>123</v>
      </c>
      <c r="V139" s="24" t="s">
        <v>69</v>
      </c>
      <c r="W139" s="24" t="s">
        <v>69</v>
      </c>
      <c r="X139" s="24" t="s">
        <v>69</v>
      </c>
      <c r="Y139" s="24" t="s">
        <v>69</v>
      </c>
      <c r="Z139" s="24" t="s">
        <v>63</v>
      </c>
      <c r="AA139" s="24" t="s">
        <v>63</v>
      </c>
      <c r="AB139" s="24" t="s">
        <v>63</v>
      </c>
      <c r="AC139" s="24" t="s">
        <v>63</v>
      </c>
    </row>
    <row r="140" spans="1:29">
      <c r="A140" s="24" t="s">
        <v>54</v>
      </c>
      <c r="B140" s="24" t="s">
        <v>55</v>
      </c>
      <c r="C140" s="24" t="s">
        <v>56</v>
      </c>
      <c r="D140" s="24" t="s">
        <v>481</v>
      </c>
      <c r="E140" s="24" t="s">
        <v>71</v>
      </c>
      <c r="F140" s="24" t="s">
        <v>510</v>
      </c>
      <c r="G140" s="24" t="s">
        <v>511</v>
      </c>
      <c r="H140" s="27" t="s">
        <v>512</v>
      </c>
      <c r="I140" s="25">
        <v>645412</v>
      </c>
      <c r="J140" s="25">
        <v>615249.5</v>
      </c>
      <c r="K140" s="25">
        <v>612652.4299999999</v>
      </c>
      <c r="L140" s="25">
        <v>558544.3099999999</v>
      </c>
      <c r="M140" s="26">
        <f>I140-J140</f>
        <v>30162.5</v>
      </c>
      <c r="N140" s="26">
        <f>J140-K140</f>
        <v>2597.070000000065</v>
      </c>
      <c r="O140" s="26">
        <f>I140-L140</f>
        <v>86867.69000000006</v>
      </c>
      <c r="P140" s="28">
        <f>IF(I140&gt;0,L140/I140,0)</f>
        <v>0.8654073831908919</v>
      </c>
      <c r="Q140" s="28">
        <f>IF(I140&gt;0,K140/I140,0)</f>
        <v>0.9492423909068934</v>
      </c>
      <c r="R140" s="24" t="str">
        <f>IF(I140&lt;=0,"Sin PIM",IF(L140/I140&gt;=Config!$B$5,"Ejecutado",IF(K140/I140&gt;=Config!$B$6,"Mayormente comprometido",IF(K140&gt;0.005,"Parcialmente comprometido",IF(J140&gt;0.005,"Solo certificado","Sin certificar")))))</f>
        <v>Mayormente comprometido</v>
      </c>
      <c r="S140" s="24" t="str">
        <f>IF(R140="Sin certificar","Disponible",IF(R140="Solo certificado","Posible",IF(R140="Parcialmente comprometido","Parcial",IF(R140="Mayormente comprometido","Difícil",IF(R140="Ejecutado","No usar","Sin PIM")))))</f>
        <v>Difícil</v>
      </c>
      <c r="T140" s="26">
        <f>IF(OR(I140&lt;=0,R140="Ejecutado"),0,MAX(0,I140-K140))</f>
        <v>32759.570000000065</v>
      </c>
      <c r="U140" s="24" t="s">
        <v>123</v>
      </c>
      <c r="V140" s="25">
        <v>300000</v>
      </c>
      <c r="W140" s="25">
        <v>6325512</v>
      </c>
      <c r="X140" s="25">
        <v>500000</v>
      </c>
      <c r="Y140" s="25">
        <v>3000000</v>
      </c>
      <c r="Z140" s="24" t="s">
        <v>63</v>
      </c>
      <c r="AA140" s="24" t="s">
        <v>63</v>
      </c>
      <c r="AB140" s="24" t="s">
        <v>63</v>
      </c>
      <c r="AC140" s="24" t="s">
        <v>124</v>
      </c>
    </row>
    <row r="141" spans="1:29">
      <c r="A141" s="24" t="s">
        <v>54</v>
      </c>
      <c r="B141" s="24" t="s">
        <v>55</v>
      </c>
      <c r="C141" s="24" t="s">
        <v>56</v>
      </c>
      <c r="D141" s="24" t="s">
        <v>481</v>
      </c>
      <c r="E141" s="24" t="s">
        <v>71</v>
      </c>
      <c r="F141" s="24" t="s">
        <v>513</v>
      </c>
      <c r="G141" s="24" t="s">
        <v>514</v>
      </c>
      <c r="H141" s="27" t="s">
        <v>515</v>
      </c>
      <c r="I141" s="25">
        <v>45161</v>
      </c>
      <c r="J141" s="25">
        <v>45161</v>
      </c>
      <c r="K141" s="25">
        <v>45161</v>
      </c>
      <c r="L141" s="25">
        <v>30772.66</v>
      </c>
      <c r="M141" s="26">
        <f>I141-J141</f>
        <v>0.0</v>
      </c>
      <c r="N141" s="26">
        <f>J141-K141</f>
        <v>0.0</v>
      </c>
      <c r="O141" s="26">
        <f>I141-L141</f>
        <v>14388.339999999997</v>
      </c>
      <c r="P141" s="28">
        <f>IF(I141&gt;0,L141/I141,0)</f>
        <v>0.6813989947078232</v>
      </c>
      <c r="Q141" s="28">
        <f>IF(I141&gt;0,K141/I141,0)</f>
        <v>1.0</v>
      </c>
      <c r="R141" s="24" t="str">
        <f>IF(I141&lt;=0,"Sin PIM",IF(L141/I141&gt;=Config!$B$5,"Ejecutado",IF(K141/I141&gt;=Config!$B$6,"Mayormente comprometido",IF(K141&gt;0.005,"Parcialmente comprometido",IF(J141&gt;0.005,"Solo certificado","Sin certificar")))))</f>
        <v>Mayormente comprometido</v>
      </c>
      <c r="S141" s="24" t="str">
        <f>IF(R141="Sin certificar","Disponible",IF(R141="Solo certificado","Posible",IF(R141="Parcialmente comprometido","Parcial",IF(R141="Mayormente comprometido","Difícil",IF(R141="Ejecutado","No usar","Sin PIM")))))</f>
        <v>Difícil</v>
      </c>
      <c r="T141" s="26">
        <f>IF(OR(I141&lt;=0,R141="Ejecutado"),0,MAX(0,I141-K141))</f>
        <v>0.0</v>
      </c>
      <c r="U141" s="24" t="s">
        <v>123</v>
      </c>
      <c r="V141" s="25">
        <v>45161</v>
      </c>
      <c r="W141" s="25">
        <v>254874</v>
      </c>
      <c r="X141" s="25">
        <v>133958</v>
      </c>
      <c r="Y141" s="25">
        <v>133958</v>
      </c>
      <c r="Z141" s="24" t="s">
        <v>63</v>
      </c>
      <c r="AA141" s="24" t="s">
        <v>63</v>
      </c>
      <c r="AB141" s="24" t="s">
        <v>63</v>
      </c>
      <c r="AC141" s="24" t="s">
        <v>124</v>
      </c>
    </row>
    <row r="142" spans="1:29">
      <c r="A142" s="24" t="s">
        <v>54</v>
      </c>
      <c r="B142" s="24" t="s">
        <v>55</v>
      </c>
      <c r="C142" s="24" t="s">
        <v>56</v>
      </c>
      <c r="D142" s="24" t="s">
        <v>481</v>
      </c>
      <c r="E142" s="24" t="s">
        <v>71</v>
      </c>
      <c r="F142" s="24" t="s">
        <v>516</v>
      </c>
      <c r="G142" s="24" t="s">
        <v>517</v>
      </c>
      <c r="H142" s="27" t="s">
        <v>518</v>
      </c>
      <c r="I142" s="25">
        <v>58627</v>
      </c>
      <c r="J142" s="25">
        <v>0</v>
      </c>
      <c r="K142" s="25">
        <v>0</v>
      </c>
      <c r="L142" s="25">
        <v>0</v>
      </c>
      <c r="M142" s="26">
        <f>I142-J142</f>
        <v>58627.0</v>
      </c>
      <c r="N142" s="26">
        <f>J142-K142</f>
        <v>0.0</v>
      </c>
      <c r="O142" s="26">
        <f>I142-L142</f>
        <v>58627.0</v>
      </c>
      <c r="P142" s="28">
        <f>IF(I142&gt;0,L142/I142,0)</f>
        <v>0.0</v>
      </c>
      <c r="Q142" s="28">
        <f>IF(I142&gt;0,K142/I142,0)</f>
        <v>0.0</v>
      </c>
      <c r="R142" s="24" t="str">
        <f>IF(I142&lt;=0,"Sin PIM",IF(L142/I142&gt;=Config!$B$5,"Ejecutado",IF(K142/I142&gt;=Config!$B$6,"Mayormente comprometido",IF(K142&gt;0.005,"Parcialmente comprometido",IF(J142&gt;0.005,"Solo certificado","Sin certificar")))))</f>
        <v>Sin certificar</v>
      </c>
      <c r="S142" s="24" t="str">
        <f>IF(R142="Sin certificar","Disponible",IF(R142="Solo certificado","Posible",IF(R142="Parcialmente comprometido","Parcial",IF(R142="Mayormente comprometido","Difícil",IF(R142="Ejecutado","No usar","Sin PIM")))))</f>
        <v>Disponible</v>
      </c>
      <c r="T142" s="26">
        <f>IF(OR(I142&lt;=0,R142="Ejecutado"),0,MAX(0,I142-K142))</f>
        <v>58627.0</v>
      </c>
      <c r="U142" s="24" t="s">
        <v>123</v>
      </c>
      <c r="V142" s="24" t="s">
        <v>69</v>
      </c>
      <c r="W142" s="24" t="s">
        <v>69</v>
      </c>
      <c r="X142" s="24" t="s">
        <v>69</v>
      </c>
      <c r="Y142" s="24" t="s">
        <v>69</v>
      </c>
      <c r="Z142" s="24" t="s">
        <v>63</v>
      </c>
      <c r="AA142" s="24" t="s">
        <v>63</v>
      </c>
      <c r="AB142" s="24" t="s">
        <v>63</v>
      </c>
      <c r="AC142" s="24" t="s">
        <v>63</v>
      </c>
    </row>
    <row r="143" spans="1:29">
      <c r="A143" s="24" t="s">
        <v>54</v>
      </c>
      <c r="B143" s="24" t="s">
        <v>55</v>
      </c>
      <c r="C143" s="24" t="s">
        <v>56</v>
      </c>
      <c r="D143" s="24" t="s">
        <v>481</v>
      </c>
      <c r="E143" s="24" t="s">
        <v>71</v>
      </c>
      <c r="F143" s="24" t="s">
        <v>519</v>
      </c>
      <c r="G143" s="24" t="s">
        <v>520</v>
      </c>
      <c r="H143" s="27" t="s">
        <v>521</v>
      </c>
      <c r="I143" s="25">
        <v>0</v>
      </c>
      <c r="J143" s="25">
        <v>0</v>
      </c>
      <c r="K143" s="25">
        <v>0</v>
      </c>
      <c r="L143" s="25">
        <v>0</v>
      </c>
      <c r="M143" s="26">
        <f>I143-J143</f>
        <v>0.0</v>
      </c>
      <c r="N143" s="26">
        <f>J143-K143</f>
        <v>0.0</v>
      </c>
      <c r="O143" s="26">
        <f>I143-L143</f>
        <v>0.0</v>
      </c>
      <c r="P143" s="28">
        <f>IF(I143&gt;0,L143/I143,0)</f>
        <v>0</v>
      </c>
      <c r="Q143" s="28">
        <f>IF(I143&gt;0,K143/I143,0)</f>
        <v>0</v>
      </c>
      <c r="R143" s="24" t="str">
        <f>IF(I143&lt;=0,"Sin PIM",IF(L143/I143&gt;=Config!$B$5,"Ejecutado",IF(K143/I143&gt;=Config!$B$6,"Mayormente comprometido",IF(K143&gt;0.005,"Parcialmente comprometido",IF(J143&gt;0.005,"Solo certificado","Sin certificar")))))</f>
        <v>Sin PIM</v>
      </c>
      <c r="S143" s="24" t="str">
        <f>IF(R143="Sin certificar","Disponible",IF(R143="Solo certificado","Posible",IF(R143="Parcialmente comprometido","Parcial",IF(R143="Mayormente comprometido","Difícil",IF(R143="Ejecutado","No usar","Sin PIM")))))</f>
        <v>Sin PIM</v>
      </c>
      <c r="T143" s="26">
        <f>IF(OR(I143&lt;=0,R143="Ejecutado"),0,MAX(0,I143-K143))</f>
        <v>0.0</v>
      </c>
      <c r="U143" s="24" t="s">
        <v>488</v>
      </c>
      <c r="V143" s="24" t="s">
        <v>69</v>
      </c>
      <c r="W143" s="24" t="s">
        <v>69</v>
      </c>
      <c r="X143" s="24" t="s">
        <v>69</v>
      </c>
      <c r="Y143" s="24" t="s">
        <v>69</v>
      </c>
      <c r="Z143" s="24" t="s">
        <v>63</v>
      </c>
      <c r="AA143" s="24" t="s">
        <v>63</v>
      </c>
      <c r="AB143" s="24" t="s">
        <v>63</v>
      </c>
      <c r="AC143" s="24" t="s">
        <v>63</v>
      </c>
    </row>
    <row r="144" spans="1:29">
      <c r="A144" s="24" t="s">
        <v>54</v>
      </c>
      <c r="B144" s="24" t="s">
        <v>55</v>
      </c>
      <c r="C144" s="24" t="s">
        <v>56</v>
      </c>
      <c r="D144" s="24" t="s">
        <v>481</v>
      </c>
      <c r="E144" s="24" t="s">
        <v>71</v>
      </c>
      <c r="F144" s="24" t="s">
        <v>522</v>
      </c>
      <c r="G144" s="24" t="s">
        <v>523</v>
      </c>
      <c r="H144" s="27" t="s">
        <v>524</v>
      </c>
      <c r="I144" s="25">
        <v>220496</v>
      </c>
      <c r="J144" s="25">
        <v>220392</v>
      </c>
      <c r="K144" s="25">
        <v>175392</v>
      </c>
      <c r="L144" s="25">
        <v>174510.41</v>
      </c>
      <c r="M144" s="26">
        <f>I144-J144</f>
        <v>104.0</v>
      </c>
      <c r="N144" s="26">
        <f>J144-K144</f>
        <v>45000.0</v>
      </c>
      <c r="O144" s="26">
        <f>I144-L144</f>
        <v>45985.59</v>
      </c>
      <c r="P144" s="28">
        <f>IF(I144&gt;0,L144/I144,0)</f>
        <v>0.7914447881140702</v>
      </c>
      <c r="Q144" s="28">
        <f>IF(I144&gt;0,K144/I144,0)</f>
        <v>0.7954430012335825</v>
      </c>
      <c r="R144" s="24" t="str">
        <f>IF(I144&lt;=0,"Sin PIM",IF(L144/I144&gt;=Config!$B$5,"Ejecutado",IF(K144/I144&gt;=Config!$B$6,"Mayormente comprometido",IF(K144&gt;0.005,"Parcialmente comprometido",IF(J144&gt;0.005,"Solo certificado","Sin certificar")))))</f>
        <v>Mayormente comprometido</v>
      </c>
      <c r="S144" s="24" t="str">
        <f>IF(R144="Sin certificar","Disponible",IF(R144="Solo certificado","Posible",IF(R144="Parcialmente comprometido","Parcial",IF(R144="Mayormente comprometido","Difícil",IF(R144="Ejecutado","No usar","Sin PIM")))))</f>
        <v>Difícil</v>
      </c>
      <c r="T144" s="26">
        <f>IF(OR(I144&lt;=0,R144="Ejecutado"),0,MAX(0,I144-K144))</f>
        <v>45104.0</v>
      </c>
      <c r="U144" s="24" t="s">
        <v>123</v>
      </c>
      <c r="V144" s="24" t="s">
        <v>69</v>
      </c>
      <c r="W144" s="24" t="s">
        <v>69</v>
      </c>
      <c r="X144" s="24" t="s">
        <v>69</v>
      </c>
      <c r="Y144" s="24" t="s">
        <v>69</v>
      </c>
      <c r="Z144" s="24" t="s">
        <v>63</v>
      </c>
      <c r="AA144" s="24" t="s">
        <v>63</v>
      </c>
      <c r="AB144" s="24" t="s">
        <v>63</v>
      </c>
      <c r="AC144" s="24" t="s">
        <v>124</v>
      </c>
    </row>
    <row r="145" spans="1:29">
      <c r="A145" s="24" t="s">
        <v>54</v>
      </c>
      <c r="B145" s="24" t="s">
        <v>55</v>
      </c>
      <c r="C145" s="24" t="s">
        <v>56</v>
      </c>
      <c r="D145" s="24" t="s">
        <v>481</v>
      </c>
      <c r="E145" s="24" t="s">
        <v>71</v>
      </c>
      <c r="F145" s="24" t="s">
        <v>525</v>
      </c>
      <c r="G145" s="24" t="s">
        <v>526</v>
      </c>
      <c r="H145" s="27" t="s">
        <v>527</v>
      </c>
      <c r="I145" s="25">
        <v>129991</v>
      </c>
      <c r="J145" s="25">
        <v>129991</v>
      </c>
      <c r="K145" s="25">
        <v>129991</v>
      </c>
      <c r="L145" s="25">
        <v>129329.12</v>
      </c>
      <c r="M145" s="26">
        <f>I145-J145</f>
        <v>0.0</v>
      </c>
      <c r="N145" s="26">
        <f>J145-K145</f>
        <v>0.0</v>
      </c>
      <c r="O145" s="26">
        <f>I145-L145</f>
        <v>661.8800000000047</v>
      </c>
      <c r="P145" s="28">
        <f>IF(I145&gt;0,L145/I145,0)</f>
        <v>0.9949082628797378</v>
      </c>
      <c r="Q145" s="28">
        <f>IF(I145&gt;0,K145/I145,0)</f>
        <v>1.0</v>
      </c>
      <c r="R145" s="24" t="str">
        <f>IF(I145&lt;=0,"Sin PIM",IF(L145/I145&gt;=Config!$B$5,"Ejecutado",IF(K145/I145&gt;=Config!$B$6,"Mayormente comprometido",IF(K145&gt;0.005,"Parcialmente comprometido",IF(J145&gt;0.005,"Solo certificado","Sin certificar")))))</f>
        <v>Ejecutado</v>
      </c>
      <c r="S145" s="24" t="str">
        <f>IF(R145="Sin certificar","Disponible",IF(R145="Solo certificado","Posible",IF(R145="Parcialmente comprometido","Parcial",IF(R145="Mayormente comprometido","Difícil",IF(R145="Ejecutado","No usar","Sin PIM")))))</f>
        <v>No usar</v>
      </c>
      <c r="T145" s="26">
        <f>IF(OR(I145&lt;=0,R145="Ejecutado"),0,MAX(0,I145-K145))</f>
        <v>0.0</v>
      </c>
      <c r="U145" s="24" t="s">
        <v>123</v>
      </c>
      <c r="V145" s="25">
        <v>129991</v>
      </c>
      <c r="W145" s="25">
        <v>245854</v>
      </c>
      <c r="X145" s="25">
        <v>0</v>
      </c>
      <c r="Y145" s="25">
        <v>200000</v>
      </c>
      <c r="Z145" s="24" t="s">
        <v>63</v>
      </c>
      <c r="AA145" s="24" t="s">
        <v>63</v>
      </c>
      <c r="AB145" s="24" t="s">
        <v>63</v>
      </c>
      <c r="AC145" s="24" t="s">
        <v>124</v>
      </c>
    </row>
    <row r="146" spans="1:29">
      <c r="A146" s="24" t="s">
        <v>54</v>
      </c>
      <c r="B146" s="24" t="s">
        <v>55</v>
      </c>
      <c r="C146" s="24" t="s">
        <v>56</v>
      </c>
      <c r="D146" s="24" t="s">
        <v>481</v>
      </c>
      <c r="E146" s="24" t="s">
        <v>71</v>
      </c>
      <c r="F146" s="24" t="s">
        <v>528</v>
      </c>
      <c r="G146" s="24" t="s">
        <v>529</v>
      </c>
      <c r="H146" s="27" t="s">
        <v>530</v>
      </c>
      <c r="I146" s="25">
        <v>24413</v>
      </c>
      <c r="J146" s="25">
        <v>23994.5</v>
      </c>
      <c r="K146" s="25">
        <v>23994.5</v>
      </c>
      <c r="L146" s="25">
        <v>19205.73</v>
      </c>
      <c r="M146" s="26">
        <f>I146-J146</f>
        <v>418.5</v>
      </c>
      <c r="N146" s="26">
        <f>J146-K146</f>
        <v>0.0</v>
      </c>
      <c r="O146" s="26">
        <f>I146-L146</f>
        <v>5207.27</v>
      </c>
      <c r="P146" s="28">
        <f>IF(I146&gt;0,L146/I146,0)</f>
        <v>0.7867009380248228</v>
      </c>
      <c r="Q146" s="28">
        <f>IF(I146&gt;0,K146/I146,0)</f>
        <v>0.982857493958137</v>
      </c>
      <c r="R146" s="24" t="str">
        <f>IF(I146&lt;=0,"Sin PIM",IF(L146/I146&gt;=Config!$B$5,"Ejecutado",IF(K146/I146&gt;=Config!$B$6,"Mayormente comprometido",IF(K146&gt;0.005,"Parcialmente comprometido",IF(J146&gt;0.005,"Solo certificado","Sin certificar")))))</f>
        <v>Mayormente comprometido</v>
      </c>
      <c r="S146" s="24" t="str">
        <f>IF(R146="Sin certificar","Disponible",IF(R146="Solo certificado","Posible",IF(R146="Parcialmente comprometido","Parcial",IF(R146="Mayormente comprometido","Difícil",IF(R146="Ejecutado","No usar","Sin PIM")))))</f>
        <v>Difícil</v>
      </c>
      <c r="T146" s="26">
        <f>IF(OR(I146&lt;=0,R146="Ejecutado"),0,MAX(0,I146-K146))</f>
        <v>418.5</v>
      </c>
      <c r="U146" s="24" t="s">
        <v>123</v>
      </c>
      <c r="V146" s="25">
        <v>24413</v>
      </c>
      <c r="W146" s="25">
        <v>753784</v>
      </c>
      <c r="X146" s="25">
        <v>0</v>
      </c>
      <c r="Y146" s="25">
        <v>1846698</v>
      </c>
      <c r="Z146" s="24" t="s">
        <v>63</v>
      </c>
      <c r="AA146" s="24" t="s">
        <v>63</v>
      </c>
      <c r="AB146" s="24" t="s">
        <v>63</v>
      </c>
      <c r="AC146" s="24" t="s">
        <v>124</v>
      </c>
    </row>
    <row r="147" spans="1:29">
      <c r="A147" s="24" t="s">
        <v>54</v>
      </c>
      <c r="B147" s="24" t="s">
        <v>55</v>
      </c>
      <c r="C147" s="24" t="s">
        <v>56</v>
      </c>
      <c r="D147" s="24" t="s">
        <v>481</v>
      </c>
      <c r="E147" s="24" t="s">
        <v>71</v>
      </c>
      <c r="F147" s="24" t="s">
        <v>531</v>
      </c>
      <c r="G147" s="24" t="s">
        <v>532</v>
      </c>
      <c r="H147" s="27" t="s">
        <v>533</v>
      </c>
      <c r="I147" s="25">
        <v>0</v>
      </c>
      <c r="J147" s="25">
        <v>0</v>
      </c>
      <c r="K147" s="25">
        <v>0</v>
      </c>
      <c r="L147" s="25">
        <v>0</v>
      </c>
      <c r="M147" s="26">
        <f>I147-J147</f>
        <v>0.0</v>
      </c>
      <c r="N147" s="26">
        <f>J147-K147</f>
        <v>0.0</v>
      </c>
      <c r="O147" s="26">
        <f>I147-L147</f>
        <v>0.0</v>
      </c>
      <c r="P147" s="28">
        <f>IF(I147&gt;0,L147/I147,0)</f>
        <v>0</v>
      </c>
      <c r="Q147" s="28">
        <f>IF(I147&gt;0,K147/I147,0)</f>
        <v>0</v>
      </c>
      <c r="R147" s="24" t="str">
        <f>IF(I147&lt;=0,"Sin PIM",IF(L147/I147&gt;=Config!$B$5,"Ejecutado",IF(K147/I147&gt;=Config!$B$6,"Mayormente comprometido",IF(K147&gt;0.005,"Parcialmente comprometido",IF(J147&gt;0.005,"Solo certificado","Sin certificar")))))</f>
        <v>Sin PIM</v>
      </c>
      <c r="S147" s="24" t="str">
        <f>IF(R147="Sin certificar","Disponible",IF(R147="Solo certificado","Posible",IF(R147="Parcialmente comprometido","Parcial",IF(R147="Mayormente comprometido","Difícil",IF(R147="Ejecutado","No usar","Sin PIM")))))</f>
        <v>Sin PIM</v>
      </c>
      <c r="T147" s="26">
        <f>IF(OR(I147&lt;=0,R147="Ejecutado"),0,MAX(0,I147-K147))</f>
        <v>0.0</v>
      </c>
      <c r="U147" s="24" t="s">
        <v>488</v>
      </c>
      <c r="V147" s="25">
        <v>0</v>
      </c>
      <c r="W147" s="25">
        <v>1256452</v>
      </c>
      <c r="X147" s="25">
        <v>0</v>
      </c>
      <c r="Y147" s="25">
        <v>713083</v>
      </c>
      <c r="Z147" s="24" t="s">
        <v>63</v>
      </c>
      <c r="AA147" s="24" t="s">
        <v>63</v>
      </c>
      <c r="AB147" s="24" t="s">
        <v>63</v>
      </c>
      <c r="AC147" s="24" t="s">
        <v>63</v>
      </c>
    </row>
    <row r="148" spans="1:29">
      <c r="A148" s="24" t="s">
        <v>54</v>
      </c>
      <c r="B148" s="24" t="s">
        <v>55</v>
      </c>
      <c r="C148" s="24" t="s">
        <v>56</v>
      </c>
      <c r="D148" s="24" t="s">
        <v>481</v>
      </c>
      <c r="E148" s="24" t="s">
        <v>71</v>
      </c>
      <c r="F148" s="24" t="s">
        <v>534</v>
      </c>
      <c r="G148" s="24" t="s">
        <v>535</v>
      </c>
      <c r="H148" s="27" t="s">
        <v>536</v>
      </c>
      <c r="I148" s="25">
        <v>621845</v>
      </c>
      <c r="J148" s="25">
        <v>621845</v>
      </c>
      <c r="K148" s="25">
        <v>521845</v>
      </c>
      <c r="L148" s="25">
        <v>396842.78</v>
      </c>
      <c r="M148" s="26">
        <f>I148-J148</f>
        <v>0.0</v>
      </c>
      <c r="N148" s="26">
        <f>J148-K148</f>
        <v>100000.0</v>
      </c>
      <c r="O148" s="26">
        <f>I148-L148</f>
        <v>225002.21999999997</v>
      </c>
      <c r="P148" s="28">
        <f>IF(I148&gt;0,L148/I148,0)</f>
        <v>0.638169929805659</v>
      </c>
      <c r="Q148" s="28">
        <f>IF(I148&gt;0,K148/I148,0)</f>
        <v>0.8391882221453899</v>
      </c>
      <c r="R148" s="24" t="str">
        <f>IF(I148&lt;=0,"Sin PIM",IF(L148/I148&gt;=Config!$B$5,"Ejecutado",IF(K148/I148&gt;=Config!$B$6,"Mayormente comprometido",IF(K148&gt;0.005,"Parcialmente comprometido",IF(J148&gt;0.005,"Solo certificado","Sin certificar")))))</f>
        <v>Mayormente comprometido</v>
      </c>
      <c r="S148" s="24" t="str">
        <f>IF(R148="Sin certificar","Disponible",IF(R148="Solo certificado","Posible",IF(R148="Parcialmente comprometido","Parcial",IF(R148="Mayormente comprometido","Difícil",IF(R148="Ejecutado","No usar","Sin PIM")))))</f>
        <v>Difícil</v>
      </c>
      <c r="T148" s="26">
        <f>IF(OR(I148&lt;=0,R148="Ejecutado"),0,MAX(0,I148-K148))</f>
        <v>100000.0</v>
      </c>
      <c r="U148" s="24" t="s">
        <v>123</v>
      </c>
      <c r="V148" s="25">
        <v>521845</v>
      </c>
      <c r="W148" s="25">
        <v>2345678</v>
      </c>
      <c r="X148" s="25">
        <v>0</v>
      </c>
      <c r="Y148" s="25">
        <v>1000000</v>
      </c>
      <c r="Z148" s="24" t="s">
        <v>63</v>
      </c>
      <c r="AA148" s="24" t="s">
        <v>63</v>
      </c>
      <c r="AB148" s="24" t="s">
        <v>63</v>
      </c>
      <c r="AC148" s="24" t="s">
        <v>124</v>
      </c>
    </row>
    <row r="149" spans="1:29">
      <c r="A149" s="24" t="s">
        <v>54</v>
      </c>
      <c r="B149" s="24" t="s">
        <v>55</v>
      </c>
      <c r="C149" s="24" t="s">
        <v>56</v>
      </c>
      <c r="D149" s="24" t="s">
        <v>481</v>
      </c>
      <c r="E149" s="24" t="s">
        <v>71</v>
      </c>
      <c r="F149" s="24" t="s">
        <v>537</v>
      </c>
      <c r="G149" s="24" t="s">
        <v>538</v>
      </c>
      <c r="H149" s="27" t="s">
        <v>539</v>
      </c>
      <c r="I149" s="25">
        <v>784869</v>
      </c>
      <c r="J149" s="25">
        <v>784869</v>
      </c>
      <c r="K149" s="25">
        <v>634747.9</v>
      </c>
      <c r="L149" s="25">
        <v>631813.71</v>
      </c>
      <c r="M149" s="26">
        <f>I149-J149</f>
        <v>0.0</v>
      </c>
      <c r="N149" s="26">
        <f>J149-K149</f>
        <v>150121.09999999998</v>
      </c>
      <c r="O149" s="26">
        <f>I149-L149</f>
        <v>153055.29000000004</v>
      </c>
      <c r="P149" s="28">
        <f>IF(I149&gt;0,L149/I149,0)</f>
        <v>0.8049925656383421</v>
      </c>
      <c r="Q149" s="28">
        <f>IF(I149&gt;0,K149/I149,0)</f>
        <v>0.8087310111623723</v>
      </c>
      <c r="R149" s="24" t="str">
        <f>IF(I149&lt;=0,"Sin PIM",IF(L149/I149&gt;=Config!$B$5,"Ejecutado",IF(K149/I149&gt;=Config!$B$6,"Mayormente comprometido",IF(K149&gt;0.005,"Parcialmente comprometido",IF(J149&gt;0.005,"Solo certificado","Sin certificar")))))</f>
        <v>Mayormente comprometido</v>
      </c>
      <c r="S149" s="24" t="str">
        <f>IF(R149="Sin certificar","Disponible",IF(R149="Solo certificado","Posible",IF(R149="Parcialmente comprometido","Parcial",IF(R149="Mayormente comprometido","Difícil",IF(R149="Ejecutado","No usar","Sin PIM")))))</f>
        <v>Difícil</v>
      </c>
      <c r="T149" s="26">
        <f>IF(OR(I149&lt;=0,R149="Ejecutado"),0,MAX(0,I149-K149))</f>
        <v>150121.09999999998</v>
      </c>
      <c r="U149" s="24" t="s">
        <v>123</v>
      </c>
      <c r="V149" s="25">
        <v>340000</v>
      </c>
      <c r="W149" s="25">
        <v>254845</v>
      </c>
      <c r="X149" s="25">
        <v>0</v>
      </c>
      <c r="Y149" s="25">
        <v>300000</v>
      </c>
      <c r="Z149" s="24" t="s">
        <v>63</v>
      </c>
      <c r="AA149" s="24" t="s">
        <v>63</v>
      </c>
      <c r="AB149" s="24" t="s">
        <v>63</v>
      </c>
      <c r="AC149" s="24" t="s">
        <v>124</v>
      </c>
    </row>
    <row r="150" spans="1:29">
      <c r="A150" s="24" t="s">
        <v>54</v>
      </c>
      <c r="B150" s="24" t="s">
        <v>55</v>
      </c>
      <c r="C150" s="24" t="s">
        <v>56</v>
      </c>
      <c r="D150" s="24" t="s">
        <v>481</v>
      </c>
      <c r="E150" s="24" t="s">
        <v>71</v>
      </c>
      <c r="F150" s="24" t="s">
        <v>540</v>
      </c>
      <c r="G150" s="24" t="s">
        <v>541</v>
      </c>
      <c r="H150" s="27" t="s">
        <v>542</v>
      </c>
      <c r="I150" s="25">
        <v>373203</v>
      </c>
      <c r="J150" s="25">
        <v>199545</v>
      </c>
      <c r="K150" s="25">
        <v>199545</v>
      </c>
      <c r="L150" s="25">
        <v>127534.07</v>
      </c>
      <c r="M150" s="26">
        <f>I150-J150</f>
        <v>173658.0</v>
      </c>
      <c r="N150" s="26">
        <f>J150-K150</f>
        <v>0.0</v>
      </c>
      <c r="O150" s="26">
        <f>I150-L150</f>
        <v>245668.93</v>
      </c>
      <c r="P150" s="28">
        <f>IF(I150&gt;0,L150/I150,0)</f>
        <v>0.3417284159023374</v>
      </c>
      <c r="Q150" s="28">
        <f>IF(I150&gt;0,K150/I150,0)</f>
        <v>0.5346821970884479</v>
      </c>
      <c r="R150" s="24" t="str">
        <f>IF(I150&lt;=0,"Sin PIM",IF(L150/I150&gt;=Config!$B$5,"Ejecutado",IF(K150/I150&gt;=Config!$B$6,"Mayormente comprometido",IF(K150&gt;0.005,"Parcialmente comprometido",IF(J150&gt;0.005,"Solo certificado","Sin certificar")))))</f>
        <v>Mayormente comprometido</v>
      </c>
      <c r="S150" s="24" t="str">
        <f>IF(R150="Sin certificar","Disponible",IF(R150="Solo certificado","Posible",IF(R150="Parcialmente comprometido","Parcial",IF(R150="Mayormente comprometido","Difícil",IF(R150="Ejecutado","No usar","Sin PIM")))))</f>
        <v>Difícil</v>
      </c>
      <c r="T150" s="26">
        <f>IF(OR(I150&lt;=0,R150="Ejecutado"),0,MAX(0,I150-K150))</f>
        <v>173658.0</v>
      </c>
      <c r="U150" s="24" t="s">
        <v>123</v>
      </c>
      <c r="V150" s="25">
        <v>199545</v>
      </c>
      <c r="W150" s="25">
        <v>5256354</v>
      </c>
      <c r="X150" s="25">
        <v>0</v>
      </c>
      <c r="Y150" s="25">
        <v>0</v>
      </c>
      <c r="Z150" s="24" t="s">
        <v>63</v>
      </c>
      <c r="AA150" s="24" t="s">
        <v>63</v>
      </c>
      <c r="AB150" s="24" t="s">
        <v>63</v>
      </c>
      <c r="AC150" s="24" t="s">
        <v>124</v>
      </c>
    </row>
    <row r="151" spans="1:29">
      <c r="A151" s="24" t="s">
        <v>54</v>
      </c>
      <c r="B151" s="24" t="s">
        <v>55</v>
      </c>
      <c r="C151" s="24" t="s">
        <v>56</v>
      </c>
      <c r="D151" s="24" t="s">
        <v>481</v>
      </c>
      <c r="E151" s="24" t="s">
        <v>71</v>
      </c>
      <c r="F151" s="24" t="s">
        <v>543</v>
      </c>
      <c r="G151" s="24" t="s">
        <v>544</v>
      </c>
      <c r="H151" s="27" t="s">
        <v>545</v>
      </c>
      <c r="I151" s="25">
        <v>192812</v>
      </c>
      <c r="J151" s="25">
        <v>180485</v>
      </c>
      <c r="K151" s="25">
        <v>180485</v>
      </c>
      <c r="L151" s="25">
        <v>176515.68</v>
      </c>
      <c r="M151" s="26">
        <f>I151-J151</f>
        <v>12327.0</v>
      </c>
      <c r="N151" s="26">
        <f>J151-K151</f>
        <v>0.0</v>
      </c>
      <c r="O151" s="26">
        <f>I151-L151</f>
        <v>16296.320000000007</v>
      </c>
      <c r="P151" s="28">
        <f>IF(I151&gt;0,L151/I151,0)</f>
        <v>0.9154807792046138</v>
      </c>
      <c r="Q151" s="28">
        <f>IF(I151&gt;0,K151/I151,0)</f>
        <v>0.9360672572246541</v>
      </c>
      <c r="R151" s="24" t="str">
        <f>IF(I151&lt;=0,"Sin PIM",IF(L151/I151&gt;=Config!$B$5,"Ejecutado",IF(K151/I151&gt;=Config!$B$6,"Mayormente comprometido",IF(K151&gt;0.005,"Parcialmente comprometido",IF(J151&gt;0.005,"Solo certificado","Sin certificar")))))</f>
        <v>Ejecutado</v>
      </c>
      <c r="S151" s="24" t="str">
        <f>IF(R151="Sin certificar","Disponible",IF(R151="Solo certificado","Posible",IF(R151="Parcialmente comprometido","Parcial",IF(R151="Mayormente comprometido","Difícil",IF(R151="Ejecutado","No usar","Sin PIM")))))</f>
        <v>No usar</v>
      </c>
      <c r="T151" s="26">
        <f>IF(OR(I151&lt;=0,R151="Ejecutado"),0,MAX(0,I151-K151))</f>
        <v>0.0</v>
      </c>
      <c r="U151" s="24" t="s">
        <v>123</v>
      </c>
      <c r="V151" s="25">
        <v>192812</v>
      </c>
      <c r="W151" s="25">
        <v>0</v>
      </c>
      <c r="X151" s="25">
        <v>500000</v>
      </c>
      <c r="Y151" s="25">
        <v>0</v>
      </c>
      <c r="Z151" s="24" t="s">
        <v>63</v>
      </c>
      <c r="AA151" s="24" t="s">
        <v>63</v>
      </c>
      <c r="AB151" s="24" t="s">
        <v>63</v>
      </c>
      <c r="AC151" s="24" t="s">
        <v>124</v>
      </c>
    </row>
    <row r="152" spans="1:29">
      <c r="A152" s="24" t="s">
        <v>54</v>
      </c>
      <c r="B152" s="24" t="s">
        <v>55</v>
      </c>
      <c r="C152" s="24" t="s">
        <v>56</v>
      </c>
      <c r="D152" s="24" t="s">
        <v>481</v>
      </c>
      <c r="E152" s="24" t="s">
        <v>71</v>
      </c>
      <c r="F152" s="24" t="s">
        <v>546</v>
      </c>
      <c r="G152" s="24" t="s">
        <v>547</v>
      </c>
      <c r="H152" s="27" t="s">
        <v>548</v>
      </c>
      <c r="I152" s="25">
        <v>287709</v>
      </c>
      <c r="J152" s="25">
        <v>287709</v>
      </c>
      <c r="K152" s="25">
        <v>287709</v>
      </c>
      <c r="L152" s="25">
        <v>108740.53</v>
      </c>
      <c r="M152" s="26">
        <f>I152-J152</f>
        <v>0.0</v>
      </c>
      <c r="N152" s="26">
        <f>J152-K152</f>
        <v>0.0</v>
      </c>
      <c r="O152" s="26">
        <f>I152-L152</f>
        <v>178968.47</v>
      </c>
      <c r="P152" s="28">
        <f>IF(I152&gt;0,L152/I152,0)</f>
        <v>0.37795317490937025</v>
      </c>
      <c r="Q152" s="28">
        <f>IF(I152&gt;0,K152/I152,0)</f>
        <v>1.0</v>
      </c>
      <c r="R152" s="24" t="str">
        <f>IF(I152&lt;=0,"Sin PIM",IF(L152/I152&gt;=Config!$B$5,"Ejecutado",IF(K152/I152&gt;=Config!$B$6,"Mayormente comprometido",IF(K152&gt;0.005,"Parcialmente comprometido",IF(J152&gt;0.005,"Solo certificado","Sin certificar")))))</f>
        <v>Mayormente comprometido</v>
      </c>
      <c r="S152" s="24" t="str">
        <f>IF(R152="Sin certificar","Disponible",IF(R152="Solo certificado","Posible",IF(R152="Parcialmente comprometido","Parcial",IF(R152="Mayormente comprometido","Difícil",IF(R152="Ejecutado","No usar","Sin PIM")))))</f>
        <v>Difícil</v>
      </c>
      <c r="T152" s="26">
        <f>IF(OR(I152&lt;=0,R152="Ejecutado"),0,MAX(0,I152-K152))</f>
        <v>0.0</v>
      </c>
      <c r="U152" s="24" t="s">
        <v>123</v>
      </c>
      <c r="V152" s="25">
        <v>287709</v>
      </c>
      <c r="W152" s="25">
        <v>0</v>
      </c>
      <c r="X152" s="25">
        <v>0</v>
      </c>
      <c r="Y152" s="25">
        <v>3000000</v>
      </c>
      <c r="Z152" s="24" t="s">
        <v>63</v>
      </c>
      <c r="AA152" s="24" t="s">
        <v>63</v>
      </c>
      <c r="AB152" s="24" t="s">
        <v>63</v>
      </c>
      <c r="AC152" s="24" t="s">
        <v>124</v>
      </c>
    </row>
    <row r="153" spans="1:29">
      <c r="A153" s="24" t="s">
        <v>54</v>
      </c>
      <c r="B153" s="24" t="s">
        <v>55</v>
      </c>
      <c r="C153" s="24" t="s">
        <v>56</v>
      </c>
      <c r="D153" s="24" t="s">
        <v>481</v>
      </c>
      <c r="E153" s="24" t="s">
        <v>71</v>
      </c>
      <c r="F153" s="24" t="s">
        <v>549</v>
      </c>
      <c r="G153" s="24" t="s">
        <v>550</v>
      </c>
      <c r="H153" s="27" t="s">
        <v>551</v>
      </c>
      <c r="I153" s="25">
        <v>140000</v>
      </c>
      <c r="J153" s="25">
        <v>140000</v>
      </c>
      <c r="K153" s="25">
        <v>140000</v>
      </c>
      <c r="L153" s="25">
        <v>131428.18</v>
      </c>
      <c r="M153" s="26">
        <f>I153-J153</f>
        <v>0.0</v>
      </c>
      <c r="N153" s="26">
        <f>J153-K153</f>
        <v>0.0</v>
      </c>
      <c r="O153" s="26">
        <f>I153-L153</f>
        <v>8571.820000000007</v>
      </c>
      <c r="P153" s="28">
        <f>IF(I153&gt;0,L153/I153,0)</f>
        <v>0.9387727142857142</v>
      </c>
      <c r="Q153" s="28">
        <f>IF(I153&gt;0,K153/I153,0)</f>
        <v>1.0</v>
      </c>
      <c r="R153" s="24" t="str">
        <f>IF(I153&lt;=0,"Sin PIM",IF(L153/I153&gt;=Config!$B$5,"Ejecutado",IF(K153/I153&gt;=Config!$B$6,"Mayormente comprometido",IF(K153&gt;0.005,"Parcialmente comprometido",IF(J153&gt;0.005,"Solo certificado","Sin certificar")))))</f>
        <v>Ejecutado</v>
      </c>
      <c r="S153" s="24" t="str">
        <f>IF(R153="Sin certificar","Disponible",IF(R153="Solo certificado","Posible",IF(R153="Parcialmente comprometido","Parcial",IF(R153="Mayormente comprometido","Difícil",IF(R153="Ejecutado","No usar","Sin PIM")))))</f>
        <v>No usar</v>
      </c>
      <c r="T153" s="26">
        <f>IF(OR(I153&lt;=0,R153="Ejecutado"),0,MAX(0,I153-K153))</f>
        <v>0.0</v>
      </c>
      <c r="U153" s="24" t="s">
        <v>123</v>
      </c>
      <c r="V153" s="25">
        <v>140000</v>
      </c>
      <c r="W153" s="25">
        <v>0</v>
      </c>
      <c r="X153" s="25">
        <v>0</v>
      </c>
      <c r="Y153" s="25">
        <v>500000</v>
      </c>
      <c r="Z153" s="24" t="s">
        <v>63</v>
      </c>
      <c r="AA153" s="24" t="s">
        <v>63</v>
      </c>
      <c r="AB153" s="24" t="s">
        <v>63</v>
      </c>
      <c r="AC153" s="24" t="s">
        <v>124</v>
      </c>
    </row>
    <row r="154" spans="1:29">
      <c r="A154" s="24" t="s">
        <v>54</v>
      </c>
      <c r="B154" s="24" t="s">
        <v>55</v>
      </c>
      <c r="C154" s="24" t="s">
        <v>56</v>
      </c>
      <c r="D154" s="24" t="s">
        <v>481</v>
      </c>
      <c r="E154" s="24" t="s">
        <v>71</v>
      </c>
      <c r="F154" s="24" t="s">
        <v>552</v>
      </c>
      <c r="G154" s="24" t="s">
        <v>553</v>
      </c>
      <c r="H154" s="27" t="s">
        <v>554</v>
      </c>
      <c r="I154" s="25">
        <v>0</v>
      </c>
      <c r="J154" s="25">
        <v>0</v>
      </c>
      <c r="K154" s="25">
        <v>0</v>
      </c>
      <c r="L154" s="25">
        <v>0</v>
      </c>
      <c r="M154" s="26">
        <f>I154-J154</f>
        <v>0.0</v>
      </c>
      <c r="N154" s="26">
        <f>J154-K154</f>
        <v>0.0</v>
      </c>
      <c r="O154" s="26">
        <f>I154-L154</f>
        <v>0.0</v>
      </c>
      <c r="P154" s="28">
        <f>IF(I154&gt;0,L154/I154,0)</f>
        <v>0</v>
      </c>
      <c r="Q154" s="28">
        <f>IF(I154&gt;0,K154/I154,0)</f>
        <v>0</v>
      </c>
      <c r="R154" s="24" t="str">
        <f>IF(I154&lt;=0,"Sin PIM",IF(L154/I154&gt;=Config!$B$5,"Ejecutado",IF(K154/I154&gt;=Config!$B$6,"Mayormente comprometido",IF(K154&gt;0.005,"Parcialmente comprometido",IF(J154&gt;0.005,"Solo certificado","Sin certificar")))))</f>
        <v>Sin PIM</v>
      </c>
      <c r="S154" s="24" t="str">
        <f>IF(R154="Sin certificar","Disponible",IF(R154="Solo certificado","Posible",IF(R154="Parcialmente comprometido","Parcial",IF(R154="Mayormente comprometido","Difícil",IF(R154="Ejecutado","No usar","Sin PIM")))))</f>
        <v>Sin PIM</v>
      </c>
      <c r="T154" s="26">
        <f>IF(OR(I154&lt;=0,R154="Ejecutado"),0,MAX(0,I154-K154))</f>
        <v>0.0</v>
      </c>
      <c r="U154" s="24" t="s">
        <v>488</v>
      </c>
      <c r="V154" s="24" t="s">
        <v>69</v>
      </c>
      <c r="W154" s="24" t="s">
        <v>69</v>
      </c>
      <c r="X154" s="24" t="s">
        <v>69</v>
      </c>
      <c r="Y154" s="24" t="s">
        <v>69</v>
      </c>
      <c r="Z154" s="24" t="s">
        <v>63</v>
      </c>
      <c r="AA154" s="24" t="s">
        <v>63</v>
      </c>
      <c r="AB154" s="24" t="s">
        <v>63</v>
      </c>
      <c r="AC154" s="24" t="s">
        <v>63</v>
      </c>
    </row>
    <row r="155" spans="1:29">
      <c r="A155" s="24" t="s">
        <v>54</v>
      </c>
      <c r="B155" s="24" t="s">
        <v>55</v>
      </c>
      <c r="C155" s="24" t="s">
        <v>56</v>
      </c>
      <c r="D155" s="24" t="s">
        <v>481</v>
      </c>
      <c r="E155" s="24" t="s">
        <v>71</v>
      </c>
      <c r="F155" s="24" t="s">
        <v>555</v>
      </c>
      <c r="G155" s="24" t="s">
        <v>556</v>
      </c>
      <c r="H155" s="27" t="s">
        <v>557</v>
      </c>
      <c r="I155" s="25">
        <v>200000</v>
      </c>
      <c r="J155" s="25">
        <v>200000</v>
      </c>
      <c r="K155" s="25">
        <v>200000</v>
      </c>
      <c r="L155" s="25">
        <v>0</v>
      </c>
      <c r="M155" s="26">
        <f>I155-J155</f>
        <v>0.0</v>
      </c>
      <c r="N155" s="26">
        <f>J155-K155</f>
        <v>0.0</v>
      </c>
      <c r="O155" s="26">
        <f>I155-L155</f>
        <v>200000.0</v>
      </c>
      <c r="P155" s="28">
        <f>IF(I155&gt;0,L155/I155,0)</f>
        <v>0.0</v>
      </c>
      <c r="Q155" s="28">
        <f>IF(I155&gt;0,K155/I155,0)</f>
        <v>1.0</v>
      </c>
      <c r="R155" s="24" t="str">
        <f>IF(I155&lt;=0,"Sin PIM",IF(L155/I155&gt;=Config!$B$5,"Ejecutado",IF(K155/I155&gt;=Config!$B$6,"Mayormente comprometido",IF(K155&gt;0.005,"Parcialmente comprometido",IF(J155&gt;0.005,"Solo certificado","Sin certificar")))))</f>
        <v>Mayormente comprometido</v>
      </c>
      <c r="S155" s="24" t="str">
        <f>IF(R155="Sin certificar","Disponible",IF(R155="Solo certificado","Posible",IF(R155="Parcialmente comprometido","Parcial",IF(R155="Mayormente comprometido","Difícil",IF(R155="Ejecutado","No usar","Sin PIM")))))</f>
        <v>Difícil</v>
      </c>
      <c r="T155" s="26">
        <f>IF(OR(I155&lt;=0,R155="Ejecutado"),0,MAX(0,I155-K155))</f>
        <v>0.0</v>
      </c>
      <c r="U155" s="24" t="s">
        <v>123</v>
      </c>
      <c r="V155" s="24" t="s">
        <v>69</v>
      </c>
      <c r="W155" s="24" t="s">
        <v>69</v>
      </c>
      <c r="X155" s="24" t="s">
        <v>69</v>
      </c>
      <c r="Y155" s="24" t="s">
        <v>69</v>
      </c>
      <c r="Z155" s="24" t="s">
        <v>63</v>
      </c>
      <c r="AA155" s="24" t="s">
        <v>63</v>
      </c>
      <c r="AB155" s="24" t="s">
        <v>63</v>
      </c>
      <c r="AC155" s="24" t="s">
        <v>63</v>
      </c>
    </row>
    <row r="156" spans="1:29">
      <c r="A156" s="24" t="s">
        <v>54</v>
      </c>
      <c r="B156" s="24" t="s">
        <v>55</v>
      </c>
      <c r="C156" s="24" t="s">
        <v>56</v>
      </c>
      <c r="D156" s="24" t="s">
        <v>481</v>
      </c>
      <c r="E156" s="24" t="s">
        <v>71</v>
      </c>
      <c r="F156" s="24" t="s">
        <v>558</v>
      </c>
      <c r="G156" s="24" t="s">
        <v>559</v>
      </c>
      <c r="H156" s="27" t="s">
        <v>560</v>
      </c>
      <c r="I156" s="25">
        <v>200000</v>
      </c>
      <c r="J156" s="25">
        <v>200000</v>
      </c>
      <c r="K156" s="25">
        <v>200000</v>
      </c>
      <c r="L156" s="25">
        <v>30838.26</v>
      </c>
      <c r="M156" s="26">
        <f>I156-J156</f>
        <v>0.0</v>
      </c>
      <c r="N156" s="26">
        <f>J156-K156</f>
        <v>0.0</v>
      </c>
      <c r="O156" s="26">
        <f>I156-L156</f>
        <v>169161.74</v>
      </c>
      <c r="P156" s="28">
        <f>IF(I156&gt;0,L156/I156,0)</f>
        <v>0.1541913</v>
      </c>
      <c r="Q156" s="28">
        <f>IF(I156&gt;0,K156/I156,0)</f>
        <v>1.0</v>
      </c>
      <c r="R156" s="24" t="str">
        <f>IF(I156&lt;=0,"Sin PIM",IF(L156/I156&gt;=Config!$B$5,"Ejecutado",IF(K156/I156&gt;=Config!$B$6,"Mayormente comprometido",IF(K156&gt;0.005,"Parcialmente comprometido",IF(J156&gt;0.005,"Solo certificado","Sin certificar")))))</f>
        <v>Mayormente comprometido</v>
      </c>
      <c r="S156" s="24" t="str">
        <f>IF(R156="Sin certificar","Disponible",IF(R156="Solo certificado","Posible",IF(R156="Parcialmente comprometido","Parcial",IF(R156="Mayormente comprometido","Difícil",IF(R156="Ejecutado","No usar","Sin PIM")))))</f>
        <v>Difícil</v>
      </c>
      <c r="T156" s="26">
        <f>IF(OR(I156&lt;=0,R156="Ejecutado"),0,MAX(0,I156-K156))</f>
        <v>0.0</v>
      </c>
      <c r="U156" s="24" t="s">
        <v>123</v>
      </c>
      <c r="V156" s="25">
        <v>200000</v>
      </c>
      <c r="W156" s="25">
        <v>0</v>
      </c>
      <c r="X156" s="25">
        <v>3000000</v>
      </c>
      <c r="Y156" s="25">
        <v>8896729</v>
      </c>
      <c r="Z156" s="24" t="s">
        <v>63</v>
      </c>
      <c r="AA156" s="24" t="s">
        <v>63</v>
      </c>
      <c r="AB156" s="24" t="s">
        <v>63</v>
      </c>
      <c r="AC156" s="24" t="s">
        <v>124</v>
      </c>
    </row>
    <row r="157" spans="1:29">
      <c r="A157" s="24" t="s">
        <v>54</v>
      </c>
      <c r="B157" s="24" t="s">
        <v>55</v>
      </c>
      <c r="C157" s="24" t="s">
        <v>56</v>
      </c>
      <c r="D157" s="24" t="s">
        <v>481</v>
      </c>
      <c r="E157" s="24" t="s">
        <v>71</v>
      </c>
      <c r="F157" s="24" t="s">
        <v>561</v>
      </c>
      <c r="G157" s="24" t="s">
        <v>562</v>
      </c>
      <c r="H157" s="27" t="s">
        <v>563</v>
      </c>
      <c r="I157" s="25">
        <v>0</v>
      </c>
      <c r="J157" s="25">
        <v>0</v>
      </c>
      <c r="K157" s="25">
        <v>0</v>
      </c>
      <c r="L157" s="25">
        <v>0</v>
      </c>
      <c r="M157" s="26">
        <f>I157-J157</f>
        <v>0.0</v>
      </c>
      <c r="N157" s="26">
        <f>J157-K157</f>
        <v>0.0</v>
      </c>
      <c r="O157" s="26">
        <f>I157-L157</f>
        <v>0.0</v>
      </c>
      <c r="P157" s="28">
        <f>IF(I157&gt;0,L157/I157,0)</f>
        <v>0</v>
      </c>
      <c r="Q157" s="28">
        <f>IF(I157&gt;0,K157/I157,0)</f>
        <v>0</v>
      </c>
      <c r="R157" s="24" t="str">
        <f>IF(I157&lt;=0,"Sin PIM",IF(L157/I157&gt;=Config!$B$5,"Ejecutado",IF(K157/I157&gt;=Config!$B$6,"Mayormente comprometido",IF(K157&gt;0.005,"Parcialmente comprometido",IF(J157&gt;0.005,"Solo certificado","Sin certificar")))))</f>
        <v>Sin PIM</v>
      </c>
      <c r="S157" s="24" t="str">
        <f>IF(R157="Sin certificar","Disponible",IF(R157="Solo certificado","Posible",IF(R157="Parcialmente comprometido","Parcial",IF(R157="Mayormente comprometido","Difícil",IF(R157="Ejecutado","No usar","Sin PIM")))))</f>
        <v>Sin PIM</v>
      </c>
      <c r="T157" s="26">
        <f>IF(OR(I157&lt;=0,R157="Ejecutado"),0,MAX(0,I157-K157))</f>
        <v>0.0</v>
      </c>
      <c r="U157" s="24" t="s">
        <v>488</v>
      </c>
      <c r="V157" s="24" t="s">
        <v>69</v>
      </c>
      <c r="W157" s="24" t="s">
        <v>69</v>
      </c>
      <c r="X157" s="24" t="s">
        <v>69</v>
      </c>
      <c r="Y157" s="24" t="s">
        <v>69</v>
      </c>
      <c r="Z157" s="24" t="s">
        <v>63</v>
      </c>
      <c r="AA157" s="24" t="s">
        <v>63</v>
      </c>
      <c r="AB157" s="24" t="s">
        <v>63</v>
      </c>
      <c r="AC157" s="24" t="s">
        <v>63</v>
      </c>
    </row>
    <row r="158" spans="1:29">
      <c r="A158" s="24" t="s">
        <v>54</v>
      </c>
      <c r="B158" s="24" t="s">
        <v>55</v>
      </c>
      <c r="C158" s="24" t="s">
        <v>56</v>
      </c>
      <c r="D158" s="24" t="s">
        <v>481</v>
      </c>
      <c r="E158" s="24" t="s">
        <v>71</v>
      </c>
      <c r="F158" s="24" t="s">
        <v>564</v>
      </c>
      <c r="G158" s="24" t="s">
        <v>565</v>
      </c>
      <c r="H158" s="27" t="s">
        <v>566</v>
      </c>
      <c r="I158" s="25">
        <v>0</v>
      </c>
      <c r="J158" s="25">
        <v>0</v>
      </c>
      <c r="K158" s="25">
        <v>0</v>
      </c>
      <c r="L158" s="25">
        <v>0</v>
      </c>
      <c r="M158" s="26">
        <f>I158-J158</f>
        <v>0.0</v>
      </c>
      <c r="N158" s="26">
        <f>J158-K158</f>
        <v>0.0</v>
      </c>
      <c r="O158" s="26">
        <f>I158-L158</f>
        <v>0.0</v>
      </c>
      <c r="P158" s="28">
        <f>IF(I158&gt;0,L158/I158,0)</f>
        <v>0</v>
      </c>
      <c r="Q158" s="28">
        <f>IF(I158&gt;0,K158/I158,0)</f>
        <v>0</v>
      </c>
      <c r="R158" s="24" t="str">
        <f>IF(I158&lt;=0,"Sin PIM",IF(L158/I158&gt;=Config!$B$5,"Ejecutado",IF(K158/I158&gt;=Config!$B$6,"Mayormente comprometido",IF(K158&gt;0.005,"Parcialmente comprometido",IF(J158&gt;0.005,"Solo certificado","Sin certificar")))))</f>
        <v>Sin PIM</v>
      </c>
      <c r="S158" s="24" t="str">
        <f>IF(R158="Sin certificar","Disponible",IF(R158="Solo certificado","Posible",IF(R158="Parcialmente comprometido","Parcial",IF(R158="Mayormente comprometido","Difícil",IF(R158="Ejecutado","No usar","Sin PIM")))))</f>
        <v>Sin PIM</v>
      </c>
      <c r="T158" s="26">
        <f>IF(OR(I158&lt;=0,R158="Ejecutado"),0,MAX(0,I158-K158))</f>
        <v>0.0</v>
      </c>
      <c r="U158" s="24" t="s">
        <v>488</v>
      </c>
      <c r="V158" s="24" t="s">
        <v>69</v>
      </c>
      <c r="W158" s="24" t="s">
        <v>69</v>
      </c>
      <c r="X158" s="24" t="s">
        <v>69</v>
      </c>
      <c r="Y158" s="24" t="s">
        <v>69</v>
      </c>
      <c r="Z158" s="24" t="s">
        <v>63</v>
      </c>
      <c r="AA158" s="24" t="s">
        <v>63</v>
      </c>
      <c r="AB158" s="24" t="s">
        <v>63</v>
      </c>
      <c r="AC158" s="24" t="s">
        <v>63</v>
      </c>
    </row>
    <row r="159" spans="1:29">
      <c r="A159" s="24" t="s">
        <v>54</v>
      </c>
      <c r="B159" s="24" t="s">
        <v>55</v>
      </c>
      <c r="C159" s="24" t="s">
        <v>56</v>
      </c>
      <c r="D159" s="24" t="s">
        <v>481</v>
      </c>
      <c r="E159" s="24" t="s">
        <v>163</v>
      </c>
      <c r="F159" s="24" t="s">
        <v>567</v>
      </c>
      <c r="G159" s="24" t="s">
        <v>568</v>
      </c>
      <c r="H159" s="27" t="s">
        <v>569</v>
      </c>
      <c r="I159" s="25">
        <v>412686</v>
      </c>
      <c r="J159" s="25">
        <v>364067</v>
      </c>
      <c r="K159" s="25">
        <v>364067</v>
      </c>
      <c r="L159" s="25">
        <v>189727.76</v>
      </c>
      <c r="M159" s="26">
        <f>I159-J159</f>
        <v>48619.0</v>
      </c>
      <c r="N159" s="26">
        <f>J159-K159</f>
        <v>0.0</v>
      </c>
      <c r="O159" s="26">
        <f>I159-L159</f>
        <v>222958.24</v>
      </c>
      <c r="P159" s="28">
        <f>IF(I159&gt;0,L159/I159,0)</f>
        <v>0.45973878445113237</v>
      </c>
      <c r="Q159" s="28">
        <f>IF(I159&gt;0,K159/I159,0)</f>
        <v>0.8821888796809196</v>
      </c>
      <c r="R159" s="24" t="str">
        <f>IF(I159&lt;=0,"Sin PIM",IF(L159/I159&gt;=Config!$B$5,"Ejecutado",IF(K159/I159&gt;=Config!$B$6,"Mayormente comprometido",IF(K159&gt;0.005,"Parcialmente comprometido",IF(J159&gt;0.005,"Solo certificado","Sin certificar")))))</f>
        <v>Mayormente comprometido</v>
      </c>
      <c r="S159" s="24" t="str">
        <f>IF(R159="Sin certificar","Disponible",IF(R159="Solo certificado","Posible",IF(R159="Parcialmente comprometido","Parcial",IF(R159="Mayormente comprometido","Difícil",IF(R159="Ejecutado","No usar","Sin PIM")))))</f>
        <v>Difícil</v>
      </c>
      <c r="T159" s="26">
        <f>IF(OR(I159&lt;=0,R159="Ejecutado"),0,MAX(0,I159-K159))</f>
        <v>48619.0</v>
      </c>
      <c r="U159" s="24" t="s">
        <v>123</v>
      </c>
      <c r="V159" s="24" t="s">
        <v>69</v>
      </c>
      <c r="W159" s="24" t="s">
        <v>69</v>
      </c>
      <c r="X159" s="24" t="s">
        <v>69</v>
      </c>
      <c r="Y159" s="24" t="s">
        <v>69</v>
      </c>
      <c r="Z159" s="24" t="s">
        <v>63</v>
      </c>
      <c r="AA159" s="24" t="s">
        <v>63</v>
      </c>
      <c r="AB159" s="24" t="s">
        <v>63</v>
      </c>
      <c r="AC159" s="24" t="s">
        <v>124</v>
      </c>
    </row>
    <row r="160" spans="1:29">
      <c r="A160" s="24" t="s">
        <v>54</v>
      </c>
      <c r="B160" s="24" t="s">
        <v>55</v>
      </c>
      <c r="C160" s="24" t="s">
        <v>56</v>
      </c>
      <c r="D160" s="24" t="s">
        <v>481</v>
      </c>
      <c r="E160" s="24" t="s">
        <v>163</v>
      </c>
      <c r="F160" s="24" t="s">
        <v>570</v>
      </c>
      <c r="G160" s="24" t="s">
        <v>571</v>
      </c>
      <c r="H160" s="27" t="s">
        <v>572</v>
      </c>
      <c r="I160" s="25">
        <v>563376</v>
      </c>
      <c r="J160" s="25">
        <v>563376</v>
      </c>
      <c r="K160" s="25">
        <v>193545</v>
      </c>
      <c r="L160" s="25">
        <v>65074.95999999999</v>
      </c>
      <c r="M160" s="26">
        <f>I160-J160</f>
        <v>0.0</v>
      </c>
      <c r="N160" s="26">
        <f>J160-K160</f>
        <v>369831.0</v>
      </c>
      <c r="O160" s="26">
        <f>I160-L160</f>
        <v>498301.04000000004</v>
      </c>
      <c r="P160" s="28">
        <f>IF(I160&gt;0,L160/I160,0)</f>
        <v>0.11550893186788218</v>
      </c>
      <c r="Q160" s="28">
        <f>IF(I160&gt;0,K160/I160,0)</f>
        <v>0.34354498594189314</v>
      </c>
      <c r="R160" s="24" t="str">
        <f>IF(I160&lt;=0,"Sin PIM",IF(L160/I160&gt;=Config!$B$5,"Ejecutado",IF(K160/I160&gt;=Config!$B$6,"Mayormente comprometido",IF(K160&gt;0.005,"Parcialmente comprometido",IF(J160&gt;0.005,"Solo certificado","Sin certificar")))))</f>
        <v>Parcialmente comprometido</v>
      </c>
      <c r="S160" s="24" t="str">
        <f>IF(R160="Sin certificar","Disponible",IF(R160="Solo certificado","Posible",IF(R160="Parcialmente comprometido","Parcial",IF(R160="Mayormente comprometido","Difícil",IF(R160="Ejecutado","No usar","Sin PIM")))))</f>
        <v>Parcial</v>
      </c>
      <c r="T160" s="26">
        <f>IF(OR(I160&lt;=0,R160="Ejecutado"),0,MAX(0,I160-K160))</f>
        <v>369831.0</v>
      </c>
      <c r="U160" s="24" t="s">
        <v>123</v>
      </c>
      <c r="V160" s="25">
        <v>350000</v>
      </c>
      <c r="W160" s="25">
        <v>7563584</v>
      </c>
      <c r="X160" s="25">
        <v>500000</v>
      </c>
      <c r="Y160" s="25">
        <v>700000</v>
      </c>
      <c r="Z160" s="24" t="s">
        <v>63</v>
      </c>
      <c r="AA160" s="24" t="s">
        <v>63</v>
      </c>
      <c r="AB160" s="24" t="s">
        <v>63</v>
      </c>
      <c r="AC160" s="24" t="s">
        <v>124</v>
      </c>
    </row>
    <row r="161" spans="1:29">
      <c r="A161" s="24" t="s">
        <v>54</v>
      </c>
      <c r="B161" s="24" t="s">
        <v>55</v>
      </c>
      <c r="C161" s="24" t="s">
        <v>56</v>
      </c>
      <c r="D161" s="24" t="s">
        <v>481</v>
      </c>
      <c r="E161" s="24" t="s">
        <v>163</v>
      </c>
      <c r="F161" s="24" t="s">
        <v>573</v>
      </c>
      <c r="G161" s="24" t="s">
        <v>574</v>
      </c>
      <c r="H161" s="27" t="s">
        <v>575</v>
      </c>
      <c r="I161" s="25">
        <v>400000</v>
      </c>
      <c r="J161" s="25">
        <v>400000</v>
      </c>
      <c r="K161" s="25">
        <v>400000</v>
      </c>
      <c r="L161" s="25">
        <v>285245.05</v>
      </c>
      <c r="M161" s="26">
        <f>I161-J161</f>
        <v>0.0</v>
      </c>
      <c r="N161" s="26">
        <f>J161-K161</f>
        <v>0.0</v>
      </c>
      <c r="O161" s="26">
        <f>I161-L161</f>
        <v>114754.95000000001</v>
      </c>
      <c r="P161" s="28">
        <f>IF(I161&gt;0,L161/I161,0)</f>
        <v>0.7131126249999999</v>
      </c>
      <c r="Q161" s="28">
        <f>IF(I161&gt;0,K161/I161,0)</f>
        <v>1.0</v>
      </c>
      <c r="R161" s="24" t="str">
        <f>IF(I161&lt;=0,"Sin PIM",IF(L161/I161&gt;=Config!$B$5,"Ejecutado",IF(K161/I161&gt;=Config!$B$6,"Mayormente comprometido",IF(K161&gt;0.005,"Parcialmente comprometido",IF(J161&gt;0.005,"Solo certificado","Sin certificar")))))</f>
        <v>Mayormente comprometido</v>
      </c>
      <c r="S161" s="24" t="str">
        <f>IF(R161="Sin certificar","Disponible",IF(R161="Solo certificado","Posible",IF(R161="Parcialmente comprometido","Parcial",IF(R161="Mayormente comprometido","Difícil",IF(R161="Ejecutado","No usar","Sin PIM")))))</f>
        <v>Difícil</v>
      </c>
      <c r="T161" s="26">
        <f>IF(OR(I161&lt;=0,R161="Ejecutado"),0,MAX(0,I161-K161))</f>
        <v>0.0</v>
      </c>
      <c r="U161" s="24" t="s">
        <v>123</v>
      </c>
      <c r="V161" s="25">
        <v>400000</v>
      </c>
      <c r="W161" s="25">
        <v>358745</v>
      </c>
      <c r="X161" s="25">
        <v>0</v>
      </c>
      <c r="Y161" s="25">
        <v>1000000</v>
      </c>
      <c r="Z161" s="24" t="s">
        <v>63</v>
      </c>
      <c r="AA161" s="24" t="s">
        <v>63</v>
      </c>
      <c r="AB161" s="24" t="s">
        <v>63</v>
      </c>
      <c r="AC161" s="24" t="s">
        <v>124</v>
      </c>
    </row>
    <row r="162" spans="1:29">
      <c r="A162" s="24" t="s">
        <v>54</v>
      </c>
      <c r="B162" s="24" t="s">
        <v>55</v>
      </c>
      <c r="C162" s="24" t="s">
        <v>56</v>
      </c>
      <c r="D162" s="24" t="s">
        <v>481</v>
      </c>
      <c r="E162" s="24" t="s">
        <v>163</v>
      </c>
      <c r="F162" s="24" t="s">
        <v>576</v>
      </c>
      <c r="G162" s="24" t="s">
        <v>577</v>
      </c>
      <c r="H162" s="27" t="s">
        <v>578</v>
      </c>
      <c r="I162" s="25">
        <v>386035</v>
      </c>
      <c r="J162" s="25">
        <v>365592.91</v>
      </c>
      <c r="K162" s="25">
        <v>365592.91</v>
      </c>
      <c r="L162" s="25">
        <v>246262.9</v>
      </c>
      <c r="M162" s="26">
        <f>I162-J162</f>
        <v>20442.089999999967</v>
      </c>
      <c r="N162" s="26">
        <f>J162-K162</f>
        <v>0.0</v>
      </c>
      <c r="O162" s="26">
        <f>I162-L162</f>
        <v>139772.1</v>
      </c>
      <c r="P162" s="28">
        <f>IF(I162&gt;0,L162/I162,0)</f>
        <v>0.6379289442667115</v>
      </c>
      <c r="Q162" s="28">
        <f>IF(I162&gt;0,K162/I162,0)</f>
        <v>0.947046019143342</v>
      </c>
      <c r="R162" s="24" t="str">
        <f>IF(I162&lt;=0,"Sin PIM",IF(L162/I162&gt;=Config!$B$5,"Ejecutado",IF(K162/I162&gt;=Config!$B$6,"Mayormente comprometido",IF(K162&gt;0.005,"Parcialmente comprometido",IF(J162&gt;0.005,"Solo certificado","Sin certificar")))))</f>
        <v>Mayormente comprometido</v>
      </c>
      <c r="S162" s="24" t="str">
        <f>IF(R162="Sin certificar","Disponible",IF(R162="Solo certificado","Posible",IF(R162="Parcialmente comprometido","Parcial",IF(R162="Mayormente comprometido","Difícil",IF(R162="Ejecutado","No usar","Sin PIM")))))</f>
        <v>Difícil</v>
      </c>
      <c r="T162" s="26">
        <f>IF(OR(I162&lt;=0,R162="Ejecutado"),0,MAX(0,I162-K162))</f>
        <v>20442.089999999967</v>
      </c>
      <c r="U162" s="24" t="s">
        <v>123</v>
      </c>
      <c r="V162" s="25">
        <v>386035</v>
      </c>
      <c r="W162" s="25">
        <v>310542</v>
      </c>
      <c r="X162" s="25">
        <v>0</v>
      </c>
      <c r="Y162" s="25">
        <v>1000000</v>
      </c>
      <c r="Z162" s="24" t="s">
        <v>63</v>
      </c>
      <c r="AA162" s="24" t="s">
        <v>63</v>
      </c>
      <c r="AB162" s="24" t="s">
        <v>63</v>
      </c>
      <c r="AC162" s="24" t="s">
        <v>124</v>
      </c>
    </row>
    <row r="163" spans="1:29">
      <c r="A163" s="24" t="s">
        <v>54</v>
      </c>
      <c r="B163" s="24" t="s">
        <v>55</v>
      </c>
      <c r="C163" s="24" t="s">
        <v>56</v>
      </c>
      <c r="D163" s="24" t="s">
        <v>481</v>
      </c>
      <c r="E163" s="24" t="s">
        <v>163</v>
      </c>
      <c r="F163" s="24" t="s">
        <v>579</v>
      </c>
      <c r="G163" s="24" t="s">
        <v>580</v>
      </c>
      <c r="H163" s="27" t="s">
        <v>581</v>
      </c>
      <c r="I163" s="25">
        <v>18371</v>
      </c>
      <c r="J163" s="25">
        <v>0</v>
      </c>
      <c r="K163" s="25">
        <v>0</v>
      </c>
      <c r="L163" s="25">
        <v>0</v>
      </c>
      <c r="M163" s="26">
        <f>I163-J163</f>
        <v>18371.0</v>
      </c>
      <c r="N163" s="26">
        <f>J163-K163</f>
        <v>0.0</v>
      </c>
      <c r="O163" s="26">
        <f>I163-L163</f>
        <v>18371.0</v>
      </c>
      <c r="P163" s="28">
        <f>IF(I163&gt;0,L163/I163,0)</f>
        <v>0.0</v>
      </c>
      <c r="Q163" s="28">
        <f>IF(I163&gt;0,K163/I163,0)</f>
        <v>0.0</v>
      </c>
      <c r="R163" s="24" t="str">
        <f>IF(I163&lt;=0,"Sin PIM",IF(L163/I163&gt;=Config!$B$5,"Ejecutado",IF(K163/I163&gt;=Config!$B$6,"Mayormente comprometido",IF(K163&gt;0.005,"Parcialmente comprometido",IF(J163&gt;0.005,"Solo certificado","Sin certificar")))))</f>
        <v>Sin certificar</v>
      </c>
      <c r="S163" s="24" t="str">
        <f>IF(R163="Sin certificar","Disponible",IF(R163="Solo certificado","Posible",IF(R163="Parcialmente comprometido","Parcial",IF(R163="Mayormente comprometido","Difícil",IF(R163="Ejecutado","No usar","Sin PIM")))))</f>
        <v>Disponible</v>
      </c>
      <c r="T163" s="26">
        <f>IF(OR(I163&lt;=0,R163="Ejecutado"),0,MAX(0,I163-K163))</f>
        <v>18371.0</v>
      </c>
      <c r="U163" s="24" t="s">
        <v>123</v>
      </c>
      <c r="V163" s="24" t="s">
        <v>69</v>
      </c>
      <c r="W163" s="24" t="s">
        <v>69</v>
      </c>
      <c r="X163" s="24" t="s">
        <v>69</v>
      </c>
      <c r="Y163" s="24" t="s">
        <v>69</v>
      </c>
      <c r="Z163" s="24" t="s">
        <v>63</v>
      </c>
      <c r="AA163" s="24" t="s">
        <v>63</v>
      </c>
      <c r="AB163" s="24" t="s">
        <v>63</v>
      </c>
      <c r="AC163" s="24" t="s">
        <v>124</v>
      </c>
    </row>
    <row r="164" spans="1:29">
      <c r="A164" s="24" t="s">
        <v>54</v>
      </c>
      <c r="B164" s="24" t="s">
        <v>55</v>
      </c>
      <c r="C164" s="24" t="s">
        <v>56</v>
      </c>
      <c r="D164" s="24" t="s">
        <v>481</v>
      </c>
      <c r="E164" s="24" t="s">
        <v>163</v>
      </c>
      <c r="F164" s="24" t="s">
        <v>582</v>
      </c>
      <c r="G164" s="24" t="s">
        <v>583</v>
      </c>
      <c r="H164" s="27" t="s">
        <v>584</v>
      </c>
      <c r="I164" s="25">
        <v>225183</v>
      </c>
      <c r="J164" s="25">
        <v>180000</v>
      </c>
      <c r="K164" s="25">
        <v>180000</v>
      </c>
      <c r="L164" s="25">
        <v>179898.4</v>
      </c>
      <c r="M164" s="26">
        <f>I164-J164</f>
        <v>45183.0</v>
      </c>
      <c r="N164" s="26">
        <f>J164-K164</f>
        <v>0.0</v>
      </c>
      <c r="O164" s="26">
        <f>I164-L164</f>
        <v>45284.600000000006</v>
      </c>
      <c r="P164" s="28">
        <f>IF(I164&gt;0,L164/I164,0)</f>
        <v>0.7988986735233121</v>
      </c>
      <c r="Q164" s="28">
        <f>IF(I164&gt;0,K164/I164,0)</f>
        <v>0.7993498621121488</v>
      </c>
      <c r="R164" s="24" t="str">
        <f>IF(I164&lt;=0,"Sin PIM",IF(L164/I164&gt;=Config!$B$5,"Ejecutado",IF(K164/I164&gt;=Config!$B$6,"Mayormente comprometido",IF(K164&gt;0.005,"Parcialmente comprometido",IF(J164&gt;0.005,"Solo certificado","Sin certificar")))))</f>
        <v>Mayormente comprometido</v>
      </c>
      <c r="S164" s="24" t="str">
        <f>IF(R164="Sin certificar","Disponible",IF(R164="Solo certificado","Posible",IF(R164="Parcialmente comprometido","Parcial",IF(R164="Mayormente comprometido","Difícil",IF(R164="Ejecutado","No usar","Sin PIM")))))</f>
        <v>Difícil</v>
      </c>
      <c r="T164" s="26">
        <f>IF(OR(I164&lt;=0,R164="Ejecutado"),0,MAX(0,I164-K164))</f>
        <v>45183.0</v>
      </c>
      <c r="U164" s="24" t="s">
        <v>123</v>
      </c>
      <c r="V164" s="24" t="s">
        <v>69</v>
      </c>
      <c r="W164" s="24" t="s">
        <v>69</v>
      </c>
      <c r="X164" s="24" t="s">
        <v>69</v>
      </c>
      <c r="Y164" s="24" t="s">
        <v>69</v>
      </c>
      <c r="Z164" s="24" t="s">
        <v>63</v>
      </c>
      <c r="AA164" s="24" t="s">
        <v>63</v>
      </c>
      <c r="AB164" s="24" t="s">
        <v>63</v>
      </c>
      <c r="AC164" s="24" t="s">
        <v>124</v>
      </c>
    </row>
    <row r="165" spans="1:29">
      <c r="A165" s="24" t="s">
        <v>54</v>
      </c>
      <c r="B165" s="24" t="s">
        <v>55</v>
      </c>
      <c r="C165" s="24" t="s">
        <v>56</v>
      </c>
      <c r="D165" s="24" t="s">
        <v>481</v>
      </c>
      <c r="E165" s="24" t="s">
        <v>163</v>
      </c>
      <c r="F165" s="24" t="s">
        <v>585</v>
      </c>
      <c r="G165" s="24" t="s">
        <v>586</v>
      </c>
      <c r="H165" s="27" t="s">
        <v>587</v>
      </c>
      <c r="I165" s="25">
        <v>680000</v>
      </c>
      <c r="J165" s="25">
        <v>676480</v>
      </c>
      <c r="K165" s="25">
        <v>626480</v>
      </c>
      <c r="L165" s="25">
        <v>463894.66</v>
      </c>
      <c r="M165" s="26">
        <f>I165-J165</f>
        <v>3520.0</v>
      </c>
      <c r="N165" s="26">
        <f>J165-K165</f>
        <v>50000.0</v>
      </c>
      <c r="O165" s="26">
        <f>I165-L165</f>
        <v>216105.33999999997</v>
      </c>
      <c r="P165" s="28">
        <f>IF(I165&gt;0,L165/I165,0)</f>
        <v>0.6821980294117648</v>
      </c>
      <c r="Q165" s="28">
        <f>IF(I165&gt;0,K165/I165,0)</f>
        <v>0.9212941176470588</v>
      </c>
      <c r="R165" s="24" t="str">
        <f>IF(I165&lt;=0,"Sin PIM",IF(L165/I165&gt;=Config!$B$5,"Ejecutado",IF(K165/I165&gt;=Config!$B$6,"Mayormente comprometido",IF(K165&gt;0.005,"Parcialmente comprometido",IF(J165&gt;0.005,"Solo certificado","Sin certificar")))))</f>
        <v>Mayormente comprometido</v>
      </c>
      <c r="S165" s="24" t="str">
        <f>IF(R165="Sin certificar","Disponible",IF(R165="Solo certificado","Posible",IF(R165="Parcialmente comprometido","Parcial",IF(R165="Mayormente comprometido","Difícil",IF(R165="Ejecutado","No usar","Sin PIM")))))</f>
        <v>Difícil</v>
      </c>
      <c r="T165" s="26">
        <f>IF(OR(I165&lt;=0,R165="Ejecutado"),0,MAX(0,I165-K165))</f>
        <v>53520.0</v>
      </c>
      <c r="U165" s="24" t="s">
        <v>123</v>
      </c>
      <c r="V165" s="25">
        <v>380000</v>
      </c>
      <c r="W165" s="25">
        <v>6625412</v>
      </c>
      <c r="X165" s="25">
        <v>0</v>
      </c>
      <c r="Y165" s="25">
        <v>1000000</v>
      </c>
      <c r="Z165" s="24" t="s">
        <v>63</v>
      </c>
      <c r="AA165" s="24" t="s">
        <v>63</v>
      </c>
      <c r="AB165" s="24" t="s">
        <v>63</v>
      </c>
      <c r="AC165" s="24" t="s">
        <v>124</v>
      </c>
    </row>
    <row r="166" spans="1:29">
      <c r="A166" s="24" t="s">
        <v>54</v>
      </c>
      <c r="B166" s="24" t="s">
        <v>55</v>
      </c>
      <c r="C166" s="24" t="s">
        <v>56</v>
      </c>
      <c r="D166" s="24" t="s">
        <v>481</v>
      </c>
      <c r="E166" s="24" t="s">
        <v>163</v>
      </c>
      <c r="F166" s="24" t="s">
        <v>588</v>
      </c>
      <c r="G166" s="24" t="s">
        <v>589</v>
      </c>
      <c r="H166" s="27" t="s">
        <v>590</v>
      </c>
      <c r="I166" s="25">
        <v>519111</v>
      </c>
      <c r="J166" s="25">
        <v>519111</v>
      </c>
      <c r="K166" s="25">
        <v>518575.2</v>
      </c>
      <c r="L166" s="25">
        <v>211182.68</v>
      </c>
      <c r="M166" s="26">
        <f>I166-J166</f>
        <v>0.0</v>
      </c>
      <c r="N166" s="26">
        <f>J166-K166</f>
        <v>535.7999999999884</v>
      </c>
      <c r="O166" s="26">
        <f>I166-L166</f>
        <v>307928.32</v>
      </c>
      <c r="P166" s="28">
        <f>IF(I166&gt;0,L166/I166,0)</f>
        <v>0.4068160374178162</v>
      </c>
      <c r="Q166" s="28">
        <f>IF(I166&gt;0,K166/I166,0)</f>
        <v>0.998967850806475</v>
      </c>
      <c r="R166" s="24" t="str">
        <f>IF(I166&lt;=0,"Sin PIM",IF(L166/I166&gt;=Config!$B$5,"Ejecutado",IF(K166/I166&gt;=Config!$B$6,"Mayormente comprometido",IF(K166&gt;0.005,"Parcialmente comprometido",IF(J166&gt;0.005,"Solo certificado","Sin certificar")))))</f>
        <v>Mayormente comprometido</v>
      </c>
      <c r="S166" s="24" t="str">
        <f>IF(R166="Sin certificar","Disponible",IF(R166="Solo certificado","Posible",IF(R166="Parcialmente comprometido","Parcial",IF(R166="Mayormente comprometido","Difícil",IF(R166="Ejecutado","No usar","Sin PIM")))))</f>
        <v>Difícil</v>
      </c>
      <c r="T166" s="26">
        <f>IF(OR(I166&lt;=0,R166="Ejecutado"),0,MAX(0,I166-K166))</f>
        <v>535.7999999999884</v>
      </c>
      <c r="U166" s="24" t="s">
        <v>123</v>
      </c>
      <c r="V166" s="25">
        <v>300000</v>
      </c>
      <c r="W166" s="25">
        <v>5285426</v>
      </c>
      <c r="X166" s="25">
        <v>0</v>
      </c>
      <c r="Y166" s="25">
        <v>1000000</v>
      </c>
      <c r="Z166" s="24" t="s">
        <v>63</v>
      </c>
      <c r="AA166" s="24" t="s">
        <v>63</v>
      </c>
      <c r="AB166" s="24" t="s">
        <v>63</v>
      </c>
      <c r="AC166" s="24" t="s">
        <v>124</v>
      </c>
    </row>
    <row r="167" spans="1:29">
      <c r="A167" s="24" t="s">
        <v>54</v>
      </c>
      <c r="B167" s="24" t="s">
        <v>55</v>
      </c>
      <c r="C167" s="24" t="s">
        <v>56</v>
      </c>
      <c r="D167" s="24" t="s">
        <v>481</v>
      </c>
      <c r="E167" s="24" t="s">
        <v>163</v>
      </c>
      <c r="F167" s="24" t="s">
        <v>591</v>
      </c>
      <c r="G167" s="24" t="s">
        <v>592</v>
      </c>
      <c r="H167" s="27" t="s">
        <v>593</v>
      </c>
      <c r="I167" s="25">
        <v>206971</v>
      </c>
      <c r="J167" s="25">
        <v>206970.5</v>
      </c>
      <c r="K167" s="25">
        <v>206970.5</v>
      </c>
      <c r="L167" s="25">
        <v>110370.29</v>
      </c>
      <c r="M167" s="26">
        <f>I167-J167</f>
        <v>0.5</v>
      </c>
      <c r="N167" s="26">
        <f>J167-K167</f>
        <v>0.0</v>
      </c>
      <c r="O167" s="26">
        <f>I167-L167</f>
        <v>96600.70999999999</v>
      </c>
      <c r="P167" s="28">
        <f>IF(I167&gt;0,L167/I167,0)</f>
        <v>0.5332645153185712</v>
      </c>
      <c r="Q167" s="28">
        <f>IF(I167&gt;0,K167/I167,0)</f>
        <v>0.9999975842026178</v>
      </c>
      <c r="R167" s="24" t="str">
        <f>IF(I167&lt;=0,"Sin PIM",IF(L167/I167&gt;=Config!$B$5,"Ejecutado",IF(K167/I167&gt;=Config!$B$6,"Mayormente comprometido",IF(K167&gt;0.005,"Parcialmente comprometido",IF(J167&gt;0.005,"Solo certificado","Sin certificar")))))</f>
        <v>Mayormente comprometido</v>
      </c>
      <c r="S167" s="24" t="str">
        <f>IF(R167="Sin certificar","Disponible",IF(R167="Solo certificado","Posible",IF(R167="Parcialmente comprometido","Parcial",IF(R167="Mayormente comprometido","Difícil",IF(R167="Ejecutado","No usar","Sin PIM")))))</f>
        <v>Difícil</v>
      </c>
      <c r="T167" s="26">
        <f>IF(OR(I167&lt;=0,R167="Ejecutado"),0,MAX(0,I167-K167))</f>
        <v>0.5</v>
      </c>
      <c r="U167" s="24" t="s">
        <v>123</v>
      </c>
      <c r="V167" s="25">
        <v>206972</v>
      </c>
      <c r="W167" s="25">
        <v>254584</v>
      </c>
      <c r="X167" s="25">
        <v>0</v>
      </c>
      <c r="Y167" s="25">
        <v>500000</v>
      </c>
      <c r="Z167" s="24" t="s">
        <v>63</v>
      </c>
      <c r="AA167" s="24" t="s">
        <v>63</v>
      </c>
      <c r="AB167" s="24" t="s">
        <v>63</v>
      </c>
      <c r="AC167" s="24" t="s">
        <v>124</v>
      </c>
    </row>
    <row r="168" spans="1:29">
      <c r="A168" s="24" t="s">
        <v>54</v>
      </c>
      <c r="B168" s="24" t="s">
        <v>55</v>
      </c>
      <c r="C168" s="24" t="s">
        <v>56</v>
      </c>
      <c r="D168" s="24" t="s">
        <v>481</v>
      </c>
      <c r="E168" s="24" t="s">
        <v>163</v>
      </c>
      <c r="F168" s="24" t="s">
        <v>594</v>
      </c>
      <c r="G168" s="24" t="s">
        <v>595</v>
      </c>
      <c r="H168" s="27" t="s">
        <v>596</v>
      </c>
      <c r="I168" s="25">
        <v>654463</v>
      </c>
      <c r="J168" s="25">
        <v>639329.5</v>
      </c>
      <c r="K168" s="25">
        <v>639329.5</v>
      </c>
      <c r="L168" s="25">
        <v>548829.6900000001</v>
      </c>
      <c r="M168" s="26">
        <f>I168-J168</f>
        <v>15133.5</v>
      </c>
      <c r="N168" s="26">
        <f>J168-K168</f>
        <v>0.0</v>
      </c>
      <c r="O168" s="26">
        <f>I168-L168</f>
        <v>105633.30999999994</v>
      </c>
      <c r="P168" s="28">
        <f>IF(I168&gt;0,L168/I168,0)</f>
        <v>0.83859544389828</v>
      </c>
      <c r="Q168" s="28">
        <f>IF(I168&gt;0,K168/I168,0)</f>
        <v>0.9768764620765421</v>
      </c>
      <c r="R168" s="24" t="str">
        <f>IF(I168&lt;=0,"Sin PIM",IF(L168/I168&gt;=Config!$B$5,"Ejecutado",IF(K168/I168&gt;=Config!$B$6,"Mayormente comprometido",IF(K168&gt;0.005,"Parcialmente comprometido",IF(J168&gt;0.005,"Solo certificado","Sin certificar")))))</f>
        <v>Mayormente comprometido</v>
      </c>
      <c r="S168" s="24" t="str">
        <f>IF(R168="Sin certificar","Disponible",IF(R168="Solo certificado","Posible",IF(R168="Parcialmente comprometido","Parcial",IF(R168="Mayormente comprometido","Difícil",IF(R168="Ejecutado","No usar","Sin PIM")))))</f>
        <v>Difícil</v>
      </c>
      <c r="T168" s="26">
        <f>IF(OR(I168&lt;=0,R168="Ejecutado"),0,MAX(0,I168-K168))</f>
        <v>15133.5</v>
      </c>
      <c r="U168" s="24" t="s">
        <v>123</v>
      </c>
      <c r="V168" s="25">
        <v>380000</v>
      </c>
      <c r="W168" s="25">
        <v>1421799</v>
      </c>
      <c r="X168" s="25">
        <v>0</v>
      </c>
      <c r="Y168" s="25">
        <v>1000000</v>
      </c>
      <c r="Z168" s="24" t="s">
        <v>63</v>
      </c>
      <c r="AA168" s="24" t="s">
        <v>63</v>
      </c>
      <c r="AB168" s="24" t="s">
        <v>63</v>
      </c>
      <c r="AC168" s="24" t="s">
        <v>124</v>
      </c>
    </row>
    <row r="169" spans="1:29">
      <c r="A169" s="24" t="s">
        <v>54</v>
      </c>
      <c r="B169" s="24" t="s">
        <v>55</v>
      </c>
      <c r="C169" s="24" t="s">
        <v>56</v>
      </c>
      <c r="D169" s="24" t="s">
        <v>481</v>
      </c>
      <c r="E169" s="24" t="s">
        <v>163</v>
      </c>
      <c r="F169" s="24" t="s">
        <v>193</v>
      </c>
      <c r="G169" s="24" t="s">
        <v>597</v>
      </c>
      <c r="H169" s="27" t="s">
        <v>195</v>
      </c>
      <c r="I169" s="25">
        <v>100000</v>
      </c>
      <c r="J169" s="25">
        <v>0</v>
      </c>
      <c r="K169" s="25">
        <v>0</v>
      </c>
      <c r="L169" s="25">
        <v>0</v>
      </c>
      <c r="M169" s="26">
        <f>I169-J169</f>
        <v>100000.0</v>
      </c>
      <c r="N169" s="26">
        <f>J169-K169</f>
        <v>0.0</v>
      </c>
      <c r="O169" s="26">
        <f>I169-L169</f>
        <v>100000.0</v>
      </c>
      <c r="P169" s="28">
        <f>IF(I169&gt;0,L169/I169,0)</f>
        <v>0.0</v>
      </c>
      <c r="Q169" s="28">
        <f>IF(I169&gt;0,K169/I169,0)</f>
        <v>0.0</v>
      </c>
      <c r="R169" s="24" t="str">
        <f>IF(I169&lt;=0,"Sin PIM",IF(L169/I169&gt;=Config!$B$5,"Ejecutado",IF(K169/I169&gt;=Config!$B$6,"Mayormente comprometido",IF(K169&gt;0.005,"Parcialmente comprometido",IF(J169&gt;0.005,"Solo certificado","Sin certificar")))))</f>
        <v>Sin certificar</v>
      </c>
      <c r="S169" s="24" t="str">
        <f>IF(R169="Sin certificar","Disponible",IF(R169="Solo certificado","Posible",IF(R169="Parcialmente comprometido","Parcial",IF(R169="Mayormente comprometido","Difícil",IF(R169="Ejecutado","No usar","Sin PIM")))))</f>
        <v>Disponible</v>
      </c>
      <c r="T169" s="26">
        <f>IF(OR(I169&lt;=0,R169="Ejecutado"),0,MAX(0,I169-K169))</f>
        <v>100000.0</v>
      </c>
      <c r="U169" s="24" t="s">
        <v>123</v>
      </c>
      <c r="V169" s="25">
        <v>4800690</v>
      </c>
      <c r="W169" s="25">
        <v>4000000</v>
      </c>
      <c r="X169" s="25">
        <v>14883202</v>
      </c>
      <c r="Y169" s="25">
        <v>19038629</v>
      </c>
      <c r="Z169" s="24" t="s">
        <v>63</v>
      </c>
      <c r="AA169" s="24" t="s">
        <v>63</v>
      </c>
      <c r="AB169" s="24" t="s">
        <v>63</v>
      </c>
      <c r="AC169" s="24" t="s">
        <v>63</v>
      </c>
    </row>
    <row r="170" spans="1:29">
      <c r="A170" s="24" t="s">
        <v>54</v>
      </c>
      <c r="B170" s="24" t="s">
        <v>55</v>
      </c>
      <c r="C170" s="24" t="s">
        <v>56</v>
      </c>
      <c r="D170" s="24" t="s">
        <v>481</v>
      </c>
      <c r="E170" s="24" t="s">
        <v>163</v>
      </c>
      <c r="F170" s="24" t="s">
        <v>598</v>
      </c>
      <c r="G170" s="24" t="s">
        <v>599</v>
      </c>
      <c r="H170" s="27" t="s">
        <v>600</v>
      </c>
      <c r="I170" s="25">
        <v>40572</v>
      </c>
      <c r="J170" s="25">
        <v>0</v>
      </c>
      <c r="K170" s="25">
        <v>0</v>
      </c>
      <c r="L170" s="25">
        <v>0</v>
      </c>
      <c r="M170" s="26">
        <f>I170-J170</f>
        <v>40572.0</v>
      </c>
      <c r="N170" s="26">
        <f>J170-K170</f>
        <v>0.0</v>
      </c>
      <c r="O170" s="26">
        <f>I170-L170</f>
        <v>40572.0</v>
      </c>
      <c r="P170" s="28">
        <f>IF(I170&gt;0,L170/I170,0)</f>
        <v>0.0</v>
      </c>
      <c r="Q170" s="28">
        <f>IF(I170&gt;0,K170/I170,0)</f>
        <v>0.0</v>
      </c>
      <c r="R170" s="24" t="str">
        <f>IF(I170&lt;=0,"Sin PIM",IF(L170/I170&gt;=Config!$B$5,"Ejecutado",IF(K170/I170&gt;=Config!$B$6,"Mayormente comprometido",IF(K170&gt;0.005,"Parcialmente comprometido",IF(J170&gt;0.005,"Solo certificado","Sin certificar")))))</f>
        <v>Sin certificar</v>
      </c>
      <c r="S170" s="24" t="str">
        <f>IF(R170="Sin certificar","Disponible",IF(R170="Solo certificado","Posible",IF(R170="Parcialmente comprometido","Parcial",IF(R170="Mayormente comprometido","Difícil",IF(R170="Ejecutado","No usar","Sin PIM")))))</f>
        <v>Disponible</v>
      </c>
      <c r="T170" s="26">
        <f>IF(OR(I170&lt;=0,R170="Ejecutado"),0,MAX(0,I170-K170))</f>
        <v>40572.0</v>
      </c>
      <c r="U170" s="24" t="s">
        <v>123</v>
      </c>
      <c r="V170" s="24" t="s">
        <v>69</v>
      </c>
      <c r="W170" s="24" t="s">
        <v>69</v>
      </c>
      <c r="X170" s="24" t="s">
        <v>69</v>
      </c>
      <c r="Y170" s="24" t="s">
        <v>69</v>
      </c>
      <c r="Z170" s="24" t="s">
        <v>63</v>
      </c>
      <c r="AA170" s="24" t="s">
        <v>63</v>
      </c>
      <c r="AB170" s="24" t="s">
        <v>63</v>
      </c>
      <c r="AC170" s="24" t="s">
        <v>63</v>
      </c>
    </row>
    <row r="171" spans="1:29">
      <c r="A171" s="24" t="s">
        <v>54</v>
      </c>
      <c r="B171" s="24" t="s">
        <v>55</v>
      </c>
      <c r="C171" s="24" t="s">
        <v>56</v>
      </c>
      <c r="D171" s="24" t="s">
        <v>481</v>
      </c>
      <c r="E171" s="24" t="s">
        <v>163</v>
      </c>
      <c r="F171" s="24" t="s">
        <v>601</v>
      </c>
      <c r="G171" s="24" t="s">
        <v>602</v>
      </c>
      <c r="H171" s="27" t="s">
        <v>603</v>
      </c>
      <c r="I171" s="25">
        <v>75291</v>
      </c>
      <c r="J171" s="25">
        <v>0</v>
      </c>
      <c r="K171" s="25">
        <v>0</v>
      </c>
      <c r="L171" s="25">
        <v>0</v>
      </c>
      <c r="M171" s="26">
        <f>I171-J171</f>
        <v>75291.0</v>
      </c>
      <c r="N171" s="26">
        <f>J171-K171</f>
        <v>0.0</v>
      </c>
      <c r="O171" s="26">
        <f>I171-L171</f>
        <v>75291.0</v>
      </c>
      <c r="P171" s="28">
        <f>IF(I171&gt;0,L171/I171,0)</f>
        <v>0.0</v>
      </c>
      <c r="Q171" s="28">
        <f>IF(I171&gt;0,K171/I171,0)</f>
        <v>0.0</v>
      </c>
      <c r="R171" s="24" t="str">
        <f>IF(I171&lt;=0,"Sin PIM",IF(L171/I171&gt;=Config!$B$5,"Ejecutado",IF(K171/I171&gt;=Config!$B$6,"Mayormente comprometido",IF(K171&gt;0.005,"Parcialmente comprometido",IF(J171&gt;0.005,"Solo certificado","Sin certificar")))))</f>
        <v>Sin certificar</v>
      </c>
      <c r="S171" s="24" t="str">
        <f>IF(R171="Sin certificar","Disponible",IF(R171="Solo certificado","Posible",IF(R171="Parcialmente comprometido","Parcial",IF(R171="Mayormente comprometido","Difícil",IF(R171="Ejecutado","No usar","Sin PIM")))))</f>
        <v>Disponible</v>
      </c>
      <c r="T171" s="26">
        <f>IF(OR(I171&lt;=0,R171="Ejecutado"),0,MAX(0,I171-K171))</f>
        <v>75291.0</v>
      </c>
      <c r="U171" s="24" t="s">
        <v>123</v>
      </c>
      <c r="V171" s="24" t="s">
        <v>69</v>
      </c>
      <c r="W171" s="24" t="s">
        <v>69</v>
      </c>
      <c r="X171" s="24" t="s">
        <v>69</v>
      </c>
      <c r="Y171" s="24" t="s">
        <v>69</v>
      </c>
      <c r="Z171" s="24" t="s">
        <v>63</v>
      </c>
      <c r="AA171" s="24" t="s">
        <v>63</v>
      </c>
      <c r="AB171" s="24" t="s">
        <v>63</v>
      </c>
      <c r="AC171" s="24" t="s">
        <v>63</v>
      </c>
    </row>
    <row r="172" spans="1:29">
      <c r="A172" s="24" t="s">
        <v>54</v>
      </c>
      <c r="B172" s="24" t="s">
        <v>55</v>
      </c>
      <c r="C172" s="24" t="s">
        <v>56</v>
      </c>
      <c r="D172" s="24" t="s">
        <v>481</v>
      </c>
      <c r="E172" s="24" t="s">
        <v>242</v>
      </c>
      <c r="F172" s="24" t="s">
        <v>250</v>
      </c>
      <c r="G172" s="24" t="s">
        <v>604</v>
      </c>
      <c r="H172" s="27" t="s">
        <v>252</v>
      </c>
      <c r="I172" s="25">
        <v>325721</v>
      </c>
      <c r="J172" s="25">
        <v>325721</v>
      </c>
      <c r="K172" s="25">
        <v>325721</v>
      </c>
      <c r="L172" s="25">
        <v>159147.06</v>
      </c>
      <c r="M172" s="26">
        <f>I172-J172</f>
        <v>0.0</v>
      </c>
      <c r="N172" s="26">
        <f>J172-K172</f>
        <v>0.0</v>
      </c>
      <c r="O172" s="26">
        <f>I172-L172</f>
        <v>166573.94</v>
      </c>
      <c r="P172" s="28">
        <f>IF(I172&gt;0,L172/I172,0)</f>
        <v>0.48859932273325946</v>
      </c>
      <c r="Q172" s="28">
        <f>IF(I172&gt;0,K172/I172,0)</f>
        <v>1.0</v>
      </c>
      <c r="R172" s="24" t="str">
        <f>IF(I172&lt;=0,"Sin PIM",IF(L172/I172&gt;=Config!$B$5,"Ejecutado",IF(K172/I172&gt;=Config!$B$6,"Mayormente comprometido",IF(K172&gt;0.005,"Parcialmente comprometido",IF(J172&gt;0.005,"Solo certificado","Sin certificar")))))</f>
        <v>Mayormente comprometido</v>
      </c>
      <c r="S172" s="24" t="str">
        <f>IF(R172="Sin certificar","Disponible",IF(R172="Solo certificado","Posible",IF(R172="Parcialmente comprometido","Parcial",IF(R172="Mayormente comprometido","Difícil",IF(R172="Ejecutado","No usar","Sin PIM")))))</f>
        <v>Difícil</v>
      </c>
      <c r="T172" s="26">
        <f>IF(OR(I172&lt;=0,R172="Ejecutado"),0,MAX(0,I172-K172))</f>
        <v>0.0</v>
      </c>
      <c r="U172" s="24" t="s">
        <v>123</v>
      </c>
      <c r="V172" s="25">
        <v>11675669</v>
      </c>
      <c r="W172" s="25">
        <v>6000000</v>
      </c>
      <c r="X172" s="25">
        <v>6503691</v>
      </c>
      <c r="Y172" s="25">
        <v>7526858</v>
      </c>
      <c r="Z172" s="24" t="s">
        <v>63</v>
      </c>
      <c r="AA172" s="24" t="s">
        <v>63</v>
      </c>
      <c r="AB172" s="24" t="s">
        <v>63</v>
      </c>
      <c r="AC172" s="24" t="s">
        <v>124</v>
      </c>
    </row>
    <row r="173" spans="1:29">
      <c r="A173" s="24" t="s">
        <v>54</v>
      </c>
      <c r="B173" s="24" t="s">
        <v>55</v>
      </c>
      <c r="C173" s="24" t="s">
        <v>56</v>
      </c>
      <c r="D173" s="24" t="s">
        <v>481</v>
      </c>
      <c r="E173" s="24" t="s">
        <v>242</v>
      </c>
      <c r="F173" s="24" t="s">
        <v>605</v>
      </c>
      <c r="G173" s="24" t="s">
        <v>606</v>
      </c>
      <c r="H173" s="27" t="s">
        <v>607</v>
      </c>
      <c r="I173" s="25">
        <v>100021</v>
      </c>
      <c r="J173" s="25">
        <v>59652</v>
      </c>
      <c r="K173" s="25">
        <v>59652</v>
      </c>
      <c r="L173" s="25">
        <v>48247.51</v>
      </c>
      <c r="M173" s="26">
        <f>I173-J173</f>
        <v>40369.0</v>
      </c>
      <c r="N173" s="26">
        <f>J173-K173</f>
        <v>0.0</v>
      </c>
      <c r="O173" s="26">
        <f>I173-L173</f>
        <v>51773.49</v>
      </c>
      <c r="P173" s="28">
        <f>IF(I173&gt;0,L173/I173,0)</f>
        <v>0.4823738015016847</v>
      </c>
      <c r="Q173" s="28">
        <f>IF(I173&gt;0,K173/I173,0)</f>
        <v>0.5963947571010088</v>
      </c>
      <c r="R173" s="24" t="str">
        <f>IF(I173&lt;=0,"Sin PIM",IF(L173/I173&gt;=Config!$B$5,"Ejecutado",IF(K173/I173&gt;=Config!$B$6,"Mayormente comprometido",IF(K173&gt;0.005,"Parcialmente comprometido",IF(J173&gt;0.005,"Solo certificado","Sin certificar")))))</f>
        <v>Mayormente comprometido</v>
      </c>
      <c r="S173" s="24" t="str">
        <f>IF(R173="Sin certificar","Disponible",IF(R173="Solo certificado","Posible",IF(R173="Parcialmente comprometido","Parcial",IF(R173="Mayormente comprometido","Difícil",IF(R173="Ejecutado","No usar","Sin PIM")))))</f>
        <v>Difícil</v>
      </c>
      <c r="T173" s="26">
        <f>IF(OR(I173&lt;=0,R173="Ejecutado"),0,MAX(0,I173-K173))</f>
        <v>40369.0</v>
      </c>
      <c r="U173" s="24" t="s">
        <v>123</v>
      </c>
      <c r="V173" s="25">
        <v>50000</v>
      </c>
      <c r="W173" s="25">
        <v>0</v>
      </c>
      <c r="X173" s="25">
        <v>0</v>
      </c>
      <c r="Y173" s="25">
        <v>1500000</v>
      </c>
      <c r="Z173" s="24" t="s">
        <v>63</v>
      </c>
      <c r="AA173" s="24" t="s">
        <v>63</v>
      </c>
      <c r="AB173" s="24" t="s">
        <v>63</v>
      </c>
      <c r="AC173" s="24" t="s">
        <v>124</v>
      </c>
    </row>
    <row r="174" spans="1:29">
      <c r="A174" s="24" t="s">
        <v>54</v>
      </c>
      <c r="B174" s="24" t="s">
        <v>55</v>
      </c>
      <c r="C174" s="24" t="s">
        <v>56</v>
      </c>
      <c r="D174" s="24" t="s">
        <v>481</v>
      </c>
      <c r="E174" s="24" t="s">
        <v>608</v>
      </c>
      <c r="F174" s="24" t="s">
        <v>609</v>
      </c>
      <c r="G174" s="24" t="s">
        <v>610</v>
      </c>
      <c r="H174" s="27" t="s">
        <v>611</v>
      </c>
      <c r="I174" s="25">
        <v>500000</v>
      </c>
      <c r="J174" s="25">
        <v>0</v>
      </c>
      <c r="K174" s="25">
        <v>0</v>
      </c>
      <c r="L174" s="25">
        <v>0</v>
      </c>
      <c r="M174" s="26">
        <f>I174-J174</f>
        <v>500000.0</v>
      </c>
      <c r="N174" s="26">
        <f>J174-K174</f>
        <v>0.0</v>
      </c>
      <c r="O174" s="26">
        <f>I174-L174</f>
        <v>500000.0</v>
      </c>
      <c r="P174" s="28">
        <f>IF(I174&gt;0,L174/I174,0)</f>
        <v>0.0</v>
      </c>
      <c r="Q174" s="28">
        <f>IF(I174&gt;0,K174/I174,0)</f>
        <v>0.0</v>
      </c>
      <c r="R174" s="24" t="str">
        <f>IF(I174&lt;=0,"Sin PIM",IF(L174/I174&gt;=Config!$B$5,"Ejecutado",IF(K174/I174&gt;=Config!$B$6,"Mayormente comprometido",IF(K174&gt;0.005,"Parcialmente comprometido",IF(J174&gt;0.005,"Solo certificado","Sin certificar")))))</f>
        <v>Sin certificar</v>
      </c>
      <c r="S174" s="24" t="str">
        <f>IF(R174="Sin certificar","Disponible",IF(R174="Solo certificado","Posible",IF(R174="Parcialmente comprometido","Parcial",IF(R174="Mayormente comprometido","Difícil",IF(R174="Ejecutado","No usar","Sin PIM")))))</f>
        <v>Disponible</v>
      </c>
      <c r="T174" s="26">
        <f>IF(OR(I174&lt;=0,R174="Ejecutado"),0,MAX(0,I174-K174))</f>
        <v>500000.0</v>
      </c>
      <c r="U174" s="24" t="s">
        <v>123</v>
      </c>
      <c r="V174" s="24" t="s">
        <v>69</v>
      </c>
      <c r="W174" s="24" t="s">
        <v>69</v>
      </c>
      <c r="X174" s="24" t="s">
        <v>69</v>
      </c>
      <c r="Y174" s="24" t="s">
        <v>69</v>
      </c>
      <c r="Z174" s="24" t="s">
        <v>63</v>
      </c>
      <c r="AA174" s="24" t="s">
        <v>63</v>
      </c>
      <c r="AB174" s="24" t="s">
        <v>63</v>
      </c>
      <c r="AC174" s="24" t="s">
        <v>63</v>
      </c>
    </row>
    <row r="175" spans="1:29">
      <c r="A175" s="24" t="s">
        <v>54</v>
      </c>
      <c r="B175" s="24" t="s">
        <v>55</v>
      </c>
      <c r="C175" s="24" t="s">
        <v>56</v>
      </c>
      <c r="D175" s="24" t="s">
        <v>612</v>
      </c>
      <c r="E175" s="24" t="s">
        <v>58</v>
      </c>
      <c r="F175" s="24" t="s">
        <v>613</v>
      </c>
      <c r="G175" s="24" t="s">
        <v>614</v>
      </c>
      <c r="H175" s="27" t="s">
        <v>615</v>
      </c>
      <c r="I175" s="25">
        <v>10399190</v>
      </c>
      <c r="J175" s="25">
        <v>9609876</v>
      </c>
      <c r="K175" s="25">
        <v>9609876</v>
      </c>
      <c r="L175" s="25">
        <v>0</v>
      </c>
      <c r="M175" s="26">
        <f>I175-J175</f>
        <v>789314.0</v>
      </c>
      <c r="N175" s="26">
        <f>J175-K175</f>
        <v>0.0</v>
      </c>
      <c r="O175" s="26">
        <f>I175-L175</f>
        <v>10399190.0</v>
      </c>
      <c r="P175" s="28">
        <f>IF(I175&gt;0,L175/I175,0)</f>
        <v>0.0</v>
      </c>
      <c r="Q175" s="28">
        <f>IF(I175&gt;0,K175/I175,0)</f>
        <v>0.9240985115186856</v>
      </c>
      <c r="R175" s="24" t="str">
        <f>IF(I175&lt;=0,"Sin PIM",IF(L175/I175&gt;=Config!$B$5,"Ejecutado",IF(K175/I175&gt;=Config!$B$6,"Mayormente comprometido",IF(K175&gt;0.005,"Parcialmente comprometido",IF(J175&gt;0.005,"Solo certificado","Sin certificar")))))</f>
        <v>Mayormente comprometido</v>
      </c>
      <c r="S175" s="24" t="str">
        <f>IF(R175="Sin certificar","Disponible",IF(R175="Solo certificado","Posible",IF(R175="Parcialmente comprometido","Parcial",IF(R175="Mayormente comprometido","Difícil",IF(R175="Ejecutado","No usar","Sin PIM")))))</f>
        <v>Difícil</v>
      </c>
      <c r="T175" s="26">
        <f>IF(OR(I175&lt;=0,R175="Ejecutado"),0,MAX(0,I175-K175))</f>
        <v>789314.0</v>
      </c>
      <c r="U175" s="24" t="s">
        <v>105</v>
      </c>
      <c r="V175" s="25">
        <v>8282615</v>
      </c>
      <c r="W175" s="25">
        <v>10255200</v>
      </c>
      <c r="X175" s="25">
        <v>10389972</v>
      </c>
      <c r="Y175" s="25">
        <v>10574977</v>
      </c>
      <c r="Z175" s="24" t="s">
        <v>63</v>
      </c>
      <c r="AA175" s="24" t="s">
        <v>63</v>
      </c>
      <c r="AB175" s="24" t="s">
        <v>63</v>
      </c>
      <c r="AC175" s="24" t="s">
        <v>101</v>
      </c>
    </row>
    <row r="176" spans="1:29">
      <c r="A176" s="24" t="s">
        <v>54</v>
      </c>
      <c r="B176" s="24" t="s">
        <v>55</v>
      </c>
      <c r="C176" s="24" t="s">
        <v>56</v>
      </c>
      <c r="D176" s="24" t="s">
        <v>612</v>
      </c>
      <c r="E176" s="24" t="s">
        <v>58</v>
      </c>
      <c r="F176" s="24" t="s">
        <v>616</v>
      </c>
      <c r="G176" s="24" t="s">
        <v>617</v>
      </c>
      <c r="H176" s="27" t="s">
        <v>618</v>
      </c>
      <c r="I176" s="25">
        <v>0</v>
      </c>
      <c r="J176" s="25">
        <v>0</v>
      </c>
      <c r="K176" s="25">
        <v>0</v>
      </c>
      <c r="L176" s="25">
        <v>0</v>
      </c>
      <c r="M176" s="26">
        <f>I176-J176</f>
        <v>0.0</v>
      </c>
      <c r="N176" s="26">
        <f>J176-K176</f>
        <v>0.0</v>
      </c>
      <c r="O176" s="26">
        <f>I176-L176</f>
        <v>0.0</v>
      </c>
      <c r="P176" s="28">
        <f>IF(I176&gt;0,L176/I176,0)</f>
        <v>0</v>
      </c>
      <c r="Q176" s="28">
        <f>IF(I176&gt;0,K176/I176,0)</f>
        <v>0</v>
      </c>
      <c r="R176" s="24" t="str">
        <f>IF(I176&lt;=0,"Sin PIM",IF(L176/I176&gt;=Config!$B$5,"Ejecutado",IF(K176/I176&gt;=Config!$B$6,"Mayormente comprometido",IF(K176&gt;0.005,"Parcialmente comprometido",IF(J176&gt;0.005,"Solo certificado","Sin certificar")))))</f>
        <v>Sin PIM</v>
      </c>
      <c r="S176" s="24" t="str">
        <f>IF(R176="Sin certificar","Disponible",IF(R176="Solo certificado","Posible",IF(R176="Parcialmente comprometido","Parcial",IF(R176="Mayormente comprometido","Difícil",IF(R176="Ejecutado","No usar","Sin PIM")))))</f>
        <v>Sin PIM</v>
      </c>
      <c r="T176" s="26">
        <f>IF(OR(I176&lt;=0,R176="Ejecutado"),0,MAX(0,I176-K176))</f>
        <v>0.0</v>
      </c>
      <c r="U176" s="24" t="s">
        <v>105</v>
      </c>
      <c r="V176" s="25">
        <v>1950000</v>
      </c>
      <c r="W176" s="25">
        <v>0</v>
      </c>
      <c r="X176" s="25">
        <v>1500000</v>
      </c>
      <c r="Y176" s="25">
        <v>2450000</v>
      </c>
      <c r="Z176" s="24" t="s">
        <v>63</v>
      </c>
      <c r="AA176" s="24" t="s">
        <v>63</v>
      </c>
      <c r="AB176" s="24" t="s">
        <v>63</v>
      </c>
      <c r="AC176" s="24" t="s">
        <v>101</v>
      </c>
    </row>
    <row r="177" spans="1:29">
      <c r="A177" s="24" t="s">
        <v>54</v>
      </c>
      <c r="B177" s="24" t="s">
        <v>55</v>
      </c>
      <c r="C177" s="24" t="s">
        <v>56</v>
      </c>
      <c r="D177" s="24" t="s">
        <v>612</v>
      </c>
      <c r="E177" s="24" t="s">
        <v>58</v>
      </c>
      <c r="F177" s="24" t="s">
        <v>619</v>
      </c>
      <c r="G177" s="24" t="s">
        <v>620</v>
      </c>
      <c r="H177" s="27" t="s">
        <v>621</v>
      </c>
      <c r="I177" s="25">
        <v>184669</v>
      </c>
      <c r="J177" s="25">
        <v>184669</v>
      </c>
      <c r="K177" s="25">
        <v>0</v>
      </c>
      <c r="L177" s="25">
        <v>0</v>
      </c>
      <c r="M177" s="26">
        <f>I177-J177</f>
        <v>0.0</v>
      </c>
      <c r="N177" s="26">
        <f>J177-K177</f>
        <v>184669.0</v>
      </c>
      <c r="O177" s="26">
        <f>I177-L177</f>
        <v>184669.0</v>
      </c>
      <c r="P177" s="28">
        <f>IF(I177&gt;0,L177/I177,0)</f>
        <v>0.0</v>
      </c>
      <c r="Q177" s="28">
        <f>IF(I177&gt;0,K177/I177,0)</f>
        <v>0.0</v>
      </c>
      <c r="R177" s="24" t="str">
        <f>IF(I177&lt;=0,"Sin PIM",IF(L177/I177&gt;=Config!$B$5,"Ejecutado",IF(K177/I177&gt;=Config!$B$6,"Mayormente comprometido",IF(K177&gt;0.005,"Parcialmente comprometido",IF(J177&gt;0.005,"Solo certificado","Sin certificar")))))</f>
        <v>Solo certificado</v>
      </c>
      <c r="S177" s="24" t="str">
        <f>IF(R177="Sin certificar","Disponible",IF(R177="Solo certificado","Posible",IF(R177="Parcialmente comprometido","Parcial",IF(R177="Mayormente comprometido","Difícil",IF(R177="Ejecutado","No usar","Sin PIM")))))</f>
        <v>Posible</v>
      </c>
      <c r="T177" s="26">
        <f>IF(OR(I177&lt;=0,R177="Ejecutado"),0,MAX(0,I177-K177))</f>
        <v>184669.0</v>
      </c>
      <c r="U177" s="24" t="s">
        <v>105</v>
      </c>
      <c r="V177" s="25">
        <v>5319000</v>
      </c>
      <c r="W177" s="25">
        <v>8587485</v>
      </c>
      <c r="X177" s="25">
        <v>0</v>
      </c>
      <c r="Y177" s="25">
        <v>1000000</v>
      </c>
      <c r="Z177" s="24" t="s">
        <v>63</v>
      </c>
      <c r="AA177" s="24" t="s">
        <v>63</v>
      </c>
      <c r="AB177" s="24" t="s">
        <v>63</v>
      </c>
      <c r="AC177" s="24" t="s">
        <v>101</v>
      </c>
    </row>
    <row r="178" spans="1:29">
      <c r="A178" s="24" t="s">
        <v>54</v>
      </c>
      <c r="B178" s="24" t="s">
        <v>55</v>
      </c>
      <c r="C178" s="24" t="s">
        <v>56</v>
      </c>
      <c r="D178" s="24" t="s">
        <v>612</v>
      </c>
      <c r="E178" s="24" t="s">
        <v>58</v>
      </c>
      <c r="F178" s="24" t="s">
        <v>622</v>
      </c>
      <c r="G178" s="24" t="s">
        <v>623</v>
      </c>
      <c r="H178" s="27" t="s">
        <v>624</v>
      </c>
      <c r="I178" s="25">
        <v>200000</v>
      </c>
      <c r="J178" s="25">
        <v>50000</v>
      </c>
      <c r="K178" s="25">
        <v>0</v>
      </c>
      <c r="L178" s="25">
        <v>0</v>
      </c>
      <c r="M178" s="26">
        <f>I178-J178</f>
        <v>150000.0</v>
      </c>
      <c r="N178" s="26">
        <f>J178-K178</f>
        <v>50000.0</v>
      </c>
      <c r="O178" s="26">
        <f>I178-L178</f>
        <v>200000.0</v>
      </c>
      <c r="P178" s="28">
        <f>IF(I178&gt;0,L178/I178,0)</f>
        <v>0.0</v>
      </c>
      <c r="Q178" s="28">
        <f>IF(I178&gt;0,K178/I178,0)</f>
        <v>0.0</v>
      </c>
      <c r="R178" s="24" t="str">
        <f>IF(I178&lt;=0,"Sin PIM",IF(L178/I178&gt;=Config!$B$5,"Ejecutado",IF(K178/I178&gt;=Config!$B$6,"Mayormente comprometido",IF(K178&gt;0.005,"Parcialmente comprometido",IF(J178&gt;0.005,"Solo certificado","Sin certificar")))))</f>
        <v>Solo certificado</v>
      </c>
      <c r="S178" s="24" t="str">
        <f>IF(R178="Sin certificar","Disponible",IF(R178="Solo certificado","Posible",IF(R178="Parcialmente comprometido","Parcial",IF(R178="Mayormente comprometido","Difícil",IF(R178="Ejecutado","No usar","Sin PIM")))))</f>
        <v>Posible</v>
      </c>
      <c r="T178" s="26">
        <f>IF(OR(I178&lt;=0,R178="Ejecutado"),0,MAX(0,I178-K178))</f>
        <v>200000.0</v>
      </c>
      <c r="U178" s="24" t="s">
        <v>460</v>
      </c>
      <c r="V178" s="25">
        <v>200000</v>
      </c>
      <c r="W178" s="25">
        <v>1474000</v>
      </c>
      <c r="X178" s="25">
        <v>0</v>
      </c>
      <c r="Y178" s="25">
        <v>0</v>
      </c>
      <c r="Z178" s="24" t="s">
        <v>63</v>
      </c>
      <c r="AA178" s="24" t="s">
        <v>63</v>
      </c>
      <c r="AB178" s="24" t="s">
        <v>63</v>
      </c>
      <c r="AC178" s="24" t="s">
        <v>101</v>
      </c>
    </row>
    <row r="179" spans="1:29">
      <c r="A179" s="24" t="s">
        <v>54</v>
      </c>
      <c r="B179" s="24" t="s">
        <v>55</v>
      </c>
      <c r="C179" s="24" t="s">
        <v>56</v>
      </c>
      <c r="D179" s="24" t="s">
        <v>612</v>
      </c>
      <c r="E179" s="24" t="s">
        <v>58</v>
      </c>
      <c r="F179" s="24" t="s">
        <v>625</v>
      </c>
      <c r="G179" s="24" t="s">
        <v>626</v>
      </c>
      <c r="H179" s="27" t="s">
        <v>627</v>
      </c>
      <c r="I179" s="25">
        <v>654662</v>
      </c>
      <c r="J179" s="25">
        <v>654662</v>
      </c>
      <c r="K179" s="25">
        <v>480065.3</v>
      </c>
      <c r="L179" s="25">
        <v>0</v>
      </c>
      <c r="M179" s="26">
        <f>I179-J179</f>
        <v>0.0</v>
      </c>
      <c r="N179" s="26">
        <f>J179-K179</f>
        <v>174596.7</v>
      </c>
      <c r="O179" s="26">
        <f>I179-L179</f>
        <v>654662.0</v>
      </c>
      <c r="P179" s="28">
        <f>IF(I179&gt;0,L179/I179,0)</f>
        <v>0.0</v>
      </c>
      <c r="Q179" s="28">
        <f>IF(I179&gt;0,K179/I179,0)</f>
        <v>0.7333025286330962</v>
      </c>
      <c r="R179" s="24" t="str">
        <f>IF(I179&lt;=0,"Sin PIM",IF(L179/I179&gt;=Config!$B$5,"Ejecutado",IF(K179/I179&gt;=Config!$B$6,"Mayormente comprometido",IF(K179&gt;0.005,"Parcialmente comprometido",IF(J179&gt;0.005,"Solo certificado","Sin certificar")))))</f>
        <v>Mayormente comprometido</v>
      </c>
      <c r="S179" s="24" t="str">
        <f>IF(R179="Sin certificar","Disponible",IF(R179="Solo certificado","Posible",IF(R179="Parcialmente comprometido","Parcial",IF(R179="Mayormente comprometido","Difícil",IF(R179="Ejecutado","No usar","Sin PIM")))))</f>
        <v>Difícil</v>
      </c>
      <c r="T179" s="26">
        <f>IF(OR(I179&lt;=0,R179="Ejecutado"),0,MAX(0,I179-K179))</f>
        <v>174596.7</v>
      </c>
      <c r="U179" s="24" t="s">
        <v>123</v>
      </c>
      <c r="V179" s="24" t="s">
        <v>69</v>
      </c>
      <c r="W179" s="24" t="s">
        <v>69</v>
      </c>
      <c r="X179" s="24" t="s">
        <v>69</v>
      </c>
      <c r="Y179" s="24" t="s">
        <v>69</v>
      </c>
      <c r="Z179" s="24" t="s">
        <v>63</v>
      </c>
      <c r="AA179" s="24" t="s">
        <v>63</v>
      </c>
      <c r="AB179" s="24" t="s">
        <v>63</v>
      </c>
      <c r="AC179" s="24" t="s">
        <v>70</v>
      </c>
    </row>
    <row r="180" spans="1:29">
      <c r="A180" s="24" t="s">
        <v>54</v>
      </c>
      <c r="B180" s="24" t="s">
        <v>55</v>
      </c>
      <c r="C180" s="24" t="s">
        <v>56</v>
      </c>
      <c r="D180" s="24" t="s">
        <v>612</v>
      </c>
      <c r="E180" s="24" t="s">
        <v>58</v>
      </c>
      <c r="F180" s="24" t="s">
        <v>628</v>
      </c>
      <c r="G180" s="24" t="s">
        <v>629</v>
      </c>
      <c r="H180" s="27" t="s">
        <v>630</v>
      </c>
      <c r="I180" s="25">
        <v>82568</v>
      </c>
      <c r="J180" s="25">
        <v>82568</v>
      </c>
      <c r="K180" s="25">
        <v>62568</v>
      </c>
      <c r="L180" s="25">
        <v>57743.81</v>
      </c>
      <c r="M180" s="26">
        <f>I180-J180</f>
        <v>0.0</v>
      </c>
      <c r="N180" s="26">
        <f>J180-K180</f>
        <v>20000.0</v>
      </c>
      <c r="O180" s="26">
        <f>I180-L180</f>
        <v>24824.190000000002</v>
      </c>
      <c r="P180" s="28">
        <f>IF(I180&gt;0,L180/I180,0)</f>
        <v>0.6993485369634725</v>
      </c>
      <c r="Q180" s="28">
        <f>IF(I180&gt;0,K180/I180,0)</f>
        <v>0.7577754093595582</v>
      </c>
      <c r="R180" s="24" t="str">
        <f>IF(I180&lt;=0,"Sin PIM",IF(L180/I180&gt;=Config!$B$5,"Ejecutado",IF(K180/I180&gt;=Config!$B$6,"Mayormente comprometido",IF(K180&gt;0.005,"Parcialmente comprometido",IF(J180&gt;0.005,"Solo certificado","Sin certificar")))))</f>
        <v>Mayormente comprometido</v>
      </c>
      <c r="S180" s="24" t="str">
        <f>IF(R180="Sin certificar","Disponible",IF(R180="Solo certificado","Posible",IF(R180="Parcialmente comprometido","Parcial",IF(R180="Mayormente comprometido","Difícil",IF(R180="Ejecutado","No usar","Sin PIM")))))</f>
        <v>Difícil</v>
      </c>
      <c r="T180" s="26">
        <f>IF(OR(I180&lt;=0,R180="Ejecutado"),0,MAX(0,I180-K180))</f>
        <v>20000.0</v>
      </c>
      <c r="U180" s="24" t="s">
        <v>123</v>
      </c>
      <c r="V180" s="25">
        <v>4190000</v>
      </c>
      <c r="W180" s="25">
        <v>7462800</v>
      </c>
      <c r="X180" s="25">
        <v>7500000</v>
      </c>
      <c r="Y180" s="25">
        <v>12829438</v>
      </c>
      <c r="Z180" s="24" t="s">
        <v>63</v>
      </c>
      <c r="AA180" s="24" t="s">
        <v>63</v>
      </c>
      <c r="AB180" s="24" t="s">
        <v>63</v>
      </c>
      <c r="AC180" s="24" t="s">
        <v>101</v>
      </c>
    </row>
    <row r="181" spans="1:29">
      <c r="A181" s="24" t="s">
        <v>54</v>
      </c>
      <c r="B181" s="24" t="s">
        <v>55</v>
      </c>
      <c r="C181" s="24" t="s">
        <v>56</v>
      </c>
      <c r="D181" s="24" t="s">
        <v>612</v>
      </c>
      <c r="E181" s="24" t="s">
        <v>58</v>
      </c>
      <c r="F181" s="24" t="s">
        <v>631</v>
      </c>
      <c r="G181" s="24" t="s">
        <v>632</v>
      </c>
      <c r="H181" s="27" t="s">
        <v>633</v>
      </c>
      <c r="I181" s="25">
        <v>100000</v>
      </c>
      <c r="J181" s="25">
        <v>100000</v>
      </c>
      <c r="K181" s="25">
        <v>100000</v>
      </c>
      <c r="L181" s="25">
        <v>85262.53</v>
      </c>
      <c r="M181" s="26">
        <f>I181-J181</f>
        <v>0.0</v>
      </c>
      <c r="N181" s="26">
        <f>J181-K181</f>
        <v>0.0</v>
      </c>
      <c r="O181" s="26">
        <f>I181-L181</f>
        <v>14737.470000000001</v>
      </c>
      <c r="P181" s="28">
        <f>IF(I181&gt;0,L181/I181,0)</f>
        <v>0.8526253</v>
      </c>
      <c r="Q181" s="28">
        <f>IF(I181&gt;0,K181/I181,0)</f>
        <v>1.0</v>
      </c>
      <c r="R181" s="24" t="str">
        <f>IF(I181&lt;=0,"Sin PIM",IF(L181/I181&gt;=Config!$B$5,"Ejecutado",IF(K181/I181&gt;=Config!$B$6,"Mayormente comprometido",IF(K181&gt;0.005,"Parcialmente comprometido",IF(J181&gt;0.005,"Solo certificado","Sin certificar")))))</f>
        <v>Mayormente comprometido</v>
      </c>
      <c r="S181" s="24" t="str">
        <f>IF(R181="Sin certificar","Disponible",IF(R181="Solo certificado","Posible",IF(R181="Parcialmente comprometido","Parcial",IF(R181="Mayormente comprometido","Difícil",IF(R181="Ejecutado","No usar","Sin PIM")))))</f>
        <v>Difícil</v>
      </c>
      <c r="T181" s="26">
        <f>IF(OR(I181&lt;=0,R181="Ejecutado"),0,MAX(0,I181-K181))</f>
        <v>0.0</v>
      </c>
      <c r="U181" s="24" t="s">
        <v>123</v>
      </c>
      <c r="V181" s="25">
        <v>100000</v>
      </c>
      <c r="W181" s="25">
        <v>7898542</v>
      </c>
      <c r="X181" s="25">
        <v>0</v>
      </c>
      <c r="Y181" s="25">
        <v>1000000</v>
      </c>
      <c r="Z181" s="24" t="s">
        <v>63</v>
      </c>
      <c r="AA181" s="24" t="s">
        <v>63</v>
      </c>
      <c r="AB181" s="24" t="s">
        <v>63</v>
      </c>
      <c r="AC181" s="24" t="s">
        <v>101</v>
      </c>
    </row>
    <row r="182" spans="1:29">
      <c r="A182" s="24" t="s">
        <v>54</v>
      </c>
      <c r="B182" s="24" t="s">
        <v>55</v>
      </c>
      <c r="C182" s="24" t="s">
        <v>56</v>
      </c>
      <c r="D182" s="24" t="s">
        <v>612</v>
      </c>
      <c r="E182" s="24" t="s">
        <v>58</v>
      </c>
      <c r="F182" s="24" t="s">
        <v>634</v>
      </c>
      <c r="G182" s="24" t="s">
        <v>635</v>
      </c>
      <c r="H182" s="27" t="s">
        <v>636</v>
      </c>
      <c r="I182" s="25">
        <v>0</v>
      </c>
      <c r="J182" s="25">
        <v>0</v>
      </c>
      <c r="K182" s="25">
        <v>0</v>
      </c>
      <c r="L182" s="25">
        <v>0</v>
      </c>
      <c r="M182" s="26">
        <f>I182-J182</f>
        <v>0.0</v>
      </c>
      <c r="N182" s="26">
        <f>J182-K182</f>
        <v>0.0</v>
      </c>
      <c r="O182" s="26">
        <f>I182-L182</f>
        <v>0.0</v>
      </c>
      <c r="P182" s="28">
        <f>IF(I182&gt;0,L182/I182,0)</f>
        <v>0</v>
      </c>
      <c r="Q182" s="28">
        <f>IF(I182&gt;0,K182/I182,0)</f>
        <v>0</v>
      </c>
      <c r="R182" s="24" t="str">
        <f>IF(I182&lt;=0,"Sin PIM",IF(L182/I182&gt;=Config!$B$5,"Ejecutado",IF(K182/I182&gt;=Config!$B$6,"Mayormente comprometido",IF(K182&gt;0.005,"Parcialmente comprometido",IF(J182&gt;0.005,"Solo certificado","Sin certificar")))))</f>
        <v>Sin PIM</v>
      </c>
      <c r="S182" s="24" t="str">
        <f>IF(R182="Sin certificar","Disponible",IF(R182="Solo certificado","Posible",IF(R182="Parcialmente comprometido","Parcial",IF(R182="Mayormente comprometido","Difícil",IF(R182="Ejecutado","No usar","Sin PIM")))))</f>
        <v>Sin PIM</v>
      </c>
      <c r="T182" s="26">
        <f>IF(OR(I182&lt;=0,R182="Ejecutado"),0,MAX(0,I182-K182))</f>
        <v>0.0</v>
      </c>
      <c r="U182" s="24" t="s">
        <v>105</v>
      </c>
      <c r="V182" s="25">
        <v>100000</v>
      </c>
      <c r="W182" s="25">
        <v>0</v>
      </c>
      <c r="X182" s="25">
        <v>0</v>
      </c>
      <c r="Y182" s="25">
        <v>0</v>
      </c>
      <c r="Z182" s="24" t="s">
        <v>63</v>
      </c>
      <c r="AA182" s="24" t="s">
        <v>63</v>
      </c>
      <c r="AB182" s="24" t="s">
        <v>63</v>
      </c>
      <c r="AC182" s="24" t="s">
        <v>101</v>
      </c>
    </row>
    <row r="183" spans="1:29">
      <c r="A183" s="24" t="s">
        <v>54</v>
      </c>
      <c r="B183" s="24" t="s">
        <v>55</v>
      </c>
      <c r="C183" s="24" t="s">
        <v>56</v>
      </c>
      <c r="D183" s="24" t="s">
        <v>612</v>
      </c>
      <c r="E183" s="24" t="s">
        <v>58</v>
      </c>
      <c r="F183" s="24" t="s">
        <v>637</v>
      </c>
      <c r="G183" s="24" t="s">
        <v>638</v>
      </c>
      <c r="H183" s="27" t="s">
        <v>639</v>
      </c>
      <c r="I183" s="25">
        <v>154665</v>
      </c>
      <c r="J183" s="25">
        <v>154665</v>
      </c>
      <c r="K183" s="25">
        <v>154665</v>
      </c>
      <c r="L183" s="25">
        <v>154066.77</v>
      </c>
      <c r="M183" s="26">
        <f>I183-J183</f>
        <v>0.0</v>
      </c>
      <c r="N183" s="26">
        <f>J183-K183</f>
        <v>0.0</v>
      </c>
      <c r="O183" s="26">
        <f>I183-L183</f>
        <v>598.2300000000105</v>
      </c>
      <c r="P183" s="28">
        <f>IF(I183&gt;0,L183/I183,0)</f>
        <v>0.9961320919406459</v>
      </c>
      <c r="Q183" s="28">
        <f>IF(I183&gt;0,K183/I183,0)</f>
        <v>1.0</v>
      </c>
      <c r="R183" s="24" t="str">
        <f>IF(I183&lt;=0,"Sin PIM",IF(L183/I183&gt;=Config!$B$5,"Ejecutado",IF(K183/I183&gt;=Config!$B$6,"Mayormente comprometido",IF(K183&gt;0.005,"Parcialmente comprometido",IF(J183&gt;0.005,"Solo certificado","Sin certificar")))))</f>
        <v>Ejecutado</v>
      </c>
      <c r="S183" s="24" t="str">
        <f>IF(R183="Sin certificar","Disponible",IF(R183="Solo certificado","Posible",IF(R183="Parcialmente comprometido","Parcial",IF(R183="Mayormente comprometido","Difícil",IF(R183="Ejecutado","No usar","Sin PIM")))))</f>
        <v>No usar</v>
      </c>
      <c r="T183" s="26">
        <f>IF(OR(I183&lt;=0,R183="Ejecutado"),0,MAX(0,I183-K183))</f>
        <v>0.0</v>
      </c>
      <c r="U183" s="24" t="s">
        <v>123</v>
      </c>
      <c r="V183" s="25">
        <v>200000</v>
      </c>
      <c r="W183" s="25">
        <v>8562546</v>
      </c>
      <c r="X183" s="25">
        <v>5000000</v>
      </c>
      <c r="Y183" s="25">
        <v>5168291</v>
      </c>
      <c r="Z183" s="24" t="s">
        <v>63</v>
      </c>
      <c r="AA183" s="24" t="s">
        <v>63</v>
      </c>
      <c r="AB183" s="24" t="s">
        <v>63</v>
      </c>
      <c r="AC183" s="24" t="s">
        <v>101</v>
      </c>
    </row>
    <row r="184" spans="1:29">
      <c r="A184" s="24" t="s">
        <v>54</v>
      </c>
      <c r="B184" s="24" t="s">
        <v>55</v>
      </c>
      <c r="C184" s="24" t="s">
        <v>56</v>
      </c>
      <c r="D184" s="24" t="s">
        <v>612</v>
      </c>
      <c r="E184" s="24" t="s">
        <v>58</v>
      </c>
      <c r="F184" s="24" t="s">
        <v>640</v>
      </c>
      <c r="G184" s="24" t="s">
        <v>641</v>
      </c>
      <c r="H184" s="27" t="s">
        <v>642</v>
      </c>
      <c r="I184" s="25">
        <v>1750696</v>
      </c>
      <c r="J184" s="25">
        <v>1750696</v>
      </c>
      <c r="K184" s="25">
        <v>0</v>
      </c>
      <c r="L184" s="25">
        <v>0</v>
      </c>
      <c r="M184" s="26">
        <f>I184-J184</f>
        <v>0.0</v>
      </c>
      <c r="N184" s="26">
        <f>J184-K184</f>
        <v>1750696.0</v>
      </c>
      <c r="O184" s="26">
        <f>I184-L184</f>
        <v>1750696.0</v>
      </c>
      <c r="P184" s="28">
        <f>IF(I184&gt;0,L184/I184,0)</f>
        <v>0.0</v>
      </c>
      <c r="Q184" s="28">
        <f>IF(I184&gt;0,K184/I184,0)</f>
        <v>0.0</v>
      </c>
      <c r="R184" s="24" t="str">
        <f>IF(I184&lt;=0,"Sin PIM",IF(L184/I184&gt;=Config!$B$5,"Ejecutado",IF(K184/I184&gt;=Config!$B$6,"Mayormente comprometido",IF(K184&gt;0.005,"Parcialmente comprometido",IF(J184&gt;0.005,"Solo certificado","Sin certificar")))))</f>
        <v>Solo certificado</v>
      </c>
      <c r="S184" s="24" t="str">
        <f>IF(R184="Sin certificar","Disponible",IF(R184="Solo certificado","Posible",IF(R184="Parcialmente comprometido","Parcial",IF(R184="Mayormente comprometido","Difícil",IF(R184="Ejecutado","No usar","Sin PIM")))))</f>
        <v>Posible</v>
      </c>
      <c r="T184" s="26">
        <f>IF(OR(I184&lt;=0,R184="Ejecutado"),0,MAX(0,I184-K184))</f>
        <v>1750696.0</v>
      </c>
      <c r="U184" s="24" t="s">
        <v>105</v>
      </c>
      <c r="V184" s="25">
        <v>4083424</v>
      </c>
      <c r="W184" s="25">
        <v>8803099</v>
      </c>
      <c r="X184" s="25">
        <v>5321398</v>
      </c>
      <c r="Y184" s="25">
        <v>0</v>
      </c>
      <c r="Z184" s="24" t="s">
        <v>63</v>
      </c>
      <c r="AA184" s="24" t="s">
        <v>63</v>
      </c>
      <c r="AB184" s="24" t="s">
        <v>63</v>
      </c>
      <c r="AC184" s="24" t="s">
        <v>643</v>
      </c>
    </row>
    <row r="185" spans="1:29">
      <c r="A185" s="24" t="s">
        <v>54</v>
      </c>
      <c r="B185" s="24" t="s">
        <v>55</v>
      </c>
      <c r="C185" s="24" t="s">
        <v>56</v>
      </c>
      <c r="D185" s="24" t="s">
        <v>612</v>
      </c>
      <c r="E185" s="24" t="s">
        <v>58</v>
      </c>
      <c r="F185" s="24" t="s">
        <v>644</v>
      </c>
      <c r="G185" s="24" t="s">
        <v>645</v>
      </c>
      <c r="H185" s="27" t="s">
        <v>646</v>
      </c>
      <c r="I185" s="25">
        <v>0</v>
      </c>
      <c r="J185" s="25">
        <v>0</v>
      </c>
      <c r="K185" s="25">
        <v>0</v>
      </c>
      <c r="L185" s="25">
        <v>0</v>
      </c>
      <c r="M185" s="26">
        <f>I185-J185</f>
        <v>0.0</v>
      </c>
      <c r="N185" s="26">
        <f>J185-K185</f>
        <v>0.0</v>
      </c>
      <c r="O185" s="26">
        <f>I185-L185</f>
        <v>0.0</v>
      </c>
      <c r="P185" s="28">
        <f>IF(I185&gt;0,L185/I185,0)</f>
        <v>0</v>
      </c>
      <c r="Q185" s="28">
        <f>IF(I185&gt;0,K185/I185,0)</f>
        <v>0</v>
      </c>
      <c r="R185" s="24" t="str">
        <f>IF(I185&lt;=0,"Sin PIM",IF(L185/I185&gt;=Config!$B$5,"Ejecutado",IF(K185/I185&gt;=Config!$B$6,"Mayormente comprometido",IF(K185&gt;0.005,"Parcialmente comprometido",IF(J185&gt;0.005,"Solo certificado","Sin certificar")))))</f>
        <v>Sin PIM</v>
      </c>
      <c r="S185" s="24" t="str">
        <f>IF(R185="Sin certificar","Disponible",IF(R185="Solo certificado","Posible",IF(R185="Parcialmente comprometido","Parcial",IF(R185="Mayormente comprometido","Difícil",IF(R185="Ejecutado","No usar","Sin PIM")))))</f>
        <v>Sin PIM</v>
      </c>
      <c r="T185" s="26">
        <f>IF(OR(I185&lt;=0,R185="Ejecutado"),0,MAX(0,I185-K185))</f>
        <v>0.0</v>
      </c>
      <c r="U185" s="24" t="s">
        <v>105</v>
      </c>
      <c r="V185" s="25">
        <v>100000</v>
      </c>
      <c r="W185" s="25">
        <v>0</v>
      </c>
      <c r="X185" s="25">
        <v>0</v>
      </c>
      <c r="Y185" s="25">
        <v>500000</v>
      </c>
      <c r="Z185" s="24" t="s">
        <v>63</v>
      </c>
      <c r="AA185" s="24" t="s">
        <v>63</v>
      </c>
      <c r="AB185" s="24" t="s">
        <v>63</v>
      </c>
      <c r="AC185" s="24" t="s">
        <v>101</v>
      </c>
    </row>
    <row r="186" spans="1:29">
      <c r="A186" s="24" t="s">
        <v>54</v>
      </c>
      <c r="B186" s="24" t="s">
        <v>55</v>
      </c>
      <c r="C186" s="24" t="s">
        <v>56</v>
      </c>
      <c r="D186" s="24" t="s">
        <v>612</v>
      </c>
      <c r="E186" s="24" t="s">
        <v>58</v>
      </c>
      <c r="F186" s="24" t="s">
        <v>647</v>
      </c>
      <c r="G186" s="24" t="s">
        <v>648</v>
      </c>
      <c r="H186" s="27" t="s">
        <v>649</v>
      </c>
      <c r="I186" s="25">
        <v>656461</v>
      </c>
      <c r="J186" s="25">
        <v>656461</v>
      </c>
      <c r="K186" s="25">
        <v>0</v>
      </c>
      <c r="L186" s="25">
        <v>0</v>
      </c>
      <c r="M186" s="26">
        <f>I186-J186</f>
        <v>0.0</v>
      </c>
      <c r="N186" s="26">
        <f>J186-K186</f>
        <v>656461.0</v>
      </c>
      <c r="O186" s="26">
        <f>I186-L186</f>
        <v>656461.0</v>
      </c>
      <c r="P186" s="28">
        <f>IF(I186&gt;0,L186/I186,0)</f>
        <v>0.0</v>
      </c>
      <c r="Q186" s="28">
        <f>IF(I186&gt;0,K186/I186,0)</f>
        <v>0.0</v>
      </c>
      <c r="R186" s="24" t="str">
        <f>IF(I186&lt;=0,"Sin PIM",IF(L186/I186&gt;=Config!$B$5,"Ejecutado",IF(K186/I186&gt;=Config!$B$6,"Mayormente comprometido",IF(K186&gt;0.005,"Parcialmente comprometido",IF(J186&gt;0.005,"Solo certificado","Sin certificar")))))</f>
        <v>Solo certificado</v>
      </c>
      <c r="S186" s="24" t="str">
        <f>IF(R186="Sin certificar","Disponible",IF(R186="Solo certificado","Posible",IF(R186="Parcialmente comprometido","Parcial",IF(R186="Mayormente comprometido","Difícil",IF(R186="Ejecutado","No usar","Sin PIM")))))</f>
        <v>Posible</v>
      </c>
      <c r="T186" s="26">
        <f>IF(OR(I186&lt;=0,R186="Ejecutado"),0,MAX(0,I186-K186))</f>
        <v>656461.0</v>
      </c>
      <c r="U186" s="24" t="s">
        <v>123</v>
      </c>
      <c r="V186" s="25">
        <v>50000</v>
      </c>
      <c r="W186" s="25">
        <v>7005844</v>
      </c>
      <c r="X186" s="25">
        <v>0</v>
      </c>
      <c r="Y186" s="25">
        <v>3544143</v>
      </c>
      <c r="Z186" s="24" t="s">
        <v>63</v>
      </c>
      <c r="AA186" s="24" t="s">
        <v>63</v>
      </c>
      <c r="AB186" s="24" t="s">
        <v>63</v>
      </c>
      <c r="AC186" s="24" t="s">
        <v>101</v>
      </c>
    </row>
    <row r="187" spans="1:29">
      <c r="A187" s="24" t="s">
        <v>54</v>
      </c>
      <c r="B187" s="24" t="s">
        <v>55</v>
      </c>
      <c r="C187" s="24" t="s">
        <v>56</v>
      </c>
      <c r="D187" s="24" t="s">
        <v>612</v>
      </c>
      <c r="E187" s="24" t="s">
        <v>58</v>
      </c>
      <c r="F187" s="24" t="s">
        <v>650</v>
      </c>
      <c r="G187" s="24" t="s">
        <v>651</v>
      </c>
      <c r="H187" s="27" t="s">
        <v>652</v>
      </c>
      <c r="I187" s="25">
        <v>606461</v>
      </c>
      <c r="J187" s="25">
        <v>606460.53</v>
      </c>
      <c r="K187" s="25">
        <v>0</v>
      </c>
      <c r="L187" s="25">
        <v>0</v>
      </c>
      <c r="M187" s="26">
        <f>I187-J187</f>
        <v>0.4699999999720603</v>
      </c>
      <c r="N187" s="26">
        <f>J187-K187</f>
        <v>606460.53</v>
      </c>
      <c r="O187" s="26">
        <f>I187-L187</f>
        <v>606461.0</v>
      </c>
      <c r="P187" s="28">
        <f>IF(I187&gt;0,L187/I187,0)</f>
        <v>0.0</v>
      </c>
      <c r="Q187" s="28">
        <f>IF(I187&gt;0,K187/I187,0)</f>
        <v>0.0</v>
      </c>
      <c r="R187" s="24" t="str">
        <f>IF(I187&lt;=0,"Sin PIM",IF(L187/I187&gt;=Config!$B$5,"Ejecutado",IF(K187/I187&gt;=Config!$B$6,"Mayormente comprometido",IF(K187&gt;0.005,"Parcialmente comprometido",IF(J187&gt;0.005,"Solo certificado","Sin certificar")))))</f>
        <v>Solo certificado</v>
      </c>
      <c r="S187" s="24" t="str">
        <f>IF(R187="Sin certificar","Disponible",IF(R187="Solo certificado","Posible",IF(R187="Parcialmente comprometido","Parcial",IF(R187="Mayormente comprometido","Difícil",IF(R187="Ejecutado","No usar","Sin PIM")))))</f>
        <v>Posible</v>
      </c>
      <c r="T187" s="26">
        <f>IF(OR(I187&lt;=0,R187="Ejecutado"),0,MAX(0,I187-K187))</f>
        <v>606461.0</v>
      </c>
      <c r="U187" s="24" t="s">
        <v>123</v>
      </c>
      <c r="V187" s="25">
        <v>706461</v>
      </c>
      <c r="W187" s="25">
        <v>7021584</v>
      </c>
      <c r="X187" s="25">
        <v>0</v>
      </c>
      <c r="Y187" s="25">
        <v>1000000</v>
      </c>
      <c r="Z187" s="24" t="s">
        <v>63</v>
      </c>
      <c r="AA187" s="24" t="s">
        <v>63</v>
      </c>
      <c r="AB187" s="24" t="s">
        <v>63</v>
      </c>
      <c r="AC187" s="24" t="s">
        <v>101</v>
      </c>
    </row>
    <row r="188" spans="1:29">
      <c r="A188" s="24" t="s">
        <v>54</v>
      </c>
      <c r="B188" s="24" t="s">
        <v>55</v>
      </c>
      <c r="C188" s="24" t="s">
        <v>56</v>
      </c>
      <c r="D188" s="24" t="s">
        <v>612</v>
      </c>
      <c r="E188" s="24" t="s">
        <v>58</v>
      </c>
      <c r="F188" s="24" t="s">
        <v>653</v>
      </c>
      <c r="G188" s="24" t="s">
        <v>654</v>
      </c>
      <c r="H188" s="27" t="s">
        <v>655</v>
      </c>
      <c r="I188" s="25">
        <v>0</v>
      </c>
      <c r="J188" s="25">
        <v>0</v>
      </c>
      <c r="K188" s="25">
        <v>0</v>
      </c>
      <c r="L188" s="25">
        <v>0</v>
      </c>
      <c r="M188" s="26">
        <f>I188-J188</f>
        <v>0.0</v>
      </c>
      <c r="N188" s="26">
        <f>J188-K188</f>
        <v>0.0</v>
      </c>
      <c r="O188" s="26">
        <f>I188-L188</f>
        <v>0.0</v>
      </c>
      <c r="P188" s="28">
        <f>IF(I188&gt;0,L188/I188,0)</f>
        <v>0</v>
      </c>
      <c r="Q188" s="28">
        <f>IF(I188&gt;0,K188/I188,0)</f>
        <v>0</v>
      </c>
      <c r="R188" s="24" t="str">
        <f>IF(I188&lt;=0,"Sin PIM",IF(L188/I188&gt;=Config!$B$5,"Ejecutado",IF(K188/I188&gt;=Config!$B$6,"Mayormente comprometido",IF(K188&gt;0.005,"Parcialmente comprometido",IF(J188&gt;0.005,"Solo certificado","Sin certificar")))))</f>
        <v>Sin PIM</v>
      </c>
      <c r="S188" s="24" t="str">
        <f>IF(R188="Sin certificar","Disponible",IF(R188="Solo certificado","Posible",IF(R188="Parcialmente comprometido","Parcial",IF(R188="Mayormente comprometido","Difícil",IF(R188="Ejecutado","No usar","Sin PIM")))))</f>
        <v>Sin PIM</v>
      </c>
      <c r="T188" s="26">
        <f>IF(OR(I188&lt;=0,R188="Ejecutado"),0,MAX(0,I188-K188))</f>
        <v>0.0</v>
      </c>
      <c r="U188" s="24" t="s">
        <v>105</v>
      </c>
      <c r="V188" s="25">
        <v>100000</v>
      </c>
      <c r="W188" s="25">
        <v>0</v>
      </c>
      <c r="X188" s="25">
        <v>0</v>
      </c>
      <c r="Y188" s="25">
        <v>1000000</v>
      </c>
      <c r="Z188" s="24" t="s">
        <v>63</v>
      </c>
      <c r="AA188" s="24" t="s">
        <v>63</v>
      </c>
      <c r="AB188" s="24" t="s">
        <v>63</v>
      </c>
      <c r="AC188" s="24" t="s">
        <v>101</v>
      </c>
    </row>
    <row r="189" spans="1:29">
      <c r="A189" s="24" t="s">
        <v>54</v>
      </c>
      <c r="B189" s="24" t="s">
        <v>55</v>
      </c>
      <c r="C189" s="24" t="s">
        <v>56</v>
      </c>
      <c r="D189" s="24" t="s">
        <v>612</v>
      </c>
      <c r="E189" s="24" t="s">
        <v>58</v>
      </c>
      <c r="F189" s="24" t="s">
        <v>656</v>
      </c>
      <c r="G189" s="24" t="s">
        <v>657</v>
      </c>
      <c r="H189" s="27" t="s">
        <v>658</v>
      </c>
      <c r="I189" s="25">
        <v>50000</v>
      </c>
      <c r="J189" s="25">
        <v>50000</v>
      </c>
      <c r="K189" s="25">
        <v>50000</v>
      </c>
      <c r="L189" s="25">
        <v>47929.32999999999</v>
      </c>
      <c r="M189" s="26">
        <f>I189-J189</f>
        <v>0.0</v>
      </c>
      <c r="N189" s="26">
        <f>J189-K189</f>
        <v>0.0</v>
      </c>
      <c r="O189" s="26">
        <f>I189-L189</f>
        <v>2070.6700000000055</v>
      </c>
      <c r="P189" s="28">
        <f>IF(I189&gt;0,L189/I189,0)</f>
        <v>0.9585865999999998</v>
      </c>
      <c r="Q189" s="28">
        <f>IF(I189&gt;0,K189/I189,0)</f>
        <v>1.0</v>
      </c>
      <c r="R189" s="24" t="str">
        <f>IF(I189&lt;=0,"Sin PIM",IF(L189/I189&gt;=Config!$B$5,"Ejecutado",IF(K189/I189&gt;=Config!$B$6,"Mayormente comprometido",IF(K189&gt;0.005,"Parcialmente comprometido",IF(J189&gt;0.005,"Solo certificado","Sin certificar")))))</f>
        <v>Ejecutado</v>
      </c>
      <c r="S189" s="24" t="str">
        <f>IF(R189="Sin certificar","Disponible",IF(R189="Solo certificado","Posible",IF(R189="Parcialmente comprometido","Parcial",IF(R189="Mayormente comprometido","Difícil",IF(R189="Ejecutado","No usar","Sin PIM")))))</f>
        <v>No usar</v>
      </c>
      <c r="T189" s="26">
        <f>IF(OR(I189&lt;=0,R189="Ejecutado"),0,MAX(0,I189-K189))</f>
        <v>0.0</v>
      </c>
      <c r="U189" s="24" t="s">
        <v>123</v>
      </c>
      <c r="V189" s="25">
        <v>50000</v>
      </c>
      <c r="W189" s="25">
        <v>1543234</v>
      </c>
      <c r="X189" s="25">
        <v>0</v>
      </c>
      <c r="Y189" s="25">
        <v>1008002</v>
      </c>
      <c r="Z189" s="24" t="s">
        <v>63</v>
      </c>
      <c r="AA189" s="24" t="s">
        <v>63</v>
      </c>
      <c r="AB189" s="24" t="s">
        <v>63</v>
      </c>
      <c r="AC189" s="24" t="s">
        <v>101</v>
      </c>
    </row>
    <row r="190" spans="1:29">
      <c r="A190" s="24" t="s">
        <v>54</v>
      </c>
      <c r="B190" s="24" t="s">
        <v>55</v>
      </c>
      <c r="C190" s="24" t="s">
        <v>56</v>
      </c>
      <c r="D190" s="24" t="s">
        <v>612</v>
      </c>
      <c r="E190" s="24" t="s">
        <v>58</v>
      </c>
      <c r="F190" s="24" t="s">
        <v>659</v>
      </c>
      <c r="G190" s="24" t="s">
        <v>660</v>
      </c>
      <c r="H190" s="27" t="s">
        <v>661</v>
      </c>
      <c r="I190" s="25">
        <v>0</v>
      </c>
      <c r="J190" s="25">
        <v>0</v>
      </c>
      <c r="K190" s="25">
        <v>0</v>
      </c>
      <c r="L190" s="25">
        <v>0</v>
      </c>
      <c r="M190" s="26">
        <f>I190-J190</f>
        <v>0.0</v>
      </c>
      <c r="N190" s="26">
        <f>J190-K190</f>
        <v>0.0</v>
      </c>
      <c r="O190" s="26">
        <f>I190-L190</f>
        <v>0.0</v>
      </c>
      <c r="P190" s="28">
        <f>IF(I190&gt;0,L190/I190,0)</f>
        <v>0</v>
      </c>
      <c r="Q190" s="28">
        <f>IF(I190&gt;0,K190/I190,0)</f>
        <v>0</v>
      </c>
      <c r="R190" s="24" t="str">
        <f>IF(I190&lt;=0,"Sin PIM",IF(L190/I190&gt;=Config!$B$5,"Ejecutado",IF(K190/I190&gt;=Config!$B$6,"Mayormente comprometido",IF(K190&gt;0.005,"Parcialmente comprometido",IF(J190&gt;0.005,"Solo certificado","Sin certificar")))))</f>
        <v>Sin PIM</v>
      </c>
      <c r="S190" s="24" t="str">
        <f>IF(R190="Sin certificar","Disponible",IF(R190="Solo certificado","Posible",IF(R190="Parcialmente comprometido","Parcial",IF(R190="Mayormente comprometido","Difícil",IF(R190="Ejecutado","No usar","Sin PIM")))))</f>
        <v>Sin PIM</v>
      </c>
      <c r="T190" s="26">
        <f>IF(OR(I190&lt;=0,R190="Ejecutado"),0,MAX(0,I190-K190))</f>
        <v>0.0</v>
      </c>
      <c r="U190" s="24" t="s">
        <v>105</v>
      </c>
      <c r="V190" s="25">
        <v>50000</v>
      </c>
      <c r="W190" s="25">
        <v>0</v>
      </c>
      <c r="X190" s="25">
        <v>300000</v>
      </c>
      <c r="Y190" s="25">
        <v>2629159</v>
      </c>
      <c r="Z190" s="24" t="s">
        <v>63</v>
      </c>
      <c r="AA190" s="24" t="s">
        <v>63</v>
      </c>
      <c r="AB190" s="24" t="s">
        <v>63</v>
      </c>
      <c r="AC190" s="24" t="s">
        <v>101</v>
      </c>
    </row>
    <row r="191" spans="1:29">
      <c r="A191" s="24" t="s">
        <v>54</v>
      </c>
      <c r="B191" s="24" t="s">
        <v>55</v>
      </c>
      <c r="C191" s="24" t="s">
        <v>56</v>
      </c>
      <c r="D191" s="24" t="s">
        <v>612</v>
      </c>
      <c r="E191" s="24" t="s">
        <v>58</v>
      </c>
      <c r="F191" s="24" t="s">
        <v>662</v>
      </c>
      <c r="G191" s="24" t="s">
        <v>663</v>
      </c>
      <c r="H191" s="27" t="s">
        <v>664</v>
      </c>
      <c r="I191" s="25">
        <v>82042</v>
      </c>
      <c r="J191" s="25">
        <v>73137.01999999999</v>
      </c>
      <c r="K191" s="25">
        <v>53137.02</v>
      </c>
      <c r="L191" s="25">
        <v>48346.77</v>
      </c>
      <c r="M191" s="26">
        <f>I191-J191</f>
        <v>8904.98000000001</v>
      </c>
      <c r="N191" s="26">
        <f>J191-K191</f>
        <v>19999.999999999985</v>
      </c>
      <c r="O191" s="26">
        <f>I191-L191</f>
        <v>33695.229999999996</v>
      </c>
      <c r="P191" s="28">
        <f>IF(I191&gt;0,L191/I191,0)</f>
        <v>0.5892929231369299</v>
      </c>
      <c r="Q191" s="28">
        <f>IF(I191&gt;0,K191/I191,0)</f>
        <v>0.6476807001292022</v>
      </c>
      <c r="R191" s="24" t="str">
        <f>IF(I191&lt;=0,"Sin PIM",IF(L191/I191&gt;=Config!$B$5,"Ejecutado",IF(K191/I191&gt;=Config!$B$6,"Mayormente comprometido",IF(K191&gt;0.005,"Parcialmente comprometido",IF(J191&gt;0.005,"Solo certificado","Sin certificar")))))</f>
        <v>Mayormente comprometido</v>
      </c>
      <c r="S191" s="24" t="str">
        <f>IF(R191="Sin certificar","Disponible",IF(R191="Solo certificado","Posible",IF(R191="Parcialmente comprometido","Parcial",IF(R191="Mayormente comprometido","Difícil",IF(R191="Ejecutado","No usar","Sin PIM")))))</f>
        <v>Difícil</v>
      </c>
      <c r="T191" s="26">
        <f>IF(OR(I191&lt;=0,R191="Ejecutado"),0,MAX(0,I191-K191))</f>
        <v>28904.979999999996</v>
      </c>
      <c r="U191" s="24" t="s">
        <v>123</v>
      </c>
      <c r="V191" s="25">
        <v>50000</v>
      </c>
      <c r="W191" s="25">
        <v>254525</v>
      </c>
      <c r="X191" s="25">
        <v>0</v>
      </c>
      <c r="Y191" s="25">
        <v>1345475</v>
      </c>
      <c r="Z191" s="24" t="s">
        <v>63</v>
      </c>
      <c r="AA191" s="24" t="s">
        <v>63</v>
      </c>
      <c r="AB191" s="24" t="s">
        <v>63</v>
      </c>
      <c r="AC191" s="24" t="s">
        <v>101</v>
      </c>
    </row>
    <row r="192" spans="1:29">
      <c r="A192" s="24" t="s">
        <v>54</v>
      </c>
      <c r="B192" s="24" t="s">
        <v>55</v>
      </c>
      <c r="C192" s="24" t="s">
        <v>56</v>
      </c>
      <c r="D192" s="24" t="s">
        <v>612</v>
      </c>
      <c r="E192" s="24" t="s">
        <v>58</v>
      </c>
      <c r="F192" s="24" t="s">
        <v>665</v>
      </c>
      <c r="G192" s="24" t="s">
        <v>666</v>
      </c>
      <c r="H192" s="27" t="s">
        <v>667</v>
      </c>
      <c r="I192" s="25">
        <v>0</v>
      </c>
      <c r="J192" s="25">
        <v>0</v>
      </c>
      <c r="K192" s="25">
        <v>0</v>
      </c>
      <c r="L192" s="25">
        <v>0</v>
      </c>
      <c r="M192" s="26">
        <f>I192-J192</f>
        <v>0.0</v>
      </c>
      <c r="N192" s="26">
        <f>J192-K192</f>
        <v>0.0</v>
      </c>
      <c r="O192" s="26">
        <f>I192-L192</f>
        <v>0.0</v>
      </c>
      <c r="P192" s="28">
        <f>IF(I192&gt;0,L192/I192,0)</f>
        <v>0</v>
      </c>
      <c r="Q192" s="28">
        <f>IF(I192&gt;0,K192/I192,0)</f>
        <v>0</v>
      </c>
      <c r="R192" s="24" t="str">
        <f>IF(I192&lt;=0,"Sin PIM",IF(L192/I192&gt;=Config!$B$5,"Ejecutado",IF(K192/I192&gt;=Config!$B$6,"Mayormente comprometido",IF(K192&gt;0.005,"Parcialmente comprometido",IF(J192&gt;0.005,"Solo certificado","Sin certificar")))))</f>
        <v>Sin PIM</v>
      </c>
      <c r="S192" s="24" t="str">
        <f>IF(R192="Sin certificar","Disponible",IF(R192="Solo certificado","Posible",IF(R192="Parcialmente comprometido","Parcial",IF(R192="Mayormente comprometido","Difícil",IF(R192="Ejecutado","No usar","Sin PIM")))))</f>
        <v>Sin PIM</v>
      </c>
      <c r="T192" s="26">
        <f>IF(OR(I192&lt;=0,R192="Ejecutado"),0,MAX(0,I192-K192))</f>
        <v>0.0</v>
      </c>
      <c r="U192" s="24" t="s">
        <v>105</v>
      </c>
      <c r="V192" s="25">
        <v>50000</v>
      </c>
      <c r="W192" s="25">
        <v>0</v>
      </c>
      <c r="X192" s="25">
        <v>0</v>
      </c>
      <c r="Y192" s="25">
        <v>150000</v>
      </c>
      <c r="Z192" s="24" t="s">
        <v>63</v>
      </c>
      <c r="AA192" s="24" t="s">
        <v>63</v>
      </c>
      <c r="AB192" s="24" t="s">
        <v>63</v>
      </c>
      <c r="AC192" s="24" t="s">
        <v>101</v>
      </c>
    </row>
    <row r="193" spans="1:29">
      <c r="A193" s="24" t="s">
        <v>54</v>
      </c>
      <c r="B193" s="24" t="s">
        <v>55</v>
      </c>
      <c r="C193" s="24" t="s">
        <v>56</v>
      </c>
      <c r="D193" s="24" t="s">
        <v>612</v>
      </c>
      <c r="E193" s="24" t="s">
        <v>58</v>
      </c>
      <c r="F193" s="24" t="s">
        <v>668</v>
      </c>
      <c r="G193" s="24" t="s">
        <v>669</v>
      </c>
      <c r="H193" s="27" t="s">
        <v>670</v>
      </c>
      <c r="I193" s="25">
        <v>72190</v>
      </c>
      <c r="J193" s="25">
        <v>62384.34</v>
      </c>
      <c r="K193" s="25">
        <v>62384.34</v>
      </c>
      <c r="L193" s="25">
        <v>59404.06</v>
      </c>
      <c r="M193" s="26">
        <f>I193-J193</f>
        <v>9805.660000000003</v>
      </c>
      <c r="N193" s="26">
        <f>J193-K193</f>
        <v>0.0</v>
      </c>
      <c r="O193" s="26">
        <f>I193-L193</f>
        <v>12785.940000000002</v>
      </c>
      <c r="P193" s="28">
        <f>IF(I193&gt;0,L193/I193,0)</f>
        <v>0.822884887103477</v>
      </c>
      <c r="Q193" s="28">
        <f>IF(I193&gt;0,K193/I193,0)</f>
        <v>0.8641687214295608</v>
      </c>
      <c r="R193" s="24" t="str">
        <f>IF(I193&lt;=0,"Sin PIM",IF(L193/I193&gt;=Config!$B$5,"Ejecutado",IF(K193/I193&gt;=Config!$B$6,"Mayormente comprometido",IF(K193&gt;0.005,"Parcialmente comprometido",IF(J193&gt;0.005,"Solo certificado","Sin certificar")))))</f>
        <v>Mayormente comprometido</v>
      </c>
      <c r="S193" s="24" t="str">
        <f>IF(R193="Sin certificar","Disponible",IF(R193="Solo certificado","Posible",IF(R193="Parcialmente comprometido","Parcial",IF(R193="Mayormente comprometido","Difícil",IF(R193="Ejecutado","No usar","Sin PIM")))))</f>
        <v>Difícil</v>
      </c>
      <c r="T193" s="26">
        <f>IF(OR(I193&lt;=0,R193="Ejecutado"),0,MAX(0,I193-K193))</f>
        <v>9805.660000000003</v>
      </c>
      <c r="U193" s="24" t="s">
        <v>123</v>
      </c>
      <c r="V193" s="25">
        <v>50000</v>
      </c>
      <c r="W193" s="25">
        <v>0</v>
      </c>
      <c r="X193" s="25">
        <v>0</v>
      </c>
      <c r="Y193" s="25">
        <v>2707132</v>
      </c>
      <c r="Z193" s="24" t="s">
        <v>63</v>
      </c>
      <c r="AA193" s="24" t="s">
        <v>63</v>
      </c>
      <c r="AB193" s="24" t="s">
        <v>63</v>
      </c>
      <c r="AC193" s="24" t="s">
        <v>101</v>
      </c>
    </row>
    <row r="194" spans="1:29">
      <c r="A194" s="24" t="s">
        <v>54</v>
      </c>
      <c r="B194" s="24" t="s">
        <v>55</v>
      </c>
      <c r="C194" s="24" t="s">
        <v>56</v>
      </c>
      <c r="D194" s="24" t="s">
        <v>612</v>
      </c>
      <c r="E194" s="24" t="s">
        <v>58</v>
      </c>
      <c r="F194" s="24" t="s">
        <v>671</v>
      </c>
      <c r="G194" s="24" t="s">
        <v>672</v>
      </c>
      <c r="H194" s="27" t="s">
        <v>673</v>
      </c>
      <c r="I194" s="25">
        <v>69837</v>
      </c>
      <c r="J194" s="25">
        <v>50000</v>
      </c>
      <c r="K194" s="25">
        <v>50000</v>
      </c>
      <c r="L194" s="25">
        <v>24166.33</v>
      </c>
      <c r="M194" s="26">
        <f>I194-J194</f>
        <v>19837.0</v>
      </c>
      <c r="N194" s="26">
        <f>J194-K194</f>
        <v>0.0</v>
      </c>
      <c r="O194" s="26">
        <f>I194-L194</f>
        <v>45670.67</v>
      </c>
      <c r="P194" s="28">
        <f>IF(I194&gt;0,L194/I194,0)</f>
        <v>0.34603906238813237</v>
      </c>
      <c r="Q194" s="28">
        <f>IF(I194&gt;0,K194/I194,0)</f>
        <v>0.7159528616635881</v>
      </c>
      <c r="R194" s="24" t="str">
        <f>IF(I194&lt;=0,"Sin PIM",IF(L194/I194&gt;=Config!$B$5,"Ejecutado",IF(K194/I194&gt;=Config!$B$6,"Mayormente comprometido",IF(K194&gt;0.005,"Parcialmente comprometido",IF(J194&gt;0.005,"Solo certificado","Sin certificar")))))</f>
        <v>Mayormente comprometido</v>
      </c>
      <c r="S194" s="24" t="str">
        <f>IF(R194="Sin certificar","Disponible",IF(R194="Solo certificado","Posible",IF(R194="Parcialmente comprometido","Parcial",IF(R194="Mayormente comprometido","Difícil",IF(R194="Ejecutado","No usar","Sin PIM")))))</f>
        <v>Difícil</v>
      </c>
      <c r="T194" s="26">
        <f>IF(OR(I194&lt;=0,R194="Ejecutado"),0,MAX(0,I194-K194))</f>
        <v>19837.0</v>
      </c>
      <c r="U194" s="24" t="s">
        <v>123</v>
      </c>
      <c r="V194" s="25">
        <v>50000</v>
      </c>
      <c r="W194" s="25">
        <v>1543466</v>
      </c>
      <c r="X194" s="25">
        <v>0</v>
      </c>
      <c r="Y194" s="25">
        <v>500000</v>
      </c>
      <c r="Z194" s="24" t="s">
        <v>63</v>
      </c>
      <c r="AA194" s="24" t="s">
        <v>63</v>
      </c>
      <c r="AB194" s="24" t="s">
        <v>63</v>
      </c>
      <c r="AC194" s="24" t="s">
        <v>101</v>
      </c>
    </row>
    <row r="195" spans="1:29">
      <c r="A195" s="24" t="s">
        <v>54</v>
      </c>
      <c r="B195" s="24" t="s">
        <v>55</v>
      </c>
      <c r="C195" s="24" t="s">
        <v>56</v>
      </c>
      <c r="D195" s="24" t="s">
        <v>612</v>
      </c>
      <c r="E195" s="24" t="s">
        <v>58</v>
      </c>
      <c r="F195" s="24" t="s">
        <v>674</v>
      </c>
      <c r="G195" s="24" t="s">
        <v>675</v>
      </c>
      <c r="H195" s="27" t="s">
        <v>676</v>
      </c>
      <c r="I195" s="25">
        <v>50000</v>
      </c>
      <c r="J195" s="25">
        <v>50000</v>
      </c>
      <c r="K195" s="25">
        <v>50000</v>
      </c>
      <c r="L195" s="25">
        <v>48541.71</v>
      </c>
      <c r="M195" s="26">
        <f>I195-J195</f>
        <v>0.0</v>
      </c>
      <c r="N195" s="26">
        <f>J195-K195</f>
        <v>0.0</v>
      </c>
      <c r="O195" s="26">
        <f>I195-L195</f>
        <v>1458.2900000000009</v>
      </c>
      <c r="P195" s="28">
        <f>IF(I195&gt;0,L195/I195,0)</f>
        <v>0.9708342</v>
      </c>
      <c r="Q195" s="28">
        <f>IF(I195&gt;0,K195/I195,0)</f>
        <v>1.0</v>
      </c>
      <c r="R195" s="24" t="str">
        <f>IF(I195&lt;=0,"Sin PIM",IF(L195/I195&gt;=Config!$B$5,"Ejecutado",IF(K195/I195&gt;=Config!$B$6,"Mayormente comprometido",IF(K195&gt;0.005,"Parcialmente comprometido",IF(J195&gt;0.005,"Solo certificado","Sin certificar")))))</f>
        <v>Ejecutado</v>
      </c>
      <c r="S195" s="24" t="str">
        <f>IF(R195="Sin certificar","Disponible",IF(R195="Solo certificado","Posible",IF(R195="Parcialmente comprometido","Parcial",IF(R195="Mayormente comprometido","Difícil",IF(R195="Ejecutado","No usar","Sin PIM")))))</f>
        <v>No usar</v>
      </c>
      <c r="T195" s="26">
        <f>IF(OR(I195&lt;=0,R195="Ejecutado"),0,MAX(0,I195-K195))</f>
        <v>0.0</v>
      </c>
      <c r="U195" s="24" t="s">
        <v>123</v>
      </c>
      <c r="V195" s="25">
        <v>50000</v>
      </c>
      <c r="W195" s="25">
        <v>1525657</v>
      </c>
      <c r="X195" s="25">
        <v>0</v>
      </c>
      <c r="Y195" s="25">
        <v>1145070</v>
      </c>
      <c r="Z195" s="24" t="s">
        <v>63</v>
      </c>
      <c r="AA195" s="24" t="s">
        <v>63</v>
      </c>
      <c r="AB195" s="24" t="s">
        <v>63</v>
      </c>
      <c r="AC195" s="24" t="s">
        <v>101</v>
      </c>
    </row>
    <row r="196" spans="1:29">
      <c r="A196" s="24" t="s">
        <v>54</v>
      </c>
      <c r="B196" s="24" t="s">
        <v>55</v>
      </c>
      <c r="C196" s="24" t="s">
        <v>56</v>
      </c>
      <c r="D196" s="24" t="s">
        <v>612</v>
      </c>
      <c r="E196" s="24" t="s">
        <v>58</v>
      </c>
      <c r="F196" s="24" t="s">
        <v>677</v>
      </c>
      <c r="G196" s="24" t="s">
        <v>678</v>
      </c>
      <c r="H196" s="27" t="s">
        <v>679</v>
      </c>
      <c r="I196" s="25">
        <v>304060</v>
      </c>
      <c r="J196" s="25">
        <v>291997.5</v>
      </c>
      <c r="K196" s="25">
        <v>291997.5</v>
      </c>
      <c r="L196" s="25">
        <v>267446.91</v>
      </c>
      <c r="M196" s="26">
        <f>I196-J196</f>
        <v>12062.5</v>
      </c>
      <c r="N196" s="26">
        <f>J196-K196</f>
        <v>0.0</v>
      </c>
      <c r="O196" s="26">
        <f>I196-L196</f>
        <v>36613.090000000026</v>
      </c>
      <c r="P196" s="28">
        <f>IF(I196&gt;0,L196/I196,0)</f>
        <v>0.8795859698743668</v>
      </c>
      <c r="Q196" s="28">
        <f>IF(I196&gt;0,K196/I196,0)</f>
        <v>0.9603285535749523</v>
      </c>
      <c r="R196" s="24" t="str">
        <f>IF(I196&lt;=0,"Sin PIM",IF(L196/I196&gt;=Config!$B$5,"Ejecutado",IF(K196/I196&gt;=Config!$B$6,"Mayormente comprometido",IF(K196&gt;0.005,"Parcialmente comprometido",IF(J196&gt;0.005,"Solo certificado","Sin certificar")))))</f>
        <v>Mayormente comprometido</v>
      </c>
      <c r="S196" s="24" t="str">
        <f>IF(R196="Sin certificar","Disponible",IF(R196="Solo certificado","Posible",IF(R196="Parcialmente comprometido","Parcial",IF(R196="Mayormente comprometido","Difícil",IF(R196="Ejecutado","No usar","Sin PIM")))))</f>
        <v>Difícil</v>
      </c>
      <c r="T196" s="26">
        <f>IF(OR(I196&lt;=0,R196="Ejecutado"),0,MAX(0,I196-K196))</f>
        <v>12062.5</v>
      </c>
      <c r="U196" s="24" t="s">
        <v>123</v>
      </c>
      <c r="V196" s="25">
        <v>50000</v>
      </c>
      <c r="W196" s="25">
        <v>0</v>
      </c>
      <c r="X196" s="25">
        <v>0</v>
      </c>
      <c r="Y196" s="25">
        <v>1809535</v>
      </c>
      <c r="Z196" s="24" t="s">
        <v>63</v>
      </c>
      <c r="AA196" s="24" t="s">
        <v>63</v>
      </c>
      <c r="AB196" s="24" t="s">
        <v>63</v>
      </c>
      <c r="AC196" s="24" t="s">
        <v>101</v>
      </c>
    </row>
    <row r="197" spans="1:29">
      <c r="A197" s="24" t="s">
        <v>54</v>
      </c>
      <c r="B197" s="24" t="s">
        <v>55</v>
      </c>
      <c r="C197" s="24" t="s">
        <v>56</v>
      </c>
      <c r="D197" s="24" t="s">
        <v>612</v>
      </c>
      <c r="E197" s="24" t="s">
        <v>58</v>
      </c>
      <c r="F197" s="24" t="s">
        <v>680</v>
      </c>
      <c r="G197" s="24" t="s">
        <v>681</v>
      </c>
      <c r="H197" s="27" t="s">
        <v>682</v>
      </c>
      <c r="I197" s="25">
        <v>0</v>
      </c>
      <c r="J197" s="25">
        <v>0</v>
      </c>
      <c r="K197" s="25">
        <v>0</v>
      </c>
      <c r="L197" s="25">
        <v>0</v>
      </c>
      <c r="M197" s="26">
        <f>I197-J197</f>
        <v>0.0</v>
      </c>
      <c r="N197" s="26">
        <f>J197-K197</f>
        <v>0.0</v>
      </c>
      <c r="O197" s="26">
        <f>I197-L197</f>
        <v>0.0</v>
      </c>
      <c r="P197" s="28">
        <f>IF(I197&gt;0,L197/I197,0)</f>
        <v>0</v>
      </c>
      <c r="Q197" s="28">
        <f>IF(I197&gt;0,K197/I197,0)</f>
        <v>0</v>
      </c>
      <c r="R197" s="24" t="str">
        <f>IF(I197&lt;=0,"Sin PIM",IF(L197/I197&gt;=Config!$B$5,"Ejecutado",IF(K197/I197&gt;=Config!$B$6,"Mayormente comprometido",IF(K197&gt;0.005,"Parcialmente comprometido",IF(J197&gt;0.005,"Solo certificado","Sin certificar")))))</f>
        <v>Sin PIM</v>
      </c>
      <c r="S197" s="24" t="str">
        <f>IF(R197="Sin certificar","Disponible",IF(R197="Solo certificado","Posible",IF(R197="Parcialmente comprometido","Parcial",IF(R197="Mayormente comprometido","Difícil",IF(R197="Ejecutado","No usar","Sin PIM")))))</f>
        <v>Sin PIM</v>
      </c>
      <c r="T197" s="26">
        <f>IF(OR(I197&lt;=0,R197="Ejecutado"),0,MAX(0,I197-K197))</f>
        <v>0.0</v>
      </c>
      <c r="U197" s="24" t="s">
        <v>105</v>
      </c>
      <c r="V197" s="25">
        <v>50000</v>
      </c>
      <c r="W197" s="25">
        <v>0</v>
      </c>
      <c r="X197" s="25">
        <v>0</v>
      </c>
      <c r="Y197" s="25">
        <v>600000</v>
      </c>
      <c r="Z197" s="24" t="s">
        <v>63</v>
      </c>
      <c r="AA197" s="24" t="s">
        <v>63</v>
      </c>
      <c r="AB197" s="24" t="s">
        <v>63</v>
      </c>
      <c r="AC197" s="24" t="s">
        <v>101</v>
      </c>
    </row>
    <row r="198" spans="1:29">
      <c r="A198" s="24" t="s">
        <v>54</v>
      </c>
      <c r="B198" s="24" t="s">
        <v>55</v>
      </c>
      <c r="C198" s="24" t="s">
        <v>56</v>
      </c>
      <c r="D198" s="24" t="s">
        <v>612</v>
      </c>
      <c r="E198" s="24" t="s">
        <v>58</v>
      </c>
      <c r="F198" s="24" t="s">
        <v>683</v>
      </c>
      <c r="G198" s="24" t="s">
        <v>684</v>
      </c>
      <c r="H198" s="27" t="s">
        <v>685</v>
      </c>
      <c r="I198" s="25">
        <v>0</v>
      </c>
      <c r="J198" s="25">
        <v>0</v>
      </c>
      <c r="K198" s="25">
        <v>0</v>
      </c>
      <c r="L198" s="25">
        <v>0</v>
      </c>
      <c r="M198" s="26">
        <f>I198-J198</f>
        <v>0.0</v>
      </c>
      <c r="N198" s="26">
        <f>J198-K198</f>
        <v>0.0</v>
      </c>
      <c r="O198" s="26">
        <f>I198-L198</f>
        <v>0.0</v>
      </c>
      <c r="P198" s="28">
        <f>IF(I198&gt;0,L198/I198,0)</f>
        <v>0</v>
      </c>
      <c r="Q198" s="28">
        <f>IF(I198&gt;0,K198/I198,0)</f>
        <v>0</v>
      </c>
      <c r="R198" s="24" t="str">
        <f>IF(I198&lt;=0,"Sin PIM",IF(L198/I198&gt;=Config!$B$5,"Ejecutado",IF(K198/I198&gt;=Config!$B$6,"Mayormente comprometido",IF(K198&gt;0.005,"Parcialmente comprometido",IF(J198&gt;0.005,"Solo certificado","Sin certificar")))))</f>
        <v>Sin PIM</v>
      </c>
      <c r="S198" s="24" t="str">
        <f>IF(R198="Sin certificar","Disponible",IF(R198="Solo certificado","Posible",IF(R198="Parcialmente comprometido","Parcial",IF(R198="Mayormente comprometido","Difícil",IF(R198="Ejecutado","No usar","Sin PIM")))))</f>
        <v>Sin PIM</v>
      </c>
      <c r="T198" s="26">
        <f>IF(OR(I198&lt;=0,R198="Ejecutado"),0,MAX(0,I198-K198))</f>
        <v>0.0</v>
      </c>
      <c r="U198" s="24" t="s">
        <v>105</v>
      </c>
      <c r="V198" s="25">
        <v>50000</v>
      </c>
      <c r="W198" s="25">
        <v>0</v>
      </c>
      <c r="X198" s="25">
        <v>0</v>
      </c>
      <c r="Y198" s="25">
        <v>120000</v>
      </c>
      <c r="Z198" s="24" t="s">
        <v>63</v>
      </c>
      <c r="AA198" s="24" t="s">
        <v>63</v>
      </c>
      <c r="AB198" s="24" t="s">
        <v>63</v>
      </c>
      <c r="AC198" s="24" t="s">
        <v>101</v>
      </c>
    </row>
    <row r="199" spans="1:29">
      <c r="A199" s="24" t="s">
        <v>54</v>
      </c>
      <c r="B199" s="24" t="s">
        <v>55</v>
      </c>
      <c r="C199" s="24" t="s">
        <v>56</v>
      </c>
      <c r="D199" s="24" t="s">
        <v>612</v>
      </c>
      <c r="E199" s="24" t="s">
        <v>58</v>
      </c>
      <c r="F199" s="24" t="s">
        <v>686</v>
      </c>
      <c r="G199" s="24" t="s">
        <v>687</v>
      </c>
      <c r="H199" s="27" t="s">
        <v>688</v>
      </c>
      <c r="I199" s="25">
        <v>340317</v>
      </c>
      <c r="J199" s="25">
        <v>335271.5</v>
      </c>
      <c r="K199" s="25">
        <v>335271.5</v>
      </c>
      <c r="L199" s="25">
        <v>228699.2</v>
      </c>
      <c r="M199" s="26">
        <f>I199-J199</f>
        <v>5045.5</v>
      </c>
      <c r="N199" s="26">
        <f>J199-K199</f>
        <v>0.0</v>
      </c>
      <c r="O199" s="26">
        <f>I199-L199</f>
        <v>111617.79999999999</v>
      </c>
      <c r="P199" s="28">
        <f>IF(I199&gt;0,L199/I199,0)</f>
        <v>0.672018147785741</v>
      </c>
      <c r="Q199" s="28">
        <f>IF(I199&gt;0,K199/I199,0)</f>
        <v>0.9851741170731994</v>
      </c>
      <c r="R199" s="24" t="str">
        <f>IF(I199&lt;=0,"Sin PIM",IF(L199/I199&gt;=Config!$B$5,"Ejecutado",IF(K199/I199&gt;=Config!$B$6,"Mayormente comprometido",IF(K199&gt;0.005,"Parcialmente comprometido",IF(J199&gt;0.005,"Solo certificado","Sin certificar")))))</f>
        <v>Mayormente comprometido</v>
      </c>
      <c r="S199" s="24" t="str">
        <f>IF(R199="Sin certificar","Disponible",IF(R199="Solo certificado","Posible",IF(R199="Parcialmente comprometido","Parcial",IF(R199="Mayormente comprometido","Difícil",IF(R199="Ejecutado","No usar","Sin PIM")))))</f>
        <v>Difícil</v>
      </c>
      <c r="T199" s="26">
        <f>IF(OR(I199&lt;=0,R199="Ejecutado"),0,MAX(0,I199-K199))</f>
        <v>5045.5</v>
      </c>
      <c r="U199" s="24" t="s">
        <v>123</v>
      </c>
      <c r="V199" s="25">
        <v>50000</v>
      </c>
      <c r="W199" s="25">
        <v>0</v>
      </c>
      <c r="X199" s="25">
        <v>0</v>
      </c>
      <c r="Y199" s="25">
        <v>1523839</v>
      </c>
      <c r="Z199" s="24" t="s">
        <v>63</v>
      </c>
      <c r="AA199" s="24" t="s">
        <v>63</v>
      </c>
      <c r="AB199" s="24" t="s">
        <v>63</v>
      </c>
      <c r="AC199" s="24" t="s">
        <v>101</v>
      </c>
    </row>
    <row r="200" spans="1:29">
      <c r="A200" s="24" t="s">
        <v>54</v>
      </c>
      <c r="B200" s="24" t="s">
        <v>55</v>
      </c>
      <c r="C200" s="24" t="s">
        <v>56</v>
      </c>
      <c r="D200" s="24" t="s">
        <v>612</v>
      </c>
      <c r="E200" s="24" t="s">
        <v>71</v>
      </c>
      <c r="F200" s="24" t="s">
        <v>689</v>
      </c>
      <c r="G200" s="24" t="s">
        <v>690</v>
      </c>
      <c r="H200" s="27" t="s">
        <v>691</v>
      </c>
      <c r="I200" s="25">
        <v>0</v>
      </c>
      <c r="J200" s="25">
        <v>0</v>
      </c>
      <c r="K200" s="25">
        <v>0</v>
      </c>
      <c r="L200" s="25">
        <v>0</v>
      </c>
      <c r="M200" s="26">
        <f>I200-J200</f>
        <v>0.0</v>
      </c>
      <c r="N200" s="26">
        <f>J200-K200</f>
        <v>0.0</v>
      </c>
      <c r="O200" s="26">
        <f>I200-L200</f>
        <v>0.0</v>
      </c>
      <c r="P200" s="28">
        <f>IF(I200&gt;0,L200/I200,0)</f>
        <v>0</v>
      </c>
      <c r="Q200" s="28">
        <f>IF(I200&gt;0,K200/I200,0)</f>
        <v>0</v>
      </c>
      <c r="R200" s="24" t="str">
        <f>IF(I200&lt;=0,"Sin PIM",IF(L200/I200&gt;=Config!$B$5,"Ejecutado",IF(K200/I200&gt;=Config!$B$6,"Mayormente comprometido",IF(K200&gt;0.005,"Parcialmente comprometido",IF(J200&gt;0.005,"Solo certificado","Sin certificar")))))</f>
        <v>Sin PIM</v>
      </c>
      <c r="S200" s="24" t="str">
        <f>IF(R200="Sin certificar","Disponible",IF(R200="Solo certificado","Posible",IF(R200="Parcialmente comprometido","Parcial",IF(R200="Mayormente comprometido","Difícil",IF(R200="Ejecutado","No usar","Sin PIM")))))</f>
        <v>Sin PIM</v>
      </c>
      <c r="T200" s="26">
        <f>IF(OR(I200&lt;=0,R200="Ejecutado"),0,MAX(0,I200-K200))</f>
        <v>0.0</v>
      </c>
      <c r="U200" s="24" t="s">
        <v>105</v>
      </c>
      <c r="V200" s="25">
        <v>1792000</v>
      </c>
      <c r="W200" s="25">
        <v>0</v>
      </c>
      <c r="X200" s="25">
        <v>0</v>
      </c>
      <c r="Y200" s="25">
        <v>0</v>
      </c>
      <c r="Z200" s="24" t="s">
        <v>63</v>
      </c>
      <c r="AA200" s="24" t="s">
        <v>63</v>
      </c>
      <c r="AB200" s="24" t="s">
        <v>63</v>
      </c>
      <c r="AC200" s="24" t="s">
        <v>101</v>
      </c>
    </row>
    <row r="201" spans="1:29">
      <c r="A201" s="24" t="s">
        <v>54</v>
      </c>
      <c r="B201" s="24" t="s">
        <v>55</v>
      </c>
      <c r="C201" s="24" t="s">
        <v>56</v>
      </c>
      <c r="D201" s="24" t="s">
        <v>612</v>
      </c>
      <c r="E201" s="24" t="s">
        <v>71</v>
      </c>
      <c r="F201" s="24" t="s">
        <v>692</v>
      </c>
      <c r="G201" s="24" t="s">
        <v>693</v>
      </c>
      <c r="H201" s="27" t="s">
        <v>694</v>
      </c>
      <c r="I201" s="25">
        <v>100000</v>
      </c>
      <c r="J201" s="25">
        <v>85000</v>
      </c>
      <c r="K201" s="25">
        <v>60000</v>
      </c>
      <c r="L201" s="25">
        <v>58662.71000000001</v>
      </c>
      <c r="M201" s="26">
        <f>I201-J201</f>
        <v>15000.0</v>
      </c>
      <c r="N201" s="26">
        <f>J201-K201</f>
        <v>25000.0</v>
      </c>
      <c r="O201" s="26">
        <f>I201-L201</f>
        <v>41337.28999999999</v>
      </c>
      <c r="P201" s="28">
        <f>IF(I201&gt;0,L201/I201,0)</f>
        <v>0.5866271000000001</v>
      </c>
      <c r="Q201" s="28">
        <f>IF(I201&gt;0,K201/I201,0)</f>
        <v>0.6</v>
      </c>
      <c r="R201" s="24" t="str">
        <f>IF(I201&lt;=0,"Sin PIM",IF(L201/I201&gt;=Config!$B$5,"Ejecutado",IF(K201/I201&gt;=Config!$B$6,"Mayormente comprometido",IF(K201&gt;0.005,"Parcialmente comprometido",IF(J201&gt;0.005,"Solo certificado","Sin certificar")))))</f>
        <v>Mayormente comprometido</v>
      </c>
      <c r="S201" s="24" t="str">
        <f>IF(R201="Sin certificar","Disponible",IF(R201="Solo certificado","Posible",IF(R201="Parcialmente comprometido","Parcial",IF(R201="Mayormente comprometido","Difícil",IF(R201="Ejecutado","No usar","Sin PIM")))))</f>
        <v>Difícil</v>
      </c>
      <c r="T201" s="26">
        <f>IF(OR(I201&lt;=0,R201="Ejecutado"),0,MAX(0,I201-K201))</f>
        <v>40000.0</v>
      </c>
      <c r="U201" s="24" t="s">
        <v>123</v>
      </c>
      <c r="V201" s="25">
        <v>100000</v>
      </c>
      <c r="W201" s="25">
        <v>1000000</v>
      </c>
      <c r="X201" s="25">
        <v>0</v>
      </c>
      <c r="Y201" s="25">
        <v>0</v>
      </c>
      <c r="Z201" s="24" t="s">
        <v>63</v>
      </c>
      <c r="AA201" s="24" t="s">
        <v>63</v>
      </c>
      <c r="AB201" s="24" t="s">
        <v>63</v>
      </c>
      <c r="AC201" s="24" t="s">
        <v>101</v>
      </c>
    </row>
    <row r="202" spans="1:29">
      <c r="A202" s="24" t="s">
        <v>54</v>
      </c>
      <c r="B202" s="24" t="s">
        <v>55</v>
      </c>
      <c r="C202" s="24" t="s">
        <v>56</v>
      </c>
      <c r="D202" s="24" t="s">
        <v>612</v>
      </c>
      <c r="E202" s="24" t="s">
        <v>71</v>
      </c>
      <c r="F202" s="24" t="s">
        <v>695</v>
      </c>
      <c r="G202" s="24" t="s">
        <v>696</v>
      </c>
      <c r="H202" s="27" t="s">
        <v>697</v>
      </c>
      <c r="I202" s="25">
        <v>0</v>
      </c>
      <c r="J202" s="25">
        <v>0</v>
      </c>
      <c r="K202" s="25">
        <v>0</v>
      </c>
      <c r="L202" s="25">
        <v>0</v>
      </c>
      <c r="M202" s="26">
        <f>I202-J202</f>
        <v>0.0</v>
      </c>
      <c r="N202" s="26">
        <f>J202-K202</f>
        <v>0.0</v>
      </c>
      <c r="O202" s="26">
        <f>I202-L202</f>
        <v>0.0</v>
      </c>
      <c r="P202" s="28">
        <f>IF(I202&gt;0,L202/I202,0)</f>
        <v>0</v>
      </c>
      <c r="Q202" s="28">
        <f>IF(I202&gt;0,K202/I202,0)</f>
        <v>0</v>
      </c>
      <c r="R202" s="24" t="str">
        <f>IF(I202&lt;=0,"Sin PIM",IF(L202/I202&gt;=Config!$B$5,"Ejecutado",IF(K202/I202&gt;=Config!$B$6,"Mayormente comprometido",IF(K202&gt;0.005,"Parcialmente comprometido",IF(J202&gt;0.005,"Solo certificado","Sin certificar")))))</f>
        <v>Sin PIM</v>
      </c>
      <c r="S202" s="24" t="str">
        <f>IF(R202="Sin certificar","Disponible",IF(R202="Solo certificado","Posible",IF(R202="Parcialmente comprometido","Parcial",IF(R202="Mayormente comprometido","Difícil",IF(R202="Ejecutado","No usar","Sin PIM")))))</f>
        <v>Sin PIM</v>
      </c>
      <c r="T202" s="26">
        <f>IF(OR(I202&lt;=0,R202="Ejecutado"),0,MAX(0,I202-K202))</f>
        <v>0.0</v>
      </c>
      <c r="U202" s="24" t="s">
        <v>105</v>
      </c>
      <c r="V202" s="25">
        <v>500000</v>
      </c>
      <c r="W202" s="25">
        <v>0</v>
      </c>
      <c r="X202" s="25">
        <v>0</v>
      </c>
      <c r="Y202" s="25">
        <v>0</v>
      </c>
      <c r="Z202" s="24" t="s">
        <v>63</v>
      </c>
      <c r="AA202" s="24" t="s">
        <v>63</v>
      </c>
      <c r="AB202" s="24" t="s">
        <v>63</v>
      </c>
      <c r="AC202" s="24" t="s">
        <v>101</v>
      </c>
    </row>
    <row r="203" spans="1:29">
      <c r="A203" s="24" t="s">
        <v>54</v>
      </c>
      <c r="B203" s="24" t="s">
        <v>55</v>
      </c>
      <c r="C203" s="24" t="s">
        <v>56</v>
      </c>
      <c r="D203" s="24" t="s">
        <v>612</v>
      </c>
      <c r="E203" s="24" t="s">
        <v>71</v>
      </c>
      <c r="F203" s="24" t="s">
        <v>698</v>
      </c>
      <c r="G203" s="24" t="s">
        <v>699</v>
      </c>
      <c r="H203" s="27" t="s">
        <v>700</v>
      </c>
      <c r="I203" s="25">
        <v>58259</v>
      </c>
      <c r="J203" s="25">
        <v>58259</v>
      </c>
      <c r="K203" s="25">
        <v>58259</v>
      </c>
      <c r="L203" s="25">
        <v>50730.47</v>
      </c>
      <c r="M203" s="26">
        <f>I203-J203</f>
        <v>0.0</v>
      </c>
      <c r="N203" s="26">
        <f>J203-K203</f>
        <v>0.0</v>
      </c>
      <c r="O203" s="26">
        <f>I203-L203</f>
        <v>7528.529999999999</v>
      </c>
      <c r="P203" s="28">
        <f>IF(I203&gt;0,L203/I203,0)</f>
        <v>0.8707748159082717</v>
      </c>
      <c r="Q203" s="28">
        <f>IF(I203&gt;0,K203/I203,0)</f>
        <v>1.0</v>
      </c>
      <c r="R203" s="24" t="str">
        <f>IF(I203&lt;=0,"Sin PIM",IF(L203/I203&gt;=Config!$B$5,"Ejecutado",IF(K203/I203&gt;=Config!$B$6,"Mayormente comprometido",IF(K203&gt;0.005,"Parcialmente comprometido",IF(J203&gt;0.005,"Solo certificado","Sin certificar")))))</f>
        <v>Mayormente comprometido</v>
      </c>
      <c r="S203" s="24" t="str">
        <f>IF(R203="Sin certificar","Disponible",IF(R203="Solo certificado","Posible",IF(R203="Parcialmente comprometido","Parcial",IF(R203="Mayormente comprometido","Difícil",IF(R203="Ejecutado","No usar","Sin PIM")))))</f>
        <v>Difícil</v>
      </c>
      <c r="T203" s="26">
        <f>IF(OR(I203&lt;=0,R203="Ejecutado"),0,MAX(0,I203-K203))</f>
        <v>0.0</v>
      </c>
      <c r="U203" s="24" t="s">
        <v>123</v>
      </c>
      <c r="V203" s="25">
        <v>3860273</v>
      </c>
      <c r="W203" s="25">
        <v>7764202</v>
      </c>
      <c r="X203" s="25">
        <v>0</v>
      </c>
      <c r="Y203" s="25">
        <v>500000</v>
      </c>
      <c r="Z203" s="24" t="s">
        <v>63</v>
      </c>
      <c r="AA203" s="24" t="s">
        <v>63</v>
      </c>
      <c r="AB203" s="24" t="s">
        <v>63</v>
      </c>
      <c r="AC203" s="24" t="s">
        <v>101</v>
      </c>
    </row>
    <row r="204" spans="1:29">
      <c r="A204" s="24" t="s">
        <v>54</v>
      </c>
      <c r="B204" s="24" t="s">
        <v>55</v>
      </c>
      <c r="C204" s="24" t="s">
        <v>56</v>
      </c>
      <c r="D204" s="24" t="s">
        <v>612</v>
      </c>
      <c r="E204" s="24" t="s">
        <v>71</v>
      </c>
      <c r="F204" s="24" t="s">
        <v>701</v>
      </c>
      <c r="G204" s="24" t="s">
        <v>702</v>
      </c>
      <c r="H204" s="27" t="s">
        <v>703</v>
      </c>
      <c r="I204" s="25">
        <v>100000</v>
      </c>
      <c r="J204" s="25">
        <v>100000</v>
      </c>
      <c r="K204" s="25">
        <v>50000</v>
      </c>
      <c r="L204" s="25">
        <v>45460.23</v>
      </c>
      <c r="M204" s="26">
        <f>I204-J204</f>
        <v>0.0</v>
      </c>
      <c r="N204" s="26">
        <f>J204-K204</f>
        <v>50000.0</v>
      </c>
      <c r="O204" s="26">
        <f>I204-L204</f>
        <v>54539.770000000004</v>
      </c>
      <c r="P204" s="28">
        <f>IF(I204&gt;0,L204/I204,0)</f>
        <v>0.45460229999999996</v>
      </c>
      <c r="Q204" s="28">
        <f>IF(I204&gt;0,K204/I204,0)</f>
        <v>0.5</v>
      </c>
      <c r="R204" s="24" t="str">
        <f>IF(I204&lt;=0,"Sin PIM",IF(L204/I204&gt;=Config!$B$5,"Ejecutado",IF(K204/I204&gt;=Config!$B$6,"Mayormente comprometido",IF(K204&gt;0.005,"Parcialmente comprometido",IF(J204&gt;0.005,"Solo certificado","Sin certificar")))))</f>
        <v>Mayormente comprometido</v>
      </c>
      <c r="S204" s="24" t="str">
        <f>IF(R204="Sin certificar","Disponible",IF(R204="Solo certificado","Posible",IF(R204="Parcialmente comprometido","Parcial",IF(R204="Mayormente comprometido","Difícil",IF(R204="Ejecutado","No usar","Sin PIM")))))</f>
        <v>Difícil</v>
      </c>
      <c r="T204" s="26">
        <f>IF(OR(I204&lt;=0,R204="Ejecutado"),0,MAX(0,I204-K204))</f>
        <v>50000.0</v>
      </c>
      <c r="U204" s="24" t="s">
        <v>123</v>
      </c>
      <c r="V204" s="25">
        <v>1800000</v>
      </c>
      <c r="W204" s="25">
        <v>1234564</v>
      </c>
      <c r="X204" s="25">
        <v>0</v>
      </c>
      <c r="Y204" s="25">
        <v>680854</v>
      </c>
      <c r="Z204" s="24" t="s">
        <v>63</v>
      </c>
      <c r="AA204" s="24" t="s">
        <v>63</v>
      </c>
      <c r="AB204" s="24" t="s">
        <v>63</v>
      </c>
      <c r="AC204" s="24" t="s">
        <v>101</v>
      </c>
    </row>
    <row r="205" spans="1:29">
      <c r="A205" s="24" t="s">
        <v>54</v>
      </c>
      <c r="B205" s="24" t="s">
        <v>55</v>
      </c>
      <c r="C205" s="24" t="s">
        <v>56</v>
      </c>
      <c r="D205" s="24" t="s">
        <v>612</v>
      </c>
      <c r="E205" s="24" t="s">
        <v>71</v>
      </c>
      <c r="F205" s="24" t="s">
        <v>704</v>
      </c>
      <c r="G205" s="24" t="s">
        <v>705</v>
      </c>
      <c r="H205" s="27" t="s">
        <v>706</v>
      </c>
      <c r="I205" s="25">
        <v>100000</v>
      </c>
      <c r="J205" s="25">
        <v>98580</v>
      </c>
      <c r="K205" s="25">
        <v>98580</v>
      </c>
      <c r="L205" s="25">
        <v>83195.39999999999</v>
      </c>
      <c r="M205" s="26">
        <f>I205-J205</f>
        <v>1420.0</v>
      </c>
      <c r="N205" s="26">
        <f>J205-K205</f>
        <v>0.0</v>
      </c>
      <c r="O205" s="26">
        <f>I205-L205</f>
        <v>16804.600000000006</v>
      </c>
      <c r="P205" s="28">
        <f>IF(I205&gt;0,L205/I205,0)</f>
        <v>0.831954</v>
      </c>
      <c r="Q205" s="28">
        <f>IF(I205&gt;0,K205/I205,0)</f>
        <v>0.9858</v>
      </c>
      <c r="R205" s="24" t="str">
        <f>IF(I205&lt;=0,"Sin PIM",IF(L205/I205&gt;=Config!$B$5,"Ejecutado",IF(K205/I205&gt;=Config!$B$6,"Mayormente comprometido",IF(K205&gt;0.005,"Parcialmente comprometido",IF(J205&gt;0.005,"Solo certificado","Sin certificar")))))</f>
        <v>Mayormente comprometido</v>
      </c>
      <c r="S205" s="24" t="str">
        <f>IF(R205="Sin certificar","Disponible",IF(R205="Solo certificado","Posible",IF(R205="Parcialmente comprometido","Parcial",IF(R205="Mayormente comprometido","Difícil",IF(R205="Ejecutado","No usar","Sin PIM")))))</f>
        <v>Difícil</v>
      </c>
      <c r="T205" s="26">
        <f>IF(OR(I205&lt;=0,R205="Ejecutado"),0,MAX(0,I205-K205))</f>
        <v>1420.0</v>
      </c>
      <c r="U205" s="24" t="s">
        <v>460</v>
      </c>
      <c r="V205" s="25">
        <v>100000</v>
      </c>
      <c r="W205" s="25">
        <v>2565482</v>
      </c>
      <c r="X205" s="25">
        <v>0</v>
      </c>
      <c r="Y205" s="25">
        <v>534518</v>
      </c>
      <c r="Z205" s="24" t="s">
        <v>63</v>
      </c>
      <c r="AA205" s="24" t="s">
        <v>63</v>
      </c>
      <c r="AB205" s="24" t="s">
        <v>63</v>
      </c>
      <c r="AC205" s="24" t="s">
        <v>101</v>
      </c>
    </row>
    <row r="206" spans="1:29">
      <c r="A206" s="24" t="s">
        <v>54</v>
      </c>
      <c r="B206" s="24" t="s">
        <v>55</v>
      </c>
      <c r="C206" s="24" t="s">
        <v>56</v>
      </c>
      <c r="D206" s="24" t="s">
        <v>612</v>
      </c>
      <c r="E206" s="24" t="s">
        <v>71</v>
      </c>
      <c r="F206" s="24" t="s">
        <v>707</v>
      </c>
      <c r="G206" s="24" t="s">
        <v>708</v>
      </c>
      <c r="H206" s="27" t="s">
        <v>709</v>
      </c>
      <c r="I206" s="25">
        <v>500172</v>
      </c>
      <c r="J206" s="25">
        <v>0</v>
      </c>
      <c r="K206" s="25">
        <v>0</v>
      </c>
      <c r="L206" s="25">
        <v>0</v>
      </c>
      <c r="M206" s="26">
        <f>I206-J206</f>
        <v>500172.0</v>
      </c>
      <c r="N206" s="26">
        <f>J206-K206</f>
        <v>0.0</v>
      </c>
      <c r="O206" s="26">
        <f>I206-L206</f>
        <v>500172.0</v>
      </c>
      <c r="P206" s="28">
        <f>IF(I206&gt;0,L206/I206,0)</f>
        <v>0.0</v>
      </c>
      <c r="Q206" s="28">
        <f>IF(I206&gt;0,K206/I206,0)</f>
        <v>0.0</v>
      </c>
      <c r="R206" s="24" t="str">
        <f>IF(I206&lt;=0,"Sin PIM",IF(L206/I206&gt;=Config!$B$5,"Ejecutado",IF(K206/I206&gt;=Config!$B$6,"Mayormente comprometido",IF(K206&gt;0.005,"Parcialmente comprometido",IF(J206&gt;0.005,"Solo certificado","Sin certificar")))))</f>
        <v>Sin certificar</v>
      </c>
      <c r="S206" s="24" t="str">
        <f>IF(R206="Sin certificar","Disponible",IF(R206="Solo certificado","Posible",IF(R206="Parcialmente comprometido","Parcial",IF(R206="Mayormente comprometido","Difícil",IF(R206="Ejecutado","No usar","Sin PIM")))))</f>
        <v>Disponible</v>
      </c>
      <c r="T206" s="26">
        <f>IF(OR(I206&lt;=0,R206="Ejecutado"),0,MAX(0,I206-K206))</f>
        <v>500172.0</v>
      </c>
      <c r="U206" s="24" t="s">
        <v>105</v>
      </c>
      <c r="V206" s="25">
        <v>700000</v>
      </c>
      <c r="W206" s="25">
        <v>1243456</v>
      </c>
      <c r="X206" s="25">
        <v>0</v>
      </c>
      <c r="Y206" s="25">
        <v>2984900</v>
      </c>
      <c r="Z206" s="24" t="s">
        <v>63</v>
      </c>
      <c r="AA206" s="24" t="s">
        <v>63</v>
      </c>
      <c r="AB206" s="24" t="s">
        <v>63</v>
      </c>
      <c r="AC206" s="24" t="s">
        <v>101</v>
      </c>
    </row>
    <row r="207" spans="1:29">
      <c r="A207" s="24" t="s">
        <v>54</v>
      </c>
      <c r="B207" s="24" t="s">
        <v>55</v>
      </c>
      <c r="C207" s="24" t="s">
        <v>56</v>
      </c>
      <c r="D207" s="24" t="s">
        <v>612</v>
      </c>
      <c r="E207" s="24" t="s">
        <v>71</v>
      </c>
      <c r="F207" s="24" t="s">
        <v>710</v>
      </c>
      <c r="G207" s="24" t="s">
        <v>711</v>
      </c>
      <c r="H207" s="27" t="s">
        <v>712</v>
      </c>
      <c r="I207" s="25">
        <v>310000</v>
      </c>
      <c r="J207" s="25">
        <v>310000</v>
      </c>
      <c r="K207" s="25">
        <v>250000</v>
      </c>
      <c r="L207" s="25">
        <v>240998.16</v>
      </c>
      <c r="M207" s="26">
        <f>I207-J207</f>
        <v>0.0</v>
      </c>
      <c r="N207" s="26">
        <f>J207-K207</f>
        <v>60000.0</v>
      </c>
      <c r="O207" s="26">
        <f>I207-L207</f>
        <v>69001.83999999997</v>
      </c>
      <c r="P207" s="28">
        <f>IF(I207&gt;0,L207/I207,0)</f>
        <v>0.7774134193548388</v>
      </c>
      <c r="Q207" s="28">
        <f>IF(I207&gt;0,K207/I207,0)</f>
        <v>0.8064516129032258</v>
      </c>
      <c r="R207" s="24" t="str">
        <f>IF(I207&lt;=0,"Sin PIM",IF(L207/I207&gt;=Config!$B$5,"Ejecutado",IF(K207/I207&gt;=Config!$B$6,"Mayormente comprometido",IF(K207&gt;0.005,"Parcialmente comprometido",IF(J207&gt;0.005,"Solo certificado","Sin certificar")))))</f>
        <v>Mayormente comprometido</v>
      </c>
      <c r="S207" s="24" t="str">
        <f>IF(R207="Sin certificar","Disponible",IF(R207="Solo certificado","Posible",IF(R207="Parcialmente comprometido","Parcial",IF(R207="Mayormente comprometido","Difícil",IF(R207="Ejecutado","No usar","Sin PIM")))))</f>
        <v>Difícil</v>
      </c>
      <c r="T207" s="26">
        <f>IF(OR(I207&lt;=0,R207="Ejecutado"),0,MAX(0,I207-K207))</f>
        <v>60000.0</v>
      </c>
      <c r="U207" s="24" t="s">
        <v>123</v>
      </c>
      <c r="V207" s="25">
        <v>50000</v>
      </c>
      <c r="W207" s="25">
        <v>0</v>
      </c>
      <c r="X207" s="25">
        <v>0</v>
      </c>
      <c r="Y207" s="25">
        <v>1000000</v>
      </c>
      <c r="Z207" s="24" t="s">
        <v>63</v>
      </c>
      <c r="AA207" s="24" t="s">
        <v>63</v>
      </c>
      <c r="AB207" s="24" t="s">
        <v>63</v>
      </c>
      <c r="AC207" s="24" t="s">
        <v>101</v>
      </c>
    </row>
    <row r="208" spans="1:29">
      <c r="A208" s="24" t="s">
        <v>54</v>
      </c>
      <c r="B208" s="24" t="s">
        <v>55</v>
      </c>
      <c r="C208" s="24" t="s">
        <v>56</v>
      </c>
      <c r="D208" s="24" t="s">
        <v>612</v>
      </c>
      <c r="E208" s="24" t="s">
        <v>71</v>
      </c>
      <c r="F208" s="24" t="s">
        <v>713</v>
      </c>
      <c r="G208" s="24" t="s">
        <v>714</v>
      </c>
      <c r="H208" s="27" t="s">
        <v>715</v>
      </c>
      <c r="I208" s="25">
        <v>100000</v>
      </c>
      <c r="J208" s="25">
        <v>98287</v>
      </c>
      <c r="K208" s="25">
        <v>98287</v>
      </c>
      <c r="L208" s="25">
        <v>19750.31</v>
      </c>
      <c r="M208" s="26">
        <f>I208-J208</f>
        <v>1713.0</v>
      </c>
      <c r="N208" s="26">
        <f>J208-K208</f>
        <v>0.0</v>
      </c>
      <c r="O208" s="26">
        <f>I208-L208</f>
        <v>80249.69</v>
      </c>
      <c r="P208" s="28">
        <f>IF(I208&gt;0,L208/I208,0)</f>
        <v>0.19750310000000001</v>
      </c>
      <c r="Q208" s="28">
        <f>IF(I208&gt;0,K208/I208,0)</f>
        <v>0.98287</v>
      </c>
      <c r="R208" s="24" t="str">
        <f>IF(I208&lt;=0,"Sin PIM",IF(L208/I208&gt;=Config!$B$5,"Ejecutado",IF(K208/I208&gt;=Config!$B$6,"Mayormente comprometido",IF(K208&gt;0.005,"Parcialmente comprometido",IF(J208&gt;0.005,"Solo certificado","Sin certificar")))))</f>
        <v>Mayormente comprometido</v>
      </c>
      <c r="S208" s="24" t="str">
        <f>IF(R208="Sin certificar","Disponible",IF(R208="Solo certificado","Posible",IF(R208="Parcialmente comprometido","Parcial",IF(R208="Mayormente comprometido","Difícil",IF(R208="Ejecutado","No usar","Sin PIM")))))</f>
        <v>Difícil</v>
      </c>
      <c r="T208" s="26">
        <f>IF(OR(I208&lt;=0,R208="Ejecutado"),0,MAX(0,I208-K208))</f>
        <v>1713.0</v>
      </c>
      <c r="U208" s="24" t="s">
        <v>123</v>
      </c>
      <c r="V208" s="25">
        <v>100000</v>
      </c>
      <c r="W208" s="25">
        <v>254875</v>
      </c>
      <c r="X208" s="25">
        <v>0</v>
      </c>
      <c r="Y208" s="25">
        <v>500000</v>
      </c>
      <c r="Z208" s="24" t="s">
        <v>63</v>
      </c>
      <c r="AA208" s="24" t="s">
        <v>63</v>
      </c>
      <c r="AB208" s="24" t="s">
        <v>63</v>
      </c>
      <c r="AC208" s="24" t="s">
        <v>101</v>
      </c>
    </row>
    <row r="209" spans="1:29">
      <c r="A209" s="24" t="s">
        <v>54</v>
      </c>
      <c r="B209" s="24" t="s">
        <v>55</v>
      </c>
      <c r="C209" s="24" t="s">
        <v>56</v>
      </c>
      <c r="D209" s="24" t="s">
        <v>612</v>
      </c>
      <c r="E209" s="24" t="s">
        <v>71</v>
      </c>
      <c r="F209" s="24" t="s">
        <v>716</v>
      </c>
      <c r="G209" s="24" t="s">
        <v>717</v>
      </c>
      <c r="H209" s="27" t="s">
        <v>718</v>
      </c>
      <c r="I209" s="25">
        <v>400214</v>
      </c>
      <c r="J209" s="25">
        <v>400214</v>
      </c>
      <c r="K209" s="25">
        <v>350213.5</v>
      </c>
      <c r="L209" s="25">
        <v>330372.18</v>
      </c>
      <c r="M209" s="26">
        <f>I209-J209</f>
        <v>0.0</v>
      </c>
      <c r="N209" s="26">
        <f>J209-K209</f>
        <v>50000.5</v>
      </c>
      <c r="O209" s="26">
        <f>I209-L209</f>
        <v>69841.82</v>
      </c>
      <c r="P209" s="28">
        <f>IF(I209&gt;0,L209/I209,0)</f>
        <v>0.8254888134847856</v>
      </c>
      <c r="Q209" s="28">
        <f>IF(I209&gt;0,K209/I209,0)</f>
        <v>0.8750655899093984</v>
      </c>
      <c r="R209" s="24" t="str">
        <f>IF(I209&lt;=0,"Sin PIM",IF(L209/I209&gt;=Config!$B$5,"Ejecutado",IF(K209/I209&gt;=Config!$B$6,"Mayormente comprometido",IF(K209&gt;0.005,"Parcialmente comprometido",IF(J209&gt;0.005,"Solo certificado","Sin certificar")))))</f>
        <v>Mayormente comprometido</v>
      </c>
      <c r="S209" s="24" t="str">
        <f>IF(R209="Sin certificar","Disponible",IF(R209="Solo certificado","Posible",IF(R209="Parcialmente comprometido","Parcial",IF(R209="Mayormente comprometido","Difícil",IF(R209="Ejecutado","No usar","Sin PIM")))))</f>
        <v>Difícil</v>
      </c>
      <c r="T209" s="26">
        <f>IF(OR(I209&lt;=0,R209="Ejecutado"),0,MAX(0,I209-K209))</f>
        <v>50000.5</v>
      </c>
      <c r="U209" s="24" t="s">
        <v>123</v>
      </c>
      <c r="V209" s="25">
        <v>50000</v>
      </c>
      <c r="W209" s="25">
        <v>0</v>
      </c>
      <c r="X209" s="25">
        <v>0</v>
      </c>
      <c r="Y209" s="25">
        <v>1299636</v>
      </c>
      <c r="Z209" s="24" t="s">
        <v>63</v>
      </c>
      <c r="AA209" s="24" t="s">
        <v>63</v>
      </c>
      <c r="AB209" s="24" t="s">
        <v>63</v>
      </c>
      <c r="AC209" s="24" t="s">
        <v>101</v>
      </c>
    </row>
    <row r="210" spans="1:29">
      <c r="A210" s="24" t="s">
        <v>54</v>
      </c>
      <c r="B210" s="24" t="s">
        <v>55</v>
      </c>
      <c r="C210" s="24" t="s">
        <v>56</v>
      </c>
      <c r="D210" s="24" t="s">
        <v>612</v>
      </c>
      <c r="E210" s="24" t="s">
        <v>71</v>
      </c>
      <c r="F210" s="24" t="s">
        <v>719</v>
      </c>
      <c r="G210" s="24" t="s">
        <v>720</v>
      </c>
      <c r="H210" s="27" t="s">
        <v>721</v>
      </c>
      <c r="I210" s="25">
        <v>0</v>
      </c>
      <c r="J210" s="25">
        <v>0</v>
      </c>
      <c r="K210" s="25">
        <v>0</v>
      </c>
      <c r="L210" s="25">
        <v>0</v>
      </c>
      <c r="M210" s="26">
        <f>I210-J210</f>
        <v>0.0</v>
      </c>
      <c r="N210" s="26">
        <f>J210-K210</f>
        <v>0.0</v>
      </c>
      <c r="O210" s="26">
        <f>I210-L210</f>
        <v>0.0</v>
      </c>
      <c r="P210" s="28">
        <f>IF(I210&gt;0,L210/I210,0)</f>
        <v>0</v>
      </c>
      <c r="Q210" s="28">
        <f>IF(I210&gt;0,K210/I210,0)</f>
        <v>0</v>
      </c>
      <c r="R210" s="24" t="str">
        <f>IF(I210&lt;=0,"Sin PIM",IF(L210/I210&gt;=Config!$B$5,"Ejecutado",IF(K210/I210&gt;=Config!$B$6,"Mayormente comprometido",IF(K210&gt;0.005,"Parcialmente comprometido",IF(J210&gt;0.005,"Solo certificado","Sin certificar")))))</f>
        <v>Sin PIM</v>
      </c>
      <c r="S210" s="24" t="str">
        <f>IF(R210="Sin certificar","Disponible",IF(R210="Solo certificado","Posible",IF(R210="Parcialmente comprometido","Parcial",IF(R210="Mayormente comprometido","Difícil",IF(R210="Ejecutado","No usar","Sin PIM")))))</f>
        <v>Sin PIM</v>
      </c>
      <c r="T210" s="26">
        <f>IF(OR(I210&lt;=0,R210="Ejecutado"),0,MAX(0,I210-K210))</f>
        <v>0.0</v>
      </c>
      <c r="U210" s="24" t="s">
        <v>105</v>
      </c>
      <c r="V210" s="25">
        <v>50000</v>
      </c>
      <c r="W210" s="25">
        <v>0</v>
      </c>
      <c r="X210" s="25">
        <v>0</v>
      </c>
      <c r="Y210" s="25">
        <v>300000</v>
      </c>
      <c r="Z210" s="24" t="s">
        <v>63</v>
      </c>
      <c r="AA210" s="24" t="s">
        <v>63</v>
      </c>
      <c r="AB210" s="24" t="s">
        <v>63</v>
      </c>
      <c r="AC210" s="24" t="s">
        <v>101</v>
      </c>
    </row>
    <row r="211" spans="1:29">
      <c r="A211" s="24" t="s">
        <v>54</v>
      </c>
      <c r="B211" s="24" t="s">
        <v>55</v>
      </c>
      <c r="C211" s="24" t="s">
        <v>56</v>
      </c>
      <c r="D211" s="24" t="s">
        <v>612</v>
      </c>
      <c r="E211" s="24" t="s">
        <v>71</v>
      </c>
      <c r="F211" s="24" t="s">
        <v>722</v>
      </c>
      <c r="G211" s="24" t="s">
        <v>723</v>
      </c>
      <c r="H211" s="27" t="s">
        <v>724</v>
      </c>
      <c r="I211" s="25">
        <v>126982</v>
      </c>
      <c r="J211" s="25">
        <v>126982</v>
      </c>
      <c r="K211" s="25">
        <v>126982</v>
      </c>
      <c r="L211" s="25">
        <v>120317.21</v>
      </c>
      <c r="M211" s="26">
        <f>I211-J211</f>
        <v>0.0</v>
      </c>
      <c r="N211" s="26">
        <f>J211-K211</f>
        <v>0.0</v>
      </c>
      <c r="O211" s="26">
        <f>I211-L211</f>
        <v>6664.790000000008</v>
      </c>
      <c r="P211" s="28">
        <f>IF(I211&gt;0,L211/I211,0)</f>
        <v>0.9475138996078184</v>
      </c>
      <c r="Q211" s="28">
        <f>IF(I211&gt;0,K211/I211,0)</f>
        <v>1.0</v>
      </c>
      <c r="R211" s="24" t="str">
        <f>IF(I211&lt;=0,"Sin PIM",IF(L211/I211&gt;=Config!$B$5,"Ejecutado",IF(K211/I211&gt;=Config!$B$6,"Mayormente comprometido",IF(K211&gt;0.005,"Parcialmente comprometido",IF(J211&gt;0.005,"Solo certificado","Sin certificar")))))</f>
        <v>Ejecutado</v>
      </c>
      <c r="S211" s="24" t="str">
        <f>IF(R211="Sin certificar","Disponible",IF(R211="Solo certificado","Posible",IF(R211="Parcialmente comprometido","Parcial",IF(R211="Mayormente comprometido","Difícil",IF(R211="Ejecutado","No usar","Sin PIM")))))</f>
        <v>No usar</v>
      </c>
      <c r="T211" s="26">
        <f>IF(OR(I211&lt;=0,R211="Ejecutado"),0,MAX(0,I211-K211))</f>
        <v>0.0</v>
      </c>
      <c r="U211" s="24" t="s">
        <v>123</v>
      </c>
      <c r="V211" s="25">
        <v>50000</v>
      </c>
      <c r="W211" s="25">
        <v>251478</v>
      </c>
      <c r="X211" s="25">
        <v>0</v>
      </c>
      <c r="Y211" s="25">
        <v>300000</v>
      </c>
      <c r="Z211" s="24" t="s">
        <v>63</v>
      </c>
      <c r="AA211" s="24" t="s">
        <v>63</v>
      </c>
      <c r="AB211" s="24" t="s">
        <v>63</v>
      </c>
      <c r="AC211" s="24" t="s">
        <v>101</v>
      </c>
    </row>
    <row r="212" spans="1:29">
      <c r="A212" s="24" t="s">
        <v>54</v>
      </c>
      <c r="B212" s="24" t="s">
        <v>55</v>
      </c>
      <c r="C212" s="24" t="s">
        <v>56</v>
      </c>
      <c r="D212" s="24" t="s">
        <v>612</v>
      </c>
      <c r="E212" s="24" t="s">
        <v>71</v>
      </c>
      <c r="F212" s="24" t="s">
        <v>725</v>
      </c>
      <c r="G212" s="24" t="s">
        <v>726</v>
      </c>
      <c r="H212" s="27" t="s">
        <v>727</v>
      </c>
      <c r="I212" s="25">
        <v>0</v>
      </c>
      <c r="J212" s="25">
        <v>0</v>
      </c>
      <c r="K212" s="25">
        <v>0</v>
      </c>
      <c r="L212" s="25">
        <v>0</v>
      </c>
      <c r="M212" s="26">
        <f>I212-J212</f>
        <v>0.0</v>
      </c>
      <c r="N212" s="26">
        <f>J212-K212</f>
        <v>0.0</v>
      </c>
      <c r="O212" s="26">
        <f>I212-L212</f>
        <v>0.0</v>
      </c>
      <c r="P212" s="28">
        <f>IF(I212&gt;0,L212/I212,0)</f>
        <v>0</v>
      </c>
      <c r="Q212" s="28">
        <f>IF(I212&gt;0,K212/I212,0)</f>
        <v>0</v>
      </c>
      <c r="R212" s="24" t="str">
        <f>IF(I212&lt;=0,"Sin PIM",IF(L212/I212&gt;=Config!$B$5,"Ejecutado",IF(K212/I212&gt;=Config!$B$6,"Mayormente comprometido",IF(K212&gt;0.005,"Parcialmente comprometido",IF(J212&gt;0.005,"Solo certificado","Sin certificar")))))</f>
        <v>Sin PIM</v>
      </c>
      <c r="S212" s="24" t="str">
        <f>IF(R212="Sin certificar","Disponible",IF(R212="Solo certificado","Posible",IF(R212="Parcialmente comprometido","Parcial",IF(R212="Mayormente comprometido","Difícil",IF(R212="Ejecutado","No usar","Sin PIM")))))</f>
        <v>Sin PIM</v>
      </c>
      <c r="T212" s="26">
        <f>IF(OR(I212&lt;=0,R212="Ejecutado"),0,MAX(0,I212-K212))</f>
        <v>0.0</v>
      </c>
      <c r="U212" s="24" t="s">
        <v>105</v>
      </c>
      <c r="V212" s="25">
        <v>50000</v>
      </c>
      <c r="W212" s="25">
        <v>0</v>
      </c>
      <c r="X212" s="25">
        <v>0</v>
      </c>
      <c r="Y212" s="25">
        <v>150000</v>
      </c>
      <c r="Z212" s="24" t="s">
        <v>63</v>
      </c>
      <c r="AA212" s="24" t="s">
        <v>63</v>
      </c>
      <c r="AB212" s="24" t="s">
        <v>63</v>
      </c>
      <c r="AC212" s="24" t="s">
        <v>101</v>
      </c>
    </row>
    <row r="213" spans="1:29">
      <c r="A213" s="24" t="s">
        <v>54</v>
      </c>
      <c r="B213" s="24" t="s">
        <v>55</v>
      </c>
      <c r="C213" s="24" t="s">
        <v>56</v>
      </c>
      <c r="D213" s="24" t="s">
        <v>612</v>
      </c>
      <c r="E213" s="24" t="s">
        <v>71</v>
      </c>
      <c r="F213" s="24" t="s">
        <v>728</v>
      </c>
      <c r="G213" s="24" t="s">
        <v>729</v>
      </c>
      <c r="H213" s="27" t="s">
        <v>730</v>
      </c>
      <c r="I213" s="25">
        <v>112244</v>
      </c>
      <c r="J213" s="25">
        <v>112243.56</v>
      </c>
      <c r="K213" s="25">
        <v>82243.56</v>
      </c>
      <c r="L213" s="25">
        <v>78030.97</v>
      </c>
      <c r="M213" s="26">
        <f>I213-J213</f>
        <v>0.4400000000023283</v>
      </c>
      <c r="N213" s="26">
        <f>J213-K213</f>
        <v>30000.0</v>
      </c>
      <c r="O213" s="26">
        <f>I213-L213</f>
        <v>34213.03</v>
      </c>
      <c r="P213" s="28">
        <f>IF(I213&gt;0,L213/I213,0)</f>
        <v>0.6951905669790813</v>
      </c>
      <c r="Q213" s="28">
        <f>IF(I213&gt;0,K213/I213,0)</f>
        <v>0.7327212144969887</v>
      </c>
      <c r="R213" s="24" t="str">
        <f>IF(I213&lt;=0,"Sin PIM",IF(L213/I213&gt;=Config!$B$5,"Ejecutado",IF(K213/I213&gt;=Config!$B$6,"Mayormente comprometido",IF(K213&gt;0.005,"Parcialmente comprometido",IF(J213&gt;0.005,"Solo certificado","Sin certificar")))))</f>
        <v>Mayormente comprometido</v>
      </c>
      <c r="S213" s="24" t="str">
        <f>IF(R213="Sin certificar","Disponible",IF(R213="Solo certificado","Posible",IF(R213="Parcialmente comprometido","Parcial",IF(R213="Mayormente comprometido","Difícil",IF(R213="Ejecutado","No usar","Sin PIM")))))</f>
        <v>Difícil</v>
      </c>
      <c r="T213" s="26">
        <f>IF(OR(I213&lt;=0,R213="Ejecutado"),0,MAX(0,I213-K213))</f>
        <v>30000.440000000002</v>
      </c>
      <c r="U213" s="24" t="s">
        <v>123</v>
      </c>
      <c r="V213" s="25">
        <v>50000</v>
      </c>
      <c r="W213" s="25">
        <v>3985654</v>
      </c>
      <c r="X213" s="25">
        <v>0</v>
      </c>
      <c r="Y213" s="25">
        <v>500000</v>
      </c>
      <c r="Z213" s="24" t="s">
        <v>63</v>
      </c>
      <c r="AA213" s="24" t="s">
        <v>63</v>
      </c>
      <c r="AB213" s="24" t="s">
        <v>63</v>
      </c>
      <c r="AC213" s="24" t="s">
        <v>101</v>
      </c>
    </row>
    <row r="214" spans="1:29">
      <c r="A214" s="24" t="s">
        <v>54</v>
      </c>
      <c r="B214" s="24" t="s">
        <v>55</v>
      </c>
      <c r="C214" s="24" t="s">
        <v>56</v>
      </c>
      <c r="D214" s="24" t="s">
        <v>612</v>
      </c>
      <c r="E214" s="24" t="s">
        <v>71</v>
      </c>
      <c r="F214" s="24" t="s">
        <v>731</v>
      </c>
      <c r="G214" s="24" t="s">
        <v>732</v>
      </c>
      <c r="H214" s="27" t="s">
        <v>733</v>
      </c>
      <c r="I214" s="25">
        <v>164979</v>
      </c>
      <c r="J214" s="25">
        <v>164976.5</v>
      </c>
      <c r="K214" s="25">
        <v>164976.5</v>
      </c>
      <c r="L214" s="25">
        <v>152477.04</v>
      </c>
      <c r="M214" s="26">
        <f>I214-J214</f>
        <v>2.5</v>
      </c>
      <c r="N214" s="26">
        <f>J214-K214</f>
        <v>0.0</v>
      </c>
      <c r="O214" s="26">
        <f>I214-L214</f>
        <v>12501.959999999992</v>
      </c>
      <c r="P214" s="28">
        <f>IF(I214&gt;0,L214/I214,0)</f>
        <v>0.9242209008419254</v>
      </c>
      <c r="Q214" s="28">
        <f>IF(I214&gt;0,K214/I214,0)</f>
        <v>0.9999848465562283</v>
      </c>
      <c r="R214" s="24" t="str">
        <f>IF(I214&lt;=0,"Sin PIM",IF(L214/I214&gt;=Config!$B$5,"Ejecutado",IF(K214/I214&gt;=Config!$B$6,"Mayormente comprometido",IF(K214&gt;0.005,"Parcialmente comprometido",IF(J214&gt;0.005,"Solo certificado","Sin certificar")))))</f>
        <v>Ejecutado</v>
      </c>
      <c r="S214" s="24" t="str">
        <f>IF(R214="Sin certificar","Disponible",IF(R214="Solo certificado","Posible",IF(R214="Parcialmente comprometido","Parcial",IF(R214="Mayormente comprometido","Difícil",IF(R214="Ejecutado","No usar","Sin PIM")))))</f>
        <v>No usar</v>
      </c>
      <c r="T214" s="26">
        <f>IF(OR(I214&lt;=0,R214="Ejecutado"),0,MAX(0,I214-K214))</f>
        <v>0.0</v>
      </c>
      <c r="U214" s="24" t="s">
        <v>123</v>
      </c>
      <c r="V214" s="25">
        <v>50000</v>
      </c>
      <c r="W214" s="25">
        <v>2375675</v>
      </c>
      <c r="X214" s="25">
        <v>0</v>
      </c>
      <c r="Y214" s="25">
        <v>0</v>
      </c>
      <c r="Z214" s="24" t="s">
        <v>63</v>
      </c>
      <c r="AA214" s="24" t="s">
        <v>63</v>
      </c>
      <c r="AB214" s="24" t="s">
        <v>63</v>
      </c>
      <c r="AC214" s="24" t="s">
        <v>101</v>
      </c>
    </row>
    <row r="215" spans="1:29">
      <c r="A215" s="24" t="s">
        <v>54</v>
      </c>
      <c r="B215" s="24" t="s">
        <v>55</v>
      </c>
      <c r="C215" s="24" t="s">
        <v>56</v>
      </c>
      <c r="D215" s="24" t="s">
        <v>612</v>
      </c>
      <c r="E215" s="24" t="s">
        <v>71</v>
      </c>
      <c r="F215" s="24" t="s">
        <v>734</v>
      </c>
      <c r="G215" s="24" t="s">
        <v>735</v>
      </c>
      <c r="H215" s="27" t="s">
        <v>736</v>
      </c>
      <c r="I215" s="25">
        <v>99897</v>
      </c>
      <c r="J215" s="25">
        <v>99879.63</v>
      </c>
      <c r="K215" s="25">
        <v>99879.63</v>
      </c>
      <c r="L215" s="25">
        <v>91645.05</v>
      </c>
      <c r="M215" s="26">
        <f>I215-J215</f>
        <v>17.369999999995343</v>
      </c>
      <c r="N215" s="26">
        <f>J215-K215</f>
        <v>0.0</v>
      </c>
      <c r="O215" s="26">
        <f>I215-L215</f>
        <v>8251.949999999997</v>
      </c>
      <c r="P215" s="28">
        <f>IF(I215&gt;0,L215/I215,0)</f>
        <v>0.9173954172797982</v>
      </c>
      <c r="Q215" s="28">
        <f>IF(I215&gt;0,K215/I215,0)</f>
        <v>0.9998261209045317</v>
      </c>
      <c r="R215" s="24" t="str">
        <f>IF(I215&lt;=0,"Sin PIM",IF(L215/I215&gt;=Config!$B$5,"Ejecutado",IF(K215/I215&gt;=Config!$B$6,"Mayormente comprometido",IF(K215&gt;0.005,"Parcialmente comprometido",IF(J215&gt;0.005,"Solo certificado","Sin certificar")))))</f>
        <v>Ejecutado</v>
      </c>
      <c r="S215" s="24" t="str">
        <f>IF(R215="Sin certificar","Disponible",IF(R215="Solo certificado","Posible",IF(R215="Parcialmente comprometido","Parcial",IF(R215="Mayormente comprometido","Difícil",IF(R215="Ejecutado","No usar","Sin PIM")))))</f>
        <v>No usar</v>
      </c>
      <c r="T215" s="26">
        <f>IF(OR(I215&lt;=0,R215="Ejecutado"),0,MAX(0,I215-K215))</f>
        <v>0.0</v>
      </c>
      <c r="U215" s="24" t="s">
        <v>123</v>
      </c>
      <c r="V215" s="25">
        <v>50000</v>
      </c>
      <c r="W215" s="25">
        <v>1278678</v>
      </c>
      <c r="X215" s="25">
        <v>0</v>
      </c>
      <c r="Y215" s="25">
        <v>1000000</v>
      </c>
      <c r="Z215" s="24" t="s">
        <v>63</v>
      </c>
      <c r="AA215" s="24" t="s">
        <v>63</v>
      </c>
      <c r="AB215" s="24" t="s">
        <v>63</v>
      </c>
      <c r="AC215" s="24" t="s">
        <v>101</v>
      </c>
    </row>
    <row r="216" spans="1:29">
      <c r="A216" s="24" t="s">
        <v>54</v>
      </c>
      <c r="B216" s="24" t="s">
        <v>55</v>
      </c>
      <c r="C216" s="24" t="s">
        <v>56</v>
      </c>
      <c r="D216" s="24" t="s">
        <v>612</v>
      </c>
      <c r="E216" s="24" t="s">
        <v>71</v>
      </c>
      <c r="F216" s="24" t="s">
        <v>737</v>
      </c>
      <c r="G216" s="24" t="s">
        <v>738</v>
      </c>
      <c r="H216" s="27" t="s">
        <v>739</v>
      </c>
      <c r="I216" s="25">
        <v>332000</v>
      </c>
      <c r="J216" s="25">
        <v>332000</v>
      </c>
      <c r="K216" s="25">
        <v>250000</v>
      </c>
      <c r="L216" s="25">
        <v>165235.17</v>
      </c>
      <c r="M216" s="26">
        <f>I216-J216</f>
        <v>0.0</v>
      </c>
      <c r="N216" s="26">
        <f>J216-K216</f>
        <v>82000.0</v>
      </c>
      <c r="O216" s="26">
        <f>I216-L216</f>
        <v>166764.83000000002</v>
      </c>
      <c r="P216" s="28">
        <f>IF(I216&gt;0,L216/I216,0)</f>
        <v>0.49769629518072284</v>
      </c>
      <c r="Q216" s="28">
        <f>IF(I216&gt;0,K216/I216,0)</f>
        <v>0.7530120481927711</v>
      </c>
      <c r="R216" s="24" t="str">
        <f>IF(I216&lt;=0,"Sin PIM",IF(L216/I216&gt;=Config!$B$5,"Ejecutado",IF(K216/I216&gt;=Config!$B$6,"Mayormente comprometido",IF(K216&gt;0.005,"Parcialmente comprometido",IF(J216&gt;0.005,"Solo certificado","Sin certificar")))))</f>
        <v>Mayormente comprometido</v>
      </c>
      <c r="S216" s="24" t="str">
        <f>IF(R216="Sin certificar","Disponible",IF(R216="Solo certificado","Posible",IF(R216="Parcialmente comprometido","Parcial",IF(R216="Mayormente comprometido","Difícil",IF(R216="Ejecutado","No usar","Sin PIM")))))</f>
        <v>Difícil</v>
      </c>
      <c r="T216" s="26">
        <f>IF(OR(I216&lt;=0,R216="Ejecutado"),0,MAX(0,I216-K216))</f>
        <v>82000.0</v>
      </c>
      <c r="U216" s="24" t="s">
        <v>123</v>
      </c>
      <c r="V216" s="25">
        <v>50000</v>
      </c>
      <c r="W216" s="25">
        <v>0</v>
      </c>
      <c r="X216" s="25">
        <v>0</v>
      </c>
      <c r="Y216" s="25">
        <v>50000</v>
      </c>
      <c r="Z216" s="24" t="s">
        <v>63</v>
      </c>
      <c r="AA216" s="24" t="s">
        <v>63</v>
      </c>
      <c r="AB216" s="24" t="s">
        <v>63</v>
      </c>
      <c r="AC216" s="24" t="s">
        <v>101</v>
      </c>
    </row>
    <row r="217" spans="1:29">
      <c r="A217" s="24" t="s">
        <v>54</v>
      </c>
      <c r="B217" s="24" t="s">
        <v>55</v>
      </c>
      <c r="C217" s="24" t="s">
        <v>56</v>
      </c>
      <c r="D217" s="24" t="s">
        <v>612</v>
      </c>
      <c r="E217" s="24" t="s">
        <v>71</v>
      </c>
      <c r="F217" s="24" t="s">
        <v>740</v>
      </c>
      <c r="G217" s="24" t="s">
        <v>741</v>
      </c>
      <c r="H217" s="27" t="s">
        <v>742</v>
      </c>
      <c r="I217" s="25">
        <v>0</v>
      </c>
      <c r="J217" s="25">
        <v>0</v>
      </c>
      <c r="K217" s="25">
        <v>0</v>
      </c>
      <c r="L217" s="25">
        <v>0</v>
      </c>
      <c r="M217" s="26">
        <f>I217-J217</f>
        <v>0.0</v>
      </c>
      <c r="N217" s="26">
        <f>J217-K217</f>
        <v>0.0</v>
      </c>
      <c r="O217" s="26">
        <f>I217-L217</f>
        <v>0.0</v>
      </c>
      <c r="P217" s="28">
        <f>IF(I217&gt;0,L217/I217,0)</f>
        <v>0</v>
      </c>
      <c r="Q217" s="28">
        <f>IF(I217&gt;0,K217/I217,0)</f>
        <v>0</v>
      </c>
      <c r="R217" s="24" t="str">
        <f>IF(I217&lt;=0,"Sin PIM",IF(L217/I217&gt;=Config!$B$5,"Ejecutado",IF(K217/I217&gt;=Config!$B$6,"Mayormente comprometido",IF(K217&gt;0.005,"Parcialmente comprometido",IF(J217&gt;0.005,"Solo certificado","Sin certificar")))))</f>
        <v>Sin PIM</v>
      </c>
      <c r="S217" s="24" t="str">
        <f>IF(R217="Sin certificar","Disponible",IF(R217="Solo certificado","Posible",IF(R217="Parcialmente comprometido","Parcial",IF(R217="Mayormente comprometido","Difícil",IF(R217="Ejecutado","No usar","Sin PIM")))))</f>
        <v>Sin PIM</v>
      </c>
      <c r="T217" s="26">
        <f>IF(OR(I217&lt;=0,R217="Ejecutado"),0,MAX(0,I217-K217))</f>
        <v>0.0</v>
      </c>
      <c r="U217" s="24" t="s">
        <v>105</v>
      </c>
      <c r="V217" s="25">
        <v>50000</v>
      </c>
      <c r="W217" s="25">
        <v>0</v>
      </c>
      <c r="X217" s="25">
        <v>0</v>
      </c>
      <c r="Y217" s="25">
        <v>2500000</v>
      </c>
      <c r="Z217" s="24" t="s">
        <v>63</v>
      </c>
      <c r="AA217" s="24" t="s">
        <v>63</v>
      </c>
      <c r="AB217" s="24" t="s">
        <v>63</v>
      </c>
      <c r="AC217" s="24" t="s">
        <v>101</v>
      </c>
    </row>
    <row r="218" spans="1:29">
      <c r="A218" s="24" t="s">
        <v>54</v>
      </c>
      <c r="B218" s="24" t="s">
        <v>55</v>
      </c>
      <c r="C218" s="24" t="s">
        <v>56</v>
      </c>
      <c r="D218" s="24" t="s">
        <v>612</v>
      </c>
      <c r="E218" s="24" t="s">
        <v>71</v>
      </c>
      <c r="F218" s="24" t="s">
        <v>743</v>
      </c>
      <c r="G218" s="24" t="s">
        <v>744</v>
      </c>
      <c r="H218" s="27" t="s">
        <v>745</v>
      </c>
      <c r="I218" s="25">
        <v>100000</v>
      </c>
      <c r="J218" s="25">
        <v>50000</v>
      </c>
      <c r="K218" s="25">
        <v>50000</v>
      </c>
      <c r="L218" s="25">
        <v>0</v>
      </c>
      <c r="M218" s="26">
        <f>I218-J218</f>
        <v>50000.0</v>
      </c>
      <c r="N218" s="26">
        <f>J218-K218</f>
        <v>0.0</v>
      </c>
      <c r="O218" s="26">
        <f>I218-L218</f>
        <v>100000.0</v>
      </c>
      <c r="P218" s="28">
        <f>IF(I218&gt;0,L218/I218,0)</f>
        <v>0.0</v>
      </c>
      <c r="Q218" s="28">
        <f>IF(I218&gt;0,K218/I218,0)</f>
        <v>0.5</v>
      </c>
      <c r="R218" s="24" t="str">
        <f>IF(I218&lt;=0,"Sin PIM",IF(L218/I218&gt;=Config!$B$5,"Ejecutado",IF(K218/I218&gt;=Config!$B$6,"Mayormente comprometido",IF(K218&gt;0.005,"Parcialmente comprometido",IF(J218&gt;0.005,"Solo certificado","Sin certificar")))))</f>
        <v>Mayormente comprometido</v>
      </c>
      <c r="S218" s="24" t="str">
        <f>IF(R218="Sin certificar","Disponible",IF(R218="Solo certificado","Posible",IF(R218="Parcialmente comprometido","Parcial",IF(R218="Mayormente comprometido","Difícil",IF(R218="Ejecutado","No usar","Sin PIM")))))</f>
        <v>Difícil</v>
      </c>
      <c r="T218" s="26">
        <f>IF(OR(I218&lt;=0,R218="Ejecutado"),0,MAX(0,I218-K218))</f>
        <v>50000.0</v>
      </c>
      <c r="U218" s="24" t="s">
        <v>123</v>
      </c>
      <c r="V218" s="25">
        <v>100000</v>
      </c>
      <c r="W218" s="25">
        <v>567456</v>
      </c>
      <c r="X218" s="25">
        <v>15577911</v>
      </c>
      <c r="Y218" s="25">
        <v>23141649</v>
      </c>
      <c r="Z218" s="24" t="s">
        <v>63</v>
      </c>
      <c r="AA218" s="24" t="s">
        <v>63</v>
      </c>
      <c r="AB218" s="24" t="s">
        <v>63</v>
      </c>
      <c r="AC218" s="24" t="s">
        <v>101</v>
      </c>
    </row>
    <row r="219" spans="1:29">
      <c r="A219" s="24" t="s">
        <v>54</v>
      </c>
      <c r="B219" s="24" t="s">
        <v>55</v>
      </c>
      <c r="C219" s="24" t="s">
        <v>56</v>
      </c>
      <c r="D219" s="24" t="s">
        <v>612</v>
      </c>
      <c r="E219" s="24" t="s">
        <v>71</v>
      </c>
      <c r="F219" s="24" t="s">
        <v>746</v>
      </c>
      <c r="G219" s="24" t="s">
        <v>747</v>
      </c>
      <c r="H219" s="27" t="s">
        <v>748</v>
      </c>
      <c r="I219" s="25">
        <v>408761</v>
      </c>
      <c r="J219" s="25">
        <v>356083</v>
      </c>
      <c r="K219" s="25">
        <v>356083</v>
      </c>
      <c r="L219" s="25">
        <v>242446.26</v>
      </c>
      <c r="M219" s="26">
        <f>I219-J219</f>
        <v>52678.0</v>
      </c>
      <c r="N219" s="26">
        <f>J219-K219</f>
        <v>0.0</v>
      </c>
      <c r="O219" s="26">
        <f>I219-L219</f>
        <v>166314.74000000002</v>
      </c>
      <c r="P219" s="28">
        <f>IF(I219&gt;0,L219/I219,0)</f>
        <v>0.5931247354811247</v>
      </c>
      <c r="Q219" s="28">
        <f>IF(I219&gt;0,K219/I219,0)</f>
        <v>0.8711276271464254</v>
      </c>
      <c r="R219" s="24" t="str">
        <f>IF(I219&lt;=0,"Sin PIM",IF(L219/I219&gt;=Config!$B$5,"Ejecutado",IF(K219/I219&gt;=Config!$B$6,"Mayormente comprometido",IF(K219&gt;0.005,"Parcialmente comprometido",IF(J219&gt;0.005,"Solo certificado","Sin certificar")))))</f>
        <v>Mayormente comprometido</v>
      </c>
      <c r="S219" s="24" t="str">
        <f>IF(R219="Sin certificar","Disponible",IF(R219="Solo certificado","Posible",IF(R219="Parcialmente comprometido","Parcial",IF(R219="Mayormente comprometido","Difícil",IF(R219="Ejecutado","No usar","Sin PIM")))))</f>
        <v>Difícil</v>
      </c>
      <c r="T219" s="26">
        <f>IF(OR(I219&lt;=0,R219="Ejecutado"),0,MAX(0,I219-K219))</f>
        <v>52678.0</v>
      </c>
      <c r="U219" s="24" t="s">
        <v>123</v>
      </c>
      <c r="V219" s="25">
        <v>2981000</v>
      </c>
      <c r="W219" s="25">
        <v>2654845</v>
      </c>
      <c r="X219" s="25">
        <v>0</v>
      </c>
      <c r="Y219" s="25">
        <v>1000000</v>
      </c>
      <c r="Z219" s="24" t="s">
        <v>63</v>
      </c>
      <c r="AA219" s="24" t="s">
        <v>63</v>
      </c>
      <c r="AB219" s="24" t="s">
        <v>63</v>
      </c>
      <c r="AC219" s="24" t="s">
        <v>101</v>
      </c>
    </row>
    <row r="220" spans="1:29">
      <c r="A220" s="24" t="s">
        <v>54</v>
      </c>
      <c r="B220" s="24" t="s">
        <v>55</v>
      </c>
      <c r="C220" s="24" t="s">
        <v>56</v>
      </c>
      <c r="D220" s="24" t="s">
        <v>612</v>
      </c>
      <c r="E220" s="24" t="s">
        <v>71</v>
      </c>
      <c r="F220" s="24" t="s">
        <v>749</v>
      </c>
      <c r="G220" s="24" t="s">
        <v>750</v>
      </c>
      <c r="H220" s="27" t="s">
        <v>751</v>
      </c>
      <c r="I220" s="25">
        <v>261704</v>
      </c>
      <c r="J220" s="25">
        <v>261704</v>
      </c>
      <c r="K220" s="25">
        <v>261704</v>
      </c>
      <c r="L220" s="25">
        <v>134683.19</v>
      </c>
      <c r="M220" s="26">
        <f>I220-J220</f>
        <v>0.0</v>
      </c>
      <c r="N220" s="26">
        <f>J220-K220</f>
        <v>0.0</v>
      </c>
      <c r="O220" s="26">
        <f>I220-L220</f>
        <v>127020.81000000003</v>
      </c>
      <c r="P220" s="28">
        <f>IF(I220&gt;0,L220/I220,0)</f>
        <v>0.5146394017668816</v>
      </c>
      <c r="Q220" s="28">
        <f>IF(I220&gt;0,K220/I220,0)</f>
        <v>1.0</v>
      </c>
      <c r="R220" s="24" t="str">
        <f>IF(I220&lt;=0,"Sin PIM",IF(L220/I220&gt;=Config!$B$5,"Ejecutado",IF(K220/I220&gt;=Config!$B$6,"Mayormente comprometido",IF(K220&gt;0.005,"Parcialmente comprometido",IF(J220&gt;0.005,"Solo certificado","Sin certificar")))))</f>
        <v>Mayormente comprometido</v>
      </c>
      <c r="S220" s="24" t="str">
        <f>IF(R220="Sin certificar","Disponible",IF(R220="Solo certificado","Posible",IF(R220="Parcialmente comprometido","Parcial",IF(R220="Mayormente comprometido","Difícil",IF(R220="Ejecutado","No usar","Sin PIM")))))</f>
        <v>Difícil</v>
      </c>
      <c r="T220" s="26">
        <f>IF(OR(I220&lt;=0,R220="Ejecutado"),0,MAX(0,I220-K220))</f>
        <v>0.0</v>
      </c>
      <c r="U220" s="24" t="s">
        <v>123</v>
      </c>
      <c r="V220" s="25">
        <v>3500504</v>
      </c>
      <c r="W220" s="25">
        <v>587541</v>
      </c>
      <c r="X220" s="25">
        <v>0</v>
      </c>
      <c r="Y220" s="25">
        <v>1000000</v>
      </c>
      <c r="Z220" s="24" t="s">
        <v>63</v>
      </c>
      <c r="AA220" s="24" t="s">
        <v>63</v>
      </c>
      <c r="AB220" s="24" t="s">
        <v>63</v>
      </c>
      <c r="AC220" s="24" t="s">
        <v>101</v>
      </c>
    </row>
    <row r="221" spans="1:29">
      <c r="A221" s="24" t="s">
        <v>54</v>
      </c>
      <c r="B221" s="24" t="s">
        <v>55</v>
      </c>
      <c r="C221" s="24" t="s">
        <v>56</v>
      </c>
      <c r="D221" s="24" t="s">
        <v>612</v>
      </c>
      <c r="E221" s="24" t="s">
        <v>71</v>
      </c>
      <c r="F221" s="24" t="s">
        <v>752</v>
      </c>
      <c r="G221" s="24" t="s">
        <v>753</v>
      </c>
      <c r="H221" s="27" t="s">
        <v>754</v>
      </c>
      <c r="I221" s="25">
        <v>5089845</v>
      </c>
      <c r="J221" s="25">
        <v>5089845</v>
      </c>
      <c r="K221" s="25">
        <v>5064673</v>
      </c>
      <c r="L221" s="25">
        <v>1952934.61</v>
      </c>
      <c r="M221" s="26">
        <f>I221-J221</f>
        <v>0.0</v>
      </c>
      <c r="N221" s="26">
        <f>J221-K221</f>
        <v>25172.0</v>
      </c>
      <c r="O221" s="26">
        <f>I221-L221</f>
        <v>3136910.3899999997</v>
      </c>
      <c r="P221" s="28">
        <f>IF(I221&gt;0,L221/I221,0)</f>
        <v>0.38369235408936814</v>
      </c>
      <c r="Q221" s="28">
        <f>IF(I221&gt;0,K221/I221,0)</f>
        <v>0.9950544662951426</v>
      </c>
      <c r="R221" s="24" t="str">
        <f>IF(I221&lt;=0,"Sin PIM",IF(L221/I221&gt;=Config!$B$5,"Ejecutado",IF(K221/I221&gt;=Config!$B$6,"Mayormente comprometido",IF(K221&gt;0.005,"Parcialmente comprometido",IF(J221&gt;0.005,"Solo certificado","Sin certificar")))))</f>
        <v>Mayormente comprometido</v>
      </c>
      <c r="S221" s="24" t="str">
        <f>IF(R221="Sin certificar","Disponible",IF(R221="Solo certificado","Posible",IF(R221="Parcialmente comprometido","Parcial",IF(R221="Mayormente comprometido","Difícil",IF(R221="Ejecutado","No usar","Sin PIM")))))</f>
        <v>Difícil</v>
      </c>
      <c r="T221" s="26">
        <f>IF(OR(I221&lt;=0,R221="Ejecutado"),0,MAX(0,I221-K221))</f>
        <v>25172.0</v>
      </c>
      <c r="U221" s="24" t="s">
        <v>105</v>
      </c>
      <c r="V221" s="25">
        <v>6239845</v>
      </c>
      <c r="W221" s="25">
        <v>8796121</v>
      </c>
      <c r="X221" s="25">
        <v>0</v>
      </c>
      <c r="Y221" s="25">
        <v>7055000</v>
      </c>
      <c r="Z221" s="24" t="s">
        <v>63</v>
      </c>
      <c r="AA221" s="24" t="s">
        <v>63</v>
      </c>
      <c r="AB221" s="24" t="s">
        <v>63</v>
      </c>
      <c r="AC221" s="24" t="s">
        <v>101</v>
      </c>
    </row>
    <row r="222" spans="1:29">
      <c r="A222" s="24" t="s">
        <v>54</v>
      </c>
      <c r="B222" s="24" t="s">
        <v>55</v>
      </c>
      <c r="C222" s="24" t="s">
        <v>56</v>
      </c>
      <c r="D222" s="24" t="s">
        <v>612</v>
      </c>
      <c r="E222" s="24" t="s">
        <v>71</v>
      </c>
      <c r="F222" s="24" t="s">
        <v>755</v>
      </c>
      <c r="G222" s="24" t="s">
        <v>756</v>
      </c>
      <c r="H222" s="27" t="s">
        <v>757</v>
      </c>
      <c r="I222" s="25">
        <v>4863</v>
      </c>
      <c r="J222" s="25">
        <v>4863</v>
      </c>
      <c r="K222" s="25">
        <v>0</v>
      </c>
      <c r="L222" s="25">
        <v>0</v>
      </c>
      <c r="M222" s="26">
        <f>I222-J222</f>
        <v>0.0</v>
      </c>
      <c r="N222" s="26">
        <f>J222-K222</f>
        <v>4863.0</v>
      </c>
      <c r="O222" s="26">
        <f>I222-L222</f>
        <v>4863.0</v>
      </c>
      <c r="P222" s="28">
        <f>IF(I222&gt;0,L222/I222,0)</f>
        <v>0.0</v>
      </c>
      <c r="Q222" s="28">
        <f>IF(I222&gt;0,K222/I222,0)</f>
        <v>0.0</v>
      </c>
      <c r="R222" s="24" t="str">
        <f>IF(I222&lt;=0,"Sin PIM",IF(L222/I222&gt;=Config!$B$5,"Ejecutado",IF(K222/I222&gt;=Config!$B$6,"Mayormente comprometido",IF(K222&gt;0.005,"Parcialmente comprometido",IF(J222&gt;0.005,"Solo certificado","Sin certificar")))))</f>
        <v>Solo certificado</v>
      </c>
      <c r="S222" s="24" t="str">
        <f>IF(R222="Sin certificar","Disponible",IF(R222="Solo certificado","Posible",IF(R222="Parcialmente comprometido","Parcial",IF(R222="Mayormente comprometido","Difícil",IF(R222="Ejecutado","No usar","Sin PIM")))))</f>
        <v>Posible</v>
      </c>
      <c r="T222" s="26">
        <f>IF(OR(I222&lt;=0,R222="Ejecutado"),0,MAX(0,I222-K222))</f>
        <v>4863.0</v>
      </c>
      <c r="U222" s="24" t="s">
        <v>123</v>
      </c>
      <c r="V222" s="25">
        <v>3832600</v>
      </c>
      <c r="W222" s="25">
        <v>5698456</v>
      </c>
      <c r="X222" s="25">
        <v>6500000</v>
      </c>
      <c r="Y222" s="25">
        <v>7136543</v>
      </c>
      <c r="Z222" s="24" t="s">
        <v>63</v>
      </c>
      <c r="AA222" s="24" t="s">
        <v>63</v>
      </c>
      <c r="AB222" s="24" t="s">
        <v>63</v>
      </c>
      <c r="AC222" s="24" t="s">
        <v>101</v>
      </c>
    </row>
    <row r="223" spans="1:29">
      <c r="A223" s="24" t="s">
        <v>54</v>
      </c>
      <c r="B223" s="24" t="s">
        <v>55</v>
      </c>
      <c r="C223" s="24" t="s">
        <v>56</v>
      </c>
      <c r="D223" s="24" t="s">
        <v>612</v>
      </c>
      <c r="E223" s="24" t="s">
        <v>71</v>
      </c>
      <c r="F223" s="24" t="s">
        <v>758</v>
      </c>
      <c r="G223" s="24" t="s">
        <v>759</v>
      </c>
      <c r="H223" s="27" t="s">
        <v>760</v>
      </c>
      <c r="I223" s="25">
        <v>5931027</v>
      </c>
      <c r="J223" s="25">
        <v>5660459</v>
      </c>
      <c r="K223" s="25">
        <v>5660459</v>
      </c>
      <c r="L223" s="25">
        <v>1327663.78</v>
      </c>
      <c r="M223" s="26">
        <f>I223-J223</f>
        <v>270568.0</v>
      </c>
      <c r="N223" s="26">
        <f>J223-K223</f>
        <v>0.0</v>
      </c>
      <c r="O223" s="26">
        <f>I223-L223</f>
        <v>4603363.22</v>
      </c>
      <c r="P223" s="28">
        <f>IF(I223&gt;0,L223/I223,0)</f>
        <v>0.22385057090449934</v>
      </c>
      <c r="Q223" s="28">
        <f>IF(I223&gt;0,K223/I223,0)</f>
        <v>0.9543809191898807</v>
      </c>
      <c r="R223" s="24" t="str">
        <f>IF(I223&lt;=0,"Sin PIM",IF(L223/I223&gt;=Config!$B$5,"Ejecutado",IF(K223/I223&gt;=Config!$B$6,"Mayormente comprometido",IF(K223&gt;0.005,"Parcialmente comprometido",IF(J223&gt;0.005,"Solo certificado","Sin certificar")))))</f>
        <v>Mayormente comprometido</v>
      </c>
      <c r="S223" s="24" t="str">
        <f>IF(R223="Sin certificar","Disponible",IF(R223="Solo certificado","Posible",IF(R223="Parcialmente comprometido","Parcial",IF(R223="Mayormente comprometido","Difícil",IF(R223="Ejecutado","No usar","Sin PIM")))))</f>
        <v>Difícil</v>
      </c>
      <c r="T223" s="26">
        <f>IF(OR(I223&lt;=0,R223="Ejecutado"),0,MAX(0,I223-K223))</f>
        <v>270568.0</v>
      </c>
      <c r="U223" s="24" t="s">
        <v>105</v>
      </c>
      <c r="V223" s="25">
        <v>2769903</v>
      </c>
      <c r="W223" s="25">
        <v>8258956</v>
      </c>
      <c r="X223" s="25">
        <v>6230701</v>
      </c>
      <c r="Y223" s="25">
        <v>366030</v>
      </c>
      <c r="Z223" s="24" t="s">
        <v>63</v>
      </c>
      <c r="AA223" s="24" t="s">
        <v>63</v>
      </c>
      <c r="AB223" s="24" t="s">
        <v>63</v>
      </c>
      <c r="AC223" s="24" t="s">
        <v>101</v>
      </c>
    </row>
    <row r="224" spans="1:29">
      <c r="A224" s="24" t="s">
        <v>54</v>
      </c>
      <c r="B224" s="24" t="s">
        <v>55</v>
      </c>
      <c r="C224" s="24" t="s">
        <v>56</v>
      </c>
      <c r="D224" s="24" t="s">
        <v>612</v>
      </c>
      <c r="E224" s="24" t="s">
        <v>71</v>
      </c>
      <c r="F224" s="24" t="s">
        <v>761</v>
      </c>
      <c r="G224" s="24" t="s">
        <v>762</v>
      </c>
      <c r="H224" s="27" t="s">
        <v>763</v>
      </c>
      <c r="I224" s="25">
        <v>178134</v>
      </c>
      <c r="J224" s="25">
        <v>178134</v>
      </c>
      <c r="K224" s="25">
        <v>178134</v>
      </c>
      <c r="L224" s="25">
        <v>122423.54</v>
      </c>
      <c r="M224" s="26">
        <f>I224-J224</f>
        <v>0.0</v>
      </c>
      <c r="N224" s="26">
        <f>J224-K224</f>
        <v>0.0</v>
      </c>
      <c r="O224" s="26">
        <f>I224-L224</f>
        <v>55710.45999999999</v>
      </c>
      <c r="P224" s="28">
        <f>IF(I224&gt;0,L224/I224,0)</f>
        <v>0.6872553246432461</v>
      </c>
      <c r="Q224" s="28">
        <f>IF(I224&gt;0,K224/I224,0)</f>
        <v>1.0</v>
      </c>
      <c r="R224" s="24" t="str">
        <f>IF(I224&lt;=0,"Sin PIM",IF(L224/I224&gt;=Config!$B$5,"Ejecutado",IF(K224/I224&gt;=Config!$B$6,"Mayormente comprometido",IF(K224&gt;0.005,"Parcialmente comprometido",IF(J224&gt;0.005,"Solo certificado","Sin certificar")))))</f>
        <v>Mayormente comprometido</v>
      </c>
      <c r="S224" s="24" t="str">
        <f>IF(R224="Sin certificar","Disponible",IF(R224="Solo certificado","Posible",IF(R224="Parcialmente comprometido","Parcial",IF(R224="Mayormente comprometido","Difícil",IF(R224="Ejecutado","No usar","Sin PIM")))))</f>
        <v>Difícil</v>
      </c>
      <c r="T224" s="26">
        <f>IF(OR(I224&lt;=0,R224="Ejecutado"),0,MAX(0,I224-K224))</f>
        <v>0.0</v>
      </c>
      <c r="U224" s="24" t="s">
        <v>123</v>
      </c>
      <c r="V224" s="25">
        <v>2805112</v>
      </c>
      <c r="W224" s="25">
        <v>4556857</v>
      </c>
      <c r="X224" s="25">
        <v>0</v>
      </c>
      <c r="Y224" s="25">
        <v>0</v>
      </c>
      <c r="Z224" s="24" t="s">
        <v>63</v>
      </c>
      <c r="AA224" s="24" t="s">
        <v>63</v>
      </c>
      <c r="AB224" s="24" t="s">
        <v>63</v>
      </c>
      <c r="AC224" s="24" t="s">
        <v>101</v>
      </c>
    </row>
    <row r="225" spans="1:29">
      <c r="A225" s="24" t="s">
        <v>54</v>
      </c>
      <c r="B225" s="24" t="s">
        <v>55</v>
      </c>
      <c r="C225" s="24" t="s">
        <v>56</v>
      </c>
      <c r="D225" s="24" t="s">
        <v>612</v>
      </c>
      <c r="E225" s="24" t="s">
        <v>71</v>
      </c>
      <c r="F225" s="24" t="s">
        <v>764</v>
      </c>
      <c r="G225" s="24" t="s">
        <v>765</v>
      </c>
      <c r="H225" s="27" t="s">
        <v>766</v>
      </c>
      <c r="I225" s="25">
        <v>220481</v>
      </c>
      <c r="J225" s="25">
        <v>194522</v>
      </c>
      <c r="K225" s="25">
        <v>194522</v>
      </c>
      <c r="L225" s="25">
        <v>80473.12</v>
      </c>
      <c r="M225" s="26">
        <f>I225-J225</f>
        <v>25959.0</v>
      </c>
      <c r="N225" s="26">
        <f>J225-K225</f>
        <v>0.0</v>
      </c>
      <c r="O225" s="26">
        <f>I225-L225</f>
        <v>140007.88</v>
      </c>
      <c r="P225" s="28">
        <f>IF(I225&gt;0,L225/I225,0)</f>
        <v>0.3649889106090774</v>
      </c>
      <c r="Q225" s="28">
        <f>IF(I225&gt;0,K225/I225,0)</f>
        <v>0.8822619636159125</v>
      </c>
      <c r="R225" s="24" t="str">
        <f>IF(I225&lt;=0,"Sin PIM",IF(L225/I225&gt;=Config!$B$5,"Ejecutado",IF(K225/I225&gt;=Config!$B$6,"Mayormente comprometido",IF(K225&gt;0.005,"Parcialmente comprometido",IF(J225&gt;0.005,"Solo certificado","Sin certificar")))))</f>
        <v>Mayormente comprometido</v>
      </c>
      <c r="S225" s="24" t="str">
        <f>IF(R225="Sin certificar","Disponible",IF(R225="Solo certificado","Posible",IF(R225="Parcialmente comprometido","Parcial",IF(R225="Mayormente comprometido","Difícil",IF(R225="Ejecutado","No usar","Sin PIM")))))</f>
        <v>Difícil</v>
      </c>
      <c r="T225" s="26">
        <f>IF(OR(I225&lt;=0,R225="Ejecutado"),0,MAX(0,I225-K225))</f>
        <v>25959.0</v>
      </c>
      <c r="U225" s="24" t="s">
        <v>123</v>
      </c>
      <c r="V225" s="25">
        <v>2000000</v>
      </c>
      <c r="W225" s="25">
        <v>5654259</v>
      </c>
      <c r="X225" s="25">
        <v>0</v>
      </c>
      <c r="Y225" s="25">
        <v>500000</v>
      </c>
      <c r="Z225" s="24" t="s">
        <v>63</v>
      </c>
      <c r="AA225" s="24" t="s">
        <v>63</v>
      </c>
      <c r="AB225" s="24" t="s">
        <v>63</v>
      </c>
      <c r="AC225" s="24" t="s">
        <v>101</v>
      </c>
    </row>
    <row r="226" spans="1:29">
      <c r="A226" s="24" t="s">
        <v>54</v>
      </c>
      <c r="B226" s="24" t="s">
        <v>55</v>
      </c>
      <c r="C226" s="24" t="s">
        <v>56</v>
      </c>
      <c r="D226" s="24" t="s">
        <v>612</v>
      </c>
      <c r="E226" s="24" t="s">
        <v>71</v>
      </c>
      <c r="F226" s="24" t="s">
        <v>767</v>
      </c>
      <c r="G226" s="24" t="s">
        <v>768</v>
      </c>
      <c r="H226" s="27" t="s">
        <v>769</v>
      </c>
      <c r="I226" s="25">
        <v>0</v>
      </c>
      <c r="J226" s="25">
        <v>0</v>
      </c>
      <c r="K226" s="25">
        <v>0</v>
      </c>
      <c r="L226" s="25">
        <v>0</v>
      </c>
      <c r="M226" s="26">
        <f>I226-J226</f>
        <v>0.0</v>
      </c>
      <c r="N226" s="26">
        <f>J226-K226</f>
        <v>0.0</v>
      </c>
      <c r="O226" s="26">
        <f>I226-L226</f>
        <v>0.0</v>
      </c>
      <c r="P226" s="28">
        <f>IF(I226&gt;0,L226/I226,0)</f>
        <v>0</v>
      </c>
      <c r="Q226" s="28">
        <f>IF(I226&gt;0,K226/I226,0)</f>
        <v>0</v>
      </c>
      <c r="R226" s="24" t="str">
        <f>IF(I226&lt;=0,"Sin PIM",IF(L226/I226&gt;=Config!$B$5,"Ejecutado",IF(K226/I226&gt;=Config!$B$6,"Mayormente comprometido",IF(K226&gt;0.005,"Parcialmente comprometido",IF(J226&gt;0.005,"Solo certificado","Sin certificar")))))</f>
        <v>Sin PIM</v>
      </c>
      <c r="S226" s="24" t="str">
        <f>IF(R226="Sin certificar","Disponible",IF(R226="Solo certificado","Posible",IF(R226="Parcialmente comprometido","Parcial",IF(R226="Mayormente comprometido","Difícil",IF(R226="Ejecutado","No usar","Sin PIM")))))</f>
        <v>Sin PIM</v>
      </c>
      <c r="T226" s="26">
        <f>IF(OR(I226&lt;=0,R226="Ejecutado"),0,MAX(0,I226-K226))</f>
        <v>0.0</v>
      </c>
      <c r="U226" s="24" t="s">
        <v>105</v>
      </c>
      <c r="V226" s="25">
        <v>100000</v>
      </c>
      <c r="W226" s="25">
        <v>0</v>
      </c>
      <c r="X226" s="25">
        <v>0</v>
      </c>
      <c r="Y226" s="25">
        <v>0</v>
      </c>
      <c r="Z226" s="24" t="s">
        <v>63</v>
      </c>
      <c r="AA226" s="24" t="s">
        <v>63</v>
      </c>
      <c r="AB226" s="24" t="s">
        <v>63</v>
      </c>
      <c r="AC226" s="24" t="s">
        <v>101</v>
      </c>
    </row>
    <row r="227" spans="1:29">
      <c r="A227" s="24" t="s">
        <v>54</v>
      </c>
      <c r="B227" s="24" t="s">
        <v>55</v>
      </c>
      <c r="C227" s="24" t="s">
        <v>56</v>
      </c>
      <c r="D227" s="24" t="s">
        <v>612</v>
      </c>
      <c r="E227" s="24" t="s">
        <v>71</v>
      </c>
      <c r="F227" s="24" t="s">
        <v>770</v>
      </c>
      <c r="G227" s="24" t="s">
        <v>771</v>
      </c>
      <c r="H227" s="27" t="s">
        <v>772</v>
      </c>
      <c r="I227" s="25">
        <v>0</v>
      </c>
      <c r="J227" s="25">
        <v>0</v>
      </c>
      <c r="K227" s="25">
        <v>0</v>
      </c>
      <c r="L227" s="25">
        <v>0</v>
      </c>
      <c r="M227" s="26">
        <f>I227-J227</f>
        <v>0.0</v>
      </c>
      <c r="N227" s="26">
        <f>J227-K227</f>
        <v>0.0</v>
      </c>
      <c r="O227" s="26">
        <f>I227-L227</f>
        <v>0.0</v>
      </c>
      <c r="P227" s="28">
        <f>IF(I227&gt;0,L227/I227,0)</f>
        <v>0</v>
      </c>
      <c r="Q227" s="28">
        <f>IF(I227&gt;0,K227/I227,0)</f>
        <v>0</v>
      </c>
      <c r="R227" s="24" t="str">
        <f>IF(I227&lt;=0,"Sin PIM",IF(L227/I227&gt;=Config!$B$5,"Ejecutado",IF(K227/I227&gt;=Config!$B$6,"Mayormente comprometido",IF(K227&gt;0.005,"Parcialmente comprometido",IF(J227&gt;0.005,"Solo certificado","Sin certificar")))))</f>
        <v>Sin PIM</v>
      </c>
      <c r="S227" s="24" t="str">
        <f>IF(R227="Sin certificar","Disponible",IF(R227="Solo certificado","Posible",IF(R227="Parcialmente comprometido","Parcial",IF(R227="Mayormente comprometido","Difícil",IF(R227="Ejecutado","No usar","Sin PIM")))))</f>
        <v>Sin PIM</v>
      </c>
      <c r="T227" s="26">
        <f>IF(OR(I227&lt;=0,R227="Ejecutado"),0,MAX(0,I227-K227))</f>
        <v>0.0</v>
      </c>
      <c r="U227" s="24" t="s">
        <v>105</v>
      </c>
      <c r="V227" s="25">
        <v>60000</v>
      </c>
      <c r="W227" s="25">
        <v>0</v>
      </c>
      <c r="X227" s="25">
        <v>0</v>
      </c>
      <c r="Y227" s="25">
        <v>0</v>
      </c>
      <c r="Z227" s="24" t="s">
        <v>63</v>
      </c>
      <c r="AA227" s="24" t="s">
        <v>63</v>
      </c>
      <c r="AB227" s="24" t="s">
        <v>63</v>
      </c>
      <c r="AC227" s="24" t="s">
        <v>101</v>
      </c>
    </row>
    <row r="228" spans="1:29">
      <c r="A228" s="24" t="s">
        <v>54</v>
      </c>
      <c r="B228" s="24" t="s">
        <v>55</v>
      </c>
      <c r="C228" s="24" t="s">
        <v>56</v>
      </c>
      <c r="D228" s="24" t="s">
        <v>612</v>
      </c>
      <c r="E228" s="24" t="s">
        <v>71</v>
      </c>
      <c r="F228" s="24" t="s">
        <v>773</v>
      </c>
      <c r="G228" s="24" t="s">
        <v>774</v>
      </c>
      <c r="H228" s="27" t="s">
        <v>775</v>
      </c>
      <c r="I228" s="25">
        <v>29298</v>
      </c>
      <c r="J228" s="25">
        <v>29298</v>
      </c>
      <c r="K228" s="25">
        <v>0</v>
      </c>
      <c r="L228" s="25">
        <v>0</v>
      </c>
      <c r="M228" s="26">
        <f>I228-J228</f>
        <v>0.0</v>
      </c>
      <c r="N228" s="26">
        <f>J228-K228</f>
        <v>29298.0</v>
      </c>
      <c r="O228" s="26">
        <f>I228-L228</f>
        <v>29298.0</v>
      </c>
      <c r="P228" s="28">
        <f>IF(I228&gt;0,L228/I228,0)</f>
        <v>0.0</v>
      </c>
      <c r="Q228" s="28">
        <f>IF(I228&gt;0,K228/I228,0)</f>
        <v>0.0</v>
      </c>
      <c r="R228" s="24" t="str">
        <f>IF(I228&lt;=0,"Sin PIM",IF(L228/I228&gt;=Config!$B$5,"Ejecutado",IF(K228/I228&gt;=Config!$B$6,"Mayormente comprometido",IF(K228&gt;0.005,"Parcialmente comprometido",IF(J228&gt;0.005,"Solo certificado","Sin certificar")))))</f>
        <v>Solo certificado</v>
      </c>
      <c r="S228" s="24" t="str">
        <f>IF(R228="Sin certificar","Disponible",IF(R228="Solo certificado","Posible",IF(R228="Parcialmente comprometido","Parcial",IF(R228="Mayormente comprometido","Difícil",IF(R228="Ejecutado","No usar","Sin PIM")))))</f>
        <v>Posible</v>
      </c>
      <c r="T228" s="26">
        <f>IF(OR(I228&lt;=0,R228="Ejecutado"),0,MAX(0,I228-K228))</f>
        <v>29298.0</v>
      </c>
      <c r="U228" s="24" t="s">
        <v>123</v>
      </c>
      <c r="V228" s="25">
        <v>100000</v>
      </c>
      <c r="W228" s="25">
        <v>0</v>
      </c>
      <c r="X228" s="25">
        <v>0</v>
      </c>
      <c r="Y228" s="25">
        <v>2483946</v>
      </c>
      <c r="Z228" s="24" t="s">
        <v>63</v>
      </c>
      <c r="AA228" s="24" t="s">
        <v>63</v>
      </c>
      <c r="AB228" s="24" t="s">
        <v>63</v>
      </c>
      <c r="AC228" s="24" t="s">
        <v>101</v>
      </c>
    </row>
    <row r="229" spans="1:29">
      <c r="A229" s="24" t="s">
        <v>54</v>
      </c>
      <c r="B229" s="24" t="s">
        <v>55</v>
      </c>
      <c r="C229" s="24" t="s">
        <v>56</v>
      </c>
      <c r="D229" s="24" t="s">
        <v>612</v>
      </c>
      <c r="E229" s="24" t="s">
        <v>71</v>
      </c>
      <c r="F229" s="24" t="s">
        <v>776</v>
      </c>
      <c r="G229" s="24" t="s">
        <v>777</v>
      </c>
      <c r="H229" s="27" t="s">
        <v>778</v>
      </c>
      <c r="I229" s="25">
        <v>80000</v>
      </c>
      <c r="J229" s="25">
        <v>55480</v>
      </c>
      <c r="K229" s="25">
        <v>55480</v>
      </c>
      <c r="L229" s="25">
        <v>33156.76</v>
      </c>
      <c r="M229" s="26">
        <f>I229-J229</f>
        <v>24520.0</v>
      </c>
      <c r="N229" s="26">
        <f>J229-K229</f>
        <v>0.0</v>
      </c>
      <c r="O229" s="26">
        <f>I229-L229</f>
        <v>46843.24</v>
      </c>
      <c r="P229" s="28">
        <f>IF(I229&gt;0,L229/I229,0)</f>
        <v>0.41445950000000004</v>
      </c>
      <c r="Q229" s="28">
        <f>IF(I229&gt;0,K229/I229,0)</f>
        <v>0.6935</v>
      </c>
      <c r="R229" s="24" t="str">
        <f>IF(I229&lt;=0,"Sin PIM",IF(L229/I229&gt;=Config!$B$5,"Ejecutado",IF(K229/I229&gt;=Config!$B$6,"Mayormente comprometido",IF(K229&gt;0.005,"Parcialmente comprometido",IF(J229&gt;0.005,"Solo certificado","Sin certificar")))))</f>
        <v>Mayormente comprometido</v>
      </c>
      <c r="S229" s="24" t="str">
        <f>IF(R229="Sin certificar","Disponible",IF(R229="Solo certificado","Posible",IF(R229="Parcialmente comprometido","Parcial",IF(R229="Mayormente comprometido","Difícil",IF(R229="Ejecutado","No usar","Sin PIM")))))</f>
        <v>Difícil</v>
      </c>
      <c r="T229" s="26">
        <f>IF(OR(I229&lt;=0,R229="Ejecutado"),0,MAX(0,I229-K229))</f>
        <v>24520.0</v>
      </c>
      <c r="U229" s="24" t="s">
        <v>460</v>
      </c>
      <c r="V229" s="25">
        <v>80000</v>
      </c>
      <c r="W229" s="25">
        <v>0</v>
      </c>
      <c r="X229" s="25">
        <v>0</v>
      </c>
      <c r="Y229" s="25">
        <v>500000</v>
      </c>
      <c r="Z229" s="24" t="s">
        <v>63</v>
      </c>
      <c r="AA229" s="24" t="s">
        <v>63</v>
      </c>
      <c r="AB229" s="24" t="s">
        <v>63</v>
      </c>
      <c r="AC229" s="24" t="s">
        <v>101</v>
      </c>
    </row>
    <row r="230" spans="1:29">
      <c r="A230" s="24" t="s">
        <v>54</v>
      </c>
      <c r="B230" s="24" t="s">
        <v>55</v>
      </c>
      <c r="C230" s="24" t="s">
        <v>56</v>
      </c>
      <c r="D230" s="24" t="s">
        <v>612</v>
      </c>
      <c r="E230" s="24" t="s">
        <v>71</v>
      </c>
      <c r="F230" s="24" t="s">
        <v>779</v>
      </c>
      <c r="G230" s="24" t="s">
        <v>780</v>
      </c>
      <c r="H230" s="27" t="s">
        <v>781</v>
      </c>
      <c r="I230" s="25">
        <v>0</v>
      </c>
      <c r="J230" s="25">
        <v>0</v>
      </c>
      <c r="K230" s="25">
        <v>0</v>
      </c>
      <c r="L230" s="25">
        <v>0</v>
      </c>
      <c r="M230" s="26">
        <f>I230-J230</f>
        <v>0.0</v>
      </c>
      <c r="N230" s="26">
        <f>J230-K230</f>
        <v>0.0</v>
      </c>
      <c r="O230" s="26">
        <f>I230-L230</f>
        <v>0.0</v>
      </c>
      <c r="P230" s="28">
        <f>IF(I230&gt;0,L230/I230,0)</f>
        <v>0</v>
      </c>
      <c r="Q230" s="28">
        <f>IF(I230&gt;0,K230/I230,0)</f>
        <v>0</v>
      </c>
      <c r="R230" s="24" t="str">
        <f>IF(I230&lt;=0,"Sin PIM",IF(L230/I230&gt;=Config!$B$5,"Ejecutado",IF(K230/I230&gt;=Config!$B$6,"Mayormente comprometido",IF(K230&gt;0.005,"Parcialmente comprometido",IF(J230&gt;0.005,"Solo certificado","Sin certificar")))))</f>
        <v>Sin PIM</v>
      </c>
      <c r="S230" s="24" t="str">
        <f>IF(R230="Sin certificar","Disponible",IF(R230="Solo certificado","Posible",IF(R230="Parcialmente comprometido","Parcial",IF(R230="Mayormente comprometido","Difícil",IF(R230="Ejecutado","No usar","Sin PIM")))))</f>
        <v>Sin PIM</v>
      </c>
      <c r="T230" s="26">
        <f>IF(OR(I230&lt;=0,R230="Ejecutado"),0,MAX(0,I230-K230))</f>
        <v>0.0</v>
      </c>
      <c r="U230" s="24" t="s">
        <v>105</v>
      </c>
      <c r="V230" s="25">
        <v>50000</v>
      </c>
      <c r="W230" s="25">
        <v>0</v>
      </c>
      <c r="X230" s="25">
        <v>0</v>
      </c>
      <c r="Y230" s="25">
        <v>150000</v>
      </c>
      <c r="Z230" s="24" t="s">
        <v>63</v>
      </c>
      <c r="AA230" s="24" t="s">
        <v>63</v>
      </c>
      <c r="AB230" s="24" t="s">
        <v>63</v>
      </c>
      <c r="AC230" s="24" t="s">
        <v>101</v>
      </c>
    </row>
    <row r="231" spans="1:29">
      <c r="A231" s="24" t="s">
        <v>54</v>
      </c>
      <c r="B231" s="24" t="s">
        <v>55</v>
      </c>
      <c r="C231" s="24" t="s">
        <v>56</v>
      </c>
      <c r="D231" s="24" t="s">
        <v>612</v>
      </c>
      <c r="E231" s="24" t="s">
        <v>71</v>
      </c>
      <c r="F231" s="24" t="s">
        <v>782</v>
      </c>
      <c r="G231" s="24" t="s">
        <v>783</v>
      </c>
      <c r="H231" s="27" t="s">
        <v>784</v>
      </c>
      <c r="I231" s="25">
        <v>209495</v>
      </c>
      <c r="J231" s="25">
        <v>209495</v>
      </c>
      <c r="K231" s="25">
        <v>171495</v>
      </c>
      <c r="L231" s="25">
        <v>98043.32000000001</v>
      </c>
      <c r="M231" s="26">
        <f>I231-J231</f>
        <v>0.0</v>
      </c>
      <c r="N231" s="26">
        <f>J231-K231</f>
        <v>38000.0</v>
      </c>
      <c r="O231" s="26">
        <f>I231-L231</f>
        <v>111451.68</v>
      </c>
      <c r="P231" s="28">
        <f>IF(I231&gt;0,L231/I231,0)</f>
        <v>0.46799837704957165</v>
      </c>
      <c r="Q231" s="28">
        <f>IF(I231&gt;0,K231/I231,0)</f>
        <v>0.8186114227069858</v>
      </c>
      <c r="R231" s="24" t="str">
        <f>IF(I231&lt;=0,"Sin PIM",IF(L231/I231&gt;=Config!$B$5,"Ejecutado",IF(K231/I231&gt;=Config!$B$6,"Mayormente comprometido",IF(K231&gt;0.005,"Parcialmente comprometido",IF(J231&gt;0.005,"Solo certificado","Sin certificar")))))</f>
        <v>Mayormente comprometido</v>
      </c>
      <c r="S231" s="24" t="str">
        <f>IF(R231="Sin certificar","Disponible",IF(R231="Solo certificado","Posible",IF(R231="Parcialmente comprometido","Parcial",IF(R231="Mayormente comprometido","Difícil",IF(R231="Ejecutado","No usar","Sin PIM")))))</f>
        <v>Difícil</v>
      </c>
      <c r="T231" s="26">
        <f>IF(OR(I231&lt;=0,R231="Ejecutado"),0,MAX(0,I231-K231))</f>
        <v>38000.0</v>
      </c>
      <c r="U231" s="24" t="s">
        <v>123</v>
      </c>
      <c r="V231" s="25">
        <v>50000</v>
      </c>
      <c r="W231" s="25">
        <v>0</v>
      </c>
      <c r="X231" s="25">
        <v>0</v>
      </c>
      <c r="Y231" s="25">
        <v>500000</v>
      </c>
      <c r="Z231" s="24" t="s">
        <v>63</v>
      </c>
      <c r="AA231" s="24" t="s">
        <v>63</v>
      </c>
      <c r="AB231" s="24" t="s">
        <v>63</v>
      </c>
      <c r="AC231" s="24" t="s">
        <v>101</v>
      </c>
    </row>
    <row r="232" spans="1:29">
      <c r="A232" s="24" t="s">
        <v>54</v>
      </c>
      <c r="B232" s="24" t="s">
        <v>55</v>
      </c>
      <c r="C232" s="24" t="s">
        <v>56</v>
      </c>
      <c r="D232" s="24" t="s">
        <v>612</v>
      </c>
      <c r="E232" s="24" t="s">
        <v>71</v>
      </c>
      <c r="F232" s="24" t="s">
        <v>785</v>
      </c>
      <c r="G232" s="24" t="s">
        <v>786</v>
      </c>
      <c r="H232" s="27" t="s">
        <v>787</v>
      </c>
      <c r="I232" s="25">
        <v>400000</v>
      </c>
      <c r="J232" s="25">
        <v>0</v>
      </c>
      <c r="K232" s="25">
        <v>0</v>
      </c>
      <c r="L232" s="25">
        <v>0</v>
      </c>
      <c r="M232" s="26">
        <f>I232-J232</f>
        <v>400000.0</v>
      </c>
      <c r="N232" s="26">
        <f>J232-K232</f>
        <v>0.0</v>
      </c>
      <c r="O232" s="26">
        <f>I232-L232</f>
        <v>400000.0</v>
      </c>
      <c r="P232" s="28">
        <f>IF(I232&gt;0,L232/I232,0)</f>
        <v>0.0</v>
      </c>
      <c r="Q232" s="28">
        <f>IF(I232&gt;0,K232/I232,0)</f>
        <v>0.0</v>
      </c>
      <c r="R232" s="24" t="str">
        <f>IF(I232&lt;=0,"Sin PIM",IF(L232/I232&gt;=Config!$B$5,"Ejecutado",IF(K232/I232&gt;=Config!$B$6,"Mayormente comprometido",IF(K232&gt;0.005,"Parcialmente comprometido",IF(J232&gt;0.005,"Solo certificado","Sin certificar")))))</f>
        <v>Sin certificar</v>
      </c>
      <c r="S232" s="24" t="str">
        <f>IF(R232="Sin certificar","Disponible",IF(R232="Solo certificado","Posible",IF(R232="Parcialmente comprometido","Parcial",IF(R232="Mayormente comprometido","Difícil",IF(R232="Ejecutado","No usar","Sin PIM")))))</f>
        <v>Disponible</v>
      </c>
      <c r="T232" s="26">
        <f>IF(OR(I232&lt;=0,R232="Ejecutado"),0,MAX(0,I232-K232))</f>
        <v>400000.0</v>
      </c>
      <c r="U232" s="24" t="s">
        <v>105</v>
      </c>
      <c r="V232" s="25">
        <v>100000</v>
      </c>
      <c r="W232" s="25">
        <v>1246345</v>
      </c>
      <c r="X232" s="25">
        <v>0</v>
      </c>
      <c r="Y232" s="25">
        <v>464365</v>
      </c>
      <c r="Z232" s="24" t="s">
        <v>63</v>
      </c>
      <c r="AA232" s="24" t="s">
        <v>63</v>
      </c>
      <c r="AB232" s="24" t="s">
        <v>63</v>
      </c>
      <c r="AC232" s="24" t="s">
        <v>101</v>
      </c>
    </row>
    <row r="233" spans="1:29">
      <c r="A233" s="24" t="s">
        <v>54</v>
      </c>
      <c r="B233" s="24" t="s">
        <v>55</v>
      </c>
      <c r="C233" s="24" t="s">
        <v>56</v>
      </c>
      <c r="D233" s="24" t="s">
        <v>612</v>
      </c>
      <c r="E233" s="24" t="s">
        <v>71</v>
      </c>
      <c r="F233" s="24" t="s">
        <v>788</v>
      </c>
      <c r="G233" s="24" t="s">
        <v>789</v>
      </c>
      <c r="H233" s="27" t="s">
        <v>790</v>
      </c>
      <c r="I233" s="25">
        <v>179528</v>
      </c>
      <c r="J233" s="25">
        <v>178381</v>
      </c>
      <c r="K233" s="25">
        <v>148381</v>
      </c>
      <c r="L233" s="25">
        <v>136766.03</v>
      </c>
      <c r="M233" s="26">
        <f>I233-J233</f>
        <v>1147.0</v>
      </c>
      <c r="N233" s="26">
        <f>J233-K233</f>
        <v>30000.0</v>
      </c>
      <c r="O233" s="26">
        <f>I233-L233</f>
        <v>42761.97</v>
      </c>
      <c r="P233" s="28">
        <f>IF(I233&gt;0,L233/I233,0)</f>
        <v>0.7618089100307472</v>
      </c>
      <c r="Q233" s="28">
        <f>IF(I233&gt;0,K233/I233,0)</f>
        <v>0.8265061717392274</v>
      </c>
      <c r="R233" s="24" t="str">
        <f>IF(I233&lt;=0,"Sin PIM",IF(L233/I233&gt;=Config!$B$5,"Ejecutado",IF(K233/I233&gt;=Config!$B$6,"Mayormente comprometido",IF(K233&gt;0.005,"Parcialmente comprometido",IF(J233&gt;0.005,"Solo certificado","Sin certificar")))))</f>
        <v>Mayormente comprometido</v>
      </c>
      <c r="S233" s="24" t="str">
        <f>IF(R233="Sin certificar","Disponible",IF(R233="Solo certificado","Posible",IF(R233="Parcialmente comprometido","Parcial",IF(R233="Mayormente comprometido","Difícil",IF(R233="Ejecutado","No usar","Sin PIM")))))</f>
        <v>Difícil</v>
      </c>
      <c r="T233" s="26">
        <f>IF(OR(I233&lt;=0,R233="Ejecutado"),0,MAX(0,I233-K233))</f>
        <v>31147.0</v>
      </c>
      <c r="U233" s="24" t="s">
        <v>123</v>
      </c>
      <c r="V233" s="25">
        <v>50000</v>
      </c>
      <c r="W233" s="25">
        <v>0</v>
      </c>
      <c r="X233" s="25">
        <v>201078</v>
      </c>
      <c r="Y233" s="25">
        <v>201078</v>
      </c>
      <c r="Z233" s="24" t="s">
        <v>63</v>
      </c>
      <c r="AA233" s="24" t="s">
        <v>63</v>
      </c>
      <c r="AB233" s="24" t="s">
        <v>63</v>
      </c>
      <c r="AC233" s="24" t="s">
        <v>101</v>
      </c>
    </row>
    <row r="234" spans="1:29">
      <c r="A234" s="24" t="s">
        <v>54</v>
      </c>
      <c r="B234" s="24" t="s">
        <v>55</v>
      </c>
      <c r="C234" s="24" t="s">
        <v>56</v>
      </c>
      <c r="D234" s="24" t="s">
        <v>612</v>
      </c>
      <c r="E234" s="24" t="s">
        <v>71</v>
      </c>
      <c r="F234" s="24" t="s">
        <v>791</v>
      </c>
      <c r="G234" s="24" t="s">
        <v>792</v>
      </c>
      <c r="H234" s="27" t="s">
        <v>793</v>
      </c>
      <c r="I234" s="25">
        <v>0</v>
      </c>
      <c r="J234" s="25">
        <v>0</v>
      </c>
      <c r="K234" s="25">
        <v>0</v>
      </c>
      <c r="L234" s="25">
        <v>0</v>
      </c>
      <c r="M234" s="26">
        <f>I234-J234</f>
        <v>0.0</v>
      </c>
      <c r="N234" s="26">
        <f>J234-K234</f>
        <v>0.0</v>
      </c>
      <c r="O234" s="26">
        <f>I234-L234</f>
        <v>0.0</v>
      </c>
      <c r="P234" s="28">
        <f>IF(I234&gt;0,L234/I234,0)</f>
        <v>0</v>
      </c>
      <c r="Q234" s="28">
        <f>IF(I234&gt;0,K234/I234,0)</f>
        <v>0</v>
      </c>
      <c r="R234" s="24" t="str">
        <f>IF(I234&lt;=0,"Sin PIM",IF(L234/I234&gt;=Config!$B$5,"Ejecutado",IF(K234/I234&gt;=Config!$B$6,"Mayormente comprometido",IF(K234&gt;0.005,"Parcialmente comprometido",IF(J234&gt;0.005,"Solo certificado","Sin certificar")))))</f>
        <v>Sin PIM</v>
      </c>
      <c r="S234" s="24" t="str">
        <f>IF(R234="Sin certificar","Disponible",IF(R234="Solo certificado","Posible",IF(R234="Parcialmente comprometido","Parcial",IF(R234="Mayormente comprometido","Difícil",IF(R234="Ejecutado","No usar","Sin PIM")))))</f>
        <v>Sin PIM</v>
      </c>
      <c r="T234" s="26">
        <f>IF(OR(I234&lt;=0,R234="Ejecutado"),0,MAX(0,I234-K234))</f>
        <v>0.0</v>
      </c>
      <c r="U234" s="24" t="s">
        <v>105</v>
      </c>
      <c r="V234" s="25">
        <v>100000</v>
      </c>
      <c r="W234" s="25">
        <v>1243456</v>
      </c>
      <c r="X234" s="25">
        <v>0</v>
      </c>
      <c r="Y234" s="25">
        <v>575449</v>
      </c>
      <c r="Z234" s="24" t="s">
        <v>63</v>
      </c>
      <c r="AA234" s="24" t="s">
        <v>63</v>
      </c>
      <c r="AB234" s="24" t="s">
        <v>63</v>
      </c>
      <c r="AC234" s="24" t="s">
        <v>101</v>
      </c>
    </row>
    <row r="235" spans="1:29">
      <c r="A235" s="24" t="s">
        <v>54</v>
      </c>
      <c r="B235" s="24" t="s">
        <v>55</v>
      </c>
      <c r="C235" s="24" t="s">
        <v>56</v>
      </c>
      <c r="D235" s="24" t="s">
        <v>612</v>
      </c>
      <c r="E235" s="24" t="s">
        <v>71</v>
      </c>
      <c r="F235" s="24" t="s">
        <v>794</v>
      </c>
      <c r="G235" s="24" t="s">
        <v>795</v>
      </c>
      <c r="H235" s="27" t="s">
        <v>796</v>
      </c>
      <c r="I235" s="25">
        <v>33556</v>
      </c>
      <c r="J235" s="25">
        <v>33489.5</v>
      </c>
      <c r="K235" s="25">
        <v>33489.5</v>
      </c>
      <c r="L235" s="25">
        <v>28428.44</v>
      </c>
      <c r="M235" s="26">
        <f>I235-J235</f>
        <v>66.5</v>
      </c>
      <c r="N235" s="26">
        <f>J235-K235</f>
        <v>0.0</v>
      </c>
      <c r="O235" s="26">
        <f>I235-L235</f>
        <v>5127.559999999998</v>
      </c>
      <c r="P235" s="28">
        <f>IF(I235&gt;0,L235/I235,0)</f>
        <v>0.847193944451067</v>
      </c>
      <c r="Q235" s="28">
        <f>IF(I235&gt;0,K235/I235,0)</f>
        <v>0.9980182381690309</v>
      </c>
      <c r="R235" s="24" t="str">
        <f>IF(I235&lt;=0,"Sin PIM",IF(L235/I235&gt;=Config!$B$5,"Ejecutado",IF(K235/I235&gt;=Config!$B$6,"Mayormente comprometido",IF(K235&gt;0.005,"Parcialmente comprometido",IF(J235&gt;0.005,"Solo certificado","Sin certificar")))))</f>
        <v>Mayormente comprometido</v>
      </c>
      <c r="S235" s="24" t="str">
        <f>IF(R235="Sin certificar","Disponible",IF(R235="Solo certificado","Posible",IF(R235="Parcialmente comprometido","Parcial",IF(R235="Mayormente comprometido","Difícil",IF(R235="Ejecutado","No usar","Sin PIM")))))</f>
        <v>Difícil</v>
      </c>
      <c r="T235" s="26">
        <f>IF(OR(I235&lt;=0,R235="Ejecutado"),0,MAX(0,I235-K235))</f>
        <v>66.5</v>
      </c>
      <c r="U235" s="24" t="s">
        <v>123</v>
      </c>
      <c r="V235" s="25">
        <v>100000</v>
      </c>
      <c r="W235" s="25">
        <v>0</v>
      </c>
      <c r="X235" s="25">
        <v>0</v>
      </c>
      <c r="Y235" s="25">
        <v>849356</v>
      </c>
      <c r="Z235" s="24" t="s">
        <v>63</v>
      </c>
      <c r="AA235" s="24" t="s">
        <v>63</v>
      </c>
      <c r="AB235" s="24" t="s">
        <v>63</v>
      </c>
      <c r="AC235" s="24" t="s">
        <v>101</v>
      </c>
    </row>
    <row r="236" spans="1:29">
      <c r="A236" s="24" t="s">
        <v>54</v>
      </c>
      <c r="B236" s="24" t="s">
        <v>55</v>
      </c>
      <c r="C236" s="24" t="s">
        <v>56</v>
      </c>
      <c r="D236" s="24" t="s">
        <v>612</v>
      </c>
      <c r="E236" s="24" t="s">
        <v>71</v>
      </c>
      <c r="F236" s="24" t="s">
        <v>797</v>
      </c>
      <c r="G236" s="24" t="s">
        <v>798</v>
      </c>
      <c r="H236" s="27" t="s">
        <v>799</v>
      </c>
      <c r="I236" s="25">
        <v>0</v>
      </c>
      <c r="J236" s="25">
        <v>0</v>
      </c>
      <c r="K236" s="25">
        <v>0</v>
      </c>
      <c r="L236" s="25">
        <v>0</v>
      </c>
      <c r="M236" s="26">
        <f>I236-J236</f>
        <v>0.0</v>
      </c>
      <c r="N236" s="26">
        <f>J236-K236</f>
        <v>0.0</v>
      </c>
      <c r="O236" s="26">
        <f>I236-L236</f>
        <v>0.0</v>
      </c>
      <c r="P236" s="28">
        <f>IF(I236&gt;0,L236/I236,0)</f>
        <v>0</v>
      </c>
      <c r="Q236" s="28">
        <f>IF(I236&gt;0,K236/I236,0)</f>
        <v>0</v>
      </c>
      <c r="R236" s="24" t="str">
        <f>IF(I236&lt;=0,"Sin PIM",IF(L236/I236&gt;=Config!$B$5,"Ejecutado",IF(K236/I236&gt;=Config!$B$6,"Mayormente comprometido",IF(K236&gt;0.005,"Parcialmente comprometido",IF(J236&gt;0.005,"Solo certificado","Sin certificar")))))</f>
        <v>Sin PIM</v>
      </c>
      <c r="S236" s="24" t="str">
        <f>IF(R236="Sin certificar","Disponible",IF(R236="Solo certificado","Posible",IF(R236="Parcialmente comprometido","Parcial",IF(R236="Mayormente comprometido","Difícil",IF(R236="Ejecutado","No usar","Sin PIM")))))</f>
        <v>Sin PIM</v>
      </c>
      <c r="T236" s="26">
        <f>IF(OR(I236&lt;=0,R236="Ejecutado"),0,MAX(0,I236-K236))</f>
        <v>0.0</v>
      </c>
      <c r="U236" s="24" t="s">
        <v>105</v>
      </c>
      <c r="V236" s="25">
        <v>100000</v>
      </c>
      <c r="W236" s="25">
        <v>1254345</v>
      </c>
      <c r="X236" s="25">
        <v>0</v>
      </c>
      <c r="Y236" s="25">
        <v>1672886</v>
      </c>
      <c r="Z236" s="24" t="s">
        <v>63</v>
      </c>
      <c r="AA236" s="24" t="s">
        <v>63</v>
      </c>
      <c r="AB236" s="24" t="s">
        <v>63</v>
      </c>
      <c r="AC236" s="24" t="s">
        <v>101</v>
      </c>
    </row>
    <row r="237" spans="1:29">
      <c r="A237" s="24" t="s">
        <v>54</v>
      </c>
      <c r="B237" s="24" t="s">
        <v>55</v>
      </c>
      <c r="C237" s="24" t="s">
        <v>56</v>
      </c>
      <c r="D237" s="24" t="s">
        <v>612</v>
      </c>
      <c r="E237" s="24" t="s">
        <v>71</v>
      </c>
      <c r="F237" s="24" t="s">
        <v>800</v>
      </c>
      <c r="G237" s="24" t="s">
        <v>801</v>
      </c>
      <c r="H237" s="27" t="s">
        <v>802</v>
      </c>
      <c r="I237" s="25">
        <v>0</v>
      </c>
      <c r="J237" s="25">
        <v>0</v>
      </c>
      <c r="K237" s="25">
        <v>0</v>
      </c>
      <c r="L237" s="25">
        <v>0</v>
      </c>
      <c r="M237" s="26">
        <f>I237-J237</f>
        <v>0.0</v>
      </c>
      <c r="N237" s="26">
        <f>J237-K237</f>
        <v>0.0</v>
      </c>
      <c r="O237" s="26">
        <f>I237-L237</f>
        <v>0.0</v>
      </c>
      <c r="P237" s="28">
        <f>IF(I237&gt;0,L237/I237,0)</f>
        <v>0</v>
      </c>
      <c r="Q237" s="28">
        <f>IF(I237&gt;0,K237/I237,0)</f>
        <v>0</v>
      </c>
      <c r="R237" s="24" t="str">
        <f>IF(I237&lt;=0,"Sin PIM",IF(L237/I237&gt;=Config!$B$5,"Ejecutado",IF(K237/I237&gt;=Config!$B$6,"Mayormente comprometido",IF(K237&gt;0.005,"Parcialmente comprometido",IF(J237&gt;0.005,"Solo certificado","Sin certificar")))))</f>
        <v>Sin PIM</v>
      </c>
      <c r="S237" s="24" t="str">
        <f>IF(R237="Sin certificar","Disponible",IF(R237="Solo certificado","Posible",IF(R237="Parcialmente comprometido","Parcial",IF(R237="Mayormente comprometido","Difícil",IF(R237="Ejecutado","No usar","Sin PIM")))))</f>
        <v>Sin PIM</v>
      </c>
      <c r="T237" s="26">
        <f>IF(OR(I237&lt;=0,R237="Ejecutado"),0,MAX(0,I237-K237))</f>
        <v>0.0</v>
      </c>
      <c r="U237" s="24" t="s">
        <v>105</v>
      </c>
      <c r="V237" s="25">
        <v>50000</v>
      </c>
      <c r="W237" s="25">
        <v>0</v>
      </c>
      <c r="X237" s="25">
        <v>0</v>
      </c>
      <c r="Y237" s="25">
        <v>1077897</v>
      </c>
      <c r="Z237" s="24" t="s">
        <v>63</v>
      </c>
      <c r="AA237" s="24" t="s">
        <v>63</v>
      </c>
      <c r="AB237" s="24" t="s">
        <v>63</v>
      </c>
      <c r="AC237" s="24" t="s">
        <v>101</v>
      </c>
    </row>
    <row r="238" spans="1:29">
      <c r="A238" s="24" t="s">
        <v>54</v>
      </c>
      <c r="B238" s="24" t="s">
        <v>55</v>
      </c>
      <c r="C238" s="24" t="s">
        <v>56</v>
      </c>
      <c r="D238" s="24" t="s">
        <v>612</v>
      </c>
      <c r="E238" s="24" t="s">
        <v>71</v>
      </c>
      <c r="F238" s="24" t="s">
        <v>803</v>
      </c>
      <c r="G238" s="24" t="s">
        <v>804</v>
      </c>
      <c r="H238" s="27" t="s">
        <v>805</v>
      </c>
      <c r="I238" s="25">
        <v>106670</v>
      </c>
      <c r="J238" s="25">
        <v>106670</v>
      </c>
      <c r="K238" s="25">
        <v>106670</v>
      </c>
      <c r="L238" s="25">
        <v>96622.29000000001</v>
      </c>
      <c r="M238" s="26">
        <f>I238-J238</f>
        <v>0.0</v>
      </c>
      <c r="N238" s="26">
        <f>J238-K238</f>
        <v>0.0</v>
      </c>
      <c r="O238" s="26">
        <f>I238-L238</f>
        <v>10047.709999999992</v>
      </c>
      <c r="P238" s="28">
        <f>IF(I238&gt;0,L238/I238,0)</f>
        <v>0.9058056623230525</v>
      </c>
      <c r="Q238" s="28">
        <f>IF(I238&gt;0,K238/I238,0)</f>
        <v>1.0</v>
      </c>
      <c r="R238" s="24" t="str">
        <f>IF(I238&lt;=0,"Sin PIM",IF(L238/I238&gt;=Config!$B$5,"Ejecutado",IF(K238/I238&gt;=Config!$B$6,"Mayormente comprometido",IF(K238&gt;0.005,"Parcialmente comprometido",IF(J238&gt;0.005,"Solo certificado","Sin certificar")))))</f>
        <v>Ejecutado</v>
      </c>
      <c r="S238" s="24" t="str">
        <f>IF(R238="Sin certificar","Disponible",IF(R238="Solo certificado","Posible",IF(R238="Parcialmente comprometido","Parcial",IF(R238="Mayormente comprometido","Difícil",IF(R238="Ejecutado","No usar","Sin PIM")))))</f>
        <v>No usar</v>
      </c>
      <c r="T238" s="26">
        <f>IF(OR(I238&lt;=0,R238="Ejecutado"),0,MAX(0,I238-K238))</f>
        <v>0.0</v>
      </c>
      <c r="U238" s="24" t="s">
        <v>123</v>
      </c>
      <c r="V238" s="25">
        <v>50000</v>
      </c>
      <c r="W238" s="25">
        <v>248751</v>
      </c>
      <c r="X238" s="25">
        <v>290379</v>
      </c>
      <c r="Y238" s="25">
        <v>0</v>
      </c>
      <c r="Z238" s="24" t="s">
        <v>63</v>
      </c>
      <c r="AA238" s="24" t="s">
        <v>63</v>
      </c>
      <c r="AB238" s="24" t="s">
        <v>63</v>
      </c>
      <c r="AC238" s="24" t="s">
        <v>101</v>
      </c>
    </row>
    <row r="239" spans="1:29">
      <c r="A239" s="24" t="s">
        <v>54</v>
      </c>
      <c r="B239" s="24" t="s">
        <v>55</v>
      </c>
      <c r="C239" s="24" t="s">
        <v>56</v>
      </c>
      <c r="D239" s="24" t="s">
        <v>612</v>
      </c>
      <c r="E239" s="24" t="s">
        <v>71</v>
      </c>
      <c r="F239" s="24" t="s">
        <v>806</v>
      </c>
      <c r="G239" s="24" t="s">
        <v>807</v>
      </c>
      <c r="H239" s="27" t="s">
        <v>808</v>
      </c>
      <c r="I239" s="25">
        <v>306148</v>
      </c>
      <c r="J239" s="25">
        <v>306148</v>
      </c>
      <c r="K239" s="25">
        <v>306148</v>
      </c>
      <c r="L239" s="25">
        <v>268544.1</v>
      </c>
      <c r="M239" s="26">
        <f>I239-J239</f>
        <v>0.0</v>
      </c>
      <c r="N239" s="26">
        <f>J239-K239</f>
        <v>0.0</v>
      </c>
      <c r="O239" s="26">
        <f>I239-L239</f>
        <v>37603.90000000002</v>
      </c>
      <c r="P239" s="28">
        <f>IF(I239&gt;0,L239/I239,0)</f>
        <v>0.877170845473431</v>
      </c>
      <c r="Q239" s="28">
        <f>IF(I239&gt;0,K239/I239,0)</f>
        <v>1.0</v>
      </c>
      <c r="R239" s="24" t="str">
        <f>IF(I239&lt;=0,"Sin PIM",IF(L239/I239&gt;=Config!$B$5,"Ejecutado",IF(K239/I239&gt;=Config!$B$6,"Mayormente comprometido",IF(K239&gt;0.005,"Parcialmente comprometido",IF(J239&gt;0.005,"Solo certificado","Sin certificar")))))</f>
        <v>Mayormente comprometido</v>
      </c>
      <c r="S239" s="24" t="str">
        <f>IF(R239="Sin certificar","Disponible",IF(R239="Solo certificado","Posible",IF(R239="Parcialmente comprometido","Parcial",IF(R239="Mayormente comprometido","Difícil",IF(R239="Ejecutado","No usar","Sin PIM")))))</f>
        <v>Difícil</v>
      </c>
      <c r="T239" s="26">
        <f>IF(OR(I239&lt;=0,R239="Ejecutado"),0,MAX(0,I239-K239))</f>
        <v>0.0</v>
      </c>
      <c r="U239" s="24" t="s">
        <v>123</v>
      </c>
      <c r="V239" s="25">
        <v>50000</v>
      </c>
      <c r="W239" s="25">
        <v>0</v>
      </c>
      <c r="X239" s="25">
        <v>0</v>
      </c>
      <c r="Y239" s="25">
        <v>1982942</v>
      </c>
      <c r="Z239" s="24" t="s">
        <v>63</v>
      </c>
      <c r="AA239" s="24" t="s">
        <v>63</v>
      </c>
      <c r="AB239" s="24" t="s">
        <v>63</v>
      </c>
      <c r="AC239" s="24" t="s">
        <v>101</v>
      </c>
    </row>
    <row r="240" spans="1:29">
      <c r="A240" s="24" t="s">
        <v>54</v>
      </c>
      <c r="B240" s="24" t="s">
        <v>55</v>
      </c>
      <c r="C240" s="24" t="s">
        <v>56</v>
      </c>
      <c r="D240" s="24" t="s">
        <v>612</v>
      </c>
      <c r="E240" s="24" t="s">
        <v>71</v>
      </c>
      <c r="F240" s="24" t="s">
        <v>809</v>
      </c>
      <c r="G240" s="24" t="s">
        <v>810</v>
      </c>
      <c r="H240" s="27" t="s">
        <v>811</v>
      </c>
      <c r="I240" s="25">
        <v>159574</v>
      </c>
      <c r="J240" s="25">
        <v>125168.92</v>
      </c>
      <c r="K240" s="25">
        <v>125168.92</v>
      </c>
      <c r="L240" s="25">
        <v>80461.59</v>
      </c>
      <c r="M240" s="26">
        <f>I240-J240</f>
        <v>34405.08</v>
      </c>
      <c r="N240" s="26">
        <f>J240-K240</f>
        <v>0.0</v>
      </c>
      <c r="O240" s="26">
        <f>I240-L240</f>
        <v>79112.41</v>
      </c>
      <c r="P240" s="28">
        <f>IF(I240&gt;0,L240/I240,0)</f>
        <v>0.5042274430671663</v>
      </c>
      <c r="Q240" s="28">
        <f>IF(I240&gt;0,K240/I240,0)</f>
        <v>0.7843941995563187</v>
      </c>
      <c r="R240" s="24" t="str">
        <f>IF(I240&lt;=0,"Sin PIM",IF(L240/I240&gt;=Config!$B$5,"Ejecutado",IF(K240/I240&gt;=Config!$B$6,"Mayormente comprometido",IF(K240&gt;0.005,"Parcialmente comprometido",IF(J240&gt;0.005,"Solo certificado","Sin certificar")))))</f>
        <v>Mayormente comprometido</v>
      </c>
      <c r="S240" s="24" t="str">
        <f>IF(R240="Sin certificar","Disponible",IF(R240="Solo certificado","Posible",IF(R240="Parcialmente comprometido","Parcial",IF(R240="Mayormente comprometido","Difícil",IF(R240="Ejecutado","No usar","Sin PIM")))))</f>
        <v>Difícil</v>
      </c>
      <c r="T240" s="26">
        <f>IF(OR(I240&lt;=0,R240="Ejecutado"),0,MAX(0,I240-K240))</f>
        <v>34405.08</v>
      </c>
      <c r="U240" s="24" t="s">
        <v>123</v>
      </c>
      <c r="V240" s="25">
        <v>50000</v>
      </c>
      <c r="W240" s="25">
        <v>245742</v>
      </c>
      <c r="X240" s="25">
        <v>1095319</v>
      </c>
      <c r="Y240" s="25">
        <v>0</v>
      </c>
      <c r="Z240" s="24" t="s">
        <v>63</v>
      </c>
      <c r="AA240" s="24" t="s">
        <v>63</v>
      </c>
      <c r="AB240" s="24" t="s">
        <v>63</v>
      </c>
      <c r="AC240" s="24" t="s">
        <v>101</v>
      </c>
    </row>
    <row r="241" spans="1:29">
      <c r="A241" s="24" t="s">
        <v>54</v>
      </c>
      <c r="B241" s="24" t="s">
        <v>55</v>
      </c>
      <c r="C241" s="24" t="s">
        <v>56</v>
      </c>
      <c r="D241" s="24" t="s">
        <v>612</v>
      </c>
      <c r="E241" s="24" t="s">
        <v>71</v>
      </c>
      <c r="F241" s="24" t="s">
        <v>812</v>
      </c>
      <c r="G241" s="24" t="s">
        <v>813</v>
      </c>
      <c r="H241" s="27" t="s">
        <v>814</v>
      </c>
      <c r="I241" s="25">
        <v>50467</v>
      </c>
      <c r="J241" s="25">
        <v>50466.81</v>
      </c>
      <c r="K241" s="25">
        <v>50466.81</v>
      </c>
      <c r="L241" s="25">
        <v>48902.8</v>
      </c>
      <c r="M241" s="26">
        <f>I241-J241</f>
        <v>0.1900000000023283</v>
      </c>
      <c r="N241" s="26">
        <f>J241-K241</f>
        <v>0.0</v>
      </c>
      <c r="O241" s="26">
        <f>I241-L241</f>
        <v>1564.199999999997</v>
      </c>
      <c r="P241" s="28">
        <f>IF(I241&gt;0,L241/I241,0)</f>
        <v>0.9690054887352132</v>
      </c>
      <c r="Q241" s="28">
        <f>IF(I241&gt;0,K241/I241,0)</f>
        <v>0.9999962351635722</v>
      </c>
      <c r="R241" s="24" t="str">
        <f>IF(I241&lt;=0,"Sin PIM",IF(L241/I241&gt;=Config!$B$5,"Ejecutado",IF(K241/I241&gt;=Config!$B$6,"Mayormente comprometido",IF(K241&gt;0.005,"Parcialmente comprometido",IF(J241&gt;0.005,"Solo certificado","Sin certificar")))))</f>
        <v>Ejecutado</v>
      </c>
      <c r="S241" s="24" t="str">
        <f>IF(R241="Sin certificar","Disponible",IF(R241="Solo certificado","Posible",IF(R241="Parcialmente comprometido","Parcial",IF(R241="Mayormente comprometido","Difícil",IF(R241="Ejecutado","No usar","Sin PIM")))))</f>
        <v>No usar</v>
      </c>
      <c r="T241" s="26">
        <f>IF(OR(I241&lt;=0,R241="Ejecutado"),0,MAX(0,I241-K241))</f>
        <v>0.0</v>
      </c>
      <c r="U241" s="24" t="s">
        <v>123</v>
      </c>
      <c r="V241" s="25">
        <v>100000</v>
      </c>
      <c r="W241" s="25">
        <v>0</v>
      </c>
      <c r="X241" s="25">
        <v>0</v>
      </c>
      <c r="Y241" s="25">
        <v>1272222</v>
      </c>
      <c r="Z241" s="24" t="s">
        <v>63</v>
      </c>
      <c r="AA241" s="24" t="s">
        <v>63</v>
      </c>
      <c r="AB241" s="24" t="s">
        <v>63</v>
      </c>
      <c r="AC241" s="24" t="s">
        <v>101</v>
      </c>
    </row>
    <row r="242" spans="1:29">
      <c r="A242" s="24" t="s">
        <v>54</v>
      </c>
      <c r="B242" s="24" t="s">
        <v>55</v>
      </c>
      <c r="C242" s="24" t="s">
        <v>56</v>
      </c>
      <c r="D242" s="24" t="s">
        <v>612</v>
      </c>
      <c r="E242" s="24" t="s">
        <v>71</v>
      </c>
      <c r="F242" s="24" t="s">
        <v>815</v>
      </c>
      <c r="G242" s="24" t="s">
        <v>816</v>
      </c>
      <c r="H242" s="27" t="s">
        <v>817</v>
      </c>
      <c r="I242" s="25">
        <v>0</v>
      </c>
      <c r="J242" s="25">
        <v>0</v>
      </c>
      <c r="K242" s="25">
        <v>0</v>
      </c>
      <c r="L242" s="25">
        <v>0</v>
      </c>
      <c r="M242" s="26">
        <f>I242-J242</f>
        <v>0.0</v>
      </c>
      <c r="N242" s="26">
        <f>J242-K242</f>
        <v>0.0</v>
      </c>
      <c r="O242" s="26">
        <f>I242-L242</f>
        <v>0.0</v>
      </c>
      <c r="P242" s="28">
        <f>IF(I242&gt;0,L242/I242,0)</f>
        <v>0</v>
      </c>
      <c r="Q242" s="28">
        <f>IF(I242&gt;0,K242/I242,0)</f>
        <v>0</v>
      </c>
      <c r="R242" s="24" t="str">
        <f>IF(I242&lt;=0,"Sin PIM",IF(L242/I242&gt;=Config!$B$5,"Ejecutado",IF(K242/I242&gt;=Config!$B$6,"Mayormente comprometido",IF(K242&gt;0.005,"Parcialmente comprometido",IF(J242&gt;0.005,"Solo certificado","Sin certificar")))))</f>
        <v>Sin PIM</v>
      </c>
      <c r="S242" s="24" t="str">
        <f>IF(R242="Sin certificar","Disponible",IF(R242="Solo certificado","Posible",IF(R242="Parcialmente comprometido","Parcial",IF(R242="Mayormente comprometido","Difícil",IF(R242="Ejecutado","No usar","Sin PIM")))))</f>
        <v>Sin PIM</v>
      </c>
      <c r="T242" s="26">
        <f>IF(OR(I242&lt;=0,R242="Ejecutado"),0,MAX(0,I242-K242))</f>
        <v>0.0</v>
      </c>
      <c r="U242" s="24" t="s">
        <v>105</v>
      </c>
      <c r="V242" s="25">
        <v>1000000</v>
      </c>
      <c r="W242" s="25">
        <v>0</v>
      </c>
      <c r="X242" s="25">
        <v>0</v>
      </c>
      <c r="Y242" s="25">
        <v>0</v>
      </c>
      <c r="Z242" s="24" t="s">
        <v>63</v>
      </c>
      <c r="AA242" s="24" t="s">
        <v>63</v>
      </c>
      <c r="AB242" s="24" t="s">
        <v>63</v>
      </c>
      <c r="AC242" s="24" t="s">
        <v>101</v>
      </c>
    </row>
    <row r="243" spans="1:29">
      <c r="A243" s="24" t="s">
        <v>54</v>
      </c>
      <c r="B243" s="24" t="s">
        <v>55</v>
      </c>
      <c r="C243" s="24" t="s">
        <v>56</v>
      </c>
      <c r="D243" s="24" t="s">
        <v>612</v>
      </c>
      <c r="E243" s="24" t="s">
        <v>71</v>
      </c>
      <c r="F243" s="24" t="s">
        <v>818</v>
      </c>
      <c r="G243" s="24" t="s">
        <v>819</v>
      </c>
      <c r="H243" s="27" t="s">
        <v>820</v>
      </c>
      <c r="I243" s="25">
        <v>2394005</v>
      </c>
      <c r="J243" s="25">
        <v>0</v>
      </c>
      <c r="K243" s="25">
        <v>0</v>
      </c>
      <c r="L243" s="25">
        <v>0</v>
      </c>
      <c r="M243" s="26">
        <f>I243-J243</f>
        <v>2394005.0</v>
      </c>
      <c r="N243" s="26">
        <f>J243-K243</f>
        <v>0.0</v>
      </c>
      <c r="O243" s="26">
        <f>I243-L243</f>
        <v>2394005.0</v>
      </c>
      <c r="P243" s="28">
        <f>IF(I243&gt;0,L243/I243,0)</f>
        <v>0.0</v>
      </c>
      <c r="Q243" s="28">
        <f>IF(I243&gt;0,K243/I243,0)</f>
        <v>0.0</v>
      </c>
      <c r="R243" s="24" t="str">
        <f>IF(I243&lt;=0,"Sin PIM",IF(L243/I243&gt;=Config!$B$5,"Ejecutado",IF(K243/I243&gt;=Config!$B$6,"Mayormente comprometido",IF(K243&gt;0.005,"Parcialmente comprometido",IF(J243&gt;0.005,"Solo certificado","Sin certificar")))))</f>
        <v>Sin certificar</v>
      </c>
      <c r="S243" s="24" t="str">
        <f>IF(R243="Sin certificar","Disponible",IF(R243="Solo certificado","Posible",IF(R243="Parcialmente comprometido","Parcial",IF(R243="Mayormente comprometido","Difícil",IF(R243="Ejecutado","No usar","Sin PIM")))))</f>
        <v>Disponible</v>
      </c>
      <c r="T243" s="26">
        <f>IF(OR(I243&lt;=0,R243="Ejecutado"),0,MAX(0,I243-K243))</f>
        <v>2394005.0</v>
      </c>
      <c r="U243" s="24" t="s">
        <v>105</v>
      </c>
      <c r="V243" s="24" t="s">
        <v>69</v>
      </c>
      <c r="W243" s="24" t="s">
        <v>69</v>
      </c>
      <c r="X243" s="24" t="s">
        <v>69</v>
      </c>
      <c r="Y243" s="24" t="s">
        <v>69</v>
      </c>
      <c r="Z243" s="24" t="s">
        <v>63</v>
      </c>
      <c r="AA243" s="24" t="s">
        <v>63</v>
      </c>
      <c r="AB243" s="24" t="s">
        <v>63</v>
      </c>
      <c r="AC243" s="24" t="s">
        <v>89</v>
      </c>
    </row>
    <row r="244" spans="1:29">
      <c r="A244" s="24" t="s">
        <v>54</v>
      </c>
      <c r="B244" s="24" t="s">
        <v>55</v>
      </c>
      <c r="C244" s="24" t="s">
        <v>56</v>
      </c>
      <c r="D244" s="24" t="s">
        <v>612</v>
      </c>
      <c r="E244" s="24" t="s">
        <v>163</v>
      </c>
      <c r="F244" s="24" t="s">
        <v>821</v>
      </c>
      <c r="G244" s="24" t="s">
        <v>822</v>
      </c>
      <c r="H244" s="27" t="s">
        <v>823</v>
      </c>
      <c r="I244" s="25">
        <v>350198</v>
      </c>
      <c r="J244" s="25">
        <v>287570</v>
      </c>
      <c r="K244" s="25">
        <v>287570</v>
      </c>
      <c r="L244" s="25">
        <v>252136.73</v>
      </c>
      <c r="M244" s="26">
        <f>I244-J244</f>
        <v>62628.0</v>
      </c>
      <c r="N244" s="26">
        <f>J244-K244</f>
        <v>0.0</v>
      </c>
      <c r="O244" s="26">
        <f>I244-L244</f>
        <v>98061.26999999999</v>
      </c>
      <c r="P244" s="28">
        <f>IF(I244&gt;0,L244/I244,0)</f>
        <v>0.7199833522749988</v>
      </c>
      <c r="Q244" s="28">
        <f>IF(I244&gt;0,K244/I244,0)</f>
        <v>0.8211640272074655</v>
      </c>
      <c r="R244" s="24" t="str">
        <f>IF(I244&lt;=0,"Sin PIM",IF(L244/I244&gt;=Config!$B$5,"Ejecutado",IF(K244/I244&gt;=Config!$B$6,"Mayormente comprometido",IF(K244&gt;0.005,"Parcialmente comprometido",IF(J244&gt;0.005,"Solo certificado","Sin certificar")))))</f>
        <v>Mayormente comprometido</v>
      </c>
      <c r="S244" s="24" t="str">
        <f>IF(R244="Sin certificar","Disponible",IF(R244="Solo certificado","Posible",IF(R244="Parcialmente comprometido","Parcial",IF(R244="Mayormente comprometido","Difícil",IF(R244="Ejecutado","No usar","Sin PIM")))))</f>
        <v>Difícil</v>
      </c>
      <c r="T244" s="26">
        <f>IF(OR(I244&lt;=0,R244="Ejecutado"),0,MAX(0,I244-K244))</f>
        <v>62628.0</v>
      </c>
      <c r="U244" s="24" t="s">
        <v>123</v>
      </c>
      <c r="V244" s="25">
        <v>100000</v>
      </c>
      <c r="W244" s="25">
        <v>0</v>
      </c>
      <c r="X244" s="25">
        <v>0</v>
      </c>
      <c r="Y244" s="25">
        <v>0</v>
      </c>
      <c r="Z244" s="24" t="s">
        <v>63</v>
      </c>
      <c r="AA244" s="24" t="s">
        <v>63</v>
      </c>
      <c r="AB244" s="24" t="s">
        <v>63</v>
      </c>
      <c r="AC244" s="24" t="s">
        <v>101</v>
      </c>
    </row>
    <row r="245" spans="1:29">
      <c r="A245" s="24" t="s">
        <v>54</v>
      </c>
      <c r="B245" s="24" t="s">
        <v>55</v>
      </c>
      <c r="C245" s="24" t="s">
        <v>56</v>
      </c>
      <c r="D245" s="24" t="s">
        <v>612</v>
      </c>
      <c r="E245" s="24" t="s">
        <v>163</v>
      </c>
      <c r="F245" s="24" t="s">
        <v>824</v>
      </c>
      <c r="G245" s="24" t="s">
        <v>825</v>
      </c>
      <c r="H245" s="27" t="s">
        <v>826</v>
      </c>
      <c r="I245" s="25">
        <v>0</v>
      </c>
      <c r="J245" s="25">
        <v>0</v>
      </c>
      <c r="K245" s="25">
        <v>0</v>
      </c>
      <c r="L245" s="25">
        <v>0</v>
      </c>
      <c r="M245" s="26">
        <f>I245-J245</f>
        <v>0.0</v>
      </c>
      <c r="N245" s="26">
        <f>J245-K245</f>
        <v>0.0</v>
      </c>
      <c r="O245" s="26">
        <f>I245-L245</f>
        <v>0.0</v>
      </c>
      <c r="P245" s="28">
        <f>IF(I245&gt;0,L245/I245,0)</f>
        <v>0</v>
      </c>
      <c r="Q245" s="28">
        <f>IF(I245&gt;0,K245/I245,0)</f>
        <v>0</v>
      </c>
      <c r="R245" s="24" t="str">
        <f>IF(I245&lt;=0,"Sin PIM",IF(L245/I245&gt;=Config!$B$5,"Ejecutado",IF(K245/I245&gt;=Config!$B$6,"Mayormente comprometido",IF(K245&gt;0.005,"Parcialmente comprometido",IF(J245&gt;0.005,"Solo certificado","Sin certificar")))))</f>
        <v>Sin PIM</v>
      </c>
      <c r="S245" s="24" t="str">
        <f>IF(R245="Sin certificar","Disponible",IF(R245="Solo certificado","Posible",IF(R245="Parcialmente comprometido","Parcial",IF(R245="Mayormente comprometido","Difícil",IF(R245="Ejecutado","No usar","Sin PIM")))))</f>
        <v>Sin PIM</v>
      </c>
      <c r="T245" s="26">
        <f>IF(OR(I245&lt;=0,R245="Ejecutado"),0,MAX(0,I245-K245))</f>
        <v>0.0</v>
      </c>
      <c r="U245" s="24" t="s">
        <v>105</v>
      </c>
      <c r="V245" s="25">
        <v>100000</v>
      </c>
      <c r="W245" s="25">
        <v>0</v>
      </c>
      <c r="X245" s="25">
        <v>0</v>
      </c>
      <c r="Y245" s="25">
        <v>0</v>
      </c>
      <c r="Z245" s="24" t="s">
        <v>63</v>
      </c>
      <c r="AA245" s="24" t="s">
        <v>63</v>
      </c>
      <c r="AB245" s="24" t="s">
        <v>63</v>
      </c>
      <c r="AC245" s="24" t="s">
        <v>101</v>
      </c>
    </row>
    <row r="246" spans="1:29">
      <c r="A246" s="24" t="s">
        <v>54</v>
      </c>
      <c r="B246" s="24" t="s">
        <v>55</v>
      </c>
      <c r="C246" s="24" t="s">
        <v>56</v>
      </c>
      <c r="D246" s="24" t="s">
        <v>612</v>
      </c>
      <c r="E246" s="24" t="s">
        <v>163</v>
      </c>
      <c r="F246" s="24" t="s">
        <v>827</v>
      </c>
      <c r="G246" s="24" t="s">
        <v>828</v>
      </c>
      <c r="H246" s="27" t="s">
        <v>829</v>
      </c>
      <c r="I246" s="25">
        <v>0</v>
      </c>
      <c r="J246" s="25">
        <v>0</v>
      </c>
      <c r="K246" s="25">
        <v>0</v>
      </c>
      <c r="L246" s="25">
        <v>0</v>
      </c>
      <c r="M246" s="26">
        <f>I246-J246</f>
        <v>0.0</v>
      </c>
      <c r="N246" s="26">
        <f>J246-K246</f>
        <v>0.0</v>
      </c>
      <c r="O246" s="26">
        <f>I246-L246</f>
        <v>0.0</v>
      </c>
      <c r="P246" s="28">
        <f>IF(I246&gt;0,L246/I246,0)</f>
        <v>0</v>
      </c>
      <c r="Q246" s="28">
        <f>IF(I246&gt;0,K246/I246,0)</f>
        <v>0</v>
      </c>
      <c r="R246" s="24" t="str">
        <f>IF(I246&lt;=0,"Sin PIM",IF(L246/I246&gt;=Config!$B$5,"Ejecutado",IF(K246/I246&gt;=Config!$B$6,"Mayormente comprometido",IF(K246&gt;0.005,"Parcialmente comprometido",IF(J246&gt;0.005,"Solo certificado","Sin certificar")))))</f>
        <v>Sin PIM</v>
      </c>
      <c r="S246" s="24" t="str">
        <f>IF(R246="Sin certificar","Disponible",IF(R246="Solo certificado","Posible",IF(R246="Parcialmente comprometido","Parcial",IF(R246="Mayormente comprometido","Difícil",IF(R246="Ejecutado","No usar","Sin PIM")))))</f>
        <v>Sin PIM</v>
      </c>
      <c r="T246" s="26">
        <f>IF(OR(I246&lt;=0,R246="Ejecutado"),0,MAX(0,I246-K246))</f>
        <v>0.0</v>
      </c>
      <c r="U246" s="24" t="s">
        <v>105</v>
      </c>
      <c r="V246" s="24" t="s">
        <v>69</v>
      </c>
      <c r="W246" s="24" t="s">
        <v>69</v>
      </c>
      <c r="X246" s="24" t="s">
        <v>69</v>
      </c>
      <c r="Y246" s="24" t="s">
        <v>69</v>
      </c>
      <c r="Z246" s="24" t="s">
        <v>63</v>
      </c>
      <c r="AA246" s="24" t="s">
        <v>63</v>
      </c>
      <c r="AB246" s="24" t="s">
        <v>63</v>
      </c>
      <c r="AC246" s="24" t="s">
        <v>101</v>
      </c>
    </row>
    <row r="247" spans="1:29">
      <c r="A247" s="24" t="s">
        <v>54</v>
      </c>
      <c r="B247" s="24" t="s">
        <v>55</v>
      </c>
      <c r="C247" s="24" t="s">
        <v>56</v>
      </c>
      <c r="D247" s="24" t="s">
        <v>612</v>
      </c>
      <c r="E247" s="24" t="s">
        <v>163</v>
      </c>
      <c r="F247" s="24" t="s">
        <v>830</v>
      </c>
      <c r="G247" s="24" t="s">
        <v>831</v>
      </c>
      <c r="H247" s="27" t="s">
        <v>832</v>
      </c>
      <c r="I247" s="25">
        <v>0</v>
      </c>
      <c r="J247" s="25">
        <v>0</v>
      </c>
      <c r="K247" s="25">
        <v>0</v>
      </c>
      <c r="L247" s="25">
        <v>0</v>
      </c>
      <c r="M247" s="26">
        <f>I247-J247</f>
        <v>0.0</v>
      </c>
      <c r="N247" s="26">
        <f>J247-K247</f>
        <v>0.0</v>
      </c>
      <c r="O247" s="26">
        <f>I247-L247</f>
        <v>0.0</v>
      </c>
      <c r="P247" s="28">
        <f>IF(I247&gt;0,L247/I247,0)</f>
        <v>0</v>
      </c>
      <c r="Q247" s="28">
        <f>IF(I247&gt;0,K247/I247,0)</f>
        <v>0</v>
      </c>
      <c r="R247" s="24" t="str">
        <f>IF(I247&lt;=0,"Sin PIM",IF(L247/I247&gt;=Config!$B$5,"Ejecutado",IF(K247/I247&gt;=Config!$B$6,"Mayormente comprometido",IF(K247&gt;0.005,"Parcialmente comprometido",IF(J247&gt;0.005,"Solo certificado","Sin certificar")))))</f>
        <v>Sin PIM</v>
      </c>
      <c r="S247" s="24" t="str">
        <f>IF(R247="Sin certificar","Disponible",IF(R247="Solo certificado","Posible",IF(R247="Parcialmente comprometido","Parcial",IF(R247="Mayormente comprometido","Difícil",IF(R247="Ejecutado","No usar","Sin PIM")))))</f>
        <v>Sin PIM</v>
      </c>
      <c r="T247" s="26">
        <f>IF(OR(I247&lt;=0,R247="Ejecutado"),0,MAX(0,I247-K247))</f>
        <v>0.0</v>
      </c>
      <c r="U247" s="24" t="s">
        <v>480</v>
      </c>
      <c r="V247" s="25">
        <v>7946662</v>
      </c>
      <c r="W247" s="25">
        <v>0</v>
      </c>
      <c r="X247" s="25">
        <v>0</v>
      </c>
      <c r="Y247" s="25">
        <v>0</v>
      </c>
      <c r="Z247" s="24" t="s">
        <v>63</v>
      </c>
      <c r="AA247" s="24" t="s">
        <v>63</v>
      </c>
      <c r="AB247" s="24" t="s">
        <v>63</v>
      </c>
      <c r="AC247" s="24" t="s">
        <v>101</v>
      </c>
    </row>
    <row r="248" spans="1:29">
      <c r="A248" s="24" t="s">
        <v>54</v>
      </c>
      <c r="B248" s="24" t="s">
        <v>55</v>
      </c>
      <c r="C248" s="24" t="s">
        <v>56</v>
      </c>
      <c r="D248" s="24" t="s">
        <v>612</v>
      </c>
      <c r="E248" s="24" t="s">
        <v>163</v>
      </c>
      <c r="F248" s="24" t="s">
        <v>833</v>
      </c>
      <c r="G248" s="24" t="s">
        <v>834</v>
      </c>
      <c r="H248" s="27" t="s">
        <v>835</v>
      </c>
      <c r="I248" s="25">
        <v>0</v>
      </c>
      <c r="J248" s="25">
        <v>0</v>
      </c>
      <c r="K248" s="25">
        <v>0</v>
      </c>
      <c r="L248" s="25">
        <v>0</v>
      </c>
      <c r="M248" s="26">
        <f>I248-J248</f>
        <v>0.0</v>
      </c>
      <c r="N248" s="26">
        <f>J248-K248</f>
        <v>0.0</v>
      </c>
      <c r="O248" s="26">
        <f>I248-L248</f>
        <v>0.0</v>
      </c>
      <c r="P248" s="28">
        <f>IF(I248&gt;0,L248/I248,0)</f>
        <v>0</v>
      </c>
      <c r="Q248" s="28">
        <f>IF(I248&gt;0,K248/I248,0)</f>
        <v>0</v>
      </c>
      <c r="R248" s="24" t="str">
        <f>IF(I248&lt;=0,"Sin PIM",IF(L248/I248&gt;=Config!$B$5,"Ejecutado",IF(K248/I248&gt;=Config!$B$6,"Mayormente comprometido",IF(K248&gt;0.005,"Parcialmente comprometido",IF(J248&gt;0.005,"Solo certificado","Sin certificar")))))</f>
        <v>Sin PIM</v>
      </c>
      <c r="S248" s="24" t="str">
        <f>IF(R248="Sin certificar","Disponible",IF(R248="Solo certificado","Posible",IF(R248="Parcialmente comprometido","Parcial",IF(R248="Mayormente comprometido","Difícil",IF(R248="Ejecutado","No usar","Sin PIM")))))</f>
        <v>Sin PIM</v>
      </c>
      <c r="T248" s="26">
        <f>IF(OR(I248&lt;=0,R248="Ejecutado"),0,MAX(0,I248-K248))</f>
        <v>0.0</v>
      </c>
      <c r="U248" s="24" t="s">
        <v>397</v>
      </c>
      <c r="V248" s="25">
        <v>2800000</v>
      </c>
      <c r="W248" s="25">
        <v>0</v>
      </c>
      <c r="X248" s="25">
        <v>0</v>
      </c>
      <c r="Y248" s="25">
        <v>0</v>
      </c>
      <c r="Z248" s="24" t="s">
        <v>63</v>
      </c>
      <c r="AA248" s="24" t="s">
        <v>63</v>
      </c>
      <c r="AB248" s="24" t="s">
        <v>63</v>
      </c>
      <c r="AC248" s="24" t="s">
        <v>101</v>
      </c>
    </row>
    <row r="249" spans="1:29">
      <c r="A249" s="24" t="s">
        <v>54</v>
      </c>
      <c r="B249" s="24" t="s">
        <v>55</v>
      </c>
      <c r="C249" s="24" t="s">
        <v>56</v>
      </c>
      <c r="D249" s="24" t="s">
        <v>612</v>
      </c>
      <c r="E249" s="24" t="s">
        <v>163</v>
      </c>
      <c r="F249" s="24" t="s">
        <v>836</v>
      </c>
      <c r="G249" s="24" t="s">
        <v>837</v>
      </c>
      <c r="H249" s="27" t="s">
        <v>838</v>
      </c>
      <c r="I249" s="25">
        <v>100000</v>
      </c>
      <c r="J249" s="25">
        <v>20000</v>
      </c>
      <c r="K249" s="25">
        <v>20000</v>
      </c>
      <c r="L249" s="25">
        <v>13772.3</v>
      </c>
      <c r="M249" s="26">
        <f>I249-J249</f>
        <v>80000.0</v>
      </c>
      <c r="N249" s="26">
        <f>J249-K249</f>
        <v>0.0</v>
      </c>
      <c r="O249" s="26">
        <f>I249-L249</f>
        <v>86227.7</v>
      </c>
      <c r="P249" s="28">
        <f>IF(I249&gt;0,L249/I249,0)</f>
        <v>0.13772299999999998</v>
      </c>
      <c r="Q249" s="28">
        <f>IF(I249&gt;0,K249/I249,0)</f>
        <v>0.2</v>
      </c>
      <c r="R249" s="24" t="str">
        <f>IF(I249&lt;=0,"Sin PIM",IF(L249/I249&gt;=Config!$B$5,"Ejecutado",IF(K249/I249&gt;=Config!$B$6,"Mayormente comprometido",IF(K249&gt;0.005,"Parcialmente comprometido",IF(J249&gt;0.005,"Solo certificado","Sin certificar")))))</f>
        <v>Parcialmente comprometido</v>
      </c>
      <c r="S249" s="24" t="str">
        <f>IF(R249="Sin certificar","Disponible",IF(R249="Solo certificado","Posible",IF(R249="Parcialmente comprometido","Parcial",IF(R249="Mayormente comprometido","Difícil",IF(R249="Ejecutado","No usar","Sin PIM")))))</f>
        <v>Parcial</v>
      </c>
      <c r="T249" s="26">
        <f>IF(OR(I249&lt;=0,R249="Ejecutado"),0,MAX(0,I249-K249))</f>
        <v>80000.0</v>
      </c>
      <c r="U249" s="24" t="s">
        <v>123</v>
      </c>
      <c r="V249" s="25">
        <v>100000</v>
      </c>
      <c r="W249" s="25">
        <v>452541</v>
      </c>
      <c r="X249" s="25">
        <v>0</v>
      </c>
      <c r="Y249" s="25">
        <v>1000000</v>
      </c>
      <c r="Z249" s="24" t="s">
        <v>63</v>
      </c>
      <c r="AA249" s="24" t="s">
        <v>63</v>
      </c>
      <c r="AB249" s="24" t="s">
        <v>63</v>
      </c>
      <c r="AC249" s="24" t="s">
        <v>101</v>
      </c>
    </row>
    <row r="250" spans="1:29">
      <c r="A250" s="24" t="s">
        <v>54</v>
      </c>
      <c r="B250" s="24" t="s">
        <v>55</v>
      </c>
      <c r="C250" s="24" t="s">
        <v>56</v>
      </c>
      <c r="D250" s="24" t="s">
        <v>612</v>
      </c>
      <c r="E250" s="24" t="s">
        <v>163</v>
      </c>
      <c r="F250" s="24" t="s">
        <v>839</v>
      </c>
      <c r="G250" s="24" t="s">
        <v>840</v>
      </c>
      <c r="H250" s="27" t="s">
        <v>841</v>
      </c>
      <c r="I250" s="25">
        <v>391951</v>
      </c>
      <c r="J250" s="25">
        <v>130000</v>
      </c>
      <c r="K250" s="25">
        <v>0</v>
      </c>
      <c r="L250" s="25">
        <v>0</v>
      </c>
      <c r="M250" s="26">
        <f>I250-J250</f>
        <v>261951.0</v>
      </c>
      <c r="N250" s="26">
        <f>J250-K250</f>
        <v>130000.0</v>
      </c>
      <c r="O250" s="26">
        <f>I250-L250</f>
        <v>391951.0</v>
      </c>
      <c r="P250" s="28">
        <f>IF(I250&gt;0,L250/I250,0)</f>
        <v>0.0</v>
      </c>
      <c r="Q250" s="28">
        <f>IF(I250&gt;0,K250/I250,0)</f>
        <v>0.0</v>
      </c>
      <c r="R250" s="24" t="str">
        <f>IF(I250&lt;=0,"Sin PIM",IF(L250/I250&gt;=Config!$B$5,"Ejecutado",IF(K250/I250&gt;=Config!$B$6,"Mayormente comprometido",IF(K250&gt;0.005,"Parcialmente comprometido",IF(J250&gt;0.005,"Solo certificado","Sin certificar")))))</f>
        <v>Solo certificado</v>
      </c>
      <c r="S250" s="24" t="str">
        <f>IF(R250="Sin certificar","Disponible",IF(R250="Solo certificado","Posible",IF(R250="Parcialmente comprometido","Parcial",IF(R250="Mayormente comprometido","Difícil",IF(R250="Ejecutado","No usar","Sin PIM")))))</f>
        <v>Posible</v>
      </c>
      <c r="T250" s="26">
        <f>IF(OR(I250&lt;=0,R250="Ejecutado"),0,MAX(0,I250-K250))</f>
        <v>391951.0</v>
      </c>
      <c r="U250" s="24" t="s">
        <v>123</v>
      </c>
      <c r="V250" s="25">
        <v>850000</v>
      </c>
      <c r="W250" s="25">
        <v>454257</v>
      </c>
      <c r="X250" s="25">
        <v>0</v>
      </c>
      <c r="Y250" s="25">
        <v>1000000</v>
      </c>
      <c r="Z250" s="24" t="s">
        <v>63</v>
      </c>
      <c r="AA250" s="24" t="s">
        <v>63</v>
      </c>
      <c r="AB250" s="24" t="s">
        <v>63</v>
      </c>
      <c r="AC250" s="24" t="s">
        <v>101</v>
      </c>
    </row>
    <row r="251" spans="1:29">
      <c r="A251" s="24" t="s">
        <v>54</v>
      </c>
      <c r="B251" s="24" t="s">
        <v>55</v>
      </c>
      <c r="C251" s="24" t="s">
        <v>56</v>
      </c>
      <c r="D251" s="24" t="s">
        <v>612</v>
      </c>
      <c r="E251" s="24" t="s">
        <v>163</v>
      </c>
      <c r="F251" s="24" t="s">
        <v>842</v>
      </c>
      <c r="G251" s="24" t="s">
        <v>843</v>
      </c>
      <c r="H251" s="27" t="s">
        <v>844</v>
      </c>
      <c r="I251" s="25">
        <v>0</v>
      </c>
      <c r="J251" s="25">
        <v>0</v>
      </c>
      <c r="K251" s="25">
        <v>0</v>
      </c>
      <c r="L251" s="25">
        <v>0</v>
      </c>
      <c r="M251" s="26">
        <f>I251-J251</f>
        <v>0.0</v>
      </c>
      <c r="N251" s="26">
        <f>J251-K251</f>
        <v>0.0</v>
      </c>
      <c r="O251" s="26">
        <f>I251-L251</f>
        <v>0.0</v>
      </c>
      <c r="P251" s="28">
        <f>IF(I251&gt;0,L251/I251,0)</f>
        <v>0</v>
      </c>
      <c r="Q251" s="28">
        <f>IF(I251&gt;0,K251/I251,0)</f>
        <v>0</v>
      </c>
      <c r="R251" s="24" t="str">
        <f>IF(I251&lt;=0,"Sin PIM",IF(L251/I251&gt;=Config!$B$5,"Ejecutado",IF(K251/I251&gt;=Config!$B$6,"Mayormente comprometido",IF(K251&gt;0.005,"Parcialmente comprometido",IF(J251&gt;0.005,"Solo certificado","Sin certificar")))))</f>
        <v>Sin PIM</v>
      </c>
      <c r="S251" s="24" t="str">
        <f>IF(R251="Sin certificar","Disponible",IF(R251="Solo certificado","Posible",IF(R251="Parcialmente comprometido","Parcial",IF(R251="Mayormente comprometido","Difícil",IF(R251="Ejecutado","No usar","Sin PIM")))))</f>
        <v>Sin PIM</v>
      </c>
      <c r="T251" s="26">
        <f>IF(OR(I251&lt;=0,R251="Ejecutado"),0,MAX(0,I251-K251))</f>
        <v>0.0</v>
      </c>
      <c r="U251" s="24" t="s">
        <v>105</v>
      </c>
      <c r="V251" s="25">
        <v>800000</v>
      </c>
      <c r="W251" s="25">
        <v>0</v>
      </c>
      <c r="X251" s="25">
        <v>0</v>
      </c>
      <c r="Y251" s="25">
        <v>0</v>
      </c>
      <c r="Z251" s="24" t="s">
        <v>63</v>
      </c>
      <c r="AA251" s="24" t="s">
        <v>63</v>
      </c>
      <c r="AB251" s="24" t="s">
        <v>63</v>
      </c>
      <c r="AC251" s="24" t="s">
        <v>101</v>
      </c>
    </row>
    <row r="252" spans="1:29">
      <c r="A252" s="24" t="s">
        <v>54</v>
      </c>
      <c r="B252" s="24" t="s">
        <v>55</v>
      </c>
      <c r="C252" s="24" t="s">
        <v>56</v>
      </c>
      <c r="D252" s="24" t="s">
        <v>612</v>
      </c>
      <c r="E252" s="24" t="s">
        <v>163</v>
      </c>
      <c r="F252" s="24" t="s">
        <v>845</v>
      </c>
      <c r="G252" s="24" t="s">
        <v>846</v>
      </c>
      <c r="H252" s="27" t="s">
        <v>847</v>
      </c>
      <c r="I252" s="25">
        <v>171047</v>
      </c>
      <c r="J252" s="25">
        <v>170547</v>
      </c>
      <c r="K252" s="25">
        <v>170547</v>
      </c>
      <c r="L252" s="25">
        <v>142342.18</v>
      </c>
      <c r="M252" s="26">
        <f>I252-J252</f>
        <v>500.0</v>
      </c>
      <c r="N252" s="26">
        <f>J252-K252</f>
        <v>0.0</v>
      </c>
      <c r="O252" s="26">
        <f>I252-L252</f>
        <v>28704.820000000007</v>
      </c>
      <c r="P252" s="28">
        <f>IF(I252&gt;0,L252/I252,0)</f>
        <v>0.8321816810584225</v>
      </c>
      <c r="Q252" s="28">
        <f>IF(I252&gt;0,K252/I252,0)</f>
        <v>0.9970768268370682</v>
      </c>
      <c r="R252" s="24" t="str">
        <f>IF(I252&lt;=0,"Sin PIM",IF(L252/I252&gt;=Config!$B$5,"Ejecutado",IF(K252/I252&gt;=Config!$B$6,"Mayormente comprometido",IF(K252&gt;0.005,"Parcialmente comprometido",IF(J252&gt;0.005,"Solo certificado","Sin certificar")))))</f>
        <v>Mayormente comprometido</v>
      </c>
      <c r="S252" s="24" t="str">
        <f>IF(R252="Sin certificar","Disponible",IF(R252="Solo certificado","Posible",IF(R252="Parcialmente comprometido","Parcial",IF(R252="Mayormente comprometido","Difícil",IF(R252="Ejecutado","No usar","Sin PIM")))))</f>
        <v>Difícil</v>
      </c>
      <c r="T252" s="26">
        <f>IF(OR(I252&lt;=0,R252="Ejecutado"),0,MAX(0,I252-K252))</f>
        <v>500.0</v>
      </c>
      <c r="U252" s="24" t="s">
        <v>123</v>
      </c>
      <c r="V252" s="25">
        <v>800000</v>
      </c>
      <c r="W252" s="25">
        <v>7856258</v>
      </c>
      <c r="X252" s="25">
        <v>0</v>
      </c>
      <c r="Y252" s="25">
        <v>3000000</v>
      </c>
      <c r="Z252" s="24" t="s">
        <v>63</v>
      </c>
      <c r="AA252" s="24" t="s">
        <v>63</v>
      </c>
      <c r="AB252" s="24" t="s">
        <v>63</v>
      </c>
      <c r="AC252" s="24" t="s">
        <v>101</v>
      </c>
    </row>
    <row r="253" spans="1:29">
      <c r="A253" s="24" t="s">
        <v>54</v>
      </c>
      <c r="B253" s="24" t="s">
        <v>55</v>
      </c>
      <c r="C253" s="24" t="s">
        <v>56</v>
      </c>
      <c r="D253" s="24" t="s">
        <v>612</v>
      </c>
      <c r="E253" s="24" t="s">
        <v>163</v>
      </c>
      <c r="F253" s="24" t="s">
        <v>848</v>
      </c>
      <c r="G253" s="24" t="s">
        <v>849</v>
      </c>
      <c r="H253" s="27" t="s">
        <v>850</v>
      </c>
      <c r="I253" s="25">
        <v>840279</v>
      </c>
      <c r="J253" s="25">
        <v>668334</v>
      </c>
      <c r="K253" s="25">
        <v>668334</v>
      </c>
      <c r="L253" s="25">
        <v>535432.86</v>
      </c>
      <c r="M253" s="26">
        <f>I253-J253</f>
        <v>171945.0</v>
      </c>
      <c r="N253" s="26">
        <f>J253-K253</f>
        <v>0.0</v>
      </c>
      <c r="O253" s="26">
        <f>I253-L253</f>
        <v>304846.14</v>
      </c>
      <c r="P253" s="28">
        <f>IF(I253&gt;0,L253/I253,0)</f>
        <v>0.6372084272009654</v>
      </c>
      <c r="Q253" s="28">
        <f>IF(I253&gt;0,K253/I253,0)</f>
        <v>0.7953715373108218</v>
      </c>
      <c r="R253" s="24" t="str">
        <f>IF(I253&lt;=0,"Sin PIM",IF(L253/I253&gt;=Config!$B$5,"Ejecutado",IF(K253/I253&gt;=Config!$B$6,"Mayormente comprometido",IF(K253&gt;0.005,"Parcialmente comprometido",IF(J253&gt;0.005,"Solo certificado","Sin certificar")))))</f>
        <v>Mayormente comprometido</v>
      </c>
      <c r="S253" s="24" t="str">
        <f>IF(R253="Sin certificar","Disponible",IF(R253="Solo certificado","Posible",IF(R253="Parcialmente comprometido","Parcial",IF(R253="Mayormente comprometido","Difícil",IF(R253="Ejecutado","No usar","Sin PIM")))))</f>
        <v>Difícil</v>
      </c>
      <c r="T253" s="26">
        <f>IF(OR(I253&lt;=0,R253="Ejecutado"),0,MAX(0,I253-K253))</f>
        <v>171945.0</v>
      </c>
      <c r="U253" s="24" t="s">
        <v>123</v>
      </c>
      <c r="V253" s="25">
        <v>800000</v>
      </c>
      <c r="W253" s="25">
        <v>5485623</v>
      </c>
      <c r="X253" s="25">
        <v>0</v>
      </c>
      <c r="Y253" s="25">
        <v>1000000</v>
      </c>
      <c r="Z253" s="24" t="s">
        <v>63</v>
      </c>
      <c r="AA253" s="24" t="s">
        <v>63</v>
      </c>
      <c r="AB253" s="24" t="s">
        <v>63</v>
      </c>
      <c r="AC253" s="24" t="s">
        <v>101</v>
      </c>
    </row>
    <row r="254" spans="1:29">
      <c r="A254" s="24" t="s">
        <v>54</v>
      </c>
      <c r="B254" s="24" t="s">
        <v>55</v>
      </c>
      <c r="C254" s="24" t="s">
        <v>56</v>
      </c>
      <c r="D254" s="24" t="s">
        <v>612</v>
      </c>
      <c r="E254" s="24" t="s">
        <v>163</v>
      </c>
      <c r="F254" s="24" t="s">
        <v>851</v>
      </c>
      <c r="G254" s="24" t="s">
        <v>852</v>
      </c>
      <c r="H254" s="27" t="s">
        <v>853</v>
      </c>
      <c r="I254" s="25">
        <v>674368</v>
      </c>
      <c r="J254" s="25">
        <v>173868</v>
      </c>
      <c r="K254" s="25">
        <v>173868</v>
      </c>
      <c r="L254" s="25">
        <v>97687.86</v>
      </c>
      <c r="M254" s="26">
        <f>I254-J254</f>
        <v>500500.0</v>
      </c>
      <c r="N254" s="26">
        <f>J254-K254</f>
        <v>0.0</v>
      </c>
      <c r="O254" s="26">
        <f>I254-L254</f>
        <v>576680.14</v>
      </c>
      <c r="P254" s="28">
        <f>IF(I254&gt;0,L254/I254,0)</f>
        <v>0.14485838592578532</v>
      </c>
      <c r="Q254" s="28">
        <f>IF(I254&gt;0,K254/I254,0)</f>
        <v>0.257823621524153</v>
      </c>
      <c r="R254" s="24" t="str">
        <f>IF(I254&lt;=0,"Sin PIM",IF(L254/I254&gt;=Config!$B$5,"Ejecutado",IF(K254/I254&gt;=Config!$B$6,"Mayormente comprometido",IF(K254&gt;0.005,"Parcialmente comprometido",IF(J254&gt;0.005,"Solo certificado","Sin certificar")))))</f>
        <v>Parcialmente comprometido</v>
      </c>
      <c r="S254" s="24" t="str">
        <f>IF(R254="Sin certificar","Disponible",IF(R254="Solo certificado","Posible",IF(R254="Parcialmente comprometido","Parcial",IF(R254="Mayormente comprometido","Difícil",IF(R254="Ejecutado","No usar","Sin PIM")))))</f>
        <v>Parcial</v>
      </c>
      <c r="T254" s="26">
        <f>IF(OR(I254&lt;=0,R254="Ejecutado"),0,MAX(0,I254-K254))</f>
        <v>500500.0</v>
      </c>
      <c r="U254" s="24" t="s">
        <v>397</v>
      </c>
      <c r="V254" s="25">
        <v>800000</v>
      </c>
      <c r="W254" s="25">
        <v>8574875</v>
      </c>
      <c r="X254" s="25">
        <v>0</v>
      </c>
      <c r="Y254" s="25">
        <v>1000000</v>
      </c>
      <c r="Z254" s="24" t="s">
        <v>63</v>
      </c>
      <c r="AA254" s="24" t="s">
        <v>63</v>
      </c>
      <c r="AB254" s="24" t="s">
        <v>63</v>
      </c>
      <c r="AC254" s="24" t="s">
        <v>101</v>
      </c>
    </row>
    <row r="255" spans="1:29">
      <c r="A255" s="24" t="s">
        <v>54</v>
      </c>
      <c r="B255" s="24" t="s">
        <v>55</v>
      </c>
      <c r="C255" s="24" t="s">
        <v>56</v>
      </c>
      <c r="D255" s="24" t="s">
        <v>612</v>
      </c>
      <c r="E255" s="24" t="s">
        <v>163</v>
      </c>
      <c r="F255" s="24" t="s">
        <v>854</v>
      </c>
      <c r="G255" s="24" t="s">
        <v>855</v>
      </c>
      <c r="H255" s="27" t="s">
        <v>856</v>
      </c>
      <c r="I255" s="25">
        <v>520686</v>
      </c>
      <c r="J255" s="25">
        <v>519936</v>
      </c>
      <c r="K255" s="25">
        <v>519936</v>
      </c>
      <c r="L255" s="25">
        <v>468290.9500000001</v>
      </c>
      <c r="M255" s="26">
        <f>I255-J255</f>
        <v>750.0</v>
      </c>
      <c r="N255" s="26">
        <f>J255-K255</f>
        <v>0.0</v>
      </c>
      <c r="O255" s="26">
        <f>I255-L255</f>
        <v>52395.04999999993</v>
      </c>
      <c r="P255" s="28">
        <f>IF(I255&gt;0,L255/I255,0)</f>
        <v>0.899373038645172</v>
      </c>
      <c r="Q255" s="28">
        <f>IF(I255&gt;0,K255/I255,0)</f>
        <v>0.998559592537537</v>
      </c>
      <c r="R255" s="24" t="str">
        <f>IF(I255&lt;=0,"Sin PIM",IF(L255/I255&gt;=Config!$B$5,"Ejecutado",IF(K255/I255&gt;=Config!$B$6,"Mayormente comprometido",IF(K255&gt;0.005,"Parcialmente comprometido",IF(J255&gt;0.005,"Solo certificado","Sin certificar")))))</f>
        <v>Mayormente comprometido</v>
      </c>
      <c r="S255" s="24" t="str">
        <f>IF(R255="Sin certificar","Disponible",IF(R255="Solo certificado","Posible",IF(R255="Parcialmente comprometido","Parcial",IF(R255="Mayormente comprometido","Difícil",IF(R255="Ejecutado","No usar","Sin PIM")))))</f>
        <v>Difícil</v>
      </c>
      <c r="T255" s="26">
        <f>IF(OR(I255&lt;=0,R255="Ejecutado"),0,MAX(0,I255-K255))</f>
        <v>750.0</v>
      </c>
      <c r="U255" s="24" t="s">
        <v>123</v>
      </c>
      <c r="V255" s="25">
        <v>800000</v>
      </c>
      <c r="W255" s="25">
        <v>5500000</v>
      </c>
      <c r="X255" s="25">
        <v>0</v>
      </c>
      <c r="Y255" s="25">
        <v>1000000</v>
      </c>
      <c r="Z255" s="24" t="s">
        <v>63</v>
      </c>
      <c r="AA255" s="24" t="s">
        <v>63</v>
      </c>
      <c r="AB255" s="24" t="s">
        <v>63</v>
      </c>
      <c r="AC255" s="24" t="s">
        <v>101</v>
      </c>
    </row>
    <row r="256" spans="1:29">
      <c r="A256" s="24" t="s">
        <v>54</v>
      </c>
      <c r="B256" s="24" t="s">
        <v>55</v>
      </c>
      <c r="C256" s="24" t="s">
        <v>56</v>
      </c>
      <c r="D256" s="24" t="s">
        <v>612</v>
      </c>
      <c r="E256" s="24" t="s">
        <v>163</v>
      </c>
      <c r="F256" s="24" t="s">
        <v>857</v>
      </c>
      <c r="G256" s="24" t="s">
        <v>858</v>
      </c>
      <c r="H256" s="27" t="s">
        <v>859</v>
      </c>
      <c r="I256" s="25">
        <v>321536</v>
      </c>
      <c r="J256" s="25">
        <v>319536</v>
      </c>
      <c r="K256" s="25">
        <v>319536</v>
      </c>
      <c r="L256" s="25">
        <v>219666.12</v>
      </c>
      <c r="M256" s="26">
        <f>I256-J256</f>
        <v>2000.0</v>
      </c>
      <c r="N256" s="26">
        <f>J256-K256</f>
        <v>0.0</v>
      </c>
      <c r="O256" s="26">
        <f>I256-L256</f>
        <v>101869.88</v>
      </c>
      <c r="P256" s="28">
        <f>IF(I256&gt;0,L256/I256,0)</f>
        <v>0.6831773736066878</v>
      </c>
      <c r="Q256" s="28">
        <f>IF(I256&gt;0,K256/I256,0)</f>
        <v>0.9937798566878981</v>
      </c>
      <c r="R256" s="24" t="str">
        <f>IF(I256&lt;=0,"Sin PIM",IF(L256/I256&gt;=Config!$B$5,"Ejecutado",IF(K256/I256&gt;=Config!$B$6,"Mayormente comprometido",IF(K256&gt;0.005,"Parcialmente comprometido",IF(J256&gt;0.005,"Solo certificado","Sin certificar")))))</f>
        <v>Mayormente comprometido</v>
      </c>
      <c r="S256" s="24" t="str">
        <f>IF(R256="Sin certificar","Disponible",IF(R256="Solo certificado","Posible",IF(R256="Parcialmente comprometido","Parcial",IF(R256="Mayormente comprometido","Difícil",IF(R256="Ejecutado","No usar","Sin PIM")))))</f>
        <v>Difícil</v>
      </c>
      <c r="T256" s="26">
        <f>IF(OR(I256&lt;=0,R256="Ejecutado"),0,MAX(0,I256-K256))</f>
        <v>2000.0</v>
      </c>
      <c r="U256" s="24" t="s">
        <v>123</v>
      </c>
      <c r="V256" s="25">
        <v>157636</v>
      </c>
      <c r="W256" s="25">
        <v>12958615</v>
      </c>
      <c r="X256" s="25">
        <v>0</v>
      </c>
      <c r="Y256" s="25">
        <v>6000000</v>
      </c>
      <c r="Z256" s="24" t="s">
        <v>63</v>
      </c>
      <c r="AA256" s="24" t="s">
        <v>63</v>
      </c>
      <c r="AB256" s="24" t="s">
        <v>63</v>
      </c>
      <c r="AC256" s="24" t="s">
        <v>101</v>
      </c>
    </row>
    <row r="257" spans="1:29">
      <c r="A257" s="24" t="s">
        <v>54</v>
      </c>
      <c r="B257" s="24" t="s">
        <v>55</v>
      </c>
      <c r="C257" s="24" t="s">
        <v>56</v>
      </c>
      <c r="D257" s="24" t="s">
        <v>612</v>
      </c>
      <c r="E257" s="24" t="s">
        <v>163</v>
      </c>
      <c r="F257" s="24" t="s">
        <v>860</v>
      </c>
      <c r="G257" s="24" t="s">
        <v>861</v>
      </c>
      <c r="H257" s="27" t="s">
        <v>862</v>
      </c>
      <c r="I257" s="25">
        <v>230847</v>
      </c>
      <c r="J257" s="25">
        <v>230597</v>
      </c>
      <c r="K257" s="25">
        <v>230597</v>
      </c>
      <c r="L257" s="25">
        <v>178545.33</v>
      </c>
      <c r="M257" s="26">
        <f>I257-J257</f>
        <v>250.0</v>
      </c>
      <c r="N257" s="26">
        <f>J257-K257</f>
        <v>0.0</v>
      </c>
      <c r="O257" s="26">
        <f>I257-L257</f>
        <v>52301.669999999984</v>
      </c>
      <c r="P257" s="28">
        <f>IF(I257&gt;0,L257/I257,0)</f>
        <v>0.7734357821414184</v>
      </c>
      <c r="Q257" s="28">
        <f>IF(I257&gt;0,K257/I257,0)</f>
        <v>0.9989170316270084</v>
      </c>
      <c r="R257" s="24" t="str">
        <f>IF(I257&lt;=0,"Sin PIM",IF(L257/I257&gt;=Config!$B$5,"Ejecutado",IF(K257/I257&gt;=Config!$B$6,"Mayormente comprometido",IF(K257&gt;0.005,"Parcialmente comprometido",IF(J257&gt;0.005,"Solo certificado","Sin certificar")))))</f>
        <v>Mayormente comprometido</v>
      </c>
      <c r="S257" s="24" t="str">
        <f>IF(R257="Sin certificar","Disponible",IF(R257="Solo certificado","Posible",IF(R257="Parcialmente comprometido","Parcial",IF(R257="Mayormente comprometido","Difícil",IF(R257="Ejecutado","No usar","Sin PIM")))))</f>
        <v>Difícil</v>
      </c>
      <c r="T257" s="26">
        <f>IF(OR(I257&lt;=0,R257="Ejecutado"),0,MAX(0,I257-K257))</f>
        <v>250.0</v>
      </c>
      <c r="U257" s="24" t="s">
        <v>123</v>
      </c>
      <c r="V257" s="25">
        <v>800000</v>
      </c>
      <c r="W257" s="25">
        <v>0</v>
      </c>
      <c r="X257" s="25">
        <v>0</v>
      </c>
      <c r="Y257" s="25">
        <v>1000000</v>
      </c>
      <c r="Z257" s="24" t="s">
        <v>63</v>
      </c>
      <c r="AA257" s="24" t="s">
        <v>63</v>
      </c>
      <c r="AB257" s="24" t="s">
        <v>63</v>
      </c>
      <c r="AC257" s="24" t="s">
        <v>101</v>
      </c>
    </row>
    <row r="258" spans="1:29">
      <c r="A258" s="24" t="s">
        <v>54</v>
      </c>
      <c r="B258" s="24" t="s">
        <v>55</v>
      </c>
      <c r="C258" s="24" t="s">
        <v>56</v>
      </c>
      <c r="D258" s="24" t="s">
        <v>612</v>
      </c>
      <c r="E258" s="24" t="s">
        <v>163</v>
      </c>
      <c r="F258" s="24" t="s">
        <v>863</v>
      </c>
      <c r="G258" s="24" t="s">
        <v>864</v>
      </c>
      <c r="H258" s="27" t="s">
        <v>865</v>
      </c>
      <c r="I258" s="25">
        <v>349206</v>
      </c>
      <c r="J258" s="25">
        <v>349206</v>
      </c>
      <c r="K258" s="25">
        <v>294147.4</v>
      </c>
      <c r="L258" s="25">
        <v>281441.1</v>
      </c>
      <c r="M258" s="26">
        <f>I258-J258</f>
        <v>0.0</v>
      </c>
      <c r="N258" s="26">
        <f>J258-K258</f>
        <v>55058.59999999998</v>
      </c>
      <c r="O258" s="26">
        <f>I258-L258</f>
        <v>67764.90000000002</v>
      </c>
      <c r="P258" s="28">
        <f>IF(I258&gt;0,L258/I258,0)</f>
        <v>0.8059457741275923</v>
      </c>
      <c r="Q258" s="28">
        <f>IF(I258&gt;0,K258/I258,0)</f>
        <v>0.8423320332411243</v>
      </c>
      <c r="R258" s="24" t="str">
        <f>IF(I258&lt;=0,"Sin PIM",IF(L258/I258&gt;=Config!$B$5,"Ejecutado",IF(K258/I258&gt;=Config!$B$6,"Mayormente comprometido",IF(K258&gt;0.005,"Parcialmente comprometido",IF(J258&gt;0.005,"Solo certificado","Sin certificar")))))</f>
        <v>Mayormente comprometido</v>
      </c>
      <c r="S258" s="24" t="str">
        <f>IF(R258="Sin certificar","Disponible",IF(R258="Solo certificado","Posible",IF(R258="Parcialmente comprometido","Parcial",IF(R258="Mayormente comprometido","Difícil",IF(R258="Ejecutado","No usar","Sin PIM")))))</f>
        <v>Difícil</v>
      </c>
      <c r="T258" s="26">
        <f>IF(OR(I258&lt;=0,R258="Ejecutado"),0,MAX(0,I258-K258))</f>
        <v>55058.59999999998</v>
      </c>
      <c r="U258" s="24" t="s">
        <v>123</v>
      </c>
      <c r="V258" s="25">
        <v>800000</v>
      </c>
      <c r="W258" s="25">
        <v>354785</v>
      </c>
      <c r="X258" s="25">
        <v>0</v>
      </c>
      <c r="Y258" s="25">
        <v>500000</v>
      </c>
      <c r="Z258" s="24" t="s">
        <v>63</v>
      </c>
      <c r="AA258" s="24" t="s">
        <v>63</v>
      </c>
      <c r="AB258" s="24" t="s">
        <v>63</v>
      </c>
      <c r="AC258" s="24" t="s">
        <v>101</v>
      </c>
    </row>
    <row r="259" spans="1:29">
      <c r="A259" s="24" t="s">
        <v>54</v>
      </c>
      <c r="B259" s="24" t="s">
        <v>55</v>
      </c>
      <c r="C259" s="24" t="s">
        <v>56</v>
      </c>
      <c r="D259" s="24" t="s">
        <v>612</v>
      </c>
      <c r="E259" s="24" t="s">
        <v>163</v>
      </c>
      <c r="F259" s="24" t="s">
        <v>866</v>
      </c>
      <c r="G259" s="24" t="s">
        <v>867</v>
      </c>
      <c r="H259" s="27" t="s">
        <v>868</v>
      </c>
      <c r="I259" s="25">
        <v>239379</v>
      </c>
      <c r="J259" s="25">
        <v>211500</v>
      </c>
      <c r="K259" s="25">
        <v>211500</v>
      </c>
      <c r="L259" s="25">
        <v>95146.60000000001</v>
      </c>
      <c r="M259" s="26">
        <f>I259-J259</f>
        <v>27879.0</v>
      </c>
      <c r="N259" s="26">
        <f>J259-K259</f>
        <v>0.0</v>
      </c>
      <c r="O259" s="26">
        <f>I259-L259</f>
        <v>144232.4</v>
      </c>
      <c r="P259" s="28">
        <f>IF(I259&gt;0,L259/I259,0)</f>
        <v>0.3974726270892602</v>
      </c>
      <c r="Q259" s="28">
        <f>IF(I259&gt;0,K259/I259,0)</f>
        <v>0.8835361497875753</v>
      </c>
      <c r="R259" s="24" t="str">
        <f>IF(I259&lt;=0,"Sin PIM",IF(L259/I259&gt;=Config!$B$5,"Ejecutado",IF(K259/I259&gt;=Config!$B$6,"Mayormente comprometido",IF(K259&gt;0.005,"Parcialmente comprometido",IF(J259&gt;0.005,"Solo certificado","Sin certificar")))))</f>
        <v>Mayormente comprometido</v>
      </c>
      <c r="S259" s="24" t="str">
        <f>IF(R259="Sin certificar","Disponible",IF(R259="Solo certificado","Posible",IF(R259="Parcialmente comprometido","Parcial",IF(R259="Mayormente comprometido","Difícil",IF(R259="Ejecutado","No usar","Sin PIM")))))</f>
        <v>Difícil</v>
      </c>
      <c r="T259" s="26">
        <f>IF(OR(I259&lt;=0,R259="Ejecutado"),0,MAX(0,I259-K259))</f>
        <v>27879.0</v>
      </c>
      <c r="U259" s="24" t="s">
        <v>123</v>
      </c>
      <c r="V259" s="25">
        <v>500000</v>
      </c>
      <c r="W259" s="25">
        <v>251485</v>
      </c>
      <c r="X259" s="25">
        <v>0</v>
      </c>
      <c r="Y259" s="25">
        <v>960621</v>
      </c>
      <c r="Z259" s="24" t="s">
        <v>63</v>
      </c>
      <c r="AA259" s="24" t="s">
        <v>63</v>
      </c>
      <c r="AB259" s="24" t="s">
        <v>63</v>
      </c>
      <c r="AC259" s="24" t="s">
        <v>101</v>
      </c>
    </row>
    <row r="260" spans="1:29">
      <c r="A260" s="24" t="s">
        <v>54</v>
      </c>
      <c r="B260" s="24" t="s">
        <v>55</v>
      </c>
      <c r="C260" s="24" t="s">
        <v>56</v>
      </c>
      <c r="D260" s="24" t="s">
        <v>612</v>
      </c>
      <c r="E260" s="24" t="s">
        <v>163</v>
      </c>
      <c r="F260" s="24" t="s">
        <v>869</v>
      </c>
      <c r="G260" s="24" t="s">
        <v>870</v>
      </c>
      <c r="H260" s="27" t="s">
        <v>871</v>
      </c>
      <c r="I260" s="25">
        <v>118786</v>
      </c>
      <c r="J260" s="25">
        <v>112400</v>
      </c>
      <c r="K260" s="25">
        <v>82400</v>
      </c>
      <c r="L260" s="25">
        <v>76261.17999999999</v>
      </c>
      <c r="M260" s="26">
        <f>I260-J260</f>
        <v>6386.0</v>
      </c>
      <c r="N260" s="26">
        <f>J260-K260</f>
        <v>30000.0</v>
      </c>
      <c r="O260" s="26">
        <f>I260-L260</f>
        <v>42524.82000000001</v>
      </c>
      <c r="P260" s="28">
        <f>IF(I260&gt;0,L260/I260,0)</f>
        <v>0.642004781708282</v>
      </c>
      <c r="Q260" s="28">
        <f>IF(I260&gt;0,K260/I260,0)</f>
        <v>0.693684440927382</v>
      </c>
      <c r="R260" s="24" t="str">
        <f>IF(I260&lt;=0,"Sin PIM",IF(L260/I260&gt;=Config!$B$5,"Ejecutado",IF(K260/I260&gt;=Config!$B$6,"Mayormente comprometido",IF(K260&gt;0.005,"Parcialmente comprometido",IF(J260&gt;0.005,"Solo certificado","Sin certificar")))))</f>
        <v>Mayormente comprometido</v>
      </c>
      <c r="S260" s="24" t="str">
        <f>IF(R260="Sin certificar","Disponible",IF(R260="Solo certificado","Posible",IF(R260="Parcialmente comprometido","Parcial",IF(R260="Mayormente comprometido","Difícil",IF(R260="Ejecutado","No usar","Sin PIM")))))</f>
        <v>Difícil</v>
      </c>
      <c r="T260" s="26">
        <f>IF(OR(I260&lt;=0,R260="Ejecutado"),0,MAX(0,I260-K260))</f>
        <v>36386.0</v>
      </c>
      <c r="U260" s="24" t="s">
        <v>123</v>
      </c>
      <c r="V260" s="25">
        <v>800000</v>
      </c>
      <c r="W260" s="25">
        <v>854254</v>
      </c>
      <c r="X260" s="25">
        <v>0</v>
      </c>
      <c r="Y260" s="25">
        <v>1000000</v>
      </c>
      <c r="Z260" s="24" t="s">
        <v>63</v>
      </c>
      <c r="AA260" s="24" t="s">
        <v>63</v>
      </c>
      <c r="AB260" s="24" t="s">
        <v>63</v>
      </c>
      <c r="AC260" s="24" t="s">
        <v>101</v>
      </c>
    </row>
    <row r="261" spans="1:29">
      <c r="A261" s="24" t="s">
        <v>54</v>
      </c>
      <c r="B261" s="24" t="s">
        <v>55</v>
      </c>
      <c r="C261" s="24" t="s">
        <v>56</v>
      </c>
      <c r="D261" s="24" t="s">
        <v>612</v>
      </c>
      <c r="E261" s="24" t="s">
        <v>163</v>
      </c>
      <c r="F261" s="24" t="s">
        <v>872</v>
      </c>
      <c r="G261" s="24" t="s">
        <v>873</v>
      </c>
      <c r="H261" s="27" t="s">
        <v>874</v>
      </c>
      <c r="I261" s="25">
        <v>141416</v>
      </c>
      <c r="J261" s="25">
        <v>130450</v>
      </c>
      <c r="K261" s="25">
        <v>100950</v>
      </c>
      <c r="L261" s="25">
        <v>91615.61</v>
      </c>
      <c r="M261" s="26">
        <f>I261-J261</f>
        <v>10966.0</v>
      </c>
      <c r="N261" s="26">
        <f>J261-K261</f>
        <v>29500.0</v>
      </c>
      <c r="O261" s="26">
        <f>I261-L261</f>
        <v>49800.39</v>
      </c>
      <c r="P261" s="28">
        <f>IF(I261&gt;0,L261/I261,0)</f>
        <v>0.6478447276121514</v>
      </c>
      <c r="Q261" s="28">
        <f>IF(I261&gt;0,K261/I261,0)</f>
        <v>0.7138513322396334</v>
      </c>
      <c r="R261" s="24" t="str">
        <f>IF(I261&lt;=0,"Sin PIM",IF(L261/I261&gt;=Config!$B$5,"Ejecutado",IF(K261/I261&gt;=Config!$B$6,"Mayormente comprometido",IF(K261&gt;0.005,"Parcialmente comprometido",IF(J261&gt;0.005,"Solo certificado","Sin certificar")))))</f>
        <v>Mayormente comprometido</v>
      </c>
      <c r="S261" s="24" t="str">
        <f>IF(R261="Sin certificar","Disponible",IF(R261="Solo certificado","Posible",IF(R261="Parcialmente comprometido","Parcial",IF(R261="Mayormente comprometido","Difícil",IF(R261="Ejecutado","No usar","Sin PIM")))))</f>
        <v>Difícil</v>
      </c>
      <c r="T261" s="26">
        <f>IF(OR(I261&lt;=0,R261="Ejecutado"),0,MAX(0,I261-K261))</f>
        <v>40466.0</v>
      </c>
      <c r="U261" s="24" t="s">
        <v>123</v>
      </c>
      <c r="V261" s="25">
        <v>583691</v>
      </c>
      <c r="W261" s="25">
        <v>7526548</v>
      </c>
      <c r="X261" s="25">
        <v>0</v>
      </c>
      <c r="Y261" s="25">
        <v>0</v>
      </c>
      <c r="Z261" s="24" t="s">
        <v>63</v>
      </c>
      <c r="AA261" s="24" t="s">
        <v>63</v>
      </c>
      <c r="AB261" s="24" t="s">
        <v>63</v>
      </c>
      <c r="AC261" s="24" t="s">
        <v>101</v>
      </c>
    </row>
    <row r="262" spans="1:29">
      <c r="A262" s="24" t="s">
        <v>54</v>
      </c>
      <c r="B262" s="24" t="s">
        <v>55</v>
      </c>
      <c r="C262" s="24" t="s">
        <v>56</v>
      </c>
      <c r="D262" s="24" t="s">
        <v>612</v>
      </c>
      <c r="E262" s="24" t="s">
        <v>163</v>
      </c>
      <c r="F262" s="24" t="s">
        <v>875</v>
      </c>
      <c r="G262" s="24" t="s">
        <v>876</v>
      </c>
      <c r="H262" s="27" t="s">
        <v>877</v>
      </c>
      <c r="I262" s="25">
        <v>230550</v>
      </c>
      <c r="J262" s="25">
        <v>189499</v>
      </c>
      <c r="K262" s="25">
        <v>183174</v>
      </c>
      <c r="L262" s="25">
        <v>146384.23</v>
      </c>
      <c r="M262" s="26">
        <f>I262-J262</f>
        <v>41051.0</v>
      </c>
      <c r="N262" s="26">
        <f>J262-K262</f>
        <v>6325.0</v>
      </c>
      <c r="O262" s="26">
        <f>I262-L262</f>
        <v>84165.77000000002</v>
      </c>
      <c r="P262" s="28">
        <f>IF(I262&gt;0,L262/I262,0)</f>
        <v>0.6349348514422033</v>
      </c>
      <c r="Q262" s="28">
        <f>IF(I262&gt;0,K262/I262,0)</f>
        <v>0.794508783344177</v>
      </c>
      <c r="R262" s="24" t="str">
        <f>IF(I262&lt;=0,"Sin PIM",IF(L262/I262&gt;=Config!$B$5,"Ejecutado",IF(K262/I262&gt;=Config!$B$6,"Mayormente comprometido",IF(K262&gt;0.005,"Parcialmente comprometido",IF(J262&gt;0.005,"Solo certificado","Sin certificar")))))</f>
        <v>Mayormente comprometido</v>
      </c>
      <c r="S262" s="24" t="str">
        <f>IF(R262="Sin certificar","Disponible",IF(R262="Solo certificado","Posible",IF(R262="Parcialmente comprometido","Parcial",IF(R262="Mayormente comprometido","Difícil",IF(R262="Ejecutado","No usar","Sin PIM")))))</f>
        <v>Difícil</v>
      </c>
      <c r="T262" s="26">
        <f>IF(OR(I262&lt;=0,R262="Ejecutado"),0,MAX(0,I262-K262))</f>
        <v>47376.0</v>
      </c>
      <c r="U262" s="24" t="s">
        <v>123</v>
      </c>
      <c r="V262" s="25">
        <v>800000</v>
      </c>
      <c r="W262" s="25">
        <v>0</v>
      </c>
      <c r="X262" s="25">
        <v>0</v>
      </c>
      <c r="Y262" s="25">
        <v>1000000</v>
      </c>
      <c r="Z262" s="24" t="s">
        <v>63</v>
      </c>
      <c r="AA262" s="24" t="s">
        <v>63</v>
      </c>
      <c r="AB262" s="24" t="s">
        <v>63</v>
      </c>
      <c r="AC262" s="24" t="s">
        <v>101</v>
      </c>
    </row>
    <row r="263" spans="1:29">
      <c r="A263" s="24" t="s">
        <v>54</v>
      </c>
      <c r="B263" s="24" t="s">
        <v>55</v>
      </c>
      <c r="C263" s="24" t="s">
        <v>56</v>
      </c>
      <c r="D263" s="24" t="s">
        <v>612</v>
      </c>
      <c r="E263" s="24" t="s">
        <v>163</v>
      </c>
      <c r="F263" s="24" t="s">
        <v>878</v>
      </c>
      <c r="G263" s="24" t="s">
        <v>879</v>
      </c>
      <c r="H263" s="27" t="s">
        <v>880</v>
      </c>
      <c r="I263" s="25">
        <v>490000</v>
      </c>
      <c r="J263" s="25">
        <v>490000</v>
      </c>
      <c r="K263" s="25">
        <v>490000</v>
      </c>
      <c r="L263" s="25">
        <v>369844.42</v>
      </c>
      <c r="M263" s="26">
        <f>I263-J263</f>
        <v>0.0</v>
      </c>
      <c r="N263" s="26">
        <f>J263-K263</f>
        <v>0.0</v>
      </c>
      <c r="O263" s="26">
        <f>I263-L263</f>
        <v>120155.57999999996</v>
      </c>
      <c r="P263" s="28">
        <f>IF(I263&gt;0,L263/I263,0)</f>
        <v>0.7547845306122449</v>
      </c>
      <c r="Q263" s="28">
        <f>IF(I263&gt;0,K263/I263,0)</f>
        <v>1.0</v>
      </c>
      <c r="R263" s="24" t="str">
        <f>IF(I263&lt;=0,"Sin PIM",IF(L263/I263&gt;=Config!$B$5,"Ejecutado",IF(K263/I263&gt;=Config!$B$6,"Mayormente comprometido",IF(K263&gt;0.005,"Parcialmente comprometido",IF(J263&gt;0.005,"Solo certificado","Sin certificar")))))</f>
        <v>Mayormente comprometido</v>
      </c>
      <c r="S263" s="24" t="str">
        <f>IF(R263="Sin certificar","Disponible",IF(R263="Solo certificado","Posible",IF(R263="Parcialmente comprometido","Parcial",IF(R263="Mayormente comprometido","Difícil",IF(R263="Ejecutado","No usar","Sin PIM")))))</f>
        <v>Difícil</v>
      </c>
      <c r="T263" s="26">
        <f>IF(OR(I263&lt;=0,R263="Ejecutado"),0,MAX(0,I263-K263))</f>
        <v>0.0</v>
      </c>
      <c r="U263" s="24" t="s">
        <v>123</v>
      </c>
      <c r="V263" s="25">
        <v>50000</v>
      </c>
      <c r="W263" s="25">
        <v>0</v>
      </c>
      <c r="X263" s="25">
        <v>0</v>
      </c>
      <c r="Y263" s="25">
        <v>0</v>
      </c>
      <c r="Z263" s="24" t="s">
        <v>63</v>
      </c>
      <c r="AA263" s="24" t="s">
        <v>63</v>
      </c>
      <c r="AB263" s="24" t="s">
        <v>63</v>
      </c>
      <c r="AC263" s="24" t="s">
        <v>101</v>
      </c>
    </row>
    <row r="264" spans="1:29">
      <c r="A264" s="24" t="s">
        <v>54</v>
      </c>
      <c r="B264" s="24" t="s">
        <v>55</v>
      </c>
      <c r="C264" s="24" t="s">
        <v>56</v>
      </c>
      <c r="D264" s="24" t="s">
        <v>612</v>
      </c>
      <c r="E264" s="24" t="s">
        <v>163</v>
      </c>
      <c r="F264" s="24" t="s">
        <v>881</v>
      </c>
      <c r="G264" s="24" t="s">
        <v>882</v>
      </c>
      <c r="H264" s="27" t="s">
        <v>883</v>
      </c>
      <c r="I264" s="25">
        <v>0</v>
      </c>
      <c r="J264" s="25">
        <v>0</v>
      </c>
      <c r="K264" s="25">
        <v>0</v>
      </c>
      <c r="L264" s="25">
        <v>0</v>
      </c>
      <c r="M264" s="26">
        <f>I264-J264</f>
        <v>0.0</v>
      </c>
      <c r="N264" s="26">
        <f>J264-K264</f>
        <v>0.0</v>
      </c>
      <c r="O264" s="26">
        <f>I264-L264</f>
        <v>0.0</v>
      </c>
      <c r="P264" s="28">
        <f>IF(I264&gt;0,L264/I264,0)</f>
        <v>0</v>
      </c>
      <c r="Q264" s="28">
        <f>IF(I264&gt;0,K264/I264,0)</f>
        <v>0</v>
      </c>
      <c r="R264" s="24" t="str">
        <f>IF(I264&lt;=0,"Sin PIM",IF(L264/I264&gt;=Config!$B$5,"Ejecutado",IF(K264/I264&gt;=Config!$B$6,"Mayormente comprometido",IF(K264&gt;0.005,"Parcialmente comprometido",IF(J264&gt;0.005,"Solo certificado","Sin certificar")))))</f>
        <v>Sin PIM</v>
      </c>
      <c r="S264" s="24" t="str">
        <f>IF(R264="Sin certificar","Disponible",IF(R264="Solo certificado","Posible",IF(R264="Parcialmente comprometido","Parcial",IF(R264="Mayormente comprometido","Difícil",IF(R264="Ejecutado","No usar","Sin PIM")))))</f>
        <v>Sin PIM</v>
      </c>
      <c r="T264" s="26">
        <f>IF(OR(I264&lt;=0,R264="Ejecutado"),0,MAX(0,I264-K264))</f>
        <v>0.0</v>
      </c>
      <c r="U264" s="24" t="s">
        <v>105</v>
      </c>
      <c r="V264" s="25">
        <v>67202</v>
      </c>
      <c r="W264" s="25">
        <v>0</v>
      </c>
      <c r="X264" s="25">
        <v>5000000</v>
      </c>
      <c r="Y264" s="25">
        <v>0</v>
      </c>
      <c r="Z264" s="24" t="s">
        <v>63</v>
      </c>
      <c r="AA264" s="24" t="s">
        <v>63</v>
      </c>
      <c r="AB264" s="24" t="s">
        <v>63</v>
      </c>
      <c r="AC264" s="24" t="s">
        <v>101</v>
      </c>
    </row>
    <row r="265" spans="1:29">
      <c r="A265" s="24" t="s">
        <v>54</v>
      </c>
      <c r="B265" s="24" t="s">
        <v>55</v>
      </c>
      <c r="C265" s="24" t="s">
        <v>56</v>
      </c>
      <c r="D265" s="24" t="s">
        <v>612</v>
      </c>
      <c r="E265" s="24" t="s">
        <v>163</v>
      </c>
      <c r="F265" s="24" t="s">
        <v>884</v>
      </c>
      <c r="G265" s="24" t="s">
        <v>885</v>
      </c>
      <c r="H265" s="27" t="s">
        <v>886</v>
      </c>
      <c r="I265" s="25">
        <v>601668</v>
      </c>
      <c r="J265" s="25">
        <v>584518</v>
      </c>
      <c r="K265" s="25">
        <v>532195</v>
      </c>
      <c r="L265" s="25">
        <v>242760.63</v>
      </c>
      <c r="M265" s="26">
        <f>I265-J265</f>
        <v>17150.0</v>
      </c>
      <c r="N265" s="26">
        <f>J265-K265</f>
        <v>52323.0</v>
      </c>
      <c r="O265" s="26">
        <f>I265-L265</f>
        <v>358907.37</v>
      </c>
      <c r="P265" s="28">
        <f>IF(I265&gt;0,L265/I265,0)</f>
        <v>0.4034793773310198</v>
      </c>
      <c r="Q265" s="28">
        <f>IF(I265&gt;0,K265/I265,0)</f>
        <v>0.8845326658555881</v>
      </c>
      <c r="R265" s="24" t="str">
        <f>IF(I265&lt;=0,"Sin PIM",IF(L265/I265&gt;=Config!$B$5,"Ejecutado",IF(K265/I265&gt;=Config!$B$6,"Mayormente comprometido",IF(K265&gt;0.005,"Parcialmente comprometido",IF(J265&gt;0.005,"Solo certificado","Sin certificar")))))</f>
        <v>Mayormente comprometido</v>
      </c>
      <c r="S265" s="24" t="str">
        <f>IF(R265="Sin certificar","Disponible",IF(R265="Solo certificado","Posible",IF(R265="Parcialmente comprometido","Parcial",IF(R265="Mayormente comprometido","Difícil",IF(R265="Ejecutado","No usar","Sin PIM")))))</f>
        <v>Difícil</v>
      </c>
      <c r="T265" s="26">
        <f>IF(OR(I265&lt;=0,R265="Ejecutado"),0,MAX(0,I265-K265))</f>
        <v>69473.0</v>
      </c>
      <c r="U265" s="24" t="s">
        <v>123</v>
      </c>
      <c r="V265" s="25">
        <v>50000</v>
      </c>
      <c r="W265" s="25">
        <v>348574</v>
      </c>
      <c r="X265" s="25">
        <v>0</v>
      </c>
      <c r="Y265" s="25">
        <v>800000</v>
      </c>
      <c r="Z265" s="24" t="s">
        <v>63</v>
      </c>
      <c r="AA265" s="24" t="s">
        <v>63</v>
      </c>
      <c r="AB265" s="24" t="s">
        <v>63</v>
      </c>
      <c r="AC265" s="24" t="s">
        <v>101</v>
      </c>
    </row>
    <row r="266" spans="1:29">
      <c r="A266" s="24" t="s">
        <v>54</v>
      </c>
      <c r="B266" s="24" t="s">
        <v>55</v>
      </c>
      <c r="C266" s="24" t="s">
        <v>56</v>
      </c>
      <c r="D266" s="24" t="s">
        <v>612</v>
      </c>
      <c r="E266" s="24" t="s">
        <v>163</v>
      </c>
      <c r="F266" s="24" t="s">
        <v>887</v>
      </c>
      <c r="G266" s="24" t="s">
        <v>888</v>
      </c>
      <c r="H266" s="27" t="s">
        <v>889</v>
      </c>
      <c r="I266" s="25">
        <v>870779</v>
      </c>
      <c r="J266" s="25">
        <v>870779</v>
      </c>
      <c r="K266" s="25">
        <v>870779</v>
      </c>
      <c r="L266" s="25">
        <v>391730.07</v>
      </c>
      <c r="M266" s="26">
        <f>I266-J266</f>
        <v>0.0</v>
      </c>
      <c r="N266" s="26">
        <f>J266-K266</f>
        <v>0.0</v>
      </c>
      <c r="O266" s="26">
        <f>I266-L266</f>
        <v>479048.93</v>
      </c>
      <c r="P266" s="28">
        <f>IF(I266&gt;0,L266/I266,0)</f>
        <v>0.4498616411282312</v>
      </c>
      <c r="Q266" s="28">
        <f>IF(I266&gt;0,K266/I266,0)</f>
        <v>1.0</v>
      </c>
      <c r="R266" s="24" t="str">
        <f>IF(I266&lt;=0,"Sin PIM",IF(L266/I266&gt;=Config!$B$5,"Ejecutado",IF(K266/I266&gt;=Config!$B$6,"Mayormente comprometido",IF(K266&gt;0.005,"Parcialmente comprometido",IF(J266&gt;0.005,"Solo certificado","Sin certificar")))))</f>
        <v>Mayormente comprometido</v>
      </c>
      <c r="S266" s="24" t="str">
        <f>IF(R266="Sin certificar","Disponible",IF(R266="Solo certificado","Posible",IF(R266="Parcialmente comprometido","Parcial",IF(R266="Mayormente comprometido","Difícil",IF(R266="Ejecutado","No usar","Sin PIM")))))</f>
        <v>Difícil</v>
      </c>
      <c r="T266" s="26">
        <f>IF(OR(I266&lt;=0,R266="Ejecutado"),0,MAX(0,I266-K266))</f>
        <v>0.0</v>
      </c>
      <c r="U266" s="24" t="s">
        <v>123</v>
      </c>
      <c r="V266" s="25">
        <v>50000</v>
      </c>
      <c r="W266" s="25">
        <v>0</v>
      </c>
      <c r="X266" s="25">
        <v>0</v>
      </c>
      <c r="Y266" s="25">
        <v>1000000</v>
      </c>
      <c r="Z266" s="24" t="s">
        <v>63</v>
      </c>
      <c r="AA266" s="24" t="s">
        <v>63</v>
      </c>
      <c r="AB266" s="24" t="s">
        <v>63</v>
      </c>
      <c r="AC266" s="24" t="s">
        <v>101</v>
      </c>
    </row>
    <row r="267" spans="1:29">
      <c r="A267" s="24" t="s">
        <v>54</v>
      </c>
      <c r="B267" s="24" t="s">
        <v>55</v>
      </c>
      <c r="C267" s="24" t="s">
        <v>56</v>
      </c>
      <c r="D267" s="24" t="s">
        <v>612</v>
      </c>
      <c r="E267" s="24" t="s">
        <v>163</v>
      </c>
      <c r="F267" s="24" t="s">
        <v>890</v>
      </c>
      <c r="G267" s="24" t="s">
        <v>891</v>
      </c>
      <c r="H267" s="27" t="s">
        <v>892</v>
      </c>
      <c r="I267" s="25">
        <v>101523</v>
      </c>
      <c r="J267" s="25">
        <v>99920.23999999999</v>
      </c>
      <c r="K267" s="25">
        <v>99920.23999999999</v>
      </c>
      <c r="L267" s="25">
        <v>99920.23999999999</v>
      </c>
      <c r="M267" s="26">
        <f>I267-J267</f>
        <v>1602.7600000000093</v>
      </c>
      <c r="N267" s="26">
        <f>J267-K267</f>
        <v>0.0</v>
      </c>
      <c r="O267" s="26">
        <f>I267-L267</f>
        <v>1602.7600000000093</v>
      </c>
      <c r="P267" s="28">
        <f>IF(I267&gt;0,L267/I267,0)</f>
        <v>0.9842128384701003</v>
      </c>
      <c r="Q267" s="28">
        <f>IF(I267&gt;0,K267/I267,0)</f>
        <v>0.9842128384701003</v>
      </c>
      <c r="R267" s="24" t="str">
        <f>IF(I267&lt;=0,"Sin PIM",IF(L267/I267&gt;=Config!$B$5,"Ejecutado",IF(K267/I267&gt;=Config!$B$6,"Mayormente comprometido",IF(K267&gt;0.005,"Parcialmente comprometido",IF(J267&gt;0.005,"Solo certificado","Sin certificar")))))</f>
        <v>Ejecutado</v>
      </c>
      <c r="S267" s="24" t="str">
        <f>IF(R267="Sin certificar","Disponible",IF(R267="Solo certificado","Posible",IF(R267="Parcialmente comprometido","Parcial",IF(R267="Mayormente comprometido","Difícil",IF(R267="Ejecutado","No usar","Sin PIM")))))</f>
        <v>No usar</v>
      </c>
      <c r="T267" s="26">
        <f>IF(OR(I267&lt;=0,R267="Ejecutado"),0,MAX(0,I267-K267))</f>
        <v>0.0</v>
      </c>
      <c r="U267" s="24" t="s">
        <v>123</v>
      </c>
      <c r="V267" s="25">
        <v>50000</v>
      </c>
      <c r="W267" s="25">
        <v>2859865</v>
      </c>
      <c r="X267" s="25">
        <v>0</v>
      </c>
      <c r="Y267" s="25">
        <v>2881732</v>
      </c>
      <c r="Z267" s="24" t="s">
        <v>63</v>
      </c>
      <c r="AA267" s="24" t="s">
        <v>63</v>
      </c>
      <c r="AB267" s="24" t="s">
        <v>63</v>
      </c>
      <c r="AC267" s="24" t="s">
        <v>101</v>
      </c>
    </row>
    <row r="268" spans="1:29">
      <c r="A268" s="24" t="s">
        <v>54</v>
      </c>
      <c r="B268" s="24" t="s">
        <v>55</v>
      </c>
      <c r="C268" s="24" t="s">
        <v>56</v>
      </c>
      <c r="D268" s="24" t="s">
        <v>612</v>
      </c>
      <c r="E268" s="24" t="s">
        <v>163</v>
      </c>
      <c r="F268" s="24" t="s">
        <v>893</v>
      </c>
      <c r="G268" s="24" t="s">
        <v>894</v>
      </c>
      <c r="H268" s="27" t="s">
        <v>895</v>
      </c>
      <c r="I268" s="25">
        <v>0</v>
      </c>
      <c r="J268" s="25">
        <v>0</v>
      </c>
      <c r="K268" s="25">
        <v>0</v>
      </c>
      <c r="L268" s="25">
        <v>0</v>
      </c>
      <c r="M268" s="26">
        <f>I268-J268</f>
        <v>0.0</v>
      </c>
      <c r="N268" s="26">
        <f>J268-K268</f>
        <v>0.0</v>
      </c>
      <c r="O268" s="26">
        <f>I268-L268</f>
        <v>0.0</v>
      </c>
      <c r="P268" s="28">
        <f>IF(I268&gt;0,L268/I268,0)</f>
        <v>0</v>
      </c>
      <c r="Q268" s="28">
        <f>IF(I268&gt;0,K268/I268,0)</f>
        <v>0</v>
      </c>
      <c r="R268" s="24" t="str">
        <f>IF(I268&lt;=0,"Sin PIM",IF(L268/I268&gt;=Config!$B$5,"Ejecutado",IF(K268/I268&gt;=Config!$B$6,"Mayormente comprometido",IF(K268&gt;0.005,"Parcialmente comprometido",IF(J268&gt;0.005,"Solo certificado","Sin certificar")))))</f>
        <v>Sin PIM</v>
      </c>
      <c r="S268" s="24" t="str">
        <f>IF(R268="Sin certificar","Disponible",IF(R268="Solo certificado","Posible",IF(R268="Parcialmente comprometido","Parcial",IF(R268="Mayormente comprometido","Difícil",IF(R268="Ejecutado","No usar","Sin PIM")))))</f>
        <v>Sin PIM</v>
      </c>
      <c r="T268" s="26">
        <f>IF(OR(I268&lt;=0,R268="Ejecutado"),0,MAX(0,I268-K268))</f>
        <v>0.0</v>
      </c>
      <c r="U268" s="24" t="s">
        <v>105</v>
      </c>
      <c r="V268" s="25">
        <v>800000</v>
      </c>
      <c r="W268" s="25">
        <v>0</v>
      </c>
      <c r="X268" s="25">
        <v>0</v>
      </c>
      <c r="Y268" s="25">
        <v>2500000</v>
      </c>
      <c r="Z268" s="24" t="s">
        <v>63</v>
      </c>
      <c r="AA268" s="24" t="s">
        <v>63</v>
      </c>
      <c r="AB268" s="24" t="s">
        <v>63</v>
      </c>
      <c r="AC268" s="24" t="s">
        <v>101</v>
      </c>
    </row>
    <row r="269" spans="1:29">
      <c r="A269" s="24" t="s">
        <v>54</v>
      </c>
      <c r="B269" s="24" t="s">
        <v>55</v>
      </c>
      <c r="C269" s="24" t="s">
        <v>56</v>
      </c>
      <c r="D269" s="24" t="s">
        <v>612</v>
      </c>
      <c r="E269" s="24" t="s">
        <v>163</v>
      </c>
      <c r="F269" s="24" t="s">
        <v>896</v>
      </c>
      <c r="G269" s="24" t="s">
        <v>897</v>
      </c>
      <c r="H269" s="27" t="s">
        <v>898</v>
      </c>
      <c r="I269" s="25">
        <v>300000</v>
      </c>
      <c r="J269" s="25">
        <v>300000</v>
      </c>
      <c r="K269" s="25">
        <v>300000</v>
      </c>
      <c r="L269" s="25">
        <v>0</v>
      </c>
      <c r="M269" s="26">
        <f>I269-J269</f>
        <v>0.0</v>
      </c>
      <c r="N269" s="26">
        <f>J269-K269</f>
        <v>0.0</v>
      </c>
      <c r="O269" s="26">
        <f>I269-L269</f>
        <v>300000.0</v>
      </c>
      <c r="P269" s="28">
        <f>IF(I269&gt;0,L269/I269,0)</f>
        <v>0.0</v>
      </c>
      <c r="Q269" s="28">
        <f>IF(I269&gt;0,K269/I269,0)</f>
        <v>1.0</v>
      </c>
      <c r="R269" s="24" t="str">
        <f>IF(I269&lt;=0,"Sin PIM",IF(L269/I269&gt;=Config!$B$5,"Ejecutado",IF(K269/I269&gt;=Config!$B$6,"Mayormente comprometido",IF(K269&gt;0.005,"Parcialmente comprometido",IF(J269&gt;0.005,"Solo certificado","Sin certificar")))))</f>
        <v>Mayormente comprometido</v>
      </c>
      <c r="S269" s="24" t="str">
        <f>IF(R269="Sin certificar","Disponible",IF(R269="Solo certificado","Posible",IF(R269="Parcialmente comprometido","Parcial",IF(R269="Mayormente comprometido","Difícil",IF(R269="Ejecutado","No usar","Sin PIM")))))</f>
        <v>Difícil</v>
      </c>
      <c r="T269" s="26">
        <f>IF(OR(I269&lt;=0,R269="Ejecutado"),0,MAX(0,I269-K269))</f>
        <v>0.0</v>
      </c>
      <c r="U269" s="24" t="s">
        <v>123</v>
      </c>
      <c r="V269" s="25">
        <v>50000</v>
      </c>
      <c r="W269" s="25">
        <v>200000</v>
      </c>
      <c r="X269" s="25">
        <v>0</v>
      </c>
      <c r="Y269" s="25">
        <v>2000000</v>
      </c>
      <c r="Z269" s="24" t="s">
        <v>63</v>
      </c>
      <c r="AA269" s="24" t="s">
        <v>63</v>
      </c>
      <c r="AB269" s="24" t="s">
        <v>63</v>
      </c>
      <c r="AC269" s="24" t="s">
        <v>101</v>
      </c>
    </row>
    <row r="270" spans="1:29">
      <c r="A270" s="24" t="s">
        <v>54</v>
      </c>
      <c r="B270" s="24" t="s">
        <v>55</v>
      </c>
      <c r="C270" s="24" t="s">
        <v>56</v>
      </c>
      <c r="D270" s="24" t="s">
        <v>612</v>
      </c>
      <c r="E270" s="24" t="s">
        <v>163</v>
      </c>
      <c r="F270" s="24" t="s">
        <v>899</v>
      </c>
      <c r="G270" s="24" t="s">
        <v>900</v>
      </c>
      <c r="H270" s="27" t="s">
        <v>901</v>
      </c>
      <c r="I270" s="25">
        <v>330710</v>
      </c>
      <c r="J270" s="25">
        <v>282398.95</v>
      </c>
      <c r="K270" s="25">
        <v>282398.95</v>
      </c>
      <c r="L270" s="25">
        <v>191886.54</v>
      </c>
      <c r="M270" s="26">
        <f>I270-J270</f>
        <v>48311.04999999999</v>
      </c>
      <c r="N270" s="26">
        <f>J270-K270</f>
        <v>0.0</v>
      </c>
      <c r="O270" s="26">
        <f>I270-L270</f>
        <v>138823.46000000002</v>
      </c>
      <c r="P270" s="28">
        <f>IF(I270&gt;0,L270/I270,0)</f>
        <v>0.5802259986090532</v>
      </c>
      <c r="Q270" s="28">
        <f>IF(I270&gt;0,K270/I270,0)</f>
        <v>0.853917178192374</v>
      </c>
      <c r="R270" s="24" t="str">
        <f>IF(I270&lt;=0,"Sin PIM",IF(L270/I270&gt;=Config!$B$5,"Ejecutado",IF(K270/I270&gt;=Config!$B$6,"Mayormente comprometido",IF(K270&gt;0.005,"Parcialmente comprometido",IF(J270&gt;0.005,"Solo certificado","Sin certificar")))))</f>
        <v>Mayormente comprometido</v>
      </c>
      <c r="S270" s="24" t="str">
        <f>IF(R270="Sin certificar","Disponible",IF(R270="Solo certificado","Posible",IF(R270="Parcialmente comprometido","Parcial",IF(R270="Mayormente comprometido","Difícil",IF(R270="Ejecutado","No usar","Sin PIM")))))</f>
        <v>Difícil</v>
      </c>
      <c r="T270" s="26">
        <f>IF(OR(I270&lt;=0,R270="Ejecutado"),0,MAX(0,I270-K270))</f>
        <v>48311.04999999999</v>
      </c>
      <c r="U270" s="24" t="s">
        <v>123</v>
      </c>
      <c r="V270" s="25">
        <v>50000</v>
      </c>
      <c r="W270" s="25">
        <v>358745</v>
      </c>
      <c r="X270" s="25">
        <v>0</v>
      </c>
      <c r="Y270" s="25">
        <v>200000</v>
      </c>
      <c r="Z270" s="24" t="s">
        <v>63</v>
      </c>
      <c r="AA270" s="24" t="s">
        <v>63</v>
      </c>
      <c r="AB270" s="24" t="s">
        <v>63</v>
      </c>
      <c r="AC270" s="24" t="s">
        <v>101</v>
      </c>
    </row>
    <row r="271" spans="1:29">
      <c r="A271" s="24" t="s">
        <v>54</v>
      </c>
      <c r="B271" s="24" t="s">
        <v>55</v>
      </c>
      <c r="C271" s="24" t="s">
        <v>56</v>
      </c>
      <c r="D271" s="24" t="s">
        <v>612</v>
      </c>
      <c r="E271" s="24" t="s">
        <v>163</v>
      </c>
      <c r="F271" s="24" t="s">
        <v>902</v>
      </c>
      <c r="G271" s="24" t="s">
        <v>903</v>
      </c>
      <c r="H271" s="27" t="s">
        <v>904</v>
      </c>
      <c r="I271" s="25">
        <v>50000</v>
      </c>
      <c r="J271" s="25">
        <v>49980</v>
      </c>
      <c r="K271" s="25">
        <v>49980</v>
      </c>
      <c r="L271" s="25">
        <v>49974.77</v>
      </c>
      <c r="M271" s="26">
        <f>I271-J271</f>
        <v>20.0</v>
      </c>
      <c r="N271" s="26">
        <f>J271-K271</f>
        <v>0.0</v>
      </c>
      <c r="O271" s="26">
        <f>I271-L271</f>
        <v>25.229999999995925</v>
      </c>
      <c r="P271" s="28">
        <f>IF(I271&gt;0,L271/I271,0)</f>
        <v>0.9994954</v>
      </c>
      <c r="Q271" s="28">
        <f>IF(I271&gt;0,K271/I271,0)</f>
        <v>0.9996</v>
      </c>
      <c r="R271" s="24" t="str">
        <f>IF(I271&lt;=0,"Sin PIM",IF(L271/I271&gt;=Config!$B$5,"Ejecutado",IF(K271/I271&gt;=Config!$B$6,"Mayormente comprometido",IF(K271&gt;0.005,"Parcialmente comprometido",IF(J271&gt;0.005,"Solo certificado","Sin certificar")))))</f>
        <v>Ejecutado</v>
      </c>
      <c r="S271" s="24" t="str">
        <f>IF(R271="Sin certificar","Disponible",IF(R271="Solo certificado","Posible",IF(R271="Parcialmente comprometido","Parcial",IF(R271="Mayormente comprometido","Difícil",IF(R271="Ejecutado","No usar","Sin PIM")))))</f>
        <v>No usar</v>
      </c>
      <c r="T271" s="26">
        <f>IF(OR(I271&lt;=0,R271="Ejecutado"),0,MAX(0,I271-K271))</f>
        <v>0.0</v>
      </c>
      <c r="U271" s="24" t="s">
        <v>123</v>
      </c>
      <c r="V271" s="25">
        <v>50000</v>
      </c>
      <c r="W271" s="25">
        <v>1143284</v>
      </c>
      <c r="X271" s="25">
        <v>37381</v>
      </c>
      <c r="Y271" s="25">
        <v>0</v>
      </c>
      <c r="Z271" s="24" t="s">
        <v>63</v>
      </c>
      <c r="AA271" s="24" t="s">
        <v>63</v>
      </c>
      <c r="AB271" s="24" t="s">
        <v>63</v>
      </c>
      <c r="AC271" s="24" t="s">
        <v>101</v>
      </c>
    </row>
    <row r="272" spans="1:29">
      <c r="A272" s="24" t="s">
        <v>54</v>
      </c>
      <c r="B272" s="24" t="s">
        <v>55</v>
      </c>
      <c r="C272" s="24" t="s">
        <v>56</v>
      </c>
      <c r="D272" s="24" t="s">
        <v>612</v>
      </c>
      <c r="E272" s="24" t="s">
        <v>163</v>
      </c>
      <c r="F272" s="24" t="s">
        <v>905</v>
      </c>
      <c r="G272" s="24" t="s">
        <v>906</v>
      </c>
      <c r="H272" s="27" t="s">
        <v>907</v>
      </c>
      <c r="I272" s="25">
        <v>278409</v>
      </c>
      <c r="J272" s="25">
        <v>278409</v>
      </c>
      <c r="K272" s="25">
        <v>278409</v>
      </c>
      <c r="L272" s="25">
        <v>202805.9</v>
      </c>
      <c r="M272" s="26">
        <f>I272-J272</f>
        <v>0.0</v>
      </c>
      <c r="N272" s="26">
        <f>J272-K272</f>
        <v>0.0</v>
      </c>
      <c r="O272" s="26">
        <f>I272-L272</f>
        <v>75603.1</v>
      </c>
      <c r="P272" s="28">
        <f>IF(I272&gt;0,L272/I272,0)</f>
        <v>0.7284459194925451</v>
      </c>
      <c r="Q272" s="28">
        <f>IF(I272&gt;0,K272/I272,0)</f>
        <v>1.0</v>
      </c>
      <c r="R272" s="24" t="str">
        <f>IF(I272&lt;=0,"Sin PIM",IF(L272/I272&gt;=Config!$B$5,"Ejecutado",IF(K272/I272&gt;=Config!$B$6,"Mayormente comprometido",IF(K272&gt;0.005,"Parcialmente comprometido",IF(J272&gt;0.005,"Solo certificado","Sin certificar")))))</f>
        <v>Mayormente comprometido</v>
      </c>
      <c r="S272" s="24" t="str">
        <f>IF(R272="Sin certificar","Disponible",IF(R272="Solo certificado","Posible",IF(R272="Parcialmente comprometido","Parcial",IF(R272="Mayormente comprometido","Difícil",IF(R272="Ejecutado","No usar","Sin PIM")))))</f>
        <v>Difícil</v>
      </c>
      <c r="T272" s="26">
        <f>IF(OR(I272&lt;=0,R272="Ejecutado"),0,MAX(0,I272-K272))</f>
        <v>0.0</v>
      </c>
      <c r="U272" s="24" t="s">
        <v>123</v>
      </c>
      <c r="V272" s="25">
        <v>50000</v>
      </c>
      <c r="W272" s="25">
        <v>385474</v>
      </c>
      <c r="X272" s="25">
        <v>0</v>
      </c>
      <c r="Y272" s="25">
        <v>5626284</v>
      </c>
      <c r="Z272" s="24" t="s">
        <v>63</v>
      </c>
      <c r="AA272" s="24" t="s">
        <v>63</v>
      </c>
      <c r="AB272" s="24" t="s">
        <v>63</v>
      </c>
      <c r="AC272" s="24" t="s">
        <v>101</v>
      </c>
    </row>
    <row r="273" spans="1:29">
      <c r="A273" s="24" t="s">
        <v>54</v>
      </c>
      <c r="B273" s="24" t="s">
        <v>55</v>
      </c>
      <c r="C273" s="24" t="s">
        <v>56</v>
      </c>
      <c r="D273" s="24" t="s">
        <v>612</v>
      </c>
      <c r="E273" s="24" t="s">
        <v>163</v>
      </c>
      <c r="F273" s="24" t="s">
        <v>908</v>
      </c>
      <c r="G273" s="24" t="s">
        <v>909</v>
      </c>
      <c r="H273" s="27" t="s">
        <v>910</v>
      </c>
      <c r="I273" s="25">
        <v>390297</v>
      </c>
      <c r="J273" s="25">
        <v>389428.6</v>
      </c>
      <c r="K273" s="25">
        <v>346214.6</v>
      </c>
      <c r="L273" s="25">
        <v>251034.11</v>
      </c>
      <c r="M273" s="26">
        <f>I273-J273</f>
        <v>868.4000000000233</v>
      </c>
      <c r="N273" s="26">
        <f>J273-K273</f>
        <v>43214.0</v>
      </c>
      <c r="O273" s="26">
        <f>I273-L273</f>
        <v>139262.88999999998</v>
      </c>
      <c r="P273" s="28">
        <f>IF(I273&gt;0,L273/I273,0)</f>
        <v>0.643187393190314</v>
      </c>
      <c r="Q273" s="28">
        <f>IF(I273&gt;0,K273/I273,0)</f>
        <v>0.8870542176855061</v>
      </c>
      <c r="R273" s="24" t="str">
        <f>IF(I273&lt;=0,"Sin PIM",IF(L273/I273&gt;=Config!$B$5,"Ejecutado",IF(K273/I273&gt;=Config!$B$6,"Mayormente comprometido",IF(K273&gt;0.005,"Parcialmente comprometido",IF(J273&gt;0.005,"Solo certificado","Sin certificar")))))</f>
        <v>Mayormente comprometido</v>
      </c>
      <c r="S273" s="24" t="str">
        <f>IF(R273="Sin certificar","Disponible",IF(R273="Solo certificado","Posible",IF(R273="Parcialmente comprometido","Parcial",IF(R273="Mayormente comprometido","Difícil",IF(R273="Ejecutado","No usar","Sin PIM")))))</f>
        <v>Difícil</v>
      </c>
      <c r="T273" s="26">
        <f>IF(OR(I273&lt;=0,R273="Ejecutado"),0,MAX(0,I273-K273))</f>
        <v>44082.40000000002</v>
      </c>
      <c r="U273" s="24" t="s">
        <v>123</v>
      </c>
      <c r="V273" s="25">
        <v>50000</v>
      </c>
      <c r="W273" s="25">
        <v>0</v>
      </c>
      <c r="X273" s="25">
        <v>0</v>
      </c>
      <c r="Y273" s="25">
        <v>1000000</v>
      </c>
      <c r="Z273" s="24" t="s">
        <v>63</v>
      </c>
      <c r="AA273" s="24" t="s">
        <v>63</v>
      </c>
      <c r="AB273" s="24" t="s">
        <v>63</v>
      </c>
      <c r="AC273" s="24" t="s">
        <v>101</v>
      </c>
    </row>
    <row r="274" spans="1:29">
      <c r="A274" s="24" t="s">
        <v>54</v>
      </c>
      <c r="B274" s="24" t="s">
        <v>55</v>
      </c>
      <c r="C274" s="24" t="s">
        <v>56</v>
      </c>
      <c r="D274" s="24" t="s">
        <v>612</v>
      </c>
      <c r="E274" s="24" t="s">
        <v>163</v>
      </c>
      <c r="F274" s="24" t="s">
        <v>911</v>
      </c>
      <c r="G274" s="24" t="s">
        <v>912</v>
      </c>
      <c r="H274" s="27" t="s">
        <v>913</v>
      </c>
      <c r="I274" s="25">
        <v>159651</v>
      </c>
      <c r="J274" s="25">
        <v>151653</v>
      </c>
      <c r="K274" s="25">
        <v>111653</v>
      </c>
      <c r="L274" s="25">
        <v>12000</v>
      </c>
      <c r="M274" s="26">
        <f>I274-J274</f>
        <v>7998.0</v>
      </c>
      <c r="N274" s="26">
        <f>J274-K274</f>
        <v>40000.0</v>
      </c>
      <c r="O274" s="26">
        <f>I274-L274</f>
        <v>147651.0</v>
      </c>
      <c r="P274" s="28">
        <f>IF(I274&gt;0,L274/I274,0)</f>
        <v>0.07516395136892347</v>
      </c>
      <c r="Q274" s="28">
        <f>IF(I274&gt;0,K274/I274,0)</f>
        <v>0.6993567218495343</v>
      </c>
      <c r="R274" s="24" t="str">
        <f>IF(I274&lt;=0,"Sin PIM",IF(L274/I274&gt;=Config!$B$5,"Ejecutado",IF(K274/I274&gt;=Config!$B$6,"Mayormente comprometido",IF(K274&gt;0.005,"Parcialmente comprometido",IF(J274&gt;0.005,"Solo certificado","Sin certificar")))))</f>
        <v>Mayormente comprometido</v>
      </c>
      <c r="S274" s="24" t="str">
        <f>IF(R274="Sin certificar","Disponible",IF(R274="Solo certificado","Posible",IF(R274="Parcialmente comprometido","Parcial",IF(R274="Mayormente comprometido","Difícil",IF(R274="Ejecutado","No usar","Sin PIM")))))</f>
        <v>Difícil</v>
      </c>
      <c r="T274" s="26">
        <f>IF(OR(I274&lt;=0,R274="Ejecutado"),0,MAX(0,I274-K274))</f>
        <v>47998.0</v>
      </c>
      <c r="U274" s="24" t="s">
        <v>123</v>
      </c>
      <c r="V274" s="25">
        <v>50000</v>
      </c>
      <c r="W274" s="25">
        <v>185425</v>
      </c>
      <c r="X274" s="25">
        <v>500000</v>
      </c>
      <c r="Y274" s="25">
        <v>1077676</v>
      </c>
      <c r="Z274" s="24" t="s">
        <v>63</v>
      </c>
      <c r="AA274" s="24" t="s">
        <v>63</v>
      </c>
      <c r="AB274" s="24" t="s">
        <v>63</v>
      </c>
      <c r="AC274" s="24" t="s">
        <v>101</v>
      </c>
    </row>
    <row r="275" spans="1:29">
      <c r="A275" s="24" t="s">
        <v>54</v>
      </c>
      <c r="B275" s="24" t="s">
        <v>55</v>
      </c>
      <c r="C275" s="24" t="s">
        <v>56</v>
      </c>
      <c r="D275" s="24" t="s">
        <v>612</v>
      </c>
      <c r="E275" s="24" t="s">
        <v>163</v>
      </c>
      <c r="F275" s="24" t="s">
        <v>914</v>
      </c>
      <c r="G275" s="24" t="s">
        <v>915</v>
      </c>
      <c r="H275" s="27" t="s">
        <v>916</v>
      </c>
      <c r="I275" s="25">
        <v>703231</v>
      </c>
      <c r="J275" s="25">
        <v>681293</v>
      </c>
      <c r="K275" s="25">
        <v>620093</v>
      </c>
      <c r="L275" s="25">
        <v>575338.63</v>
      </c>
      <c r="M275" s="26">
        <f>I275-J275</f>
        <v>21938.0</v>
      </c>
      <c r="N275" s="26">
        <f>J275-K275</f>
        <v>61200.0</v>
      </c>
      <c r="O275" s="26">
        <f>I275-L275</f>
        <v>127892.37</v>
      </c>
      <c r="P275" s="28">
        <f>IF(I275&gt;0,L275/I275,0)</f>
        <v>0.8181360463347037</v>
      </c>
      <c r="Q275" s="28">
        <f>IF(I275&gt;0,K275/I275,0)</f>
        <v>0.8817771116461021</v>
      </c>
      <c r="R275" s="24" t="str">
        <f>IF(I275&lt;=0,"Sin PIM",IF(L275/I275&gt;=Config!$B$5,"Ejecutado",IF(K275/I275&gt;=Config!$B$6,"Mayormente comprometido",IF(K275&gt;0.005,"Parcialmente comprometido",IF(J275&gt;0.005,"Solo certificado","Sin certificar")))))</f>
        <v>Mayormente comprometido</v>
      </c>
      <c r="S275" s="24" t="str">
        <f>IF(R275="Sin certificar","Disponible",IF(R275="Solo certificado","Posible",IF(R275="Parcialmente comprometido","Parcial",IF(R275="Mayormente comprometido","Difícil",IF(R275="Ejecutado","No usar","Sin PIM")))))</f>
        <v>Difícil</v>
      </c>
      <c r="T275" s="26">
        <f>IF(OR(I275&lt;=0,R275="Ejecutado"),0,MAX(0,I275-K275))</f>
        <v>83138.0</v>
      </c>
      <c r="U275" s="24" t="s">
        <v>123</v>
      </c>
      <c r="V275" s="25">
        <v>50000</v>
      </c>
      <c r="W275" s="25">
        <v>5548752</v>
      </c>
      <c r="X275" s="25">
        <v>0</v>
      </c>
      <c r="Y275" s="25">
        <v>1000000</v>
      </c>
      <c r="Z275" s="24" t="s">
        <v>63</v>
      </c>
      <c r="AA275" s="24" t="s">
        <v>63</v>
      </c>
      <c r="AB275" s="24" t="s">
        <v>63</v>
      </c>
      <c r="AC275" s="24" t="s">
        <v>101</v>
      </c>
    </row>
    <row r="276" spans="1:29">
      <c r="A276" s="24" t="s">
        <v>54</v>
      </c>
      <c r="B276" s="24" t="s">
        <v>55</v>
      </c>
      <c r="C276" s="24" t="s">
        <v>56</v>
      </c>
      <c r="D276" s="24" t="s">
        <v>612</v>
      </c>
      <c r="E276" s="24" t="s">
        <v>163</v>
      </c>
      <c r="F276" s="24" t="s">
        <v>917</v>
      </c>
      <c r="G276" s="24" t="s">
        <v>918</v>
      </c>
      <c r="H276" s="27" t="s">
        <v>919</v>
      </c>
      <c r="I276" s="25">
        <v>0</v>
      </c>
      <c r="J276" s="25">
        <v>0</v>
      </c>
      <c r="K276" s="25">
        <v>0</v>
      </c>
      <c r="L276" s="25">
        <v>0</v>
      </c>
      <c r="M276" s="26">
        <f>I276-J276</f>
        <v>0.0</v>
      </c>
      <c r="N276" s="26">
        <f>J276-K276</f>
        <v>0.0</v>
      </c>
      <c r="O276" s="26">
        <f>I276-L276</f>
        <v>0.0</v>
      </c>
      <c r="P276" s="28">
        <f>IF(I276&gt;0,L276/I276,0)</f>
        <v>0</v>
      </c>
      <c r="Q276" s="28">
        <f>IF(I276&gt;0,K276/I276,0)</f>
        <v>0</v>
      </c>
      <c r="R276" s="24" t="str">
        <f>IF(I276&lt;=0,"Sin PIM",IF(L276/I276&gt;=Config!$B$5,"Ejecutado",IF(K276/I276&gt;=Config!$B$6,"Mayormente comprometido",IF(K276&gt;0.005,"Parcialmente comprometido",IF(J276&gt;0.005,"Solo certificado","Sin certificar")))))</f>
        <v>Sin PIM</v>
      </c>
      <c r="S276" s="24" t="str">
        <f>IF(R276="Sin certificar","Disponible",IF(R276="Solo certificado","Posible",IF(R276="Parcialmente comprometido","Parcial",IF(R276="Mayormente comprometido","Difícil",IF(R276="Ejecutado","No usar","Sin PIM")))))</f>
        <v>Sin PIM</v>
      </c>
      <c r="T276" s="26">
        <f>IF(OR(I276&lt;=0,R276="Ejecutado"),0,MAX(0,I276-K276))</f>
        <v>0.0</v>
      </c>
      <c r="U276" s="24" t="s">
        <v>105</v>
      </c>
      <c r="V276" s="25">
        <v>50000</v>
      </c>
      <c r="W276" s="25">
        <v>0</v>
      </c>
      <c r="X276" s="25">
        <v>0</v>
      </c>
      <c r="Y276" s="25">
        <v>500000</v>
      </c>
      <c r="Z276" s="24" t="s">
        <v>63</v>
      </c>
      <c r="AA276" s="24" t="s">
        <v>63</v>
      </c>
      <c r="AB276" s="24" t="s">
        <v>63</v>
      </c>
      <c r="AC276" s="24" t="s">
        <v>101</v>
      </c>
    </row>
    <row r="277" spans="1:29">
      <c r="A277" s="24" t="s">
        <v>54</v>
      </c>
      <c r="B277" s="24" t="s">
        <v>55</v>
      </c>
      <c r="C277" s="24" t="s">
        <v>56</v>
      </c>
      <c r="D277" s="24" t="s">
        <v>612</v>
      </c>
      <c r="E277" s="24" t="s">
        <v>163</v>
      </c>
      <c r="F277" s="24" t="s">
        <v>920</v>
      </c>
      <c r="G277" s="24" t="s">
        <v>921</v>
      </c>
      <c r="H277" s="27" t="s">
        <v>922</v>
      </c>
      <c r="I277" s="25">
        <v>275790</v>
      </c>
      <c r="J277" s="25">
        <v>274001.9</v>
      </c>
      <c r="K277" s="25">
        <v>199751.9</v>
      </c>
      <c r="L277" s="25">
        <v>155654.05</v>
      </c>
      <c r="M277" s="26">
        <f>I277-J277</f>
        <v>1788.0999999999767</v>
      </c>
      <c r="N277" s="26">
        <f>J277-K277</f>
        <v>74250.00000000003</v>
      </c>
      <c r="O277" s="26">
        <f>I277-L277</f>
        <v>120135.94999999998</v>
      </c>
      <c r="P277" s="28">
        <f>IF(I277&gt;0,L277/I277,0)</f>
        <v>0.5643933790202691</v>
      </c>
      <c r="Q277" s="28">
        <f>IF(I277&gt;0,K277/I277,0)</f>
        <v>0.7242898582254614</v>
      </c>
      <c r="R277" s="24" t="str">
        <f>IF(I277&lt;=0,"Sin PIM",IF(L277/I277&gt;=Config!$B$5,"Ejecutado",IF(K277/I277&gt;=Config!$B$6,"Mayormente comprometido",IF(K277&gt;0.005,"Parcialmente comprometido",IF(J277&gt;0.005,"Solo certificado","Sin certificar")))))</f>
        <v>Mayormente comprometido</v>
      </c>
      <c r="S277" s="24" t="str">
        <f>IF(R277="Sin certificar","Disponible",IF(R277="Solo certificado","Posible",IF(R277="Parcialmente comprometido","Parcial",IF(R277="Mayormente comprometido","Difícil",IF(R277="Ejecutado","No usar","Sin PIM")))))</f>
        <v>Difícil</v>
      </c>
      <c r="T277" s="26">
        <f>IF(OR(I277&lt;=0,R277="Ejecutado"),0,MAX(0,I277-K277))</f>
        <v>76038.1</v>
      </c>
      <c r="U277" s="24" t="s">
        <v>123</v>
      </c>
      <c r="V277" s="25">
        <v>50000</v>
      </c>
      <c r="W277" s="25">
        <v>357845</v>
      </c>
      <c r="X277" s="25">
        <v>0</v>
      </c>
      <c r="Y277" s="25">
        <v>1000000</v>
      </c>
      <c r="Z277" s="24" t="s">
        <v>63</v>
      </c>
      <c r="AA277" s="24" t="s">
        <v>63</v>
      </c>
      <c r="AB277" s="24" t="s">
        <v>63</v>
      </c>
      <c r="AC277" s="24" t="s">
        <v>101</v>
      </c>
    </row>
    <row r="278" spans="1:29">
      <c r="A278" s="24" t="s">
        <v>54</v>
      </c>
      <c r="B278" s="24" t="s">
        <v>55</v>
      </c>
      <c r="C278" s="24" t="s">
        <v>56</v>
      </c>
      <c r="D278" s="24" t="s">
        <v>612</v>
      </c>
      <c r="E278" s="24" t="s">
        <v>163</v>
      </c>
      <c r="F278" s="24" t="s">
        <v>923</v>
      </c>
      <c r="G278" s="24" t="s">
        <v>924</v>
      </c>
      <c r="H278" s="27" t="s">
        <v>925</v>
      </c>
      <c r="I278" s="25">
        <v>255799</v>
      </c>
      <c r="J278" s="25">
        <v>195378.5</v>
      </c>
      <c r="K278" s="25">
        <v>192948.5</v>
      </c>
      <c r="L278" s="25">
        <v>138575.17</v>
      </c>
      <c r="M278" s="26">
        <f>I278-J278</f>
        <v>60420.5</v>
      </c>
      <c r="N278" s="26">
        <f>J278-K278</f>
        <v>2430.0</v>
      </c>
      <c r="O278" s="26">
        <f>I278-L278</f>
        <v>117223.82999999999</v>
      </c>
      <c r="P278" s="28">
        <f>IF(I278&gt;0,L278/I278,0)</f>
        <v>0.5417346041227683</v>
      </c>
      <c r="Q278" s="28">
        <f>IF(I278&gt;0,K278/I278,0)</f>
        <v>0.7542973193796692</v>
      </c>
      <c r="R278" s="24" t="str">
        <f>IF(I278&lt;=0,"Sin PIM",IF(L278/I278&gt;=Config!$B$5,"Ejecutado",IF(K278/I278&gt;=Config!$B$6,"Mayormente comprometido",IF(K278&gt;0.005,"Parcialmente comprometido",IF(J278&gt;0.005,"Solo certificado","Sin certificar")))))</f>
        <v>Mayormente comprometido</v>
      </c>
      <c r="S278" s="24" t="str">
        <f>IF(R278="Sin certificar","Disponible",IF(R278="Solo certificado","Posible",IF(R278="Parcialmente comprometido","Parcial",IF(R278="Mayormente comprometido","Difícil",IF(R278="Ejecutado","No usar","Sin PIM")))))</f>
        <v>Difícil</v>
      </c>
      <c r="T278" s="26">
        <f>IF(OR(I278&lt;=0,R278="Ejecutado"),0,MAX(0,I278-K278))</f>
        <v>62850.5</v>
      </c>
      <c r="U278" s="24" t="s">
        <v>460</v>
      </c>
      <c r="V278" s="25">
        <v>800000</v>
      </c>
      <c r="W278" s="25">
        <v>285985</v>
      </c>
      <c r="X278" s="25">
        <v>0</v>
      </c>
      <c r="Y278" s="25">
        <v>1000000</v>
      </c>
      <c r="Z278" s="24" t="s">
        <v>63</v>
      </c>
      <c r="AA278" s="24" t="s">
        <v>63</v>
      </c>
      <c r="AB278" s="24" t="s">
        <v>63</v>
      </c>
      <c r="AC278" s="24" t="s">
        <v>101</v>
      </c>
    </row>
    <row r="279" spans="1:29">
      <c r="A279" s="24" t="s">
        <v>54</v>
      </c>
      <c r="B279" s="24" t="s">
        <v>55</v>
      </c>
      <c r="C279" s="24" t="s">
        <v>56</v>
      </c>
      <c r="D279" s="24" t="s">
        <v>612</v>
      </c>
      <c r="E279" s="24" t="s">
        <v>163</v>
      </c>
      <c r="F279" s="24" t="s">
        <v>926</v>
      </c>
      <c r="G279" s="24" t="s">
        <v>927</v>
      </c>
      <c r="H279" s="27" t="s">
        <v>928</v>
      </c>
      <c r="I279" s="25">
        <v>222962</v>
      </c>
      <c r="J279" s="25">
        <v>193349.5</v>
      </c>
      <c r="K279" s="25">
        <v>193349.5</v>
      </c>
      <c r="L279" s="25">
        <v>193266.31</v>
      </c>
      <c r="M279" s="26">
        <f>I279-J279</f>
        <v>29612.5</v>
      </c>
      <c r="N279" s="26">
        <f>J279-K279</f>
        <v>0.0</v>
      </c>
      <c r="O279" s="26">
        <f>I279-L279</f>
        <v>29695.689999999973</v>
      </c>
      <c r="P279" s="28">
        <f>IF(I279&gt;0,L279/I279,0)</f>
        <v>0.8668127752711225</v>
      </c>
      <c r="Q279" s="28">
        <f>IF(I279&gt;0,K279/I279,0)</f>
        <v>0.8671858881782546</v>
      </c>
      <c r="R279" s="24" t="str">
        <f>IF(I279&lt;=0,"Sin PIM",IF(L279/I279&gt;=Config!$B$5,"Ejecutado",IF(K279/I279&gt;=Config!$B$6,"Mayormente comprometido",IF(K279&gt;0.005,"Parcialmente comprometido",IF(J279&gt;0.005,"Solo certificado","Sin certificar")))))</f>
        <v>Mayormente comprometido</v>
      </c>
      <c r="S279" s="24" t="str">
        <f>IF(R279="Sin certificar","Disponible",IF(R279="Solo certificado","Posible",IF(R279="Parcialmente comprometido","Parcial",IF(R279="Mayormente comprometido","Difícil",IF(R279="Ejecutado","No usar","Sin PIM")))))</f>
        <v>Difícil</v>
      </c>
      <c r="T279" s="26">
        <f>IF(OR(I279&lt;=0,R279="Ejecutado"),0,MAX(0,I279-K279))</f>
        <v>29612.5</v>
      </c>
      <c r="U279" s="24" t="s">
        <v>123</v>
      </c>
      <c r="V279" s="25">
        <v>50000</v>
      </c>
      <c r="W279" s="25">
        <v>248565</v>
      </c>
      <c r="X279" s="25">
        <v>0</v>
      </c>
      <c r="Y279" s="25">
        <v>500000</v>
      </c>
      <c r="Z279" s="24" t="s">
        <v>63</v>
      </c>
      <c r="AA279" s="24" t="s">
        <v>63</v>
      </c>
      <c r="AB279" s="24" t="s">
        <v>63</v>
      </c>
      <c r="AC279" s="24" t="s">
        <v>101</v>
      </c>
    </row>
    <row r="280" spans="1:29">
      <c r="A280" s="24" t="s">
        <v>54</v>
      </c>
      <c r="B280" s="24" t="s">
        <v>55</v>
      </c>
      <c r="C280" s="24" t="s">
        <v>56</v>
      </c>
      <c r="D280" s="24" t="s">
        <v>612</v>
      </c>
      <c r="E280" s="24" t="s">
        <v>163</v>
      </c>
      <c r="F280" s="24" t="s">
        <v>193</v>
      </c>
      <c r="G280" s="24" t="s">
        <v>929</v>
      </c>
      <c r="H280" s="27" t="s">
        <v>195</v>
      </c>
      <c r="I280" s="25">
        <v>1308901</v>
      </c>
      <c r="J280" s="25">
        <v>1298673.22</v>
      </c>
      <c r="K280" s="25">
        <v>9487.219999999999</v>
      </c>
      <c r="L280" s="25">
        <v>8087.22</v>
      </c>
      <c r="M280" s="26">
        <f>I280-J280</f>
        <v>10227.780000000028</v>
      </c>
      <c r="N280" s="26">
        <f>J280-K280</f>
        <v>1289186.0</v>
      </c>
      <c r="O280" s="26">
        <f>I280-L280</f>
        <v>1300813.78</v>
      </c>
      <c r="P280" s="28">
        <f>IF(I280&gt;0,L280/I280,0)</f>
        <v>0.0061786338309772855</v>
      </c>
      <c r="Q280" s="28">
        <f>IF(I280&gt;0,K280/I280,0)</f>
        <v>0.007248233441643027</v>
      </c>
      <c r="R280" s="24" t="str">
        <f>IF(I280&lt;=0,"Sin PIM",IF(L280/I280&gt;=Config!$B$5,"Ejecutado",IF(K280/I280&gt;=Config!$B$6,"Mayormente comprometido",IF(K280&gt;0.005,"Parcialmente comprometido",IF(J280&gt;0.005,"Solo certificado","Sin certificar")))))</f>
        <v>Parcialmente comprometido</v>
      </c>
      <c r="S280" s="24" t="str">
        <f>IF(R280="Sin certificar","Disponible",IF(R280="Solo certificado","Posible",IF(R280="Parcialmente comprometido","Parcial",IF(R280="Mayormente comprometido","Difícil",IF(R280="Ejecutado","No usar","Sin PIM")))))</f>
        <v>Parcial</v>
      </c>
      <c r="T280" s="26">
        <f>IF(OR(I280&lt;=0,R280="Ejecutado"),0,MAX(0,I280-K280))</f>
        <v>1299413.78</v>
      </c>
      <c r="U280" s="24" t="s">
        <v>397</v>
      </c>
      <c r="V280" s="25">
        <v>4800690</v>
      </c>
      <c r="W280" s="25">
        <v>4000000</v>
      </c>
      <c r="X280" s="25">
        <v>14883202</v>
      </c>
      <c r="Y280" s="25">
        <v>19038629</v>
      </c>
      <c r="Z280" s="24" t="s">
        <v>63</v>
      </c>
      <c r="AA280" s="24" t="s">
        <v>63</v>
      </c>
      <c r="AB280" s="24" t="s">
        <v>63</v>
      </c>
      <c r="AC280" s="24" t="s">
        <v>124</v>
      </c>
    </row>
    <row r="281" spans="1:29">
      <c r="A281" s="24" t="s">
        <v>54</v>
      </c>
      <c r="B281" s="24" t="s">
        <v>55</v>
      </c>
      <c r="C281" s="24" t="s">
        <v>56</v>
      </c>
      <c r="D281" s="24" t="s">
        <v>612</v>
      </c>
      <c r="E281" s="24" t="s">
        <v>242</v>
      </c>
      <c r="F281" s="24" t="s">
        <v>930</v>
      </c>
      <c r="G281" s="24" t="s">
        <v>931</v>
      </c>
      <c r="H281" s="27" t="s">
        <v>932</v>
      </c>
      <c r="I281" s="25">
        <v>48882</v>
      </c>
      <c r="J281" s="25">
        <v>30000</v>
      </c>
      <c r="K281" s="25">
        <v>0</v>
      </c>
      <c r="L281" s="25">
        <v>0</v>
      </c>
      <c r="M281" s="26">
        <f>I281-J281</f>
        <v>18882.0</v>
      </c>
      <c r="N281" s="26">
        <f>J281-K281</f>
        <v>30000.0</v>
      </c>
      <c r="O281" s="26">
        <f>I281-L281</f>
        <v>48882.0</v>
      </c>
      <c r="P281" s="28">
        <f>IF(I281&gt;0,L281/I281,0)</f>
        <v>0.0</v>
      </c>
      <c r="Q281" s="28">
        <f>IF(I281&gt;0,K281/I281,0)</f>
        <v>0.0</v>
      </c>
      <c r="R281" s="24" t="str">
        <f>IF(I281&lt;=0,"Sin PIM",IF(L281/I281&gt;=Config!$B$5,"Ejecutado",IF(K281/I281&gt;=Config!$B$6,"Mayormente comprometido",IF(K281&gt;0.005,"Parcialmente comprometido",IF(J281&gt;0.005,"Solo certificado","Sin certificar")))))</f>
        <v>Solo certificado</v>
      </c>
      <c r="S281" s="24" t="str">
        <f>IF(R281="Sin certificar","Disponible",IF(R281="Solo certificado","Posible",IF(R281="Parcialmente comprometido","Parcial",IF(R281="Mayormente comprometido","Difícil",IF(R281="Ejecutado","No usar","Sin PIM")))))</f>
        <v>Posible</v>
      </c>
      <c r="T281" s="26">
        <f>IF(OR(I281&lt;=0,R281="Ejecutado"),0,MAX(0,I281-K281))</f>
        <v>48882.0</v>
      </c>
      <c r="U281" s="24" t="s">
        <v>123</v>
      </c>
      <c r="V281" s="25">
        <v>1515300</v>
      </c>
      <c r="W281" s="25">
        <v>2254875</v>
      </c>
      <c r="X281" s="25">
        <v>0</v>
      </c>
      <c r="Y281" s="25">
        <v>541142</v>
      </c>
      <c r="Z281" s="24" t="s">
        <v>63</v>
      </c>
      <c r="AA281" s="24" t="s">
        <v>63</v>
      </c>
      <c r="AB281" s="24" t="s">
        <v>63</v>
      </c>
      <c r="AC281" s="24" t="s">
        <v>101</v>
      </c>
    </row>
    <row r="282" spans="1:29">
      <c r="A282" s="24" t="s">
        <v>54</v>
      </c>
      <c r="B282" s="24" t="s">
        <v>55</v>
      </c>
      <c r="C282" s="24" t="s">
        <v>56</v>
      </c>
      <c r="D282" s="24" t="s">
        <v>612</v>
      </c>
      <c r="E282" s="24" t="s">
        <v>242</v>
      </c>
      <c r="F282" s="24" t="s">
        <v>933</v>
      </c>
      <c r="G282" s="24" t="s">
        <v>934</v>
      </c>
      <c r="H282" s="27" t="s">
        <v>935</v>
      </c>
      <c r="I282" s="25">
        <v>25425</v>
      </c>
      <c r="J282" s="25">
        <v>0</v>
      </c>
      <c r="K282" s="25">
        <v>0</v>
      </c>
      <c r="L282" s="25">
        <v>0</v>
      </c>
      <c r="M282" s="26">
        <f>I282-J282</f>
        <v>25425.0</v>
      </c>
      <c r="N282" s="26">
        <f>J282-K282</f>
        <v>0.0</v>
      </c>
      <c r="O282" s="26">
        <f>I282-L282</f>
        <v>25425.0</v>
      </c>
      <c r="P282" s="28">
        <f>IF(I282&gt;0,L282/I282,0)</f>
        <v>0.0</v>
      </c>
      <c r="Q282" s="28">
        <f>IF(I282&gt;0,K282/I282,0)</f>
        <v>0.0</v>
      </c>
      <c r="R282" s="24" t="str">
        <f>IF(I282&lt;=0,"Sin PIM",IF(L282/I282&gt;=Config!$B$5,"Ejecutado",IF(K282/I282&gt;=Config!$B$6,"Mayormente comprometido",IF(K282&gt;0.005,"Parcialmente comprometido",IF(J282&gt;0.005,"Solo certificado","Sin certificar")))))</f>
        <v>Sin certificar</v>
      </c>
      <c r="S282" s="24" t="str">
        <f>IF(R282="Sin certificar","Disponible",IF(R282="Solo certificado","Posible",IF(R282="Parcialmente comprometido","Parcial",IF(R282="Mayormente comprometido","Difícil",IF(R282="Ejecutado","No usar","Sin PIM")))))</f>
        <v>Disponible</v>
      </c>
      <c r="T282" s="26">
        <f>IF(OR(I282&lt;=0,R282="Ejecutado"),0,MAX(0,I282-K282))</f>
        <v>25425.0</v>
      </c>
      <c r="U282" s="24" t="s">
        <v>123</v>
      </c>
      <c r="V282" s="25">
        <v>1893433</v>
      </c>
      <c r="W282" s="25">
        <v>354254</v>
      </c>
      <c r="X282" s="25">
        <v>0</v>
      </c>
      <c r="Y282" s="25">
        <v>3069242</v>
      </c>
      <c r="Z282" s="24" t="s">
        <v>63</v>
      </c>
      <c r="AA282" s="24" t="s">
        <v>63</v>
      </c>
      <c r="AB282" s="24" t="s">
        <v>63</v>
      </c>
      <c r="AC282" s="24" t="s">
        <v>101</v>
      </c>
    </row>
    <row r="283" spans="1:29">
      <c r="A283" s="24" t="s">
        <v>54</v>
      </c>
      <c r="B283" s="24" t="s">
        <v>55</v>
      </c>
      <c r="C283" s="24" t="s">
        <v>56</v>
      </c>
      <c r="D283" s="24" t="s">
        <v>612</v>
      </c>
      <c r="E283" s="24" t="s">
        <v>242</v>
      </c>
      <c r="F283" s="24" t="s">
        <v>936</v>
      </c>
      <c r="G283" s="24" t="s">
        <v>937</v>
      </c>
      <c r="H283" s="27" t="s">
        <v>938</v>
      </c>
      <c r="I283" s="25">
        <v>50000</v>
      </c>
      <c r="J283" s="25">
        <v>50000</v>
      </c>
      <c r="K283" s="25">
        <v>50000</v>
      </c>
      <c r="L283" s="25">
        <v>47967.16</v>
      </c>
      <c r="M283" s="26">
        <f>I283-J283</f>
        <v>0.0</v>
      </c>
      <c r="N283" s="26">
        <f>J283-K283</f>
        <v>0.0</v>
      </c>
      <c r="O283" s="26">
        <f>I283-L283</f>
        <v>2032.8399999999965</v>
      </c>
      <c r="P283" s="28">
        <f>IF(I283&gt;0,L283/I283,0)</f>
        <v>0.9593432000000001</v>
      </c>
      <c r="Q283" s="28">
        <f>IF(I283&gt;0,K283/I283,0)</f>
        <v>1.0</v>
      </c>
      <c r="R283" s="24" t="str">
        <f>IF(I283&lt;=0,"Sin PIM",IF(L283/I283&gt;=Config!$B$5,"Ejecutado",IF(K283/I283&gt;=Config!$B$6,"Mayormente comprometido",IF(K283&gt;0.005,"Parcialmente comprometido",IF(J283&gt;0.005,"Solo certificado","Sin certificar")))))</f>
        <v>Ejecutado</v>
      </c>
      <c r="S283" s="24" t="str">
        <f>IF(R283="Sin certificar","Disponible",IF(R283="Solo certificado","Posible",IF(R283="Parcialmente comprometido","Parcial",IF(R283="Mayormente comprometido","Difícil",IF(R283="Ejecutado","No usar","Sin PIM")))))</f>
        <v>No usar</v>
      </c>
      <c r="T283" s="26">
        <f>IF(OR(I283&lt;=0,R283="Ejecutado"),0,MAX(0,I283-K283))</f>
        <v>0.0</v>
      </c>
      <c r="U283" s="24" t="s">
        <v>123</v>
      </c>
      <c r="V283" s="25">
        <v>50000</v>
      </c>
      <c r="W283" s="25">
        <v>254857</v>
      </c>
      <c r="X283" s="25">
        <v>0</v>
      </c>
      <c r="Y283" s="25">
        <v>1000000</v>
      </c>
      <c r="Z283" s="24" t="s">
        <v>63</v>
      </c>
      <c r="AA283" s="24" t="s">
        <v>63</v>
      </c>
      <c r="AB283" s="24" t="s">
        <v>63</v>
      </c>
      <c r="AC283" s="24" t="s">
        <v>101</v>
      </c>
    </row>
    <row r="284" spans="1:29">
      <c r="A284" s="24" t="s">
        <v>54</v>
      </c>
      <c r="B284" s="24" t="s">
        <v>55</v>
      </c>
      <c r="C284" s="24" t="s">
        <v>56</v>
      </c>
      <c r="D284" s="24" t="s">
        <v>612</v>
      </c>
      <c r="E284" s="24" t="s">
        <v>242</v>
      </c>
      <c r="F284" s="24" t="s">
        <v>939</v>
      </c>
      <c r="G284" s="24" t="s">
        <v>940</v>
      </c>
      <c r="H284" s="27" t="s">
        <v>941</v>
      </c>
      <c r="I284" s="25">
        <v>369217</v>
      </c>
      <c r="J284" s="25">
        <v>140000</v>
      </c>
      <c r="K284" s="25">
        <v>140000</v>
      </c>
      <c r="L284" s="25">
        <v>140000</v>
      </c>
      <c r="M284" s="26">
        <f>I284-J284</f>
        <v>229217.0</v>
      </c>
      <c r="N284" s="26">
        <f>J284-K284</f>
        <v>0.0</v>
      </c>
      <c r="O284" s="26">
        <f>I284-L284</f>
        <v>229217.0</v>
      </c>
      <c r="P284" s="28">
        <f>IF(I284&gt;0,L284/I284,0)</f>
        <v>0.3791808069509259</v>
      </c>
      <c r="Q284" s="28">
        <f>IF(I284&gt;0,K284/I284,0)</f>
        <v>0.3791808069509259</v>
      </c>
      <c r="R284" s="24" t="str">
        <f>IF(I284&lt;=0,"Sin PIM",IF(L284/I284&gt;=Config!$B$5,"Ejecutado",IF(K284/I284&gt;=Config!$B$6,"Mayormente comprometido",IF(K284&gt;0.005,"Parcialmente comprometido",IF(J284&gt;0.005,"Solo certificado","Sin certificar")))))</f>
        <v>Parcialmente comprometido</v>
      </c>
      <c r="S284" s="24" t="str">
        <f>IF(R284="Sin certificar","Disponible",IF(R284="Solo certificado","Posible",IF(R284="Parcialmente comprometido","Parcial",IF(R284="Mayormente comprometido","Difícil",IF(R284="Ejecutado","No usar","Sin PIM")))))</f>
        <v>Parcial</v>
      </c>
      <c r="T284" s="26">
        <f>IF(OR(I284&lt;=0,R284="Ejecutado"),0,MAX(0,I284-K284))</f>
        <v>229217.0</v>
      </c>
      <c r="U284" s="24" t="s">
        <v>460</v>
      </c>
      <c r="V284" s="24" t="s">
        <v>69</v>
      </c>
      <c r="W284" s="24" t="s">
        <v>69</v>
      </c>
      <c r="X284" s="24" t="s">
        <v>69</v>
      </c>
      <c r="Y284" s="24" t="s">
        <v>69</v>
      </c>
      <c r="Z284" s="24" t="s">
        <v>63</v>
      </c>
      <c r="AA284" s="24" t="s">
        <v>63</v>
      </c>
      <c r="AB284" s="24" t="s">
        <v>63</v>
      </c>
      <c r="AC284" s="24" t="s">
        <v>101</v>
      </c>
    </row>
    <row r="285" spans="1:29">
      <c r="A285" s="24" t="s">
        <v>54</v>
      </c>
      <c r="B285" s="24" t="s">
        <v>55</v>
      </c>
      <c r="C285" s="24" t="s">
        <v>56</v>
      </c>
      <c r="D285" s="24" t="s">
        <v>612</v>
      </c>
      <c r="E285" s="24" t="s">
        <v>271</v>
      </c>
      <c r="F285" s="24" t="s">
        <v>942</v>
      </c>
      <c r="G285" s="24" t="s">
        <v>943</v>
      </c>
      <c r="H285" s="27" t="s">
        <v>944</v>
      </c>
      <c r="I285" s="25">
        <v>0</v>
      </c>
      <c r="J285" s="25">
        <v>0</v>
      </c>
      <c r="K285" s="25">
        <v>0</v>
      </c>
      <c r="L285" s="25">
        <v>0</v>
      </c>
      <c r="M285" s="26">
        <f>I285-J285</f>
        <v>0.0</v>
      </c>
      <c r="N285" s="26">
        <f>J285-K285</f>
        <v>0.0</v>
      </c>
      <c r="O285" s="26">
        <f>I285-L285</f>
        <v>0.0</v>
      </c>
      <c r="P285" s="28">
        <f>IF(I285&gt;0,L285/I285,0)</f>
        <v>0</v>
      </c>
      <c r="Q285" s="28">
        <f>IF(I285&gt;0,K285/I285,0)</f>
        <v>0</v>
      </c>
      <c r="R285" s="24" t="str">
        <f>IF(I285&lt;=0,"Sin PIM",IF(L285/I285&gt;=Config!$B$5,"Ejecutado",IF(K285/I285&gt;=Config!$B$6,"Mayormente comprometido",IF(K285&gt;0.005,"Parcialmente comprometido",IF(J285&gt;0.005,"Solo certificado","Sin certificar")))))</f>
        <v>Sin PIM</v>
      </c>
      <c r="S285" s="24" t="str">
        <f>IF(R285="Sin certificar","Disponible",IF(R285="Solo certificado","Posible",IF(R285="Parcialmente comprometido","Parcial",IF(R285="Mayormente comprometido","Difícil",IF(R285="Ejecutado","No usar","Sin PIM")))))</f>
        <v>Sin PIM</v>
      </c>
      <c r="T285" s="26">
        <f>IF(OR(I285&lt;=0,R285="Ejecutado"),0,MAX(0,I285-K285))</f>
        <v>0.0</v>
      </c>
      <c r="U285" s="24" t="s">
        <v>105</v>
      </c>
      <c r="V285" s="25">
        <v>154969</v>
      </c>
      <c r="W285" s="25">
        <v>0</v>
      </c>
      <c r="X285" s="25">
        <v>0</v>
      </c>
      <c r="Y285" s="25">
        <v>0</v>
      </c>
      <c r="Z285" s="24" t="s">
        <v>63</v>
      </c>
      <c r="AA285" s="24" t="s">
        <v>63</v>
      </c>
      <c r="AB285" s="24" t="s">
        <v>63</v>
      </c>
      <c r="AC285" s="24" t="s">
        <v>129</v>
      </c>
    </row>
    <row r="286" spans="1:29">
      <c r="A286" s="24" t="s">
        <v>54</v>
      </c>
      <c r="B286" s="24" t="s">
        <v>55</v>
      </c>
      <c r="C286" s="24" t="s">
        <v>56</v>
      </c>
      <c r="D286" s="24" t="s">
        <v>612</v>
      </c>
      <c r="E286" s="24" t="s">
        <v>271</v>
      </c>
      <c r="F286" s="24" t="s">
        <v>945</v>
      </c>
      <c r="G286" s="24" t="s">
        <v>946</v>
      </c>
      <c r="H286" s="27" t="s">
        <v>947</v>
      </c>
      <c r="I286" s="25">
        <v>0</v>
      </c>
      <c r="J286" s="25">
        <v>0</v>
      </c>
      <c r="K286" s="25">
        <v>0</v>
      </c>
      <c r="L286" s="25">
        <v>0</v>
      </c>
      <c r="M286" s="26">
        <f>I286-J286</f>
        <v>0.0</v>
      </c>
      <c r="N286" s="26">
        <f>J286-K286</f>
        <v>0.0</v>
      </c>
      <c r="O286" s="26">
        <f>I286-L286</f>
        <v>0.0</v>
      </c>
      <c r="P286" s="28">
        <f>IF(I286&gt;0,L286/I286,0)</f>
        <v>0</v>
      </c>
      <c r="Q286" s="28">
        <f>IF(I286&gt;0,K286/I286,0)</f>
        <v>0</v>
      </c>
      <c r="R286" s="24" t="str">
        <f>IF(I286&lt;=0,"Sin PIM",IF(L286/I286&gt;=Config!$B$5,"Ejecutado",IF(K286/I286&gt;=Config!$B$6,"Mayormente comprometido",IF(K286&gt;0.005,"Parcialmente comprometido",IF(J286&gt;0.005,"Solo certificado","Sin certificar")))))</f>
        <v>Sin PIM</v>
      </c>
      <c r="S286" s="24" t="str">
        <f>IF(R286="Sin certificar","Disponible",IF(R286="Solo certificado","Posible",IF(R286="Parcialmente comprometido","Parcial",IF(R286="Mayormente comprometido","Difícil",IF(R286="Ejecutado","No usar","Sin PIM")))))</f>
        <v>Sin PIM</v>
      </c>
      <c r="T286" s="26">
        <f>IF(OR(I286&lt;=0,R286="Ejecutado"),0,MAX(0,I286-K286))</f>
        <v>0.0</v>
      </c>
      <c r="U286" s="24" t="s">
        <v>105</v>
      </c>
      <c r="V286" s="25">
        <v>10763553</v>
      </c>
      <c r="W286" s="25">
        <v>0</v>
      </c>
      <c r="X286" s="25">
        <v>0</v>
      </c>
      <c r="Y286" s="25">
        <v>0</v>
      </c>
      <c r="Z286" s="24" t="s">
        <v>63</v>
      </c>
      <c r="AA286" s="24" t="s">
        <v>63</v>
      </c>
      <c r="AB286" s="24" t="s">
        <v>63</v>
      </c>
      <c r="AC286" s="24" t="s">
        <v>101</v>
      </c>
    </row>
    <row r="287" spans="1:29">
      <c r="A287" s="24" t="s">
        <v>54</v>
      </c>
      <c r="B287" s="24" t="s">
        <v>55</v>
      </c>
      <c r="C287" s="24" t="s">
        <v>56</v>
      </c>
      <c r="D287" s="24" t="s">
        <v>612</v>
      </c>
      <c r="E287" s="24" t="s">
        <v>271</v>
      </c>
      <c r="F287" s="24" t="s">
        <v>948</v>
      </c>
      <c r="G287" s="24" t="s">
        <v>949</v>
      </c>
      <c r="H287" s="27" t="s">
        <v>950</v>
      </c>
      <c r="I287" s="25">
        <v>1376515</v>
      </c>
      <c r="J287" s="25">
        <v>0</v>
      </c>
      <c r="K287" s="25">
        <v>0</v>
      </c>
      <c r="L287" s="25">
        <v>0</v>
      </c>
      <c r="M287" s="26">
        <f>I287-J287</f>
        <v>1376515.0</v>
      </c>
      <c r="N287" s="26">
        <f>J287-K287</f>
        <v>0.0</v>
      </c>
      <c r="O287" s="26">
        <f>I287-L287</f>
        <v>1376515.0</v>
      </c>
      <c r="P287" s="28">
        <f>IF(I287&gt;0,L287/I287,0)</f>
        <v>0.0</v>
      </c>
      <c r="Q287" s="28">
        <f>IF(I287&gt;0,K287/I287,0)</f>
        <v>0.0</v>
      </c>
      <c r="R287" s="24" t="str">
        <f>IF(I287&lt;=0,"Sin PIM",IF(L287/I287&gt;=Config!$B$5,"Ejecutado",IF(K287/I287&gt;=Config!$B$6,"Mayormente comprometido",IF(K287&gt;0.005,"Parcialmente comprometido",IF(J287&gt;0.005,"Solo certificado","Sin certificar")))))</f>
        <v>Sin certificar</v>
      </c>
      <c r="S287" s="24" t="str">
        <f>IF(R287="Sin certificar","Disponible",IF(R287="Solo certificado","Posible",IF(R287="Parcialmente comprometido","Parcial",IF(R287="Mayormente comprometido","Difícil",IF(R287="Ejecutado","No usar","Sin PIM")))))</f>
        <v>Disponible</v>
      </c>
      <c r="T287" s="26">
        <f>IF(OR(I287&lt;=0,R287="Ejecutado"),0,MAX(0,I287-K287))</f>
        <v>1376515.0</v>
      </c>
      <c r="U287" s="24" t="s">
        <v>105</v>
      </c>
      <c r="V287" s="24" t="s">
        <v>69</v>
      </c>
      <c r="W287" s="24" t="s">
        <v>69</v>
      </c>
      <c r="X287" s="24" t="s">
        <v>69</v>
      </c>
      <c r="Y287" s="24" t="s">
        <v>69</v>
      </c>
      <c r="Z287" s="24" t="s">
        <v>63</v>
      </c>
      <c r="AA287" s="24" t="s">
        <v>63</v>
      </c>
      <c r="AB287" s="24" t="s">
        <v>63</v>
      </c>
      <c r="AC287" s="24" t="s">
        <v>63</v>
      </c>
    </row>
    <row r="288" spans="1:29">
      <c r="A288" s="24" t="s">
        <v>54</v>
      </c>
      <c r="B288" s="24" t="s">
        <v>55</v>
      </c>
      <c r="C288" s="24" t="s">
        <v>56</v>
      </c>
      <c r="D288" s="24" t="s">
        <v>612</v>
      </c>
      <c r="E288" s="24" t="s">
        <v>951</v>
      </c>
      <c r="F288" s="24" t="s">
        <v>952</v>
      </c>
      <c r="G288" s="24" t="s">
        <v>953</v>
      </c>
      <c r="H288" s="27" t="s">
        <v>954</v>
      </c>
      <c r="I288" s="25">
        <v>46429</v>
      </c>
      <c r="J288" s="25">
        <v>0</v>
      </c>
      <c r="K288" s="25">
        <v>0</v>
      </c>
      <c r="L288" s="25">
        <v>0</v>
      </c>
      <c r="M288" s="26">
        <f>I288-J288</f>
        <v>46429.0</v>
      </c>
      <c r="N288" s="26">
        <f>J288-K288</f>
        <v>0.0</v>
      </c>
      <c r="O288" s="26">
        <f>I288-L288</f>
        <v>46429.0</v>
      </c>
      <c r="P288" s="28">
        <f>IF(I288&gt;0,L288/I288,0)</f>
        <v>0.0</v>
      </c>
      <c r="Q288" s="28">
        <f>IF(I288&gt;0,K288/I288,0)</f>
        <v>0.0</v>
      </c>
      <c r="R288" s="24" t="str">
        <f>IF(I288&lt;=0,"Sin PIM",IF(L288/I288&gt;=Config!$B$5,"Ejecutado",IF(K288/I288&gt;=Config!$B$6,"Mayormente comprometido",IF(K288&gt;0.005,"Parcialmente comprometido",IF(J288&gt;0.005,"Solo certificado","Sin certificar")))))</f>
        <v>Sin certificar</v>
      </c>
      <c r="S288" s="24" t="str">
        <f>IF(R288="Sin certificar","Disponible",IF(R288="Solo certificado","Posible",IF(R288="Parcialmente comprometido","Parcial",IF(R288="Mayormente comprometido","Difícil",IF(R288="Ejecutado","No usar","Sin PIM")))))</f>
        <v>Disponible</v>
      </c>
      <c r="T288" s="26">
        <f>IF(OR(I288&lt;=0,R288="Ejecutado"),0,MAX(0,I288-K288))</f>
        <v>46429.0</v>
      </c>
      <c r="U288" s="24" t="s">
        <v>105</v>
      </c>
      <c r="V288" s="25">
        <v>800000</v>
      </c>
      <c r="W288" s="25">
        <v>580909</v>
      </c>
      <c r="X288" s="25">
        <v>800000</v>
      </c>
      <c r="Y288" s="25">
        <v>800000</v>
      </c>
      <c r="Z288" s="24" t="s">
        <v>63</v>
      </c>
      <c r="AA288" s="24" t="s">
        <v>63</v>
      </c>
      <c r="AB288" s="24" t="s">
        <v>63</v>
      </c>
      <c r="AC288" s="24" t="s">
        <v>955</v>
      </c>
    </row>
    <row r="289" spans="1:29">
      <c r="A289" s="24" t="s">
        <v>54</v>
      </c>
      <c r="B289" s="24" t="s">
        <v>55</v>
      </c>
      <c r="C289" s="24" t="s">
        <v>56</v>
      </c>
      <c r="D289" s="24" t="s">
        <v>612</v>
      </c>
      <c r="E289" s="24" t="s">
        <v>956</v>
      </c>
      <c r="F289" s="24" t="s">
        <v>957</v>
      </c>
      <c r="G289" s="24" t="s">
        <v>958</v>
      </c>
      <c r="H289" s="27" t="s">
        <v>959</v>
      </c>
      <c r="I289" s="25">
        <v>1349649</v>
      </c>
      <c r="J289" s="25">
        <v>0</v>
      </c>
      <c r="K289" s="25">
        <v>0</v>
      </c>
      <c r="L289" s="25">
        <v>0</v>
      </c>
      <c r="M289" s="26">
        <f>I289-J289</f>
        <v>1349649.0</v>
      </c>
      <c r="N289" s="26">
        <f>J289-K289</f>
        <v>0.0</v>
      </c>
      <c r="O289" s="26">
        <f>I289-L289</f>
        <v>1349649.0</v>
      </c>
      <c r="P289" s="28">
        <f>IF(I289&gt;0,L289/I289,0)</f>
        <v>0.0</v>
      </c>
      <c r="Q289" s="28">
        <f>IF(I289&gt;0,K289/I289,0)</f>
        <v>0.0</v>
      </c>
      <c r="R289" s="24" t="str">
        <f>IF(I289&lt;=0,"Sin PIM",IF(L289/I289&gt;=Config!$B$5,"Ejecutado",IF(K289/I289&gt;=Config!$B$6,"Mayormente comprometido",IF(K289&gt;0.005,"Parcialmente comprometido",IF(J289&gt;0.005,"Solo certificado","Sin certificar")))))</f>
        <v>Sin certificar</v>
      </c>
      <c r="S289" s="24" t="str">
        <f>IF(R289="Sin certificar","Disponible",IF(R289="Solo certificado","Posible",IF(R289="Parcialmente comprometido","Parcial",IF(R289="Mayormente comprometido","Difícil",IF(R289="Ejecutado","No usar","Sin PIM")))))</f>
        <v>Disponible</v>
      </c>
      <c r="T289" s="26">
        <f>IF(OR(I289&lt;=0,R289="Ejecutado"),0,MAX(0,I289-K289))</f>
        <v>1349649.0</v>
      </c>
      <c r="U289" s="24" t="s">
        <v>105</v>
      </c>
      <c r="V289" s="25">
        <v>1349649</v>
      </c>
      <c r="W289" s="25">
        <v>0</v>
      </c>
      <c r="X289" s="25">
        <v>0</v>
      </c>
      <c r="Y289" s="25">
        <v>1000000</v>
      </c>
      <c r="Z289" s="24" t="s">
        <v>63</v>
      </c>
      <c r="AA289" s="24" t="s">
        <v>63</v>
      </c>
      <c r="AB289" s="24" t="s">
        <v>63</v>
      </c>
      <c r="AC289" s="24" t="s">
        <v>101</v>
      </c>
    </row>
    <row r="290" spans="1:29">
      <c r="A290" s="24" t="s">
        <v>54</v>
      </c>
      <c r="B290" s="24" t="s">
        <v>55</v>
      </c>
      <c r="C290" s="24" t="s">
        <v>56</v>
      </c>
      <c r="D290" s="24" t="s">
        <v>612</v>
      </c>
      <c r="E290" s="24" t="s">
        <v>960</v>
      </c>
      <c r="F290" s="24" t="s">
        <v>961</v>
      </c>
      <c r="G290" s="24" t="s">
        <v>962</v>
      </c>
      <c r="H290" s="27" t="s">
        <v>963</v>
      </c>
      <c r="I290" s="25">
        <v>100000</v>
      </c>
      <c r="J290" s="25">
        <v>0</v>
      </c>
      <c r="K290" s="25">
        <v>0</v>
      </c>
      <c r="L290" s="25">
        <v>0</v>
      </c>
      <c r="M290" s="26">
        <f>I290-J290</f>
        <v>100000.0</v>
      </c>
      <c r="N290" s="26">
        <f>J290-K290</f>
        <v>0.0</v>
      </c>
      <c r="O290" s="26">
        <f>I290-L290</f>
        <v>100000.0</v>
      </c>
      <c r="P290" s="28">
        <f>IF(I290&gt;0,L290/I290,0)</f>
        <v>0.0</v>
      </c>
      <c r="Q290" s="28">
        <f>IF(I290&gt;0,K290/I290,0)</f>
        <v>0.0</v>
      </c>
      <c r="R290" s="24" t="str">
        <f>IF(I290&lt;=0,"Sin PIM",IF(L290/I290&gt;=Config!$B$5,"Ejecutado",IF(K290/I290&gt;=Config!$B$6,"Mayormente comprometido",IF(K290&gt;0.005,"Parcialmente comprometido",IF(J290&gt;0.005,"Solo certificado","Sin certificar")))))</f>
        <v>Sin certificar</v>
      </c>
      <c r="S290" s="24" t="str">
        <f>IF(R290="Sin certificar","Disponible",IF(R290="Solo certificado","Posible",IF(R290="Parcialmente comprometido","Parcial",IF(R290="Mayormente comprometido","Difícil",IF(R290="Ejecutado","No usar","Sin PIM")))))</f>
        <v>Disponible</v>
      </c>
      <c r="T290" s="26">
        <f>IF(OR(I290&lt;=0,R290="Ejecutado"),0,MAX(0,I290-K290))</f>
        <v>100000.0</v>
      </c>
      <c r="U290" s="24" t="s">
        <v>105</v>
      </c>
      <c r="V290" s="24" t="s">
        <v>69</v>
      </c>
      <c r="W290" s="24" t="s">
        <v>69</v>
      </c>
      <c r="X290" s="24" t="s">
        <v>69</v>
      </c>
      <c r="Y290" s="24" t="s">
        <v>69</v>
      </c>
      <c r="Z290" s="24" t="s">
        <v>63</v>
      </c>
      <c r="AA290" s="24" t="s">
        <v>63</v>
      </c>
      <c r="AB290" s="24" t="s">
        <v>63</v>
      </c>
      <c r="AC290" s="24" t="s">
        <v>101</v>
      </c>
    </row>
    <row r="291" spans="1:29">
      <c r="A291" s="24" t="s">
        <v>54</v>
      </c>
      <c r="B291" s="24" t="s">
        <v>55</v>
      </c>
      <c r="C291" s="24" t="s">
        <v>56</v>
      </c>
      <c r="D291" s="24" t="s">
        <v>612</v>
      </c>
      <c r="E291" s="24" t="s">
        <v>964</v>
      </c>
      <c r="F291" s="24" t="s">
        <v>965</v>
      </c>
      <c r="G291" s="24" t="s">
        <v>966</v>
      </c>
      <c r="H291" s="27" t="s">
        <v>967</v>
      </c>
      <c r="I291" s="25">
        <v>0</v>
      </c>
      <c r="J291" s="25">
        <v>0</v>
      </c>
      <c r="K291" s="25">
        <v>0</v>
      </c>
      <c r="L291" s="25">
        <v>0</v>
      </c>
      <c r="M291" s="26">
        <f>I291-J291</f>
        <v>0.0</v>
      </c>
      <c r="N291" s="26">
        <f>J291-K291</f>
        <v>0.0</v>
      </c>
      <c r="O291" s="26">
        <f>I291-L291</f>
        <v>0.0</v>
      </c>
      <c r="P291" s="28">
        <f>IF(I291&gt;0,L291/I291,0)</f>
        <v>0</v>
      </c>
      <c r="Q291" s="28">
        <f>IF(I291&gt;0,K291/I291,0)</f>
        <v>0</v>
      </c>
      <c r="R291" s="24" t="str">
        <f>IF(I291&lt;=0,"Sin PIM",IF(L291/I291&gt;=Config!$B$5,"Ejecutado",IF(K291/I291&gt;=Config!$B$6,"Mayormente comprometido",IF(K291&gt;0.005,"Parcialmente comprometido",IF(J291&gt;0.005,"Solo certificado","Sin certificar")))))</f>
        <v>Sin PIM</v>
      </c>
      <c r="S291" s="24" t="str">
        <f>IF(R291="Sin certificar","Disponible",IF(R291="Solo certificado","Posible",IF(R291="Parcialmente comprometido","Parcial",IF(R291="Mayormente comprometido","Difícil",IF(R291="Ejecutado","No usar","Sin PIM")))))</f>
        <v>Sin PIM</v>
      </c>
      <c r="T291" s="26">
        <f>IF(OR(I291&lt;=0,R291="Ejecutado"),0,MAX(0,I291-K291))</f>
        <v>0.0</v>
      </c>
      <c r="U291" s="24" t="s">
        <v>105</v>
      </c>
      <c r="V291" s="25">
        <v>250000</v>
      </c>
      <c r="W291" s="25">
        <v>0</v>
      </c>
      <c r="X291" s="25">
        <v>0</v>
      </c>
      <c r="Y291" s="25">
        <v>0</v>
      </c>
      <c r="Z291" s="24" t="s">
        <v>63</v>
      </c>
      <c r="AA291" s="24" t="s">
        <v>63</v>
      </c>
      <c r="AB291" s="24" t="s">
        <v>63</v>
      </c>
      <c r="AC291" s="24" t="s">
        <v>101</v>
      </c>
    </row>
    <row r="292" spans="1:29">
      <c r="A292" s="24" t="s">
        <v>54</v>
      </c>
      <c r="B292" s="24" t="s">
        <v>968</v>
      </c>
      <c r="C292" s="24" t="s">
        <v>969</v>
      </c>
      <c r="D292" s="24" t="s">
        <v>63</v>
      </c>
      <c r="E292" s="24" t="s">
        <v>956</v>
      </c>
      <c r="F292" s="24" t="s">
        <v>970</v>
      </c>
      <c r="G292" s="24" t="s">
        <v>971</v>
      </c>
      <c r="H292" s="27" t="s">
        <v>972</v>
      </c>
      <c r="I292" s="25">
        <v>2659376</v>
      </c>
      <c r="J292" s="25">
        <v>1980094.52</v>
      </c>
      <c r="K292" s="25">
        <v>1855072.29</v>
      </c>
      <c r="L292" s="25">
        <v>1386716.89</v>
      </c>
      <c r="M292" s="26">
        <f>I292-J292</f>
        <v>679281.48</v>
      </c>
      <c r="N292" s="26">
        <f>J292-K292</f>
        <v>125022.22999999975</v>
      </c>
      <c r="O292" s="26">
        <f>I292-L292</f>
        <v>1272659.1099999999</v>
      </c>
      <c r="P292" s="28">
        <f>IF(I292&gt;0,L292/I292,0)</f>
        <v>0.5214444629116004</v>
      </c>
      <c r="Q292" s="28">
        <f>IF(I292&gt;0,K292/I292,0)</f>
        <v>0.697559235700405</v>
      </c>
      <c r="R292" s="24" t="str">
        <f>IF(I292&lt;=0,"Sin PIM",IF(L292/I292&gt;=Config!$B$5,"Ejecutado",IF(K292/I292&gt;=Config!$B$6,"Mayormente comprometido",IF(K292&gt;0.005,"Parcialmente comprometido",IF(J292&gt;0.005,"Solo certificado","Sin certificar")))))</f>
        <v>Mayormente comprometido</v>
      </c>
      <c r="S292" s="24" t="str">
        <f>IF(R292="Sin certificar","Disponible",IF(R292="Solo certificado","Posible",IF(R292="Parcialmente comprometido","Parcial",IF(R292="Mayormente comprometido","Difícil",IF(R292="Ejecutado","No usar","Sin PIM")))))</f>
        <v>Difícil</v>
      </c>
      <c r="T292" s="26">
        <f>IF(OR(I292&lt;=0,R292="Ejecutado"),0,MAX(0,I292-K292))</f>
        <v>804303.7099999997</v>
      </c>
      <c r="U292" s="24" t="s">
        <v>408</v>
      </c>
      <c r="V292" s="25">
        <v>3659376</v>
      </c>
      <c r="W292" s="25">
        <v>55933</v>
      </c>
      <c r="X292" s="25">
        <v>0</v>
      </c>
      <c r="Y292" s="25">
        <v>1953448</v>
      </c>
      <c r="Z292" s="24" t="s">
        <v>63</v>
      </c>
      <c r="AA292" s="24" t="s">
        <v>63</v>
      </c>
      <c r="AB292" s="24" t="s">
        <v>63</v>
      </c>
      <c r="AC292" s="24" t="s">
        <v>955</v>
      </c>
    </row>
    <row r="293" spans="1:29">
      <c r="A293" s="24" t="s">
        <v>54</v>
      </c>
      <c r="B293" s="24" t="s">
        <v>968</v>
      </c>
      <c r="C293" s="24" t="s">
        <v>969</v>
      </c>
      <c r="D293" s="24" t="s">
        <v>63</v>
      </c>
      <c r="E293" s="24" t="s">
        <v>956</v>
      </c>
      <c r="F293" s="24" t="s">
        <v>973</v>
      </c>
      <c r="G293" s="24" t="s">
        <v>974</v>
      </c>
      <c r="H293" s="27" t="s">
        <v>975</v>
      </c>
      <c r="I293" s="25">
        <v>159946</v>
      </c>
      <c r="J293" s="25">
        <v>154011</v>
      </c>
      <c r="K293" s="25">
        <v>91011</v>
      </c>
      <c r="L293" s="25">
        <v>60441</v>
      </c>
      <c r="M293" s="26">
        <f>I293-J293</f>
        <v>5935.0</v>
      </c>
      <c r="N293" s="26">
        <f>J293-K293</f>
        <v>63000.0</v>
      </c>
      <c r="O293" s="26">
        <f>I293-L293</f>
        <v>99505.0</v>
      </c>
      <c r="P293" s="28">
        <f>IF(I293&gt;0,L293/I293,0)</f>
        <v>0.3778837857777</v>
      </c>
      <c r="Q293" s="28">
        <f>IF(I293&gt;0,K293/I293,0)</f>
        <v>0.5690107911420105</v>
      </c>
      <c r="R293" s="24" t="str">
        <f>IF(I293&lt;=0,"Sin PIM",IF(L293/I293&gt;=Config!$B$5,"Ejecutado",IF(K293/I293&gt;=Config!$B$6,"Mayormente comprometido",IF(K293&gt;0.005,"Parcialmente comprometido",IF(J293&gt;0.005,"Solo certificado","Sin certificar")))))</f>
        <v>Mayormente comprometido</v>
      </c>
      <c r="S293" s="24" t="str">
        <f>IF(R293="Sin certificar","Disponible",IF(R293="Solo certificado","Posible",IF(R293="Parcialmente comprometido","Parcial",IF(R293="Mayormente comprometido","Difícil",IF(R293="Ejecutado","No usar","Sin PIM")))))</f>
        <v>Difícil</v>
      </c>
      <c r="T293" s="26">
        <f>IF(OR(I293&lt;=0,R293="Ejecutado"),0,MAX(0,I293-K293))</f>
        <v>68935.0</v>
      </c>
      <c r="U293" s="24" t="s">
        <v>976</v>
      </c>
      <c r="V293" s="24" t="s">
        <v>69</v>
      </c>
      <c r="W293" s="24" t="s">
        <v>69</v>
      </c>
      <c r="X293" s="24" t="s">
        <v>69</v>
      </c>
      <c r="Y293" s="24" t="s">
        <v>69</v>
      </c>
      <c r="Z293" s="24" t="s">
        <v>63</v>
      </c>
      <c r="AA293" s="24" t="s">
        <v>63</v>
      </c>
      <c r="AB293" s="24" t="s">
        <v>63</v>
      </c>
      <c r="AC293" s="24" t="s">
        <v>977</v>
      </c>
    </row>
    <row r="294" spans="1:29">
      <c r="A294" s="24" t="s">
        <v>54</v>
      </c>
      <c r="B294" s="24" t="s">
        <v>968</v>
      </c>
      <c r="C294" s="24" t="s">
        <v>969</v>
      </c>
      <c r="D294" s="24" t="s">
        <v>63</v>
      </c>
      <c r="E294" s="24" t="s">
        <v>956</v>
      </c>
      <c r="F294" s="24" t="s">
        <v>978</v>
      </c>
      <c r="G294" s="24" t="s">
        <v>979</v>
      </c>
      <c r="H294" s="27" t="s">
        <v>980</v>
      </c>
      <c r="I294" s="25">
        <v>159560</v>
      </c>
      <c r="J294" s="25">
        <v>141270</v>
      </c>
      <c r="K294" s="25">
        <v>57830</v>
      </c>
      <c r="L294" s="25">
        <v>57830</v>
      </c>
      <c r="M294" s="26">
        <f>I294-J294</f>
        <v>18290.0</v>
      </c>
      <c r="N294" s="26">
        <f>J294-K294</f>
        <v>83440.0</v>
      </c>
      <c r="O294" s="26">
        <f>I294-L294</f>
        <v>101730.0</v>
      </c>
      <c r="P294" s="28">
        <f>IF(I294&gt;0,L294/I294,0)</f>
        <v>0.3624341940335924</v>
      </c>
      <c r="Q294" s="28">
        <f>IF(I294&gt;0,K294/I294,0)</f>
        <v>0.3624341940335924</v>
      </c>
      <c r="R294" s="24" t="str">
        <f>IF(I294&lt;=0,"Sin PIM",IF(L294/I294&gt;=Config!$B$5,"Ejecutado",IF(K294/I294&gt;=Config!$B$6,"Mayormente comprometido",IF(K294&gt;0.005,"Parcialmente comprometido",IF(J294&gt;0.005,"Solo certificado","Sin certificar")))))</f>
        <v>Parcialmente comprometido</v>
      </c>
      <c r="S294" s="24" t="str">
        <f>IF(R294="Sin certificar","Disponible",IF(R294="Solo certificado","Posible",IF(R294="Parcialmente comprometido","Parcial",IF(R294="Mayormente comprometido","Difícil",IF(R294="Ejecutado","No usar","Sin PIM")))))</f>
        <v>Parcial</v>
      </c>
      <c r="T294" s="26">
        <f>IF(OR(I294&lt;=0,R294="Ejecutado"),0,MAX(0,I294-K294))</f>
        <v>101730.0</v>
      </c>
      <c r="U294" s="24" t="s">
        <v>976</v>
      </c>
      <c r="V294" s="24" t="s">
        <v>69</v>
      </c>
      <c r="W294" s="24" t="s">
        <v>69</v>
      </c>
      <c r="X294" s="24" t="s">
        <v>69</v>
      </c>
      <c r="Y294" s="24" t="s">
        <v>69</v>
      </c>
      <c r="Z294" s="24" t="s">
        <v>63</v>
      </c>
      <c r="AA294" s="24" t="s">
        <v>63</v>
      </c>
      <c r="AB294" s="24" t="s">
        <v>63</v>
      </c>
      <c r="AC294" s="24" t="s">
        <v>977</v>
      </c>
    </row>
    <row r="295" spans="1:29">
      <c r="A295" s="24" t="s">
        <v>54</v>
      </c>
      <c r="B295" s="24" t="s">
        <v>968</v>
      </c>
      <c r="C295" s="24" t="s">
        <v>969</v>
      </c>
      <c r="D295" s="24" t="s">
        <v>63</v>
      </c>
      <c r="E295" s="24" t="s">
        <v>956</v>
      </c>
      <c r="F295" s="24" t="s">
        <v>981</v>
      </c>
      <c r="G295" s="24" t="s">
        <v>982</v>
      </c>
      <c r="H295" s="27" t="s">
        <v>983</v>
      </c>
      <c r="I295" s="25">
        <v>158892</v>
      </c>
      <c r="J295" s="25">
        <v>146558.5</v>
      </c>
      <c r="K295" s="25">
        <v>97358.5</v>
      </c>
      <c r="L295" s="25">
        <v>97358.5</v>
      </c>
      <c r="M295" s="26">
        <f>I295-J295</f>
        <v>12333.5</v>
      </c>
      <c r="N295" s="26">
        <f>J295-K295</f>
        <v>49200.0</v>
      </c>
      <c r="O295" s="26">
        <f>I295-L295</f>
        <v>61533.5</v>
      </c>
      <c r="P295" s="28">
        <f>IF(I295&gt;0,L295/I295,0)</f>
        <v>0.6127338066107797</v>
      </c>
      <c r="Q295" s="28">
        <f>IF(I295&gt;0,K295/I295,0)</f>
        <v>0.6127338066107797</v>
      </c>
      <c r="R295" s="24" t="str">
        <f>IF(I295&lt;=0,"Sin PIM",IF(L295/I295&gt;=Config!$B$5,"Ejecutado",IF(K295/I295&gt;=Config!$B$6,"Mayormente comprometido",IF(K295&gt;0.005,"Parcialmente comprometido",IF(J295&gt;0.005,"Solo certificado","Sin certificar")))))</f>
        <v>Mayormente comprometido</v>
      </c>
      <c r="S295" s="24" t="str">
        <f>IF(R295="Sin certificar","Disponible",IF(R295="Solo certificado","Posible",IF(R295="Parcialmente comprometido","Parcial",IF(R295="Mayormente comprometido","Difícil",IF(R295="Ejecutado","No usar","Sin PIM")))))</f>
        <v>Difícil</v>
      </c>
      <c r="T295" s="26">
        <f>IF(OR(I295&lt;=0,R295="Ejecutado"),0,MAX(0,I295-K295))</f>
        <v>61533.5</v>
      </c>
      <c r="U295" s="24" t="s">
        <v>976</v>
      </c>
      <c r="V295" s="24" t="s">
        <v>69</v>
      </c>
      <c r="W295" s="24" t="s">
        <v>69</v>
      </c>
      <c r="X295" s="24" t="s">
        <v>69</v>
      </c>
      <c r="Y295" s="24" t="s">
        <v>69</v>
      </c>
      <c r="Z295" s="24" t="s">
        <v>63</v>
      </c>
      <c r="AA295" s="24" t="s">
        <v>63</v>
      </c>
      <c r="AB295" s="24" t="s">
        <v>63</v>
      </c>
      <c r="AC295" s="24" t="s">
        <v>977</v>
      </c>
    </row>
    <row r="296" spans="1:29">
      <c r="A296" s="24" t="s">
        <v>54</v>
      </c>
      <c r="B296" s="24" t="s">
        <v>968</v>
      </c>
      <c r="C296" s="24" t="s">
        <v>969</v>
      </c>
      <c r="D296" s="24" t="s">
        <v>63</v>
      </c>
      <c r="E296" s="24" t="s">
        <v>271</v>
      </c>
      <c r="F296" s="24" t="s">
        <v>984</v>
      </c>
      <c r="G296" s="24" t="s">
        <v>985</v>
      </c>
      <c r="H296" s="27" t="s">
        <v>986</v>
      </c>
      <c r="I296" s="25">
        <v>160000</v>
      </c>
      <c r="J296" s="25">
        <v>0</v>
      </c>
      <c r="K296" s="25">
        <v>0</v>
      </c>
      <c r="L296" s="25">
        <v>0</v>
      </c>
      <c r="M296" s="26">
        <f>I296-J296</f>
        <v>160000.0</v>
      </c>
      <c r="N296" s="26">
        <f>J296-K296</f>
        <v>0.0</v>
      </c>
      <c r="O296" s="26">
        <f>I296-L296</f>
        <v>160000.0</v>
      </c>
      <c r="P296" s="28">
        <f>IF(I296&gt;0,L296/I296,0)</f>
        <v>0.0</v>
      </c>
      <c r="Q296" s="28">
        <f>IF(I296&gt;0,K296/I296,0)</f>
        <v>0.0</v>
      </c>
      <c r="R296" s="24" t="str">
        <f>IF(I296&lt;=0,"Sin PIM",IF(L296/I296&gt;=Config!$B$5,"Ejecutado",IF(K296/I296&gt;=Config!$B$6,"Mayormente comprometido",IF(K296&gt;0.005,"Parcialmente comprometido",IF(J296&gt;0.005,"Solo certificado","Sin certificar")))))</f>
        <v>Sin certificar</v>
      </c>
      <c r="S296" s="24" t="str">
        <f>IF(R296="Sin certificar","Disponible",IF(R296="Solo certificado","Posible",IF(R296="Parcialmente comprometido","Parcial",IF(R296="Mayormente comprometido","Difícil",IF(R296="Ejecutado","No usar","Sin PIM")))))</f>
        <v>Disponible</v>
      </c>
      <c r="T296" s="26">
        <f>IF(OR(I296&lt;=0,R296="Ejecutado"),0,MAX(0,I296-K296))</f>
        <v>160000.0</v>
      </c>
      <c r="U296" s="24" t="s">
        <v>976</v>
      </c>
      <c r="V296" s="24" t="s">
        <v>69</v>
      </c>
      <c r="W296" s="24" t="s">
        <v>69</v>
      </c>
      <c r="X296" s="24" t="s">
        <v>69</v>
      </c>
      <c r="Y296" s="24" t="s">
        <v>69</v>
      </c>
      <c r="Z296" s="24" t="s">
        <v>63</v>
      </c>
      <c r="AA296" s="24" t="s">
        <v>63</v>
      </c>
      <c r="AB296" s="24" t="s">
        <v>63</v>
      </c>
      <c r="AC296" s="24" t="s">
        <v>977</v>
      </c>
    </row>
    <row r="297" spans="1:29">
      <c r="A297" s="24" t="s">
        <v>54</v>
      </c>
      <c r="B297" s="24" t="s">
        <v>968</v>
      </c>
      <c r="C297" s="24" t="s">
        <v>969</v>
      </c>
      <c r="D297" s="24" t="s">
        <v>63</v>
      </c>
      <c r="E297" s="24" t="s">
        <v>271</v>
      </c>
      <c r="F297" s="24" t="s">
        <v>987</v>
      </c>
      <c r="G297" s="24" t="s">
        <v>988</v>
      </c>
      <c r="H297" s="27" t="s">
        <v>989</v>
      </c>
      <c r="I297" s="25">
        <v>83160</v>
      </c>
      <c r="J297" s="25">
        <v>83160</v>
      </c>
      <c r="K297" s="25">
        <v>83100.39999999999</v>
      </c>
      <c r="L297" s="25">
        <v>83100.39999999999</v>
      </c>
      <c r="M297" s="26">
        <f>I297-J297</f>
        <v>0.0</v>
      </c>
      <c r="N297" s="26">
        <f>J297-K297</f>
        <v>59.60000000000582</v>
      </c>
      <c r="O297" s="26">
        <f>I297-L297</f>
        <v>59.60000000000582</v>
      </c>
      <c r="P297" s="28">
        <f>IF(I297&gt;0,L297/I297,0)</f>
        <v>0.9992833092833092</v>
      </c>
      <c r="Q297" s="28">
        <f>IF(I297&gt;0,K297/I297,0)</f>
        <v>0.9992833092833092</v>
      </c>
      <c r="R297" s="24" t="str">
        <f>IF(I297&lt;=0,"Sin PIM",IF(L297/I297&gt;=Config!$B$5,"Ejecutado",IF(K297/I297&gt;=Config!$B$6,"Mayormente comprometido",IF(K297&gt;0.005,"Parcialmente comprometido",IF(J297&gt;0.005,"Solo certificado","Sin certificar")))))</f>
        <v>Ejecutado</v>
      </c>
      <c r="S297" s="24" t="str">
        <f>IF(R297="Sin certificar","Disponible",IF(R297="Solo certificado","Posible",IF(R297="Parcialmente comprometido","Parcial",IF(R297="Mayormente comprometido","Difícil",IF(R297="Ejecutado","No usar","Sin PIM")))))</f>
        <v>No usar</v>
      </c>
      <c r="T297" s="26">
        <f>IF(OR(I297&lt;=0,R297="Ejecutado"),0,MAX(0,I297-K297))</f>
        <v>0.0</v>
      </c>
      <c r="U297" s="24" t="s">
        <v>990</v>
      </c>
      <c r="V297" s="24" t="s">
        <v>69</v>
      </c>
      <c r="W297" s="24" t="s">
        <v>69</v>
      </c>
      <c r="X297" s="24" t="s">
        <v>69</v>
      </c>
      <c r="Y297" s="24" t="s">
        <v>69</v>
      </c>
      <c r="Z297" s="24" t="s">
        <v>63</v>
      </c>
      <c r="AA297" s="24" t="s">
        <v>63</v>
      </c>
      <c r="AB297" s="24" t="s">
        <v>63</v>
      </c>
      <c r="AC297" s="24" t="s">
        <v>977</v>
      </c>
    </row>
    <row r="298" spans="1:29">
      <c r="A298" s="24" t="s">
        <v>54</v>
      </c>
      <c r="B298" s="24" t="s">
        <v>968</v>
      </c>
      <c r="C298" s="24" t="s">
        <v>969</v>
      </c>
      <c r="D298" s="24" t="s">
        <v>63</v>
      </c>
      <c r="E298" s="24" t="s">
        <v>951</v>
      </c>
      <c r="F298" s="24" t="s">
        <v>991</v>
      </c>
      <c r="G298" s="24" t="s">
        <v>992</v>
      </c>
      <c r="H298" s="27" t="s">
        <v>993</v>
      </c>
      <c r="I298" s="25">
        <v>928209</v>
      </c>
      <c r="J298" s="25">
        <v>900951.03</v>
      </c>
      <c r="K298" s="25">
        <v>899673.11</v>
      </c>
      <c r="L298" s="25">
        <v>633092.52</v>
      </c>
      <c r="M298" s="26">
        <f>I298-J298</f>
        <v>27257.969999999972</v>
      </c>
      <c r="N298" s="26">
        <f>J298-K298</f>
        <v>1277.920000000042</v>
      </c>
      <c r="O298" s="26">
        <f>I298-L298</f>
        <v>295116.48</v>
      </c>
      <c r="P298" s="28">
        <f>IF(I298&gt;0,L298/I298,0)</f>
        <v>0.6820581571607257</v>
      </c>
      <c r="Q298" s="28">
        <f>IF(I298&gt;0,K298/I298,0)</f>
        <v>0.969257042325597</v>
      </c>
      <c r="R298" s="24" t="str">
        <f>IF(I298&lt;=0,"Sin PIM",IF(L298/I298&gt;=Config!$B$5,"Ejecutado",IF(K298/I298&gt;=Config!$B$6,"Mayormente comprometido",IF(K298&gt;0.005,"Parcialmente comprometido",IF(J298&gt;0.005,"Solo certificado","Sin certificar")))))</f>
        <v>Mayormente comprometido</v>
      </c>
      <c r="S298" s="24" t="str">
        <f>IF(R298="Sin certificar","Disponible",IF(R298="Solo certificado","Posible",IF(R298="Parcialmente comprometido","Parcial",IF(R298="Mayormente comprometido","Difícil",IF(R298="Ejecutado","No usar","Sin PIM")))))</f>
        <v>Difícil</v>
      </c>
      <c r="T298" s="26">
        <f>IF(OR(I298&lt;=0,R298="Ejecutado"),0,MAX(0,I298-K298))</f>
        <v>28535.890000000014</v>
      </c>
      <c r="U298" s="24" t="s">
        <v>994</v>
      </c>
      <c r="V298" s="24" t="s">
        <v>69</v>
      </c>
      <c r="W298" s="24" t="s">
        <v>69</v>
      </c>
      <c r="X298" s="24" t="s">
        <v>69</v>
      </c>
      <c r="Y298" s="24" t="s">
        <v>69</v>
      </c>
      <c r="Z298" s="24" t="s">
        <v>63</v>
      </c>
      <c r="AA298" s="24" t="s">
        <v>63</v>
      </c>
      <c r="AB298" s="24" t="s">
        <v>63</v>
      </c>
      <c r="AC298" s="24" t="s">
        <v>955</v>
      </c>
    </row>
    <row r="299" spans="1:29">
      <c r="A299" s="24" t="s">
        <v>54</v>
      </c>
      <c r="B299" s="24" t="s">
        <v>968</v>
      </c>
      <c r="C299" s="24" t="s">
        <v>969</v>
      </c>
      <c r="D299" s="24" t="s">
        <v>63</v>
      </c>
      <c r="E299" s="24" t="s">
        <v>951</v>
      </c>
      <c r="F299" s="24" t="s">
        <v>991</v>
      </c>
      <c r="G299" s="24" t="s">
        <v>995</v>
      </c>
      <c r="H299" s="27" t="s">
        <v>993</v>
      </c>
      <c r="I299" s="25">
        <v>170000</v>
      </c>
      <c r="J299" s="25">
        <v>94655</v>
      </c>
      <c r="K299" s="25">
        <v>93354.23999999999</v>
      </c>
      <c r="L299" s="25">
        <v>44009.24</v>
      </c>
      <c r="M299" s="26">
        <f>I299-J299</f>
        <v>75345.0</v>
      </c>
      <c r="N299" s="26">
        <f>J299-K299</f>
        <v>1300.7600000000093</v>
      </c>
      <c r="O299" s="26">
        <f>I299-L299</f>
        <v>125990.76000000001</v>
      </c>
      <c r="P299" s="28">
        <f>IF(I299&gt;0,L299/I299,0)</f>
        <v>0.2588778823529412</v>
      </c>
      <c r="Q299" s="28">
        <f>IF(I299&gt;0,K299/I299,0)</f>
        <v>0.549142588235294</v>
      </c>
      <c r="R299" s="24" t="str">
        <f>IF(I299&lt;=0,"Sin PIM",IF(L299/I299&gt;=Config!$B$5,"Ejecutado",IF(K299/I299&gt;=Config!$B$6,"Mayormente comprometido",IF(K299&gt;0.005,"Parcialmente comprometido",IF(J299&gt;0.005,"Solo certificado","Sin certificar")))))</f>
        <v>Mayormente comprometido</v>
      </c>
      <c r="S299" s="24" t="str">
        <f>IF(R299="Sin certificar","Disponible",IF(R299="Solo certificado","Posible",IF(R299="Parcialmente comprometido","Parcial",IF(R299="Mayormente comprometido","Difícil",IF(R299="Ejecutado","No usar","Sin PIM")))))</f>
        <v>Difícil</v>
      </c>
      <c r="T299" s="26">
        <f>IF(OR(I299&lt;=0,R299="Ejecutado"),0,MAX(0,I299-K299))</f>
        <v>76645.76000000001</v>
      </c>
      <c r="U299" s="24" t="s">
        <v>994</v>
      </c>
      <c r="V299" s="24" t="s">
        <v>69</v>
      </c>
      <c r="W299" s="24" t="s">
        <v>69</v>
      </c>
      <c r="X299" s="24" t="s">
        <v>69</v>
      </c>
      <c r="Y299" s="24" t="s">
        <v>69</v>
      </c>
      <c r="Z299" s="24" t="s">
        <v>63</v>
      </c>
      <c r="AA299" s="24" t="s">
        <v>63</v>
      </c>
      <c r="AB299" s="24" t="s">
        <v>63</v>
      </c>
      <c r="AC299" s="24" t="s">
        <v>955</v>
      </c>
    </row>
    <row r="300" spans="1:29">
      <c r="A300" s="24" t="s">
        <v>54</v>
      </c>
      <c r="B300" s="24" t="s">
        <v>968</v>
      </c>
      <c r="C300" s="24" t="s">
        <v>969</v>
      </c>
      <c r="D300" s="24" t="s">
        <v>63</v>
      </c>
      <c r="E300" s="24" t="s">
        <v>996</v>
      </c>
      <c r="F300" s="24" t="s">
        <v>997</v>
      </c>
      <c r="G300" s="24" t="s">
        <v>998</v>
      </c>
      <c r="H300" s="27" t="s">
        <v>999</v>
      </c>
      <c r="I300" s="25">
        <v>350000</v>
      </c>
      <c r="J300" s="25">
        <v>334060</v>
      </c>
      <c r="K300" s="25">
        <v>207360</v>
      </c>
      <c r="L300" s="25">
        <v>65360</v>
      </c>
      <c r="M300" s="26">
        <f>I300-J300</f>
        <v>15940.0</v>
      </c>
      <c r="N300" s="26">
        <f>J300-K300</f>
        <v>126700.0</v>
      </c>
      <c r="O300" s="26">
        <f>I300-L300</f>
        <v>284640.0</v>
      </c>
      <c r="P300" s="28">
        <f>IF(I300&gt;0,L300/I300,0)</f>
        <v>0.18674285714285715</v>
      </c>
      <c r="Q300" s="28">
        <f>IF(I300&gt;0,K300/I300,0)</f>
        <v>0.5924571428571429</v>
      </c>
      <c r="R300" s="24" t="str">
        <f>IF(I300&lt;=0,"Sin PIM",IF(L300/I300&gt;=Config!$B$5,"Ejecutado",IF(K300/I300&gt;=Config!$B$6,"Mayormente comprometido",IF(K300&gt;0.005,"Parcialmente comprometido",IF(J300&gt;0.005,"Solo certificado","Sin certificar")))))</f>
        <v>Mayormente comprometido</v>
      </c>
      <c r="S300" s="24" t="str">
        <f>IF(R300="Sin certificar","Disponible",IF(R300="Solo certificado","Posible",IF(R300="Parcialmente comprometido","Parcial",IF(R300="Mayormente comprometido","Difícil",IF(R300="Ejecutado","No usar","Sin PIM")))))</f>
        <v>Difícil</v>
      </c>
      <c r="T300" s="26">
        <f>IF(OR(I300&lt;=0,R300="Ejecutado"),0,MAX(0,I300-K300))</f>
        <v>142640.0</v>
      </c>
      <c r="U300" s="24" t="s">
        <v>976</v>
      </c>
      <c r="V300" s="24" t="s">
        <v>69</v>
      </c>
      <c r="W300" s="24" t="s">
        <v>69</v>
      </c>
      <c r="X300" s="24" t="s">
        <v>69</v>
      </c>
      <c r="Y300" s="24" t="s">
        <v>69</v>
      </c>
      <c r="Z300" s="24" t="s">
        <v>63</v>
      </c>
      <c r="AA300" s="24" t="s">
        <v>63</v>
      </c>
      <c r="AB300" s="24" t="s">
        <v>63</v>
      </c>
      <c r="AC300" s="24" t="s">
        <v>977</v>
      </c>
    </row>
    <row r="301" spans="1:29">
      <c r="A301" s="24" t="s">
        <v>54</v>
      </c>
      <c r="B301" s="24" t="s">
        <v>968</v>
      </c>
      <c r="C301" s="24" t="s">
        <v>969</v>
      </c>
      <c r="D301" s="24" t="s">
        <v>63</v>
      </c>
      <c r="E301" s="24" t="s">
        <v>996</v>
      </c>
      <c r="F301" s="24" t="s">
        <v>1000</v>
      </c>
      <c r="G301" s="24" t="s">
        <v>1001</v>
      </c>
      <c r="H301" s="27" t="s">
        <v>1002</v>
      </c>
      <c r="I301" s="25">
        <v>349950</v>
      </c>
      <c r="J301" s="25">
        <v>287705</v>
      </c>
      <c r="K301" s="25">
        <v>145662</v>
      </c>
      <c r="L301" s="25">
        <v>136062</v>
      </c>
      <c r="M301" s="26">
        <f>I301-J301</f>
        <v>62245.0</v>
      </c>
      <c r="N301" s="26">
        <f>J301-K301</f>
        <v>142043.0</v>
      </c>
      <c r="O301" s="26">
        <f>I301-L301</f>
        <v>213888.0</v>
      </c>
      <c r="P301" s="28">
        <f>IF(I301&gt;0,L301/I301,0)</f>
        <v>0.3888041148735534</v>
      </c>
      <c r="Q301" s="28">
        <f>IF(I301&gt;0,K301/I301,0)</f>
        <v>0.4162366052293185</v>
      </c>
      <c r="R301" s="24" t="str">
        <f>IF(I301&lt;=0,"Sin PIM",IF(L301/I301&gt;=Config!$B$5,"Ejecutado",IF(K301/I301&gt;=Config!$B$6,"Mayormente comprometido",IF(K301&gt;0.005,"Parcialmente comprometido",IF(J301&gt;0.005,"Solo certificado","Sin certificar")))))</f>
        <v>Parcialmente comprometido</v>
      </c>
      <c r="S301" s="24" t="str">
        <f>IF(R301="Sin certificar","Disponible",IF(R301="Solo certificado","Posible",IF(R301="Parcialmente comprometido","Parcial",IF(R301="Mayormente comprometido","Difícil",IF(R301="Ejecutado","No usar","Sin PIM")))))</f>
        <v>Parcial</v>
      </c>
      <c r="T301" s="26">
        <f>IF(OR(I301&lt;=0,R301="Ejecutado"),0,MAX(0,I301-K301))</f>
        <v>204288.0</v>
      </c>
      <c r="U301" s="24" t="s">
        <v>976</v>
      </c>
      <c r="V301" s="24" t="s">
        <v>69</v>
      </c>
      <c r="W301" s="24" t="s">
        <v>69</v>
      </c>
      <c r="X301" s="24" t="s">
        <v>69</v>
      </c>
      <c r="Y301" s="24" t="s">
        <v>69</v>
      </c>
      <c r="Z301" s="24" t="s">
        <v>63</v>
      </c>
      <c r="AA301" s="24" t="s">
        <v>63</v>
      </c>
      <c r="AB301" s="24" t="s">
        <v>63</v>
      </c>
      <c r="AC301" s="24" t="s">
        <v>977</v>
      </c>
    </row>
    <row r="302" spans="1:29">
      <c r="A302" s="24" t="s">
        <v>54</v>
      </c>
      <c r="B302" s="24" t="s">
        <v>968</v>
      </c>
      <c r="C302" s="24" t="s">
        <v>969</v>
      </c>
      <c r="D302" s="24" t="s">
        <v>63</v>
      </c>
      <c r="E302" s="24" t="s">
        <v>996</v>
      </c>
      <c r="F302" s="24" t="s">
        <v>1003</v>
      </c>
      <c r="G302" s="24" t="s">
        <v>1004</v>
      </c>
      <c r="H302" s="27" t="s">
        <v>1005</v>
      </c>
      <c r="I302" s="25">
        <v>349899</v>
      </c>
      <c r="J302" s="25">
        <v>307070</v>
      </c>
      <c r="K302" s="25">
        <v>52070</v>
      </c>
      <c r="L302" s="25">
        <v>10500</v>
      </c>
      <c r="M302" s="26">
        <f>I302-J302</f>
        <v>42829.0</v>
      </c>
      <c r="N302" s="26">
        <f>J302-K302</f>
        <v>255000.0</v>
      </c>
      <c r="O302" s="26">
        <f>I302-L302</f>
        <v>339399.0</v>
      </c>
      <c r="P302" s="28">
        <f>IF(I302&gt;0,L302/I302,0)</f>
        <v>0.030008659641782343</v>
      </c>
      <c r="Q302" s="28">
        <f>IF(I302&gt;0,K302/I302,0)</f>
        <v>0.1488143721473911</v>
      </c>
      <c r="R302" s="24" t="str">
        <f>IF(I302&lt;=0,"Sin PIM",IF(L302/I302&gt;=Config!$B$5,"Ejecutado",IF(K302/I302&gt;=Config!$B$6,"Mayormente comprometido",IF(K302&gt;0.005,"Parcialmente comprometido",IF(J302&gt;0.005,"Solo certificado","Sin certificar")))))</f>
        <v>Parcialmente comprometido</v>
      </c>
      <c r="S302" s="24" t="str">
        <f>IF(R302="Sin certificar","Disponible",IF(R302="Solo certificado","Posible",IF(R302="Parcialmente comprometido","Parcial",IF(R302="Mayormente comprometido","Difícil",IF(R302="Ejecutado","No usar","Sin PIM")))))</f>
        <v>Parcial</v>
      </c>
      <c r="T302" s="26">
        <f>IF(OR(I302&lt;=0,R302="Ejecutado"),0,MAX(0,I302-K302))</f>
        <v>297829.0</v>
      </c>
      <c r="U302" s="24" t="s">
        <v>976</v>
      </c>
      <c r="V302" s="24" t="s">
        <v>69</v>
      </c>
      <c r="W302" s="24" t="s">
        <v>69</v>
      </c>
      <c r="X302" s="24" t="s">
        <v>69</v>
      </c>
      <c r="Y302" s="24" t="s">
        <v>69</v>
      </c>
      <c r="Z302" s="24" t="s">
        <v>63</v>
      </c>
      <c r="AA302" s="24" t="s">
        <v>63</v>
      </c>
      <c r="AB302" s="24" t="s">
        <v>63</v>
      </c>
      <c r="AC302" s="24" t="s">
        <v>977</v>
      </c>
    </row>
    <row r="303" spans="1:29">
      <c r="A303" s="24" t="s">
        <v>54</v>
      </c>
      <c r="B303" s="24" t="s">
        <v>968</v>
      </c>
      <c r="C303" s="24" t="s">
        <v>969</v>
      </c>
      <c r="D303" s="24" t="s">
        <v>63</v>
      </c>
      <c r="E303" s="24" t="s">
        <v>996</v>
      </c>
      <c r="F303" s="24" t="s">
        <v>1006</v>
      </c>
      <c r="G303" s="24" t="s">
        <v>1007</v>
      </c>
      <c r="H303" s="27" t="s">
        <v>1008</v>
      </c>
      <c r="I303" s="25">
        <v>349792</v>
      </c>
      <c r="J303" s="25">
        <v>321500</v>
      </c>
      <c r="K303" s="25">
        <v>0</v>
      </c>
      <c r="L303" s="25">
        <v>0</v>
      </c>
      <c r="M303" s="26">
        <f>I303-J303</f>
        <v>28292.0</v>
      </c>
      <c r="N303" s="26">
        <f>J303-K303</f>
        <v>321500.0</v>
      </c>
      <c r="O303" s="26">
        <f>I303-L303</f>
        <v>349792.0</v>
      </c>
      <c r="P303" s="28">
        <f>IF(I303&gt;0,L303/I303,0)</f>
        <v>0.0</v>
      </c>
      <c r="Q303" s="28">
        <f>IF(I303&gt;0,K303/I303,0)</f>
        <v>0.0</v>
      </c>
      <c r="R303" s="24" t="str">
        <f>IF(I303&lt;=0,"Sin PIM",IF(L303/I303&gt;=Config!$B$5,"Ejecutado",IF(K303/I303&gt;=Config!$B$6,"Mayormente comprometido",IF(K303&gt;0.005,"Parcialmente comprometido",IF(J303&gt;0.005,"Solo certificado","Sin certificar")))))</f>
        <v>Solo certificado</v>
      </c>
      <c r="S303" s="24" t="str">
        <f>IF(R303="Sin certificar","Disponible",IF(R303="Solo certificado","Posible",IF(R303="Parcialmente comprometido","Parcial",IF(R303="Mayormente comprometido","Difícil",IF(R303="Ejecutado","No usar","Sin PIM")))))</f>
        <v>Posible</v>
      </c>
      <c r="T303" s="26">
        <f>IF(OR(I303&lt;=0,R303="Ejecutado"),0,MAX(0,I303-K303))</f>
        <v>349792.0</v>
      </c>
      <c r="U303" s="24" t="s">
        <v>976</v>
      </c>
      <c r="V303" s="24" t="s">
        <v>69</v>
      </c>
      <c r="W303" s="24" t="s">
        <v>69</v>
      </c>
      <c r="X303" s="24" t="s">
        <v>69</v>
      </c>
      <c r="Y303" s="24" t="s">
        <v>69</v>
      </c>
      <c r="Z303" s="24" t="s">
        <v>63</v>
      </c>
      <c r="AA303" s="24" t="s">
        <v>63</v>
      </c>
      <c r="AB303" s="24" t="s">
        <v>63</v>
      </c>
      <c r="AC303" s="24" t="s">
        <v>977</v>
      </c>
    </row>
    <row r="304" spans="1:29">
      <c r="A304" s="24" t="s">
        <v>54</v>
      </c>
      <c r="B304" s="24" t="s">
        <v>968</v>
      </c>
      <c r="C304" s="24" t="s">
        <v>969</v>
      </c>
      <c r="D304" s="24" t="s">
        <v>63</v>
      </c>
      <c r="E304" s="24" t="s">
        <v>996</v>
      </c>
      <c r="F304" s="24" t="s">
        <v>1009</v>
      </c>
      <c r="G304" s="24" t="s">
        <v>1010</v>
      </c>
      <c r="H304" s="27" t="s">
        <v>1011</v>
      </c>
      <c r="I304" s="25">
        <v>349792</v>
      </c>
      <c r="J304" s="25">
        <v>329100</v>
      </c>
      <c r="K304" s="25">
        <v>0</v>
      </c>
      <c r="L304" s="25">
        <v>0</v>
      </c>
      <c r="M304" s="26">
        <f>I304-J304</f>
        <v>20692.0</v>
      </c>
      <c r="N304" s="26">
        <f>J304-K304</f>
        <v>329100.0</v>
      </c>
      <c r="O304" s="26">
        <f>I304-L304</f>
        <v>349792.0</v>
      </c>
      <c r="P304" s="28">
        <f>IF(I304&gt;0,L304/I304,0)</f>
        <v>0.0</v>
      </c>
      <c r="Q304" s="28">
        <f>IF(I304&gt;0,K304/I304,0)</f>
        <v>0.0</v>
      </c>
      <c r="R304" s="24" t="str">
        <f>IF(I304&lt;=0,"Sin PIM",IF(L304/I304&gt;=Config!$B$5,"Ejecutado",IF(K304/I304&gt;=Config!$B$6,"Mayormente comprometido",IF(K304&gt;0.005,"Parcialmente comprometido",IF(J304&gt;0.005,"Solo certificado","Sin certificar")))))</f>
        <v>Solo certificado</v>
      </c>
      <c r="S304" s="24" t="str">
        <f>IF(R304="Sin certificar","Disponible",IF(R304="Solo certificado","Posible",IF(R304="Parcialmente comprometido","Parcial",IF(R304="Mayormente comprometido","Difícil",IF(R304="Ejecutado","No usar","Sin PIM")))))</f>
        <v>Posible</v>
      </c>
      <c r="T304" s="26">
        <f>IF(OR(I304&lt;=0,R304="Ejecutado"),0,MAX(0,I304-K304))</f>
        <v>349792.0</v>
      </c>
      <c r="U304" s="24" t="s">
        <v>976</v>
      </c>
      <c r="V304" s="24" t="s">
        <v>69</v>
      </c>
      <c r="W304" s="24" t="s">
        <v>69</v>
      </c>
      <c r="X304" s="24" t="s">
        <v>69</v>
      </c>
      <c r="Y304" s="24" t="s">
        <v>69</v>
      </c>
      <c r="Z304" s="24" t="s">
        <v>63</v>
      </c>
      <c r="AA304" s="24" t="s">
        <v>63</v>
      </c>
      <c r="AB304" s="24" t="s">
        <v>63</v>
      </c>
      <c r="AC304" s="24" t="s">
        <v>977</v>
      </c>
    </row>
    <row r="305" spans="1:29">
      <c r="A305" s="24" t="s">
        <v>54</v>
      </c>
      <c r="B305" s="24" t="s">
        <v>968</v>
      </c>
      <c r="C305" s="24" t="s">
        <v>969</v>
      </c>
      <c r="D305" s="24" t="s">
        <v>63</v>
      </c>
      <c r="E305" s="24" t="s">
        <v>996</v>
      </c>
      <c r="F305" s="24" t="s">
        <v>1012</v>
      </c>
      <c r="G305" s="24" t="s">
        <v>1013</v>
      </c>
      <c r="H305" s="27" t="s">
        <v>1014</v>
      </c>
      <c r="I305" s="25">
        <v>346711</v>
      </c>
      <c r="J305" s="25">
        <v>318955</v>
      </c>
      <c r="K305" s="25">
        <v>118945</v>
      </c>
      <c r="L305" s="25">
        <v>112190</v>
      </c>
      <c r="M305" s="26">
        <f>I305-J305</f>
        <v>27756.0</v>
      </c>
      <c r="N305" s="26">
        <f>J305-K305</f>
        <v>200010.0</v>
      </c>
      <c r="O305" s="26">
        <f>I305-L305</f>
        <v>234521.0</v>
      </c>
      <c r="P305" s="28">
        <f>IF(I305&gt;0,L305/I305,0)</f>
        <v>0.3235836186333863</v>
      </c>
      <c r="Q305" s="28">
        <f>IF(I305&gt;0,K305/I305,0)</f>
        <v>0.3430667039695885</v>
      </c>
      <c r="R305" s="24" t="str">
        <f>IF(I305&lt;=0,"Sin PIM",IF(L305/I305&gt;=Config!$B$5,"Ejecutado",IF(K305/I305&gt;=Config!$B$6,"Mayormente comprometido",IF(K305&gt;0.005,"Parcialmente comprometido",IF(J305&gt;0.005,"Solo certificado","Sin certificar")))))</f>
        <v>Parcialmente comprometido</v>
      </c>
      <c r="S305" s="24" t="str">
        <f>IF(R305="Sin certificar","Disponible",IF(R305="Solo certificado","Posible",IF(R305="Parcialmente comprometido","Parcial",IF(R305="Mayormente comprometido","Difícil",IF(R305="Ejecutado","No usar","Sin PIM")))))</f>
        <v>Parcial</v>
      </c>
      <c r="T305" s="26">
        <f>IF(OR(I305&lt;=0,R305="Ejecutado"),0,MAX(0,I305-K305))</f>
        <v>227766.0</v>
      </c>
      <c r="U305" s="24" t="s">
        <v>976</v>
      </c>
      <c r="V305" s="24" t="s">
        <v>69</v>
      </c>
      <c r="W305" s="24" t="s">
        <v>69</v>
      </c>
      <c r="X305" s="24" t="s">
        <v>69</v>
      </c>
      <c r="Y305" s="24" t="s">
        <v>69</v>
      </c>
      <c r="Z305" s="24" t="s">
        <v>63</v>
      </c>
      <c r="AA305" s="24" t="s">
        <v>63</v>
      </c>
      <c r="AB305" s="24" t="s">
        <v>63</v>
      </c>
      <c r="AC305" s="24" t="s">
        <v>977</v>
      </c>
    </row>
    <row r="306" spans="1:29">
      <c r="A306" s="24" t="s">
        <v>54</v>
      </c>
      <c r="B306" s="24" t="s">
        <v>968</v>
      </c>
      <c r="C306" s="24" t="s">
        <v>969</v>
      </c>
      <c r="D306" s="24" t="s">
        <v>63</v>
      </c>
      <c r="E306" s="24" t="s">
        <v>996</v>
      </c>
      <c r="F306" s="24" t="s">
        <v>1015</v>
      </c>
      <c r="G306" s="24" t="s">
        <v>1016</v>
      </c>
      <c r="H306" s="27" t="s">
        <v>1017</v>
      </c>
      <c r="I306" s="25">
        <v>269980</v>
      </c>
      <c r="J306" s="25">
        <v>259749</v>
      </c>
      <c r="K306" s="25">
        <v>258249</v>
      </c>
      <c r="L306" s="25">
        <v>255066</v>
      </c>
      <c r="M306" s="26">
        <f>I306-J306</f>
        <v>10231.0</v>
      </c>
      <c r="N306" s="26">
        <f>J306-K306</f>
        <v>1500.0</v>
      </c>
      <c r="O306" s="26">
        <f>I306-L306</f>
        <v>14914.0</v>
      </c>
      <c r="P306" s="28">
        <f>IF(I306&gt;0,L306/I306,0)</f>
        <v>0.9447588710274836</v>
      </c>
      <c r="Q306" s="28">
        <f>IF(I306&gt;0,K306/I306,0)</f>
        <v>0.9565486332320913</v>
      </c>
      <c r="R306" s="24" t="str">
        <f>IF(I306&lt;=0,"Sin PIM",IF(L306/I306&gt;=Config!$B$5,"Ejecutado",IF(K306/I306&gt;=Config!$B$6,"Mayormente comprometido",IF(K306&gt;0.005,"Parcialmente comprometido",IF(J306&gt;0.005,"Solo certificado","Sin certificar")))))</f>
        <v>Ejecutado</v>
      </c>
      <c r="S306" s="24" t="str">
        <f>IF(R306="Sin certificar","Disponible",IF(R306="Solo certificado","Posible",IF(R306="Parcialmente comprometido","Parcial",IF(R306="Mayormente comprometido","Difícil",IF(R306="Ejecutado","No usar","Sin PIM")))))</f>
        <v>No usar</v>
      </c>
      <c r="T306" s="26">
        <f>IF(OR(I306&lt;=0,R306="Ejecutado"),0,MAX(0,I306-K306))</f>
        <v>0.0</v>
      </c>
      <c r="U306" s="24" t="s">
        <v>976</v>
      </c>
      <c r="V306" s="24" t="s">
        <v>69</v>
      </c>
      <c r="W306" s="24" t="s">
        <v>69</v>
      </c>
      <c r="X306" s="24" t="s">
        <v>69</v>
      </c>
      <c r="Y306" s="24" t="s">
        <v>69</v>
      </c>
      <c r="Z306" s="24" t="s">
        <v>63</v>
      </c>
      <c r="AA306" s="24" t="s">
        <v>63</v>
      </c>
      <c r="AB306" s="24" t="s">
        <v>63</v>
      </c>
      <c r="AC306" s="24" t="s">
        <v>977</v>
      </c>
    </row>
    <row r="307" spans="1:29">
      <c r="A307" s="24" t="s">
        <v>54</v>
      </c>
      <c r="B307" s="24" t="s">
        <v>968</v>
      </c>
      <c r="C307" s="24" t="s">
        <v>969</v>
      </c>
      <c r="D307" s="24" t="s">
        <v>63</v>
      </c>
      <c r="E307" s="24" t="s">
        <v>996</v>
      </c>
      <c r="F307" s="24" t="s">
        <v>1018</v>
      </c>
      <c r="G307" s="24" t="s">
        <v>1019</v>
      </c>
      <c r="H307" s="27" t="s">
        <v>1020</v>
      </c>
      <c r="I307" s="25">
        <v>209400</v>
      </c>
      <c r="J307" s="25">
        <v>176550</v>
      </c>
      <c r="K307" s="25">
        <v>176550</v>
      </c>
      <c r="L307" s="25">
        <v>136550</v>
      </c>
      <c r="M307" s="26">
        <f>I307-J307</f>
        <v>32850.0</v>
      </c>
      <c r="N307" s="26">
        <f>J307-K307</f>
        <v>0.0</v>
      </c>
      <c r="O307" s="26">
        <f>I307-L307</f>
        <v>72850.0</v>
      </c>
      <c r="P307" s="28">
        <f>IF(I307&gt;0,L307/I307,0)</f>
        <v>0.6521012416427889</v>
      </c>
      <c r="Q307" s="28">
        <f>IF(I307&gt;0,K307/I307,0)</f>
        <v>0.8431232091690545</v>
      </c>
      <c r="R307" s="24" t="str">
        <f>IF(I307&lt;=0,"Sin PIM",IF(L307/I307&gt;=Config!$B$5,"Ejecutado",IF(K307/I307&gt;=Config!$B$6,"Mayormente comprometido",IF(K307&gt;0.005,"Parcialmente comprometido",IF(J307&gt;0.005,"Solo certificado","Sin certificar")))))</f>
        <v>Mayormente comprometido</v>
      </c>
      <c r="S307" s="24" t="str">
        <f>IF(R307="Sin certificar","Disponible",IF(R307="Solo certificado","Posible",IF(R307="Parcialmente comprometido","Parcial",IF(R307="Mayormente comprometido","Difícil",IF(R307="Ejecutado","No usar","Sin PIM")))))</f>
        <v>Difícil</v>
      </c>
      <c r="T307" s="26">
        <f>IF(OR(I307&lt;=0,R307="Ejecutado"),0,MAX(0,I307-K307))</f>
        <v>32850.0</v>
      </c>
      <c r="U307" s="24" t="s">
        <v>976</v>
      </c>
      <c r="V307" s="24" t="s">
        <v>69</v>
      </c>
      <c r="W307" s="24" t="s">
        <v>69</v>
      </c>
      <c r="X307" s="24" t="s">
        <v>69</v>
      </c>
      <c r="Y307" s="24" t="s">
        <v>69</v>
      </c>
      <c r="Z307" s="24" t="s">
        <v>63</v>
      </c>
      <c r="AA307" s="24" t="s">
        <v>63</v>
      </c>
      <c r="AB307" s="24" t="s">
        <v>63</v>
      </c>
      <c r="AC307" s="24" t="s">
        <v>977</v>
      </c>
    </row>
    <row r="308" spans="1:29">
      <c r="A308" s="24" t="s">
        <v>54</v>
      </c>
      <c r="B308" s="24" t="s">
        <v>968</v>
      </c>
      <c r="C308" s="24" t="s">
        <v>969</v>
      </c>
      <c r="D308" s="24" t="s">
        <v>63</v>
      </c>
      <c r="E308" s="24" t="s">
        <v>996</v>
      </c>
      <c r="F308" s="24" t="s">
        <v>1021</v>
      </c>
      <c r="G308" s="24" t="s">
        <v>1022</v>
      </c>
      <c r="H308" s="27" t="s">
        <v>1023</v>
      </c>
      <c r="I308" s="25">
        <v>160000</v>
      </c>
      <c r="J308" s="25">
        <v>143401</v>
      </c>
      <c r="K308" s="25">
        <v>143401</v>
      </c>
      <c r="L308" s="25">
        <v>143401</v>
      </c>
      <c r="M308" s="26">
        <f>I308-J308</f>
        <v>16599.0</v>
      </c>
      <c r="N308" s="26">
        <f>J308-K308</f>
        <v>0.0</v>
      </c>
      <c r="O308" s="26">
        <f>I308-L308</f>
        <v>16599.0</v>
      </c>
      <c r="P308" s="28">
        <f>IF(I308&gt;0,L308/I308,0)</f>
        <v>0.89625625</v>
      </c>
      <c r="Q308" s="28">
        <f>IF(I308&gt;0,K308/I308,0)</f>
        <v>0.89625625</v>
      </c>
      <c r="R308" s="24" t="str">
        <f>IF(I308&lt;=0,"Sin PIM",IF(L308/I308&gt;=Config!$B$5,"Ejecutado",IF(K308/I308&gt;=Config!$B$6,"Mayormente comprometido",IF(K308&gt;0.005,"Parcialmente comprometido",IF(J308&gt;0.005,"Solo certificado","Sin certificar")))))</f>
        <v>Mayormente comprometido</v>
      </c>
      <c r="S308" s="24" t="str">
        <f>IF(R308="Sin certificar","Disponible",IF(R308="Solo certificado","Posible",IF(R308="Parcialmente comprometido","Parcial",IF(R308="Mayormente comprometido","Difícil",IF(R308="Ejecutado","No usar","Sin PIM")))))</f>
        <v>Difícil</v>
      </c>
      <c r="T308" s="26">
        <f>IF(OR(I308&lt;=0,R308="Ejecutado"),0,MAX(0,I308-K308))</f>
        <v>16599.0</v>
      </c>
      <c r="U308" s="24" t="s">
        <v>976</v>
      </c>
      <c r="V308" s="24" t="s">
        <v>69</v>
      </c>
      <c r="W308" s="24" t="s">
        <v>69</v>
      </c>
      <c r="X308" s="24" t="s">
        <v>69</v>
      </c>
      <c r="Y308" s="24" t="s">
        <v>69</v>
      </c>
      <c r="Z308" s="24" t="s">
        <v>63</v>
      </c>
      <c r="AA308" s="24" t="s">
        <v>63</v>
      </c>
      <c r="AB308" s="24" t="s">
        <v>63</v>
      </c>
      <c r="AC308" s="24" t="s">
        <v>977</v>
      </c>
    </row>
    <row r="309" spans="1:29">
      <c r="A309" s="24" t="s">
        <v>54</v>
      </c>
      <c r="B309" s="24" t="s">
        <v>968</v>
      </c>
      <c r="C309" s="24" t="s">
        <v>969</v>
      </c>
      <c r="D309" s="24" t="s">
        <v>63</v>
      </c>
      <c r="E309" s="24" t="s">
        <v>996</v>
      </c>
      <c r="F309" s="24" t="s">
        <v>1024</v>
      </c>
      <c r="G309" s="24" t="s">
        <v>1025</v>
      </c>
      <c r="H309" s="27" t="s">
        <v>1026</v>
      </c>
      <c r="I309" s="25">
        <v>160000</v>
      </c>
      <c r="J309" s="25">
        <v>149840</v>
      </c>
      <c r="K309" s="25">
        <v>34040</v>
      </c>
      <c r="L309" s="25">
        <v>18740</v>
      </c>
      <c r="M309" s="26">
        <f>I309-J309</f>
        <v>10160.0</v>
      </c>
      <c r="N309" s="26">
        <f>J309-K309</f>
        <v>115800.0</v>
      </c>
      <c r="O309" s="26">
        <f>I309-L309</f>
        <v>141260.0</v>
      </c>
      <c r="P309" s="28">
        <f>IF(I309&gt;0,L309/I309,0)</f>
        <v>0.117125</v>
      </c>
      <c r="Q309" s="28">
        <f>IF(I309&gt;0,K309/I309,0)</f>
        <v>0.21275</v>
      </c>
      <c r="R309" s="24" t="str">
        <f>IF(I309&lt;=0,"Sin PIM",IF(L309/I309&gt;=Config!$B$5,"Ejecutado",IF(K309/I309&gt;=Config!$B$6,"Mayormente comprometido",IF(K309&gt;0.005,"Parcialmente comprometido",IF(J309&gt;0.005,"Solo certificado","Sin certificar")))))</f>
        <v>Parcialmente comprometido</v>
      </c>
      <c r="S309" s="24" t="str">
        <f>IF(R309="Sin certificar","Disponible",IF(R309="Solo certificado","Posible",IF(R309="Parcialmente comprometido","Parcial",IF(R309="Mayormente comprometido","Difícil",IF(R309="Ejecutado","No usar","Sin PIM")))))</f>
        <v>Parcial</v>
      </c>
      <c r="T309" s="26">
        <f>IF(OR(I309&lt;=0,R309="Ejecutado"),0,MAX(0,I309-K309))</f>
        <v>125960.0</v>
      </c>
      <c r="U309" s="24" t="s">
        <v>976</v>
      </c>
      <c r="V309" s="24" t="s">
        <v>69</v>
      </c>
      <c r="W309" s="24" t="s">
        <v>69</v>
      </c>
      <c r="X309" s="24" t="s">
        <v>69</v>
      </c>
      <c r="Y309" s="24" t="s">
        <v>69</v>
      </c>
      <c r="Z309" s="24" t="s">
        <v>63</v>
      </c>
      <c r="AA309" s="24" t="s">
        <v>63</v>
      </c>
      <c r="AB309" s="24" t="s">
        <v>63</v>
      </c>
      <c r="AC309" s="24" t="s">
        <v>977</v>
      </c>
    </row>
    <row r="310" spans="1:29">
      <c r="A310" s="24" t="s">
        <v>54</v>
      </c>
      <c r="B310" s="24" t="s">
        <v>968</v>
      </c>
      <c r="C310" s="24" t="s">
        <v>969</v>
      </c>
      <c r="D310" s="24" t="s">
        <v>63</v>
      </c>
      <c r="E310" s="24" t="s">
        <v>996</v>
      </c>
      <c r="F310" s="24" t="s">
        <v>1027</v>
      </c>
      <c r="G310" s="24" t="s">
        <v>1028</v>
      </c>
      <c r="H310" s="27" t="s">
        <v>1029</v>
      </c>
      <c r="I310" s="25">
        <v>160000</v>
      </c>
      <c r="J310" s="25">
        <v>148990</v>
      </c>
      <c r="K310" s="25">
        <v>147990</v>
      </c>
      <c r="L310" s="25">
        <v>26000</v>
      </c>
      <c r="M310" s="26">
        <f>I310-J310</f>
        <v>11010.0</v>
      </c>
      <c r="N310" s="26">
        <f>J310-K310</f>
        <v>1000.0</v>
      </c>
      <c r="O310" s="26">
        <f>I310-L310</f>
        <v>134000.0</v>
      </c>
      <c r="P310" s="28">
        <f>IF(I310&gt;0,L310/I310,0)</f>
        <v>0.1625</v>
      </c>
      <c r="Q310" s="28">
        <f>IF(I310&gt;0,K310/I310,0)</f>
        <v>0.9249375</v>
      </c>
      <c r="R310" s="24" t="str">
        <f>IF(I310&lt;=0,"Sin PIM",IF(L310/I310&gt;=Config!$B$5,"Ejecutado",IF(K310/I310&gt;=Config!$B$6,"Mayormente comprometido",IF(K310&gt;0.005,"Parcialmente comprometido",IF(J310&gt;0.005,"Solo certificado","Sin certificar")))))</f>
        <v>Mayormente comprometido</v>
      </c>
      <c r="S310" s="24" t="str">
        <f>IF(R310="Sin certificar","Disponible",IF(R310="Solo certificado","Posible",IF(R310="Parcialmente comprometido","Parcial",IF(R310="Mayormente comprometido","Difícil",IF(R310="Ejecutado","No usar","Sin PIM")))))</f>
        <v>Difícil</v>
      </c>
      <c r="T310" s="26">
        <f>IF(OR(I310&lt;=0,R310="Ejecutado"),0,MAX(0,I310-K310))</f>
        <v>12010.0</v>
      </c>
      <c r="U310" s="24" t="s">
        <v>976</v>
      </c>
      <c r="V310" s="24" t="s">
        <v>69</v>
      </c>
      <c r="W310" s="24" t="s">
        <v>69</v>
      </c>
      <c r="X310" s="24" t="s">
        <v>69</v>
      </c>
      <c r="Y310" s="24" t="s">
        <v>69</v>
      </c>
      <c r="Z310" s="24" t="s">
        <v>63</v>
      </c>
      <c r="AA310" s="24" t="s">
        <v>63</v>
      </c>
      <c r="AB310" s="24" t="s">
        <v>63</v>
      </c>
      <c r="AC310" s="24" t="s">
        <v>977</v>
      </c>
    </row>
    <row r="311" spans="1:29">
      <c r="A311" s="24" t="s">
        <v>54</v>
      </c>
      <c r="B311" s="24" t="s">
        <v>968</v>
      </c>
      <c r="C311" s="24" t="s">
        <v>969</v>
      </c>
      <c r="D311" s="24" t="s">
        <v>63</v>
      </c>
      <c r="E311" s="24" t="s">
        <v>996</v>
      </c>
      <c r="F311" s="24" t="s">
        <v>1030</v>
      </c>
      <c r="G311" s="24" t="s">
        <v>1031</v>
      </c>
      <c r="H311" s="27" t="s">
        <v>1032</v>
      </c>
      <c r="I311" s="25">
        <v>160000</v>
      </c>
      <c r="J311" s="25">
        <v>150870</v>
      </c>
      <c r="K311" s="25">
        <v>51270</v>
      </c>
      <c r="L311" s="25">
        <v>45270</v>
      </c>
      <c r="M311" s="26">
        <f>I311-J311</f>
        <v>9130.0</v>
      </c>
      <c r="N311" s="26">
        <f>J311-K311</f>
        <v>99600.0</v>
      </c>
      <c r="O311" s="26">
        <f>I311-L311</f>
        <v>114730.0</v>
      </c>
      <c r="P311" s="28">
        <f>IF(I311&gt;0,L311/I311,0)</f>
        <v>0.2829375</v>
      </c>
      <c r="Q311" s="28">
        <f>IF(I311&gt;0,K311/I311,0)</f>
        <v>0.3204375</v>
      </c>
      <c r="R311" s="24" t="str">
        <f>IF(I311&lt;=0,"Sin PIM",IF(L311/I311&gt;=Config!$B$5,"Ejecutado",IF(K311/I311&gt;=Config!$B$6,"Mayormente comprometido",IF(K311&gt;0.005,"Parcialmente comprometido",IF(J311&gt;0.005,"Solo certificado","Sin certificar")))))</f>
        <v>Parcialmente comprometido</v>
      </c>
      <c r="S311" s="24" t="str">
        <f>IF(R311="Sin certificar","Disponible",IF(R311="Solo certificado","Posible",IF(R311="Parcialmente comprometido","Parcial",IF(R311="Mayormente comprometido","Difícil",IF(R311="Ejecutado","No usar","Sin PIM")))))</f>
        <v>Parcial</v>
      </c>
      <c r="T311" s="26">
        <f>IF(OR(I311&lt;=0,R311="Ejecutado"),0,MAX(0,I311-K311))</f>
        <v>108730.0</v>
      </c>
      <c r="U311" s="24" t="s">
        <v>976</v>
      </c>
      <c r="V311" s="24" t="s">
        <v>69</v>
      </c>
      <c r="W311" s="24" t="s">
        <v>69</v>
      </c>
      <c r="X311" s="24" t="s">
        <v>69</v>
      </c>
      <c r="Y311" s="24" t="s">
        <v>69</v>
      </c>
      <c r="Z311" s="24" t="s">
        <v>63</v>
      </c>
      <c r="AA311" s="24" t="s">
        <v>63</v>
      </c>
      <c r="AB311" s="24" t="s">
        <v>63</v>
      </c>
      <c r="AC311" s="24" t="s">
        <v>977</v>
      </c>
    </row>
    <row r="312" spans="1:29">
      <c r="A312" s="24" t="s">
        <v>54</v>
      </c>
      <c r="B312" s="24" t="s">
        <v>968</v>
      </c>
      <c r="C312" s="24" t="s">
        <v>969</v>
      </c>
      <c r="D312" s="24" t="s">
        <v>63</v>
      </c>
      <c r="E312" s="24" t="s">
        <v>996</v>
      </c>
      <c r="F312" s="24" t="s">
        <v>1033</v>
      </c>
      <c r="G312" s="24" t="s">
        <v>1034</v>
      </c>
      <c r="H312" s="27" t="s">
        <v>1035</v>
      </c>
      <c r="I312" s="25">
        <v>160000</v>
      </c>
      <c r="J312" s="25">
        <v>151322</v>
      </c>
      <c r="K312" s="25">
        <v>96322</v>
      </c>
      <c r="L312" s="25">
        <v>96322</v>
      </c>
      <c r="M312" s="26">
        <f>I312-J312</f>
        <v>8678.0</v>
      </c>
      <c r="N312" s="26">
        <f>J312-K312</f>
        <v>55000.0</v>
      </c>
      <c r="O312" s="26">
        <f>I312-L312</f>
        <v>63678.0</v>
      </c>
      <c r="P312" s="28">
        <f>IF(I312&gt;0,L312/I312,0)</f>
        <v>0.6020125</v>
      </c>
      <c r="Q312" s="28">
        <f>IF(I312&gt;0,K312/I312,0)</f>
        <v>0.6020125</v>
      </c>
      <c r="R312" s="24" t="str">
        <f>IF(I312&lt;=0,"Sin PIM",IF(L312/I312&gt;=Config!$B$5,"Ejecutado",IF(K312/I312&gt;=Config!$B$6,"Mayormente comprometido",IF(K312&gt;0.005,"Parcialmente comprometido",IF(J312&gt;0.005,"Solo certificado","Sin certificar")))))</f>
        <v>Mayormente comprometido</v>
      </c>
      <c r="S312" s="24" t="str">
        <f>IF(R312="Sin certificar","Disponible",IF(R312="Solo certificado","Posible",IF(R312="Parcialmente comprometido","Parcial",IF(R312="Mayormente comprometido","Difícil",IF(R312="Ejecutado","No usar","Sin PIM")))))</f>
        <v>Difícil</v>
      </c>
      <c r="T312" s="26">
        <f>IF(OR(I312&lt;=0,R312="Ejecutado"),0,MAX(0,I312-K312))</f>
        <v>63678.0</v>
      </c>
      <c r="U312" s="24" t="s">
        <v>976</v>
      </c>
      <c r="V312" s="24" t="s">
        <v>69</v>
      </c>
      <c r="W312" s="24" t="s">
        <v>69</v>
      </c>
      <c r="X312" s="24" t="s">
        <v>69</v>
      </c>
      <c r="Y312" s="24" t="s">
        <v>69</v>
      </c>
      <c r="Z312" s="24" t="s">
        <v>63</v>
      </c>
      <c r="AA312" s="24" t="s">
        <v>63</v>
      </c>
      <c r="AB312" s="24" t="s">
        <v>63</v>
      </c>
      <c r="AC312" s="24" t="s">
        <v>977</v>
      </c>
    </row>
    <row r="313" spans="1:29">
      <c r="A313" s="24" t="s">
        <v>54</v>
      </c>
      <c r="B313" s="24" t="s">
        <v>968</v>
      </c>
      <c r="C313" s="24" t="s">
        <v>969</v>
      </c>
      <c r="D313" s="24" t="s">
        <v>63</v>
      </c>
      <c r="E313" s="24" t="s">
        <v>996</v>
      </c>
      <c r="F313" s="24" t="s">
        <v>1036</v>
      </c>
      <c r="G313" s="24" t="s">
        <v>1037</v>
      </c>
      <c r="H313" s="27" t="s">
        <v>1038</v>
      </c>
      <c r="I313" s="25">
        <v>160000</v>
      </c>
      <c r="J313" s="25">
        <v>145570.62</v>
      </c>
      <c r="K313" s="25">
        <v>14120</v>
      </c>
      <c r="L313" s="25">
        <v>10545</v>
      </c>
      <c r="M313" s="26">
        <f>I313-J313</f>
        <v>14429.380000000005</v>
      </c>
      <c r="N313" s="26">
        <f>J313-K313</f>
        <v>131450.62</v>
      </c>
      <c r="O313" s="26">
        <f>I313-L313</f>
        <v>149455.0</v>
      </c>
      <c r="P313" s="28">
        <f>IF(I313&gt;0,L313/I313,0)</f>
        <v>0.06590625</v>
      </c>
      <c r="Q313" s="28">
        <f>IF(I313&gt;0,K313/I313,0)</f>
        <v>0.08825</v>
      </c>
      <c r="R313" s="24" t="str">
        <f>IF(I313&lt;=0,"Sin PIM",IF(L313/I313&gt;=Config!$B$5,"Ejecutado",IF(K313/I313&gt;=Config!$B$6,"Mayormente comprometido",IF(K313&gt;0.005,"Parcialmente comprometido",IF(J313&gt;0.005,"Solo certificado","Sin certificar")))))</f>
        <v>Parcialmente comprometido</v>
      </c>
      <c r="S313" s="24" t="str">
        <f>IF(R313="Sin certificar","Disponible",IF(R313="Solo certificado","Posible",IF(R313="Parcialmente comprometido","Parcial",IF(R313="Mayormente comprometido","Difícil",IF(R313="Ejecutado","No usar","Sin PIM")))))</f>
        <v>Parcial</v>
      </c>
      <c r="T313" s="26">
        <f>IF(OR(I313&lt;=0,R313="Ejecutado"),0,MAX(0,I313-K313))</f>
        <v>145880.0</v>
      </c>
      <c r="U313" s="24" t="s">
        <v>976</v>
      </c>
      <c r="V313" s="24" t="s">
        <v>69</v>
      </c>
      <c r="W313" s="24" t="s">
        <v>69</v>
      </c>
      <c r="X313" s="24" t="s">
        <v>69</v>
      </c>
      <c r="Y313" s="24" t="s">
        <v>69</v>
      </c>
      <c r="Z313" s="24" t="s">
        <v>63</v>
      </c>
      <c r="AA313" s="24" t="s">
        <v>63</v>
      </c>
      <c r="AB313" s="24" t="s">
        <v>63</v>
      </c>
      <c r="AC313" s="24" t="s">
        <v>977</v>
      </c>
    </row>
    <row r="314" spans="1:29">
      <c r="A314" s="24" t="s">
        <v>54</v>
      </c>
      <c r="B314" s="24" t="s">
        <v>968</v>
      </c>
      <c r="C314" s="24" t="s">
        <v>969</v>
      </c>
      <c r="D314" s="24" t="s">
        <v>63</v>
      </c>
      <c r="E314" s="24" t="s">
        <v>996</v>
      </c>
      <c r="F314" s="24" t="s">
        <v>1039</v>
      </c>
      <c r="G314" s="24" t="s">
        <v>1040</v>
      </c>
      <c r="H314" s="27" t="s">
        <v>1041</v>
      </c>
      <c r="I314" s="25">
        <v>160000</v>
      </c>
      <c r="J314" s="25">
        <v>154450</v>
      </c>
      <c r="K314" s="25">
        <v>154450</v>
      </c>
      <c r="L314" s="25">
        <v>129270</v>
      </c>
      <c r="M314" s="26">
        <f>I314-J314</f>
        <v>5550.0</v>
      </c>
      <c r="N314" s="26">
        <f>J314-K314</f>
        <v>0.0</v>
      </c>
      <c r="O314" s="26">
        <f>I314-L314</f>
        <v>30730.0</v>
      </c>
      <c r="P314" s="28">
        <f>IF(I314&gt;0,L314/I314,0)</f>
        <v>0.8079375</v>
      </c>
      <c r="Q314" s="28">
        <f>IF(I314&gt;0,K314/I314,0)</f>
        <v>0.9653125</v>
      </c>
      <c r="R314" s="24" t="str">
        <f>IF(I314&lt;=0,"Sin PIM",IF(L314/I314&gt;=Config!$B$5,"Ejecutado",IF(K314/I314&gt;=Config!$B$6,"Mayormente comprometido",IF(K314&gt;0.005,"Parcialmente comprometido",IF(J314&gt;0.005,"Solo certificado","Sin certificar")))))</f>
        <v>Mayormente comprometido</v>
      </c>
      <c r="S314" s="24" t="str">
        <f>IF(R314="Sin certificar","Disponible",IF(R314="Solo certificado","Posible",IF(R314="Parcialmente comprometido","Parcial",IF(R314="Mayormente comprometido","Difícil",IF(R314="Ejecutado","No usar","Sin PIM")))))</f>
        <v>Difícil</v>
      </c>
      <c r="T314" s="26">
        <f>IF(OR(I314&lt;=0,R314="Ejecutado"),0,MAX(0,I314-K314))</f>
        <v>5550.0</v>
      </c>
      <c r="U314" s="24" t="s">
        <v>976</v>
      </c>
      <c r="V314" s="24" t="s">
        <v>69</v>
      </c>
      <c r="W314" s="24" t="s">
        <v>69</v>
      </c>
      <c r="X314" s="24" t="s">
        <v>69</v>
      </c>
      <c r="Y314" s="24" t="s">
        <v>69</v>
      </c>
      <c r="Z314" s="24" t="s">
        <v>63</v>
      </c>
      <c r="AA314" s="24" t="s">
        <v>63</v>
      </c>
      <c r="AB314" s="24" t="s">
        <v>63</v>
      </c>
      <c r="AC314" s="24" t="s">
        <v>977</v>
      </c>
    </row>
    <row r="315" spans="1:29">
      <c r="A315" s="24" t="s">
        <v>54</v>
      </c>
      <c r="B315" s="24" t="s">
        <v>968</v>
      </c>
      <c r="C315" s="24" t="s">
        <v>969</v>
      </c>
      <c r="D315" s="24" t="s">
        <v>63</v>
      </c>
      <c r="E315" s="24" t="s">
        <v>996</v>
      </c>
      <c r="F315" s="24" t="s">
        <v>1042</v>
      </c>
      <c r="G315" s="24" t="s">
        <v>1043</v>
      </c>
      <c r="H315" s="27" t="s">
        <v>1044</v>
      </c>
      <c r="I315" s="25">
        <v>160000</v>
      </c>
      <c r="J315" s="25">
        <v>146000</v>
      </c>
      <c r="K315" s="25">
        <v>2000</v>
      </c>
      <c r="L315" s="25">
        <v>2000</v>
      </c>
      <c r="M315" s="26">
        <f>I315-J315</f>
        <v>14000.0</v>
      </c>
      <c r="N315" s="26">
        <f>J315-K315</f>
        <v>144000.0</v>
      </c>
      <c r="O315" s="26">
        <f>I315-L315</f>
        <v>158000.0</v>
      </c>
      <c r="P315" s="28">
        <f>IF(I315&gt;0,L315/I315,0)</f>
        <v>0.0125</v>
      </c>
      <c r="Q315" s="28">
        <f>IF(I315&gt;0,K315/I315,0)</f>
        <v>0.0125</v>
      </c>
      <c r="R315" s="24" t="str">
        <f>IF(I315&lt;=0,"Sin PIM",IF(L315/I315&gt;=Config!$B$5,"Ejecutado",IF(K315/I315&gt;=Config!$B$6,"Mayormente comprometido",IF(K315&gt;0.005,"Parcialmente comprometido",IF(J315&gt;0.005,"Solo certificado","Sin certificar")))))</f>
        <v>Parcialmente comprometido</v>
      </c>
      <c r="S315" s="24" t="str">
        <f>IF(R315="Sin certificar","Disponible",IF(R315="Solo certificado","Posible",IF(R315="Parcialmente comprometido","Parcial",IF(R315="Mayormente comprometido","Difícil",IF(R315="Ejecutado","No usar","Sin PIM")))))</f>
        <v>Parcial</v>
      </c>
      <c r="T315" s="26">
        <f>IF(OR(I315&lt;=0,R315="Ejecutado"),0,MAX(0,I315-K315))</f>
        <v>158000.0</v>
      </c>
      <c r="U315" s="24" t="s">
        <v>976</v>
      </c>
      <c r="V315" s="24" t="s">
        <v>69</v>
      </c>
      <c r="W315" s="24" t="s">
        <v>69</v>
      </c>
      <c r="X315" s="24" t="s">
        <v>69</v>
      </c>
      <c r="Y315" s="24" t="s">
        <v>69</v>
      </c>
      <c r="Z315" s="24" t="s">
        <v>63</v>
      </c>
      <c r="AA315" s="24" t="s">
        <v>63</v>
      </c>
      <c r="AB315" s="24" t="s">
        <v>63</v>
      </c>
      <c r="AC315" s="24" t="s">
        <v>977</v>
      </c>
    </row>
    <row r="316" spans="1:29">
      <c r="A316" s="24" t="s">
        <v>54</v>
      </c>
      <c r="B316" s="24" t="s">
        <v>968</v>
      </c>
      <c r="C316" s="24" t="s">
        <v>969</v>
      </c>
      <c r="D316" s="24" t="s">
        <v>63</v>
      </c>
      <c r="E316" s="24" t="s">
        <v>996</v>
      </c>
      <c r="F316" s="24" t="s">
        <v>1045</v>
      </c>
      <c r="G316" s="24" t="s">
        <v>1046</v>
      </c>
      <c r="H316" s="27" t="s">
        <v>1047</v>
      </c>
      <c r="I316" s="25">
        <v>160000</v>
      </c>
      <c r="J316" s="25">
        <v>92650</v>
      </c>
      <c r="K316" s="25">
        <v>92640</v>
      </c>
      <c r="L316" s="25">
        <v>89300</v>
      </c>
      <c r="M316" s="26">
        <f>I316-J316</f>
        <v>67350.0</v>
      </c>
      <c r="N316" s="26">
        <f>J316-K316</f>
        <v>10.0</v>
      </c>
      <c r="O316" s="26">
        <f>I316-L316</f>
        <v>70700.0</v>
      </c>
      <c r="P316" s="28">
        <f>IF(I316&gt;0,L316/I316,0)</f>
        <v>0.558125</v>
      </c>
      <c r="Q316" s="28">
        <f>IF(I316&gt;0,K316/I316,0)</f>
        <v>0.579</v>
      </c>
      <c r="R316" s="24" t="str">
        <f>IF(I316&lt;=0,"Sin PIM",IF(L316/I316&gt;=Config!$B$5,"Ejecutado",IF(K316/I316&gt;=Config!$B$6,"Mayormente comprometido",IF(K316&gt;0.005,"Parcialmente comprometido",IF(J316&gt;0.005,"Solo certificado","Sin certificar")))))</f>
        <v>Mayormente comprometido</v>
      </c>
      <c r="S316" s="24" t="str">
        <f>IF(R316="Sin certificar","Disponible",IF(R316="Solo certificado","Posible",IF(R316="Parcialmente comprometido","Parcial",IF(R316="Mayormente comprometido","Difícil",IF(R316="Ejecutado","No usar","Sin PIM")))))</f>
        <v>Difícil</v>
      </c>
      <c r="T316" s="26">
        <f>IF(OR(I316&lt;=0,R316="Ejecutado"),0,MAX(0,I316-K316))</f>
        <v>67360.0</v>
      </c>
      <c r="U316" s="24" t="s">
        <v>976</v>
      </c>
      <c r="V316" s="24" t="s">
        <v>69</v>
      </c>
      <c r="W316" s="24" t="s">
        <v>69</v>
      </c>
      <c r="X316" s="24" t="s">
        <v>69</v>
      </c>
      <c r="Y316" s="24" t="s">
        <v>69</v>
      </c>
      <c r="Z316" s="24" t="s">
        <v>63</v>
      </c>
      <c r="AA316" s="24" t="s">
        <v>63</v>
      </c>
      <c r="AB316" s="24" t="s">
        <v>63</v>
      </c>
      <c r="AC316" s="24" t="s">
        <v>977</v>
      </c>
    </row>
    <row r="317" spans="1:29">
      <c r="A317" s="24" t="s">
        <v>54</v>
      </c>
      <c r="B317" s="24" t="s">
        <v>968</v>
      </c>
      <c r="C317" s="24" t="s">
        <v>969</v>
      </c>
      <c r="D317" s="24" t="s">
        <v>63</v>
      </c>
      <c r="E317" s="24" t="s">
        <v>996</v>
      </c>
      <c r="F317" s="24" t="s">
        <v>1048</v>
      </c>
      <c r="G317" s="24" t="s">
        <v>1049</v>
      </c>
      <c r="H317" s="27" t="s">
        <v>1050</v>
      </c>
      <c r="I317" s="25">
        <v>61500</v>
      </c>
      <c r="J317" s="25">
        <v>59000</v>
      </c>
      <c r="K317" s="25">
        <v>0</v>
      </c>
      <c r="L317" s="25">
        <v>0</v>
      </c>
      <c r="M317" s="26">
        <f>I317-J317</f>
        <v>2500.0</v>
      </c>
      <c r="N317" s="26">
        <f>J317-K317</f>
        <v>59000.0</v>
      </c>
      <c r="O317" s="26">
        <f>I317-L317</f>
        <v>61500.0</v>
      </c>
      <c r="P317" s="28">
        <f>IF(I317&gt;0,L317/I317,0)</f>
        <v>0.0</v>
      </c>
      <c r="Q317" s="28">
        <f>IF(I317&gt;0,K317/I317,0)</f>
        <v>0.0</v>
      </c>
      <c r="R317" s="24" t="str">
        <f>IF(I317&lt;=0,"Sin PIM",IF(L317/I317&gt;=Config!$B$5,"Ejecutado",IF(K317/I317&gt;=Config!$B$6,"Mayormente comprometido",IF(K317&gt;0.005,"Parcialmente comprometido",IF(J317&gt;0.005,"Solo certificado","Sin certificar")))))</f>
        <v>Solo certificado</v>
      </c>
      <c r="S317" s="24" t="str">
        <f>IF(R317="Sin certificar","Disponible",IF(R317="Solo certificado","Posible",IF(R317="Parcialmente comprometido","Parcial",IF(R317="Mayormente comprometido","Difícil",IF(R317="Ejecutado","No usar","Sin PIM")))))</f>
        <v>Posible</v>
      </c>
      <c r="T317" s="26">
        <f>IF(OR(I317&lt;=0,R317="Ejecutado"),0,MAX(0,I317-K317))</f>
        <v>61500.0</v>
      </c>
      <c r="U317" s="24" t="s">
        <v>990</v>
      </c>
      <c r="V317" s="24" t="s">
        <v>69</v>
      </c>
      <c r="W317" s="24" t="s">
        <v>69</v>
      </c>
      <c r="X317" s="24" t="s">
        <v>69</v>
      </c>
      <c r="Y317" s="24" t="s">
        <v>69</v>
      </c>
      <c r="Z317" s="24" t="s">
        <v>63</v>
      </c>
      <c r="AA317" s="24" t="s">
        <v>63</v>
      </c>
      <c r="AB317" s="24" t="s">
        <v>63</v>
      </c>
      <c r="AC317" s="24" t="s">
        <v>977</v>
      </c>
    </row>
    <row r="318" spans="1:29">
      <c r="A318" s="24" t="s">
        <v>54</v>
      </c>
      <c r="B318" s="24" t="s">
        <v>968</v>
      </c>
      <c r="C318" s="24" t="s">
        <v>969</v>
      </c>
      <c r="D318" s="24" t="s">
        <v>63</v>
      </c>
      <c r="E318" s="24" t="s">
        <v>996</v>
      </c>
      <c r="F318" s="24" t="s">
        <v>1051</v>
      </c>
      <c r="G318" s="24" t="s">
        <v>1052</v>
      </c>
      <c r="H318" s="27" t="s">
        <v>1053</v>
      </c>
      <c r="I318" s="25">
        <v>62000</v>
      </c>
      <c r="J318" s="25">
        <v>61766.67</v>
      </c>
      <c r="K318" s="25">
        <v>0</v>
      </c>
      <c r="L318" s="25">
        <v>0</v>
      </c>
      <c r="M318" s="26">
        <f>I318-J318</f>
        <v>233.33000000000175</v>
      </c>
      <c r="N318" s="26">
        <f>J318-K318</f>
        <v>61766.67</v>
      </c>
      <c r="O318" s="26">
        <f>I318-L318</f>
        <v>62000.0</v>
      </c>
      <c r="P318" s="28">
        <f>IF(I318&gt;0,L318/I318,0)</f>
        <v>0.0</v>
      </c>
      <c r="Q318" s="28">
        <f>IF(I318&gt;0,K318/I318,0)</f>
        <v>0.0</v>
      </c>
      <c r="R318" s="24" t="str">
        <f>IF(I318&lt;=0,"Sin PIM",IF(L318/I318&gt;=Config!$B$5,"Ejecutado",IF(K318/I318&gt;=Config!$B$6,"Mayormente comprometido",IF(K318&gt;0.005,"Parcialmente comprometido",IF(J318&gt;0.005,"Solo certificado","Sin certificar")))))</f>
        <v>Solo certificado</v>
      </c>
      <c r="S318" s="24" t="str">
        <f>IF(R318="Sin certificar","Disponible",IF(R318="Solo certificado","Posible",IF(R318="Parcialmente comprometido","Parcial",IF(R318="Mayormente comprometido","Difícil",IF(R318="Ejecutado","No usar","Sin PIM")))))</f>
        <v>Posible</v>
      </c>
      <c r="T318" s="26">
        <f>IF(OR(I318&lt;=0,R318="Ejecutado"),0,MAX(0,I318-K318))</f>
        <v>62000.0</v>
      </c>
      <c r="U318" s="24" t="s">
        <v>990</v>
      </c>
      <c r="V318" s="24" t="s">
        <v>69</v>
      </c>
      <c r="W318" s="24" t="s">
        <v>69</v>
      </c>
      <c r="X318" s="24" t="s">
        <v>69</v>
      </c>
      <c r="Y318" s="24" t="s">
        <v>69</v>
      </c>
      <c r="Z318" s="24" t="s">
        <v>63</v>
      </c>
      <c r="AA318" s="24" t="s">
        <v>63</v>
      </c>
      <c r="AB318" s="24" t="s">
        <v>63</v>
      </c>
      <c r="AC318" s="24" t="s">
        <v>977</v>
      </c>
    </row>
    <row r="319" spans="1:29">
      <c r="A319" s="24" t="s">
        <v>54</v>
      </c>
      <c r="B319" s="24" t="s">
        <v>968</v>
      </c>
      <c r="C319" s="24" t="s">
        <v>969</v>
      </c>
      <c r="D319" s="24" t="s">
        <v>63</v>
      </c>
      <c r="E319" s="24" t="s">
        <v>996</v>
      </c>
      <c r="F319" s="24" t="s">
        <v>1054</v>
      </c>
      <c r="G319" s="24" t="s">
        <v>1055</v>
      </c>
      <c r="H319" s="27" t="s">
        <v>1056</v>
      </c>
      <c r="I319" s="25">
        <v>63755</v>
      </c>
      <c r="J319" s="25">
        <v>60139.48</v>
      </c>
      <c r="K319" s="25">
        <v>56139.48</v>
      </c>
      <c r="L319" s="25">
        <v>2139.48</v>
      </c>
      <c r="M319" s="26">
        <f>I319-J319</f>
        <v>3615.519999999997</v>
      </c>
      <c r="N319" s="26">
        <f>J319-K319</f>
        <v>4000.0</v>
      </c>
      <c r="O319" s="26">
        <f>I319-L319</f>
        <v>61615.52</v>
      </c>
      <c r="P319" s="28">
        <f>IF(I319&gt;0,L319/I319,0)</f>
        <v>0.03355783860089405</v>
      </c>
      <c r="Q319" s="28">
        <f>IF(I319&gt;0,K319/I319,0)</f>
        <v>0.8805502313544036</v>
      </c>
      <c r="R319" s="24" t="str">
        <f>IF(I319&lt;=0,"Sin PIM",IF(L319/I319&gt;=Config!$B$5,"Ejecutado",IF(K319/I319&gt;=Config!$B$6,"Mayormente comprometido",IF(K319&gt;0.005,"Parcialmente comprometido",IF(J319&gt;0.005,"Solo certificado","Sin certificar")))))</f>
        <v>Mayormente comprometido</v>
      </c>
      <c r="S319" s="24" t="str">
        <f>IF(R319="Sin certificar","Disponible",IF(R319="Solo certificado","Posible",IF(R319="Parcialmente comprometido","Parcial",IF(R319="Mayormente comprometido","Difícil",IF(R319="Ejecutado","No usar","Sin PIM")))))</f>
        <v>Difícil</v>
      </c>
      <c r="T319" s="26">
        <f>IF(OR(I319&lt;=0,R319="Ejecutado"),0,MAX(0,I319-K319))</f>
        <v>7615.519999999997</v>
      </c>
      <c r="U319" s="24" t="s">
        <v>976</v>
      </c>
      <c r="V319" s="24" t="s">
        <v>69</v>
      </c>
      <c r="W319" s="24" t="s">
        <v>69</v>
      </c>
      <c r="X319" s="24" t="s">
        <v>69</v>
      </c>
      <c r="Y319" s="24" t="s">
        <v>69</v>
      </c>
      <c r="Z319" s="24" t="s">
        <v>63</v>
      </c>
      <c r="AA319" s="24" t="s">
        <v>63</v>
      </c>
      <c r="AB319" s="24" t="s">
        <v>63</v>
      </c>
      <c r="AC319" s="24" t="s">
        <v>977</v>
      </c>
    </row>
    <row r="320" spans="1:29">
      <c r="A320" s="24" t="s">
        <v>54</v>
      </c>
      <c r="B320" s="24" t="s">
        <v>968</v>
      </c>
      <c r="C320" s="24" t="s">
        <v>969</v>
      </c>
      <c r="D320" s="24" t="s">
        <v>63</v>
      </c>
      <c r="E320" s="24" t="s">
        <v>996</v>
      </c>
      <c r="F320" s="24" t="s">
        <v>1057</v>
      </c>
      <c r="G320" s="24" t="s">
        <v>1058</v>
      </c>
      <c r="H320" s="27" t="s">
        <v>1059</v>
      </c>
      <c r="I320" s="25">
        <v>65438</v>
      </c>
      <c r="J320" s="25">
        <v>59650</v>
      </c>
      <c r="K320" s="25">
        <v>0</v>
      </c>
      <c r="L320" s="25">
        <v>0</v>
      </c>
      <c r="M320" s="26">
        <f>I320-J320</f>
        <v>5788.0</v>
      </c>
      <c r="N320" s="26">
        <f>J320-K320</f>
        <v>59650.0</v>
      </c>
      <c r="O320" s="26">
        <f>I320-L320</f>
        <v>65438.0</v>
      </c>
      <c r="P320" s="28">
        <f>IF(I320&gt;0,L320/I320,0)</f>
        <v>0.0</v>
      </c>
      <c r="Q320" s="28">
        <f>IF(I320&gt;0,K320/I320,0)</f>
        <v>0.0</v>
      </c>
      <c r="R320" s="24" t="str">
        <f>IF(I320&lt;=0,"Sin PIM",IF(L320/I320&gt;=Config!$B$5,"Ejecutado",IF(K320/I320&gt;=Config!$B$6,"Mayormente comprometido",IF(K320&gt;0.005,"Parcialmente comprometido",IF(J320&gt;0.005,"Solo certificado","Sin certificar")))))</f>
        <v>Solo certificado</v>
      </c>
      <c r="S320" s="24" t="str">
        <f>IF(R320="Sin certificar","Disponible",IF(R320="Solo certificado","Posible",IF(R320="Parcialmente comprometido","Parcial",IF(R320="Mayormente comprometido","Difícil",IF(R320="Ejecutado","No usar","Sin PIM")))))</f>
        <v>Posible</v>
      </c>
      <c r="T320" s="26">
        <f>IF(OR(I320&lt;=0,R320="Ejecutado"),0,MAX(0,I320-K320))</f>
        <v>65438.0</v>
      </c>
      <c r="U320" s="24" t="s">
        <v>976</v>
      </c>
      <c r="V320" s="24" t="s">
        <v>69</v>
      </c>
      <c r="W320" s="24" t="s">
        <v>69</v>
      </c>
      <c r="X320" s="24" t="s">
        <v>69</v>
      </c>
      <c r="Y320" s="24" t="s">
        <v>69</v>
      </c>
      <c r="Z320" s="24" t="s">
        <v>63</v>
      </c>
      <c r="AA320" s="24" t="s">
        <v>63</v>
      </c>
      <c r="AB320" s="24" t="s">
        <v>63</v>
      </c>
      <c r="AC320" s="24" t="s">
        <v>977</v>
      </c>
    </row>
    <row r="321" spans="1:29">
      <c r="A321" s="24" t="s">
        <v>54</v>
      </c>
      <c r="B321" s="24" t="s">
        <v>968</v>
      </c>
      <c r="C321" s="24" t="s">
        <v>969</v>
      </c>
      <c r="D321" s="24" t="s">
        <v>63</v>
      </c>
      <c r="E321" s="24" t="s">
        <v>996</v>
      </c>
      <c r="F321" s="24" t="s">
        <v>1060</v>
      </c>
      <c r="G321" s="24" t="s">
        <v>1061</v>
      </c>
      <c r="H321" s="27" t="s">
        <v>1062</v>
      </c>
      <c r="I321" s="25">
        <v>61200</v>
      </c>
      <c r="J321" s="25">
        <v>59150</v>
      </c>
      <c r="K321" s="25">
        <v>59150</v>
      </c>
      <c r="L321" s="25">
        <v>59150</v>
      </c>
      <c r="M321" s="26">
        <f>I321-J321</f>
        <v>2050.0</v>
      </c>
      <c r="N321" s="26">
        <f>J321-K321</f>
        <v>0.0</v>
      </c>
      <c r="O321" s="26">
        <f>I321-L321</f>
        <v>2050.0</v>
      </c>
      <c r="P321" s="28">
        <f>IF(I321&gt;0,L321/I321,0)</f>
        <v>0.9665032679738562</v>
      </c>
      <c r="Q321" s="28">
        <f>IF(I321&gt;0,K321/I321,0)</f>
        <v>0.9665032679738562</v>
      </c>
      <c r="R321" s="24" t="str">
        <f>IF(I321&lt;=0,"Sin PIM",IF(L321/I321&gt;=Config!$B$5,"Ejecutado",IF(K321/I321&gt;=Config!$B$6,"Mayormente comprometido",IF(K321&gt;0.005,"Parcialmente comprometido",IF(J321&gt;0.005,"Solo certificado","Sin certificar")))))</f>
        <v>Ejecutado</v>
      </c>
      <c r="S321" s="24" t="str">
        <f>IF(R321="Sin certificar","Disponible",IF(R321="Solo certificado","Posible",IF(R321="Parcialmente comprometido","Parcial",IF(R321="Mayormente comprometido","Difícil",IF(R321="Ejecutado","No usar","Sin PIM")))))</f>
        <v>No usar</v>
      </c>
      <c r="T321" s="26">
        <f>IF(OR(I321&lt;=0,R321="Ejecutado"),0,MAX(0,I321-K321))</f>
        <v>0.0</v>
      </c>
      <c r="U321" s="24" t="s">
        <v>976</v>
      </c>
      <c r="V321" s="24" t="s">
        <v>69</v>
      </c>
      <c r="W321" s="24" t="s">
        <v>69</v>
      </c>
      <c r="X321" s="24" t="s">
        <v>69</v>
      </c>
      <c r="Y321" s="24" t="s">
        <v>69</v>
      </c>
      <c r="Z321" s="24" t="s">
        <v>63</v>
      </c>
      <c r="AA321" s="24" t="s">
        <v>63</v>
      </c>
      <c r="AB321" s="24" t="s">
        <v>63</v>
      </c>
      <c r="AC321" s="24" t="s">
        <v>977</v>
      </c>
    </row>
    <row r="322" spans="1:29">
      <c r="A322" s="24" t="s">
        <v>54</v>
      </c>
      <c r="B322" s="24" t="s">
        <v>968</v>
      </c>
      <c r="C322" s="24" t="s">
        <v>969</v>
      </c>
      <c r="D322" s="24" t="s">
        <v>63</v>
      </c>
      <c r="E322" s="24" t="s">
        <v>996</v>
      </c>
      <c r="F322" s="24" t="s">
        <v>1063</v>
      </c>
      <c r="G322" s="24" t="s">
        <v>1064</v>
      </c>
      <c r="H322" s="27" t="s">
        <v>1065</v>
      </c>
      <c r="I322" s="25">
        <v>2936</v>
      </c>
      <c r="J322" s="25">
        <v>2936</v>
      </c>
      <c r="K322" s="25">
        <v>2936</v>
      </c>
      <c r="L322" s="25">
        <v>2936</v>
      </c>
      <c r="M322" s="26">
        <f>I322-J322</f>
        <v>0.0</v>
      </c>
      <c r="N322" s="26">
        <f>J322-K322</f>
        <v>0.0</v>
      </c>
      <c r="O322" s="26">
        <f>I322-L322</f>
        <v>0.0</v>
      </c>
      <c r="P322" s="28">
        <f>IF(I322&gt;0,L322/I322,0)</f>
        <v>1.0</v>
      </c>
      <c r="Q322" s="28">
        <f>IF(I322&gt;0,K322/I322,0)</f>
        <v>1.0</v>
      </c>
      <c r="R322" s="24" t="str">
        <f>IF(I322&lt;=0,"Sin PIM",IF(L322/I322&gt;=Config!$B$5,"Ejecutado",IF(K322/I322&gt;=Config!$B$6,"Mayormente comprometido",IF(K322&gt;0.005,"Parcialmente comprometido",IF(J322&gt;0.005,"Solo certificado","Sin certificar")))))</f>
        <v>Ejecutado</v>
      </c>
      <c r="S322" s="24" t="str">
        <f>IF(R322="Sin certificar","Disponible",IF(R322="Solo certificado","Posible",IF(R322="Parcialmente comprometido","Parcial",IF(R322="Mayormente comprometido","Difícil",IF(R322="Ejecutado","No usar","Sin PIM")))))</f>
        <v>No usar</v>
      </c>
      <c r="T322" s="26">
        <f>IF(OR(I322&lt;=0,R322="Ejecutado"),0,MAX(0,I322-K322))</f>
        <v>0.0</v>
      </c>
      <c r="U322" s="24" t="s">
        <v>105</v>
      </c>
      <c r="V322" s="24" t="s">
        <v>69</v>
      </c>
      <c r="W322" s="24" t="s">
        <v>69</v>
      </c>
      <c r="X322" s="24" t="s">
        <v>69</v>
      </c>
      <c r="Y322" s="24" t="s">
        <v>69</v>
      </c>
      <c r="Z322" s="24" t="s">
        <v>63</v>
      </c>
      <c r="AA322" s="24" t="s">
        <v>63</v>
      </c>
      <c r="AB322" s="24" t="s">
        <v>63</v>
      </c>
      <c r="AC322" s="24" t="s">
        <v>977</v>
      </c>
    </row>
    <row r="323" spans="1:29">
      <c r="A323" s="24" t="s">
        <v>54</v>
      </c>
      <c r="B323" s="24" t="s">
        <v>968</v>
      </c>
      <c r="C323" s="24" t="s">
        <v>969</v>
      </c>
      <c r="D323" s="24" t="s">
        <v>63</v>
      </c>
      <c r="E323" s="24" t="s">
        <v>996</v>
      </c>
      <c r="F323" s="24" t="s">
        <v>1066</v>
      </c>
      <c r="G323" s="24" t="s">
        <v>1067</v>
      </c>
      <c r="H323" s="27" t="s">
        <v>1068</v>
      </c>
      <c r="I323" s="25">
        <v>10692</v>
      </c>
      <c r="J323" s="25">
        <v>10691.76</v>
      </c>
      <c r="K323" s="25">
        <v>10691.76</v>
      </c>
      <c r="L323" s="25">
        <v>10691.76</v>
      </c>
      <c r="M323" s="26">
        <f>I323-J323</f>
        <v>0.23999999999978172</v>
      </c>
      <c r="N323" s="26">
        <f>J323-K323</f>
        <v>0.0</v>
      </c>
      <c r="O323" s="26">
        <f>I323-L323</f>
        <v>0.23999999999978172</v>
      </c>
      <c r="P323" s="28">
        <f>IF(I323&gt;0,L323/I323,0)</f>
        <v>0.9999775533108867</v>
      </c>
      <c r="Q323" s="28">
        <f>IF(I323&gt;0,K323/I323,0)</f>
        <v>0.9999775533108867</v>
      </c>
      <c r="R323" s="24" t="str">
        <f>IF(I323&lt;=0,"Sin PIM",IF(L323/I323&gt;=Config!$B$5,"Ejecutado",IF(K323/I323&gt;=Config!$B$6,"Mayormente comprometido",IF(K323&gt;0.005,"Parcialmente comprometido",IF(J323&gt;0.005,"Solo certificado","Sin certificar")))))</f>
        <v>Ejecutado</v>
      </c>
      <c r="S323" s="24" t="str">
        <f>IF(R323="Sin certificar","Disponible",IF(R323="Solo certificado","Posible",IF(R323="Parcialmente comprometido","Parcial",IF(R323="Mayormente comprometido","Difícil",IF(R323="Ejecutado","No usar","Sin PIM")))))</f>
        <v>No usar</v>
      </c>
      <c r="T323" s="26">
        <f>IF(OR(I323&lt;=0,R323="Ejecutado"),0,MAX(0,I323-K323))</f>
        <v>0.0</v>
      </c>
      <c r="U323" s="24" t="s">
        <v>105</v>
      </c>
      <c r="V323" s="24" t="s">
        <v>69</v>
      </c>
      <c r="W323" s="24" t="s">
        <v>69</v>
      </c>
      <c r="X323" s="24" t="s">
        <v>69</v>
      </c>
      <c r="Y323" s="24" t="s">
        <v>69</v>
      </c>
      <c r="Z323" s="24" t="s">
        <v>63</v>
      </c>
      <c r="AA323" s="24" t="s">
        <v>63</v>
      </c>
      <c r="AB323" s="24" t="s">
        <v>63</v>
      </c>
      <c r="AC323" s="24" t="s">
        <v>977</v>
      </c>
    </row>
    <row r="324" spans="1:29">
      <c r="A324" s="24" t="s">
        <v>54</v>
      </c>
      <c r="B324" s="24" t="s">
        <v>968</v>
      </c>
      <c r="C324" s="24" t="s">
        <v>969</v>
      </c>
      <c r="D324" s="24" t="s">
        <v>63</v>
      </c>
      <c r="E324" s="24" t="s">
        <v>996</v>
      </c>
      <c r="F324" s="24" t="s">
        <v>1069</v>
      </c>
      <c r="G324" s="24" t="s">
        <v>1070</v>
      </c>
      <c r="H324" s="27" t="s">
        <v>1071</v>
      </c>
      <c r="I324" s="25">
        <v>7816</v>
      </c>
      <c r="J324" s="25">
        <v>4500</v>
      </c>
      <c r="K324" s="25">
        <v>4500</v>
      </c>
      <c r="L324" s="25">
        <v>3000</v>
      </c>
      <c r="M324" s="26">
        <f>I324-J324</f>
        <v>3316.0</v>
      </c>
      <c r="N324" s="26">
        <f>J324-K324</f>
        <v>0.0</v>
      </c>
      <c r="O324" s="26">
        <f>I324-L324</f>
        <v>4816.0</v>
      </c>
      <c r="P324" s="28">
        <f>IF(I324&gt;0,L324/I324,0)</f>
        <v>0.38382804503582396</v>
      </c>
      <c r="Q324" s="28">
        <f>IF(I324&gt;0,K324/I324,0)</f>
        <v>0.5757420675537359</v>
      </c>
      <c r="R324" s="24" t="str">
        <f>IF(I324&lt;=0,"Sin PIM",IF(L324/I324&gt;=Config!$B$5,"Ejecutado",IF(K324/I324&gt;=Config!$B$6,"Mayormente comprometido",IF(K324&gt;0.005,"Parcialmente comprometido",IF(J324&gt;0.005,"Solo certificado","Sin certificar")))))</f>
        <v>Mayormente comprometido</v>
      </c>
      <c r="S324" s="24" t="str">
        <f>IF(R324="Sin certificar","Disponible",IF(R324="Solo certificado","Posible",IF(R324="Parcialmente comprometido","Parcial",IF(R324="Mayormente comprometido","Difícil",IF(R324="Ejecutado","No usar","Sin PIM")))))</f>
        <v>Difícil</v>
      </c>
      <c r="T324" s="26">
        <f>IF(OR(I324&lt;=0,R324="Ejecutado"),0,MAX(0,I324-K324))</f>
        <v>3316.0</v>
      </c>
      <c r="U324" s="24" t="s">
        <v>105</v>
      </c>
      <c r="V324" s="24" t="s">
        <v>69</v>
      </c>
      <c r="W324" s="24" t="s">
        <v>69</v>
      </c>
      <c r="X324" s="24" t="s">
        <v>69</v>
      </c>
      <c r="Y324" s="24" t="s">
        <v>69</v>
      </c>
      <c r="Z324" s="24" t="s">
        <v>63</v>
      </c>
      <c r="AA324" s="24" t="s">
        <v>63</v>
      </c>
      <c r="AB324" s="24" t="s">
        <v>63</v>
      </c>
      <c r="AC324" s="24" t="s">
        <v>977</v>
      </c>
    </row>
    <row r="325" spans="1:29">
      <c r="A325" s="24" t="s">
        <v>54</v>
      </c>
      <c r="B325" s="24" t="s">
        <v>968</v>
      </c>
      <c r="C325" s="24" t="s">
        <v>969</v>
      </c>
      <c r="D325" s="24" t="s">
        <v>63</v>
      </c>
      <c r="E325" s="24" t="s">
        <v>996</v>
      </c>
      <c r="F325" s="24" t="s">
        <v>1072</v>
      </c>
      <c r="G325" s="24" t="s">
        <v>1073</v>
      </c>
      <c r="H325" s="27" t="s">
        <v>1074</v>
      </c>
      <c r="I325" s="25">
        <v>3546</v>
      </c>
      <c r="J325" s="25">
        <v>3546</v>
      </c>
      <c r="K325" s="25">
        <v>3546</v>
      </c>
      <c r="L325" s="25">
        <v>3546</v>
      </c>
      <c r="M325" s="26">
        <f>I325-J325</f>
        <v>0.0</v>
      </c>
      <c r="N325" s="26">
        <f>J325-K325</f>
        <v>0.0</v>
      </c>
      <c r="O325" s="26">
        <f>I325-L325</f>
        <v>0.0</v>
      </c>
      <c r="P325" s="28">
        <f>IF(I325&gt;0,L325/I325,0)</f>
        <v>1.0</v>
      </c>
      <c r="Q325" s="28">
        <f>IF(I325&gt;0,K325/I325,0)</f>
        <v>1.0</v>
      </c>
      <c r="R325" s="24" t="str">
        <f>IF(I325&lt;=0,"Sin PIM",IF(L325/I325&gt;=Config!$B$5,"Ejecutado",IF(K325/I325&gt;=Config!$B$6,"Mayormente comprometido",IF(K325&gt;0.005,"Parcialmente comprometido",IF(J325&gt;0.005,"Solo certificado","Sin certificar")))))</f>
        <v>Ejecutado</v>
      </c>
      <c r="S325" s="24" t="str">
        <f>IF(R325="Sin certificar","Disponible",IF(R325="Solo certificado","Posible",IF(R325="Parcialmente comprometido","Parcial",IF(R325="Mayormente comprometido","Difícil",IF(R325="Ejecutado","No usar","Sin PIM")))))</f>
        <v>No usar</v>
      </c>
      <c r="T325" s="26">
        <f>IF(OR(I325&lt;=0,R325="Ejecutado"),0,MAX(0,I325-K325))</f>
        <v>0.0</v>
      </c>
      <c r="U325" s="24" t="s">
        <v>105</v>
      </c>
      <c r="V325" s="24" t="s">
        <v>69</v>
      </c>
      <c r="W325" s="24" t="s">
        <v>69</v>
      </c>
      <c r="X325" s="24" t="s">
        <v>69</v>
      </c>
      <c r="Y325" s="24" t="s">
        <v>69</v>
      </c>
      <c r="Z325" s="24" t="s">
        <v>63</v>
      </c>
      <c r="AA325" s="24" t="s">
        <v>63</v>
      </c>
      <c r="AB325" s="24" t="s">
        <v>63</v>
      </c>
      <c r="AC325" s="24" t="s">
        <v>977</v>
      </c>
    </row>
    <row r="326" spans="1:29">
      <c r="A326" s="24" t="s">
        <v>54</v>
      </c>
      <c r="B326" s="24" t="s">
        <v>968</v>
      </c>
      <c r="C326" s="24" t="s">
        <v>969</v>
      </c>
      <c r="D326" s="24" t="s">
        <v>63</v>
      </c>
      <c r="E326" s="24" t="s">
        <v>996</v>
      </c>
      <c r="F326" s="24" t="s">
        <v>1075</v>
      </c>
      <c r="G326" s="24" t="s">
        <v>1076</v>
      </c>
      <c r="H326" s="27" t="s">
        <v>1077</v>
      </c>
      <c r="I326" s="25">
        <v>2555</v>
      </c>
      <c r="J326" s="25">
        <v>2550</v>
      </c>
      <c r="K326" s="25">
        <v>2550</v>
      </c>
      <c r="L326" s="25">
        <v>2550</v>
      </c>
      <c r="M326" s="26">
        <f>I326-J326</f>
        <v>5.0</v>
      </c>
      <c r="N326" s="26">
        <f>J326-K326</f>
        <v>0.0</v>
      </c>
      <c r="O326" s="26">
        <f>I326-L326</f>
        <v>5.0</v>
      </c>
      <c r="P326" s="28">
        <f>IF(I326&gt;0,L326/I326,0)</f>
        <v>0.9980430528375733</v>
      </c>
      <c r="Q326" s="28">
        <f>IF(I326&gt;0,K326/I326,0)</f>
        <v>0.9980430528375733</v>
      </c>
      <c r="R326" s="24" t="str">
        <f>IF(I326&lt;=0,"Sin PIM",IF(L326/I326&gt;=Config!$B$5,"Ejecutado",IF(K326/I326&gt;=Config!$B$6,"Mayormente comprometido",IF(K326&gt;0.005,"Parcialmente comprometido",IF(J326&gt;0.005,"Solo certificado","Sin certificar")))))</f>
        <v>Ejecutado</v>
      </c>
      <c r="S326" s="24" t="str">
        <f>IF(R326="Sin certificar","Disponible",IF(R326="Solo certificado","Posible",IF(R326="Parcialmente comprometido","Parcial",IF(R326="Mayormente comprometido","Difícil",IF(R326="Ejecutado","No usar","Sin PIM")))))</f>
        <v>No usar</v>
      </c>
      <c r="T326" s="26">
        <f>IF(OR(I326&lt;=0,R326="Ejecutado"),0,MAX(0,I326-K326))</f>
        <v>0.0</v>
      </c>
      <c r="U326" s="24" t="s">
        <v>105</v>
      </c>
      <c r="V326" s="24" t="s">
        <v>69</v>
      </c>
      <c r="W326" s="24" t="s">
        <v>69</v>
      </c>
      <c r="X326" s="24" t="s">
        <v>69</v>
      </c>
      <c r="Y326" s="24" t="s">
        <v>69</v>
      </c>
      <c r="Z326" s="24" t="s">
        <v>63</v>
      </c>
      <c r="AA326" s="24" t="s">
        <v>63</v>
      </c>
      <c r="AB326" s="24" t="s">
        <v>63</v>
      </c>
      <c r="AC326" s="24" t="s">
        <v>977</v>
      </c>
    </row>
    <row r="327" spans="1:29">
      <c r="A327" s="24" t="s">
        <v>54</v>
      </c>
      <c r="B327" s="24" t="s">
        <v>968</v>
      </c>
      <c r="C327" s="24" t="s">
        <v>969</v>
      </c>
      <c r="D327" s="24" t="s">
        <v>63</v>
      </c>
      <c r="E327" s="24" t="s">
        <v>996</v>
      </c>
      <c r="F327" s="24" t="s">
        <v>1078</v>
      </c>
      <c r="G327" s="24" t="s">
        <v>1079</v>
      </c>
      <c r="H327" s="27" t="s">
        <v>1080</v>
      </c>
      <c r="I327" s="25">
        <v>73376</v>
      </c>
      <c r="J327" s="25">
        <v>69875.75</v>
      </c>
      <c r="K327" s="25">
        <v>69875.75</v>
      </c>
      <c r="L327" s="25">
        <v>69875.75</v>
      </c>
      <c r="M327" s="26">
        <f>I327-J327</f>
        <v>3500.25</v>
      </c>
      <c r="N327" s="26">
        <f>J327-K327</f>
        <v>0.0</v>
      </c>
      <c r="O327" s="26">
        <f>I327-L327</f>
        <v>3500.25</v>
      </c>
      <c r="P327" s="28">
        <f>IF(I327&gt;0,L327/I327,0)</f>
        <v>0.9522970726122983</v>
      </c>
      <c r="Q327" s="28">
        <f>IF(I327&gt;0,K327/I327,0)</f>
        <v>0.9522970726122983</v>
      </c>
      <c r="R327" s="24" t="str">
        <f>IF(I327&lt;=0,"Sin PIM",IF(L327/I327&gt;=Config!$B$5,"Ejecutado",IF(K327/I327&gt;=Config!$B$6,"Mayormente comprometido",IF(K327&gt;0.005,"Parcialmente comprometido",IF(J327&gt;0.005,"Solo certificado","Sin certificar")))))</f>
        <v>Ejecutado</v>
      </c>
      <c r="S327" s="24" t="str">
        <f>IF(R327="Sin certificar","Disponible",IF(R327="Solo certificado","Posible",IF(R327="Parcialmente comprometido","Parcial",IF(R327="Mayormente comprometido","Difícil",IF(R327="Ejecutado","No usar","Sin PIM")))))</f>
        <v>No usar</v>
      </c>
      <c r="T327" s="26">
        <f>IF(OR(I327&lt;=0,R327="Ejecutado"),0,MAX(0,I327-K327))</f>
        <v>0.0</v>
      </c>
      <c r="U327" s="24" t="s">
        <v>976</v>
      </c>
      <c r="V327" s="24" t="s">
        <v>69</v>
      </c>
      <c r="W327" s="24" t="s">
        <v>69</v>
      </c>
      <c r="X327" s="24" t="s">
        <v>69</v>
      </c>
      <c r="Y327" s="24" t="s">
        <v>69</v>
      </c>
      <c r="Z327" s="24" t="s">
        <v>63</v>
      </c>
      <c r="AA327" s="24" t="s">
        <v>63</v>
      </c>
      <c r="AB327" s="24" t="s">
        <v>63</v>
      </c>
      <c r="AC327" s="24" t="s">
        <v>977</v>
      </c>
    </row>
    <row r="328" spans="1:29">
      <c r="A328" s="24" t="s">
        <v>54</v>
      </c>
      <c r="B328" s="24" t="s">
        <v>968</v>
      </c>
      <c r="C328" s="24" t="s">
        <v>969</v>
      </c>
      <c r="D328" s="24" t="s">
        <v>63</v>
      </c>
      <c r="E328" s="24" t="s">
        <v>996</v>
      </c>
      <c r="F328" s="24" t="s">
        <v>1081</v>
      </c>
      <c r="G328" s="24" t="s">
        <v>1082</v>
      </c>
      <c r="H328" s="27" t="s">
        <v>1083</v>
      </c>
      <c r="I328" s="25">
        <v>54964</v>
      </c>
      <c r="J328" s="25">
        <v>1977.5</v>
      </c>
      <c r="K328" s="25">
        <v>1977.5</v>
      </c>
      <c r="L328" s="25">
        <v>1977.5</v>
      </c>
      <c r="M328" s="26">
        <f>I328-J328</f>
        <v>52986.5</v>
      </c>
      <c r="N328" s="26">
        <f>J328-K328</f>
        <v>0.0</v>
      </c>
      <c r="O328" s="26">
        <f>I328-L328</f>
        <v>52986.5</v>
      </c>
      <c r="P328" s="28">
        <f>IF(I328&gt;0,L328/I328,0)</f>
        <v>0.03597809475292919</v>
      </c>
      <c r="Q328" s="28">
        <f>IF(I328&gt;0,K328/I328,0)</f>
        <v>0.03597809475292919</v>
      </c>
      <c r="R328" s="24" t="str">
        <f>IF(I328&lt;=0,"Sin PIM",IF(L328/I328&gt;=Config!$B$5,"Ejecutado",IF(K328/I328&gt;=Config!$B$6,"Mayormente comprometido",IF(K328&gt;0.005,"Parcialmente comprometido",IF(J328&gt;0.005,"Solo certificado","Sin certificar")))))</f>
        <v>Parcialmente comprometido</v>
      </c>
      <c r="S328" s="24" t="str">
        <f>IF(R328="Sin certificar","Disponible",IF(R328="Solo certificado","Posible",IF(R328="Parcialmente comprometido","Parcial",IF(R328="Mayormente comprometido","Difícil",IF(R328="Ejecutado","No usar","Sin PIM")))))</f>
        <v>Parcial</v>
      </c>
      <c r="T328" s="26">
        <f>IF(OR(I328&lt;=0,R328="Ejecutado"),0,MAX(0,I328-K328))</f>
        <v>52986.5</v>
      </c>
      <c r="U328" s="24" t="s">
        <v>976</v>
      </c>
      <c r="V328" s="24" t="s">
        <v>69</v>
      </c>
      <c r="W328" s="24" t="s">
        <v>69</v>
      </c>
      <c r="X328" s="24" t="s">
        <v>69</v>
      </c>
      <c r="Y328" s="24" t="s">
        <v>69</v>
      </c>
      <c r="Z328" s="24" t="s">
        <v>63</v>
      </c>
      <c r="AA328" s="24" t="s">
        <v>63</v>
      </c>
      <c r="AB328" s="24" t="s">
        <v>63</v>
      </c>
      <c r="AC328" s="24" t="s">
        <v>977</v>
      </c>
    </row>
    <row r="329" spans="1:29">
      <c r="A329" s="24" t="s">
        <v>54</v>
      </c>
      <c r="B329" s="24" t="s">
        <v>968</v>
      </c>
      <c r="C329" s="24" t="s">
        <v>969</v>
      </c>
      <c r="D329" s="24" t="s">
        <v>63</v>
      </c>
      <c r="E329" s="24" t="s">
        <v>996</v>
      </c>
      <c r="F329" s="24" t="s">
        <v>1084</v>
      </c>
      <c r="G329" s="24" t="s">
        <v>1085</v>
      </c>
      <c r="H329" s="27" t="s">
        <v>1086</v>
      </c>
      <c r="I329" s="25">
        <v>73915</v>
      </c>
      <c r="J329" s="25">
        <v>71560</v>
      </c>
      <c r="K329" s="25">
        <v>69710</v>
      </c>
      <c r="L329" s="25">
        <v>69710</v>
      </c>
      <c r="M329" s="26">
        <f>I329-J329</f>
        <v>2355.0</v>
      </c>
      <c r="N329" s="26">
        <f>J329-K329</f>
        <v>1850.0</v>
      </c>
      <c r="O329" s="26">
        <f>I329-L329</f>
        <v>4205.0</v>
      </c>
      <c r="P329" s="28">
        <f>IF(I329&gt;0,L329/I329,0)</f>
        <v>0.9431103294324562</v>
      </c>
      <c r="Q329" s="28">
        <f>IF(I329&gt;0,K329/I329,0)</f>
        <v>0.9431103294324562</v>
      </c>
      <c r="R329" s="24" t="str">
        <f>IF(I329&lt;=0,"Sin PIM",IF(L329/I329&gt;=Config!$B$5,"Ejecutado",IF(K329/I329&gt;=Config!$B$6,"Mayormente comprometido",IF(K329&gt;0.005,"Parcialmente comprometido",IF(J329&gt;0.005,"Solo certificado","Sin certificar")))))</f>
        <v>Ejecutado</v>
      </c>
      <c r="S329" s="24" t="str">
        <f>IF(R329="Sin certificar","Disponible",IF(R329="Solo certificado","Posible",IF(R329="Parcialmente comprometido","Parcial",IF(R329="Mayormente comprometido","Difícil",IF(R329="Ejecutado","No usar","Sin PIM")))))</f>
        <v>No usar</v>
      </c>
      <c r="T329" s="26">
        <f>IF(OR(I329&lt;=0,R329="Ejecutado"),0,MAX(0,I329-K329))</f>
        <v>0.0</v>
      </c>
      <c r="U329" s="24" t="s">
        <v>976</v>
      </c>
      <c r="V329" s="24" t="s">
        <v>69</v>
      </c>
      <c r="W329" s="24" t="s">
        <v>69</v>
      </c>
      <c r="X329" s="24" t="s">
        <v>69</v>
      </c>
      <c r="Y329" s="24" t="s">
        <v>69</v>
      </c>
      <c r="Z329" s="24" t="s">
        <v>63</v>
      </c>
      <c r="AA329" s="24" t="s">
        <v>63</v>
      </c>
      <c r="AB329" s="24" t="s">
        <v>63</v>
      </c>
      <c r="AC329" s="24" t="s">
        <v>977</v>
      </c>
    </row>
    <row r="330" spans="1:29">
      <c r="A330" s="24" t="s">
        <v>54</v>
      </c>
      <c r="B330" s="24" t="s">
        <v>968</v>
      </c>
      <c r="C330" s="24" t="s">
        <v>969</v>
      </c>
      <c r="D330" s="24" t="s">
        <v>63</v>
      </c>
      <c r="E330" s="24" t="s">
        <v>996</v>
      </c>
      <c r="F330" s="24" t="s">
        <v>1087</v>
      </c>
      <c r="G330" s="24" t="s">
        <v>1088</v>
      </c>
      <c r="H330" s="27" t="s">
        <v>1089</v>
      </c>
      <c r="I330" s="25">
        <v>5098</v>
      </c>
      <c r="J330" s="25">
        <v>5097</v>
      </c>
      <c r="K330" s="25">
        <v>5097</v>
      </c>
      <c r="L330" s="25">
        <v>5097</v>
      </c>
      <c r="M330" s="26">
        <f>I330-J330</f>
        <v>1.0</v>
      </c>
      <c r="N330" s="26">
        <f>J330-K330</f>
        <v>0.0</v>
      </c>
      <c r="O330" s="26">
        <f>I330-L330</f>
        <v>1.0</v>
      </c>
      <c r="P330" s="28">
        <f>IF(I330&gt;0,L330/I330,0)</f>
        <v>0.9998038446449589</v>
      </c>
      <c r="Q330" s="28">
        <f>IF(I330&gt;0,K330/I330,0)</f>
        <v>0.9998038446449589</v>
      </c>
      <c r="R330" s="24" t="str">
        <f>IF(I330&lt;=0,"Sin PIM",IF(L330/I330&gt;=Config!$B$5,"Ejecutado",IF(K330/I330&gt;=Config!$B$6,"Mayormente comprometido",IF(K330&gt;0.005,"Parcialmente comprometido",IF(J330&gt;0.005,"Solo certificado","Sin certificar")))))</f>
        <v>Ejecutado</v>
      </c>
      <c r="S330" s="24" t="str">
        <f>IF(R330="Sin certificar","Disponible",IF(R330="Solo certificado","Posible",IF(R330="Parcialmente comprometido","Parcial",IF(R330="Mayormente comprometido","Difícil",IF(R330="Ejecutado","No usar","Sin PIM")))))</f>
        <v>No usar</v>
      </c>
      <c r="T330" s="26">
        <f>IF(OR(I330&lt;=0,R330="Ejecutado"),0,MAX(0,I330-K330))</f>
        <v>0.0</v>
      </c>
      <c r="U330" s="24" t="s">
        <v>105</v>
      </c>
      <c r="V330" s="24" t="s">
        <v>69</v>
      </c>
      <c r="W330" s="24" t="s">
        <v>69</v>
      </c>
      <c r="X330" s="24" t="s">
        <v>69</v>
      </c>
      <c r="Y330" s="24" t="s">
        <v>69</v>
      </c>
      <c r="Z330" s="24" t="s">
        <v>63</v>
      </c>
      <c r="AA330" s="24" t="s">
        <v>63</v>
      </c>
      <c r="AB330" s="24" t="s">
        <v>63</v>
      </c>
      <c r="AC330" s="24" t="s">
        <v>977</v>
      </c>
    </row>
    <row r="331" spans="1:29">
      <c r="A331" s="24" t="s">
        <v>54</v>
      </c>
      <c r="B331" s="24" t="s">
        <v>968</v>
      </c>
      <c r="C331" s="24" t="s">
        <v>969</v>
      </c>
      <c r="D331" s="24" t="s">
        <v>63</v>
      </c>
      <c r="E331" s="24" t="s">
        <v>996</v>
      </c>
      <c r="F331" s="24" t="s">
        <v>1090</v>
      </c>
      <c r="G331" s="24" t="s">
        <v>1091</v>
      </c>
      <c r="H331" s="27" t="s">
        <v>1092</v>
      </c>
      <c r="I331" s="25">
        <v>4800</v>
      </c>
      <c r="J331" s="25">
        <v>4800</v>
      </c>
      <c r="K331" s="25">
        <v>4800</v>
      </c>
      <c r="L331" s="25">
        <v>4800</v>
      </c>
      <c r="M331" s="26">
        <f>I331-J331</f>
        <v>0.0</v>
      </c>
      <c r="N331" s="26">
        <f>J331-K331</f>
        <v>0.0</v>
      </c>
      <c r="O331" s="26">
        <f>I331-L331</f>
        <v>0.0</v>
      </c>
      <c r="P331" s="28">
        <f>IF(I331&gt;0,L331/I331,0)</f>
        <v>1.0</v>
      </c>
      <c r="Q331" s="28">
        <f>IF(I331&gt;0,K331/I331,0)</f>
        <v>1.0</v>
      </c>
      <c r="R331" s="24" t="str">
        <f>IF(I331&lt;=0,"Sin PIM",IF(L331/I331&gt;=Config!$B$5,"Ejecutado",IF(K331/I331&gt;=Config!$B$6,"Mayormente comprometido",IF(K331&gt;0.005,"Parcialmente comprometido",IF(J331&gt;0.005,"Solo certificado","Sin certificar")))))</f>
        <v>Ejecutado</v>
      </c>
      <c r="S331" s="24" t="str">
        <f>IF(R331="Sin certificar","Disponible",IF(R331="Solo certificado","Posible",IF(R331="Parcialmente comprometido","Parcial",IF(R331="Mayormente comprometido","Difícil",IF(R331="Ejecutado","No usar","Sin PIM")))))</f>
        <v>No usar</v>
      </c>
      <c r="T331" s="26">
        <f>IF(OR(I331&lt;=0,R331="Ejecutado"),0,MAX(0,I331-K331))</f>
        <v>0.0</v>
      </c>
      <c r="U331" s="24" t="s">
        <v>105</v>
      </c>
      <c r="V331" s="24" t="s">
        <v>69</v>
      </c>
      <c r="W331" s="24" t="s">
        <v>69</v>
      </c>
      <c r="X331" s="24" t="s">
        <v>69</v>
      </c>
      <c r="Y331" s="24" t="s">
        <v>69</v>
      </c>
      <c r="Z331" s="24" t="s">
        <v>63</v>
      </c>
      <c r="AA331" s="24" t="s">
        <v>63</v>
      </c>
      <c r="AB331" s="24" t="s">
        <v>63</v>
      </c>
      <c r="AC331" s="24" t="s">
        <v>977</v>
      </c>
    </row>
    <row r="332" spans="1:29">
      <c r="A332" s="24" t="s">
        <v>54</v>
      </c>
      <c r="B332" s="24" t="s">
        <v>968</v>
      </c>
      <c r="C332" s="24" t="s">
        <v>969</v>
      </c>
      <c r="D332" s="24" t="s">
        <v>63</v>
      </c>
      <c r="E332" s="24" t="s">
        <v>996</v>
      </c>
      <c r="F332" s="24" t="s">
        <v>1093</v>
      </c>
      <c r="G332" s="24" t="s">
        <v>1094</v>
      </c>
      <c r="H332" s="27" t="s">
        <v>1095</v>
      </c>
      <c r="I332" s="25">
        <v>12800</v>
      </c>
      <c r="J332" s="25">
        <v>12800</v>
      </c>
      <c r="K332" s="25">
        <v>12800</v>
      </c>
      <c r="L332" s="25">
        <v>12800</v>
      </c>
      <c r="M332" s="26">
        <f>I332-J332</f>
        <v>0.0</v>
      </c>
      <c r="N332" s="26">
        <f>J332-K332</f>
        <v>0.0</v>
      </c>
      <c r="O332" s="26">
        <f>I332-L332</f>
        <v>0.0</v>
      </c>
      <c r="P332" s="28">
        <f>IF(I332&gt;0,L332/I332,0)</f>
        <v>1.0</v>
      </c>
      <c r="Q332" s="28">
        <f>IF(I332&gt;0,K332/I332,0)</f>
        <v>1.0</v>
      </c>
      <c r="R332" s="24" t="str">
        <f>IF(I332&lt;=0,"Sin PIM",IF(L332/I332&gt;=Config!$B$5,"Ejecutado",IF(K332/I332&gt;=Config!$B$6,"Mayormente comprometido",IF(K332&gt;0.005,"Parcialmente comprometido",IF(J332&gt;0.005,"Solo certificado","Sin certificar")))))</f>
        <v>Ejecutado</v>
      </c>
      <c r="S332" s="24" t="str">
        <f>IF(R332="Sin certificar","Disponible",IF(R332="Solo certificado","Posible",IF(R332="Parcialmente comprometido","Parcial",IF(R332="Mayormente comprometido","Difícil",IF(R332="Ejecutado","No usar","Sin PIM")))))</f>
        <v>No usar</v>
      </c>
      <c r="T332" s="26">
        <f>IF(OR(I332&lt;=0,R332="Ejecutado"),0,MAX(0,I332-K332))</f>
        <v>0.0</v>
      </c>
      <c r="U332" s="24" t="s">
        <v>105</v>
      </c>
      <c r="V332" s="24" t="s">
        <v>69</v>
      </c>
      <c r="W332" s="24" t="s">
        <v>69</v>
      </c>
      <c r="X332" s="24" t="s">
        <v>69</v>
      </c>
      <c r="Y332" s="24" t="s">
        <v>69</v>
      </c>
      <c r="Z332" s="24" t="s">
        <v>63</v>
      </c>
      <c r="AA332" s="24" t="s">
        <v>63</v>
      </c>
      <c r="AB332" s="24" t="s">
        <v>63</v>
      </c>
      <c r="AC332" s="24" t="s">
        <v>977</v>
      </c>
    </row>
    <row r="333" spans="1:29">
      <c r="A333" s="24" t="s">
        <v>54</v>
      </c>
      <c r="B333" s="24" t="s">
        <v>968</v>
      </c>
      <c r="C333" s="24" t="s">
        <v>969</v>
      </c>
      <c r="D333" s="24" t="s">
        <v>63</v>
      </c>
      <c r="E333" s="24" t="s">
        <v>996</v>
      </c>
      <c r="F333" s="24" t="s">
        <v>1096</v>
      </c>
      <c r="G333" s="24" t="s">
        <v>1097</v>
      </c>
      <c r="H333" s="27" t="s">
        <v>1098</v>
      </c>
      <c r="I333" s="25">
        <v>57400</v>
      </c>
      <c r="J333" s="25">
        <v>57400</v>
      </c>
      <c r="K333" s="25">
        <v>57400</v>
      </c>
      <c r="L333" s="25">
        <v>57400</v>
      </c>
      <c r="M333" s="26">
        <f>I333-J333</f>
        <v>0.0</v>
      </c>
      <c r="N333" s="26">
        <f>J333-K333</f>
        <v>0.0</v>
      </c>
      <c r="O333" s="26">
        <f>I333-L333</f>
        <v>0.0</v>
      </c>
      <c r="P333" s="28">
        <f>IF(I333&gt;0,L333/I333,0)</f>
        <v>1.0</v>
      </c>
      <c r="Q333" s="28">
        <f>IF(I333&gt;0,K333/I333,0)</f>
        <v>1.0</v>
      </c>
      <c r="R333" s="24" t="str">
        <f>IF(I333&lt;=0,"Sin PIM",IF(L333/I333&gt;=Config!$B$5,"Ejecutado",IF(K333/I333&gt;=Config!$B$6,"Mayormente comprometido",IF(K333&gt;0.005,"Parcialmente comprometido",IF(J333&gt;0.005,"Solo certificado","Sin certificar")))))</f>
        <v>Ejecutado</v>
      </c>
      <c r="S333" s="24" t="str">
        <f>IF(R333="Sin certificar","Disponible",IF(R333="Solo certificado","Posible",IF(R333="Parcialmente comprometido","Parcial",IF(R333="Mayormente comprometido","Difícil",IF(R333="Ejecutado","No usar","Sin PIM")))))</f>
        <v>No usar</v>
      </c>
      <c r="T333" s="26">
        <f>IF(OR(I333&lt;=0,R333="Ejecutado"),0,MAX(0,I333-K333))</f>
        <v>0.0</v>
      </c>
      <c r="U333" s="24" t="s">
        <v>976</v>
      </c>
      <c r="V333" s="24" t="s">
        <v>69</v>
      </c>
      <c r="W333" s="24" t="s">
        <v>69</v>
      </c>
      <c r="X333" s="24" t="s">
        <v>69</v>
      </c>
      <c r="Y333" s="24" t="s">
        <v>69</v>
      </c>
      <c r="Z333" s="24" t="s">
        <v>63</v>
      </c>
      <c r="AA333" s="24" t="s">
        <v>63</v>
      </c>
      <c r="AB333" s="24" t="s">
        <v>63</v>
      </c>
      <c r="AC333" s="24" t="s">
        <v>977</v>
      </c>
    </row>
    <row r="334" spans="1:29">
      <c r="A334" s="24" t="s">
        <v>54</v>
      </c>
      <c r="B334" s="24" t="s">
        <v>968</v>
      </c>
      <c r="C334" s="24" t="s">
        <v>969</v>
      </c>
      <c r="D334" s="24" t="s">
        <v>63</v>
      </c>
      <c r="E334" s="24" t="s">
        <v>996</v>
      </c>
      <c r="F334" s="24" t="s">
        <v>1099</v>
      </c>
      <c r="G334" s="24" t="s">
        <v>1100</v>
      </c>
      <c r="H334" s="27" t="s">
        <v>1101</v>
      </c>
      <c r="I334" s="25">
        <v>5898</v>
      </c>
      <c r="J334" s="25">
        <v>5898</v>
      </c>
      <c r="K334" s="25">
        <v>5898</v>
      </c>
      <c r="L334" s="25">
        <v>5898</v>
      </c>
      <c r="M334" s="26">
        <f>I334-J334</f>
        <v>0.0</v>
      </c>
      <c r="N334" s="26">
        <f>J334-K334</f>
        <v>0.0</v>
      </c>
      <c r="O334" s="26">
        <f>I334-L334</f>
        <v>0.0</v>
      </c>
      <c r="P334" s="28">
        <f>IF(I334&gt;0,L334/I334,0)</f>
        <v>1.0</v>
      </c>
      <c r="Q334" s="28">
        <f>IF(I334&gt;0,K334/I334,0)</f>
        <v>1.0</v>
      </c>
      <c r="R334" s="24" t="str">
        <f>IF(I334&lt;=0,"Sin PIM",IF(L334/I334&gt;=Config!$B$5,"Ejecutado",IF(K334/I334&gt;=Config!$B$6,"Mayormente comprometido",IF(K334&gt;0.005,"Parcialmente comprometido",IF(J334&gt;0.005,"Solo certificado","Sin certificar")))))</f>
        <v>Ejecutado</v>
      </c>
      <c r="S334" s="24" t="str">
        <f>IF(R334="Sin certificar","Disponible",IF(R334="Solo certificado","Posible",IF(R334="Parcialmente comprometido","Parcial",IF(R334="Mayormente comprometido","Difícil",IF(R334="Ejecutado","No usar","Sin PIM")))))</f>
        <v>No usar</v>
      </c>
      <c r="T334" s="26">
        <f>IF(OR(I334&lt;=0,R334="Ejecutado"),0,MAX(0,I334-K334))</f>
        <v>0.0</v>
      </c>
      <c r="U334" s="24" t="s">
        <v>105</v>
      </c>
      <c r="V334" s="24" t="s">
        <v>69</v>
      </c>
      <c r="W334" s="24" t="s">
        <v>69</v>
      </c>
      <c r="X334" s="24" t="s">
        <v>69</v>
      </c>
      <c r="Y334" s="24" t="s">
        <v>69</v>
      </c>
      <c r="Z334" s="24" t="s">
        <v>63</v>
      </c>
      <c r="AA334" s="24" t="s">
        <v>63</v>
      </c>
      <c r="AB334" s="24" t="s">
        <v>63</v>
      </c>
      <c r="AC334" s="24" t="s">
        <v>977</v>
      </c>
    </row>
    <row r="335" spans="1:29">
      <c r="A335" s="24" t="s">
        <v>54</v>
      </c>
      <c r="B335" s="24" t="s">
        <v>968</v>
      </c>
      <c r="C335" s="24" t="s">
        <v>969</v>
      </c>
      <c r="D335" s="24" t="s">
        <v>63</v>
      </c>
      <c r="E335" s="24" t="s">
        <v>996</v>
      </c>
      <c r="F335" s="24" t="s">
        <v>1102</v>
      </c>
      <c r="G335" s="24" t="s">
        <v>1103</v>
      </c>
      <c r="H335" s="27" t="s">
        <v>1104</v>
      </c>
      <c r="I335" s="25">
        <v>3000</v>
      </c>
      <c r="J335" s="25">
        <v>3000</v>
      </c>
      <c r="K335" s="25">
        <v>3000</v>
      </c>
      <c r="L335" s="25">
        <v>3000</v>
      </c>
      <c r="M335" s="26">
        <f>I335-J335</f>
        <v>0.0</v>
      </c>
      <c r="N335" s="26">
        <f>J335-K335</f>
        <v>0.0</v>
      </c>
      <c r="O335" s="26">
        <f>I335-L335</f>
        <v>0.0</v>
      </c>
      <c r="P335" s="28">
        <f>IF(I335&gt;0,L335/I335,0)</f>
        <v>1.0</v>
      </c>
      <c r="Q335" s="28">
        <f>IF(I335&gt;0,K335/I335,0)</f>
        <v>1.0</v>
      </c>
      <c r="R335" s="24" t="str">
        <f>IF(I335&lt;=0,"Sin PIM",IF(L335/I335&gt;=Config!$B$5,"Ejecutado",IF(K335/I335&gt;=Config!$B$6,"Mayormente comprometido",IF(K335&gt;0.005,"Parcialmente comprometido",IF(J335&gt;0.005,"Solo certificado","Sin certificar")))))</f>
        <v>Ejecutado</v>
      </c>
      <c r="S335" s="24" t="str">
        <f>IF(R335="Sin certificar","Disponible",IF(R335="Solo certificado","Posible",IF(R335="Parcialmente comprometido","Parcial",IF(R335="Mayormente comprometido","Difícil",IF(R335="Ejecutado","No usar","Sin PIM")))))</f>
        <v>No usar</v>
      </c>
      <c r="T335" s="26">
        <f>IF(OR(I335&lt;=0,R335="Ejecutado"),0,MAX(0,I335-K335))</f>
        <v>0.0</v>
      </c>
      <c r="U335" s="24" t="s">
        <v>105</v>
      </c>
      <c r="V335" s="24" t="s">
        <v>69</v>
      </c>
      <c r="W335" s="24" t="s">
        <v>69</v>
      </c>
      <c r="X335" s="24" t="s">
        <v>69</v>
      </c>
      <c r="Y335" s="24" t="s">
        <v>69</v>
      </c>
      <c r="Z335" s="24" t="s">
        <v>63</v>
      </c>
      <c r="AA335" s="24" t="s">
        <v>63</v>
      </c>
      <c r="AB335" s="24" t="s">
        <v>63</v>
      </c>
      <c r="AC335" s="24" t="s">
        <v>977</v>
      </c>
    </row>
    <row r="336" spans="1:29">
      <c r="A336" s="24" t="s">
        <v>54</v>
      </c>
      <c r="B336" s="24" t="s">
        <v>968</v>
      </c>
      <c r="C336" s="24" t="s">
        <v>969</v>
      </c>
      <c r="D336" s="24" t="s">
        <v>63</v>
      </c>
      <c r="E336" s="24" t="s">
        <v>996</v>
      </c>
      <c r="F336" s="24" t="s">
        <v>1105</v>
      </c>
      <c r="G336" s="24" t="s">
        <v>1106</v>
      </c>
      <c r="H336" s="27" t="s">
        <v>1107</v>
      </c>
      <c r="I336" s="25">
        <v>87790</v>
      </c>
      <c r="J336" s="25">
        <v>87438</v>
      </c>
      <c r="K336" s="25">
        <v>87428</v>
      </c>
      <c r="L336" s="25">
        <v>77990</v>
      </c>
      <c r="M336" s="26">
        <f>I336-J336</f>
        <v>352.0</v>
      </c>
      <c r="N336" s="26">
        <f>J336-K336</f>
        <v>10.0</v>
      </c>
      <c r="O336" s="26">
        <f>I336-L336</f>
        <v>9800.0</v>
      </c>
      <c r="P336" s="28">
        <f>IF(I336&gt;0,L336/I336,0)</f>
        <v>0.8883699738011163</v>
      </c>
      <c r="Q336" s="28">
        <f>IF(I336&gt;0,K336/I336,0)</f>
        <v>0.9958765235220413</v>
      </c>
      <c r="R336" s="24" t="str">
        <f>IF(I336&lt;=0,"Sin PIM",IF(L336/I336&gt;=Config!$B$5,"Ejecutado",IF(K336/I336&gt;=Config!$B$6,"Mayormente comprometido",IF(K336&gt;0.005,"Parcialmente comprometido",IF(J336&gt;0.005,"Solo certificado","Sin certificar")))))</f>
        <v>Mayormente comprometido</v>
      </c>
      <c r="S336" s="24" t="str">
        <f>IF(R336="Sin certificar","Disponible",IF(R336="Solo certificado","Posible",IF(R336="Parcialmente comprometido","Parcial",IF(R336="Mayormente comprometido","Difícil",IF(R336="Ejecutado","No usar","Sin PIM")))))</f>
        <v>Difícil</v>
      </c>
      <c r="T336" s="26">
        <f>IF(OR(I336&lt;=0,R336="Ejecutado"),0,MAX(0,I336-K336))</f>
        <v>362.0</v>
      </c>
      <c r="U336" s="24" t="s">
        <v>976</v>
      </c>
      <c r="V336" s="24" t="s">
        <v>69</v>
      </c>
      <c r="W336" s="24" t="s">
        <v>69</v>
      </c>
      <c r="X336" s="24" t="s">
        <v>69</v>
      </c>
      <c r="Y336" s="24" t="s">
        <v>69</v>
      </c>
      <c r="Z336" s="24" t="s">
        <v>63</v>
      </c>
      <c r="AA336" s="24" t="s">
        <v>63</v>
      </c>
      <c r="AB336" s="24" t="s">
        <v>63</v>
      </c>
      <c r="AC336" s="24" t="s">
        <v>977</v>
      </c>
    </row>
    <row r="337" spans="1:29">
      <c r="A337" s="24" t="s">
        <v>54</v>
      </c>
      <c r="B337" s="24" t="s">
        <v>968</v>
      </c>
      <c r="C337" s="24" t="s">
        <v>969</v>
      </c>
      <c r="D337" s="24" t="s">
        <v>63</v>
      </c>
      <c r="E337" s="24" t="s">
        <v>996</v>
      </c>
      <c r="F337" s="24" t="s">
        <v>1108</v>
      </c>
      <c r="G337" s="24" t="s">
        <v>1109</v>
      </c>
      <c r="H337" s="27" t="s">
        <v>1110</v>
      </c>
      <c r="I337" s="25">
        <v>14715</v>
      </c>
      <c r="J337" s="25">
        <v>14714</v>
      </c>
      <c r="K337" s="25">
        <v>14714</v>
      </c>
      <c r="L337" s="25">
        <v>14714</v>
      </c>
      <c r="M337" s="26">
        <f>I337-J337</f>
        <v>1.0</v>
      </c>
      <c r="N337" s="26">
        <f>J337-K337</f>
        <v>0.0</v>
      </c>
      <c r="O337" s="26">
        <f>I337-L337</f>
        <v>1.0</v>
      </c>
      <c r="P337" s="28">
        <f>IF(I337&gt;0,L337/I337,0)</f>
        <v>0.999932042133877</v>
      </c>
      <c r="Q337" s="28">
        <f>IF(I337&gt;0,K337/I337,0)</f>
        <v>0.999932042133877</v>
      </c>
      <c r="R337" s="24" t="str">
        <f>IF(I337&lt;=0,"Sin PIM",IF(L337/I337&gt;=Config!$B$5,"Ejecutado",IF(K337/I337&gt;=Config!$B$6,"Mayormente comprometido",IF(K337&gt;0.005,"Parcialmente comprometido",IF(J337&gt;0.005,"Solo certificado","Sin certificar")))))</f>
        <v>Ejecutado</v>
      </c>
      <c r="S337" s="24" t="str">
        <f>IF(R337="Sin certificar","Disponible",IF(R337="Solo certificado","Posible",IF(R337="Parcialmente comprometido","Parcial",IF(R337="Mayormente comprometido","Difícil",IF(R337="Ejecutado","No usar","Sin PIM")))))</f>
        <v>No usar</v>
      </c>
      <c r="T337" s="26">
        <f>IF(OR(I337&lt;=0,R337="Ejecutado"),0,MAX(0,I337-K337))</f>
        <v>0.0</v>
      </c>
      <c r="U337" s="24" t="s">
        <v>105</v>
      </c>
      <c r="V337" s="24" t="s">
        <v>69</v>
      </c>
      <c r="W337" s="24" t="s">
        <v>69</v>
      </c>
      <c r="X337" s="24" t="s">
        <v>69</v>
      </c>
      <c r="Y337" s="24" t="s">
        <v>69</v>
      </c>
      <c r="Z337" s="24" t="s">
        <v>63</v>
      </c>
      <c r="AA337" s="24" t="s">
        <v>63</v>
      </c>
      <c r="AB337" s="24" t="s">
        <v>63</v>
      </c>
      <c r="AC337" s="24" t="s">
        <v>977</v>
      </c>
    </row>
    <row r="338" spans="1:29">
      <c r="A338" s="24" t="s">
        <v>54</v>
      </c>
      <c r="B338" s="24" t="s">
        <v>968</v>
      </c>
      <c r="C338" s="24" t="s">
        <v>969</v>
      </c>
      <c r="D338" s="24" t="s">
        <v>63</v>
      </c>
      <c r="E338" s="24" t="s">
        <v>996</v>
      </c>
      <c r="F338" s="24" t="s">
        <v>1111</v>
      </c>
      <c r="G338" s="24" t="s">
        <v>1112</v>
      </c>
      <c r="H338" s="27" t="s">
        <v>1113</v>
      </c>
      <c r="I338" s="25">
        <v>159547</v>
      </c>
      <c r="J338" s="25">
        <v>154167</v>
      </c>
      <c r="K338" s="25">
        <v>119217</v>
      </c>
      <c r="L338" s="25">
        <v>116817</v>
      </c>
      <c r="M338" s="26">
        <f>I338-J338</f>
        <v>5380.0</v>
      </c>
      <c r="N338" s="26">
        <f>J338-K338</f>
        <v>34950.0</v>
      </c>
      <c r="O338" s="26">
        <f>I338-L338</f>
        <v>42730.0</v>
      </c>
      <c r="P338" s="28">
        <f>IF(I338&gt;0,L338/I338,0)</f>
        <v>0.7321792324518794</v>
      </c>
      <c r="Q338" s="28">
        <f>IF(I338&gt;0,K338/I338,0)</f>
        <v>0.7472218217829228</v>
      </c>
      <c r="R338" s="24" t="str">
        <f>IF(I338&lt;=0,"Sin PIM",IF(L338/I338&gt;=Config!$B$5,"Ejecutado",IF(K338/I338&gt;=Config!$B$6,"Mayormente comprometido",IF(K338&gt;0.005,"Parcialmente comprometido",IF(J338&gt;0.005,"Solo certificado","Sin certificar")))))</f>
        <v>Mayormente comprometido</v>
      </c>
      <c r="S338" s="24" t="str">
        <f>IF(R338="Sin certificar","Disponible",IF(R338="Solo certificado","Posible",IF(R338="Parcialmente comprometido","Parcial",IF(R338="Mayormente comprometido","Difícil",IF(R338="Ejecutado","No usar","Sin PIM")))))</f>
        <v>Difícil</v>
      </c>
      <c r="T338" s="26">
        <f>IF(OR(I338&lt;=0,R338="Ejecutado"),0,MAX(0,I338-K338))</f>
        <v>40330.0</v>
      </c>
      <c r="U338" s="24" t="s">
        <v>976</v>
      </c>
      <c r="V338" s="24" t="s">
        <v>69</v>
      </c>
      <c r="W338" s="24" t="s">
        <v>69</v>
      </c>
      <c r="X338" s="24" t="s">
        <v>69</v>
      </c>
      <c r="Y338" s="24" t="s">
        <v>69</v>
      </c>
      <c r="Z338" s="24" t="s">
        <v>63</v>
      </c>
      <c r="AA338" s="24" t="s">
        <v>63</v>
      </c>
      <c r="AB338" s="24" t="s">
        <v>63</v>
      </c>
      <c r="AC338" s="24" t="s">
        <v>977</v>
      </c>
    </row>
    <row r="339" spans="1:29">
      <c r="A339" s="24" t="s">
        <v>54</v>
      </c>
      <c r="B339" s="24" t="s">
        <v>968</v>
      </c>
      <c r="C339" s="24" t="s">
        <v>969</v>
      </c>
      <c r="D339" s="24" t="s">
        <v>63</v>
      </c>
      <c r="E339" s="24" t="s">
        <v>996</v>
      </c>
      <c r="F339" s="24" t="s">
        <v>1114</v>
      </c>
      <c r="G339" s="24" t="s">
        <v>1115</v>
      </c>
      <c r="H339" s="27" t="s">
        <v>1116</v>
      </c>
      <c r="I339" s="25">
        <v>158642</v>
      </c>
      <c r="J339" s="25">
        <v>78147.62</v>
      </c>
      <c r="K339" s="25">
        <v>19147.62</v>
      </c>
      <c r="L339" s="25">
        <v>0</v>
      </c>
      <c r="M339" s="26">
        <f>I339-J339</f>
        <v>80494.38</v>
      </c>
      <c r="N339" s="26">
        <f>J339-K339</f>
        <v>59000.0</v>
      </c>
      <c r="O339" s="26">
        <f>I339-L339</f>
        <v>158642.0</v>
      </c>
      <c r="P339" s="28">
        <f>IF(I339&gt;0,L339/I339,0)</f>
        <v>0.0</v>
      </c>
      <c r="Q339" s="28">
        <f>IF(I339&gt;0,K339/I339,0)</f>
        <v>0.12069704113664728</v>
      </c>
      <c r="R339" s="24" t="str">
        <f>IF(I339&lt;=0,"Sin PIM",IF(L339/I339&gt;=Config!$B$5,"Ejecutado",IF(K339/I339&gt;=Config!$B$6,"Mayormente comprometido",IF(K339&gt;0.005,"Parcialmente comprometido",IF(J339&gt;0.005,"Solo certificado","Sin certificar")))))</f>
        <v>Parcialmente comprometido</v>
      </c>
      <c r="S339" s="24" t="str">
        <f>IF(R339="Sin certificar","Disponible",IF(R339="Solo certificado","Posible",IF(R339="Parcialmente comprometido","Parcial",IF(R339="Mayormente comprometido","Difícil",IF(R339="Ejecutado","No usar","Sin PIM")))))</f>
        <v>Parcial</v>
      </c>
      <c r="T339" s="26">
        <f>IF(OR(I339&lt;=0,R339="Ejecutado"),0,MAX(0,I339-K339))</f>
        <v>139494.38</v>
      </c>
      <c r="U339" s="24" t="s">
        <v>976</v>
      </c>
      <c r="V339" s="24" t="s">
        <v>69</v>
      </c>
      <c r="W339" s="24" t="s">
        <v>69</v>
      </c>
      <c r="X339" s="24" t="s">
        <v>69</v>
      </c>
      <c r="Y339" s="24" t="s">
        <v>69</v>
      </c>
      <c r="Z339" s="24" t="s">
        <v>63</v>
      </c>
      <c r="AA339" s="24" t="s">
        <v>63</v>
      </c>
      <c r="AB339" s="24" t="s">
        <v>63</v>
      </c>
      <c r="AC339" s="24" t="s">
        <v>977</v>
      </c>
    </row>
    <row r="340" spans="1:29">
      <c r="A340" s="24" t="s">
        <v>54</v>
      </c>
      <c r="B340" s="24" t="s">
        <v>968</v>
      </c>
      <c r="C340" s="24" t="s">
        <v>969</v>
      </c>
      <c r="D340" s="24" t="s">
        <v>63</v>
      </c>
      <c r="E340" s="24" t="s">
        <v>996</v>
      </c>
      <c r="F340" s="24" t="s">
        <v>1117</v>
      </c>
      <c r="G340" s="24" t="s">
        <v>1118</v>
      </c>
      <c r="H340" s="27" t="s">
        <v>1119</v>
      </c>
      <c r="I340" s="25">
        <v>159352</v>
      </c>
      <c r="J340" s="25">
        <v>154000</v>
      </c>
      <c r="K340" s="25">
        <v>153220</v>
      </c>
      <c r="L340" s="25">
        <v>150220</v>
      </c>
      <c r="M340" s="26">
        <f>I340-J340</f>
        <v>5352.0</v>
      </c>
      <c r="N340" s="26">
        <f>J340-K340</f>
        <v>780.0</v>
      </c>
      <c r="O340" s="26">
        <f>I340-L340</f>
        <v>9132.0</v>
      </c>
      <c r="P340" s="28">
        <f>IF(I340&gt;0,L340/I340,0)</f>
        <v>0.9426929062703951</v>
      </c>
      <c r="Q340" s="28">
        <f>IF(I340&gt;0,K340/I340,0)</f>
        <v>0.9615191525679</v>
      </c>
      <c r="R340" s="24" t="str">
        <f>IF(I340&lt;=0,"Sin PIM",IF(L340/I340&gt;=Config!$B$5,"Ejecutado",IF(K340/I340&gt;=Config!$B$6,"Mayormente comprometido",IF(K340&gt;0.005,"Parcialmente comprometido",IF(J340&gt;0.005,"Solo certificado","Sin certificar")))))</f>
        <v>Ejecutado</v>
      </c>
      <c r="S340" s="24" t="str">
        <f>IF(R340="Sin certificar","Disponible",IF(R340="Solo certificado","Posible",IF(R340="Parcialmente comprometido","Parcial",IF(R340="Mayormente comprometido","Difícil",IF(R340="Ejecutado","No usar","Sin PIM")))))</f>
        <v>No usar</v>
      </c>
      <c r="T340" s="26">
        <f>IF(OR(I340&lt;=0,R340="Ejecutado"),0,MAX(0,I340-K340))</f>
        <v>0.0</v>
      </c>
      <c r="U340" s="24" t="s">
        <v>976</v>
      </c>
      <c r="V340" s="24" t="s">
        <v>69</v>
      </c>
      <c r="W340" s="24" t="s">
        <v>69</v>
      </c>
      <c r="X340" s="24" t="s">
        <v>69</v>
      </c>
      <c r="Y340" s="24" t="s">
        <v>69</v>
      </c>
      <c r="Z340" s="24" t="s">
        <v>63</v>
      </c>
      <c r="AA340" s="24" t="s">
        <v>63</v>
      </c>
      <c r="AB340" s="24" t="s">
        <v>63</v>
      </c>
      <c r="AC340" s="24" t="s">
        <v>977</v>
      </c>
    </row>
    <row r="341" spans="1:29">
      <c r="A341" s="24" t="s">
        <v>54</v>
      </c>
      <c r="B341" s="24" t="s">
        <v>968</v>
      </c>
      <c r="C341" s="24" t="s">
        <v>969</v>
      </c>
      <c r="D341" s="24" t="s">
        <v>63</v>
      </c>
      <c r="E341" s="24" t="s">
        <v>996</v>
      </c>
      <c r="F341" s="24" t="s">
        <v>1120</v>
      </c>
      <c r="G341" s="24" t="s">
        <v>1121</v>
      </c>
      <c r="H341" s="27" t="s">
        <v>1122</v>
      </c>
      <c r="I341" s="25">
        <v>159613</v>
      </c>
      <c r="J341" s="25">
        <v>149133.25</v>
      </c>
      <c r="K341" s="25">
        <v>147533.25</v>
      </c>
      <c r="L341" s="25">
        <v>7133.25</v>
      </c>
      <c r="M341" s="26">
        <f>I341-J341</f>
        <v>10479.75</v>
      </c>
      <c r="N341" s="26">
        <f>J341-K341</f>
        <v>1600.0</v>
      </c>
      <c r="O341" s="26">
        <f>I341-L341</f>
        <v>152479.75</v>
      </c>
      <c r="P341" s="28">
        <f>IF(I341&gt;0,L341/I341,0)</f>
        <v>0.04469090863526154</v>
      </c>
      <c r="Q341" s="28">
        <f>IF(I341&gt;0,K341/I341,0)</f>
        <v>0.9243185078909613</v>
      </c>
      <c r="R341" s="24" t="str">
        <f>IF(I341&lt;=0,"Sin PIM",IF(L341/I341&gt;=Config!$B$5,"Ejecutado",IF(K341/I341&gt;=Config!$B$6,"Mayormente comprometido",IF(K341&gt;0.005,"Parcialmente comprometido",IF(J341&gt;0.005,"Solo certificado","Sin certificar")))))</f>
        <v>Mayormente comprometido</v>
      </c>
      <c r="S341" s="24" t="str">
        <f>IF(R341="Sin certificar","Disponible",IF(R341="Solo certificado","Posible",IF(R341="Parcialmente comprometido","Parcial",IF(R341="Mayormente comprometido","Difícil",IF(R341="Ejecutado","No usar","Sin PIM")))))</f>
        <v>Difícil</v>
      </c>
      <c r="T341" s="26">
        <f>IF(OR(I341&lt;=0,R341="Ejecutado"),0,MAX(0,I341-K341))</f>
        <v>12079.75</v>
      </c>
      <c r="U341" s="24" t="s">
        <v>976</v>
      </c>
      <c r="V341" s="24" t="s">
        <v>69</v>
      </c>
      <c r="W341" s="24" t="s">
        <v>69</v>
      </c>
      <c r="X341" s="24" t="s">
        <v>69</v>
      </c>
      <c r="Y341" s="24" t="s">
        <v>69</v>
      </c>
      <c r="Z341" s="24" t="s">
        <v>63</v>
      </c>
      <c r="AA341" s="24" t="s">
        <v>63</v>
      </c>
      <c r="AB341" s="24" t="s">
        <v>63</v>
      </c>
      <c r="AC341" s="24" t="s">
        <v>977</v>
      </c>
    </row>
    <row r="342" spans="1:29">
      <c r="A342" s="24" t="s">
        <v>54</v>
      </c>
      <c r="B342" s="24" t="s">
        <v>968</v>
      </c>
      <c r="C342" s="24" t="s">
        <v>969</v>
      </c>
      <c r="D342" s="24" t="s">
        <v>63</v>
      </c>
      <c r="E342" s="24" t="s">
        <v>996</v>
      </c>
      <c r="F342" s="24" t="s">
        <v>1123</v>
      </c>
      <c r="G342" s="24" t="s">
        <v>1124</v>
      </c>
      <c r="H342" s="27" t="s">
        <v>1125</v>
      </c>
      <c r="I342" s="25">
        <v>159555</v>
      </c>
      <c r="J342" s="25">
        <v>132645</v>
      </c>
      <c r="K342" s="25">
        <v>107145</v>
      </c>
      <c r="L342" s="25">
        <v>100745</v>
      </c>
      <c r="M342" s="26">
        <f>I342-J342</f>
        <v>26910.0</v>
      </c>
      <c r="N342" s="26">
        <f>J342-K342</f>
        <v>25500.0</v>
      </c>
      <c r="O342" s="26">
        <f>I342-L342</f>
        <v>58810.0</v>
      </c>
      <c r="P342" s="28">
        <f>IF(I342&gt;0,L342/I342,0)</f>
        <v>0.6314123656419417</v>
      </c>
      <c r="Q342" s="28">
        <f>IF(I342&gt;0,K342/I342,0)</f>
        <v>0.6715239259189622</v>
      </c>
      <c r="R342" s="24" t="str">
        <f>IF(I342&lt;=0,"Sin PIM",IF(L342/I342&gt;=Config!$B$5,"Ejecutado",IF(K342/I342&gt;=Config!$B$6,"Mayormente comprometido",IF(K342&gt;0.005,"Parcialmente comprometido",IF(J342&gt;0.005,"Solo certificado","Sin certificar")))))</f>
        <v>Mayormente comprometido</v>
      </c>
      <c r="S342" s="24" t="str">
        <f>IF(R342="Sin certificar","Disponible",IF(R342="Solo certificado","Posible",IF(R342="Parcialmente comprometido","Parcial",IF(R342="Mayormente comprometido","Difícil",IF(R342="Ejecutado","No usar","Sin PIM")))))</f>
        <v>Difícil</v>
      </c>
      <c r="T342" s="26">
        <f>IF(OR(I342&lt;=0,R342="Ejecutado"),0,MAX(0,I342-K342))</f>
        <v>52410.0</v>
      </c>
      <c r="U342" s="24" t="s">
        <v>976</v>
      </c>
      <c r="V342" s="24" t="s">
        <v>69</v>
      </c>
      <c r="W342" s="24" t="s">
        <v>69</v>
      </c>
      <c r="X342" s="24" t="s">
        <v>69</v>
      </c>
      <c r="Y342" s="24" t="s">
        <v>69</v>
      </c>
      <c r="Z342" s="24" t="s">
        <v>63</v>
      </c>
      <c r="AA342" s="24" t="s">
        <v>63</v>
      </c>
      <c r="AB342" s="24" t="s">
        <v>63</v>
      </c>
      <c r="AC342" s="24" t="s">
        <v>977</v>
      </c>
    </row>
    <row r="343" spans="1:29">
      <c r="A343" s="24" t="s">
        <v>54</v>
      </c>
      <c r="B343" s="24" t="s">
        <v>968</v>
      </c>
      <c r="C343" s="24" t="s">
        <v>969</v>
      </c>
      <c r="D343" s="24" t="s">
        <v>63</v>
      </c>
      <c r="E343" s="24" t="s">
        <v>996</v>
      </c>
      <c r="F343" s="24" t="s">
        <v>1126</v>
      </c>
      <c r="G343" s="24" t="s">
        <v>1127</v>
      </c>
      <c r="H343" s="27" t="s">
        <v>1128</v>
      </c>
      <c r="I343" s="25">
        <v>154799</v>
      </c>
      <c r="J343" s="25">
        <v>147492</v>
      </c>
      <c r="K343" s="25">
        <v>146292</v>
      </c>
      <c r="L343" s="25">
        <v>143262</v>
      </c>
      <c r="M343" s="26">
        <f>I343-J343</f>
        <v>7307.0</v>
      </c>
      <c r="N343" s="26">
        <f>J343-K343</f>
        <v>1200.0</v>
      </c>
      <c r="O343" s="26">
        <f>I343-L343</f>
        <v>11537.0</v>
      </c>
      <c r="P343" s="28">
        <f>IF(I343&gt;0,L343/I343,0)</f>
        <v>0.9254710947745141</v>
      </c>
      <c r="Q343" s="28">
        <f>IF(I343&gt;0,K343/I343,0)</f>
        <v>0.9450448646309084</v>
      </c>
      <c r="R343" s="24" t="str">
        <f>IF(I343&lt;=0,"Sin PIM",IF(L343/I343&gt;=Config!$B$5,"Ejecutado",IF(K343/I343&gt;=Config!$B$6,"Mayormente comprometido",IF(K343&gt;0.005,"Parcialmente comprometido",IF(J343&gt;0.005,"Solo certificado","Sin certificar")))))</f>
        <v>Ejecutado</v>
      </c>
      <c r="S343" s="24" t="str">
        <f>IF(R343="Sin certificar","Disponible",IF(R343="Solo certificado","Posible",IF(R343="Parcialmente comprometido","Parcial",IF(R343="Mayormente comprometido","Difícil",IF(R343="Ejecutado","No usar","Sin PIM")))))</f>
        <v>No usar</v>
      </c>
      <c r="T343" s="26">
        <f>IF(OR(I343&lt;=0,R343="Ejecutado"),0,MAX(0,I343-K343))</f>
        <v>0.0</v>
      </c>
      <c r="U343" s="24" t="s">
        <v>976</v>
      </c>
      <c r="V343" s="24" t="s">
        <v>69</v>
      </c>
      <c r="W343" s="24" t="s">
        <v>69</v>
      </c>
      <c r="X343" s="24" t="s">
        <v>69</v>
      </c>
      <c r="Y343" s="24" t="s">
        <v>69</v>
      </c>
      <c r="Z343" s="24" t="s">
        <v>63</v>
      </c>
      <c r="AA343" s="24" t="s">
        <v>63</v>
      </c>
      <c r="AB343" s="24" t="s">
        <v>63</v>
      </c>
      <c r="AC343" s="24" t="s">
        <v>977</v>
      </c>
    </row>
    <row r="344" spans="1:29">
      <c r="A344" s="24" t="s">
        <v>54</v>
      </c>
      <c r="B344" s="24" t="s">
        <v>968</v>
      </c>
      <c r="C344" s="24" t="s">
        <v>969</v>
      </c>
      <c r="D344" s="24" t="s">
        <v>63</v>
      </c>
      <c r="E344" s="24" t="s">
        <v>996</v>
      </c>
      <c r="F344" s="24" t="s">
        <v>1129</v>
      </c>
      <c r="G344" s="24" t="s">
        <v>1130</v>
      </c>
      <c r="H344" s="27" t="s">
        <v>1131</v>
      </c>
      <c r="I344" s="25">
        <v>155278</v>
      </c>
      <c r="J344" s="25">
        <v>149541</v>
      </c>
      <c r="K344" s="25">
        <v>149541</v>
      </c>
      <c r="L344" s="25">
        <v>113190</v>
      </c>
      <c r="M344" s="26">
        <f>I344-J344</f>
        <v>5737.0</v>
      </c>
      <c r="N344" s="26">
        <f>J344-K344</f>
        <v>0.0</v>
      </c>
      <c r="O344" s="26">
        <f>I344-L344</f>
        <v>42088.0</v>
      </c>
      <c r="P344" s="28">
        <f>IF(I344&gt;0,L344/I344,0)</f>
        <v>0.7289506562423524</v>
      </c>
      <c r="Q344" s="28">
        <f>IF(I344&gt;0,K344/I344,0)</f>
        <v>0.9630533623565476</v>
      </c>
      <c r="R344" s="24" t="str">
        <f>IF(I344&lt;=0,"Sin PIM",IF(L344/I344&gt;=Config!$B$5,"Ejecutado",IF(K344/I344&gt;=Config!$B$6,"Mayormente comprometido",IF(K344&gt;0.005,"Parcialmente comprometido",IF(J344&gt;0.005,"Solo certificado","Sin certificar")))))</f>
        <v>Mayormente comprometido</v>
      </c>
      <c r="S344" s="24" t="str">
        <f>IF(R344="Sin certificar","Disponible",IF(R344="Solo certificado","Posible",IF(R344="Parcialmente comprometido","Parcial",IF(R344="Mayormente comprometido","Difícil",IF(R344="Ejecutado","No usar","Sin PIM")))))</f>
        <v>Difícil</v>
      </c>
      <c r="T344" s="26">
        <f>IF(OR(I344&lt;=0,R344="Ejecutado"),0,MAX(0,I344-K344))</f>
        <v>5737.0</v>
      </c>
      <c r="U344" s="24" t="s">
        <v>976</v>
      </c>
      <c r="V344" s="24" t="s">
        <v>69</v>
      </c>
      <c r="W344" s="24" t="s">
        <v>69</v>
      </c>
      <c r="X344" s="24" t="s">
        <v>69</v>
      </c>
      <c r="Y344" s="24" t="s">
        <v>69</v>
      </c>
      <c r="Z344" s="24" t="s">
        <v>63</v>
      </c>
      <c r="AA344" s="24" t="s">
        <v>63</v>
      </c>
      <c r="AB344" s="24" t="s">
        <v>63</v>
      </c>
      <c r="AC344" s="24" t="s">
        <v>977</v>
      </c>
    </row>
    <row r="345" spans="1:29">
      <c r="A345" s="24" t="s">
        <v>54</v>
      </c>
      <c r="B345" s="24" t="s">
        <v>968</v>
      </c>
      <c r="C345" s="24" t="s">
        <v>969</v>
      </c>
      <c r="D345" s="24" t="s">
        <v>63</v>
      </c>
      <c r="E345" s="24" t="s">
        <v>996</v>
      </c>
      <c r="F345" s="24" t="s">
        <v>1132</v>
      </c>
      <c r="G345" s="24" t="s">
        <v>1133</v>
      </c>
      <c r="H345" s="27" t="s">
        <v>1134</v>
      </c>
      <c r="I345" s="25">
        <v>159890</v>
      </c>
      <c r="J345" s="25">
        <v>150349</v>
      </c>
      <c r="K345" s="25">
        <v>5349</v>
      </c>
      <c r="L345" s="25">
        <v>5349</v>
      </c>
      <c r="M345" s="26">
        <f>I345-J345</f>
        <v>9541.0</v>
      </c>
      <c r="N345" s="26">
        <f>J345-K345</f>
        <v>145000.0</v>
      </c>
      <c r="O345" s="26">
        <f>I345-L345</f>
        <v>154541.0</v>
      </c>
      <c r="P345" s="28">
        <f>IF(I345&gt;0,L345/I345,0)</f>
        <v>0.03345424979673525</v>
      </c>
      <c r="Q345" s="28">
        <f>IF(I345&gt;0,K345/I345,0)</f>
        <v>0.03345424979673525</v>
      </c>
      <c r="R345" s="24" t="str">
        <f>IF(I345&lt;=0,"Sin PIM",IF(L345/I345&gt;=Config!$B$5,"Ejecutado",IF(K345/I345&gt;=Config!$B$6,"Mayormente comprometido",IF(K345&gt;0.005,"Parcialmente comprometido",IF(J345&gt;0.005,"Solo certificado","Sin certificar")))))</f>
        <v>Parcialmente comprometido</v>
      </c>
      <c r="S345" s="24" t="str">
        <f>IF(R345="Sin certificar","Disponible",IF(R345="Solo certificado","Posible",IF(R345="Parcialmente comprometido","Parcial",IF(R345="Mayormente comprometido","Difícil",IF(R345="Ejecutado","No usar","Sin PIM")))))</f>
        <v>Parcial</v>
      </c>
      <c r="T345" s="26">
        <f>IF(OR(I345&lt;=0,R345="Ejecutado"),0,MAX(0,I345-K345))</f>
        <v>154541.0</v>
      </c>
      <c r="U345" s="24" t="s">
        <v>976</v>
      </c>
      <c r="V345" s="24" t="s">
        <v>69</v>
      </c>
      <c r="W345" s="24" t="s">
        <v>69</v>
      </c>
      <c r="X345" s="24" t="s">
        <v>69</v>
      </c>
      <c r="Y345" s="24" t="s">
        <v>69</v>
      </c>
      <c r="Z345" s="24" t="s">
        <v>63</v>
      </c>
      <c r="AA345" s="24" t="s">
        <v>63</v>
      </c>
      <c r="AB345" s="24" t="s">
        <v>63</v>
      </c>
      <c r="AC345" s="24" t="s">
        <v>977</v>
      </c>
    </row>
    <row r="346" spans="1:29">
      <c r="A346" s="24" t="s">
        <v>54</v>
      </c>
      <c r="B346" s="24" t="s">
        <v>968</v>
      </c>
      <c r="C346" s="24" t="s">
        <v>969</v>
      </c>
      <c r="D346" s="24" t="s">
        <v>63</v>
      </c>
      <c r="E346" s="24" t="s">
        <v>996</v>
      </c>
      <c r="F346" s="24" t="s">
        <v>1135</v>
      </c>
      <c r="G346" s="24" t="s">
        <v>1136</v>
      </c>
      <c r="H346" s="27" t="s">
        <v>1137</v>
      </c>
      <c r="I346" s="25">
        <v>159321</v>
      </c>
      <c r="J346" s="25">
        <v>152810</v>
      </c>
      <c r="K346" s="25">
        <v>130010</v>
      </c>
      <c r="L346" s="25">
        <v>130010</v>
      </c>
      <c r="M346" s="26">
        <f>I346-J346</f>
        <v>6511.0</v>
      </c>
      <c r="N346" s="26">
        <f>J346-K346</f>
        <v>22800.0</v>
      </c>
      <c r="O346" s="26">
        <f>I346-L346</f>
        <v>29311.0</v>
      </c>
      <c r="P346" s="28">
        <f>IF(I346&gt;0,L346/I346,0)</f>
        <v>0.8160255082506387</v>
      </c>
      <c r="Q346" s="28">
        <f>IF(I346&gt;0,K346/I346,0)</f>
        <v>0.8160255082506387</v>
      </c>
      <c r="R346" s="24" t="str">
        <f>IF(I346&lt;=0,"Sin PIM",IF(L346/I346&gt;=Config!$B$5,"Ejecutado",IF(K346/I346&gt;=Config!$B$6,"Mayormente comprometido",IF(K346&gt;0.005,"Parcialmente comprometido",IF(J346&gt;0.005,"Solo certificado","Sin certificar")))))</f>
        <v>Mayormente comprometido</v>
      </c>
      <c r="S346" s="24" t="str">
        <f>IF(R346="Sin certificar","Disponible",IF(R346="Solo certificado","Posible",IF(R346="Parcialmente comprometido","Parcial",IF(R346="Mayormente comprometido","Difícil",IF(R346="Ejecutado","No usar","Sin PIM")))))</f>
        <v>Difícil</v>
      </c>
      <c r="T346" s="26">
        <f>IF(OR(I346&lt;=0,R346="Ejecutado"),0,MAX(0,I346-K346))</f>
        <v>29311.0</v>
      </c>
      <c r="U346" s="24" t="s">
        <v>976</v>
      </c>
      <c r="V346" s="24" t="s">
        <v>69</v>
      </c>
      <c r="W346" s="24" t="s">
        <v>69</v>
      </c>
      <c r="X346" s="24" t="s">
        <v>69</v>
      </c>
      <c r="Y346" s="24" t="s">
        <v>69</v>
      </c>
      <c r="Z346" s="24" t="s">
        <v>63</v>
      </c>
      <c r="AA346" s="24" t="s">
        <v>63</v>
      </c>
      <c r="AB346" s="24" t="s">
        <v>63</v>
      </c>
      <c r="AC346" s="24" t="s">
        <v>977</v>
      </c>
    </row>
    <row r="347" spans="1:29">
      <c r="A347" s="24" t="s">
        <v>54</v>
      </c>
      <c r="B347" s="24" t="s">
        <v>968</v>
      </c>
      <c r="C347" s="24" t="s">
        <v>969</v>
      </c>
      <c r="D347" s="24" t="s">
        <v>63</v>
      </c>
      <c r="E347" s="24" t="s">
        <v>996</v>
      </c>
      <c r="F347" s="24" t="s">
        <v>1138</v>
      </c>
      <c r="G347" s="24" t="s">
        <v>1139</v>
      </c>
      <c r="H347" s="27" t="s">
        <v>1140</v>
      </c>
      <c r="I347" s="25">
        <v>146532</v>
      </c>
      <c r="J347" s="25">
        <v>140645</v>
      </c>
      <c r="K347" s="25">
        <v>109445</v>
      </c>
      <c r="L347" s="25">
        <v>109445</v>
      </c>
      <c r="M347" s="26">
        <f>I347-J347</f>
        <v>5887.0</v>
      </c>
      <c r="N347" s="26">
        <f>J347-K347</f>
        <v>31200.0</v>
      </c>
      <c r="O347" s="26">
        <f>I347-L347</f>
        <v>37087.0</v>
      </c>
      <c r="P347" s="28">
        <f>IF(I347&gt;0,L347/I347,0)</f>
        <v>0.7469017006524172</v>
      </c>
      <c r="Q347" s="28">
        <f>IF(I347&gt;0,K347/I347,0)</f>
        <v>0.7469017006524172</v>
      </c>
      <c r="R347" s="24" t="str">
        <f>IF(I347&lt;=0,"Sin PIM",IF(L347/I347&gt;=Config!$B$5,"Ejecutado",IF(K347/I347&gt;=Config!$B$6,"Mayormente comprometido",IF(K347&gt;0.005,"Parcialmente comprometido",IF(J347&gt;0.005,"Solo certificado","Sin certificar")))))</f>
        <v>Mayormente comprometido</v>
      </c>
      <c r="S347" s="24" t="str">
        <f>IF(R347="Sin certificar","Disponible",IF(R347="Solo certificado","Posible",IF(R347="Parcialmente comprometido","Parcial",IF(R347="Mayormente comprometido","Difícil",IF(R347="Ejecutado","No usar","Sin PIM")))))</f>
        <v>Difícil</v>
      </c>
      <c r="T347" s="26">
        <f>IF(OR(I347&lt;=0,R347="Ejecutado"),0,MAX(0,I347-K347))</f>
        <v>37087.0</v>
      </c>
      <c r="U347" s="24" t="s">
        <v>976</v>
      </c>
      <c r="V347" s="24" t="s">
        <v>69</v>
      </c>
      <c r="W347" s="24" t="s">
        <v>69</v>
      </c>
      <c r="X347" s="24" t="s">
        <v>69</v>
      </c>
      <c r="Y347" s="24" t="s">
        <v>69</v>
      </c>
      <c r="Z347" s="24" t="s">
        <v>63</v>
      </c>
      <c r="AA347" s="24" t="s">
        <v>63</v>
      </c>
      <c r="AB347" s="24" t="s">
        <v>63</v>
      </c>
      <c r="AC347" s="24" t="s">
        <v>977</v>
      </c>
    </row>
    <row r="348" spans="1:29">
      <c r="A348" s="24" t="s">
        <v>54</v>
      </c>
      <c r="B348" s="24" t="s">
        <v>968</v>
      </c>
      <c r="C348" s="24" t="s">
        <v>969</v>
      </c>
      <c r="D348" s="24" t="s">
        <v>63</v>
      </c>
      <c r="E348" s="24" t="s">
        <v>996</v>
      </c>
      <c r="F348" s="24" t="s">
        <v>1141</v>
      </c>
      <c r="G348" s="24" t="s">
        <v>1142</v>
      </c>
      <c r="H348" s="27" t="s">
        <v>1143</v>
      </c>
      <c r="I348" s="25">
        <v>155656</v>
      </c>
      <c r="J348" s="25">
        <v>151053</v>
      </c>
      <c r="K348" s="25">
        <v>11670</v>
      </c>
      <c r="L348" s="25">
        <v>0</v>
      </c>
      <c r="M348" s="26">
        <f>I348-J348</f>
        <v>4603.0</v>
      </c>
      <c r="N348" s="26">
        <f>J348-K348</f>
        <v>139383.0</v>
      </c>
      <c r="O348" s="26">
        <f>I348-L348</f>
        <v>155656.0</v>
      </c>
      <c r="P348" s="28">
        <f>IF(I348&gt;0,L348/I348,0)</f>
        <v>0.0</v>
      </c>
      <c r="Q348" s="28">
        <f>IF(I348&gt;0,K348/I348,0)</f>
        <v>0.07497301742303542</v>
      </c>
      <c r="R348" s="24" t="str">
        <f>IF(I348&lt;=0,"Sin PIM",IF(L348/I348&gt;=Config!$B$5,"Ejecutado",IF(K348/I348&gt;=Config!$B$6,"Mayormente comprometido",IF(K348&gt;0.005,"Parcialmente comprometido",IF(J348&gt;0.005,"Solo certificado","Sin certificar")))))</f>
        <v>Parcialmente comprometido</v>
      </c>
      <c r="S348" s="24" t="str">
        <f>IF(R348="Sin certificar","Disponible",IF(R348="Solo certificado","Posible",IF(R348="Parcialmente comprometido","Parcial",IF(R348="Mayormente comprometido","Difícil",IF(R348="Ejecutado","No usar","Sin PIM")))))</f>
        <v>Parcial</v>
      </c>
      <c r="T348" s="26">
        <f>IF(OR(I348&lt;=0,R348="Ejecutado"),0,MAX(0,I348-K348))</f>
        <v>143986.0</v>
      </c>
      <c r="U348" s="24" t="s">
        <v>976</v>
      </c>
      <c r="V348" s="24" t="s">
        <v>69</v>
      </c>
      <c r="W348" s="24" t="s">
        <v>69</v>
      </c>
      <c r="X348" s="24" t="s">
        <v>69</v>
      </c>
      <c r="Y348" s="24" t="s">
        <v>69</v>
      </c>
      <c r="Z348" s="24" t="s">
        <v>63</v>
      </c>
      <c r="AA348" s="24" t="s">
        <v>63</v>
      </c>
      <c r="AB348" s="24" t="s">
        <v>63</v>
      </c>
      <c r="AC348" s="24" t="s">
        <v>977</v>
      </c>
    </row>
    <row r="349" spans="1:29">
      <c r="A349" s="24" t="s">
        <v>54</v>
      </c>
      <c r="B349" s="24" t="s">
        <v>968</v>
      </c>
      <c r="C349" s="24" t="s">
        <v>969</v>
      </c>
      <c r="D349" s="24" t="s">
        <v>63</v>
      </c>
      <c r="E349" s="24" t="s">
        <v>996</v>
      </c>
      <c r="F349" s="24" t="s">
        <v>1144</v>
      </c>
      <c r="G349" s="24" t="s">
        <v>1145</v>
      </c>
      <c r="H349" s="27" t="s">
        <v>1146</v>
      </c>
      <c r="I349" s="25">
        <v>159060</v>
      </c>
      <c r="J349" s="25">
        <v>151725</v>
      </c>
      <c r="K349" s="25">
        <v>132125</v>
      </c>
      <c r="L349" s="25">
        <v>124900</v>
      </c>
      <c r="M349" s="26">
        <f>I349-J349</f>
        <v>7335.0</v>
      </c>
      <c r="N349" s="26">
        <f>J349-K349</f>
        <v>19600.0</v>
      </c>
      <c r="O349" s="26">
        <f>I349-L349</f>
        <v>34160.0</v>
      </c>
      <c r="P349" s="28">
        <f>IF(I349&gt;0,L349/I349,0)</f>
        <v>0.7852382748648309</v>
      </c>
      <c r="Q349" s="28">
        <f>IF(I349&gt;0,K349/I349,0)</f>
        <v>0.8306613856406387</v>
      </c>
      <c r="R349" s="24" t="str">
        <f>IF(I349&lt;=0,"Sin PIM",IF(L349/I349&gt;=Config!$B$5,"Ejecutado",IF(K349/I349&gt;=Config!$B$6,"Mayormente comprometido",IF(K349&gt;0.005,"Parcialmente comprometido",IF(J349&gt;0.005,"Solo certificado","Sin certificar")))))</f>
        <v>Mayormente comprometido</v>
      </c>
      <c r="S349" s="24" t="str">
        <f>IF(R349="Sin certificar","Disponible",IF(R349="Solo certificado","Posible",IF(R349="Parcialmente comprometido","Parcial",IF(R349="Mayormente comprometido","Difícil",IF(R349="Ejecutado","No usar","Sin PIM")))))</f>
        <v>Difícil</v>
      </c>
      <c r="T349" s="26">
        <f>IF(OR(I349&lt;=0,R349="Ejecutado"),0,MAX(0,I349-K349))</f>
        <v>26935.0</v>
      </c>
      <c r="U349" s="24" t="s">
        <v>976</v>
      </c>
      <c r="V349" s="24" t="s">
        <v>69</v>
      </c>
      <c r="W349" s="24" t="s">
        <v>69</v>
      </c>
      <c r="X349" s="24" t="s">
        <v>69</v>
      </c>
      <c r="Y349" s="24" t="s">
        <v>69</v>
      </c>
      <c r="Z349" s="24" t="s">
        <v>63</v>
      </c>
      <c r="AA349" s="24" t="s">
        <v>63</v>
      </c>
      <c r="AB349" s="24" t="s">
        <v>63</v>
      </c>
      <c r="AC349" s="24" t="s">
        <v>977</v>
      </c>
    </row>
    <row r="350" spans="1:29">
      <c r="A350" s="24" t="s">
        <v>54</v>
      </c>
      <c r="B350" s="24" t="s">
        <v>968</v>
      </c>
      <c r="C350" s="24" t="s">
        <v>969</v>
      </c>
      <c r="D350" s="24" t="s">
        <v>63</v>
      </c>
      <c r="E350" s="24" t="s">
        <v>996</v>
      </c>
      <c r="F350" s="24" t="s">
        <v>1147</v>
      </c>
      <c r="G350" s="24" t="s">
        <v>1148</v>
      </c>
      <c r="H350" s="27" t="s">
        <v>1149</v>
      </c>
      <c r="I350" s="25">
        <v>159862</v>
      </c>
      <c r="J350" s="25">
        <v>86882.5</v>
      </c>
      <c r="K350" s="25">
        <v>86872.5</v>
      </c>
      <c r="L350" s="25">
        <v>86872.5</v>
      </c>
      <c r="M350" s="26">
        <f>I350-J350</f>
        <v>72979.5</v>
      </c>
      <c r="N350" s="26">
        <f>J350-K350</f>
        <v>10.0</v>
      </c>
      <c r="O350" s="26">
        <f>I350-L350</f>
        <v>72989.5</v>
      </c>
      <c r="P350" s="28">
        <f>IF(I350&gt;0,L350/I350,0)</f>
        <v>0.5434218263252055</v>
      </c>
      <c r="Q350" s="28">
        <f>IF(I350&gt;0,K350/I350,0)</f>
        <v>0.5434218263252055</v>
      </c>
      <c r="R350" s="24" t="str">
        <f>IF(I350&lt;=0,"Sin PIM",IF(L350/I350&gt;=Config!$B$5,"Ejecutado",IF(K350/I350&gt;=Config!$B$6,"Mayormente comprometido",IF(K350&gt;0.005,"Parcialmente comprometido",IF(J350&gt;0.005,"Solo certificado","Sin certificar")))))</f>
        <v>Mayormente comprometido</v>
      </c>
      <c r="S350" s="24" t="str">
        <f>IF(R350="Sin certificar","Disponible",IF(R350="Solo certificado","Posible",IF(R350="Parcialmente comprometido","Parcial",IF(R350="Mayormente comprometido","Difícil",IF(R350="Ejecutado","No usar","Sin PIM")))))</f>
        <v>Difícil</v>
      </c>
      <c r="T350" s="26">
        <f>IF(OR(I350&lt;=0,R350="Ejecutado"),0,MAX(0,I350-K350))</f>
        <v>72989.5</v>
      </c>
      <c r="U350" s="24" t="s">
        <v>976</v>
      </c>
      <c r="V350" s="24" t="s">
        <v>69</v>
      </c>
      <c r="W350" s="24" t="s">
        <v>69</v>
      </c>
      <c r="X350" s="24" t="s">
        <v>69</v>
      </c>
      <c r="Y350" s="24" t="s">
        <v>69</v>
      </c>
      <c r="Z350" s="24" t="s">
        <v>63</v>
      </c>
      <c r="AA350" s="24" t="s">
        <v>63</v>
      </c>
      <c r="AB350" s="24" t="s">
        <v>63</v>
      </c>
      <c r="AC350" s="24" t="s">
        <v>977</v>
      </c>
    </row>
    <row r="351" spans="1:29">
      <c r="A351" s="24" t="s">
        <v>54</v>
      </c>
      <c r="B351" s="24" t="s">
        <v>968</v>
      </c>
      <c r="C351" s="24" t="s">
        <v>969</v>
      </c>
      <c r="D351" s="24" t="s">
        <v>63</v>
      </c>
      <c r="E351" s="24" t="s">
        <v>996</v>
      </c>
      <c r="F351" s="24" t="s">
        <v>1150</v>
      </c>
      <c r="G351" s="24" t="s">
        <v>1151</v>
      </c>
      <c r="H351" s="27" t="s">
        <v>1152</v>
      </c>
      <c r="I351" s="25">
        <v>157300</v>
      </c>
      <c r="J351" s="25">
        <v>149830</v>
      </c>
      <c r="K351" s="25">
        <v>149790</v>
      </c>
      <c r="L351" s="25">
        <v>149790</v>
      </c>
      <c r="M351" s="26">
        <f>I351-J351</f>
        <v>7470.0</v>
      </c>
      <c r="N351" s="26">
        <f>J351-K351</f>
        <v>40.0</v>
      </c>
      <c r="O351" s="26">
        <f>I351-L351</f>
        <v>7510.0</v>
      </c>
      <c r="P351" s="28">
        <f>IF(I351&gt;0,L351/I351,0)</f>
        <v>0.9522568340750159</v>
      </c>
      <c r="Q351" s="28">
        <f>IF(I351&gt;0,K351/I351,0)</f>
        <v>0.9522568340750159</v>
      </c>
      <c r="R351" s="24" t="str">
        <f>IF(I351&lt;=0,"Sin PIM",IF(L351/I351&gt;=Config!$B$5,"Ejecutado",IF(K351/I351&gt;=Config!$B$6,"Mayormente comprometido",IF(K351&gt;0.005,"Parcialmente comprometido",IF(J351&gt;0.005,"Solo certificado","Sin certificar")))))</f>
        <v>Ejecutado</v>
      </c>
      <c r="S351" s="24" t="str">
        <f>IF(R351="Sin certificar","Disponible",IF(R351="Solo certificado","Posible",IF(R351="Parcialmente comprometido","Parcial",IF(R351="Mayormente comprometido","Difícil",IF(R351="Ejecutado","No usar","Sin PIM")))))</f>
        <v>No usar</v>
      </c>
      <c r="T351" s="26">
        <f>IF(OR(I351&lt;=0,R351="Ejecutado"),0,MAX(0,I351-K351))</f>
        <v>0.0</v>
      </c>
      <c r="U351" s="24" t="s">
        <v>976</v>
      </c>
      <c r="V351" s="24" t="s">
        <v>69</v>
      </c>
      <c r="W351" s="24" t="s">
        <v>69</v>
      </c>
      <c r="X351" s="24" t="s">
        <v>69</v>
      </c>
      <c r="Y351" s="24" t="s">
        <v>69</v>
      </c>
      <c r="Z351" s="24" t="s">
        <v>63</v>
      </c>
      <c r="AA351" s="24" t="s">
        <v>63</v>
      </c>
      <c r="AB351" s="24" t="s">
        <v>63</v>
      </c>
      <c r="AC351" s="24" t="s">
        <v>977</v>
      </c>
    </row>
    <row r="352" spans="1:29">
      <c r="A352" s="24" t="s">
        <v>54</v>
      </c>
      <c r="B352" s="24" t="s">
        <v>968</v>
      </c>
      <c r="C352" s="24" t="s">
        <v>969</v>
      </c>
      <c r="D352" s="24" t="s">
        <v>63</v>
      </c>
      <c r="E352" s="24" t="s">
        <v>996</v>
      </c>
      <c r="F352" s="24" t="s">
        <v>1153</v>
      </c>
      <c r="G352" s="24" t="s">
        <v>1154</v>
      </c>
      <c r="H352" s="27" t="s">
        <v>1155</v>
      </c>
      <c r="I352" s="25">
        <v>159720</v>
      </c>
      <c r="J352" s="25">
        <v>152944</v>
      </c>
      <c r="K352" s="25">
        <v>152929</v>
      </c>
      <c r="L352" s="25">
        <v>146395</v>
      </c>
      <c r="M352" s="26">
        <f>I352-J352</f>
        <v>6776.0</v>
      </c>
      <c r="N352" s="26">
        <f>J352-K352</f>
        <v>15.0</v>
      </c>
      <c r="O352" s="26">
        <f>I352-L352</f>
        <v>13325.0</v>
      </c>
      <c r="P352" s="28">
        <f>IF(I352&gt;0,L352/I352,0)</f>
        <v>0.916572752316554</v>
      </c>
      <c r="Q352" s="28">
        <f>IF(I352&gt;0,K352/I352,0)</f>
        <v>0.9574818432256449</v>
      </c>
      <c r="R352" s="24" t="str">
        <f>IF(I352&lt;=0,"Sin PIM",IF(L352/I352&gt;=Config!$B$5,"Ejecutado",IF(K352/I352&gt;=Config!$B$6,"Mayormente comprometido",IF(K352&gt;0.005,"Parcialmente comprometido",IF(J352&gt;0.005,"Solo certificado","Sin certificar")))))</f>
        <v>Ejecutado</v>
      </c>
      <c r="S352" s="24" t="str">
        <f>IF(R352="Sin certificar","Disponible",IF(R352="Solo certificado","Posible",IF(R352="Parcialmente comprometido","Parcial",IF(R352="Mayormente comprometido","Difícil",IF(R352="Ejecutado","No usar","Sin PIM")))))</f>
        <v>No usar</v>
      </c>
      <c r="T352" s="26">
        <f>IF(OR(I352&lt;=0,R352="Ejecutado"),0,MAX(0,I352-K352))</f>
        <v>0.0</v>
      </c>
      <c r="U352" s="24" t="s">
        <v>976</v>
      </c>
      <c r="V352" s="24" t="s">
        <v>69</v>
      </c>
      <c r="W352" s="24" t="s">
        <v>69</v>
      </c>
      <c r="X352" s="24" t="s">
        <v>69</v>
      </c>
      <c r="Y352" s="24" t="s">
        <v>69</v>
      </c>
      <c r="Z352" s="24" t="s">
        <v>63</v>
      </c>
      <c r="AA352" s="24" t="s">
        <v>63</v>
      </c>
      <c r="AB352" s="24" t="s">
        <v>63</v>
      </c>
      <c r="AC352" s="24" t="s">
        <v>977</v>
      </c>
    </row>
    <row r="353" spans="1:29">
      <c r="A353" s="24" t="s">
        <v>54</v>
      </c>
      <c r="B353" s="24" t="s">
        <v>968</v>
      </c>
      <c r="C353" s="24" t="s">
        <v>969</v>
      </c>
      <c r="D353" s="24" t="s">
        <v>63</v>
      </c>
      <c r="E353" s="24" t="s">
        <v>996</v>
      </c>
      <c r="F353" s="24" t="s">
        <v>1156</v>
      </c>
      <c r="G353" s="24" t="s">
        <v>1157</v>
      </c>
      <c r="H353" s="27" t="s">
        <v>1158</v>
      </c>
      <c r="I353" s="25">
        <v>159007</v>
      </c>
      <c r="J353" s="25">
        <v>49260</v>
      </c>
      <c r="K353" s="25">
        <v>49260</v>
      </c>
      <c r="L353" s="25">
        <v>49260</v>
      </c>
      <c r="M353" s="26">
        <f>I353-J353</f>
        <v>109747.0</v>
      </c>
      <c r="N353" s="26">
        <f>J353-K353</f>
        <v>0.0</v>
      </c>
      <c r="O353" s="26">
        <f>I353-L353</f>
        <v>109747.0</v>
      </c>
      <c r="P353" s="28">
        <f>IF(I353&gt;0,L353/I353,0)</f>
        <v>0.3097976818630626</v>
      </c>
      <c r="Q353" s="28">
        <f>IF(I353&gt;0,K353/I353,0)</f>
        <v>0.3097976818630626</v>
      </c>
      <c r="R353" s="24" t="str">
        <f>IF(I353&lt;=0,"Sin PIM",IF(L353/I353&gt;=Config!$B$5,"Ejecutado",IF(K353/I353&gt;=Config!$B$6,"Mayormente comprometido",IF(K353&gt;0.005,"Parcialmente comprometido",IF(J353&gt;0.005,"Solo certificado","Sin certificar")))))</f>
        <v>Parcialmente comprometido</v>
      </c>
      <c r="S353" s="24" t="str">
        <f>IF(R353="Sin certificar","Disponible",IF(R353="Solo certificado","Posible",IF(R353="Parcialmente comprometido","Parcial",IF(R353="Mayormente comprometido","Difícil",IF(R353="Ejecutado","No usar","Sin PIM")))))</f>
        <v>Parcial</v>
      </c>
      <c r="T353" s="26">
        <f>IF(OR(I353&lt;=0,R353="Ejecutado"),0,MAX(0,I353-K353))</f>
        <v>109747.0</v>
      </c>
      <c r="U353" s="24" t="s">
        <v>976</v>
      </c>
      <c r="V353" s="24" t="s">
        <v>69</v>
      </c>
      <c r="W353" s="24" t="s">
        <v>69</v>
      </c>
      <c r="X353" s="24" t="s">
        <v>69</v>
      </c>
      <c r="Y353" s="24" t="s">
        <v>69</v>
      </c>
      <c r="Z353" s="24" t="s">
        <v>63</v>
      </c>
      <c r="AA353" s="24" t="s">
        <v>63</v>
      </c>
      <c r="AB353" s="24" t="s">
        <v>63</v>
      </c>
      <c r="AC353" s="24" t="s">
        <v>977</v>
      </c>
    </row>
    <row r="354" spans="1:29">
      <c r="A354" s="24" t="s">
        <v>54</v>
      </c>
      <c r="B354" s="24" t="s">
        <v>968</v>
      </c>
      <c r="C354" s="24" t="s">
        <v>969</v>
      </c>
      <c r="D354" s="24" t="s">
        <v>63</v>
      </c>
      <c r="E354" s="24" t="s">
        <v>996</v>
      </c>
      <c r="F354" s="24" t="s">
        <v>1159</v>
      </c>
      <c r="G354" s="24" t="s">
        <v>1160</v>
      </c>
      <c r="H354" s="27" t="s">
        <v>1161</v>
      </c>
      <c r="I354" s="25">
        <v>159876</v>
      </c>
      <c r="J354" s="25">
        <v>122810</v>
      </c>
      <c r="K354" s="25">
        <v>122810</v>
      </c>
      <c r="L354" s="25">
        <v>113200</v>
      </c>
      <c r="M354" s="26">
        <f>I354-J354</f>
        <v>37066.0</v>
      </c>
      <c r="N354" s="26">
        <f>J354-K354</f>
        <v>0.0</v>
      </c>
      <c r="O354" s="26">
        <f>I354-L354</f>
        <v>46676.0</v>
      </c>
      <c r="P354" s="28">
        <f>IF(I354&gt;0,L354/I354,0)</f>
        <v>0.7080487377717731</v>
      </c>
      <c r="Q354" s="28">
        <f>IF(I354&gt;0,K354/I354,0)</f>
        <v>0.768157822312292</v>
      </c>
      <c r="R354" s="24" t="str">
        <f>IF(I354&lt;=0,"Sin PIM",IF(L354/I354&gt;=Config!$B$5,"Ejecutado",IF(K354/I354&gt;=Config!$B$6,"Mayormente comprometido",IF(K354&gt;0.005,"Parcialmente comprometido",IF(J354&gt;0.005,"Solo certificado","Sin certificar")))))</f>
        <v>Mayormente comprometido</v>
      </c>
      <c r="S354" s="24" t="str">
        <f>IF(R354="Sin certificar","Disponible",IF(R354="Solo certificado","Posible",IF(R354="Parcialmente comprometido","Parcial",IF(R354="Mayormente comprometido","Difícil",IF(R354="Ejecutado","No usar","Sin PIM")))))</f>
        <v>Difícil</v>
      </c>
      <c r="T354" s="26">
        <f>IF(OR(I354&lt;=0,R354="Ejecutado"),0,MAX(0,I354-K354))</f>
        <v>37066.0</v>
      </c>
      <c r="U354" s="24" t="s">
        <v>976</v>
      </c>
      <c r="V354" s="24" t="s">
        <v>69</v>
      </c>
      <c r="W354" s="24" t="s">
        <v>69</v>
      </c>
      <c r="X354" s="24" t="s">
        <v>69</v>
      </c>
      <c r="Y354" s="24" t="s">
        <v>69</v>
      </c>
      <c r="Z354" s="24" t="s">
        <v>63</v>
      </c>
      <c r="AA354" s="24" t="s">
        <v>63</v>
      </c>
      <c r="AB354" s="24" t="s">
        <v>63</v>
      </c>
      <c r="AC354" s="24" t="s">
        <v>977</v>
      </c>
    </row>
    <row r="355" spans="1:29">
      <c r="A355" s="24" t="s">
        <v>54</v>
      </c>
      <c r="B355" s="24" t="s">
        <v>968</v>
      </c>
      <c r="C355" s="24" t="s">
        <v>969</v>
      </c>
      <c r="D355" s="24" t="s">
        <v>63</v>
      </c>
      <c r="E355" s="24" t="s">
        <v>996</v>
      </c>
      <c r="F355" s="24" t="s">
        <v>1162</v>
      </c>
      <c r="G355" s="24" t="s">
        <v>1163</v>
      </c>
      <c r="H355" s="27" t="s">
        <v>1164</v>
      </c>
      <c r="I355" s="25">
        <v>158527</v>
      </c>
      <c r="J355" s="25">
        <v>152744</v>
      </c>
      <c r="K355" s="25">
        <v>152544</v>
      </c>
      <c r="L355" s="25">
        <v>146576</v>
      </c>
      <c r="M355" s="26">
        <f>I355-J355</f>
        <v>5783.0</v>
      </c>
      <c r="N355" s="26">
        <f>J355-K355</f>
        <v>200.0</v>
      </c>
      <c r="O355" s="26">
        <f>I355-L355</f>
        <v>11951.0</v>
      </c>
      <c r="P355" s="28">
        <f>IF(I355&gt;0,L355/I355,0)</f>
        <v>0.9246122111690753</v>
      </c>
      <c r="Q355" s="28">
        <f>IF(I355&gt;0,K355/I355,0)</f>
        <v>0.9622587950317611</v>
      </c>
      <c r="R355" s="24" t="str">
        <f>IF(I355&lt;=0,"Sin PIM",IF(L355/I355&gt;=Config!$B$5,"Ejecutado",IF(K355/I355&gt;=Config!$B$6,"Mayormente comprometido",IF(K355&gt;0.005,"Parcialmente comprometido",IF(J355&gt;0.005,"Solo certificado","Sin certificar")))))</f>
        <v>Ejecutado</v>
      </c>
      <c r="S355" s="24" t="str">
        <f>IF(R355="Sin certificar","Disponible",IF(R355="Solo certificado","Posible",IF(R355="Parcialmente comprometido","Parcial",IF(R355="Mayormente comprometido","Difícil",IF(R355="Ejecutado","No usar","Sin PIM")))))</f>
        <v>No usar</v>
      </c>
      <c r="T355" s="26">
        <f>IF(OR(I355&lt;=0,R355="Ejecutado"),0,MAX(0,I355-K355))</f>
        <v>0.0</v>
      </c>
      <c r="U355" s="24" t="s">
        <v>976</v>
      </c>
      <c r="V355" s="24" t="s">
        <v>69</v>
      </c>
      <c r="W355" s="24" t="s">
        <v>69</v>
      </c>
      <c r="X355" s="24" t="s">
        <v>69</v>
      </c>
      <c r="Y355" s="24" t="s">
        <v>69</v>
      </c>
      <c r="Z355" s="24" t="s">
        <v>63</v>
      </c>
      <c r="AA355" s="24" t="s">
        <v>63</v>
      </c>
      <c r="AB355" s="24" t="s">
        <v>63</v>
      </c>
      <c r="AC355" s="24" t="s">
        <v>977</v>
      </c>
    </row>
    <row r="356" spans="1:29">
      <c r="A356" s="24" t="s">
        <v>54</v>
      </c>
      <c r="B356" s="24" t="s">
        <v>968</v>
      </c>
      <c r="C356" s="24" t="s">
        <v>969</v>
      </c>
      <c r="D356" s="24" t="s">
        <v>63</v>
      </c>
      <c r="E356" s="24" t="s">
        <v>996</v>
      </c>
      <c r="F356" s="24" t="s">
        <v>1165</v>
      </c>
      <c r="G356" s="24" t="s">
        <v>1166</v>
      </c>
      <c r="H356" s="27" t="s">
        <v>1167</v>
      </c>
      <c r="I356" s="25">
        <v>158640</v>
      </c>
      <c r="J356" s="25">
        <v>136115</v>
      </c>
      <c r="K356" s="25">
        <v>43095</v>
      </c>
      <c r="L356" s="25">
        <v>43095</v>
      </c>
      <c r="M356" s="26">
        <f>I356-J356</f>
        <v>22525.0</v>
      </c>
      <c r="N356" s="26">
        <f>J356-K356</f>
        <v>93020.0</v>
      </c>
      <c r="O356" s="26">
        <f>I356-L356</f>
        <v>115545.0</v>
      </c>
      <c r="P356" s="28">
        <f>IF(I356&gt;0,L356/I356,0)</f>
        <v>0.27165279878971255</v>
      </c>
      <c r="Q356" s="28">
        <f>IF(I356&gt;0,K356/I356,0)</f>
        <v>0.27165279878971255</v>
      </c>
      <c r="R356" s="24" t="str">
        <f>IF(I356&lt;=0,"Sin PIM",IF(L356/I356&gt;=Config!$B$5,"Ejecutado",IF(K356/I356&gt;=Config!$B$6,"Mayormente comprometido",IF(K356&gt;0.005,"Parcialmente comprometido",IF(J356&gt;0.005,"Solo certificado","Sin certificar")))))</f>
        <v>Parcialmente comprometido</v>
      </c>
      <c r="S356" s="24" t="str">
        <f>IF(R356="Sin certificar","Disponible",IF(R356="Solo certificado","Posible",IF(R356="Parcialmente comprometido","Parcial",IF(R356="Mayormente comprometido","Difícil",IF(R356="Ejecutado","No usar","Sin PIM")))))</f>
        <v>Parcial</v>
      </c>
      <c r="T356" s="26">
        <f>IF(OR(I356&lt;=0,R356="Ejecutado"),0,MAX(0,I356-K356))</f>
        <v>115545.0</v>
      </c>
      <c r="U356" s="24" t="s">
        <v>976</v>
      </c>
      <c r="V356" s="24" t="s">
        <v>69</v>
      </c>
      <c r="W356" s="24" t="s">
        <v>69</v>
      </c>
      <c r="X356" s="24" t="s">
        <v>69</v>
      </c>
      <c r="Y356" s="24" t="s">
        <v>69</v>
      </c>
      <c r="Z356" s="24" t="s">
        <v>63</v>
      </c>
      <c r="AA356" s="24" t="s">
        <v>63</v>
      </c>
      <c r="AB356" s="24" t="s">
        <v>63</v>
      </c>
      <c r="AC356" s="24" t="s">
        <v>977</v>
      </c>
    </row>
    <row r="357" spans="1:29">
      <c r="A357" s="24" t="s">
        <v>54</v>
      </c>
      <c r="B357" s="24" t="s">
        <v>968</v>
      </c>
      <c r="C357" s="24" t="s">
        <v>969</v>
      </c>
      <c r="D357" s="24" t="s">
        <v>63</v>
      </c>
      <c r="E357" s="24" t="s">
        <v>996</v>
      </c>
      <c r="F357" s="24" t="s">
        <v>1168</v>
      </c>
      <c r="G357" s="24" t="s">
        <v>1169</v>
      </c>
      <c r="H357" s="27" t="s">
        <v>1170</v>
      </c>
      <c r="I357" s="25">
        <v>159041</v>
      </c>
      <c r="J357" s="25">
        <v>146000</v>
      </c>
      <c r="K357" s="25">
        <v>146000</v>
      </c>
      <c r="L357" s="25">
        <v>139000</v>
      </c>
      <c r="M357" s="26">
        <f>I357-J357</f>
        <v>13041.0</v>
      </c>
      <c r="N357" s="26">
        <f>J357-K357</f>
        <v>0.0</v>
      </c>
      <c r="O357" s="26">
        <f>I357-L357</f>
        <v>20041.0</v>
      </c>
      <c r="P357" s="28">
        <f>IF(I357&gt;0,L357/I357,0)</f>
        <v>0.8739884683823668</v>
      </c>
      <c r="Q357" s="28">
        <f>IF(I357&gt;0,K357/I357,0)</f>
        <v>0.9180022761426299</v>
      </c>
      <c r="R357" s="24" t="str">
        <f>IF(I357&lt;=0,"Sin PIM",IF(L357/I357&gt;=Config!$B$5,"Ejecutado",IF(K357/I357&gt;=Config!$B$6,"Mayormente comprometido",IF(K357&gt;0.005,"Parcialmente comprometido",IF(J357&gt;0.005,"Solo certificado","Sin certificar")))))</f>
        <v>Mayormente comprometido</v>
      </c>
      <c r="S357" s="24" t="str">
        <f>IF(R357="Sin certificar","Disponible",IF(R357="Solo certificado","Posible",IF(R357="Parcialmente comprometido","Parcial",IF(R357="Mayormente comprometido","Difícil",IF(R357="Ejecutado","No usar","Sin PIM")))))</f>
        <v>Difícil</v>
      </c>
      <c r="T357" s="26">
        <f>IF(OR(I357&lt;=0,R357="Ejecutado"),0,MAX(0,I357-K357))</f>
        <v>13041.0</v>
      </c>
      <c r="U357" s="24" t="s">
        <v>976</v>
      </c>
      <c r="V357" s="24" t="s">
        <v>69</v>
      </c>
      <c r="W357" s="24" t="s">
        <v>69</v>
      </c>
      <c r="X357" s="24" t="s">
        <v>69</v>
      </c>
      <c r="Y357" s="24" t="s">
        <v>69</v>
      </c>
      <c r="Z357" s="24" t="s">
        <v>63</v>
      </c>
      <c r="AA357" s="24" t="s">
        <v>63</v>
      </c>
      <c r="AB357" s="24" t="s">
        <v>63</v>
      </c>
      <c r="AC357" s="24" t="s">
        <v>977</v>
      </c>
    </row>
    <row r="358" spans="1:29">
      <c r="A358" s="24" t="s">
        <v>54</v>
      </c>
      <c r="B358" s="24" t="s">
        <v>968</v>
      </c>
      <c r="C358" s="24" t="s">
        <v>969</v>
      </c>
      <c r="D358" s="24" t="s">
        <v>63</v>
      </c>
      <c r="E358" s="24" t="s">
        <v>996</v>
      </c>
      <c r="F358" s="24" t="s">
        <v>1171</v>
      </c>
      <c r="G358" s="24" t="s">
        <v>1172</v>
      </c>
      <c r="H358" s="27" t="s">
        <v>1173</v>
      </c>
      <c r="I358" s="25">
        <v>159584</v>
      </c>
      <c r="J358" s="25">
        <v>152800</v>
      </c>
      <c r="K358" s="25">
        <v>152800</v>
      </c>
      <c r="L358" s="25">
        <v>152800</v>
      </c>
      <c r="M358" s="26">
        <f>I358-J358</f>
        <v>6784.0</v>
      </c>
      <c r="N358" s="26">
        <f>J358-K358</f>
        <v>0.0</v>
      </c>
      <c r="O358" s="26">
        <f>I358-L358</f>
        <v>6784.0</v>
      </c>
      <c r="P358" s="28">
        <f>IF(I358&gt;0,L358/I358,0)</f>
        <v>0.957489472628835</v>
      </c>
      <c r="Q358" s="28">
        <f>IF(I358&gt;0,K358/I358,0)</f>
        <v>0.957489472628835</v>
      </c>
      <c r="R358" s="24" t="str">
        <f>IF(I358&lt;=0,"Sin PIM",IF(L358/I358&gt;=Config!$B$5,"Ejecutado",IF(K358/I358&gt;=Config!$B$6,"Mayormente comprometido",IF(K358&gt;0.005,"Parcialmente comprometido",IF(J358&gt;0.005,"Solo certificado","Sin certificar")))))</f>
        <v>Ejecutado</v>
      </c>
      <c r="S358" s="24" t="str">
        <f>IF(R358="Sin certificar","Disponible",IF(R358="Solo certificado","Posible",IF(R358="Parcialmente comprometido","Parcial",IF(R358="Mayormente comprometido","Difícil",IF(R358="Ejecutado","No usar","Sin PIM")))))</f>
        <v>No usar</v>
      </c>
      <c r="T358" s="26">
        <f>IF(OR(I358&lt;=0,R358="Ejecutado"),0,MAX(0,I358-K358))</f>
        <v>0.0</v>
      </c>
      <c r="U358" s="24" t="s">
        <v>976</v>
      </c>
      <c r="V358" s="24" t="s">
        <v>69</v>
      </c>
      <c r="W358" s="24" t="s">
        <v>69</v>
      </c>
      <c r="X358" s="24" t="s">
        <v>69</v>
      </c>
      <c r="Y358" s="24" t="s">
        <v>69</v>
      </c>
      <c r="Z358" s="24" t="s">
        <v>63</v>
      </c>
      <c r="AA358" s="24" t="s">
        <v>63</v>
      </c>
      <c r="AB358" s="24" t="s">
        <v>63</v>
      </c>
      <c r="AC358" s="24" t="s">
        <v>977</v>
      </c>
    </row>
    <row r="359" spans="1:29">
      <c r="A359" s="24" t="s">
        <v>54</v>
      </c>
      <c r="B359" s="24" t="s">
        <v>968</v>
      </c>
      <c r="C359" s="24" t="s">
        <v>969</v>
      </c>
      <c r="D359" s="24" t="s">
        <v>63</v>
      </c>
      <c r="E359" s="24" t="s">
        <v>996</v>
      </c>
      <c r="F359" s="24" t="s">
        <v>1174</v>
      </c>
      <c r="G359" s="24" t="s">
        <v>1175</v>
      </c>
      <c r="H359" s="27" t="s">
        <v>1176</v>
      </c>
      <c r="I359" s="25">
        <v>159830</v>
      </c>
      <c r="J359" s="25">
        <v>152085</v>
      </c>
      <c r="K359" s="25">
        <v>97085</v>
      </c>
      <c r="L359" s="25">
        <v>97085</v>
      </c>
      <c r="M359" s="26">
        <f>I359-J359</f>
        <v>7745.0</v>
      </c>
      <c r="N359" s="26">
        <f>J359-K359</f>
        <v>55000.0</v>
      </c>
      <c r="O359" s="26">
        <f>I359-L359</f>
        <v>62745.0</v>
      </c>
      <c r="P359" s="28">
        <f>IF(I359&gt;0,L359/I359,0)</f>
        <v>0.6074266408058562</v>
      </c>
      <c r="Q359" s="28">
        <f>IF(I359&gt;0,K359/I359,0)</f>
        <v>0.6074266408058562</v>
      </c>
      <c r="R359" s="24" t="str">
        <f>IF(I359&lt;=0,"Sin PIM",IF(L359/I359&gt;=Config!$B$5,"Ejecutado",IF(K359/I359&gt;=Config!$B$6,"Mayormente comprometido",IF(K359&gt;0.005,"Parcialmente comprometido",IF(J359&gt;0.005,"Solo certificado","Sin certificar")))))</f>
        <v>Mayormente comprometido</v>
      </c>
      <c r="S359" s="24" t="str">
        <f>IF(R359="Sin certificar","Disponible",IF(R359="Solo certificado","Posible",IF(R359="Parcialmente comprometido","Parcial",IF(R359="Mayormente comprometido","Difícil",IF(R359="Ejecutado","No usar","Sin PIM")))))</f>
        <v>Difícil</v>
      </c>
      <c r="T359" s="26">
        <f>IF(OR(I359&lt;=0,R359="Ejecutado"),0,MAX(0,I359-K359))</f>
        <v>62745.0</v>
      </c>
      <c r="U359" s="24" t="s">
        <v>976</v>
      </c>
      <c r="V359" s="24" t="s">
        <v>69</v>
      </c>
      <c r="W359" s="24" t="s">
        <v>69</v>
      </c>
      <c r="X359" s="24" t="s">
        <v>69</v>
      </c>
      <c r="Y359" s="24" t="s">
        <v>69</v>
      </c>
      <c r="Z359" s="24" t="s">
        <v>63</v>
      </c>
      <c r="AA359" s="24" t="s">
        <v>63</v>
      </c>
      <c r="AB359" s="24" t="s">
        <v>63</v>
      </c>
      <c r="AC359" s="24" t="s">
        <v>977</v>
      </c>
    </row>
    <row r="360" spans="1:29">
      <c r="A360" s="24" t="s">
        <v>54</v>
      </c>
      <c r="B360" s="24" t="s">
        <v>968</v>
      </c>
      <c r="C360" s="24" t="s">
        <v>969</v>
      </c>
      <c r="D360" s="24" t="s">
        <v>63</v>
      </c>
      <c r="E360" s="24" t="s">
        <v>996</v>
      </c>
      <c r="F360" s="24" t="s">
        <v>1177</v>
      </c>
      <c r="G360" s="24" t="s">
        <v>1178</v>
      </c>
      <c r="H360" s="27" t="s">
        <v>1179</v>
      </c>
      <c r="I360" s="25">
        <v>159880</v>
      </c>
      <c r="J360" s="25">
        <v>154030</v>
      </c>
      <c r="K360" s="25">
        <v>59820</v>
      </c>
      <c r="L360" s="25">
        <v>50840</v>
      </c>
      <c r="M360" s="26">
        <f>I360-J360</f>
        <v>5850.0</v>
      </c>
      <c r="N360" s="26">
        <f>J360-K360</f>
        <v>94210.0</v>
      </c>
      <c r="O360" s="26">
        <f>I360-L360</f>
        <v>109040.0</v>
      </c>
      <c r="P360" s="28">
        <f>IF(I360&gt;0,L360/I360,0)</f>
        <v>0.3179884913685264</v>
      </c>
      <c r="Q360" s="28">
        <f>IF(I360&gt;0,K360/I360,0)</f>
        <v>0.3741556167125344</v>
      </c>
      <c r="R360" s="24" t="str">
        <f>IF(I360&lt;=0,"Sin PIM",IF(L360/I360&gt;=Config!$B$5,"Ejecutado",IF(K360/I360&gt;=Config!$B$6,"Mayormente comprometido",IF(K360&gt;0.005,"Parcialmente comprometido",IF(J360&gt;0.005,"Solo certificado","Sin certificar")))))</f>
        <v>Parcialmente comprometido</v>
      </c>
      <c r="S360" s="24" t="str">
        <f>IF(R360="Sin certificar","Disponible",IF(R360="Solo certificado","Posible",IF(R360="Parcialmente comprometido","Parcial",IF(R360="Mayormente comprometido","Difícil",IF(R360="Ejecutado","No usar","Sin PIM")))))</f>
        <v>Parcial</v>
      </c>
      <c r="T360" s="26">
        <f>IF(OR(I360&lt;=0,R360="Ejecutado"),0,MAX(0,I360-K360))</f>
        <v>100060.0</v>
      </c>
      <c r="U360" s="24" t="s">
        <v>976</v>
      </c>
      <c r="V360" s="24" t="s">
        <v>69</v>
      </c>
      <c r="W360" s="24" t="s">
        <v>69</v>
      </c>
      <c r="X360" s="24" t="s">
        <v>69</v>
      </c>
      <c r="Y360" s="24" t="s">
        <v>69</v>
      </c>
      <c r="Z360" s="24" t="s">
        <v>63</v>
      </c>
      <c r="AA360" s="24" t="s">
        <v>63</v>
      </c>
      <c r="AB360" s="24" t="s">
        <v>63</v>
      </c>
      <c r="AC360" s="24" t="s">
        <v>977</v>
      </c>
    </row>
    <row r="361" spans="1:29">
      <c r="A361" s="24" t="s">
        <v>54</v>
      </c>
      <c r="B361" s="24" t="s">
        <v>968</v>
      </c>
      <c r="C361" s="24" t="s">
        <v>969</v>
      </c>
      <c r="D361" s="24" t="s">
        <v>63</v>
      </c>
      <c r="E361" s="24" t="s">
        <v>996</v>
      </c>
      <c r="F361" s="24" t="s">
        <v>1180</v>
      </c>
      <c r="G361" s="24" t="s">
        <v>1181</v>
      </c>
      <c r="H361" s="27" t="s">
        <v>1182</v>
      </c>
      <c r="I361" s="25">
        <v>159978</v>
      </c>
      <c r="J361" s="25">
        <v>153229</v>
      </c>
      <c r="K361" s="25">
        <v>135979</v>
      </c>
      <c r="L361" s="25">
        <v>129240</v>
      </c>
      <c r="M361" s="26">
        <f>I361-J361</f>
        <v>6749.0</v>
      </c>
      <c r="N361" s="26">
        <f>J361-K361</f>
        <v>17250.0</v>
      </c>
      <c r="O361" s="26">
        <f>I361-L361</f>
        <v>30738.0</v>
      </c>
      <c r="P361" s="28">
        <f>IF(I361&gt;0,L361/I361,0)</f>
        <v>0.8078610808986235</v>
      </c>
      <c r="Q361" s="28">
        <f>IF(I361&gt;0,K361/I361,0)</f>
        <v>0.8499856230231657</v>
      </c>
      <c r="R361" s="24" t="str">
        <f>IF(I361&lt;=0,"Sin PIM",IF(L361/I361&gt;=Config!$B$5,"Ejecutado",IF(K361/I361&gt;=Config!$B$6,"Mayormente comprometido",IF(K361&gt;0.005,"Parcialmente comprometido",IF(J361&gt;0.005,"Solo certificado","Sin certificar")))))</f>
        <v>Mayormente comprometido</v>
      </c>
      <c r="S361" s="24" t="str">
        <f>IF(R361="Sin certificar","Disponible",IF(R361="Solo certificado","Posible",IF(R361="Parcialmente comprometido","Parcial",IF(R361="Mayormente comprometido","Difícil",IF(R361="Ejecutado","No usar","Sin PIM")))))</f>
        <v>Difícil</v>
      </c>
      <c r="T361" s="26">
        <f>IF(OR(I361&lt;=0,R361="Ejecutado"),0,MAX(0,I361-K361))</f>
        <v>23999.0</v>
      </c>
      <c r="U361" s="24" t="s">
        <v>976</v>
      </c>
      <c r="V361" s="24" t="s">
        <v>69</v>
      </c>
      <c r="W361" s="24" t="s">
        <v>69</v>
      </c>
      <c r="X361" s="24" t="s">
        <v>69</v>
      </c>
      <c r="Y361" s="24" t="s">
        <v>69</v>
      </c>
      <c r="Z361" s="24" t="s">
        <v>63</v>
      </c>
      <c r="AA361" s="24" t="s">
        <v>63</v>
      </c>
      <c r="AB361" s="24" t="s">
        <v>63</v>
      </c>
      <c r="AC361" s="24" t="s">
        <v>977</v>
      </c>
    </row>
    <row r="362" spans="1:29">
      <c r="A362" s="24" t="s">
        <v>54</v>
      </c>
      <c r="B362" s="24" t="s">
        <v>968</v>
      </c>
      <c r="C362" s="24" t="s">
        <v>969</v>
      </c>
      <c r="D362" s="24" t="s">
        <v>63</v>
      </c>
      <c r="E362" s="24" t="s">
        <v>996</v>
      </c>
      <c r="F362" s="24" t="s">
        <v>1183</v>
      </c>
      <c r="G362" s="24" t="s">
        <v>1184</v>
      </c>
      <c r="H362" s="27" t="s">
        <v>1185</v>
      </c>
      <c r="I362" s="25">
        <v>44000</v>
      </c>
      <c r="J362" s="25">
        <v>43500</v>
      </c>
      <c r="K362" s="25">
        <v>43500</v>
      </c>
      <c r="L362" s="25">
        <v>17400</v>
      </c>
      <c r="M362" s="26">
        <f>I362-J362</f>
        <v>500.0</v>
      </c>
      <c r="N362" s="26">
        <f>J362-K362</f>
        <v>0.0</v>
      </c>
      <c r="O362" s="26">
        <f>I362-L362</f>
        <v>26600.0</v>
      </c>
      <c r="P362" s="28">
        <f>IF(I362&gt;0,L362/I362,0)</f>
        <v>0.39545454545454545</v>
      </c>
      <c r="Q362" s="28">
        <f>IF(I362&gt;0,K362/I362,0)</f>
        <v>0.9886363636363636</v>
      </c>
      <c r="R362" s="24" t="str">
        <f>IF(I362&lt;=0,"Sin PIM",IF(L362/I362&gt;=Config!$B$5,"Ejecutado",IF(K362/I362&gt;=Config!$B$6,"Mayormente comprometido",IF(K362&gt;0.005,"Parcialmente comprometido",IF(J362&gt;0.005,"Solo certificado","Sin certificar")))))</f>
        <v>Mayormente comprometido</v>
      </c>
      <c r="S362" s="24" t="str">
        <f>IF(R362="Sin certificar","Disponible",IF(R362="Solo certificado","Posible",IF(R362="Parcialmente comprometido","Parcial",IF(R362="Mayormente comprometido","Difícil",IF(R362="Ejecutado","No usar","Sin PIM")))))</f>
        <v>Difícil</v>
      </c>
      <c r="T362" s="26">
        <f>IF(OR(I362&lt;=0,R362="Ejecutado"),0,MAX(0,I362-K362))</f>
        <v>500.0</v>
      </c>
      <c r="U362" s="24" t="s">
        <v>105</v>
      </c>
      <c r="V362" s="25">
        <v>44000</v>
      </c>
      <c r="W362" s="25">
        <v>291221</v>
      </c>
      <c r="X362" s="25">
        <v>0</v>
      </c>
      <c r="Y362" s="25">
        <v>0</v>
      </c>
      <c r="Z362" s="24" t="s">
        <v>63</v>
      </c>
      <c r="AA362" s="24" t="s">
        <v>63</v>
      </c>
      <c r="AB362" s="24" t="s">
        <v>63</v>
      </c>
      <c r="AC362" s="24" t="s">
        <v>129</v>
      </c>
    </row>
    <row r="363" spans="1:29">
      <c r="A363" s="24" t="s">
        <v>54</v>
      </c>
      <c r="B363" s="24" t="s">
        <v>968</v>
      </c>
      <c r="C363" s="24" t="s">
        <v>969</v>
      </c>
      <c r="D363" s="24" t="s">
        <v>63</v>
      </c>
      <c r="E363" s="24" t="s">
        <v>996</v>
      </c>
      <c r="F363" s="24" t="s">
        <v>1186</v>
      </c>
      <c r="G363" s="24" t="s">
        <v>1187</v>
      </c>
      <c r="H363" s="27" t="s">
        <v>1188</v>
      </c>
      <c r="I363" s="25">
        <v>2795</v>
      </c>
      <c r="J363" s="25">
        <v>2795</v>
      </c>
      <c r="K363" s="25">
        <v>0</v>
      </c>
      <c r="L363" s="25">
        <v>0</v>
      </c>
      <c r="M363" s="26">
        <f>I363-J363</f>
        <v>0.0</v>
      </c>
      <c r="N363" s="26">
        <f>J363-K363</f>
        <v>2795.0</v>
      </c>
      <c r="O363" s="26">
        <f>I363-L363</f>
        <v>2795.0</v>
      </c>
      <c r="P363" s="28">
        <f>IF(I363&gt;0,L363/I363,0)</f>
        <v>0.0</v>
      </c>
      <c r="Q363" s="28">
        <f>IF(I363&gt;0,K363/I363,0)</f>
        <v>0.0</v>
      </c>
      <c r="R363" s="24" t="str">
        <f>IF(I363&lt;=0,"Sin PIM",IF(L363/I363&gt;=Config!$B$5,"Ejecutado",IF(K363/I363&gt;=Config!$B$6,"Mayormente comprometido",IF(K363&gt;0.005,"Parcialmente comprometido",IF(J363&gt;0.005,"Solo certificado","Sin certificar")))))</f>
        <v>Solo certificado</v>
      </c>
      <c r="S363" s="24" t="str">
        <f>IF(R363="Sin certificar","Disponible",IF(R363="Solo certificado","Posible",IF(R363="Parcialmente comprometido","Parcial",IF(R363="Mayormente comprometido","Difícil",IF(R363="Ejecutado","No usar","Sin PIM")))))</f>
        <v>Posible</v>
      </c>
      <c r="T363" s="26">
        <f>IF(OR(I363&lt;=0,R363="Ejecutado"),0,MAX(0,I363-K363))</f>
        <v>2795.0</v>
      </c>
      <c r="U363" s="24" t="s">
        <v>105</v>
      </c>
      <c r="V363" s="24" t="s">
        <v>69</v>
      </c>
      <c r="W363" s="24" t="s">
        <v>69</v>
      </c>
      <c r="X363" s="24" t="s">
        <v>69</v>
      </c>
      <c r="Y363" s="24" t="s">
        <v>69</v>
      </c>
      <c r="Z363" s="24" t="s">
        <v>63</v>
      </c>
      <c r="AA363" s="24" t="s">
        <v>63</v>
      </c>
      <c r="AB363" s="24" t="s">
        <v>63</v>
      </c>
      <c r="AC363" s="24" t="s">
        <v>63</v>
      </c>
    </row>
    <row r="364" spans="1:29">
      <c r="A364" s="24" t="s">
        <v>54</v>
      </c>
      <c r="B364" s="24" t="s">
        <v>968</v>
      </c>
      <c r="C364" s="24" t="s">
        <v>969</v>
      </c>
      <c r="D364" s="24" t="s">
        <v>63</v>
      </c>
      <c r="E364" s="24" t="s">
        <v>1189</v>
      </c>
      <c r="F364" s="24" t="s">
        <v>1190</v>
      </c>
      <c r="G364" s="24" t="s">
        <v>1191</v>
      </c>
      <c r="H364" s="27" t="s">
        <v>1192</v>
      </c>
      <c r="I364" s="25">
        <v>179500</v>
      </c>
      <c r="J364" s="25">
        <v>163750</v>
      </c>
      <c r="K364" s="25">
        <v>3750</v>
      </c>
      <c r="L364" s="25">
        <v>3750</v>
      </c>
      <c r="M364" s="26">
        <f>I364-J364</f>
        <v>15750.0</v>
      </c>
      <c r="N364" s="26">
        <f>J364-K364</f>
        <v>160000.0</v>
      </c>
      <c r="O364" s="26">
        <f>I364-L364</f>
        <v>175750.0</v>
      </c>
      <c r="P364" s="28">
        <f>IF(I364&gt;0,L364/I364,0)</f>
        <v>0.020891364902506964</v>
      </c>
      <c r="Q364" s="28">
        <f>IF(I364&gt;0,K364/I364,0)</f>
        <v>0.020891364902506964</v>
      </c>
      <c r="R364" s="24" t="str">
        <f>IF(I364&lt;=0,"Sin PIM",IF(L364/I364&gt;=Config!$B$5,"Ejecutado",IF(K364/I364&gt;=Config!$B$6,"Mayormente comprometido",IF(K364&gt;0.005,"Parcialmente comprometido",IF(J364&gt;0.005,"Solo certificado","Sin certificar")))))</f>
        <v>Parcialmente comprometido</v>
      </c>
      <c r="S364" s="24" t="str">
        <f>IF(R364="Sin certificar","Disponible",IF(R364="Solo certificado","Posible",IF(R364="Parcialmente comprometido","Parcial",IF(R364="Mayormente comprometido","Difícil",IF(R364="Ejecutado","No usar","Sin PIM")))))</f>
        <v>Parcial</v>
      </c>
      <c r="T364" s="26">
        <f>IF(OR(I364&lt;=0,R364="Ejecutado"),0,MAX(0,I364-K364))</f>
        <v>175750.0</v>
      </c>
      <c r="U364" s="24" t="s">
        <v>976</v>
      </c>
      <c r="V364" s="24" t="s">
        <v>69</v>
      </c>
      <c r="W364" s="24" t="s">
        <v>69</v>
      </c>
      <c r="X364" s="24" t="s">
        <v>69</v>
      </c>
      <c r="Y364" s="24" t="s">
        <v>69</v>
      </c>
      <c r="Z364" s="24" t="s">
        <v>63</v>
      </c>
      <c r="AA364" s="24" t="s">
        <v>63</v>
      </c>
      <c r="AB364" s="24" t="s">
        <v>63</v>
      </c>
      <c r="AC364" s="24" t="s">
        <v>977</v>
      </c>
    </row>
    <row r="365" spans="1:29">
      <c r="A365" s="24" t="s">
        <v>54</v>
      </c>
      <c r="B365" s="24" t="s">
        <v>968</v>
      </c>
      <c r="C365" s="24" t="s">
        <v>969</v>
      </c>
      <c r="D365" s="24" t="s">
        <v>63</v>
      </c>
      <c r="E365" s="24" t="s">
        <v>1189</v>
      </c>
      <c r="F365" s="24" t="s">
        <v>1193</v>
      </c>
      <c r="G365" s="24" t="s">
        <v>1194</v>
      </c>
      <c r="H365" s="27" t="s">
        <v>1195</v>
      </c>
      <c r="I365" s="25">
        <v>175166</v>
      </c>
      <c r="J365" s="25">
        <v>166872</v>
      </c>
      <c r="K365" s="25">
        <v>160572</v>
      </c>
      <c r="L365" s="25">
        <v>5872</v>
      </c>
      <c r="M365" s="26">
        <f>I365-J365</f>
        <v>8294.0</v>
      </c>
      <c r="N365" s="26">
        <f>J365-K365</f>
        <v>6300.0</v>
      </c>
      <c r="O365" s="26">
        <f>I365-L365</f>
        <v>169294.0</v>
      </c>
      <c r="P365" s="28">
        <f>IF(I365&gt;0,L365/I365,0)</f>
        <v>0.03352248724067456</v>
      </c>
      <c r="Q365" s="28">
        <f>IF(I365&gt;0,K365/I365,0)</f>
        <v>0.9166847447564025</v>
      </c>
      <c r="R365" s="24" t="str">
        <f>IF(I365&lt;=0,"Sin PIM",IF(L365/I365&gt;=Config!$B$5,"Ejecutado",IF(K365/I365&gt;=Config!$B$6,"Mayormente comprometido",IF(K365&gt;0.005,"Parcialmente comprometido",IF(J365&gt;0.005,"Solo certificado","Sin certificar")))))</f>
        <v>Mayormente comprometido</v>
      </c>
      <c r="S365" s="24" t="str">
        <f>IF(R365="Sin certificar","Disponible",IF(R365="Solo certificado","Posible",IF(R365="Parcialmente comprometido","Parcial",IF(R365="Mayormente comprometido","Difícil",IF(R365="Ejecutado","No usar","Sin PIM")))))</f>
        <v>Difícil</v>
      </c>
      <c r="T365" s="26">
        <f>IF(OR(I365&lt;=0,R365="Ejecutado"),0,MAX(0,I365-K365))</f>
        <v>14594.0</v>
      </c>
      <c r="U365" s="24" t="s">
        <v>976</v>
      </c>
      <c r="V365" s="24" t="s">
        <v>69</v>
      </c>
      <c r="W365" s="24" t="s">
        <v>69</v>
      </c>
      <c r="X365" s="24" t="s">
        <v>69</v>
      </c>
      <c r="Y365" s="24" t="s">
        <v>69</v>
      </c>
      <c r="Z365" s="24" t="s">
        <v>63</v>
      </c>
      <c r="AA365" s="24" t="s">
        <v>63</v>
      </c>
      <c r="AB365" s="24" t="s">
        <v>63</v>
      </c>
      <c r="AC365" s="24" t="s">
        <v>977</v>
      </c>
    </row>
    <row r="366" spans="1:29">
      <c r="A366" s="24" t="s">
        <v>54</v>
      </c>
      <c r="B366" s="24" t="s">
        <v>968</v>
      </c>
      <c r="C366" s="24" t="s">
        <v>969</v>
      </c>
      <c r="D366" s="24" t="s">
        <v>63</v>
      </c>
      <c r="E366" s="24" t="s">
        <v>1189</v>
      </c>
      <c r="F366" s="24" t="s">
        <v>1196</v>
      </c>
      <c r="G366" s="24" t="s">
        <v>1197</v>
      </c>
      <c r="H366" s="27" t="s">
        <v>1198</v>
      </c>
      <c r="I366" s="25">
        <v>349792</v>
      </c>
      <c r="J366" s="25">
        <v>325833.33</v>
      </c>
      <c r="K366" s="25">
        <v>17000</v>
      </c>
      <c r="L366" s="25">
        <v>0</v>
      </c>
      <c r="M366" s="26">
        <f>I366-J366</f>
        <v>23958.669999999984</v>
      </c>
      <c r="N366" s="26">
        <f>J366-K366</f>
        <v>308833.33</v>
      </c>
      <c r="O366" s="26">
        <f>I366-L366</f>
        <v>349792.0</v>
      </c>
      <c r="P366" s="28">
        <f>IF(I366&gt;0,L366/I366,0)</f>
        <v>0.0</v>
      </c>
      <c r="Q366" s="28">
        <f>IF(I366&gt;0,K366/I366,0)</f>
        <v>0.04860031104199067</v>
      </c>
      <c r="R366" s="24" t="str">
        <f>IF(I366&lt;=0,"Sin PIM",IF(L366/I366&gt;=Config!$B$5,"Ejecutado",IF(K366/I366&gt;=Config!$B$6,"Mayormente comprometido",IF(K366&gt;0.005,"Parcialmente comprometido",IF(J366&gt;0.005,"Solo certificado","Sin certificar")))))</f>
        <v>Parcialmente comprometido</v>
      </c>
      <c r="S366" s="24" t="str">
        <f>IF(R366="Sin certificar","Disponible",IF(R366="Solo certificado","Posible",IF(R366="Parcialmente comprometido","Parcial",IF(R366="Mayormente comprometido","Difícil",IF(R366="Ejecutado","No usar","Sin PIM")))))</f>
        <v>Parcial</v>
      </c>
      <c r="T366" s="26">
        <f>IF(OR(I366&lt;=0,R366="Ejecutado"),0,MAX(0,I366-K366))</f>
        <v>332792.0</v>
      </c>
      <c r="U366" s="24" t="s">
        <v>976</v>
      </c>
      <c r="V366" s="24" t="s">
        <v>69</v>
      </c>
      <c r="W366" s="24" t="s">
        <v>69</v>
      </c>
      <c r="X366" s="24" t="s">
        <v>69</v>
      </c>
      <c r="Y366" s="24" t="s">
        <v>69</v>
      </c>
      <c r="Z366" s="24" t="s">
        <v>63</v>
      </c>
      <c r="AA366" s="24" t="s">
        <v>63</v>
      </c>
      <c r="AB366" s="24" t="s">
        <v>63</v>
      </c>
      <c r="AC366" s="24" t="s">
        <v>977</v>
      </c>
    </row>
    <row r="367" spans="1:29">
      <c r="A367" s="24" t="s">
        <v>54</v>
      </c>
      <c r="B367" s="24" t="s">
        <v>968</v>
      </c>
      <c r="C367" s="24" t="s">
        <v>969</v>
      </c>
      <c r="D367" s="24" t="s">
        <v>63</v>
      </c>
      <c r="E367" s="24" t="s">
        <v>1189</v>
      </c>
      <c r="F367" s="24" t="s">
        <v>1199</v>
      </c>
      <c r="G367" s="24" t="s">
        <v>1200</v>
      </c>
      <c r="H367" s="27" t="s">
        <v>1201</v>
      </c>
      <c r="I367" s="25">
        <v>349668</v>
      </c>
      <c r="J367" s="25">
        <v>237183.34</v>
      </c>
      <c r="K367" s="25">
        <v>31350</v>
      </c>
      <c r="L367" s="25">
        <v>20700</v>
      </c>
      <c r="M367" s="26">
        <f>I367-J367</f>
        <v>112484.66</v>
      </c>
      <c r="N367" s="26">
        <f>J367-K367</f>
        <v>205833.34</v>
      </c>
      <c r="O367" s="26">
        <f>I367-L367</f>
        <v>328968.0</v>
      </c>
      <c r="P367" s="28">
        <f>IF(I367&gt;0,L367/I367,0)</f>
        <v>0.05919901163389272</v>
      </c>
      <c r="Q367" s="28">
        <f>IF(I367&gt;0,K367/I367,0)</f>
        <v>0.08965647414118535</v>
      </c>
      <c r="R367" s="24" t="str">
        <f>IF(I367&lt;=0,"Sin PIM",IF(L367/I367&gt;=Config!$B$5,"Ejecutado",IF(K367/I367&gt;=Config!$B$6,"Mayormente comprometido",IF(K367&gt;0.005,"Parcialmente comprometido",IF(J367&gt;0.005,"Solo certificado","Sin certificar")))))</f>
        <v>Parcialmente comprometido</v>
      </c>
      <c r="S367" s="24" t="str">
        <f>IF(R367="Sin certificar","Disponible",IF(R367="Solo certificado","Posible",IF(R367="Parcialmente comprometido","Parcial",IF(R367="Mayormente comprometido","Difícil",IF(R367="Ejecutado","No usar","Sin PIM")))))</f>
        <v>Parcial</v>
      </c>
      <c r="T367" s="26">
        <f>IF(OR(I367&lt;=0,R367="Ejecutado"),0,MAX(0,I367-K367))</f>
        <v>318318.0</v>
      </c>
      <c r="U367" s="24" t="s">
        <v>976</v>
      </c>
      <c r="V367" s="24" t="s">
        <v>69</v>
      </c>
      <c r="W367" s="24" t="s">
        <v>69</v>
      </c>
      <c r="X367" s="24" t="s">
        <v>69</v>
      </c>
      <c r="Y367" s="24" t="s">
        <v>69</v>
      </c>
      <c r="Z367" s="24" t="s">
        <v>63</v>
      </c>
      <c r="AA367" s="24" t="s">
        <v>63</v>
      </c>
      <c r="AB367" s="24" t="s">
        <v>63</v>
      </c>
      <c r="AC367" s="24" t="s">
        <v>977</v>
      </c>
    </row>
    <row r="368" spans="1:29">
      <c r="A368" s="24" t="s">
        <v>54</v>
      </c>
      <c r="B368" s="24" t="s">
        <v>968</v>
      </c>
      <c r="C368" s="24" t="s">
        <v>969</v>
      </c>
      <c r="D368" s="24" t="s">
        <v>63</v>
      </c>
      <c r="E368" s="24" t="s">
        <v>1202</v>
      </c>
      <c r="F368" s="24" t="s">
        <v>1203</v>
      </c>
      <c r="G368" s="24" t="s">
        <v>1204</v>
      </c>
      <c r="H368" s="27" t="s">
        <v>1205</v>
      </c>
      <c r="I368" s="25">
        <v>5365</v>
      </c>
      <c r="J368" s="25">
        <v>5364</v>
      </c>
      <c r="K368" s="25">
        <v>5364</v>
      </c>
      <c r="L368" s="25">
        <v>5364</v>
      </c>
      <c r="M368" s="26">
        <f>I368-J368</f>
        <v>1.0</v>
      </c>
      <c r="N368" s="26">
        <f>J368-K368</f>
        <v>0.0</v>
      </c>
      <c r="O368" s="26">
        <f>I368-L368</f>
        <v>1.0</v>
      </c>
      <c r="P368" s="28">
        <f>IF(I368&gt;0,L368/I368,0)</f>
        <v>0.9998136067101584</v>
      </c>
      <c r="Q368" s="28">
        <f>IF(I368&gt;0,K368/I368,0)</f>
        <v>0.9998136067101584</v>
      </c>
      <c r="R368" s="24" t="str">
        <f>IF(I368&lt;=0,"Sin PIM",IF(L368/I368&gt;=Config!$B$5,"Ejecutado",IF(K368/I368&gt;=Config!$B$6,"Mayormente comprometido",IF(K368&gt;0.005,"Parcialmente comprometido",IF(J368&gt;0.005,"Solo certificado","Sin certificar")))))</f>
        <v>Ejecutado</v>
      </c>
      <c r="S368" s="24" t="str">
        <f>IF(R368="Sin certificar","Disponible",IF(R368="Solo certificado","Posible",IF(R368="Parcialmente comprometido","Parcial",IF(R368="Mayormente comprometido","Difícil",IF(R368="Ejecutado","No usar","Sin PIM")))))</f>
        <v>No usar</v>
      </c>
      <c r="T368" s="26">
        <f>IF(OR(I368&lt;=0,R368="Ejecutado"),0,MAX(0,I368-K368))</f>
        <v>0.0</v>
      </c>
      <c r="U368" s="24" t="s">
        <v>105</v>
      </c>
      <c r="V368" s="24" t="s">
        <v>69</v>
      </c>
      <c r="W368" s="24" t="s">
        <v>69</v>
      </c>
      <c r="X368" s="24" t="s">
        <v>69</v>
      </c>
      <c r="Y368" s="24" t="s">
        <v>69</v>
      </c>
      <c r="Z368" s="24" t="s">
        <v>63</v>
      </c>
      <c r="AA368" s="24" t="s">
        <v>63</v>
      </c>
      <c r="AB368" s="24" t="s">
        <v>63</v>
      </c>
      <c r="AC368" s="24" t="s">
        <v>977</v>
      </c>
    </row>
    <row r="369" spans="1:29">
      <c r="A369" s="24" t="s">
        <v>54</v>
      </c>
      <c r="B369" s="24" t="s">
        <v>968</v>
      </c>
      <c r="C369" s="24" t="s">
        <v>969</v>
      </c>
      <c r="D369" s="24" t="s">
        <v>63</v>
      </c>
      <c r="E369" s="24" t="s">
        <v>1202</v>
      </c>
      <c r="F369" s="24" t="s">
        <v>1206</v>
      </c>
      <c r="G369" s="24" t="s">
        <v>1207</v>
      </c>
      <c r="H369" s="27" t="s">
        <v>1208</v>
      </c>
      <c r="I369" s="25">
        <v>335890</v>
      </c>
      <c r="J369" s="25">
        <v>314900</v>
      </c>
      <c r="K369" s="25">
        <v>313880</v>
      </c>
      <c r="L369" s="25">
        <v>0</v>
      </c>
      <c r="M369" s="26">
        <f>I369-J369</f>
        <v>20990.0</v>
      </c>
      <c r="N369" s="26">
        <f>J369-K369</f>
        <v>1020.0</v>
      </c>
      <c r="O369" s="26">
        <f>I369-L369</f>
        <v>335890.0</v>
      </c>
      <c r="P369" s="28">
        <f>IF(I369&gt;0,L369/I369,0)</f>
        <v>0.0</v>
      </c>
      <c r="Q369" s="28">
        <f>IF(I369&gt;0,K369/I369,0)</f>
        <v>0.9344725951948555</v>
      </c>
      <c r="R369" s="24" t="str">
        <f>IF(I369&lt;=0,"Sin PIM",IF(L369/I369&gt;=Config!$B$5,"Ejecutado",IF(K369/I369&gt;=Config!$B$6,"Mayormente comprometido",IF(K369&gt;0.005,"Parcialmente comprometido",IF(J369&gt;0.005,"Solo certificado","Sin certificar")))))</f>
        <v>Mayormente comprometido</v>
      </c>
      <c r="S369" s="24" t="str">
        <f>IF(R369="Sin certificar","Disponible",IF(R369="Solo certificado","Posible",IF(R369="Parcialmente comprometido","Parcial",IF(R369="Mayormente comprometido","Difícil",IF(R369="Ejecutado","No usar","Sin PIM")))))</f>
        <v>Difícil</v>
      </c>
      <c r="T369" s="26">
        <f>IF(OR(I369&lt;=0,R369="Ejecutado"),0,MAX(0,I369-K369))</f>
        <v>22010.0</v>
      </c>
      <c r="U369" s="24" t="s">
        <v>976</v>
      </c>
      <c r="V369" s="24" t="s">
        <v>69</v>
      </c>
      <c r="W369" s="24" t="s">
        <v>69</v>
      </c>
      <c r="X369" s="24" t="s">
        <v>69</v>
      </c>
      <c r="Y369" s="24" t="s">
        <v>69</v>
      </c>
      <c r="Z369" s="24" t="s">
        <v>63</v>
      </c>
      <c r="AA369" s="24" t="s">
        <v>63</v>
      </c>
      <c r="AB369" s="24" t="s">
        <v>63</v>
      </c>
      <c r="AC369" s="24" t="s">
        <v>977</v>
      </c>
    </row>
    <row r="370" spans="1:29">
      <c r="A370" s="24" t="s">
        <v>54</v>
      </c>
      <c r="B370" s="24" t="s">
        <v>968</v>
      </c>
      <c r="C370" s="24" t="s">
        <v>969</v>
      </c>
      <c r="D370" s="24" t="s">
        <v>63</v>
      </c>
      <c r="E370" s="24" t="s">
        <v>1202</v>
      </c>
      <c r="F370" s="24" t="s">
        <v>1209</v>
      </c>
      <c r="G370" s="24" t="s">
        <v>1210</v>
      </c>
      <c r="H370" s="27" t="s">
        <v>1211</v>
      </c>
      <c r="I370" s="25">
        <v>157066</v>
      </c>
      <c r="J370" s="25">
        <v>157066</v>
      </c>
      <c r="K370" s="25">
        <v>157066</v>
      </c>
      <c r="L370" s="25">
        <v>157066</v>
      </c>
      <c r="M370" s="26">
        <f>I370-J370</f>
        <v>0.0</v>
      </c>
      <c r="N370" s="26">
        <f>J370-K370</f>
        <v>0.0</v>
      </c>
      <c r="O370" s="26">
        <f>I370-L370</f>
        <v>0.0</v>
      </c>
      <c r="P370" s="28">
        <f>IF(I370&gt;0,L370/I370,0)</f>
        <v>1.0</v>
      </c>
      <c r="Q370" s="28">
        <f>IF(I370&gt;0,K370/I370,0)</f>
        <v>1.0</v>
      </c>
      <c r="R370" s="24" t="str">
        <f>IF(I370&lt;=0,"Sin PIM",IF(L370/I370&gt;=Config!$B$5,"Ejecutado",IF(K370/I370&gt;=Config!$B$6,"Mayormente comprometido",IF(K370&gt;0.005,"Parcialmente comprometido",IF(J370&gt;0.005,"Solo certificado","Sin certificar")))))</f>
        <v>Ejecutado</v>
      </c>
      <c r="S370" s="24" t="str">
        <f>IF(R370="Sin certificar","Disponible",IF(R370="Solo certificado","Posible",IF(R370="Parcialmente comprometido","Parcial",IF(R370="Mayormente comprometido","Difícil",IF(R370="Ejecutado","No usar","Sin PIM")))))</f>
        <v>No usar</v>
      </c>
      <c r="T370" s="26">
        <f>IF(OR(I370&lt;=0,R370="Ejecutado"),0,MAX(0,I370-K370))</f>
        <v>0.0</v>
      </c>
      <c r="U370" s="24" t="s">
        <v>976</v>
      </c>
      <c r="V370" s="24" t="s">
        <v>69</v>
      </c>
      <c r="W370" s="24" t="s">
        <v>69</v>
      </c>
      <c r="X370" s="24" t="s">
        <v>69</v>
      </c>
      <c r="Y370" s="24" t="s">
        <v>69</v>
      </c>
      <c r="Z370" s="24" t="s">
        <v>63</v>
      </c>
      <c r="AA370" s="24" t="s">
        <v>63</v>
      </c>
      <c r="AB370" s="24" t="s">
        <v>63</v>
      </c>
      <c r="AC370" s="24" t="s">
        <v>977</v>
      </c>
    </row>
    <row r="371" spans="1:29">
      <c r="A371" s="24" t="s">
        <v>54</v>
      </c>
      <c r="B371" s="24" t="s">
        <v>968</v>
      </c>
      <c r="C371" s="24" t="s">
        <v>969</v>
      </c>
      <c r="D371" s="24" t="s">
        <v>63</v>
      </c>
      <c r="E371" s="24" t="s">
        <v>1202</v>
      </c>
      <c r="F371" s="24" t="s">
        <v>1212</v>
      </c>
      <c r="G371" s="24" t="s">
        <v>1213</v>
      </c>
      <c r="H371" s="27" t="s">
        <v>1214</v>
      </c>
      <c r="I371" s="25">
        <v>159345</v>
      </c>
      <c r="J371" s="25">
        <v>150543</v>
      </c>
      <c r="K371" s="25">
        <v>150263</v>
      </c>
      <c r="L371" s="25">
        <v>150263</v>
      </c>
      <c r="M371" s="26">
        <f>I371-J371</f>
        <v>8802.0</v>
      </c>
      <c r="N371" s="26">
        <f>J371-K371</f>
        <v>280.0</v>
      </c>
      <c r="O371" s="26">
        <f>I371-L371</f>
        <v>9082.0</v>
      </c>
      <c r="P371" s="28">
        <f>IF(I371&gt;0,L371/I371,0)</f>
        <v>0.9430041733345885</v>
      </c>
      <c r="Q371" s="28">
        <f>IF(I371&gt;0,K371/I371,0)</f>
        <v>0.9430041733345885</v>
      </c>
      <c r="R371" s="24" t="str">
        <f>IF(I371&lt;=0,"Sin PIM",IF(L371/I371&gt;=Config!$B$5,"Ejecutado",IF(K371/I371&gt;=Config!$B$6,"Mayormente comprometido",IF(K371&gt;0.005,"Parcialmente comprometido",IF(J371&gt;0.005,"Solo certificado","Sin certificar")))))</f>
        <v>Ejecutado</v>
      </c>
      <c r="S371" s="24" t="str">
        <f>IF(R371="Sin certificar","Disponible",IF(R371="Solo certificado","Posible",IF(R371="Parcialmente comprometido","Parcial",IF(R371="Mayormente comprometido","Difícil",IF(R371="Ejecutado","No usar","Sin PIM")))))</f>
        <v>No usar</v>
      </c>
      <c r="T371" s="26">
        <f>IF(OR(I371&lt;=0,R371="Ejecutado"),0,MAX(0,I371-K371))</f>
        <v>0.0</v>
      </c>
      <c r="U371" s="24" t="s">
        <v>976</v>
      </c>
      <c r="V371" s="24" t="s">
        <v>69</v>
      </c>
      <c r="W371" s="24" t="s">
        <v>69</v>
      </c>
      <c r="X371" s="24" t="s">
        <v>69</v>
      </c>
      <c r="Y371" s="24" t="s">
        <v>69</v>
      </c>
      <c r="Z371" s="24" t="s">
        <v>63</v>
      </c>
      <c r="AA371" s="24" t="s">
        <v>63</v>
      </c>
      <c r="AB371" s="24" t="s">
        <v>63</v>
      </c>
      <c r="AC371" s="24" t="s">
        <v>977</v>
      </c>
    </row>
    <row r="372" spans="1:29">
      <c r="A372" s="24" t="s">
        <v>54</v>
      </c>
      <c r="B372" s="24" t="s">
        <v>968</v>
      </c>
      <c r="C372" s="24" t="s">
        <v>969</v>
      </c>
      <c r="D372" s="24" t="s">
        <v>63</v>
      </c>
      <c r="E372" s="24" t="s">
        <v>1202</v>
      </c>
      <c r="F372" s="24" t="s">
        <v>1215</v>
      </c>
      <c r="G372" s="24" t="s">
        <v>1216</v>
      </c>
      <c r="H372" s="27" t="s">
        <v>1217</v>
      </c>
      <c r="I372" s="25">
        <v>160000</v>
      </c>
      <c r="J372" s="25">
        <v>145797</v>
      </c>
      <c r="K372" s="25">
        <v>145797</v>
      </c>
      <c r="L372" s="25">
        <v>139797</v>
      </c>
      <c r="M372" s="26">
        <f>I372-J372</f>
        <v>14203.0</v>
      </c>
      <c r="N372" s="26">
        <f>J372-K372</f>
        <v>0.0</v>
      </c>
      <c r="O372" s="26">
        <f>I372-L372</f>
        <v>20203.0</v>
      </c>
      <c r="P372" s="28">
        <f>IF(I372&gt;0,L372/I372,0)</f>
        <v>0.87373125</v>
      </c>
      <c r="Q372" s="28">
        <f>IF(I372&gt;0,K372/I372,0)</f>
        <v>0.91123125</v>
      </c>
      <c r="R372" s="24" t="str">
        <f>IF(I372&lt;=0,"Sin PIM",IF(L372/I372&gt;=Config!$B$5,"Ejecutado",IF(K372/I372&gt;=Config!$B$6,"Mayormente comprometido",IF(K372&gt;0.005,"Parcialmente comprometido",IF(J372&gt;0.005,"Solo certificado","Sin certificar")))))</f>
        <v>Mayormente comprometido</v>
      </c>
      <c r="S372" s="24" t="str">
        <f>IF(R372="Sin certificar","Disponible",IF(R372="Solo certificado","Posible",IF(R372="Parcialmente comprometido","Parcial",IF(R372="Mayormente comprometido","Difícil",IF(R372="Ejecutado","No usar","Sin PIM")))))</f>
        <v>Difícil</v>
      </c>
      <c r="T372" s="26">
        <f>IF(OR(I372&lt;=0,R372="Ejecutado"),0,MAX(0,I372-K372))</f>
        <v>14203.0</v>
      </c>
      <c r="U372" s="24" t="s">
        <v>976</v>
      </c>
      <c r="V372" s="24" t="s">
        <v>69</v>
      </c>
      <c r="W372" s="24" t="s">
        <v>69</v>
      </c>
      <c r="X372" s="24" t="s">
        <v>69</v>
      </c>
      <c r="Y372" s="24" t="s">
        <v>69</v>
      </c>
      <c r="Z372" s="24" t="s">
        <v>63</v>
      </c>
      <c r="AA372" s="24" t="s">
        <v>63</v>
      </c>
      <c r="AB372" s="24" t="s">
        <v>63</v>
      </c>
      <c r="AC372" s="24" t="s">
        <v>977</v>
      </c>
    </row>
    <row r="373" spans="1:29">
      <c r="A373" s="24" t="s">
        <v>54</v>
      </c>
      <c r="B373" s="24" t="s">
        <v>968</v>
      </c>
      <c r="C373" s="24" t="s">
        <v>969</v>
      </c>
      <c r="D373" s="24" t="s">
        <v>63</v>
      </c>
      <c r="E373" s="24" t="s">
        <v>1202</v>
      </c>
      <c r="F373" s="24" t="s">
        <v>1218</v>
      </c>
      <c r="G373" s="24" t="s">
        <v>1219</v>
      </c>
      <c r="H373" s="27" t="s">
        <v>1220</v>
      </c>
      <c r="I373" s="25">
        <v>141150</v>
      </c>
      <c r="J373" s="25">
        <v>115290</v>
      </c>
      <c r="K373" s="25">
        <v>29390</v>
      </c>
      <c r="L373" s="25">
        <v>0</v>
      </c>
      <c r="M373" s="26">
        <f>I373-J373</f>
        <v>25860.0</v>
      </c>
      <c r="N373" s="26">
        <f>J373-K373</f>
        <v>85900.0</v>
      </c>
      <c r="O373" s="26">
        <f>I373-L373</f>
        <v>141150.0</v>
      </c>
      <c r="P373" s="28">
        <f>IF(I373&gt;0,L373/I373,0)</f>
        <v>0.0</v>
      </c>
      <c r="Q373" s="28">
        <f>IF(I373&gt;0,K373/I373,0)</f>
        <v>0.20821820758058804</v>
      </c>
      <c r="R373" s="24" t="str">
        <f>IF(I373&lt;=0,"Sin PIM",IF(L373/I373&gt;=Config!$B$5,"Ejecutado",IF(K373/I373&gt;=Config!$B$6,"Mayormente comprometido",IF(K373&gt;0.005,"Parcialmente comprometido",IF(J373&gt;0.005,"Solo certificado","Sin certificar")))))</f>
        <v>Parcialmente comprometido</v>
      </c>
      <c r="S373" s="24" t="str">
        <f>IF(R373="Sin certificar","Disponible",IF(R373="Solo certificado","Posible",IF(R373="Parcialmente comprometido","Parcial",IF(R373="Mayormente comprometido","Difícil",IF(R373="Ejecutado","No usar","Sin PIM")))))</f>
        <v>Parcial</v>
      </c>
      <c r="T373" s="26">
        <f>IF(OR(I373&lt;=0,R373="Ejecutado"),0,MAX(0,I373-K373))</f>
        <v>111760.0</v>
      </c>
      <c r="U373" s="24" t="s">
        <v>976</v>
      </c>
      <c r="V373" s="24" t="s">
        <v>69</v>
      </c>
      <c r="W373" s="24" t="s">
        <v>69</v>
      </c>
      <c r="X373" s="24" t="s">
        <v>69</v>
      </c>
      <c r="Y373" s="24" t="s">
        <v>69</v>
      </c>
      <c r="Z373" s="24" t="s">
        <v>63</v>
      </c>
      <c r="AA373" s="24" t="s">
        <v>63</v>
      </c>
      <c r="AB373" s="24" t="s">
        <v>63</v>
      </c>
      <c r="AC373" s="24" t="s">
        <v>977</v>
      </c>
    </row>
    <row r="374" spans="1:29">
      <c r="A374" s="24" t="s">
        <v>54</v>
      </c>
      <c r="B374" s="24" t="s">
        <v>968</v>
      </c>
      <c r="C374" s="24" t="s">
        <v>969</v>
      </c>
      <c r="D374" s="24" t="s">
        <v>63</v>
      </c>
      <c r="E374" s="24" t="s">
        <v>1202</v>
      </c>
      <c r="F374" s="24" t="s">
        <v>1221</v>
      </c>
      <c r="G374" s="24" t="s">
        <v>1222</v>
      </c>
      <c r="H374" s="27" t="s">
        <v>1223</v>
      </c>
      <c r="I374" s="25">
        <v>350000</v>
      </c>
      <c r="J374" s="25">
        <v>320120</v>
      </c>
      <c r="K374" s="25">
        <v>86120</v>
      </c>
      <c r="L374" s="25">
        <v>86120</v>
      </c>
      <c r="M374" s="26">
        <f>I374-J374</f>
        <v>29880.0</v>
      </c>
      <c r="N374" s="26">
        <f>J374-K374</f>
        <v>234000.0</v>
      </c>
      <c r="O374" s="26">
        <f>I374-L374</f>
        <v>263880.0</v>
      </c>
      <c r="P374" s="28">
        <f>IF(I374&gt;0,L374/I374,0)</f>
        <v>0.24605714285714286</v>
      </c>
      <c r="Q374" s="28">
        <f>IF(I374&gt;0,K374/I374,0)</f>
        <v>0.24605714285714286</v>
      </c>
      <c r="R374" s="24" t="str">
        <f>IF(I374&lt;=0,"Sin PIM",IF(L374/I374&gt;=Config!$B$5,"Ejecutado",IF(K374/I374&gt;=Config!$B$6,"Mayormente comprometido",IF(K374&gt;0.005,"Parcialmente comprometido",IF(J374&gt;0.005,"Solo certificado","Sin certificar")))))</f>
        <v>Parcialmente comprometido</v>
      </c>
      <c r="S374" s="24" t="str">
        <f>IF(R374="Sin certificar","Disponible",IF(R374="Solo certificado","Posible",IF(R374="Parcialmente comprometido","Parcial",IF(R374="Mayormente comprometido","Difícil",IF(R374="Ejecutado","No usar","Sin PIM")))))</f>
        <v>Parcial</v>
      </c>
      <c r="T374" s="26">
        <f>IF(OR(I374&lt;=0,R374="Ejecutado"),0,MAX(0,I374-K374))</f>
        <v>263880.0</v>
      </c>
      <c r="U374" s="24" t="s">
        <v>976</v>
      </c>
      <c r="V374" s="24" t="s">
        <v>69</v>
      </c>
      <c r="W374" s="24" t="s">
        <v>69</v>
      </c>
      <c r="X374" s="24" t="s">
        <v>69</v>
      </c>
      <c r="Y374" s="24" t="s">
        <v>69</v>
      </c>
      <c r="Z374" s="24" t="s">
        <v>63</v>
      </c>
      <c r="AA374" s="24" t="s">
        <v>63</v>
      </c>
      <c r="AB374" s="24" t="s">
        <v>63</v>
      </c>
      <c r="AC374" s="24" t="s">
        <v>977</v>
      </c>
    </row>
    <row r="375" spans="1:29">
      <c r="A375" s="24" t="s">
        <v>54</v>
      </c>
      <c r="B375" s="24" t="s">
        <v>968</v>
      </c>
      <c r="C375" s="24" t="s">
        <v>1224</v>
      </c>
      <c r="D375" s="24" t="s">
        <v>63</v>
      </c>
      <c r="E375" s="24" t="s">
        <v>1225</v>
      </c>
      <c r="F375" s="24" t="s">
        <v>1226</v>
      </c>
      <c r="G375" s="24" t="s">
        <v>1227</v>
      </c>
      <c r="H375" s="27" t="s">
        <v>1228</v>
      </c>
      <c r="I375" s="25">
        <v>10918999</v>
      </c>
      <c r="J375" s="25">
        <v>10451686.22</v>
      </c>
      <c r="K375" s="25">
        <v>10451102.89</v>
      </c>
      <c r="L375" s="25">
        <v>5853517.839999999</v>
      </c>
      <c r="M375" s="26">
        <f>I375-J375</f>
        <v>467312.77999999933</v>
      </c>
      <c r="N375" s="26">
        <f>J375-K375</f>
        <v>583.3300000019372</v>
      </c>
      <c r="O375" s="26">
        <f>I375-L375</f>
        <v>5065481.160000001</v>
      </c>
      <c r="P375" s="28">
        <f>IF(I375&gt;0,L375/I375,0)</f>
        <v>0.5360855734119949</v>
      </c>
      <c r="Q375" s="28">
        <f>IF(I375&gt;0,K375/I375,0)</f>
        <v>0.9571484428197126</v>
      </c>
      <c r="R375" s="24" t="str">
        <f>IF(I375&lt;=0,"Sin PIM",IF(L375/I375&gt;=Config!$B$5,"Ejecutado",IF(K375/I375&gt;=Config!$B$6,"Mayormente comprometido",IF(K375&gt;0.005,"Parcialmente comprometido",IF(J375&gt;0.005,"Solo certificado","Sin certificar")))))</f>
        <v>Mayormente comprometido</v>
      </c>
      <c r="S375" s="24" t="str">
        <f>IF(R375="Sin certificar","Disponible",IF(R375="Solo certificado","Posible",IF(R375="Parcialmente comprometido","Parcial",IF(R375="Mayormente comprometido","Difícil",IF(R375="Ejecutado","No usar","Sin PIM")))))</f>
        <v>Difícil</v>
      </c>
      <c r="T375" s="26">
        <f>IF(OR(I375&lt;=0,R375="Ejecutado"),0,MAX(0,I375-K375))</f>
        <v>467896.11000000127</v>
      </c>
      <c r="U375" s="24" t="s">
        <v>75</v>
      </c>
      <c r="V375" s="25">
        <v>10517000</v>
      </c>
      <c r="W375" s="25">
        <v>7783178</v>
      </c>
      <c r="X375" s="25">
        <v>1598000</v>
      </c>
      <c r="Y375" s="25">
        <v>2000000</v>
      </c>
      <c r="Z375" s="24" t="s">
        <v>63</v>
      </c>
      <c r="AA375" s="24" t="s">
        <v>63</v>
      </c>
      <c r="AB375" s="24" t="s">
        <v>63</v>
      </c>
      <c r="AC375" s="24" t="s">
        <v>1229</v>
      </c>
    </row>
    <row r="376" spans="1:29">
      <c r="A376" s="24" t="s">
        <v>54</v>
      </c>
      <c r="B376" s="24" t="s">
        <v>968</v>
      </c>
      <c r="C376" s="24" t="s">
        <v>1224</v>
      </c>
      <c r="D376" s="24" t="s">
        <v>63</v>
      </c>
      <c r="E376" s="24" t="s">
        <v>1225</v>
      </c>
      <c r="F376" s="24" t="s">
        <v>1230</v>
      </c>
      <c r="G376" s="24" t="s">
        <v>1231</v>
      </c>
      <c r="H376" s="27" t="s">
        <v>1232</v>
      </c>
      <c r="I376" s="25">
        <v>19658</v>
      </c>
      <c r="J376" s="25">
        <v>3612</v>
      </c>
      <c r="K376" s="25">
        <v>0</v>
      </c>
      <c r="L376" s="25">
        <v>0</v>
      </c>
      <c r="M376" s="26">
        <f>I376-J376</f>
        <v>16046.0</v>
      </c>
      <c r="N376" s="26">
        <f>J376-K376</f>
        <v>3612.0</v>
      </c>
      <c r="O376" s="26">
        <f>I376-L376</f>
        <v>19658.0</v>
      </c>
      <c r="P376" s="28">
        <f>IF(I376&gt;0,L376/I376,0)</f>
        <v>0.0</v>
      </c>
      <c r="Q376" s="28">
        <f>IF(I376&gt;0,K376/I376,0)</f>
        <v>0.0</v>
      </c>
      <c r="R376" s="24" t="str">
        <f>IF(I376&lt;=0,"Sin PIM",IF(L376/I376&gt;=Config!$B$5,"Ejecutado",IF(K376/I376&gt;=Config!$B$6,"Mayormente comprometido",IF(K376&gt;0.005,"Parcialmente comprometido",IF(J376&gt;0.005,"Solo certificado","Sin certificar")))))</f>
        <v>Solo certificado</v>
      </c>
      <c r="S376" s="24" t="str">
        <f>IF(R376="Sin certificar","Disponible",IF(R376="Solo certificado","Posible",IF(R376="Parcialmente comprometido","Parcial",IF(R376="Mayormente comprometido","Difícil",IF(R376="Ejecutado","No usar","Sin PIM")))))</f>
        <v>Posible</v>
      </c>
      <c r="T376" s="26">
        <f>IF(OR(I376&lt;=0,R376="Ejecutado"),0,MAX(0,I376-K376))</f>
        <v>19658.0</v>
      </c>
      <c r="U376" s="24" t="s">
        <v>123</v>
      </c>
      <c r="V376" s="25">
        <v>200000</v>
      </c>
      <c r="W376" s="25">
        <v>2915452</v>
      </c>
      <c r="X376" s="25">
        <v>2124684</v>
      </c>
      <c r="Y376" s="25">
        <v>2000000</v>
      </c>
      <c r="Z376" s="24" t="s">
        <v>63</v>
      </c>
      <c r="AA376" s="24" t="s">
        <v>63</v>
      </c>
      <c r="AB376" s="24" t="s">
        <v>63</v>
      </c>
      <c r="AC376" s="24" t="s">
        <v>1229</v>
      </c>
    </row>
    <row r="377" spans="1:29">
      <c r="A377" s="24" t="s">
        <v>54</v>
      </c>
      <c r="B377" s="24" t="s">
        <v>968</v>
      </c>
      <c r="C377" s="24" t="s">
        <v>1224</v>
      </c>
      <c r="D377" s="24" t="s">
        <v>63</v>
      </c>
      <c r="E377" s="24" t="s">
        <v>1225</v>
      </c>
      <c r="F377" s="24" t="s">
        <v>1233</v>
      </c>
      <c r="G377" s="24" t="s">
        <v>1234</v>
      </c>
      <c r="H377" s="27" t="s">
        <v>1235</v>
      </c>
      <c r="I377" s="25">
        <v>5182053</v>
      </c>
      <c r="J377" s="25">
        <v>4958489.890000001</v>
      </c>
      <c r="K377" s="25">
        <v>4604701.14</v>
      </c>
      <c r="L377" s="25">
        <v>2773279.980000001</v>
      </c>
      <c r="M377" s="26">
        <f>I377-J377</f>
        <v>223563.1099999994</v>
      </c>
      <c r="N377" s="26">
        <f>J377-K377</f>
        <v>353788.75000000093</v>
      </c>
      <c r="O377" s="26">
        <f>I377-L377</f>
        <v>2408773.019999999</v>
      </c>
      <c r="P377" s="28">
        <f>IF(I377&gt;0,L377/I377,0)</f>
        <v>0.5351701304482993</v>
      </c>
      <c r="Q377" s="28">
        <f>IF(I377&gt;0,K377/I377,0)</f>
        <v>0.8885862688011874</v>
      </c>
      <c r="R377" s="24" t="str">
        <f>IF(I377&lt;=0,"Sin PIM",IF(L377/I377&gt;=Config!$B$5,"Ejecutado",IF(K377/I377&gt;=Config!$B$6,"Mayormente comprometido",IF(K377&gt;0.005,"Parcialmente comprometido",IF(J377&gt;0.005,"Solo certificado","Sin certificar")))))</f>
        <v>Mayormente comprometido</v>
      </c>
      <c r="S377" s="24" t="str">
        <f>IF(R377="Sin certificar","Disponible",IF(R377="Solo certificado","Posible",IF(R377="Parcialmente comprometido","Parcial",IF(R377="Mayormente comprometido","Difícil",IF(R377="Ejecutado","No usar","Sin PIM")))))</f>
        <v>Difícil</v>
      </c>
      <c r="T377" s="26">
        <f>IF(OR(I377&lt;=0,R377="Ejecutado"),0,MAX(0,I377-K377))</f>
        <v>577351.8600000003</v>
      </c>
      <c r="U377" s="24" t="s">
        <v>75</v>
      </c>
      <c r="V377" s="25">
        <v>409040</v>
      </c>
      <c r="W377" s="25">
        <v>29865</v>
      </c>
      <c r="X377" s="25">
        <v>0</v>
      </c>
      <c r="Y377" s="25">
        <v>0</v>
      </c>
      <c r="Z377" s="24" t="s">
        <v>63</v>
      </c>
      <c r="AA377" s="24" t="s">
        <v>63</v>
      </c>
      <c r="AB377" s="24" t="s">
        <v>63</v>
      </c>
      <c r="AC377" s="24" t="s">
        <v>1229</v>
      </c>
    </row>
    <row r="378" spans="1:29">
      <c r="A378" s="24" t="s">
        <v>54</v>
      </c>
      <c r="B378" s="24" t="s">
        <v>968</v>
      </c>
      <c r="C378" s="24" t="s">
        <v>1224</v>
      </c>
      <c r="D378" s="24" t="s">
        <v>63</v>
      </c>
      <c r="E378" s="24" t="s">
        <v>996</v>
      </c>
      <c r="F378" s="24" t="s">
        <v>1236</v>
      </c>
      <c r="G378" s="24" t="s">
        <v>1237</v>
      </c>
      <c r="H378" s="27" t="s">
        <v>1238</v>
      </c>
      <c r="I378" s="25">
        <v>1800000</v>
      </c>
      <c r="J378" s="25">
        <v>26893</v>
      </c>
      <c r="K378" s="25">
        <v>26893</v>
      </c>
      <c r="L378" s="25">
        <v>26892.69</v>
      </c>
      <c r="M378" s="26">
        <f>I378-J378</f>
        <v>1773107.0</v>
      </c>
      <c r="N378" s="26">
        <f>J378-K378</f>
        <v>0.0</v>
      </c>
      <c r="O378" s="26">
        <f>I378-L378</f>
        <v>1773107.31</v>
      </c>
      <c r="P378" s="28">
        <f>IF(I378&gt;0,L378/I378,0)</f>
        <v>0.014940383333333333</v>
      </c>
      <c r="Q378" s="28">
        <f>IF(I378&gt;0,K378/I378,0)</f>
        <v>0.014940555555555556</v>
      </c>
      <c r="R378" s="24" t="str">
        <f>IF(I378&lt;=0,"Sin PIM",IF(L378/I378&gt;=Config!$B$5,"Ejecutado",IF(K378/I378&gt;=Config!$B$6,"Mayormente comprometido",IF(K378&gt;0.005,"Parcialmente comprometido",IF(J378&gt;0.005,"Solo certificado","Sin certificar")))))</f>
        <v>Parcialmente comprometido</v>
      </c>
      <c r="S378" s="24" t="str">
        <f>IF(R378="Sin certificar","Disponible",IF(R378="Solo certificado","Posible",IF(R378="Parcialmente comprometido","Parcial",IF(R378="Mayormente comprometido","Difícil",IF(R378="Ejecutado","No usar","Sin PIM")))))</f>
        <v>Parcial</v>
      </c>
      <c r="T378" s="26">
        <f>IF(OR(I378&lt;=0,R378="Ejecutado"),0,MAX(0,I378-K378))</f>
        <v>1773107.0</v>
      </c>
      <c r="U378" s="24" t="s">
        <v>1239</v>
      </c>
      <c r="V378" s="25">
        <v>300000</v>
      </c>
      <c r="W378" s="25">
        <v>4508196</v>
      </c>
      <c r="X378" s="25">
        <v>5000000</v>
      </c>
      <c r="Y378" s="25">
        <v>1000000</v>
      </c>
      <c r="Z378" s="24" t="s">
        <v>63</v>
      </c>
      <c r="AA378" s="24" t="s">
        <v>63</v>
      </c>
      <c r="AB378" s="24" t="s">
        <v>63</v>
      </c>
      <c r="AC378" s="24" t="s">
        <v>1229</v>
      </c>
    </row>
    <row r="379" spans="1:29">
      <c r="A379" s="24" t="s">
        <v>54</v>
      </c>
      <c r="B379" s="24" t="s">
        <v>968</v>
      </c>
      <c r="C379" s="24" t="s">
        <v>1224</v>
      </c>
      <c r="D379" s="24" t="s">
        <v>63</v>
      </c>
      <c r="E379" s="24" t="s">
        <v>960</v>
      </c>
      <c r="F379" s="24" t="s">
        <v>1240</v>
      </c>
      <c r="G379" s="24" t="s">
        <v>1241</v>
      </c>
      <c r="H379" s="27" t="s">
        <v>1242</v>
      </c>
      <c r="I379" s="25">
        <v>32099</v>
      </c>
      <c r="J379" s="25">
        <v>0</v>
      </c>
      <c r="K379" s="25">
        <v>0</v>
      </c>
      <c r="L379" s="25">
        <v>0</v>
      </c>
      <c r="M379" s="26">
        <f>I379-J379</f>
        <v>32099.0</v>
      </c>
      <c r="N379" s="26">
        <f>J379-K379</f>
        <v>0.0</v>
      </c>
      <c r="O379" s="26">
        <f>I379-L379</f>
        <v>32099.0</v>
      </c>
      <c r="P379" s="28">
        <f>IF(I379&gt;0,L379/I379,0)</f>
        <v>0.0</v>
      </c>
      <c r="Q379" s="28">
        <f>IF(I379&gt;0,K379/I379,0)</f>
        <v>0.0</v>
      </c>
      <c r="R379" s="24" t="str">
        <f>IF(I379&lt;=0,"Sin PIM",IF(L379/I379&gt;=Config!$B$5,"Ejecutado",IF(K379/I379&gt;=Config!$B$6,"Mayormente comprometido",IF(K379&gt;0.005,"Parcialmente comprometido",IF(J379&gt;0.005,"Solo certificado","Sin certificar")))))</f>
        <v>Sin certificar</v>
      </c>
      <c r="S379" s="24" t="str">
        <f>IF(R379="Sin certificar","Disponible",IF(R379="Solo certificado","Posible",IF(R379="Parcialmente comprometido","Parcial",IF(R379="Mayormente comprometido","Difícil",IF(R379="Ejecutado","No usar","Sin PIM")))))</f>
        <v>Disponible</v>
      </c>
      <c r="T379" s="26">
        <f>IF(OR(I379&lt;=0,R379="Ejecutado"),0,MAX(0,I379-K379))</f>
        <v>32099.0</v>
      </c>
      <c r="U379" s="24" t="s">
        <v>105</v>
      </c>
      <c r="V379" s="25">
        <v>500000</v>
      </c>
      <c r="W379" s="25">
        <v>0</v>
      </c>
      <c r="X379" s="25">
        <v>0</v>
      </c>
      <c r="Y379" s="25">
        <v>0</v>
      </c>
      <c r="Z379" s="24" t="s">
        <v>63</v>
      </c>
      <c r="AA379" s="24" t="s">
        <v>63</v>
      </c>
      <c r="AB379" s="24" t="s">
        <v>63</v>
      </c>
      <c r="AC379" s="24" t="s">
        <v>1229</v>
      </c>
    </row>
    <row r="380" spans="1:29">
      <c r="A380" s="24" t="s">
        <v>54</v>
      </c>
      <c r="B380" s="24" t="s">
        <v>968</v>
      </c>
      <c r="C380" s="24" t="s">
        <v>1224</v>
      </c>
      <c r="D380" s="24" t="s">
        <v>63</v>
      </c>
      <c r="E380" s="24" t="s">
        <v>960</v>
      </c>
      <c r="F380" s="24" t="s">
        <v>1243</v>
      </c>
      <c r="G380" s="24" t="s">
        <v>1244</v>
      </c>
      <c r="H380" s="27" t="s">
        <v>1245</v>
      </c>
      <c r="I380" s="25">
        <v>30000</v>
      </c>
      <c r="J380" s="25">
        <v>23434</v>
      </c>
      <c r="K380" s="25">
        <v>23434</v>
      </c>
      <c r="L380" s="25">
        <v>13106.35</v>
      </c>
      <c r="M380" s="26">
        <f>I380-J380</f>
        <v>6566.0</v>
      </c>
      <c r="N380" s="26">
        <f>J380-K380</f>
        <v>0.0</v>
      </c>
      <c r="O380" s="26">
        <f>I380-L380</f>
        <v>16893.65</v>
      </c>
      <c r="P380" s="28">
        <f>IF(I380&gt;0,L380/I380,0)</f>
        <v>0.43687833333333337</v>
      </c>
      <c r="Q380" s="28">
        <f>IF(I380&gt;0,K380/I380,0)</f>
        <v>0.7811333333333333</v>
      </c>
      <c r="R380" s="24" t="str">
        <f>IF(I380&lt;=0,"Sin PIM",IF(L380/I380&gt;=Config!$B$5,"Ejecutado",IF(K380/I380&gt;=Config!$B$6,"Mayormente comprometido",IF(K380&gt;0.005,"Parcialmente comprometido",IF(J380&gt;0.005,"Solo certificado","Sin certificar")))))</f>
        <v>Mayormente comprometido</v>
      </c>
      <c r="S380" s="24" t="str">
        <f>IF(R380="Sin certificar","Disponible",IF(R380="Solo certificado","Posible",IF(R380="Parcialmente comprometido","Parcial",IF(R380="Mayormente comprometido","Difícil",IF(R380="Ejecutado","No usar","Sin PIM")))))</f>
        <v>Difícil</v>
      </c>
      <c r="T380" s="26">
        <f>IF(OR(I380&lt;=0,R380="Ejecutado"),0,MAX(0,I380-K380))</f>
        <v>6566.0</v>
      </c>
      <c r="U380" s="24" t="s">
        <v>96</v>
      </c>
      <c r="V380" s="25">
        <v>2080646</v>
      </c>
      <c r="W380" s="25">
        <v>70728</v>
      </c>
      <c r="X380" s="25">
        <v>300000</v>
      </c>
      <c r="Y380" s="25">
        <v>300000</v>
      </c>
      <c r="Z380" s="24" t="s">
        <v>63</v>
      </c>
      <c r="AA380" s="24" t="s">
        <v>63</v>
      </c>
      <c r="AB380" s="24" t="s">
        <v>63</v>
      </c>
      <c r="AC380" s="24" t="s">
        <v>1229</v>
      </c>
    </row>
    <row r="381" spans="1:29">
      <c r="A381" s="24" t="s">
        <v>54</v>
      </c>
      <c r="B381" s="24" t="s">
        <v>968</v>
      </c>
      <c r="C381" s="24" t="s">
        <v>1224</v>
      </c>
      <c r="D381" s="24" t="s">
        <v>63</v>
      </c>
      <c r="E381" s="24" t="s">
        <v>960</v>
      </c>
      <c r="F381" s="24" t="s">
        <v>1246</v>
      </c>
      <c r="G381" s="24" t="s">
        <v>1247</v>
      </c>
      <c r="H381" s="27" t="s">
        <v>1248</v>
      </c>
      <c r="I381" s="25">
        <v>90586</v>
      </c>
      <c r="J381" s="25">
        <v>90435.2</v>
      </c>
      <c r="K381" s="25">
        <v>90256.60000000001</v>
      </c>
      <c r="L381" s="25">
        <v>78301.59999999999</v>
      </c>
      <c r="M381" s="26">
        <f>I381-J381</f>
        <v>150.8000000000029</v>
      </c>
      <c r="N381" s="26">
        <f>J381-K381</f>
        <v>178.59999999999127</v>
      </c>
      <c r="O381" s="26">
        <f>I381-L381</f>
        <v>12284.400000000009</v>
      </c>
      <c r="P381" s="28">
        <f>IF(I381&gt;0,L381/I381,0)</f>
        <v>0.8643896407833439</v>
      </c>
      <c r="Q381" s="28">
        <f>IF(I381&gt;0,K381/I381,0)</f>
        <v>0.9963636765063034</v>
      </c>
      <c r="R381" s="24" t="str">
        <f>IF(I381&lt;=0,"Sin PIM",IF(L381/I381&gt;=Config!$B$5,"Ejecutado",IF(K381/I381&gt;=Config!$B$6,"Mayormente comprometido",IF(K381&gt;0.005,"Parcialmente comprometido",IF(J381&gt;0.005,"Solo certificado","Sin certificar")))))</f>
        <v>Mayormente comprometido</v>
      </c>
      <c r="S381" s="24" t="str">
        <f>IF(R381="Sin certificar","Disponible",IF(R381="Solo certificado","Posible",IF(R381="Parcialmente comprometido","Parcial",IF(R381="Mayormente comprometido","Difícil",IF(R381="Ejecutado","No usar","Sin PIM")))))</f>
        <v>Difícil</v>
      </c>
      <c r="T381" s="26">
        <f>IF(OR(I381&lt;=0,R381="Ejecutado"),0,MAX(0,I381-K381))</f>
        <v>329.3999999999942</v>
      </c>
      <c r="U381" s="24" t="s">
        <v>123</v>
      </c>
      <c r="V381" s="25">
        <v>100000</v>
      </c>
      <c r="W381" s="25">
        <v>0</v>
      </c>
      <c r="X381" s="25">
        <v>2000000</v>
      </c>
      <c r="Y381" s="25">
        <v>2000000</v>
      </c>
      <c r="Z381" s="24" t="s">
        <v>63</v>
      </c>
      <c r="AA381" s="24" t="s">
        <v>63</v>
      </c>
      <c r="AB381" s="24" t="s">
        <v>63</v>
      </c>
      <c r="AC381" s="24" t="s">
        <v>1229</v>
      </c>
    </row>
    <row r="382" spans="1:29">
      <c r="A382" s="24" t="s">
        <v>54</v>
      </c>
      <c r="B382" s="24" t="s">
        <v>968</v>
      </c>
      <c r="C382" s="24" t="s">
        <v>1224</v>
      </c>
      <c r="D382" s="24" t="s">
        <v>63</v>
      </c>
      <c r="E382" s="24" t="s">
        <v>960</v>
      </c>
      <c r="F382" s="24" t="s">
        <v>1249</v>
      </c>
      <c r="G382" s="24" t="s">
        <v>1250</v>
      </c>
      <c r="H382" s="27" t="s">
        <v>1251</v>
      </c>
      <c r="I382" s="25">
        <v>0</v>
      </c>
      <c r="J382" s="25">
        <v>0</v>
      </c>
      <c r="K382" s="25">
        <v>0</v>
      </c>
      <c r="L382" s="25">
        <v>0</v>
      </c>
      <c r="M382" s="26">
        <f>I382-J382</f>
        <v>0.0</v>
      </c>
      <c r="N382" s="26">
        <f>J382-K382</f>
        <v>0.0</v>
      </c>
      <c r="O382" s="26">
        <f>I382-L382</f>
        <v>0.0</v>
      </c>
      <c r="P382" s="28">
        <f>IF(I382&gt;0,L382/I382,0)</f>
        <v>0</v>
      </c>
      <c r="Q382" s="28">
        <f>IF(I382&gt;0,K382/I382,0)</f>
        <v>0</v>
      </c>
      <c r="R382" s="24" t="str">
        <f>IF(I382&lt;=0,"Sin PIM",IF(L382/I382&gt;=Config!$B$5,"Ejecutado",IF(K382/I382&gt;=Config!$B$6,"Mayormente comprometido",IF(K382&gt;0.005,"Parcialmente comprometido",IF(J382&gt;0.005,"Solo certificado","Sin certificar")))))</f>
        <v>Sin PIM</v>
      </c>
      <c r="S382" s="24" t="str">
        <f>IF(R382="Sin certificar","Disponible",IF(R382="Solo certificado","Posible",IF(R382="Parcialmente comprometido","Parcial",IF(R382="Mayormente comprometido","Difícil",IF(R382="Ejecutado","No usar","Sin PIM")))))</f>
        <v>Sin PIM</v>
      </c>
      <c r="T382" s="26">
        <f>IF(OR(I382&lt;=0,R382="Ejecutado"),0,MAX(0,I382-K382))</f>
        <v>0.0</v>
      </c>
      <c r="U382" s="24" t="s">
        <v>105</v>
      </c>
      <c r="V382" s="25">
        <v>800000</v>
      </c>
      <c r="W382" s="25">
        <v>0</v>
      </c>
      <c r="X382" s="25">
        <v>0</v>
      </c>
      <c r="Y382" s="25">
        <v>0</v>
      </c>
      <c r="Z382" s="24" t="s">
        <v>63</v>
      </c>
      <c r="AA382" s="24" t="s">
        <v>63</v>
      </c>
      <c r="AB382" s="24" t="s">
        <v>63</v>
      </c>
      <c r="AC382" s="24" t="s">
        <v>1229</v>
      </c>
    </row>
    <row r="383" spans="1:29">
      <c r="A383" s="24" t="s">
        <v>54</v>
      </c>
      <c r="B383" s="24" t="s">
        <v>968</v>
      </c>
      <c r="C383" s="24" t="s">
        <v>1224</v>
      </c>
      <c r="D383" s="24" t="s">
        <v>63</v>
      </c>
      <c r="E383" s="24" t="s">
        <v>960</v>
      </c>
      <c r="F383" s="24" t="s">
        <v>1252</v>
      </c>
      <c r="G383" s="24" t="s">
        <v>1253</v>
      </c>
      <c r="H383" s="27" t="s">
        <v>1254</v>
      </c>
      <c r="I383" s="25">
        <v>0</v>
      </c>
      <c r="J383" s="25">
        <v>0</v>
      </c>
      <c r="K383" s="25">
        <v>0</v>
      </c>
      <c r="L383" s="25">
        <v>0</v>
      </c>
      <c r="M383" s="26">
        <f>I383-J383</f>
        <v>0.0</v>
      </c>
      <c r="N383" s="26">
        <f>J383-K383</f>
        <v>0.0</v>
      </c>
      <c r="O383" s="26">
        <f>I383-L383</f>
        <v>0.0</v>
      </c>
      <c r="P383" s="28">
        <f>IF(I383&gt;0,L383/I383,0)</f>
        <v>0</v>
      </c>
      <c r="Q383" s="28">
        <f>IF(I383&gt;0,K383/I383,0)</f>
        <v>0</v>
      </c>
      <c r="R383" s="24" t="str">
        <f>IF(I383&lt;=0,"Sin PIM",IF(L383/I383&gt;=Config!$B$5,"Ejecutado",IF(K383/I383&gt;=Config!$B$6,"Mayormente comprometido",IF(K383&gt;0.005,"Parcialmente comprometido",IF(J383&gt;0.005,"Solo certificado","Sin certificar")))))</f>
        <v>Sin PIM</v>
      </c>
      <c r="S383" s="24" t="str">
        <f>IF(R383="Sin certificar","Disponible",IF(R383="Solo certificado","Posible",IF(R383="Parcialmente comprometido","Parcial",IF(R383="Mayormente comprometido","Difícil",IF(R383="Ejecutado","No usar","Sin PIM")))))</f>
        <v>Sin PIM</v>
      </c>
      <c r="T383" s="26">
        <f>IF(OR(I383&lt;=0,R383="Ejecutado"),0,MAX(0,I383-K383))</f>
        <v>0.0</v>
      </c>
      <c r="U383" s="24" t="s">
        <v>232</v>
      </c>
      <c r="V383" s="25">
        <v>200000</v>
      </c>
      <c r="W383" s="25">
        <v>0</v>
      </c>
      <c r="X383" s="25">
        <v>0</v>
      </c>
      <c r="Y383" s="25">
        <v>0</v>
      </c>
      <c r="Z383" s="24" t="s">
        <v>63</v>
      </c>
      <c r="AA383" s="24" t="s">
        <v>63</v>
      </c>
      <c r="AB383" s="24" t="s">
        <v>63</v>
      </c>
      <c r="AC383" s="24" t="s">
        <v>1229</v>
      </c>
    </row>
    <row r="384" spans="1:29">
      <c r="A384" s="24" t="s">
        <v>54</v>
      </c>
      <c r="B384" s="24" t="s">
        <v>968</v>
      </c>
      <c r="C384" s="24" t="s">
        <v>1224</v>
      </c>
      <c r="D384" s="24" t="s">
        <v>63</v>
      </c>
      <c r="E384" s="24" t="s">
        <v>960</v>
      </c>
      <c r="F384" s="24" t="s">
        <v>1255</v>
      </c>
      <c r="G384" s="24" t="s">
        <v>1256</v>
      </c>
      <c r="H384" s="27" t="s">
        <v>1257</v>
      </c>
      <c r="I384" s="25">
        <v>70632</v>
      </c>
      <c r="J384" s="25">
        <v>12544</v>
      </c>
      <c r="K384" s="25">
        <v>12544</v>
      </c>
      <c r="L384" s="25">
        <v>12544</v>
      </c>
      <c r="M384" s="26">
        <f>I384-J384</f>
        <v>58088.0</v>
      </c>
      <c r="N384" s="26">
        <f>J384-K384</f>
        <v>0.0</v>
      </c>
      <c r="O384" s="26">
        <f>I384-L384</f>
        <v>58088.0</v>
      </c>
      <c r="P384" s="28">
        <f>IF(I384&gt;0,L384/I384,0)</f>
        <v>0.17759655680144976</v>
      </c>
      <c r="Q384" s="28">
        <f>IF(I384&gt;0,K384/I384,0)</f>
        <v>0.17759655680144976</v>
      </c>
      <c r="R384" s="24" t="str">
        <f>IF(I384&lt;=0,"Sin PIM",IF(L384/I384&gt;=Config!$B$5,"Ejecutado",IF(K384/I384&gt;=Config!$B$6,"Mayormente comprometido",IF(K384&gt;0.005,"Parcialmente comprometido",IF(J384&gt;0.005,"Solo certificado","Sin certificar")))))</f>
        <v>Parcialmente comprometido</v>
      </c>
      <c r="S384" s="24" t="str">
        <f>IF(R384="Sin certificar","Disponible",IF(R384="Solo certificado","Posible",IF(R384="Parcialmente comprometido","Parcial",IF(R384="Mayormente comprometido","Difícil",IF(R384="Ejecutado","No usar","Sin PIM")))))</f>
        <v>Parcial</v>
      </c>
      <c r="T384" s="26">
        <f>IF(OR(I384&lt;=0,R384="Ejecutado"),0,MAX(0,I384-K384))</f>
        <v>58088.0</v>
      </c>
      <c r="U384" s="24" t="s">
        <v>96</v>
      </c>
      <c r="V384" s="25">
        <v>70632</v>
      </c>
      <c r="W384" s="25">
        <v>0</v>
      </c>
      <c r="X384" s="25">
        <v>0</v>
      </c>
      <c r="Y384" s="25">
        <v>0</v>
      </c>
      <c r="Z384" s="24" t="s">
        <v>63</v>
      </c>
      <c r="AA384" s="24" t="s">
        <v>63</v>
      </c>
      <c r="AB384" s="24" t="s">
        <v>63</v>
      </c>
      <c r="AC384" s="24" t="s">
        <v>63</v>
      </c>
    </row>
    <row r="385" spans="1:29">
      <c r="A385" s="24" t="s">
        <v>54</v>
      </c>
      <c r="B385" s="24" t="s">
        <v>968</v>
      </c>
      <c r="C385" s="24" t="s">
        <v>1224</v>
      </c>
      <c r="D385" s="24" t="s">
        <v>63</v>
      </c>
      <c r="E385" s="24" t="s">
        <v>960</v>
      </c>
      <c r="F385" s="24" t="s">
        <v>1258</v>
      </c>
      <c r="G385" s="24" t="s">
        <v>1259</v>
      </c>
      <c r="H385" s="27" t="s">
        <v>1260</v>
      </c>
      <c r="I385" s="25">
        <v>11000</v>
      </c>
      <c r="J385" s="25">
        <v>11000</v>
      </c>
      <c r="K385" s="25">
        <v>0</v>
      </c>
      <c r="L385" s="25">
        <v>0</v>
      </c>
      <c r="M385" s="26">
        <f>I385-J385</f>
        <v>0.0</v>
      </c>
      <c r="N385" s="26">
        <f>J385-K385</f>
        <v>11000.0</v>
      </c>
      <c r="O385" s="26">
        <f>I385-L385</f>
        <v>11000.0</v>
      </c>
      <c r="P385" s="28">
        <f>IF(I385&gt;0,L385/I385,0)</f>
        <v>0.0</v>
      </c>
      <c r="Q385" s="28">
        <f>IF(I385&gt;0,K385/I385,0)</f>
        <v>0.0</v>
      </c>
      <c r="R385" s="24" t="str">
        <f>IF(I385&lt;=0,"Sin PIM",IF(L385/I385&gt;=Config!$B$5,"Ejecutado",IF(K385/I385&gt;=Config!$B$6,"Mayormente comprometido",IF(K385&gt;0.005,"Parcialmente comprometido",IF(J385&gt;0.005,"Solo certificado","Sin certificar")))))</f>
        <v>Solo certificado</v>
      </c>
      <c r="S385" s="24" t="str">
        <f>IF(R385="Sin certificar","Disponible",IF(R385="Solo certificado","Posible",IF(R385="Parcialmente comprometido","Parcial",IF(R385="Mayormente comprometido","Difícil",IF(R385="Ejecutado","No usar","Sin PIM")))))</f>
        <v>Posible</v>
      </c>
      <c r="T385" s="26">
        <f>IF(OR(I385&lt;=0,R385="Ejecutado"),0,MAX(0,I385-K385))</f>
        <v>11000.0</v>
      </c>
      <c r="U385" s="24" t="s">
        <v>480</v>
      </c>
      <c r="V385" s="25">
        <v>11000</v>
      </c>
      <c r="W385" s="25">
        <v>164792</v>
      </c>
      <c r="X385" s="25">
        <v>9322563</v>
      </c>
      <c r="Y385" s="25">
        <v>9322563</v>
      </c>
      <c r="Z385" s="24" t="s">
        <v>63</v>
      </c>
      <c r="AA385" s="24" t="s">
        <v>63</v>
      </c>
      <c r="AB385" s="24" t="s">
        <v>63</v>
      </c>
      <c r="AC385" s="24" t="s">
        <v>63</v>
      </c>
    </row>
    <row r="386" spans="1:29">
      <c r="A386" s="24" t="s">
        <v>54</v>
      </c>
      <c r="B386" s="24" t="s">
        <v>968</v>
      </c>
      <c r="C386" s="24" t="s">
        <v>1261</v>
      </c>
      <c r="D386" s="24" t="s">
        <v>63</v>
      </c>
      <c r="E386" s="24" t="s">
        <v>271</v>
      </c>
      <c r="F386" s="24" t="s">
        <v>1262</v>
      </c>
      <c r="G386" s="24" t="s">
        <v>1263</v>
      </c>
      <c r="H386" s="27" t="s">
        <v>1264</v>
      </c>
      <c r="I386" s="25">
        <v>550560</v>
      </c>
      <c r="J386" s="25">
        <v>519500</v>
      </c>
      <c r="K386" s="25">
        <v>519158.94</v>
      </c>
      <c r="L386" s="25">
        <v>517920.09</v>
      </c>
      <c r="M386" s="26">
        <f>I386-J386</f>
        <v>31060.0</v>
      </c>
      <c r="N386" s="26">
        <f>J386-K386</f>
        <v>341.0599999999977</v>
      </c>
      <c r="O386" s="26">
        <f>I386-L386</f>
        <v>32639.909999999974</v>
      </c>
      <c r="P386" s="28">
        <f>IF(I386&gt;0,L386/I386,0)</f>
        <v>0.9407150719267655</v>
      </c>
      <c r="Q386" s="28">
        <f>IF(I386&gt;0,K386/I386,0)</f>
        <v>0.942965235396687</v>
      </c>
      <c r="R386" s="24" t="str">
        <f>IF(I386&lt;=0,"Sin PIM",IF(L386/I386&gt;=Config!$B$5,"Ejecutado",IF(K386/I386&gt;=Config!$B$6,"Mayormente comprometido",IF(K386&gt;0.005,"Parcialmente comprometido",IF(J386&gt;0.005,"Solo certificado","Sin certificar")))))</f>
        <v>Ejecutado</v>
      </c>
      <c r="S386" s="24" t="str">
        <f>IF(R386="Sin certificar","Disponible",IF(R386="Solo certificado","Posible",IF(R386="Parcialmente comprometido","Parcial",IF(R386="Mayormente comprometido","Difícil",IF(R386="Ejecutado","No usar","Sin PIM")))))</f>
        <v>No usar</v>
      </c>
      <c r="T386" s="26">
        <f>IF(OR(I386&lt;=0,R386="Ejecutado"),0,MAX(0,I386-K386))</f>
        <v>0.0</v>
      </c>
      <c r="U386" s="24" t="s">
        <v>1265</v>
      </c>
      <c r="V386" s="25">
        <v>100560</v>
      </c>
      <c r="W386" s="25">
        <v>93700</v>
      </c>
      <c r="X386" s="25">
        <v>0</v>
      </c>
      <c r="Y386" s="25">
        <v>0</v>
      </c>
      <c r="Z386" s="24" t="s">
        <v>63</v>
      </c>
      <c r="AA386" s="24" t="s">
        <v>63</v>
      </c>
      <c r="AB386" s="24" t="s">
        <v>63</v>
      </c>
      <c r="AC386" s="24" t="s">
        <v>1266</v>
      </c>
    </row>
    <row r="387" spans="1:29">
      <c r="A387" s="24" t="s">
        <v>54</v>
      </c>
      <c r="B387" s="24" t="s">
        <v>968</v>
      </c>
      <c r="C387" s="24" t="s">
        <v>1261</v>
      </c>
      <c r="D387" s="24" t="s">
        <v>63</v>
      </c>
      <c r="E387" s="24" t="s">
        <v>271</v>
      </c>
      <c r="F387" s="24" t="s">
        <v>1267</v>
      </c>
      <c r="G387" s="24" t="s">
        <v>1268</v>
      </c>
      <c r="H387" s="27" t="s">
        <v>1269</v>
      </c>
      <c r="I387" s="25">
        <v>12532522</v>
      </c>
      <c r="J387" s="25">
        <v>12187040.85</v>
      </c>
      <c r="K387" s="25">
        <v>5981488.180000001</v>
      </c>
      <c r="L387" s="25">
        <v>3196291.429999999</v>
      </c>
      <c r="M387" s="26">
        <f>I387-J387</f>
        <v>345481.1500000004</v>
      </c>
      <c r="N387" s="26">
        <f>J387-K387</f>
        <v>6205552.669999999</v>
      </c>
      <c r="O387" s="26">
        <f>I387-L387</f>
        <v>9336230.57</v>
      </c>
      <c r="P387" s="28">
        <f>IF(I387&gt;0,L387/I387,0)</f>
        <v>0.25503976214843266</v>
      </c>
      <c r="Q387" s="28">
        <f>IF(I387&gt;0,K387/I387,0)</f>
        <v>0.47727729342904807</v>
      </c>
      <c r="R387" s="24" t="str">
        <f>IF(I387&lt;=0,"Sin PIM",IF(L387/I387&gt;=Config!$B$5,"Ejecutado",IF(K387/I387&gt;=Config!$B$6,"Mayormente comprometido",IF(K387&gt;0.005,"Parcialmente comprometido",IF(J387&gt;0.005,"Solo certificado","Sin certificar")))))</f>
        <v>Parcialmente comprometido</v>
      </c>
      <c r="S387" s="24" t="str">
        <f>IF(R387="Sin certificar","Disponible",IF(R387="Solo certificado","Posible",IF(R387="Parcialmente comprometido","Parcial",IF(R387="Mayormente comprometido","Difícil",IF(R387="Ejecutado","No usar","Sin PIM")))))</f>
        <v>Parcial</v>
      </c>
      <c r="T387" s="26">
        <f>IF(OR(I387&lt;=0,R387="Ejecutado"),0,MAX(0,I387-K387))</f>
        <v>6551033.819999999</v>
      </c>
      <c r="U387" s="24" t="s">
        <v>1270</v>
      </c>
      <c r="V387" s="25">
        <v>1000000</v>
      </c>
      <c r="W387" s="25">
        <v>4832260</v>
      </c>
      <c r="X387" s="25">
        <v>1000000</v>
      </c>
      <c r="Y387" s="25">
        <v>1000000</v>
      </c>
      <c r="Z387" s="24" t="s">
        <v>63</v>
      </c>
      <c r="AA387" s="24" t="s">
        <v>63</v>
      </c>
      <c r="AB387" s="24" t="s">
        <v>63</v>
      </c>
      <c r="AC387" s="24" t="s">
        <v>1266</v>
      </c>
    </row>
    <row r="388" spans="1:29">
      <c r="A388" s="24" t="s">
        <v>54</v>
      </c>
      <c r="B388" s="24" t="s">
        <v>968</v>
      </c>
      <c r="C388" s="24" t="s">
        <v>1261</v>
      </c>
      <c r="D388" s="24" t="s">
        <v>63</v>
      </c>
      <c r="E388" s="24" t="s">
        <v>271</v>
      </c>
      <c r="F388" s="24" t="s">
        <v>1271</v>
      </c>
      <c r="G388" s="24" t="s">
        <v>1272</v>
      </c>
      <c r="H388" s="27" t="s">
        <v>1273</v>
      </c>
      <c r="I388" s="25">
        <v>100000</v>
      </c>
      <c r="J388" s="25">
        <v>0</v>
      </c>
      <c r="K388" s="25">
        <v>0</v>
      </c>
      <c r="L388" s="25">
        <v>0</v>
      </c>
      <c r="M388" s="26">
        <f>I388-J388</f>
        <v>100000.0</v>
      </c>
      <c r="N388" s="26">
        <f>J388-K388</f>
        <v>0.0</v>
      </c>
      <c r="O388" s="26">
        <f>I388-L388</f>
        <v>100000.0</v>
      </c>
      <c r="P388" s="28">
        <f>IF(I388&gt;0,L388/I388,0)</f>
        <v>0.0</v>
      </c>
      <c r="Q388" s="28">
        <f>IF(I388&gt;0,K388/I388,0)</f>
        <v>0.0</v>
      </c>
      <c r="R388" s="24" t="str">
        <f>IF(I388&lt;=0,"Sin PIM",IF(L388/I388&gt;=Config!$B$5,"Ejecutado",IF(K388/I388&gt;=Config!$B$6,"Mayormente comprometido",IF(K388&gt;0.005,"Parcialmente comprometido",IF(J388&gt;0.005,"Solo certificado","Sin certificar")))))</f>
        <v>Sin certificar</v>
      </c>
      <c r="S388" s="24" t="str">
        <f>IF(R388="Sin certificar","Disponible",IF(R388="Solo certificado","Posible",IF(R388="Parcialmente comprometido","Parcial",IF(R388="Mayormente comprometido","Difícil",IF(R388="Ejecutado","No usar","Sin PIM")))))</f>
        <v>Disponible</v>
      </c>
      <c r="T388" s="26">
        <f>IF(OR(I388&lt;=0,R388="Ejecutado"),0,MAX(0,I388-K388))</f>
        <v>100000.0</v>
      </c>
      <c r="U388" s="24" t="s">
        <v>232</v>
      </c>
      <c r="V388" s="25">
        <v>100000</v>
      </c>
      <c r="W388" s="25">
        <v>0</v>
      </c>
      <c r="X388" s="25">
        <v>0</v>
      </c>
      <c r="Y388" s="25">
        <v>0</v>
      </c>
      <c r="Z388" s="24" t="s">
        <v>63</v>
      </c>
      <c r="AA388" s="24" t="s">
        <v>63</v>
      </c>
      <c r="AB388" s="24" t="s">
        <v>63</v>
      </c>
      <c r="AC388" s="24" t="s">
        <v>1266</v>
      </c>
    </row>
    <row r="389" spans="1:29">
      <c r="A389" s="24" t="s">
        <v>54</v>
      </c>
      <c r="B389" s="24" t="s">
        <v>968</v>
      </c>
      <c r="C389" s="24" t="s">
        <v>1274</v>
      </c>
      <c r="D389" s="24" t="s">
        <v>63</v>
      </c>
      <c r="E389" s="24" t="s">
        <v>271</v>
      </c>
      <c r="F389" s="24" t="s">
        <v>1275</v>
      </c>
      <c r="G389" s="24" t="s">
        <v>1276</v>
      </c>
      <c r="H389" s="27" t="s">
        <v>1277</v>
      </c>
      <c r="I389" s="25">
        <v>1332387</v>
      </c>
      <c r="J389" s="25">
        <v>1332216.61</v>
      </c>
      <c r="K389" s="25">
        <v>1328895.11</v>
      </c>
      <c r="L389" s="25">
        <v>1212326</v>
      </c>
      <c r="M389" s="26">
        <f>I389-J389</f>
        <v>170.39000000013039</v>
      </c>
      <c r="N389" s="26">
        <f>J389-K389</f>
        <v>3321.5</v>
      </c>
      <c r="O389" s="26">
        <f>I389-L389</f>
        <v>120061.0</v>
      </c>
      <c r="P389" s="28">
        <f>IF(I389&gt;0,L389/I389,0)</f>
        <v>0.9098902946366183</v>
      </c>
      <c r="Q389" s="28">
        <f>IF(I389&gt;0,K389/I389,0)</f>
        <v>0.9973792224031005</v>
      </c>
      <c r="R389" s="24" t="str">
        <f>IF(I389&lt;=0,"Sin PIM",IF(L389/I389&gt;=Config!$B$5,"Ejecutado",IF(K389/I389&gt;=Config!$B$6,"Mayormente comprometido",IF(K389&gt;0.005,"Parcialmente comprometido",IF(J389&gt;0.005,"Solo certificado","Sin certificar")))))</f>
        <v>Ejecutado</v>
      </c>
      <c r="S389" s="24" t="str">
        <f>IF(R389="Sin certificar","Disponible",IF(R389="Solo certificado","Posible",IF(R389="Parcialmente comprometido","Parcial",IF(R389="Mayormente comprometido","Difícil",IF(R389="Ejecutado","No usar","Sin PIM")))))</f>
        <v>No usar</v>
      </c>
      <c r="T389" s="26">
        <f>IF(OR(I389&lt;=0,R389="Ejecutado"),0,MAX(0,I389-K389))</f>
        <v>0.0</v>
      </c>
      <c r="U389" s="24" t="s">
        <v>96</v>
      </c>
      <c r="V389" s="25">
        <v>630478</v>
      </c>
      <c r="W389" s="25">
        <v>188781</v>
      </c>
      <c r="X389" s="25">
        <v>2845395</v>
      </c>
      <c r="Y389" s="25">
        <v>2772809</v>
      </c>
      <c r="Z389" s="24" t="s">
        <v>63</v>
      </c>
      <c r="AA389" s="24" t="s">
        <v>63</v>
      </c>
      <c r="AB389" s="24" t="s">
        <v>63</v>
      </c>
      <c r="AC389" s="24" t="s">
        <v>1278</v>
      </c>
    </row>
    <row r="390" spans="1:29">
      <c r="A390" s="24" t="s">
        <v>54</v>
      </c>
      <c r="B390" s="24" t="s">
        <v>968</v>
      </c>
      <c r="C390" s="24" t="s">
        <v>1274</v>
      </c>
      <c r="D390" s="24" t="s">
        <v>63</v>
      </c>
      <c r="E390" s="24" t="s">
        <v>996</v>
      </c>
      <c r="F390" s="24" t="s">
        <v>1279</v>
      </c>
      <c r="G390" s="24" t="s">
        <v>1280</v>
      </c>
      <c r="H390" s="27" t="s">
        <v>1281</v>
      </c>
      <c r="I390" s="25">
        <v>4271598</v>
      </c>
      <c r="J390" s="25">
        <v>4070553.34</v>
      </c>
      <c r="K390" s="25">
        <v>2749274.33</v>
      </c>
      <c r="L390" s="25">
        <v>2287215.36</v>
      </c>
      <c r="M390" s="26">
        <f>I390-J390</f>
        <v>201044.65999999968</v>
      </c>
      <c r="N390" s="26">
        <f>J390-K390</f>
        <v>1321279.0100000007</v>
      </c>
      <c r="O390" s="26">
        <f>I390-L390</f>
        <v>1984382.6400000001</v>
      </c>
      <c r="P390" s="28">
        <f>IF(I390&gt;0,L390/I390,0)</f>
        <v>0.5354472401195056</v>
      </c>
      <c r="Q390" s="28">
        <f>IF(I390&gt;0,K390/I390,0)</f>
        <v>0.6436172902974483</v>
      </c>
      <c r="R390" s="24" t="str">
        <f>IF(I390&lt;=0,"Sin PIM",IF(L390/I390&gt;=Config!$B$5,"Ejecutado",IF(K390/I390&gt;=Config!$B$6,"Mayormente comprometido",IF(K390&gt;0.005,"Parcialmente comprometido",IF(J390&gt;0.005,"Solo certificado","Sin certificar")))))</f>
        <v>Mayormente comprometido</v>
      </c>
      <c r="S390" s="24" t="str">
        <f>IF(R390="Sin certificar","Disponible",IF(R390="Solo certificado","Posible",IF(R390="Parcialmente comprometido","Parcial",IF(R390="Mayormente comprometido","Difícil",IF(R390="Ejecutado","No usar","Sin PIM")))))</f>
        <v>Difícil</v>
      </c>
      <c r="T390" s="26">
        <f>IF(OR(I390&lt;=0,R390="Ejecutado"),0,MAX(0,I390-K390))</f>
        <v>1522323.6700000004</v>
      </c>
      <c r="U390" s="24" t="s">
        <v>1282</v>
      </c>
      <c r="V390" s="25">
        <v>1500000</v>
      </c>
      <c r="W390" s="25">
        <v>4950944</v>
      </c>
      <c r="X390" s="25">
        <v>5144103</v>
      </c>
      <c r="Y390" s="25">
        <v>4718085</v>
      </c>
      <c r="Z390" s="24" t="s">
        <v>63</v>
      </c>
      <c r="AA390" s="24" t="s">
        <v>63</v>
      </c>
      <c r="AB390" s="24" t="s">
        <v>63</v>
      </c>
      <c r="AC390" s="24" t="s">
        <v>1278</v>
      </c>
    </row>
    <row r="391" spans="1:29">
      <c r="A391" s="24" t="s">
        <v>54</v>
      </c>
      <c r="B391" s="24" t="s">
        <v>968</v>
      </c>
      <c r="C391" s="24" t="s">
        <v>1283</v>
      </c>
      <c r="D391" s="24" t="s">
        <v>63</v>
      </c>
      <c r="E391" s="24" t="s">
        <v>58</v>
      </c>
      <c r="F391" s="24" t="s">
        <v>1284</v>
      </c>
      <c r="G391" s="24" t="s">
        <v>1285</v>
      </c>
      <c r="H391" s="27" t="s">
        <v>1286</v>
      </c>
      <c r="I391" s="25">
        <v>0</v>
      </c>
      <c r="J391" s="25">
        <v>0</v>
      </c>
      <c r="K391" s="25">
        <v>0</v>
      </c>
      <c r="L391" s="25">
        <v>0</v>
      </c>
      <c r="M391" s="26">
        <f>I391-J391</f>
        <v>0.0</v>
      </c>
      <c r="N391" s="26">
        <f>J391-K391</f>
        <v>0.0</v>
      </c>
      <c r="O391" s="26">
        <f>I391-L391</f>
        <v>0.0</v>
      </c>
      <c r="P391" s="28">
        <f>IF(I391&gt;0,L391/I391,0)</f>
        <v>0</v>
      </c>
      <c r="Q391" s="28">
        <f>IF(I391&gt;0,K391/I391,0)</f>
        <v>0</v>
      </c>
      <c r="R391" s="24" t="str">
        <f>IF(I391&lt;=0,"Sin PIM",IF(L391/I391&gt;=Config!$B$5,"Ejecutado",IF(K391/I391&gt;=Config!$B$6,"Mayormente comprometido",IF(K391&gt;0.005,"Parcialmente comprometido",IF(J391&gt;0.005,"Solo certificado","Sin certificar")))))</f>
        <v>Sin PIM</v>
      </c>
      <c r="S391" s="24" t="str">
        <f>IF(R391="Sin certificar","Disponible",IF(R391="Solo certificado","Posible",IF(R391="Parcialmente comprometido","Parcial",IF(R391="Mayormente comprometido","Difícil",IF(R391="Ejecutado","No usar","Sin PIM")))))</f>
        <v>Sin PIM</v>
      </c>
      <c r="T391" s="26">
        <f>IF(OR(I391&lt;=0,R391="Ejecutado"),0,MAX(0,I391-K391))</f>
        <v>0.0</v>
      </c>
      <c r="U391" s="24" t="s">
        <v>232</v>
      </c>
      <c r="V391" s="25">
        <v>4098</v>
      </c>
      <c r="W391" s="25">
        <v>0</v>
      </c>
      <c r="X391" s="25">
        <v>0</v>
      </c>
      <c r="Y391" s="25">
        <v>0</v>
      </c>
      <c r="Z391" s="24" t="s">
        <v>63</v>
      </c>
      <c r="AA391" s="24" t="s">
        <v>63</v>
      </c>
      <c r="AB391" s="24" t="s">
        <v>63</v>
      </c>
      <c r="AC391" s="24" t="s">
        <v>643</v>
      </c>
    </row>
    <row r="392" spans="1:29">
      <c r="A392" s="24" t="s">
        <v>54</v>
      </c>
      <c r="B392" s="24" t="s">
        <v>968</v>
      </c>
      <c r="C392" s="24" t="s">
        <v>1283</v>
      </c>
      <c r="D392" s="24" t="s">
        <v>63</v>
      </c>
      <c r="E392" s="24" t="s">
        <v>58</v>
      </c>
      <c r="F392" s="24" t="s">
        <v>1287</v>
      </c>
      <c r="G392" s="24" t="s">
        <v>1288</v>
      </c>
      <c r="H392" s="27" t="s">
        <v>1289</v>
      </c>
      <c r="I392" s="25">
        <v>0</v>
      </c>
      <c r="J392" s="25">
        <v>0</v>
      </c>
      <c r="K392" s="25">
        <v>0</v>
      </c>
      <c r="L392" s="25">
        <v>0</v>
      </c>
      <c r="M392" s="26">
        <f>I392-J392</f>
        <v>0.0</v>
      </c>
      <c r="N392" s="26">
        <f>J392-K392</f>
        <v>0.0</v>
      </c>
      <c r="O392" s="26">
        <f>I392-L392</f>
        <v>0.0</v>
      </c>
      <c r="P392" s="28">
        <f>IF(I392&gt;0,L392/I392,0)</f>
        <v>0</v>
      </c>
      <c r="Q392" s="28">
        <f>IF(I392&gt;0,K392/I392,0)</f>
        <v>0</v>
      </c>
      <c r="R392" s="24" t="str">
        <f>IF(I392&lt;=0,"Sin PIM",IF(L392/I392&gt;=Config!$B$5,"Ejecutado",IF(K392/I392&gt;=Config!$B$6,"Mayormente comprometido",IF(K392&gt;0.005,"Parcialmente comprometido",IF(J392&gt;0.005,"Solo certificado","Sin certificar")))))</f>
        <v>Sin PIM</v>
      </c>
      <c r="S392" s="24" t="str">
        <f>IF(R392="Sin certificar","Disponible",IF(R392="Solo certificado","Posible",IF(R392="Parcialmente comprometido","Parcial",IF(R392="Mayormente comprometido","Difícil",IF(R392="Ejecutado","No usar","Sin PIM")))))</f>
        <v>Sin PIM</v>
      </c>
      <c r="T392" s="26">
        <f>IF(OR(I392&lt;=0,R392="Ejecutado"),0,MAX(0,I392-K392))</f>
        <v>0.0</v>
      </c>
      <c r="U392" s="24" t="s">
        <v>232</v>
      </c>
      <c r="V392" s="25">
        <v>87917</v>
      </c>
      <c r="W392" s="25">
        <v>0</v>
      </c>
      <c r="X392" s="25">
        <v>0</v>
      </c>
      <c r="Y392" s="25">
        <v>0</v>
      </c>
      <c r="Z392" s="24" t="s">
        <v>63</v>
      </c>
      <c r="AA392" s="24" t="s">
        <v>63</v>
      </c>
      <c r="AB392" s="24" t="s">
        <v>63</v>
      </c>
      <c r="AC392" s="24" t="s">
        <v>643</v>
      </c>
    </row>
    <row r="393" spans="1:29">
      <c r="A393" s="24" t="s">
        <v>54</v>
      </c>
      <c r="B393" s="24" t="s">
        <v>968</v>
      </c>
      <c r="C393" s="24" t="s">
        <v>1283</v>
      </c>
      <c r="D393" s="24" t="s">
        <v>63</v>
      </c>
      <c r="E393" s="24" t="s">
        <v>58</v>
      </c>
      <c r="F393" s="24" t="s">
        <v>1290</v>
      </c>
      <c r="G393" s="24" t="s">
        <v>1291</v>
      </c>
      <c r="H393" s="27" t="s">
        <v>1292</v>
      </c>
      <c r="I393" s="25">
        <v>0</v>
      </c>
      <c r="J393" s="25">
        <v>0</v>
      </c>
      <c r="K393" s="25">
        <v>0</v>
      </c>
      <c r="L393" s="25">
        <v>0</v>
      </c>
      <c r="M393" s="26">
        <f>I393-J393</f>
        <v>0.0</v>
      </c>
      <c r="N393" s="26">
        <f>J393-K393</f>
        <v>0.0</v>
      </c>
      <c r="O393" s="26">
        <f>I393-L393</f>
        <v>0.0</v>
      </c>
      <c r="P393" s="28">
        <f>IF(I393&gt;0,L393/I393,0)</f>
        <v>0</v>
      </c>
      <c r="Q393" s="28">
        <f>IF(I393&gt;0,K393/I393,0)</f>
        <v>0</v>
      </c>
      <c r="R393" s="24" t="str">
        <f>IF(I393&lt;=0,"Sin PIM",IF(L393/I393&gt;=Config!$B$5,"Ejecutado",IF(K393/I393&gt;=Config!$B$6,"Mayormente comprometido",IF(K393&gt;0.005,"Parcialmente comprometido",IF(J393&gt;0.005,"Solo certificado","Sin certificar")))))</f>
        <v>Sin PIM</v>
      </c>
      <c r="S393" s="24" t="str">
        <f>IF(R393="Sin certificar","Disponible",IF(R393="Solo certificado","Posible",IF(R393="Parcialmente comprometido","Parcial",IF(R393="Mayormente comprometido","Difícil",IF(R393="Ejecutado","No usar","Sin PIM")))))</f>
        <v>Sin PIM</v>
      </c>
      <c r="T393" s="26">
        <f>IF(OR(I393&lt;=0,R393="Ejecutado"),0,MAX(0,I393-K393))</f>
        <v>0.0</v>
      </c>
      <c r="U393" s="24" t="s">
        <v>133</v>
      </c>
      <c r="V393" s="25">
        <v>276105</v>
      </c>
      <c r="W393" s="25">
        <v>0</v>
      </c>
      <c r="X393" s="25">
        <v>0</v>
      </c>
      <c r="Y393" s="25">
        <v>0</v>
      </c>
      <c r="Z393" s="24" t="s">
        <v>63</v>
      </c>
      <c r="AA393" s="24" t="s">
        <v>63</v>
      </c>
      <c r="AB393" s="24" t="s">
        <v>63</v>
      </c>
      <c r="AC393" s="24" t="s">
        <v>129</v>
      </c>
    </row>
    <row r="394" spans="1:29">
      <c r="A394" s="24" t="s">
        <v>54</v>
      </c>
      <c r="B394" s="24" t="s">
        <v>968</v>
      </c>
      <c r="C394" s="24" t="s">
        <v>1283</v>
      </c>
      <c r="D394" s="24" t="s">
        <v>63</v>
      </c>
      <c r="E394" s="24" t="s">
        <v>58</v>
      </c>
      <c r="F394" s="24" t="s">
        <v>1293</v>
      </c>
      <c r="G394" s="24" t="s">
        <v>1294</v>
      </c>
      <c r="H394" s="27" t="s">
        <v>1295</v>
      </c>
      <c r="I394" s="25">
        <v>0</v>
      </c>
      <c r="J394" s="25">
        <v>0</v>
      </c>
      <c r="K394" s="25">
        <v>0</v>
      </c>
      <c r="L394" s="25">
        <v>0</v>
      </c>
      <c r="M394" s="26">
        <f>I394-J394</f>
        <v>0.0</v>
      </c>
      <c r="N394" s="26">
        <f>J394-K394</f>
        <v>0.0</v>
      </c>
      <c r="O394" s="26">
        <f>I394-L394</f>
        <v>0.0</v>
      </c>
      <c r="P394" s="28">
        <f>IF(I394&gt;0,L394/I394,0)</f>
        <v>0</v>
      </c>
      <c r="Q394" s="28">
        <f>IF(I394&gt;0,K394/I394,0)</f>
        <v>0</v>
      </c>
      <c r="R394" s="24" t="str">
        <f>IF(I394&lt;=0,"Sin PIM",IF(L394/I394&gt;=Config!$B$5,"Ejecutado",IF(K394/I394&gt;=Config!$B$6,"Mayormente comprometido",IF(K394&gt;0.005,"Parcialmente comprometido",IF(J394&gt;0.005,"Solo certificado","Sin certificar")))))</f>
        <v>Sin PIM</v>
      </c>
      <c r="S394" s="24" t="str">
        <f>IF(R394="Sin certificar","Disponible",IF(R394="Solo certificado","Posible",IF(R394="Parcialmente comprometido","Parcial",IF(R394="Mayormente comprometido","Difícil",IF(R394="Ejecutado","No usar","Sin PIM")))))</f>
        <v>Sin PIM</v>
      </c>
      <c r="T394" s="26">
        <f>IF(OR(I394&lt;=0,R394="Ejecutado"),0,MAX(0,I394-K394))</f>
        <v>0.0</v>
      </c>
      <c r="U394" s="24" t="s">
        <v>232</v>
      </c>
      <c r="V394" s="25">
        <v>89896</v>
      </c>
      <c r="W394" s="25">
        <v>0</v>
      </c>
      <c r="X394" s="25">
        <v>0</v>
      </c>
      <c r="Y394" s="25">
        <v>0</v>
      </c>
      <c r="Z394" s="24" t="s">
        <v>63</v>
      </c>
      <c r="AA394" s="24" t="s">
        <v>63</v>
      </c>
      <c r="AB394" s="24" t="s">
        <v>63</v>
      </c>
      <c r="AC394" s="24" t="s">
        <v>129</v>
      </c>
    </row>
    <row r="395" spans="1:29">
      <c r="A395" s="24" t="s">
        <v>54</v>
      </c>
      <c r="B395" s="24" t="s">
        <v>968</v>
      </c>
      <c r="C395" s="24" t="s">
        <v>1283</v>
      </c>
      <c r="D395" s="24" t="s">
        <v>63</v>
      </c>
      <c r="E395" s="24" t="s">
        <v>58</v>
      </c>
      <c r="F395" s="24" t="s">
        <v>1296</v>
      </c>
      <c r="G395" s="24" t="s">
        <v>1297</v>
      </c>
      <c r="H395" s="27" t="s">
        <v>1298</v>
      </c>
      <c r="I395" s="25">
        <v>2390440</v>
      </c>
      <c r="J395" s="25">
        <v>2386020</v>
      </c>
      <c r="K395" s="25">
        <v>2386020</v>
      </c>
      <c r="L395" s="25">
        <v>824976.09</v>
      </c>
      <c r="M395" s="26">
        <f>I395-J395</f>
        <v>4420.0</v>
      </c>
      <c r="N395" s="26">
        <f>J395-K395</f>
        <v>0.0</v>
      </c>
      <c r="O395" s="26">
        <f>I395-L395</f>
        <v>1565463.9100000001</v>
      </c>
      <c r="P395" s="28">
        <f>IF(I395&gt;0,L395/I395,0)</f>
        <v>0.34511474456585395</v>
      </c>
      <c r="Q395" s="28">
        <f>IF(I395&gt;0,K395/I395,0)</f>
        <v>0.9981509680226235</v>
      </c>
      <c r="R395" s="24" t="str">
        <f>IF(I395&lt;=0,"Sin PIM",IF(L395/I395&gt;=Config!$B$5,"Ejecutado",IF(K395/I395&gt;=Config!$B$6,"Mayormente comprometido",IF(K395&gt;0.005,"Parcialmente comprometido",IF(J395&gt;0.005,"Solo certificado","Sin certificar")))))</f>
        <v>Mayormente comprometido</v>
      </c>
      <c r="S395" s="24" t="str">
        <f>IF(R395="Sin certificar","Disponible",IF(R395="Solo certificado","Posible",IF(R395="Parcialmente comprometido","Parcial",IF(R395="Mayormente comprometido","Difícil",IF(R395="Ejecutado","No usar","Sin PIM")))))</f>
        <v>Difícil</v>
      </c>
      <c r="T395" s="26">
        <f>IF(OR(I395&lt;=0,R395="Ejecutado"),0,MAX(0,I395-K395))</f>
        <v>4420.0</v>
      </c>
      <c r="U395" s="24" t="s">
        <v>275</v>
      </c>
      <c r="V395" s="25">
        <v>21175</v>
      </c>
      <c r="W395" s="25">
        <v>2971</v>
      </c>
      <c r="X395" s="25">
        <v>1</v>
      </c>
      <c r="Y395" s="25">
        <v>0</v>
      </c>
      <c r="Z395" s="24" t="s">
        <v>63</v>
      </c>
      <c r="AA395" s="24" t="s">
        <v>63</v>
      </c>
      <c r="AB395" s="24" t="s">
        <v>63</v>
      </c>
      <c r="AC395" s="24" t="s">
        <v>643</v>
      </c>
    </row>
    <row r="396" spans="1:29">
      <c r="A396" s="24" t="s">
        <v>54</v>
      </c>
      <c r="B396" s="24" t="s">
        <v>968</v>
      </c>
      <c r="C396" s="24" t="s">
        <v>1283</v>
      </c>
      <c r="D396" s="24" t="s">
        <v>63</v>
      </c>
      <c r="E396" s="24" t="s">
        <v>58</v>
      </c>
      <c r="F396" s="24" t="s">
        <v>1299</v>
      </c>
      <c r="G396" s="24" t="s">
        <v>1300</v>
      </c>
      <c r="H396" s="27" t="s">
        <v>1301</v>
      </c>
      <c r="I396" s="25">
        <v>20600</v>
      </c>
      <c r="J396" s="25">
        <v>20600</v>
      </c>
      <c r="K396" s="25">
        <v>20600</v>
      </c>
      <c r="L396" s="25">
        <v>17783.6</v>
      </c>
      <c r="M396" s="26">
        <f>I396-J396</f>
        <v>0.0</v>
      </c>
      <c r="N396" s="26">
        <f>J396-K396</f>
        <v>0.0</v>
      </c>
      <c r="O396" s="26">
        <f>I396-L396</f>
        <v>2816.4000000000015</v>
      </c>
      <c r="P396" s="28">
        <f>IF(I396&gt;0,L396/I396,0)</f>
        <v>0.8632815533980582</v>
      </c>
      <c r="Q396" s="28">
        <f>IF(I396&gt;0,K396/I396,0)</f>
        <v>1.0</v>
      </c>
      <c r="R396" s="24" t="str">
        <f>IF(I396&lt;=0,"Sin PIM",IF(L396/I396&gt;=Config!$B$5,"Ejecutado",IF(K396/I396&gt;=Config!$B$6,"Mayormente comprometido",IF(K396&gt;0.005,"Parcialmente comprometido",IF(J396&gt;0.005,"Solo certificado","Sin certificar")))))</f>
        <v>Mayormente comprometido</v>
      </c>
      <c r="S396" s="24" t="str">
        <f>IF(R396="Sin certificar","Disponible",IF(R396="Solo certificado","Posible",IF(R396="Parcialmente comprometido","Parcial",IF(R396="Mayormente comprometido","Difícil",IF(R396="Ejecutado","No usar","Sin PIM")))))</f>
        <v>Difícil</v>
      </c>
      <c r="T396" s="26">
        <f>IF(OR(I396&lt;=0,R396="Ejecutado"),0,MAX(0,I396-K396))</f>
        <v>0.0</v>
      </c>
      <c r="U396" s="24" t="s">
        <v>105</v>
      </c>
      <c r="V396" s="25">
        <v>40062</v>
      </c>
      <c r="W396" s="25">
        <v>0</v>
      </c>
      <c r="X396" s="25">
        <v>0</v>
      </c>
      <c r="Y396" s="25">
        <v>0</v>
      </c>
      <c r="Z396" s="24" t="s">
        <v>63</v>
      </c>
      <c r="AA396" s="24" t="s">
        <v>63</v>
      </c>
      <c r="AB396" s="24" t="s">
        <v>63</v>
      </c>
      <c r="AC396" s="24" t="s">
        <v>643</v>
      </c>
    </row>
    <row r="397" spans="1:29">
      <c r="A397" s="24" t="s">
        <v>54</v>
      </c>
      <c r="B397" s="24" t="s">
        <v>968</v>
      </c>
      <c r="C397" s="24" t="s">
        <v>1283</v>
      </c>
      <c r="D397" s="24" t="s">
        <v>63</v>
      </c>
      <c r="E397" s="24" t="s">
        <v>58</v>
      </c>
      <c r="F397" s="24" t="s">
        <v>1302</v>
      </c>
      <c r="G397" s="24" t="s">
        <v>1303</v>
      </c>
      <c r="H397" s="27" t="s">
        <v>1304</v>
      </c>
      <c r="I397" s="25">
        <v>3517960</v>
      </c>
      <c r="J397" s="25">
        <v>3461030.1</v>
      </c>
      <c r="K397" s="25">
        <v>2232677.1</v>
      </c>
      <c r="L397" s="25">
        <v>2179648.510000001</v>
      </c>
      <c r="M397" s="26">
        <f>I397-J397</f>
        <v>56929.89999999991</v>
      </c>
      <c r="N397" s="26">
        <f>J397-K397</f>
        <v>1228353.0</v>
      </c>
      <c r="O397" s="26">
        <f>I397-L397</f>
        <v>1338311.4899999993</v>
      </c>
      <c r="P397" s="28">
        <f>IF(I397&gt;0,L397/I397,0)</f>
        <v>0.6195773999704376</v>
      </c>
      <c r="Q397" s="28">
        <f>IF(I397&gt;0,K397/I397,0)</f>
        <v>0.634651076191884</v>
      </c>
      <c r="R397" s="24" t="str">
        <f>IF(I397&lt;=0,"Sin PIM",IF(L397/I397&gt;=Config!$B$5,"Ejecutado",IF(K397/I397&gt;=Config!$B$6,"Mayormente comprometido",IF(K397&gt;0.005,"Parcialmente comprometido",IF(J397&gt;0.005,"Solo certificado","Sin certificar")))))</f>
        <v>Mayormente comprometido</v>
      </c>
      <c r="S397" s="24" t="str">
        <f>IF(R397="Sin certificar","Disponible",IF(R397="Solo certificado","Posible",IF(R397="Parcialmente comprometido","Parcial",IF(R397="Mayormente comprometido","Difícil",IF(R397="Ejecutado","No usar","Sin PIM")))))</f>
        <v>Difícil</v>
      </c>
      <c r="T397" s="26">
        <f>IF(OR(I397&lt;=0,R397="Ejecutado"),0,MAX(0,I397-K397))</f>
        <v>1285282.9</v>
      </c>
      <c r="U397" s="24" t="s">
        <v>275</v>
      </c>
      <c r="V397" s="25">
        <v>2000000</v>
      </c>
      <c r="W397" s="25">
        <v>64020</v>
      </c>
      <c r="X397" s="25">
        <v>1401972</v>
      </c>
      <c r="Y397" s="25">
        <v>495265</v>
      </c>
      <c r="Z397" s="24" t="s">
        <v>63</v>
      </c>
      <c r="AA397" s="24" t="s">
        <v>63</v>
      </c>
      <c r="AB397" s="24" t="s">
        <v>63</v>
      </c>
      <c r="AC397" s="24" t="s">
        <v>643</v>
      </c>
    </row>
    <row r="398" spans="1:29">
      <c r="A398" s="24" t="s">
        <v>54</v>
      </c>
      <c r="B398" s="24" t="s">
        <v>968</v>
      </c>
      <c r="C398" s="24" t="s">
        <v>1283</v>
      </c>
      <c r="D398" s="24" t="s">
        <v>63</v>
      </c>
      <c r="E398" s="24" t="s">
        <v>58</v>
      </c>
      <c r="F398" s="24" t="s">
        <v>1305</v>
      </c>
      <c r="G398" s="24" t="s">
        <v>1306</v>
      </c>
      <c r="H398" s="27" t="s">
        <v>1307</v>
      </c>
      <c r="I398" s="25">
        <v>2170829</v>
      </c>
      <c r="J398" s="25">
        <v>2170829</v>
      </c>
      <c r="K398" s="25">
        <v>150829</v>
      </c>
      <c r="L398" s="25">
        <v>147448.3</v>
      </c>
      <c r="M398" s="26">
        <f>I398-J398</f>
        <v>0.0</v>
      </c>
      <c r="N398" s="26">
        <f>J398-K398</f>
        <v>2020000.0</v>
      </c>
      <c r="O398" s="26">
        <f>I398-L398</f>
        <v>2023380.7</v>
      </c>
      <c r="P398" s="28">
        <f>IF(I398&gt;0,L398/I398,0)</f>
        <v>0.06792257704314802</v>
      </c>
      <c r="Q398" s="28">
        <f>IF(I398&gt;0,K398/I398,0)</f>
        <v>0.06947990836680365</v>
      </c>
      <c r="R398" s="24" t="str">
        <f>IF(I398&lt;=0,"Sin PIM",IF(L398/I398&gt;=Config!$B$5,"Ejecutado",IF(K398/I398&gt;=Config!$B$6,"Mayormente comprometido",IF(K398&gt;0.005,"Parcialmente comprometido",IF(J398&gt;0.005,"Solo certificado","Sin certificar")))))</f>
        <v>Parcialmente comprometido</v>
      </c>
      <c r="S398" s="24" t="str">
        <f>IF(R398="Sin certificar","Disponible",IF(R398="Solo certificado","Posible",IF(R398="Parcialmente comprometido","Parcial",IF(R398="Mayormente comprometido","Difícil",IF(R398="Ejecutado","No usar","Sin PIM")))))</f>
        <v>Parcial</v>
      </c>
      <c r="T398" s="26">
        <f>IF(OR(I398&lt;=0,R398="Ejecutado"),0,MAX(0,I398-K398))</f>
        <v>2020000.0</v>
      </c>
      <c r="U398" s="24" t="s">
        <v>976</v>
      </c>
      <c r="V398" s="25">
        <v>2421000</v>
      </c>
      <c r="W398" s="25">
        <v>2508625</v>
      </c>
      <c r="X398" s="25">
        <v>546908</v>
      </c>
      <c r="Y398" s="25">
        <v>170650</v>
      </c>
      <c r="Z398" s="24" t="s">
        <v>63</v>
      </c>
      <c r="AA398" s="24" t="s">
        <v>63</v>
      </c>
      <c r="AB398" s="24" t="s">
        <v>63</v>
      </c>
      <c r="AC398" s="24" t="s">
        <v>643</v>
      </c>
    </row>
    <row r="399" spans="1:29">
      <c r="A399" s="24" t="s">
        <v>54</v>
      </c>
      <c r="B399" s="24" t="s">
        <v>968</v>
      </c>
      <c r="C399" s="24" t="s">
        <v>1283</v>
      </c>
      <c r="D399" s="24" t="s">
        <v>63</v>
      </c>
      <c r="E399" s="24" t="s">
        <v>58</v>
      </c>
      <c r="F399" s="24" t="s">
        <v>1308</v>
      </c>
      <c r="G399" s="24" t="s">
        <v>1309</v>
      </c>
      <c r="H399" s="27" t="s">
        <v>1310</v>
      </c>
      <c r="I399" s="25">
        <v>31336</v>
      </c>
      <c r="J399" s="25">
        <v>0</v>
      </c>
      <c r="K399" s="25">
        <v>0</v>
      </c>
      <c r="L399" s="25">
        <v>0</v>
      </c>
      <c r="M399" s="26">
        <f>I399-J399</f>
        <v>31336.0</v>
      </c>
      <c r="N399" s="26">
        <f>J399-K399</f>
        <v>0.0</v>
      </c>
      <c r="O399" s="26">
        <f>I399-L399</f>
        <v>31336.0</v>
      </c>
      <c r="P399" s="28">
        <f>IF(I399&gt;0,L399/I399,0)</f>
        <v>0.0</v>
      </c>
      <c r="Q399" s="28">
        <f>IF(I399&gt;0,K399/I399,0)</f>
        <v>0.0</v>
      </c>
      <c r="R399" s="24" t="str">
        <f>IF(I399&lt;=0,"Sin PIM",IF(L399/I399&gt;=Config!$B$5,"Ejecutado",IF(K399/I399&gt;=Config!$B$6,"Mayormente comprometido",IF(K399&gt;0.005,"Parcialmente comprometido",IF(J399&gt;0.005,"Solo certificado","Sin certificar")))))</f>
        <v>Sin certificar</v>
      </c>
      <c r="S399" s="24" t="str">
        <f>IF(R399="Sin certificar","Disponible",IF(R399="Solo certificado","Posible",IF(R399="Parcialmente comprometido","Parcial",IF(R399="Mayormente comprometido","Difícil",IF(R399="Ejecutado","No usar","Sin PIM")))))</f>
        <v>Disponible</v>
      </c>
      <c r="T399" s="26">
        <f>IF(OR(I399&lt;=0,R399="Ejecutado"),0,MAX(0,I399-K399))</f>
        <v>31336.0</v>
      </c>
      <c r="U399" s="24" t="s">
        <v>105</v>
      </c>
      <c r="V399" s="25">
        <v>513444</v>
      </c>
      <c r="W399" s="25">
        <v>0</v>
      </c>
      <c r="X399" s="25">
        <v>0</v>
      </c>
      <c r="Y399" s="25">
        <v>0</v>
      </c>
      <c r="Z399" s="24" t="s">
        <v>63</v>
      </c>
      <c r="AA399" s="24" t="s">
        <v>63</v>
      </c>
      <c r="AB399" s="24" t="s">
        <v>63</v>
      </c>
      <c r="AC399" s="24" t="s">
        <v>643</v>
      </c>
    </row>
    <row r="400" spans="1:29">
      <c r="A400" s="24" t="s">
        <v>54</v>
      </c>
      <c r="B400" s="24" t="s">
        <v>968</v>
      </c>
      <c r="C400" s="24" t="s">
        <v>1283</v>
      </c>
      <c r="D400" s="24" t="s">
        <v>63</v>
      </c>
      <c r="E400" s="24" t="s">
        <v>58</v>
      </c>
      <c r="F400" s="24" t="s">
        <v>1311</v>
      </c>
      <c r="G400" s="24" t="s">
        <v>1312</v>
      </c>
      <c r="H400" s="27" t="s">
        <v>1313</v>
      </c>
      <c r="I400" s="25">
        <v>1263865</v>
      </c>
      <c r="J400" s="25">
        <v>1181167.94</v>
      </c>
      <c r="K400" s="25">
        <v>153969.11</v>
      </c>
      <c r="L400" s="25">
        <v>146441.28</v>
      </c>
      <c r="M400" s="26">
        <f>I400-J400</f>
        <v>82697.05999999982</v>
      </c>
      <c r="N400" s="26">
        <f>J400-K400</f>
        <v>1027198.8300000002</v>
      </c>
      <c r="O400" s="26">
        <f>I400-L400</f>
        <v>1117423.72</v>
      </c>
      <c r="P400" s="28">
        <f>IF(I400&gt;0,L400/I400,0)</f>
        <v>0.11586781816095867</v>
      </c>
      <c r="Q400" s="28">
        <f>IF(I400&gt;0,K400/I400,0)</f>
        <v>0.12182401601436861</v>
      </c>
      <c r="R400" s="24" t="str">
        <f>IF(I400&lt;=0,"Sin PIM",IF(L400/I400&gt;=Config!$B$5,"Ejecutado",IF(K400/I400&gt;=Config!$B$6,"Mayormente comprometido",IF(K400&gt;0.005,"Parcialmente comprometido",IF(J400&gt;0.005,"Solo certificado","Sin certificar")))))</f>
        <v>Parcialmente comprometido</v>
      </c>
      <c r="S400" s="24" t="str">
        <f>IF(R400="Sin certificar","Disponible",IF(R400="Solo certificado","Posible",IF(R400="Parcialmente comprometido","Parcial",IF(R400="Mayormente comprometido","Difícil",IF(R400="Ejecutado","No usar","Sin PIM")))))</f>
        <v>Parcial</v>
      </c>
      <c r="T400" s="26">
        <f>IF(OR(I400&lt;=0,R400="Ejecutado"),0,MAX(0,I400-K400))</f>
        <v>1109895.8900000001</v>
      </c>
      <c r="U400" s="24" t="s">
        <v>275</v>
      </c>
      <c r="V400" s="25">
        <v>894000</v>
      </c>
      <c r="W400" s="25">
        <v>0</v>
      </c>
      <c r="X400" s="25">
        <v>825648</v>
      </c>
      <c r="Y400" s="25">
        <v>825648</v>
      </c>
      <c r="Z400" s="24" t="s">
        <v>63</v>
      </c>
      <c r="AA400" s="24" t="s">
        <v>63</v>
      </c>
      <c r="AB400" s="24" t="s">
        <v>63</v>
      </c>
      <c r="AC400" s="24" t="s">
        <v>643</v>
      </c>
    </row>
    <row r="401" spans="1:29">
      <c r="A401" s="24" t="s">
        <v>54</v>
      </c>
      <c r="B401" s="24" t="s">
        <v>968</v>
      </c>
      <c r="C401" s="24" t="s">
        <v>1283</v>
      </c>
      <c r="D401" s="24" t="s">
        <v>63</v>
      </c>
      <c r="E401" s="24" t="s">
        <v>58</v>
      </c>
      <c r="F401" s="24" t="s">
        <v>1314</v>
      </c>
      <c r="G401" s="24" t="s">
        <v>1315</v>
      </c>
      <c r="H401" s="27" t="s">
        <v>1316</v>
      </c>
      <c r="I401" s="25">
        <v>8483998</v>
      </c>
      <c r="J401" s="25">
        <v>8474782.309999999</v>
      </c>
      <c r="K401" s="25">
        <v>5324755.310000001</v>
      </c>
      <c r="L401" s="25">
        <v>5322446.09</v>
      </c>
      <c r="M401" s="26">
        <f>I401-J401</f>
        <v>9215.690000001341</v>
      </c>
      <c r="N401" s="26">
        <f>J401-K401</f>
        <v>3150026.999999998</v>
      </c>
      <c r="O401" s="26">
        <f>I401-L401</f>
        <v>3161551.91</v>
      </c>
      <c r="P401" s="28">
        <f>IF(I401&gt;0,L401/I401,0)</f>
        <v>0.627351172171422</v>
      </c>
      <c r="Q401" s="28">
        <f>IF(I401&gt;0,K401/I401,0)</f>
        <v>0.627623357525544</v>
      </c>
      <c r="R401" s="24" t="str">
        <f>IF(I401&lt;=0,"Sin PIM",IF(L401/I401&gt;=Config!$B$5,"Ejecutado",IF(K401/I401&gt;=Config!$B$6,"Mayormente comprometido",IF(K401&gt;0.005,"Parcialmente comprometido",IF(J401&gt;0.005,"Solo certificado","Sin certificar")))))</f>
        <v>Mayormente comprometido</v>
      </c>
      <c r="S401" s="24" t="str">
        <f>IF(R401="Sin certificar","Disponible",IF(R401="Solo certificado","Posible",IF(R401="Parcialmente comprometido","Parcial",IF(R401="Mayormente comprometido","Difícil",IF(R401="Ejecutado","No usar","Sin PIM")))))</f>
        <v>Difícil</v>
      </c>
      <c r="T401" s="26">
        <f>IF(OR(I401&lt;=0,R401="Ejecutado"),0,MAX(0,I401-K401))</f>
        <v>3159242.6899999995</v>
      </c>
      <c r="U401" s="24" t="s">
        <v>275</v>
      </c>
      <c r="V401" s="25">
        <v>2578971</v>
      </c>
      <c r="W401" s="25">
        <v>22487</v>
      </c>
      <c r="X401" s="25">
        <v>500000</v>
      </c>
      <c r="Y401" s="25">
        <v>500000</v>
      </c>
      <c r="Z401" s="24" t="s">
        <v>63</v>
      </c>
      <c r="AA401" s="24" t="s">
        <v>63</v>
      </c>
      <c r="AB401" s="24" t="s">
        <v>63</v>
      </c>
      <c r="AC401" s="24" t="s">
        <v>643</v>
      </c>
    </row>
    <row r="402" spans="1:29">
      <c r="A402" s="24" t="s">
        <v>54</v>
      </c>
      <c r="B402" s="24" t="s">
        <v>968</v>
      </c>
      <c r="C402" s="24" t="s">
        <v>1283</v>
      </c>
      <c r="D402" s="24" t="s">
        <v>63</v>
      </c>
      <c r="E402" s="24" t="s">
        <v>58</v>
      </c>
      <c r="F402" s="24" t="s">
        <v>1317</v>
      </c>
      <c r="G402" s="24" t="s">
        <v>1318</v>
      </c>
      <c r="H402" s="27" t="s">
        <v>1319</v>
      </c>
      <c r="I402" s="25">
        <v>4219373</v>
      </c>
      <c r="J402" s="25">
        <v>4183621.03</v>
      </c>
      <c r="K402" s="25">
        <v>3856814.5</v>
      </c>
      <c r="L402" s="25">
        <v>3829328.080000001</v>
      </c>
      <c r="M402" s="26">
        <f>I402-J402</f>
        <v>35751.96999999974</v>
      </c>
      <c r="N402" s="26">
        <f>J402-K402</f>
        <v>326806.53000000026</v>
      </c>
      <c r="O402" s="26">
        <f>I402-L402</f>
        <v>390044.91999999946</v>
      </c>
      <c r="P402" s="28">
        <f>IF(I402&gt;0,L402/I402,0)</f>
        <v>0.9075585590560494</v>
      </c>
      <c r="Q402" s="28">
        <f>IF(I402&gt;0,K402/I402,0)</f>
        <v>0.914072896612838</v>
      </c>
      <c r="R402" s="24" t="str">
        <f>IF(I402&lt;=0,"Sin PIM",IF(L402/I402&gt;=Config!$B$5,"Ejecutado",IF(K402/I402&gt;=Config!$B$6,"Mayormente comprometido",IF(K402&gt;0.005,"Parcialmente comprometido",IF(J402&gt;0.005,"Solo certificado","Sin certificar")))))</f>
        <v>Ejecutado</v>
      </c>
      <c r="S402" s="24" t="str">
        <f>IF(R402="Sin certificar","Disponible",IF(R402="Solo certificado","Posible",IF(R402="Parcialmente comprometido","Parcial",IF(R402="Mayormente comprometido","Difícil",IF(R402="Ejecutado","No usar","Sin PIM")))))</f>
        <v>No usar</v>
      </c>
      <c r="T402" s="26">
        <f>IF(OR(I402&lt;=0,R402="Ejecutado"),0,MAX(0,I402-K402))</f>
        <v>0.0</v>
      </c>
      <c r="U402" s="24" t="s">
        <v>976</v>
      </c>
      <c r="V402" s="25">
        <v>3305500</v>
      </c>
      <c r="W402" s="25">
        <v>177809</v>
      </c>
      <c r="X402" s="25">
        <v>150483</v>
      </c>
      <c r="Y402" s="25">
        <v>0</v>
      </c>
      <c r="Z402" s="24" t="s">
        <v>63</v>
      </c>
      <c r="AA402" s="24" t="s">
        <v>63</v>
      </c>
      <c r="AB402" s="24" t="s">
        <v>63</v>
      </c>
      <c r="AC402" s="24" t="s">
        <v>643</v>
      </c>
    </row>
    <row r="403" spans="1:29">
      <c r="A403" s="24" t="s">
        <v>54</v>
      </c>
      <c r="B403" s="24" t="s">
        <v>968</v>
      </c>
      <c r="C403" s="24" t="s">
        <v>1283</v>
      </c>
      <c r="D403" s="24" t="s">
        <v>63</v>
      </c>
      <c r="E403" s="24" t="s">
        <v>58</v>
      </c>
      <c r="F403" s="24" t="s">
        <v>1320</v>
      </c>
      <c r="G403" s="24" t="s">
        <v>1321</v>
      </c>
      <c r="H403" s="27" t="s">
        <v>1322</v>
      </c>
      <c r="I403" s="25">
        <v>13926334</v>
      </c>
      <c r="J403" s="25">
        <v>13763618.01</v>
      </c>
      <c r="K403" s="25">
        <v>242796</v>
      </c>
      <c r="L403" s="25">
        <v>182925.48</v>
      </c>
      <c r="M403" s="26">
        <f>I403-J403</f>
        <v>162715.99000000022</v>
      </c>
      <c r="N403" s="26">
        <f>J403-K403</f>
        <v>13520822.01</v>
      </c>
      <c r="O403" s="26">
        <f>I403-L403</f>
        <v>13743408.52</v>
      </c>
      <c r="P403" s="28">
        <f>IF(I403&gt;0,L403/I403,0)</f>
        <v>0.013135221372688605</v>
      </c>
      <c r="Q403" s="28">
        <f>IF(I403&gt;0,K403/I403,0)</f>
        <v>0.017434308268062505</v>
      </c>
      <c r="R403" s="24" t="str">
        <f>IF(I403&lt;=0,"Sin PIM",IF(L403/I403&gt;=Config!$B$5,"Ejecutado",IF(K403/I403&gt;=Config!$B$6,"Mayormente comprometido",IF(K403&gt;0.005,"Parcialmente comprometido",IF(J403&gt;0.005,"Solo certificado","Sin certificar")))))</f>
        <v>Parcialmente comprometido</v>
      </c>
      <c r="S403" s="24" t="str">
        <f>IF(R403="Sin certificar","Disponible",IF(R403="Solo certificado","Posible",IF(R403="Parcialmente comprometido","Parcial",IF(R403="Mayormente comprometido","Difícil",IF(R403="Ejecutado","No usar","Sin PIM")))))</f>
        <v>Parcial</v>
      </c>
      <c r="T403" s="26">
        <f>IF(OR(I403&lt;=0,R403="Ejecutado"),0,MAX(0,I403-K403))</f>
        <v>13683538.0</v>
      </c>
      <c r="U403" s="24" t="s">
        <v>275</v>
      </c>
      <c r="V403" s="25">
        <v>923830</v>
      </c>
      <c r="W403" s="25">
        <v>1124828</v>
      </c>
      <c r="X403" s="25">
        <v>450000</v>
      </c>
      <c r="Y403" s="25">
        <v>450000</v>
      </c>
      <c r="Z403" s="24" t="s">
        <v>63</v>
      </c>
      <c r="AA403" s="24" t="s">
        <v>63</v>
      </c>
      <c r="AB403" s="24" t="s">
        <v>63</v>
      </c>
      <c r="AC403" s="24" t="s">
        <v>643</v>
      </c>
    </row>
    <row r="404" spans="1:29">
      <c r="A404" s="24" t="s">
        <v>54</v>
      </c>
      <c r="B404" s="24" t="s">
        <v>968</v>
      </c>
      <c r="C404" s="24" t="s">
        <v>1283</v>
      </c>
      <c r="D404" s="24" t="s">
        <v>63</v>
      </c>
      <c r="E404" s="24" t="s">
        <v>58</v>
      </c>
      <c r="F404" s="24" t="s">
        <v>1323</v>
      </c>
      <c r="G404" s="24" t="s">
        <v>1324</v>
      </c>
      <c r="H404" s="27" t="s">
        <v>1325</v>
      </c>
      <c r="I404" s="25">
        <v>1175365</v>
      </c>
      <c r="J404" s="25">
        <v>285679.94</v>
      </c>
      <c r="K404" s="25">
        <v>282859.94</v>
      </c>
      <c r="L404" s="25">
        <v>278011.28</v>
      </c>
      <c r="M404" s="26">
        <f>I404-J404</f>
        <v>889685.06</v>
      </c>
      <c r="N404" s="26">
        <f>J404-K404</f>
        <v>2820.0</v>
      </c>
      <c r="O404" s="26">
        <f>I404-L404</f>
        <v>897353.72</v>
      </c>
      <c r="P404" s="28">
        <f>IF(I404&gt;0,L404/I404,0)</f>
        <v>0.23653186882372707</v>
      </c>
      <c r="Q404" s="28">
        <f>IF(I404&gt;0,K404/I404,0)</f>
        <v>0.24065710651584826</v>
      </c>
      <c r="R404" s="24" t="str">
        <f>IF(I404&lt;=0,"Sin PIM",IF(L404/I404&gt;=Config!$B$5,"Ejecutado",IF(K404/I404&gt;=Config!$B$6,"Mayormente comprometido",IF(K404&gt;0.005,"Parcialmente comprometido",IF(J404&gt;0.005,"Solo certificado","Sin certificar")))))</f>
        <v>Parcialmente comprometido</v>
      </c>
      <c r="S404" s="24" t="str">
        <f>IF(R404="Sin certificar","Disponible",IF(R404="Solo certificado","Posible",IF(R404="Parcialmente comprometido","Parcial",IF(R404="Mayormente comprometido","Difícil",IF(R404="Ejecutado","No usar","Sin PIM")))))</f>
        <v>Parcial</v>
      </c>
      <c r="T404" s="26">
        <f>IF(OR(I404&lt;=0,R404="Ejecutado"),0,MAX(0,I404-K404))</f>
        <v>892505.06</v>
      </c>
      <c r="U404" s="24" t="s">
        <v>275</v>
      </c>
      <c r="V404" s="25">
        <v>300000</v>
      </c>
      <c r="W404" s="25">
        <v>163232</v>
      </c>
      <c r="X404" s="25">
        <v>0</v>
      </c>
      <c r="Y404" s="25">
        <v>0</v>
      </c>
      <c r="Z404" s="24" t="s">
        <v>63</v>
      </c>
      <c r="AA404" s="24" t="s">
        <v>63</v>
      </c>
      <c r="AB404" s="24" t="s">
        <v>63</v>
      </c>
      <c r="AC404" s="24" t="s">
        <v>643</v>
      </c>
    </row>
    <row r="405" spans="1:29">
      <c r="A405" s="24" t="s">
        <v>54</v>
      </c>
      <c r="B405" s="24" t="s">
        <v>968</v>
      </c>
      <c r="C405" s="24" t="s">
        <v>1283</v>
      </c>
      <c r="D405" s="24" t="s">
        <v>63</v>
      </c>
      <c r="E405" s="24" t="s">
        <v>58</v>
      </c>
      <c r="F405" s="24" t="s">
        <v>1326</v>
      </c>
      <c r="G405" s="24" t="s">
        <v>1327</v>
      </c>
      <c r="H405" s="27" t="s">
        <v>1328</v>
      </c>
      <c r="I405" s="25">
        <v>392605</v>
      </c>
      <c r="J405" s="25">
        <v>337020.28</v>
      </c>
      <c r="K405" s="25">
        <v>313706.07</v>
      </c>
      <c r="L405" s="25">
        <v>298073.85</v>
      </c>
      <c r="M405" s="26">
        <f>I405-J405</f>
        <v>55584.72000000003</v>
      </c>
      <c r="N405" s="26">
        <f>J405-K405</f>
        <v>23314.209999999963</v>
      </c>
      <c r="O405" s="26">
        <f>I405-L405</f>
        <v>94531.15000000002</v>
      </c>
      <c r="P405" s="28">
        <f>IF(I405&gt;0,L405/I405,0)</f>
        <v>0.7592207180244774</v>
      </c>
      <c r="Q405" s="28">
        <f>IF(I405&gt;0,K405/I405,0)</f>
        <v>0.7990373785356784</v>
      </c>
      <c r="R405" s="24" t="str">
        <f>IF(I405&lt;=0,"Sin PIM",IF(L405/I405&gt;=Config!$B$5,"Ejecutado",IF(K405/I405&gt;=Config!$B$6,"Mayormente comprometido",IF(K405&gt;0.005,"Parcialmente comprometido",IF(J405&gt;0.005,"Solo certificado","Sin certificar")))))</f>
        <v>Mayormente comprometido</v>
      </c>
      <c r="S405" s="24" t="str">
        <f>IF(R405="Sin certificar","Disponible",IF(R405="Solo certificado","Posible",IF(R405="Parcialmente comprometido","Parcial",IF(R405="Mayormente comprometido","Difícil",IF(R405="Ejecutado","No usar","Sin PIM")))))</f>
        <v>Difícil</v>
      </c>
      <c r="T405" s="26">
        <f>IF(OR(I405&lt;=0,R405="Ejecutado"),0,MAX(0,I405-K405))</f>
        <v>78898.93</v>
      </c>
      <c r="U405" s="24" t="s">
        <v>1329</v>
      </c>
      <c r="V405" s="25">
        <v>587684</v>
      </c>
      <c r="W405" s="25">
        <v>31681</v>
      </c>
      <c r="X405" s="25">
        <v>755677</v>
      </c>
      <c r="Y405" s="25">
        <v>0</v>
      </c>
      <c r="Z405" s="24" t="s">
        <v>63</v>
      </c>
      <c r="AA405" s="24" t="s">
        <v>63</v>
      </c>
      <c r="AB405" s="24" t="s">
        <v>63</v>
      </c>
      <c r="AC405" s="24" t="s">
        <v>643</v>
      </c>
    </row>
    <row r="406" spans="1:29">
      <c r="A406" s="24" t="s">
        <v>54</v>
      </c>
      <c r="B406" s="24" t="s">
        <v>968</v>
      </c>
      <c r="C406" s="24" t="s">
        <v>1283</v>
      </c>
      <c r="D406" s="24" t="s">
        <v>63</v>
      </c>
      <c r="E406" s="24" t="s">
        <v>58</v>
      </c>
      <c r="F406" s="24" t="s">
        <v>1330</v>
      </c>
      <c r="G406" s="24" t="s">
        <v>1331</v>
      </c>
      <c r="H406" s="27" t="s">
        <v>1332</v>
      </c>
      <c r="I406" s="25">
        <v>167074</v>
      </c>
      <c r="J406" s="25">
        <v>63765.14</v>
      </c>
      <c r="K406" s="25">
        <v>63765.14</v>
      </c>
      <c r="L406" s="25">
        <v>62264.09000000001</v>
      </c>
      <c r="M406" s="26">
        <f>I406-J406</f>
        <v>103308.86</v>
      </c>
      <c r="N406" s="26">
        <f>J406-K406</f>
        <v>0.0</v>
      </c>
      <c r="O406" s="26">
        <f>I406-L406</f>
        <v>104809.90999999999</v>
      </c>
      <c r="P406" s="28">
        <f>IF(I406&gt;0,L406/I406,0)</f>
        <v>0.3726737254150856</v>
      </c>
      <c r="Q406" s="28">
        <f>IF(I406&gt;0,K406/I406,0)</f>
        <v>0.38165806768258376</v>
      </c>
      <c r="R406" s="24" t="str">
        <f>IF(I406&lt;=0,"Sin PIM",IF(L406/I406&gt;=Config!$B$5,"Ejecutado",IF(K406/I406&gt;=Config!$B$6,"Mayormente comprometido",IF(K406&gt;0.005,"Parcialmente comprometido",IF(J406&gt;0.005,"Solo certificado","Sin certificar")))))</f>
        <v>Parcialmente comprometido</v>
      </c>
      <c r="S406" s="24" t="str">
        <f>IF(R406="Sin certificar","Disponible",IF(R406="Solo certificado","Posible",IF(R406="Parcialmente comprometido","Parcial",IF(R406="Mayormente comprometido","Difícil",IF(R406="Ejecutado","No usar","Sin PIM")))))</f>
        <v>Parcial</v>
      </c>
      <c r="T406" s="26">
        <f>IF(OR(I406&lt;=0,R406="Ejecutado"),0,MAX(0,I406-K406))</f>
        <v>103308.86</v>
      </c>
      <c r="U406" s="24" t="s">
        <v>1329</v>
      </c>
      <c r="V406" s="25">
        <v>295210</v>
      </c>
      <c r="W406" s="25">
        <v>0</v>
      </c>
      <c r="X406" s="25">
        <v>1200001</v>
      </c>
      <c r="Y406" s="25">
        <v>1200001</v>
      </c>
      <c r="Z406" s="24" t="s">
        <v>63</v>
      </c>
      <c r="AA406" s="24" t="s">
        <v>63</v>
      </c>
      <c r="AB406" s="24" t="s">
        <v>63</v>
      </c>
      <c r="AC406" s="24" t="s">
        <v>643</v>
      </c>
    </row>
    <row r="407" spans="1:29">
      <c r="A407" s="24" t="s">
        <v>54</v>
      </c>
      <c r="B407" s="24" t="s">
        <v>968</v>
      </c>
      <c r="C407" s="24" t="s">
        <v>1283</v>
      </c>
      <c r="D407" s="24" t="s">
        <v>63</v>
      </c>
      <c r="E407" s="24" t="s">
        <v>58</v>
      </c>
      <c r="F407" s="24" t="s">
        <v>1333</v>
      </c>
      <c r="G407" s="24" t="s">
        <v>1334</v>
      </c>
      <c r="H407" s="27" t="s">
        <v>1335</v>
      </c>
      <c r="I407" s="25">
        <v>2967206</v>
      </c>
      <c r="J407" s="25">
        <v>2958279.03</v>
      </c>
      <c r="K407" s="25">
        <v>1416600.7</v>
      </c>
      <c r="L407" s="25">
        <v>886710.6400000001</v>
      </c>
      <c r="M407" s="26">
        <f>I407-J407</f>
        <v>8926.96999999974</v>
      </c>
      <c r="N407" s="26">
        <f>J407-K407</f>
        <v>1541678.3300000003</v>
      </c>
      <c r="O407" s="26">
        <f>I407-L407</f>
        <v>2080495.3599999999</v>
      </c>
      <c r="P407" s="28">
        <f>IF(I407&gt;0,L407/I407,0)</f>
        <v>0.2988368990895813</v>
      </c>
      <c r="Q407" s="28">
        <f>IF(I407&gt;0,K407/I407,0)</f>
        <v>0.477419060220288</v>
      </c>
      <c r="R407" s="24" t="str">
        <f>IF(I407&lt;=0,"Sin PIM",IF(L407/I407&gt;=Config!$B$5,"Ejecutado",IF(K407/I407&gt;=Config!$B$6,"Mayormente comprometido",IF(K407&gt;0.005,"Parcialmente comprometido",IF(J407&gt;0.005,"Solo certificado","Sin certificar")))))</f>
        <v>Parcialmente comprometido</v>
      </c>
      <c r="S407" s="24" t="str">
        <f>IF(R407="Sin certificar","Disponible",IF(R407="Solo certificado","Posible",IF(R407="Parcialmente comprometido","Parcial",IF(R407="Mayormente comprometido","Difícil",IF(R407="Ejecutado","No usar","Sin PIM")))))</f>
        <v>Parcial</v>
      </c>
      <c r="T407" s="26">
        <f>IF(OR(I407&lt;=0,R407="Ejecutado"),0,MAX(0,I407-K407))</f>
        <v>1550605.3</v>
      </c>
      <c r="U407" s="24" t="s">
        <v>275</v>
      </c>
      <c r="V407" s="25">
        <v>309908</v>
      </c>
      <c r="W407" s="25">
        <v>29240</v>
      </c>
      <c r="X407" s="25">
        <v>1302067</v>
      </c>
      <c r="Y407" s="25">
        <v>604135</v>
      </c>
      <c r="Z407" s="24" t="s">
        <v>63</v>
      </c>
      <c r="AA407" s="24" t="s">
        <v>63</v>
      </c>
      <c r="AB407" s="24" t="s">
        <v>63</v>
      </c>
      <c r="AC407" s="24" t="s">
        <v>643</v>
      </c>
    </row>
    <row r="408" spans="1:29">
      <c r="A408" s="24" t="s">
        <v>54</v>
      </c>
      <c r="B408" s="24" t="s">
        <v>968</v>
      </c>
      <c r="C408" s="24" t="s">
        <v>1283</v>
      </c>
      <c r="D408" s="24" t="s">
        <v>63</v>
      </c>
      <c r="E408" s="24" t="s">
        <v>58</v>
      </c>
      <c r="F408" s="24" t="s">
        <v>1336</v>
      </c>
      <c r="G408" s="24" t="s">
        <v>1337</v>
      </c>
      <c r="H408" s="27" t="s">
        <v>1338</v>
      </c>
      <c r="I408" s="25">
        <v>2040218</v>
      </c>
      <c r="J408" s="25">
        <v>2014066.28</v>
      </c>
      <c r="K408" s="25">
        <v>213741.98</v>
      </c>
      <c r="L408" s="25">
        <v>153737.13</v>
      </c>
      <c r="M408" s="26">
        <f>I408-J408</f>
        <v>26151.719999999972</v>
      </c>
      <c r="N408" s="26">
        <f>J408-K408</f>
        <v>1800324.3</v>
      </c>
      <c r="O408" s="26">
        <f>I408-L408</f>
        <v>1886480.87</v>
      </c>
      <c r="P408" s="28">
        <f>IF(I408&gt;0,L408/I408,0)</f>
        <v>0.07535328577632389</v>
      </c>
      <c r="Q408" s="28">
        <f>IF(I408&gt;0,K408/I408,0)</f>
        <v>0.10476428499307426</v>
      </c>
      <c r="R408" s="24" t="str">
        <f>IF(I408&lt;=0,"Sin PIM",IF(L408/I408&gt;=Config!$B$5,"Ejecutado",IF(K408/I408&gt;=Config!$B$6,"Mayormente comprometido",IF(K408&gt;0.005,"Parcialmente comprometido",IF(J408&gt;0.005,"Solo certificado","Sin certificar")))))</f>
        <v>Parcialmente comprometido</v>
      </c>
      <c r="S408" s="24" t="str">
        <f>IF(R408="Sin certificar","Disponible",IF(R408="Solo certificado","Posible",IF(R408="Parcialmente comprometido","Parcial",IF(R408="Mayormente comprometido","Difícil",IF(R408="Ejecutado","No usar","Sin PIM")))))</f>
        <v>Parcial</v>
      </c>
      <c r="T408" s="26">
        <f>IF(OR(I408&lt;=0,R408="Ejecutado"),0,MAX(0,I408-K408))</f>
        <v>1826476.02</v>
      </c>
      <c r="U408" s="24" t="s">
        <v>1339</v>
      </c>
      <c r="V408" s="25">
        <v>40218</v>
      </c>
      <c r="W408" s="25">
        <v>3757795</v>
      </c>
      <c r="X408" s="25">
        <v>698171</v>
      </c>
      <c r="Y408" s="25">
        <v>0</v>
      </c>
      <c r="Z408" s="24" t="s">
        <v>63</v>
      </c>
      <c r="AA408" s="24" t="s">
        <v>63</v>
      </c>
      <c r="AB408" s="24" t="s">
        <v>63</v>
      </c>
      <c r="AC408" s="24" t="s">
        <v>1340</v>
      </c>
    </row>
    <row r="409" spans="1:29">
      <c r="A409" s="24" t="s">
        <v>54</v>
      </c>
      <c r="B409" s="24" t="s">
        <v>968</v>
      </c>
      <c r="C409" s="24" t="s">
        <v>1283</v>
      </c>
      <c r="D409" s="24" t="s">
        <v>63</v>
      </c>
      <c r="E409" s="24" t="s">
        <v>58</v>
      </c>
      <c r="F409" s="24" t="s">
        <v>1341</v>
      </c>
      <c r="G409" s="24" t="s">
        <v>1342</v>
      </c>
      <c r="H409" s="27" t="s">
        <v>1343</v>
      </c>
      <c r="I409" s="25">
        <v>3974680</v>
      </c>
      <c r="J409" s="25">
        <v>3830379.2</v>
      </c>
      <c r="K409" s="25">
        <v>188579.2</v>
      </c>
      <c r="L409" s="25">
        <v>141890.09</v>
      </c>
      <c r="M409" s="26">
        <f>I409-J409</f>
        <v>144300.7999999998</v>
      </c>
      <c r="N409" s="26">
        <f>J409-K409</f>
        <v>3641800.0</v>
      </c>
      <c r="O409" s="26">
        <f>I409-L409</f>
        <v>3832789.91</v>
      </c>
      <c r="P409" s="28">
        <f>IF(I409&gt;0,L409/I409,0)</f>
        <v>0.035698493966809915</v>
      </c>
      <c r="Q409" s="28">
        <f>IF(I409&gt;0,K409/I409,0)</f>
        <v>0.04744512765807562</v>
      </c>
      <c r="R409" s="24" t="str">
        <f>IF(I409&lt;=0,"Sin PIM",IF(L409/I409&gt;=Config!$B$5,"Ejecutado",IF(K409/I409&gt;=Config!$B$6,"Mayormente comprometido",IF(K409&gt;0.005,"Parcialmente comprometido",IF(J409&gt;0.005,"Solo certificado","Sin certificar")))))</f>
        <v>Parcialmente comprometido</v>
      </c>
      <c r="S409" s="24" t="str">
        <f>IF(R409="Sin certificar","Disponible",IF(R409="Solo certificado","Posible",IF(R409="Parcialmente comprometido","Parcial",IF(R409="Mayormente comprometido","Difícil",IF(R409="Ejecutado","No usar","Sin PIM")))))</f>
        <v>Parcial</v>
      </c>
      <c r="T409" s="26">
        <f>IF(OR(I409&lt;=0,R409="Ejecutado"),0,MAX(0,I409-K409))</f>
        <v>3786100.8</v>
      </c>
      <c r="U409" s="24" t="s">
        <v>275</v>
      </c>
      <c r="V409" s="25">
        <v>2900000</v>
      </c>
      <c r="W409" s="25">
        <v>66882</v>
      </c>
      <c r="X409" s="25">
        <v>1</v>
      </c>
      <c r="Y409" s="25">
        <v>0</v>
      </c>
      <c r="Z409" s="24" t="s">
        <v>63</v>
      </c>
      <c r="AA409" s="24" t="s">
        <v>63</v>
      </c>
      <c r="AB409" s="24" t="s">
        <v>63</v>
      </c>
      <c r="AC409" s="24" t="s">
        <v>643</v>
      </c>
    </row>
    <row r="410" spans="1:29">
      <c r="A410" s="24" t="s">
        <v>54</v>
      </c>
      <c r="B410" s="24" t="s">
        <v>968</v>
      </c>
      <c r="C410" s="24" t="s">
        <v>1283</v>
      </c>
      <c r="D410" s="24" t="s">
        <v>63</v>
      </c>
      <c r="E410" s="24" t="s">
        <v>58</v>
      </c>
      <c r="F410" s="24" t="s">
        <v>1344</v>
      </c>
      <c r="G410" s="24" t="s">
        <v>1345</v>
      </c>
      <c r="H410" s="27" t="s">
        <v>1346</v>
      </c>
      <c r="I410" s="25">
        <v>80738</v>
      </c>
      <c r="J410" s="25">
        <v>0</v>
      </c>
      <c r="K410" s="25">
        <v>0</v>
      </c>
      <c r="L410" s="25">
        <v>0</v>
      </c>
      <c r="M410" s="26">
        <f>I410-J410</f>
        <v>80738.0</v>
      </c>
      <c r="N410" s="26">
        <f>J410-K410</f>
        <v>0.0</v>
      </c>
      <c r="O410" s="26">
        <f>I410-L410</f>
        <v>80738.0</v>
      </c>
      <c r="P410" s="28">
        <f>IF(I410&gt;0,L410/I410,0)</f>
        <v>0.0</v>
      </c>
      <c r="Q410" s="28">
        <f>IF(I410&gt;0,K410/I410,0)</f>
        <v>0.0</v>
      </c>
      <c r="R410" s="24" t="str">
        <f>IF(I410&lt;=0,"Sin PIM",IF(L410/I410&gt;=Config!$B$5,"Ejecutado",IF(K410/I410&gt;=Config!$B$6,"Mayormente comprometido",IF(K410&gt;0.005,"Parcialmente comprometido",IF(J410&gt;0.005,"Solo certificado","Sin certificar")))))</f>
        <v>Sin certificar</v>
      </c>
      <c r="S410" s="24" t="str">
        <f>IF(R410="Sin certificar","Disponible",IF(R410="Solo certificado","Posible",IF(R410="Parcialmente comprometido","Parcial",IF(R410="Mayormente comprometido","Difícil",IF(R410="Ejecutado","No usar","Sin PIM")))))</f>
        <v>Disponible</v>
      </c>
      <c r="T410" s="26">
        <f>IF(OR(I410&lt;=0,R410="Ejecutado"),0,MAX(0,I410-K410))</f>
        <v>80738.0</v>
      </c>
      <c r="U410" s="24" t="s">
        <v>123</v>
      </c>
      <c r="V410" s="24" t="s">
        <v>69</v>
      </c>
      <c r="W410" s="24" t="s">
        <v>69</v>
      </c>
      <c r="X410" s="24" t="s">
        <v>69</v>
      </c>
      <c r="Y410" s="24" t="s">
        <v>69</v>
      </c>
      <c r="Z410" s="24" t="s">
        <v>63</v>
      </c>
      <c r="AA410" s="24" t="s">
        <v>63</v>
      </c>
      <c r="AB410" s="24" t="s">
        <v>63</v>
      </c>
      <c r="AC410" s="24" t="s">
        <v>643</v>
      </c>
    </row>
    <row r="411" spans="1:29">
      <c r="A411" s="24" t="s">
        <v>54</v>
      </c>
      <c r="B411" s="24" t="s">
        <v>968</v>
      </c>
      <c r="C411" s="24" t="s">
        <v>1283</v>
      </c>
      <c r="D411" s="24" t="s">
        <v>63</v>
      </c>
      <c r="E411" s="24" t="s">
        <v>58</v>
      </c>
      <c r="F411" s="24" t="s">
        <v>1305</v>
      </c>
      <c r="G411" s="24" t="s">
        <v>1347</v>
      </c>
      <c r="H411" s="27" t="s">
        <v>1307</v>
      </c>
      <c r="I411" s="25">
        <v>5872577</v>
      </c>
      <c r="J411" s="25">
        <v>3724247.82</v>
      </c>
      <c r="K411" s="25">
        <v>3170278.9</v>
      </c>
      <c r="L411" s="25">
        <v>2558179.3</v>
      </c>
      <c r="M411" s="26">
        <f>I411-J411</f>
        <v>2148329.18</v>
      </c>
      <c r="N411" s="26">
        <f>J411-K411</f>
        <v>553968.9199999995</v>
      </c>
      <c r="O411" s="26">
        <f>I411-L411</f>
        <v>3314397.6999999997</v>
      </c>
      <c r="P411" s="28">
        <f>IF(I411&gt;0,L411/I411,0)</f>
        <v>0.43561443298231767</v>
      </c>
      <c r="Q411" s="28">
        <f>IF(I411&gt;0,K411/I411,0)</f>
        <v>0.5398445861161123</v>
      </c>
      <c r="R411" s="24" t="str">
        <f>IF(I411&lt;=0,"Sin PIM",IF(L411/I411&gt;=Config!$B$5,"Ejecutado",IF(K411/I411&gt;=Config!$B$6,"Mayormente comprometido",IF(K411&gt;0.005,"Parcialmente comprometido",IF(J411&gt;0.005,"Solo certificado","Sin certificar")))))</f>
        <v>Mayormente comprometido</v>
      </c>
      <c r="S411" s="24" t="str">
        <f>IF(R411="Sin certificar","Disponible",IF(R411="Solo certificado","Posible",IF(R411="Parcialmente comprometido","Parcial",IF(R411="Mayormente comprometido","Difícil",IF(R411="Ejecutado","No usar","Sin PIM")))))</f>
        <v>Difícil</v>
      </c>
      <c r="T411" s="26">
        <f>IF(OR(I411&lt;=0,R411="Ejecutado"),0,MAX(0,I411-K411))</f>
        <v>2702298.0999999996</v>
      </c>
      <c r="U411" s="24" t="s">
        <v>100</v>
      </c>
      <c r="V411" s="25">
        <v>2421000</v>
      </c>
      <c r="W411" s="25">
        <v>2508625</v>
      </c>
      <c r="X411" s="25">
        <v>546908</v>
      </c>
      <c r="Y411" s="25">
        <v>170650</v>
      </c>
      <c r="Z411" s="24" t="s">
        <v>63</v>
      </c>
      <c r="AA411" s="24" t="s">
        <v>63</v>
      </c>
      <c r="AB411" s="24" t="s">
        <v>63</v>
      </c>
      <c r="AC411" s="24" t="s">
        <v>643</v>
      </c>
    </row>
    <row r="412" spans="1:29">
      <c r="A412" s="24" t="s">
        <v>54</v>
      </c>
      <c r="B412" s="24" t="s">
        <v>968</v>
      </c>
      <c r="C412" s="24" t="s">
        <v>1283</v>
      </c>
      <c r="D412" s="24" t="s">
        <v>63</v>
      </c>
      <c r="E412" s="24" t="s">
        <v>58</v>
      </c>
      <c r="F412" s="24" t="s">
        <v>1348</v>
      </c>
      <c r="G412" s="24" t="s">
        <v>1349</v>
      </c>
      <c r="H412" s="27" t="s">
        <v>1350</v>
      </c>
      <c r="I412" s="25">
        <v>13758</v>
      </c>
      <c r="J412" s="25">
        <v>13758</v>
      </c>
      <c r="K412" s="25">
        <v>13758</v>
      </c>
      <c r="L412" s="25">
        <v>13212.64</v>
      </c>
      <c r="M412" s="26">
        <f>I412-J412</f>
        <v>0.0</v>
      </c>
      <c r="N412" s="26">
        <f>J412-K412</f>
        <v>0.0</v>
      </c>
      <c r="O412" s="26">
        <f>I412-L412</f>
        <v>545.3600000000006</v>
      </c>
      <c r="P412" s="28">
        <f>IF(I412&gt;0,L412/I412,0)</f>
        <v>0.960360517517081</v>
      </c>
      <c r="Q412" s="28">
        <f>IF(I412&gt;0,K412/I412,0)</f>
        <v>1.0</v>
      </c>
      <c r="R412" s="24" t="str">
        <f>IF(I412&lt;=0,"Sin PIM",IF(L412/I412&gt;=Config!$B$5,"Ejecutado",IF(K412/I412&gt;=Config!$B$6,"Mayormente comprometido",IF(K412&gt;0.005,"Parcialmente comprometido",IF(J412&gt;0.005,"Solo certificado","Sin certificar")))))</f>
        <v>Ejecutado</v>
      </c>
      <c r="S412" s="24" t="str">
        <f>IF(R412="Sin certificar","Disponible",IF(R412="Solo certificado","Posible",IF(R412="Parcialmente comprometido","Parcial",IF(R412="Mayormente comprometido","Difícil",IF(R412="Ejecutado","No usar","Sin PIM")))))</f>
        <v>No usar</v>
      </c>
      <c r="T412" s="26">
        <f>IF(OR(I412&lt;=0,R412="Ejecutado"),0,MAX(0,I412-K412))</f>
        <v>0.0</v>
      </c>
      <c r="U412" s="24" t="s">
        <v>105</v>
      </c>
      <c r="V412" s="25">
        <v>27014</v>
      </c>
      <c r="W412" s="25">
        <v>0</v>
      </c>
      <c r="X412" s="25">
        <v>0</v>
      </c>
      <c r="Y412" s="25">
        <v>0</v>
      </c>
      <c r="Z412" s="24" t="s">
        <v>63</v>
      </c>
      <c r="AA412" s="24" t="s">
        <v>63</v>
      </c>
      <c r="AB412" s="24" t="s">
        <v>63</v>
      </c>
      <c r="AC412" s="24" t="s">
        <v>129</v>
      </c>
    </row>
    <row r="413" spans="1:29">
      <c r="A413" s="24" t="s">
        <v>54</v>
      </c>
      <c r="B413" s="24" t="s">
        <v>968</v>
      </c>
      <c r="C413" s="24" t="s">
        <v>1283</v>
      </c>
      <c r="D413" s="24" t="s">
        <v>63</v>
      </c>
      <c r="E413" s="24" t="s">
        <v>58</v>
      </c>
      <c r="F413" s="24" t="s">
        <v>1351</v>
      </c>
      <c r="G413" s="24" t="s">
        <v>1352</v>
      </c>
      <c r="H413" s="27" t="s">
        <v>1353</v>
      </c>
      <c r="I413" s="25">
        <v>10277</v>
      </c>
      <c r="J413" s="25">
        <v>9570</v>
      </c>
      <c r="K413" s="25">
        <v>9570</v>
      </c>
      <c r="L413" s="25">
        <v>9564.68</v>
      </c>
      <c r="M413" s="26">
        <f>I413-J413</f>
        <v>707.0</v>
      </c>
      <c r="N413" s="26">
        <f>J413-K413</f>
        <v>0.0</v>
      </c>
      <c r="O413" s="26">
        <f>I413-L413</f>
        <v>712.3199999999997</v>
      </c>
      <c r="P413" s="28">
        <f>IF(I413&gt;0,L413/I413,0)</f>
        <v>0.9306879439525153</v>
      </c>
      <c r="Q413" s="28">
        <f>IF(I413&gt;0,K413/I413,0)</f>
        <v>0.9312056047484675</v>
      </c>
      <c r="R413" s="24" t="str">
        <f>IF(I413&lt;=0,"Sin PIM",IF(L413/I413&gt;=Config!$B$5,"Ejecutado",IF(K413/I413&gt;=Config!$B$6,"Mayormente comprometido",IF(K413&gt;0.005,"Parcialmente comprometido",IF(J413&gt;0.005,"Solo certificado","Sin certificar")))))</f>
        <v>Ejecutado</v>
      </c>
      <c r="S413" s="24" t="str">
        <f>IF(R413="Sin certificar","Disponible",IF(R413="Solo certificado","Posible",IF(R413="Parcialmente comprometido","Parcial",IF(R413="Mayormente comprometido","Difícil",IF(R413="Ejecutado","No usar","Sin PIM")))))</f>
        <v>No usar</v>
      </c>
      <c r="T413" s="26">
        <f>IF(OR(I413&lt;=0,R413="Ejecutado"),0,MAX(0,I413-K413))</f>
        <v>0.0</v>
      </c>
      <c r="U413" s="24" t="s">
        <v>105</v>
      </c>
      <c r="V413" s="25">
        <v>10277</v>
      </c>
      <c r="W413" s="25">
        <v>27636</v>
      </c>
      <c r="X413" s="25">
        <v>0</v>
      </c>
      <c r="Y413" s="25">
        <v>0</v>
      </c>
      <c r="Z413" s="24" t="s">
        <v>63</v>
      </c>
      <c r="AA413" s="24" t="s">
        <v>63</v>
      </c>
      <c r="AB413" s="24" t="s">
        <v>63</v>
      </c>
      <c r="AC413" s="24" t="s">
        <v>129</v>
      </c>
    </row>
    <row r="414" spans="1:29">
      <c r="A414" s="24" t="s">
        <v>54</v>
      </c>
      <c r="B414" s="24" t="s">
        <v>968</v>
      </c>
      <c r="C414" s="24" t="s">
        <v>1283</v>
      </c>
      <c r="D414" s="24" t="s">
        <v>63</v>
      </c>
      <c r="E414" s="24" t="s">
        <v>58</v>
      </c>
      <c r="F414" s="24" t="s">
        <v>1354</v>
      </c>
      <c r="G414" s="24" t="s">
        <v>1355</v>
      </c>
      <c r="H414" s="27" t="s">
        <v>1356</v>
      </c>
      <c r="I414" s="25">
        <v>114255</v>
      </c>
      <c r="J414" s="25">
        <v>0</v>
      </c>
      <c r="K414" s="25">
        <v>0</v>
      </c>
      <c r="L414" s="25">
        <v>0</v>
      </c>
      <c r="M414" s="26">
        <f>I414-J414</f>
        <v>114255.0</v>
      </c>
      <c r="N414" s="26">
        <f>J414-K414</f>
        <v>0.0</v>
      </c>
      <c r="O414" s="26">
        <f>I414-L414</f>
        <v>114255.0</v>
      </c>
      <c r="P414" s="28">
        <f>IF(I414&gt;0,L414/I414,0)</f>
        <v>0.0</v>
      </c>
      <c r="Q414" s="28">
        <f>IF(I414&gt;0,K414/I414,0)</f>
        <v>0.0</v>
      </c>
      <c r="R414" s="24" t="str">
        <f>IF(I414&lt;=0,"Sin PIM",IF(L414/I414&gt;=Config!$B$5,"Ejecutado",IF(K414/I414&gt;=Config!$B$6,"Mayormente comprometido",IF(K414&gt;0.005,"Parcialmente comprometido",IF(J414&gt;0.005,"Solo certificado","Sin certificar")))))</f>
        <v>Sin certificar</v>
      </c>
      <c r="S414" s="24" t="str">
        <f>IF(R414="Sin certificar","Disponible",IF(R414="Solo certificado","Posible",IF(R414="Parcialmente comprometido","Parcial",IF(R414="Mayormente comprometido","Difícil",IF(R414="Ejecutado","No usar","Sin PIM")))))</f>
        <v>Disponible</v>
      </c>
      <c r="T414" s="26">
        <f>IF(OR(I414&lt;=0,R414="Ejecutado"),0,MAX(0,I414-K414))</f>
        <v>114255.0</v>
      </c>
      <c r="U414" s="24" t="s">
        <v>123</v>
      </c>
      <c r="V414" s="24" t="s">
        <v>69</v>
      </c>
      <c r="W414" s="24" t="s">
        <v>69</v>
      </c>
      <c r="X414" s="24" t="s">
        <v>69</v>
      </c>
      <c r="Y414" s="24" t="s">
        <v>69</v>
      </c>
      <c r="Z414" s="24" t="s">
        <v>63</v>
      </c>
      <c r="AA414" s="24" t="s">
        <v>63</v>
      </c>
      <c r="AB414" s="24" t="s">
        <v>63</v>
      </c>
      <c r="AC414" s="24" t="s">
        <v>1340</v>
      </c>
    </row>
    <row r="415" spans="1:29">
      <c r="A415" s="24" t="s">
        <v>54</v>
      </c>
      <c r="B415" s="24" t="s">
        <v>968</v>
      </c>
      <c r="C415" s="24" t="s">
        <v>1283</v>
      </c>
      <c r="D415" s="24" t="s">
        <v>63</v>
      </c>
      <c r="E415" s="24" t="s">
        <v>58</v>
      </c>
      <c r="F415" s="24" t="s">
        <v>1357</v>
      </c>
      <c r="G415" s="24" t="s">
        <v>1358</v>
      </c>
      <c r="H415" s="27" t="s">
        <v>1359</v>
      </c>
      <c r="I415" s="25">
        <v>36445</v>
      </c>
      <c r="J415" s="25">
        <v>0</v>
      </c>
      <c r="K415" s="25">
        <v>0</v>
      </c>
      <c r="L415" s="25">
        <v>0</v>
      </c>
      <c r="M415" s="26">
        <f>I415-J415</f>
        <v>36445.0</v>
      </c>
      <c r="N415" s="26">
        <f>J415-K415</f>
        <v>0.0</v>
      </c>
      <c r="O415" s="26">
        <f>I415-L415</f>
        <v>36445.0</v>
      </c>
      <c r="P415" s="28">
        <f>IF(I415&gt;0,L415/I415,0)</f>
        <v>0.0</v>
      </c>
      <c r="Q415" s="28">
        <f>IF(I415&gt;0,K415/I415,0)</f>
        <v>0.0</v>
      </c>
      <c r="R415" s="24" t="str">
        <f>IF(I415&lt;=0,"Sin PIM",IF(L415/I415&gt;=Config!$B$5,"Ejecutado",IF(K415/I415&gt;=Config!$B$6,"Mayormente comprometido",IF(K415&gt;0.005,"Parcialmente comprometido",IF(J415&gt;0.005,"Solo certificado","Sin certificar")))))</f>
        <v>Sin certificar</v>
      </c>
      <c r="S415" s="24" t="str">
        <f>IF(R415="Sin certificar","Disponible",IF(R415="Solo certificado","Posible",IF(R415="Parcialmente comprometido","Parcial",IF(R415="Mayormente comprometido","Difícil",IF(R415="Ejecutado","No usar","Sin PIM")))))</f>
        <v>Disponible</v>
      </c>
      <c r="T415" s="26">
        <f>IF(OR(I415&lt;=0,R415="Ejecutado"),0,MAX(0,I415-K415))</f>
        <v>36445.0</v>
      </c>
      <c r="U415" s="24" t="s">
        <v>123</v>
      </c>
      <c r="V415" s="24" t="s">
        <v>69</v>
      </c>
      <c r="W415" s="24" t="s">
        <v>69</v>
      </c>
      <c r="X415" s="24" t="s">
        <v>69</v>
      </c>
      <c r="Y415" s="24" t="s">
        <v>69</v>
      </c>
      <c r="Z415" s="24" t="s">
        <v>63</v>
      </c>
      <c r="AA415" s="24" t="s">
        <v>63</v>
      </c>
      <c r="AB415" s="24" t="s">
        <v>63</v>
      </c>
      <c r="AC415" s="24" t="s">
        <v>1340</v>
      </c>
    </row>
    <row r="416" spans="1:29">
      <c r="A416" s="24" t="s">
        <v>54</v>
      </c>
      <c r="B416" s="24" t="s">
        <v>968</v>
      </c>
      <c r="C416" s="24" t="s">
        <v>1283</v>
      </c>
      <c r="D416" s="24" t="s">
        <v>63</v>
      </c>
      <c r="E416" s="24" t="s">
        <v>58</v>
      </c>
      <c r="F416" s="24" t="s">
        <v>1360</v>
      </c>
      <c r="G416" s="24" t="s">
        <v>1361</v>
      </c>
      <c r="H416" s="27" t="s">
        <v>1362</v>
      </c>
      <c r="I416" s="25">
        <v>39485</v>
      </c>
      <c r="J416" s="25">
        <v>0</v>
      </c>
      <c r="K416" s="25">
        <v>0</v>
      </c>
      <c r="L416" s="25">
        <v>0</v>
      </c>
      <c r="M416" s="26">
        <f>I416-J416</f>
        <v>39485.0</v>
      </c>
      <c r="N416" s="26">
        <f>J416-K416</f>
        <v>0.0</v>
      </c>
      <c r="O416" s="26">
        <f>I416-L416</f>
        <v>39485.0</v>
      </c>
      <c r="P416" s="28">
        <f>IF(I416&gt;0,L416/I416,0)</f>
        <v>0.0</v>
      </c>
      <c r="Q416" s="28">
        <f>IF(I416&gt;0,K416/I416,0)</f>
        <v>0.0</v>
      </c>
      <c r="R416" s="24" t="str">
        <f>IF(I416&lt;=0,"Sin PIM",IF(L416/I416&gt;=Config!$B$5,"Ejecutado",IF(K416/I416&gt;=Config!$B$6,"Mayormente comprometido",IF(K416&gt;0.005,"Parcialmente comprometido",IF(J416&gt;0.005,"Solo certificado","Sin certificar")))))</f>
        <v>Sin certificar</v>
      </c>
      <c r="S416" s="24" t="str">
        <f>IF(R416="Sin certificar","Disponible",IF(R416="Solo certificado","Posible",IF(R416="Parcialmente comprometido","Parcial",IF(R416="Mayormente comprometido","Difícil",IF(R416="Ejecutado","No usar","Sin PIM")))))</f>
        <v>Disponible</v>
      </c>
      <c r="T416" s="26">
        <f>IF(OR(I416&lt;=0,R416="Ejecutado"),0,MAX(0,I416-K416))</f>
        <v>39485.0</v>
      </c>
      <c r="U416" s="24" t="s">
        <v>123</v>
      </c>
      <c r="V416" s="24" t="s">
        <v>69</v>
      </c>
      <c r="W416" s="24" t="s">
        <v>69</v>
      </c>
      <c r="X416" s="24" t="s">
        <v>69</v>
      </c>
      <c r="Y416" s="24" t="s">
        <v>69</v>
      </c>
      <c r="Z416" s="24" t="s">
        <v>63</v>
      </c>
      <c r="AA416" s="24" t="s">
        <v>63</v>
      </c>
      <c r="AB416" s="24" t="s">
        <v>63</v>
      </c>
      <c r="AC416" s="24" t="s">
        <v>1340</v>
      </c>
    </row>
    <row r="417" spans="1:29">
      <c r="A417" s="24" t="s">
        <v>54</v>
      </c>
      <c r="B417" s="24" t="s">
        <v>968</v>
      </c>
      <c r="C417" s="24" t="s">
        <v>1283</v>
      </c>
      <c r="D417" s="24" t="s">
        <v>63</v>
      </c>
      <c r="E417" s="24" t="s">
        <v>58</v>
      </c>
      <c r="F417" s="24" t="s">
        <v>1363</v>
      </c>
      <c r="G417" s="24" t="s">
        <v>1364</v>
      </c>
      <c r="H417" s="27" t="s">
        <v>1365</v>
      </c>
      <c r="I417" s="25">
        <v>25610</v>
      </c>
      <c r="J417" s="25">
        <v>0</v>
      </c>
      <c r="K417" s="25">
        <v>0</v>
      </c>
      <c r="L417" s="25">
        <v>0</v>
      </c>
      <c r="M417" s="26">
        <f>I417-J417</f>
        <v>25610.0</v>
      </c>
      <c r="N417" s="26">
        <f>J417-K417</f>
        <v>0.0</v>
      </c>
      <c r="O417" s="26">
        <f>I417-L417</f>
        <v>25610.0</v>
      </c>
      <c r="P417" s="28">
        <f>IF(I417&gt;0,L417/I417,0)</f>
        <v>0.0</v>
      </c>
      <c r="Q417" s="28">
        <f>IF(I417&gt;0,K417/I417,0)</f>
        <v>0.0</v>
      </c>
      <c r="R417" s="24" t="str">
        <f>IF(I417&lt;=0,"Sin PIM",IF(L417/I417&gt;=Config!$B$5,"Ejecutado",IF(K417/I417&gt;=Config!$B$6,"Mayormente comprometido",IF(K417&gt;0.005,"Parcialmente comprometido",IF(J417&gt;0.005,"Solo certificado","Sin certificar")))))</f>
        <v>Sin certificar</v>
      </c>
      <c r="S417" s="24" t="str">
        <f>IF(R417="Sin certificar","Disponible",IF(R417="Solo certificado","Posible",IF(R417="Parcialmente comprometido","Parcial",IF(R417="Mayormente comprometido","Difícil",IF(R417="Ejecutado","No usar","Sin PIM")))))</f>
        <v>Disponible</v>
      </c>
      <c r="T417" s="26">
        <f>IF(OR(I417&lt;=0,R417="Ejecutado"),0,MAX(0,I417-K417))</f>
        <v>25610.0</v>
      </c>
      <c r="U417" s="24" t="s">
        <v>123</v>
      </c>
      <c r="V417" s="24" t="s">
        <v>69</v>
      </c>
      <c r="W417" s="24" t="s">
        <v>69</v>
      </c>
      <c r="X417" s="24" t="s">
        <v>69</v>
      </c>
      <c r="Y417" s="24" t="s">
        <v>69</v>
      </c>
      <c r="Z417" s="24" t="s">
        <v>63</v>
      </c>
      <c r="AA417" s="24" t="s">
        <v>63</v>
      </c>
      <c r="AB417" s="24" t="s">
        <v>63</v>
      </c>
      <c r="AC417" s="24" t="s">
        <v>63</v>
      </c>
    </row>
    <row r="418" spans="1:29">
      <c r="A418" s="24" t="s">
        <v>54</v>
      </c>
      <c r="B418" s="24" t="s">
        <v>968</v>
      </c>
      <c r="C418" s="24" t="s">
        <v>1283</v>
      </c>
      <c r="D418" s="24" t="s">
        <v>63</v>
      </c>
      <c r="E418" s="24" t="s">
        <v>71</v>
      </c>
      <c r="F418" s="24" t="s">
        <v>1366</v>
      </c>
      <c r="G418" s="24" t="s">
        <v>1367</v>
      </c>
      <c r="H418" s="27" t="s">
        <v>1368</v>
      </c>
      <c r="I418" s="25">
        <v>3254770</v>
      </c>
      <c r="J418" s="25">
        <v>2925559.55</v>
      </c>
      <c r="K418" s="25">
        <v>0</v>
      </c>
      <c r="L418" s="25">
        <v>0</v>
      </c>
      <c r="M418" s="26">
        <f>I418-J418</f>
        <v>329210.4500000002</v>
      </c>
      <c r="N418" s="26">
        <f>J418-K418</f>
        <v>2925559.55</v>
      </c>
      <c r="O418" s="26">
        <f>I418-L418</f>
        <v>3254770.0</v>
      </c>
      <c r="P418" s="28">
        <f>IF(I418&gt;0,L418/I418,0)</f>
        <v>0.0</v>
      </c>
      <c r="Q418" s="28">
        <f>IF(I418&gt;0,K418/I418,0)</f>
        <v>0.0</v>
      </c>
      <c r="R418" s="24" t="str">
        <f>IF(I418&lt;=0,"Sin PIM",IF(L418/I418&gt;=Config!$B$5,"Ejecutado",IF(K418/I418&gt;=Config!$B$6,"Mayormente comprometido",IF(K418&gt;0.005,"Parcialmente comprometido",IF(J418&gt;0.005,"Solo certificado","Sin certificar")))))</f>
        <v>Solo certificado</v>
      </c>
      <c r="S418" s="24" t="str">
        <f>IF(R418="Sin certificar","Disponible",IF(R418="Solo certificado","Posible",IF(R418="Parcialmente comprometido","Parcial",IF(R418="Mayormente comprometido","Difícil",IF(R418="Ejecutado","No usar","Sin PIM")))))</f>
        <v>Posible</v>
      </c>
      <c r="T418" s="26">
        <f>IF(OR(I418&lt;=0,R418="Ejecutado"),0,MAX(0,I418-K418))</f>
        <v>3254770.0</v>
      </c>
      <c r="U418" s="24" t="s">
        <v>1369</v>
      </c>
      <c r="V418" s="24" t="s">
        <v>69</v>
      </c>
      <c r="W418" s="24" t="s">
        <v>69</v>
      </c>
      <c r="X418" s="24" t="s">
        <v>69</v>
      </c>
      <c r="Y418" s="24" t="s">
        <v>69</v>
      </c>
      <c r="Z418" s="24" t="s">
        <v>63</v>
      </c>
      <c r="AA418" s="24" t="s">
        <v>63</v>
      </c>
      <c r="AB418" s="24" t="s">
        <v>63</v>
      </c>
      <c r="AC418" s="24" t="s">
        <v>1340</v>
      </c>
    </row>
    <row r="419" spans="1:29">
      <c r="A419" s="24" t="s">
        <v>54</v>
      </c>
      <c r="B419" s="24" t="s">
        <v>968</v>
      </c>
      <c r="C419" s="24" t="s">
        <v>1283</v>
      </c>
      <c r="D419" s="24" t="s">
        <v>63</v>
      </c>
      <c r="E419" s="24" t="s">
        <v>71</v>
      </c>
      <c r="F419" s="24" t="s">
        <v>1370</v>
      </c>
      <c r="G419" s="24" t="s">
        <v>1371</v>
      </c>
      <c r="H419" s="27" t="s">
        <v>1372</v>
      </c>
      <c r="I419" s="25">
        <v>1007572</v>
      </c>
      <c r="J419" s="25">
        <v>838299.38</v>
      </c>
      <c r="K419" s="25">
        <v>0</v>
      </c>
      <c r="L419" s="25">
        <v>0</v>
      </c>
      <c r="M419" s="26">
        <f>I419-J419</f>
        <v>169272.62</v>
      </c>
      <c r="N419" s="26">
        <f>J419-K419</f>
        <v>838299.38</v>
      </c>
      <c r="O419" s="26">
        <f>I419-L419</f>
        <v>1007572.0</v>
      </c>
      <c r="P419" s="28">
        <f>IF(I419&gt;0,L419/I419,0)</f>
        <v>0.0</v>
      </c>
      <c r="Q419" s="28">
        <f>IF(I419&gt;0,K419/I419,0)</f>
        <v>0.0</v>
      </c>
      <c r="R419" s="24" t="str">
        <f>IF(I419&lt;=0,"Sin PIM",IF(L419/I419&gt;=Config!$B$5,"Ejecutado",IF(K419/I419&gt;=Config!$B$6,"Mayormente comprometido",IF(K419&gt;0.005,"Parcialmente comprometido",IF(J419&gt;0.005,"Solo certificado","Sin certificar")))))</f>
        <v>Solo certificado</v>
      </c>
      <c r="S419" s="24" t="str">
        <f>IF(R419="Sin certificar","Disponible",IF(R419="Solo certificado","Posible",IF(R419="Parcialmente comprometido","Parcial",IF(R419="Mayormente comprometido","Difícil",IF(R419="Ejecutado","No usar","Sin PIM")))))</f>
        <v>Posible</v>
      </c>
      <c r="T419" s="26">
        <f>IF(OR(I419&lt;=0,R419="Ejecutado"),0,MAX(0,I419-K419))</f>
        <v>1007572.0</v>
      </c>
      <c r="U419" s="24" t="s">
        <v>1369</v>
      </c>
      <c r="V419" s="24" t="s">
        <v>69</v>
      </c>
      <c r="W419" s="24" t="s">
        <v>69</v>
      </c>
      <c r="X419" s="24" t="s">
        <v>69</v>
      </c>
      <c r="Y419" s="24" t="s">
        <v>69</v>
      </c>
      <c r="Z419" s="24" t="s">
        <v>63</v>
      </c>
      <c r="AA419" s="24" t="s">
        <v>63</v>
      </c>
      <c r="AB419" s="24" t="s">
        <v>63</v>
      </c>
      <c r="AC419" s="24" t="s">
        <v>1340</v>
      </c>
    </row>
    <row r="420" spans="1:29">
      <c r="A420" s="24" t="s">
        <v>54</v>
      </c>
      <c r="B420" s="24" t="s">
        <v>968</v>
      </c>
      <c r="C420" s="24" t="s">
        <v>1283</v>
      </c>
      <c r="D420" s="24" t="s">
        <v>63</v>
      </c>
      <c r="E420" s="24" t="s">
        <v>71</v>
      </c>
      <c r="F420" s="24" t="s">
        <v>1373</v>
      </c>
      <c r="G420" s="24" t="s">
        <v>1374</v>
      </c>
      <c r="H420" s="27" t="s">
        <v>1375</v>
      </c>
      <c r="I420" s="25">
        <v>1688098</v>
      </c>
      <c r="J420" s="25">
        <v>1486603.23</v>
      </c>
      <c r="K420" s="25">
        <v>0</v>
      </c>
      <c r="L420" s="25">
        <v>0</v>
      </c>
      <c r="M420" s="26">
        <f>I420-J420</f>
        <v>201494.77000000002</v>
      </c>
      <c r="N420" s="26">
        <f>J420-K420</f>
        <v>1486603.23</v>
      </c>
      <c r="O420" s="26">
        <f>I420-L420</f>
        <v>1688098.0</v>
      </c>
      <c r="P420" s="28">
        <f>IF(I420&gt;0,L420/I420,0)</f>
        <v>0.0</v>
      </c>
      <c r="Q420" s="28">
        <f>IF(I420&gt;0,K420/I420,0)</f>
        <v>0.0</v>
      </c>
      <c r="R420" s="24" t="str">
        <f>IF(I420&lt;=0,"Sin PIM",IF(L420/I420&gt;=Config!$B$5,"Ejecutado",IF(K420/I420&gt;=Config!$B$6,"Mayormente comprometido",IF(K420&gt;0.005,"Parcialmente comprometido",IF(J420&gt;0.005,"Solo certificado","Sin certificar")))))</f>
        <v>Solo certificado</v>
      </c>
      <c r="S420" s="24" t="str">
        <f>IF(R420="Sin certificar","Disponible",IF(R420="Solo certificado","Posible",IF(R420="Parcialmente comprometido","Parcial",IF(R420="Mayormente comprometido","Difícil",IF(R420="Ejecutado","No usar","Sin PIM")))))</f>
        <v>Posible</v>
      </c>
      <c r="T420" s="26">
        <f>IF(OR(I420&lt;=0,R420="Ejecutado"),0,MAX(0,I420-K420))</f>
        <v>1688098.0</v>
      </c>
      <c r="U420" s="24" t="s">
        <v>1369</v>
      </c>
      <c r="V420" s="24" t="s">
        <v>69</v>
      </c>
      <c r="W420" s="24" t="s">
        <v>69</v>
      </c>
      <c r="X420" s="24" t="s">
        <v>69</v>
      </c>
      <c r="Y420" s="24" t="s">
        <v>69</v>
      </c>
      <c r="Z420" s="24" t="s">
        <v>63</v>
      </c>
      <c r="AA420" s="24" t="s">
        <v>63</v>
      </c>
      <c r="AB420" s="24" t="s">
        <v>63</v>
      </c>
      <c r="AC420" s="24" t="s">
        <v>1340</v>
      </c>
    </row>
    <row r="421" spans="1:29">
      <c r="A421" s="24" t="s">
        <v>54</v>
      </c>
      <c r="B421" s="24" t="s">
        <v>968</v>
      </c>
      <c r="C421" s="24" t="s">
        <v>1283</v>
      </c>
      <c r="D421" s="24" t="s">
        <v>63</v>
      </c>
      <c r="E421" s="24" t="s">
        <v>71</v>
      </c>
      <c r="F421" s="24" t="s">
        <v>1376</v>
      </c>
      <c r="G421" s="24" t="s">
        <v>1377</v>
      </c>
      <c r="H421" s="27" t="s">
        <v>1378</v>
      </c>
      <c r="I421" s="25">
        <v>680748</v>
      </c>
      <c r="J421" s="25">
        <v>538302.9199999999</v>
      </c>
      <c r="K421" s="25">
        <v>0</v>
      </c>
      <c r="L421" s="25">
        <v>0</v>
      </c>
      <c r="M421" s="26">
        <f>I421-J421</f>
        <v>142445.08000000007</v>
      </c>
      <c r="N421" s="26">
        <f>J421-K421</f>
        <v>538302.9199999999</v>
      </c>
      <c r="O421" s="26">
        <f>I421-L421</f>
        <v>680748.0</v>
      </c>
      <c r="P421" s="28">
        <f>IF(I421&gt;0,L421/I421,0)</f>
        <v>0.0</v>
      </c>
      <c r="Q421" s="28">
        <f>IF(I421&gt;0,K421/I421,0)</f>
        <v>0.0</v>
      </c>
      <c r="R421" s="24" t="str">
        <f>IF(I421&lt;=0,"Sin PIM",IF(L421/I421&gt;=Config!$B$5,"Ejecutado",IF(K421/I421&gt;=Config!$B$6,"Mayormente comprometido",IF(K421&gt;0.005,"Parcialmente comprometido",IF(J421&gt;0.005,"Solo certificado","Sin certificar")))))</f>
        <v>Solo certificado</v>
      </c>
      <c r="S421" s="24" t="str">
        <f>IF(R421="Sin certificar","Disponible",IF(R421="Solo certificado","Posible",IF(R421="Parcialmente comprometido","Parcial",IF(R421="Mayormente comprometido","Difícil",IF(R421="Ejecutado","No usar","Sin PIM")))))</f>
        <v>Posible</v>
      </c>
      <c r="T421" s="26">
        <f>IF(OR(I421&lt;=0,R421="Ejecutado"),0,MAX(0,I421-K421))</f>
        <v>680748.0</v>
      </c>
      <c r="U421" s="24" t="s">
        <v>1369</v>
      </c>
      <c r="V421" s="24" t="s">
        <v>69</v>
      </c>
      <c r="W421" s="24" t="s">
        <v>69</v>
      </c>
      <c r="X421" s="24" t="s">
        <v>69</v>
      </c>
      <c r="Y421" s="24" t="s">
        <v>69</v>
      </c>
      <c r="Z421" s="24" t="s">
        <v>63</v>
      </c>
      <c r="AA421" s="24" t="s">
        <v>63</v>
      </c>
      <c r="AB421" s="24" t="s">
        <v>63</v>
      </c>
      <c r="AC421" s="24" t="s">
        <v>1340</v>
      </c>
    </row>
    <row r="422" spans="1:29">
      <c r="A422" s="24" t="s">
        <v>54</v>
      </c>
      <c r="B422" s="24" t="s">
        <v>968</v>
      </c>
      <c r="C422" s="24" t="s">
        <v>1283</v>
      </c>
      <c r="D422" s="24" t="s">
        <v>63</v>
      </c>
      <c r="E422" s="24" t="s">
        <v>71</v>
      </c>
      <c r="F422" s="24" t="s">
        <v>1379</v>
      </c>
      <c r="G422" s="24" t="s">
        <v>1380</v>
      </c>
      <c r="H422" s="27" t="s">
        <v>1381</v>
      </c>
      <c r="I422" s="25">
        <v>670100</v>
      </c>
      <c r="J422" s="25">
        <v>532791.97</v>
      </c>
      <c r="K422" s="25">
        <v>0</v>
      </c>
      <c r="L422" s="25">
        <v>0</v>
      </c>
      <c r="M422" s="26">
        <f>I422-J422</f>
        <v>137308.03000000003</v>
      </c>
      <c r="N422" s="26">
        <f>J422-K422</f>
        <v>532791.97</v>
      </c>
      <c r="O422" s="26">
        <f>I422-L422</f>
        <v>670100.0</v>
      </c>
      <c r="P422" s="28">
        <f>IF(I422&gt;0,L422/I422,0)</f>
        <v>0.0</v>
      </c>
      <c r="Q422" s="28">
        <f>IF(I422&gt;0,K422/I422,0)</f>
        <v>0.0</v>
      </c>
      <c r="R422" s="24" t="str">
        <f>IF(I422&lt;=0,"Sin PIM",IF(L422/I422&gt;=Config!$B$5,"Ejecutado",IF(K422/I422&gt;=Config!$B$6,"Mayormente comprometido",IF(K422&gt;0.005,"Parcialmente comprometido",IF(J422&gt;0.005,"Solo certificado","Sin certificar")))))</f>
        <v>Solo certificado</v>
      </c>
      <c r="S422" s="24" t="str">
        <f>IF(R422="Sin certificar","Disponible",IF(R422="Solo certificado","Posible",IF(R422="Parcialmente comprometido","Parcial",IF(R422="Mayormente comprometido","Difícil",IF(R422="Ejecutado","No usar","Sin PIM")))))</f>
        <v>Posible</v>
      </c>
      <c r="T422" s="26">
        <f>IF(OR(I422&lt;=0,R422="Ejecutado"),0,MAX(0,I422-K422))</f>
        <v>670100.0</v>
      </c>
      <c r="U422" s="24" t="s">
        <v>1369</v>
      </c>
      <c r="V422" s="24" t="s">
        <v>69</v>
      </c>
      <c r="W422" s="24" t="s">
        <v>69</v>
      </c>
      <c r="X422" s="24" t="s">
        <v>69</v>
      </c>
      <c r="Y422" s="24" t="s">
        <v>69</v>
      </c>
      <c r="Z422" s="24" t="s">
        <v>63</v>
      </c>
      <c r="AA422" s="24" t="s">
        <v>63</v>
      </c>
      <c r="AB422" s="24" t="s">
        <v>63</v>
      </c>
      <c r="AC422" s="24" t="s">
        <v>1340</v>
      </c>
    </row>
    <row r="423" spans="1:29">
      <c r="A423" s="24" t="s">
        <v>54</v>
      </c>
      <c r="B423" s="24" t="s">
        <v>968</v>
      </c>
      <c r="C423" s="24" t="s">
        <v>1283</v>
      </c>
      <c r="D423" s="24" t="s">
        <v>63</v>
      </c>
      <c r="E423" s="24" t="s">
        <v>71</v>
      </c>
      <c r="F423" s="24" t="s">
        <v>1382</v>
      </c>
      <c r="G423" s="24" t="s">
        <v>1383</v>
      </c>
      <c r="H423" s="27" t="s">
        <v>1384</v>
      </c>
      <c r="I423" s="25">
        <v>388514</v>
      </c>
      <c r="J423" s="25">
        <v>269223.84</v>
      </c>
      <c r="K423" s="25">
        <v>0</v>
      </c>
      <c r="L423" s="25">
        <v>0</v>
      </c>
      <c r="M423" s="26">
        <f>I423-J423</f>
        <v>119290.16000000003</v>
      </c>
      <c r="N423" s="26">
        <f>J423-K423</f>
        <v>269223.83999999997</v>
      </c>
      <c r="O423" s="26">
        <f>I423-L423</f>
        <v>388514.0</v>
      </c>
      <c r="P423" s="28">
        <f>IF(I423&gt;0,L423/I423,0)</f>
        <v>0.0</v>
      </c>
      <c r="Q423" s="28">
        <f>IF(I423&gt;0,K423/I423,0)</f>
        <v>0.0</v>
      </c>
      <c r="R423" s="24" t="str">
        <f>IF(I423&lt;=0,"Sin PIM",IF(L423/I423&gt;=Config!$B$5,"Ejecutado",IF(K423/I423&gt;=Config!$B$6,"Mayormente comprometido",IF(K423&gt;0.005,"Parcialmente comprometido",IF(J423&gt;0.005,"Solo certificado","Sin certificar")))))</f>
        <v>Solo certificado</v>
      </c>
      <c r="S423" s="24" t="str">
        <f>IF(R423="Sin certificar","Disponible",IF(R423="Solo certificado","Posible",IF(R423="Parcialmente comprometido","Parcial",IF(R423="Mayormente comprometido","Difícil",IF(R423="Ejecutado","No usar","Sin PIM")))))</f>
        <v>Posible</v>
      </c>
      <c r="T423" s="26">
        <f>IF(OR(I423&lt;=0,R423="Ejecutado"),0,MAX(0,I423-K423))</f>
        <v>388514.0</v>
      </c>
      <c r="U423" s="24" t="s">
        <v>1369</v>
      </c>
      <c r="V423" s="24" t="s">
        <v>69</v>
      </c>
      <c r="W423" s="24" t="s">
        <v>69</v>
      </c>
      <c r="X423" s="24" t="s">
        <v>69</v>
      </c>
      <c r="Y423" s="24" t="s">
        <v>69</v>
      </c>
      <c r="Z423" s="24" t="s">
        <v>63</v>
      </c>
      <c r="AA423" s="24" t="s">
        <v>63</v>
      </c>
      <c r="AB423" s="24" t="s">
        <v>63</v>
      </c>
      <c r="AC423" s="24" t="s">
        <v>1340</v>
      </c>
    </row>
    <row r="424" spans="1:29">
      <c r="A424" s="24" t="s">
        <v>54</v>
      </c>
      <c r="B424" s="24" t="s">
        <v>968</v>
      </c>
      <c r="C424" s="24" t="s">
        <v>1283</v>
      </c>
      <c r="D424" s="24" t="s">
        <v>63</v>
      </c>
      <c r="E424" s="24" t="s">
        <v>71</v>
      </c>
      <c r="F424" s="24" t="s">
        <v>1385</v>
      </c>
      <c r="G424" s="24" t="s">
        <v>1386</v>
      </c>
      <c r="H424" s="27" t="s">
        <v>1387</v>
      </c>
      <c r="I424" s="25">
        <v>542416</v>
      </c>
      <c r="J424" s="25">
        <v>401911.51</v>
      </c>
      <c r="K424" s="25">
        <v>0</v>
      </c>
      <c r="L424" s="25">
        <v>0</v>
      </c>
      <c r="M424" s="26">
        <f>I424-J424</f>
        <v>140504.49</v>
      </c>
      <c r="N424" s="26">
        <f>J424-K424</f>
        <v>401911.51</v>
      </c>
      <c r="O424" s="26">
        <f>I424-L424</f>
        <v>542416.0</v>
      </c>
      <c r="P424" s="28">
        <f>IF(I424&gt;0,L424/I424,0)</f>
        <v>0.0</v>
      </c>
      <c r="Q424" s="28">
        <f>IF(I424&gt;0,K424/I424,0)</f>
        <v>0.0</v>
      </c>
      <c r="R424" s="24" t="str">
        <f>IF(I424&lt;=0,"Sin PIM",IF(L424/I424&gt;=Config!$B$5,"Ejecutado",IF(K424/I424&gt;=Config!$B$6,"Mayormente comprometido",IF(K424&gt;0.005,"Parcialmente comprometido",IF(J424&gt;0.005,"Solo certificado","Sin certificar")))))</f>
        <v>Solo certificado</v>
      </c>
      <c r="S424" s="24" t="str">
        <f>IF(R424="Sin certificar","Disponible",IF(R424="Solo certificado","Posible",IF(R424="Parcialmente comprometido","Parcial",IF(R424="Mayormente comprometido","Difícil",IF(R424="Ejecutado","No usar","Sin PIM")))))</f>
        <v>Posible</v>
      </c>
      <c r="T424" s="26">
        <f>IF(OR(I424&lt;=0,R424="Ejecutado"),0,MAX(0,I424-K424))</f>
        <v>542416.0</v>
      </c>
      <c r="U424" s="24" t="s">
        <v>1369</v>
      </c>
      <c r="V424" s="24" t="s">
        <v>69</v>
      </c>
      <c r="W424" s="24" t="s">
        <v>69</v>
      </c>
      <c r="X424" s="24" t="s">
        <v>69</v>
      </c>
      <c r="Y424" s="24" t="s">
        <v>69</v>
      </c>
      <c r="Z424" s="24" t="s">
        <v>63</v>
      </c>
      <c r="AA424" s="24" t="s">
        <v>63</v>
      </c>
      <c r="AB424" s="24" t="s">
        <v>63</v>
      </c>
      <c r="AC424" s="24" t="s">
        <v>1340</v>
      </c>
    </row>
    <row r="425" spans="1:29">
      <c r="A425" s="24" t="s">
        <v>54</v>
      </c>
      <c r="B425" s="24" t="s">
        <v>968</v>
      </c>
      <c r="C425" s="24" t="s">
        <v>1283</v>
      </c>
      <c r="D425" s="24" t="s">
        <v>63</v>
      </c>
      <c r="E425" s="24" t="s">
        <v>71</v>
      </c>
      <c r="F425" s="24" t="s">
        <v>1388</v>
      </c>
      <c r="G425" s="24" t="s">
        <v>1389</v>
      </c>
      <c r="H425" s="27" t="s">
        <v>1390</v>
      </c>
      <c r="I425" s="25">
        <v>928545</v>
      </c>
      <c r="J425" s="25">
        <v>0</v>
      </c>
      <c r="K425" s="25">
        <v>0</v>
      </c>
      <c r="L425" s="25">
        <v>0</v>
      </c>
      <c r="M425" s="26">
        <f>I425-J425</f>
        <v>928545.0</v>
      </c>
      <c r="N425" s="26">
        <f>J425-K425</f>
        <v>0.0</v>
      </c>
      <c r="O425" s="26">
        <f>I425-L425</f>
        <v>928545.0</v>
      </c>
      <c r="P425" s="28">
        <f>IF(I425&gt;0,L425/I425,0)</f>
        <v>0.0</v>
      </c>
      <c r="Q425" s="28">
        <f>IF(I425&gt;0,K425/I425,0)</f>
        <v>0.0</v>
      </c>
      <c r="R425" s="24" t="str">
        <f>IF(I425&lt;=0,"Sin PIM",IF(L425/I425&gt;=Config!$B$5,"Ejecutado",IF(K425/I425&gt;=Config!$B$6,"Mayormente comprometido",IF(K425&gt;0.005,"Parcialmente comprometido",IF(J425&gt;0.005,"Solo certificado","Sin certificar")))))</f>
        <v>Sin certificar</v>
      </c>
      <c r="S425" s="24" t="str">
        <f>IF(R425="Sin certificar","Disponible",IF(R425="Solo certificado","Posible",IF(R425="Parcialmente comprometido","Parcial",IF(R425="Mayormente comprometido","Difícil",IF(R425="Ejecutado","No usar","Sin PIM")))))</f>
        <v>Disponible</v>
      </c>
      <c r="T425" s="26">
        <f>IF(OR(I425&lt;=0,R425="Ejecutado"),0,MAX(0,I425-K425))</f>
        <v>928545.0</v>
      </c>
      <c r="U425" s="24" t="s">
        <v>397</v>
      </c>
      <c r="V425" s="24" t="s">
        <v>69</v>
      </c>
      <c r="W425" s="24" t="s">
        <v>69</v>
      </c>
      <c r="X425" s="24" t="s">
        <v>69</v>
      </c>
      <c r="Y425" s="24" t="s">
        <v>69</v>
      </c>
      <c r="Z425" s="24" t="s">
        <v>63</v>
      </c>
      <c r="AA425" s="24" t="s">
        <v>63</v>
      </c>
      <c r="AB425" s="24" t="s">
        <v>63</v>
      </c>
      <c r="AC425" s="24" t="s">
        <v>1340</v>
      </c>
    </row>
    <row r="426" spans="1:29">
      <c r="A426" s="24" t="s">
        <v>54</v>
      </c>
      <c r="B426" s="24" t="s">
        <v>968</v>
      </c>
      <c r="C426" s="24" t="s">
        <v>1283</v>
      </c>
      <c r="D426" s="24" t="s">
        <v>63</v>
      </c>
      <c r="E426" s="24" t="s">
        <v>71</v>
      </c>
      <c r="F426" s="24" t="s">
        <v>1391</v>
      </c>
      <c r="G426" s="24" t="s">
        <v>1392</v>
      </c>
      <c r="H426" s="27" t="s">
        <v>1393</v>
      </c>
      <c r="I426" s="25">
        <v>70059</v>
      </c>
      <c r="J426" s="25">
        <v>70057.89999999999</v>
      </c>
      <c r="K426" s="25">
        <v>70057.89999999999</v>
      </c>
      <c r="L426" s="25">
        <v>70029.94</v>
      </c>
      <c r="M426" s="26">
        <f>I426-J426</f>
        <v>1.1000000000058208</v>
      </c>
      <c r="N426" s="26">
        <f>J426-K426</f>
        <v>0.0</v>
      </c>
      <c r="O426" s="26">
        <f>I426-L426</f>
        <v>29.05999999999767</v>
      </c>
      <c r="P426" s="28">
        <f>IF(I426&gt;0,L426/I426,0)</f>
        <v>0.9995852067543071</v>
      </c>
      <c r="Q426" s="28">
        <f>IF(I426&gt;0,K426/I426,0)</f>
        <v>0.9999842989480294</v>
      </c>
      <c r="R426" s="24" t="str">
        <f>IF(I426&lt;=0,"Sin PIM",IF(L426/I426&gt;=Config!$B$5,"Ejecutado",IF(K426/I426&gt;=Config!$B$6,"Mayormente comprometido",IF(K426&gt;0.005,"Parcialmente comprometido",IF(J426&gt;0.005,"Solo certificado","Sin certificar")))))</f>
        <v>Ejecutado</v>
      </c>
      <c r="S426" s="24" t="str">
        <f>IF(R426="Sin certificar","Disponible",IF(R426="Solo certificado","Posible",IF(R426="Parcialmente comprometido","Parcial",IF(R426="Mayormente comprometido","Difícil",IF(R426="Ejecutado","No usar","Sin PIM")))))</f>
        <v>No usar</v>
      </c>
      <c r="T426" s="26">
        <f>IF(OR(I426&lt;=0,R426="Ejecutado"),0,MAX(0,I426-K426))</f>
        <v>0.0</v>
      </c>
      <c r="U426" s="24" t="s">
        <v>1394</v>
      </c>
      <c r="V426" s="25">
        <v>105988</v>
      </c>
      <c r="W426" s="25">
        <v>0</v>
      </c>
      <c r="X426" s="25">
        <v>35929</v>
      </c>
      <c r="Y426" s="25">
        <v>0</v>
      </c>
      <c r="Z426" s="24" t="s">
        <v>63</v>
      </c>
      <c r="AA426" s="24" t="s">
        <v>63</v>
      </c>
      <c r="AB426" s="24" t="s">
        <v>63</v>
      </c>
      <c r="AC426" s="24" t="s">
        <v>643</v>
      </c>
    </row>
    <row r="427" spans="1:29">
      <c r="A427" s="24" t="s">
        <v>54</v>
      </c>
      <c r="B427" s="24" t="s">
        <v>968</v>
      </c>
      <c r="C427" s="24" t="s">
        <v>1283</v>
      </c>
      <c r="D427" s="24" t="s">
        <v>63</v>
      </c>
      <c r="E427" s="24" t="s">
        <v>71</v>
      </c>
      <c r="F427" s="24" t="s">
        <v>1395</v>
      </c>
      <c r="G427" s="24" t="s">
        <v>1396</v>
      </c>
      <c r="H427" s="27" t="s">
        <v>1397</v>
      </c>
      <c r="I427" s="25">
        <v>100785</v>
      </c>
      <c r="J427" s="25">
        <v>100589.42</v>
      </c>
      <c r="K427" s="25">
        <v>95863.67</v>
      </c>
      <c r="L427" s="25">
        <v>88974.89</v>
      </c>
      <c r="M427" s="26">
        <f>I427-J427</f>
        <v>195.58000000000175</v>
      </c>
      <c r="N427" s="26">
        <f>J427-K427</f>
        <v>4725.75</v>
      </c>
      <c r="O427" s="26">
        <f>I427-L427</f>
        <v>11810.11</v>
      </c>
      <c r="P427" s="28">
        <f>IF(I427&gt;0,L427/I427,0)</f>
        <v>0.8828187726348167</v>
      </c>
      <c r="Q427" s="28">
        <f>IF(I427&gt;0,K427/I427,0)</f>
        <v>0.9511700153792727</v>
      </c>
      <c r="R427" s="24" t="str">
        <f>IF(I427&lt;=0,"Sin PIM",IF(L427/I427&gt;=Config!$B$5,"Ejecutado",IF(K427/I427&gt;=Config!$B$6,"Mayormente comprometido",IF(K427&gt;0.005,"Parcialmente comprometido",IF(J427&gt;0.005,"Solo certificado","Sin certificar")))))</f>
        <v>Mayormente comprometido</v>
      </c>
      <c r="S427" s="24" t="str">
        <f>IF(R427="Sin certificar","Disponible",IF(R427="Solo certificado","Posible",IF(R427="Parcialmente comprometido","Parcial",IF(R427="Mayormente comprometido","Difícil",IF(R427="Ejecutado","No usar","Sin PIM")))))</f>
        <v>Difícil</v>
      </c>
      <c r="T427" s="26">
        <f>IF(OR(I427&lt;=0,R427="Ejecutado"),0,MAX(0,I427-K427))</f>
        <v>4921.330000000002</v>
      </c>
      <c r="U427" s="24" t="s">
        <v>1398</v>
      </c>
      <c r="V427" s="25">
        <v>155899</v>
      </c>
      <c r="W427" s="25">
        <v>0</v>
      </c>
      <c r="X427" s="25">
        <v>55114</v>
      </c>
      <c r="Y427" s="25">
        <v>0</v>
      </c>
      <c r="Z427" s="24" t="s">
        <v>63</v>
      </c>
      <c r="AA427" s="24" t="s">
        <v>63</v>
      </c>
      <c r="AB427" s="24" t="s">
        <v>63</v>
      </c>
      <c r="AC427" s="24" t="s">
        <v>643</v>
      </c>
    </row>
    <row r="428" spans="1:29">
      <c r="A428" s="24" t="s">
        <v>54</v>
      </c>
      <c r="B428" s="24" t="s">
        <v>968</v>
      </c>
      <c r="C428" s="24" t="s">
        <v>1283</v>
      </c>
      <c r="D428" s="24" t="s">
        <v>63</v>
      </c>
      <c r="E428" s="24" t="s">
        <v>71</v>
      </c>
      <c r="F428" s="24" t="s">
        <v>1399</v>
      </c>
      <c r="G428" s="24" t="s">
        <v>1400</v>
      </c>
      <c r="H428" s="27" t="s">
        <v>1401</v>
      </c>
      <c r="I428" s="25">
        <v>195079</v>
      </c>
      <c r="J428" s="25">
        <v>186354</v>
      </c>
      <c r="K428" s="25">
        <v>186354</v>
      </c>
      <c r="L428" s="25">
        <v>176804.43</v>
      </c>
      <c r="M428" s="26">
        <f>I428-J428</f>
        <v>8725.0</v>
      </c>
      <c r="N428" s="26">
        <f>J428-K428</f>
        <v>0.0</v>
      </c>
      <c r="O428" s="26">
        <f>I428-L428</f>
        <v>18274.570000000007</v>
      </c>
      <c r="P428" s="28">
        <f>IF(I428&gt;0,L428/I428,0)</f>
        <v>0.9063222079260197</v>
      </c>
      <c r="Q428" s="28">
        <f>IF(I428&gt;0,K428/I428,0)</f>
        <v>0.9552745298058735</v>
      </c>
      <c r="R428" s="24" t="str">
        <f>IF(I428&lt;=0,"Sin PIM",IF(L428/I428&gt;=Config!$B$5,"Ejecutado",IF(K428/I428&gt;=Config!$B$6,"Mayormente comprometido",IF(K428&gt;0.005,"Parcialmente comprometido",IF(J428&gt;0.005,"Solo certificado","Sin certificar")))))</f>
        <v>Ejecutado</v>
      </c>
      <c r="S428" s="24" t="str">
        <f>IF(R428="Sin certificar","Disponible",IF(R428="Solo certificado","Posible",IF(R428="Parcialmente comprometido","Parcial",IF(R428="Mayormente comprometido","Difícil",IF(R428="Ejecutado","No usar","Sin PIM")))))</f>
        <v>No usar</v>
      </c>
      <c r="T428" s="26">
        <f>IF(OR(I428&lt;=0,R428="Ejecutado"),0,MAX(0,I428-K428))</f>
        <v>0.0</v>
      </c>
      <c r="U428" s="24" t="s">
        <v>79</v>
      </c>
      <c r="V428" s="25">
        <v>195079</v>
      </c>
      <c r="W428" s="25">
        <v>23547</v>
      </c>
      <c r="X428" s="25">
        <v>1</v>
      </c>
      <c r="Y428" s="25">
        <v>0</v>
      </c>
      <c r="Z428" s="24" t="s">
        <v>63</v>
      </c>
      <c r="AA428" s="24" t="s">
        <v>63</v>
      </c>
      <c r="AB428" s="24" t="s">
        <v>63</v>
      </c>
      <c r="AC428" s="24" t="s">
        <v>643</v>
      </c>
    </row>
    <row r="429" spans="1:29">
      <c r="A429" s="24" t="s">
        <v>54</v>
      </c>
      <c r="B429" s="24" t="s">
        <v>968</v>
      </c>
      <c r="C429" s="24" t="s">
        <v>1283</v>
      </c>
      <c r="D429" s="24" t="s">
        <v>63</v>
      </c>
      <c r="E429" s="24" t="s">
        <v>1225</v>
      </c>
      <c r="F429" s="24" t="s">
        <v>1402</v>
      </c>
      <c r="G429" s="24" t="s">
        <v>1403</v>
      </c>
      <c r="H429" s="27" t="s">
        <v>1404</v>
      </c>
      <c r="I429" s="25">
        <v>6654893</v>
      </c>
      <c r="J429" s="25">
        <v>6543805.689999999</v>
      </c>
      <c r="K429" s="25">
        <v>5755749.69</v>
      </c>
      <c r="L429" s="25">
        <v>5720622.970000001</v>
      </c>
      <c r="M429" s="26">
        <f>I429-J429</f>
        <v>111087.31000000052</v>
      </c>
      <c r="N429" s="26">
        <f>J429-K429</f>
        <v>788055.9999999991</v>
      </c>
      <c r="O429" s="26">
        <f>I429-L429</f>
        <v>934270.0299999993</v>
      </c>
      <c r="P429" s="28">
        <f>IF(I429&gt;0,L429/I429,0)</f>
        <v>0.8596115624999532</v>
      </c>
      <c r="Q429" s="28">
        <f>IF(I429&gt;0,K429/I429,0)</f>
        <v>0.8648898922942864</v>
      </c>
      <c r="R429" s="24" t="str">
        <f>IF(I429&lt;=0,"Sin PIM",IF(L429/I429&gt;=Config!$B$5,"Ejecutado",IF(K429/I429&gt;=Config!$B$6,"Mayormente comprometido",IF(K429&gt;0.005,"Parcialmente comprometido",IF(J429&gt;0.005,"Solo certificado","Sin certificar")))))</f>
        <v>Mayormente comprometido</v>
      </c>
      <c r="S429" s="24" t="str">
        <f>IF(R429="Sin certificar","Disponible",IF(R429="Solo certificado","Posible",IF(R429="Parcialmente comprometido","Parcial",IF(R429="Mayormente comprometido","Difícil",IF(R429="Ejecutado","No usar","Sin PIM")))))</f>
        <v>Difícil</v>
      </c>
      <c r="T429" s="26">
        <f>IF(OR(I429&lt;=0,R429="Ejecutado"),0,MAX(0,I429-K429))</f>
        <v>899143.3099999996</v>
      </c>
      <c r="U429" s="24" t="s">
        <v>275</v>
      </c>
      <c r="V429" s="25">
        <v>100000</v>
      </c>
      <c r="W429" s="25">
        <v>218816</v>
      </c>
      <c r="X429" s="25">
        <v>309853</v>
      </c>
      <c r="Y429" s="25">
        <v>0</v>
      </c>
      <c r="Z429" s="24" t="s">
        <v>63</v>
      </c>
      <c r="AA429" s="24" t="s">
        <v>63</v>
      </c>
      <c r="AB429" s="24" t="s">
        <v>63</v>
      </c>
      <c r="AC429" s="24" t="s">
        <v>643</v>
      </c>
    </row>
    <row r="430" spans="1:29">
      <c r="A430" s="24" t="s">
        <v>54</v>
      </c>
      <c r="B430" s="24" t="s">
        <v>968</v>
      </c>
      <c r="C430" s="24" t="s">
        <v>1283</v>
      </c>
      <c r="D430" s="24" t="s">
        <v>63</v>
      </c>
      <c r="E430" s="24" t="s">
        <v>1225</v>
      </c>
      <c r="F430" s="24" t="s">
        <v>1405</v>
      </c>
      <c r="G430" s="24" t="s">
        <v>1406</v>
      </c>
      <c r="H430" s="27" t="s">
        <v>1407</v>
      </c>
      <c r="I430" s="25">
        <v>5281360</v>
      </c>
      <c r="J430" s="25">
        <v>4436688.09</v>
      </c>
      <c r="K430" s="25">
        <v>176909.69</v>
      </c>
      <c r="L430" s="25">
        <v>140516.63</v>
      </c>
      <c r="M430" s="26">
        <f>I430-J430</f>
        <v>844671.9100000001</v>
      </c>
      <c r="N430" s="26">
        <f>J430-K430</f>
        <v>4259778.399999999</v>
      </c>
      <c r="O430" s="26">
        <f>I430-L430</f>
        <v>5140843.37</v>
      </c>
      <c r="P430" s="28">
        <f>IF(I430&gt;0,L430/I430,0)</f>
        <v>0.026606145008103974</v>
      </c>
      <c r="Q430" s="28">
        <f>IF(I430&gt;0,K430/I430,0)</f>
        <v>0.03349699509217323</v>
      </c>
      <c r="R430" s="24" t="str">
        <f>IF(I430&lt;=0,"Sin PIM",IF(L430/I430&gt;=Config!$B$5,"Ejecutado",IF(K430/I430&gt;=Config!$B$6,"Mayormente comprometido",IF(K430&gt;0.005,"Parcialmente comprometido",IF(J430&gt;0.005,"Solo certificado","Sin certificar")))))</f>
        <v>Parcialmente comprometido</v>
      </c>
      <c r="S430" s="24" t="str">
        <f>IF(R430="Sin certificar","Disponible",IF(R430="Solo certificado","Posible",IF(R430="Parcialmente comprometido","Parcial",IF(R430="Mayormente comprometido","Difícil",IF(R430="Ejecutado","No usar","Sin PIM")))))</f>
        <v>Parcial</v>
      </c>
      <c r="T430" s="26">
        <f>IF(OR(I430&lt;=0,R430="Ejecutado"),0,MAX(0,I430-K430))</f>
        <v>5104450.31</v>
      </c>
      <c r="U430" s="24" t="s">
        <v>275</v>
      </c>
      <c r="V430" s="25">
        <v>5358341</v>
      </c>
      <c r="W430" s="25">
        <v>6902686</v>
      </c>
      <c r="X430" s="25">
        <v>800000</v>
      </c>
      <c r="Y430" s="25">
        <v>800000</v>
      </c>
      <c r="Z430" s="24" t="s">
        <v>63</v>
      </c>
      <c r="AA430" s="24" t="s">
        <v>63</v>
      </c>
      <c r="AB430" s="24" t="s">
        <v>63</v>
      </c>
      <c r="AC430" s="24" t="s">
        <v>643</v>
      </c>
    </row>
    <row r="431" spans="1:29">
      <c r="A431" s="24" t="s">
        <v>54</v>
      </c>
      <c r="B431" s="24" t="s">
        <v>968</v>
      </c>
      <c r="C431" s="24" t="s">
        <v>1283</v>
      </c>
      <c r="D431" s="24" t="s">
        <v>63</v>
      </c>
      <c r="E431" s="24" t="s">
        <v>277</v>
      </c>
      <c r="F431" s="24" t="s">
        <v>1408</v>
      </c>
      <c r="G431" s="24" t="s">
        <v>1409</v>
      </c>
      <c r="H431" s="27" t="s">
        <v>1410</v>
      </c>
      <c r="I431" s="25">
        <v>0</v>
      </c>
      <c r="J431" s="25">
        <v>0</v>
      </c>
      <c r="K431" s="25">
        <v>0</v>
      </c>
      <c r="L431" s="25">
        <v>0</v>
      </c>
      <c r="M431" s="26">
        <f>I431-J431</f>
        <v>0.0</v>
      </c>
      <c r="N431" s="26">
        <f>J431-K431</f>
        <v>0.0</v>
      </c>
      <c r="O431" s="26">
        <f>I431-L431</f>
        <v>0.0</v>
      </c>
      <c r="P431" s="28">
        <f>IF(I431&gt;0,L431/I431,0)</f>
        <v>0</v>
      </c>
      <c r="Q431" s="28">
        <f>IF(I431&gt;0,K431/I431,0)</f>
        <v>0</v>
      </c>
      <c r="R431" s="24" t="str">
        <f>IF(I431&lt;=0,"Sin PIM",IF(L431/I431&gt;=Config!$B$5,"Ejecutado",IF(K431/I431&gt;=Config!$B$6,"Mayormente comprometido",IF(K431&gt;0.005,"Parcialmente comprometido",IF(J431&gt;0.005,"Solo certificado","Sin certificar")))))</f>
        <v>Sin PIM</v>
      </c>
      <c r="S431" s="24" t="str">
        <f>IF(R431="Sin certificar","Disponible",IF(R431="Solo certificado","Posible",IF(R431="Parcialmente comprometido","Parcial",IF(R431="Mayormente comprometido","Difícil",IF(R431="Ejecutado","No usar","Sin PIM")))))</f>
        <v>Sin PIM</v>
      </c>
      <c r="T431" s="26">
        <f>IF(OR(I431&lt;=0,R431="Ejecutado"),0,MAX(0,I431-K431))</f>
        <v>0.0</v>
      </c>
      <c r="U431" s="24" t="s">
        <v>105</v>
      </c>
      <c r="V431" s="25">
        <v>200000</v>
      </c>
      <c r="W431" s="25">
        <v>0</v>
      </c>
      <c r="X431" s="25">
        <v>0</v>
      </c>
      <c r="Y431" s="25">
        <v>0</v>
      </c>
      <c r="Z431" s="24" t="s">
        <v>63</v>
      </c>
      <c r="AA431" s="24" t="s">
        <v>63</v>
      </c>
      <c r="AB431" s="24" t="s">
        <v>63</v>
      </c>
      <c r="AC431" s="24" t="s">
        <v>643</v>
      </c>
    </row>
    <row r="432" spans="1:29">
      <c r="A432" s="24" t="s">
        <v>54</v>
      </c>
      <c r="B432" s="24" t="s">
        <v>968</v>
      </c>
      <c r="C432" s="24" t="s">
        <v>1411</v>
      </c>
      <c r="D432" s="24" t="s">
        <v>63</v>
      </c>
      <c r="E432" s="24" t="s">
        <v>63</v>
      </c>
      <c r="F432" s="24" t="s">
        <v>1412</v>
      </c>
      <c r="G432" s="24" t="s">
        <v>1413</v>
      </c>
      <c r="H432" s="27" t="s">
        <v>1414</v>
      </c>
      <c r="I432" s="25">
        <v>185239</v>
      </c>
      <c r="J432" s="25">
        <v>0</v>
      </c>
      <c r="K432" s="25">
        <v>0</v>
      </c>
      <c r="L432" s="25">
        <v>0</v>
      </c>
      <c r="M432" s="26">
        <f>I432-J432</f>
        <v>185239.0</v>
      </c>
      <c r="N432" s="26">
        <f>J432-K432</f>
        <v>0.0</v>
      </c>
      <c r="O432" s="26">
        <f>I432-L432</f>
        <v>185239.0</v>
      </c>
      <c r="P432" s="28">
        <f>IF(I432&gt;0,L432/I432,0)</f>
        <v>0.0</v>
      </c>
      <c r="Q432" s="28">
        <f>IF(I432&gt;0,K432/I432,0)</f>
        <v>0.0</v>
      </c>
      <c r="R432" s="24" t="str">
        <f>IF(I432&lt;=0,"Sin PIM",IF(L432/I432&gt;=Config!$B$5,"Ejecutado",IF(K432/I432&gt;=Config!$B$6,"Mayormente comprometido",IF(K432&gt;0.005,"Parcialmente comprometido",IF(J432&gt;0.005,"Solo certificado","Sin certificar")))))</f>
        <v>Sin certificar</v>
      </c>
      <c r="S432" s="24" t="str">
        <f>IF(R432="Sin certificar","Disponible",IF(R432="Solo certificado","Posible",IF(R432="Parcialmente comprometido","Parcial",IF(R432="Mayormente comprometido","Difícil",IF(R432="Ejecutado","No usar","Sin PIM")))))</f>
        <v>Disponible</v>
      </c>
      <c r="T432" s="26">
        <f>IF(OR(I432&lt;=0,R432="Ejecutado"),0,MAX(0,I432-K432))</f>
        <v>185239.0</v>
      </c>
      <c r="U432" s="24" t="s">
        <v>994</v>
      </c>
      <c r="V432" s="24" t="s">
        <v>69</v>
      </c>
      <c r="W432" s="24" t="s">
        <v>69</v>
      </c>
      <c r="X432" s="24" t="s">
        <v>69</v>
      </c>
      <c r="Y432" s="24" t="s">
        <v>69</v>
      </c>
      <c r="Z432" s="24" t="s">
        <v>63</v>
      </c>
      <c r="AA432" s="24" t="s">
        <v>63</v>
      </c>
      <c r="AB432" s="24" t="s">
        <v>63</v>
      </c>
      <c r="AC432" s="24" t="s">
        <v>1415</v>
      </c>
    </row>
    <row r="433" spans="1:29">
      <c r="A433" s="24" t="s">
        <v>54</v>
      </c>
      <c r="B433" s="24" t="s">
        <v>968</v>
      </c>
      <c r="C433" s="24" t="s">
        <v>1411</v>
      </c>
      <c r="D433" s="24" t="s">
        <v>63</v>
      </c>
      <c r="E433" s="24" t="s">
        <v>63</v>
      </c>
      <c r="F433" s="24" t="s">
        <v>1412</v>
      </c>
      <c r="G433" s="24" t="s">
        <v>1416</v>
      </c>
      <c r="H433" s="27" t="s">
        <v>1414</v>
      </c>
      <c r="I433" s="25">
        <v>39457</v>
      </c>
      <c r="J433" s="25">
        <v>0</v>
      </c>
      <c r="K433" s="25">
        <v>0</v>
      </c>
      <c r="L433" s="25">
        <v>0</v>
      </c>
      <c r="M433" s="26">
        <f>I433-J433</f>
        <v>39457.0</v>
      </c>
      <c r="N433" s="26">
        <f>J433-K433</f>
        <v>0.0</v>
      </c>
      <c r="O433" s="26">
        <f>I433-L433</f>
        <v>39457.0</v>
      </c>
      <c r="P433" s="28">
        <f>IF(I433&gt;0,L433/I433,0)</f>
        <v>0.0</v>
      </c>
      <c r="Q433" s="28">
        <f>IF(I433&gt;0,K433/I433,0)</f>
        <v>0.0</v>
      </c>
      <c r="R433" s="24" t="str">
        <f>IF(I433&lt;=0,"Sin PIM",IF(L433/I433&gt;=Config!$B$5,"Ejecutado",IF(K433/I433&gt;=Config!$B$6,"Mayormente comprometido",IF(K433&gt;0.005,"Parcialmente comprometido",IF(J433&gt;0.005,"Solo certificado","Sin certificar")))))</f>
        <v>Sin certificar</v>
      </c>
      <c r="S433" s="24" t="str">
        <f>IF(R433="Sin certificar","Disponible",IF(R433="Solo certificado","Posible",IF(R433="Parcialmente comprometido","Parcial",IF(R433="Mayormente comprometido","Difícil",IF(R433="Ejecutado","No usar","Sin PIM")))))</f>
        <v>Disponible</v>
      </c>
      <c r="T433" s="26">
        <f>IF(OR(I433&lt;=0,R433="Ejecutado"),0,MAX(0,I433-K433))</f>
        <v>39457.0</v>
      </c>
      <c r="U433" s="24" t="s">
        <v>994</v>
      </c>
      <c r="V433" s="24" t="s">
        <v>69</v>
      </c>
      <c r="W433" s="24" t="s">
        <v>69</v>
      </c>
      <c r="X433" s="24" t="s">
        <v>69</v>
      </c>
      <c r="Y433" s="24" t="s">
        <v>69</v>
      </c>
      <c r="Z433" s="24" t="s">
        <v>63</v>
      </c>
      <c r="AA433" s="24" t="s">
        <v>63</v>
      </c>
      <c r="AB433" s="24" t="s">
        <v>63</v>
      </c>
      <c r="AC433" s="24" t="s">
        <v>1415</v>
      </c>
    </row>
    <row r="434" spans="1:29">
      <c r="A434" s="24" t="s">
        <v>54</v>
      </c>
      <c r="B434" s="24" t="s">
        <v>968</v>
      </c>
      <c r="C434" s="24" t="s">
        <v>1411</v>
      </c>
      <c r="D434" s="24" t="s">
        <v>63</v>
      </c>
      <c r="E434" s="24" t="s">
        <v>63</v>
      </c>
      <c r="F434" s="24" t="s">
        <v>1412</v>
      </c>
      <c r="G434" s="24" t="s">
        <v>1417</v>
      </c>
      <c r="H434" s="27" t="s">
        <v>1414</v>
      </c>
      <c r="I434" s="25">
        <v>0</v>
      </c>
      <c r="J434" s="25">
        <v>0</v>
      </c>
      <c r="K434" s="25">
        <v>0</v>
      </c>
      <c r="L434" s="25">
        <v>0</v>
      </c>
      <c r="M434" s="26">
        <f>I434-J434</f>
        <v>0.0</v>
      </c>
      <c r="N434" s="26">
        <f>J434-K434</f>
        <v>0.0</v>
      </c>
      <c r="O434" s="26">
        <f>I434-L434</f>
        <v>0.0</v>
      </c>
      <c r="P434" s="28">
        <f>IF(I434&gt;0,L434/I434,0)</f>
        <v>0</v>
      </c>
      <c r="Q434" s="28">
        <f>IF(I434&gt;0,K434/I434,0)</f>
        <v>0</v>
      </c>
      <c r="R434" s="24" t="str">
        <f>IF(I434&lt;=0,"Sin PIM",IF(L434/I434&gt;=Config!$B$5,"Ejecutado",IF(K434/I434&gt;=Config!$B$6,"Mayormente comprometido",IF(K434&gt;0.005,"Parcialmente comprometido",IF(J434&gt;0.005,"Solo certificado","Sin certificar")))))</f>
        <v>Sin PIM</v>
      </c>
      <c r="S434" s="24" t="str">
        <f>IF(R434="Sin certificar","Disponible",IF(R434="Solo certificado","Posible",IF(R434="Parcialmente comprometido","Parcial",IF(R434="Mayormente comprometido","Difícil",IF(R434="Ejecutado","No usar","Sin PIM")))))</f>
        <v>Sin PIM</v>
      </c>
      <c r="T434" s="26">
        <f>IF(OR(I434&lt;=0,R434="Ejecutado"),0,MAX(0,I434-K434))</f>
        <v>0.0</v>
      </c>
      <c r="U434" s="24" t="s">
        <v>994</v>
      </c>
      <c r="V434" s="24" t="s">
        <v>69</v>
      </c>
      <c r="W434" s="24" t="s">
        <v>69</v>
      </c>
      <c r="X434" s="24" t="s">
        <v>69</v>
      </c>
      <c r="Y434" s="24" t="s">
        <v>69</v>
      </c>
      <c r="Z434" s="24" t="s">
        <v>63</v>
      </c>
      <c r="AA434" s="24" t="s">
        <v>63</v>
      </c>
      <c r="AB434" s="24" t="s">
        <v>63</v>
      </c>
      <c r="AC434" s="24" t="s">
        <v>1415</v>
      </c>
    </row>
    <row r="435" spans="1:29">
      <c r="A435" s="24" t="s">
        <v>54</v>
      </c>
      <c r="B435" s="24" t="s">
        <v>968</v>
      </c>
      <c r="C435" s="24" t="s">
        <v>1411</v>
      </c>
      <c r="D435" s="24" t="s">
        <v>63</v>
      </c>
      <c r="E435" s="24" t="s">
        <v>63</v>
      </c>
      <c r="F435" s="24" t="s">
        <v>1412</v>
      </c>
      <c r="G435" s="24" t="s">
        <v>1418</v>
      </c>
      <c r="H435" s="27" t="s">
        <v>1414</v>
      </c>
      <c r="I435" s="25">
        <v>1185238</v>
      </c>
      <c r="J435" s="25">
        <v>1131681.41</v>
      </c>
      <c r="K435" s="25">
        <v>1131681.41</v>
      </c>
      <c r="L435" s="25">
        <v>1093656.38</v>
      </c>
      <c r="M435" s="26">
        <f>I435-J435</f>
        <v>53556.58999999985</v>
      </c>
      <c r="N435" s="26">
        <f>J435-K435</f>
        <v>0.0</v>
      </c>
      <c r="O435" s="26">
        <f>I435-L435</f>
        <v>91581.62000000011</v>
      </c>
      <c r="P435" s="28">
        <f>IF(I435&gt;0,L435/I435,0)</f>
        <v>0.9227314514046967</v>
      </c>
      <c r="Q435" s="28">
        <f>IF(I435&gt;0,K435/I435,0)</f>
        <v>0.9548136408046318</v>
      </c>
      <c r="R435" s="24" t="str">
        <f>IF(I435&lt;=0,"Sin PIM",IF(L435/I435&gt;=Config!$B$5,"Ejecutado",IF(K435/I435&gt;=Config!$B$6,"Mayormente comprometido",IF(K435&gt;0.005,"Parcialmente comprometido",IF(J435&gt;0.005,"Solo certificado","Sin certificar")))))</f>
        <v>Ejecutado</v>
      </c>
      <c r="S435" s="24" t="str">
        <f>IF(R435="Sin certificar","Disponible",IF(R435="Solo certificado","Posible",IF(R435="Parcialmente comprometido","Parcial",IF(R435="Mayormente comprometido","Difícil",IF(R435="Ejecutado","No usar","Sin PIM")))))</f>
        <v>No usar</v>
      </c>
      <c r="T435" s="26">
        <f>IF(OR(I435&lt;=0,R435="Ejecutado"),0,MAX(0,I435-K435))</f>
        <v>0.0</v>
      </c>
      <c r="U435" s="24" t="s">
        <v>994</v>
      </c>
      <c r="V435" s="24" t="s">
        <v>69</v>
      </c>
      <c r="W435" s="24" t="s">
        <v>69</v>
      </c>
      <c r="X435" s="24" t="s">
        <v>69</v>
      </c>
      <c r="Y435" s="24" t="s">
        <v>69</v>
      </c>
      <c r="Z435" s="24" t="s">
        <v>63</v>
      </c>
      <c r="AA435" s="24" t="s">
        <v>63</v>
      </c>
      <c r="AB435" s="24" t="s">
        <v>63</v>
      </c>
      <c r="AC435" s="24" t="s">
        <v>63</v>
      </c>
    </row>
    <row r="436" spans="1:29">
      <c r="A436" s="24" t="s">
        <v>54</v>
      </c>
      <c r="B436" s="24" t="s">
        <v>968</v>
      </c>
      <c r="C436" s="24" t="s">
        <v>1411</v>
      </c>
      <c r="D436" s="24" t="s">
        <v>63</v>
      </c>
      <c r="E436" s="24" t="s">
        <v>63</v>
      </c>
      <c r="F436" s="24" t="s">
        <v>1412</v>
      </c>
      <c r="G436" s="24" t="s">
        <v>1419</v>
      </c>
      <c r="H436" s="27" t="s">
        <v>1414</v>
      </c>
      <c r="I436" s="25">
        <v>303086</v>
      </c>
      <c r="J436" s="25">
        <v>276239.45</v>
      </c>
      <c r="K436" s="25">
        <v>276239.45</v>
      </c>
      <c r="L436" s="25">
        <v>275941</v>
      </c>
      <c r="M436" s="26">
        <f>I436-J436</f>
        <v>26846.54999999999</v>
      </c>
      <c r="N436" s="26">
        <f>J436-K436</f>
        <v>0.0</v>
      </c>
      <c r="O436" s="26">
        <f>I436-L436</f>
        <v>27145.0</v>
      </c>
      <c r="P436" s="28">
        <f>IF(I436&gt;0,L436/I436,0)</f>
        <v>0.9104379615026759</v>
      </c>
      <c r="Q436" s="28">
        <f>IF(I436&gt;0,K436/I436,0)</f>
        <v>0.9114226655140786</v>
      </c>
      <c r="R436" s="24" t="str">
        <f>IF(I436&lt;=0,"Sin PIM",IF(L436/I436&gt;=Config!$B$5,"Ejecutado",IF(K436/I436&gt;=Config!$B$6,"Mayormente comprometido",IF(K436&gt;0.005,"Parcialmente comprometido",IF(J436&gt;0.005,"Solo certificado","Sin certificar")))))</f>
        <v>Ejecutado</v>
      </c>
      <c r="S436" s="24" t="str">
        <f>IF(R436="Sin certificar","Disponible",IF(R436="Solo certificado","Posible",IF(R436="Parcialmente comprometido","Parcial",IF(R436="Mayormente comprometido","Difícil",IF(R436="Ejecutado","No usar","Sin PIM")))))</f>
        <v>No usar</v>
      </c>
      <c r="T436" s="26">
        <f>IF(OR(I436&lt;=0,R436="Ejecutado"),0,MAX(0,I436-K436))</f>
        <v>0.0</v>
      </c>
      <c r="U436" s="24" t="s">
        <v>994</v>
      </c>
      <c r="V436" s="24" t="s">
        <v>69</v>
      </c>
      <c r="W436" s="24" t="s">
        <v>69</v>
      </c>
      <c r="X436" s="24" t="s">
        <v>69</v>
      </c>
      <c r="Y436" s="24" t="s">
        <v>69</v>
      </c>
      <c r="Z436" s="24" t="s">
        <v>63</v>
      </c>
      <c r="AA436" s="24" t="s">
        <v>63</v>
      </c>
      <c r="AB436" s="24" t="s">
        <v>63</v>
      </c>
      <c r="AC436" s="24" t="s">
        <v>63</v>
      </c>
    </row>
    <row r="437" spans="1:29">
      <c r="A437" s="24" t="s">
        <v>54</v>
      </c>
      <c r="B437" s="24" t="s">
        <v>968</v>
      </c>
      <c r="C437" s="24" t="s">
        <v>1411</v>
      </c>
      <c r="D437" s="24" t="s">
        <v>63</v>
      </c>
      <c r="E437" s="24" t="s">
        <v>63</v>
      </c>
      <c r="F437" s="24" t="s">
        <v>1412</v>
      </c>
      <c r="G437" s="24" t="s">
        <v>1420</v>
      </c>
      <c r="H437" s="27" t="s">
        <v>1414</v>
      </c>
      <c r="I437" s="25">
        <v>1857675</v>
      </c>
      <c r="J437" s="25">
        <v>1434566.03</v>
      </c>
      <c r="K437" s="25">
        <v>1430628.78</v>
      </c>
      <c r="L437" s="25">
        <v>1386835.53</v>
      </c>
      <c r="M437" s="26">
        <f>I437-J437</f>
        <v>423108.97</v>
      </c>
      <c r="N437" s="26">
        <f>J437-K437</f>
        <v>3937.250000000233</v>
      </c>
      <c r="O437" s="26">
        <f>I437-L437</f>
        <v>470839.47</v>
      </c>
      <c r="P437" s="28">
        <f>IF(I437&gt;0,L437/I437,0)</f>
        <v>0.7465436795994994</v>
      </c>
      <c r="Q437" s="28">
        <f>IF(I437&gt;0,K437/I437,0)</f>
        <v>0.770117905446324</v>
      </c>
      <c r="R437" s="24" t="str">
        <f>IF(I437&lt;=0,"Sin PIM",IF(L437/I437&gt;=Config!$B$5,"Ejecutado",IF(K437/I437&gt;=Config!$B$6,"Mayormente comprometido",IF(K437&gt;0.005,"Parcialmente comprometido",IF(J437&gt;0.005,"Solo certificado","Sin certificar")))))</f>
        <v>Mayormente comprometido</v>
      </c>
      <c r="S437" s="24" t="str">
        <f>IF(R437="Sin certificar","Disponible",IF(R437="Solo certificado","Posible",IF(R437="Parcialmente comprometido","Parcial",IF(R437="Mayormente comprometido","Difícil",IF(R437="Ejecutado","No usar","Sin PIM")))))</f>
        <v>Difícil</v>
      </c>
      <c r="T437" s="26">
        <f>IF(OR(I437&lt;=0,R437="Ejecutado"),0,MAX(0,I437-K437))</f>
        <v>427046.2200000002</v>
      </c>
      <c r="U437" s="24" t="s">
        <v>994</v>
      </c>
      <c r="V437" s="24" t="s">
        <v>69</v>
      </c>
      <c r="W437" s="24" t="s">
        <v>69</v>
      </c>
      <c r="X437" s="24" t="s">
        <v>69</v>
      </c>
      <c r="Y437" s="24" t="s">
        <v>69</v>
      </c>
      <c r="Z437" s="24" t="s">
        <v>63</v>
      </c>
      <c r="AA437" s="24" t="s">
        <v>63</v>
      </c>
      <c r="AB437" s="24" t="s">
        <v>63</v>
      </c>
      <c r="AC437" s="24" t="s">
        <v>63</v>
      </c>
    </row>
    <row r="438" spans="1:29">
      <c r="A438" s="24" t="s">
        <v>54</v>
      </c>
      <c r="B438" s="24" t="s">
        <v>968</v>
      </c>
      <c r="C438" s="24" t="s">
        <v>1411</v>
      </c>
      <c r="D438" s="24" t="s">
        <v>63</v>
      </c>
      <c r="E438" s="24" t="s">
        <v>63</v>
      </c>
      <c r="F438" s="24" t="s">
        <v>1412</v>
      </c>
      <c r="G438" s="24" t="s">
        <v>1421</v>
      </c>
      <c r="H438" s="27" t="s">
        <v>1414</v>
      </c>
      <c r="I438" s="25">
        <v>969006</v>
      </c>
      <c r="J438" s="25">
        <v>950663.4400000001</v>
      </c>
      <c r="K438" s="25">
        <v>950633.34</v>
      </c>
      <c r="L438" s="25">
        <v>931576.3500000001</v>
      </c>
      <c r="M438" s="26">
        <f>I438-J438</f>
        <v>18342.55999999994</v>
      </c>
      <c r="N438" s="26">
        <f>J438-K438</f>
        <v>30.100000000093132</v>
      </c>
      <c r="O438" s="26">
        <f>I438-L438</f>
        <v>37429.64999999991</v>
      </c>
      <c r="P438" s="28">
        <f>IF(I438&gt;0,L438/I438,0)</f>
        <v>0.9613731493922639</v>
      </c>
      <c r="Q438" s="28">
        <f>IF(I438&gt;0,K438/I438,0)</f>
        <v>0.9810396839648051</v>
      </c>
      <c r="R438" s="24" t="str">
        <f>IF(I438&lt;=0,"Sin PIM",IF(L438/I438&gt;=Config!$B$5,"Ejecutado",IF(K438/I438&gt;=Config!$B$6,"Mayormente comprometido",IF(K438&gt;0.005,"Parcialmente comprometido",IF(J438&gt;0.005,"Solo certificado","Sin certificar")))))</f>
        <v>Ejecutado</v>
      </c>
      <c r="S438" s="24" t="str">
        <f>IF(R438="Sin certificar","Disponible",IF(R438="Solo certificado","Posible",IF(R438="Parcialmente comprometido","Parcial",IF(R438="Mayormente comprometido","Difícil",IF(R438="Ejecutado","No usar","Sin PIM")))))</f>
        <v>No usar</v>
      </c>
      <c r="T438" s="26">
        <f>IF(OR(I438&lt;=0,R438="Ejecutado"),0,MAX(0,I438-K438))</f>
        <v>0.0</v>
      </c>
      <c r="U438" s="24" t="s">
        <v>994</v>
      </c>
      <c r="V438" s="24" t="s">
        <v>69</v>
      </c>
      <c r="W438" s="24" t="s">
        <v>69</v>
      </c>
      <c r="X438" s="24" t="s">
        <v>69</v>
      </c>
      <c r="Y438" s="24" t="s">
        <v>69</v>
      </c>
      <c r="Z438" s="24" t="s">
        <v>63</v>
      </c>
      <c r="AA438" s="24" t="s">
        <v>63</v>
      </c>
      <c r="AB438" s="24" t="s">
        <v>63</v>
      </c>
      <c r="AC438" s="24" t="s">
        <v>63</v>
      </c>
    </row>
    <row r="439" spans="1:29">
      <c r="A439" s="24" t="s">
        <v>54</v>
      </c>
      <c r="B439" s="24" t="s">
        <v>968</v>
      </c>
      <c r="C439" s="24" t="s">
        <v>1411</v>
      </c>
      <c r="D439" s="24" t="s">
        <v>63</v>
      </c>
      <c r="E439" s="24" t="s">
        <v>63</v>
      </c>
      <c r="F439" s="24" t="s">
        <v>1412</v>
      </c>
      <c r="G439" s="24" t="s">
        <v>1422</v>
      </c>
      <c r="H439" s="27" t="s">
        <v>1414</v>
      </c>
      <c r="I439" s="25">
        <v>1758508</v>
      </c>
      <c r="J439" s="25">
        <v>1286418.47</v>
      </c>
      <c r="K439" s="25">
        <v>1286374.04</v>
      </c>
      <c r="L439" s="25">
        <v>1212625.87</v>
      </c>
      <c r="M439" s="26">
        <f>I439-J439</f>
        <v>472089.5299999998</v>
      </c>
      <c r="N439" s="26">
        <f>J439-K439</f>
        <v>44.43000000016764</v>
      </c>
      <c r="O439" s="26">
        <f>I439-L439</f>
        <v>545882.1299999999</v>
      </c>
      <c r="P439" s="28">
        <f>IF(I439&gt;0,L439/I439,0)</f>
        <v>0.6895765444342591</v>
      </c>
      <c r="Q439" s="28">
        <f>IF(I439&gt;0,K439/I439,0)</f>
        <v>0.7315144656720356</v>
      </c>
      <c r="R439" s="24" t="str">
        <f>IF(I439&lt;=0,"Sin PIM",IF(L439/I439&gt;=Config!$B$5,"Ejecutado",IF(K439/I439&gt;=Config!$B$6,"Mayormente comprometido",IF(K439&gt;0.005,"Parcialmente comprometido",IF(J439&gt;0.005,"Solo certificado","Sin certificar")))))</f>
        <v>Mayormente comprometido</v>
      </c>
      <c r="S439" s="24" t="str">
        <f>IF(R439="Sin certificar","Disponible",IF(R439="Solo certificado","Posible",IF(R439="Parcialmente comprometido","Parcial",IF(R439="Mayormente comprometido","Difícil",IF(R439="Ejecutado","No usar","Sin PIM")))))</f>
        <v>Difícil</v>
      </c>
      <c r="T439" s="26">
        <f>IF(OR(I439&lt;=0,R439="Ejecutado"),0,MAX(0,I439-K439))</f>
        <v>472133.95999999996</v>
      </c>
      <c r="U439" s="24" t="s">
        <v>994</v>
      </c>
      <c r="V439" s="24" t="s">
        <v>69</v>
      </c>
      <c r="W439" s="24" t="s">
        <v>69</v>
      </c>
      <c r="X439" s="24" t="s">
        <v>69</v>
      </c>
      <c r="Y439" s="24" t="s">
        <v>69</v>
      </c>
      <c r="Z439" s="24" t="s">
        <v>63</v>
      </c>
      <c r="AA439" s="24" t="s">
        <v>63</v>
      </c>
      <c r="AB439" s="24" t="s">
        <v>63</v>
      </c>
      <c r="AC439" s="24" t="s">
        <v>63</v>
      </c>
    </row>
    <row r="440" spans="1:29">
      <c r="A440" s="24" t="s">
        <v>54</v>
      </c>
      <c r="B440" s="24" t="s">
        <v>968</v>
      </c>
      <c r="C440" s="24" t="s">
        <v>1411</v>
      </c>
      <c r="D440" s="24" t="s">
        <v>63</v>
      </c>
      <c r="E440" s="24" t="s">
        <v>63</v>
      </c>
      <c r="F440" s="24" t="s">
        <v>1412</v>
      </c>
      <c r="G440" s="24" t="s">
        <v>1423</v>
      </c>
      <c r="H440" s="27" t="s">
        <v>1414</v>
      </c>
      <c r="I440" s="25">
        <v>768405</v>
      </c>
      <c r="J440" s="25">
        <v>618712.3100000001</v>
      </c>
      <c r="K440" s="25">
        <v>618712.3100000001</v>
      </c>
      <c r="L440" s="25">
        <v>420548.3</v>
      </c>
      <c r="M440" s="26">
        <f>I440-J440</f>
        <v>149692.68999999994</v>
      </c>
      <c r="N440" s="26">
        <f>J440-K440</f>
        <v>0.0</v>
      </c>
      <c r="O440" s="26">
        <f>I440-L440</f>
        <v>347856.7</v>
      </c>
      <c r="P440" s="28">
        <f>IF(I440&gt;0,L440/I440,0)</f>
        <v>0.5473003168901815</v>
      </c>
      <c r="Q440" s="28">
        <f>IF(I440&gt;0,K440/I440,0)</f>
        <v>0.8051903748674203</v>
      </c>
      <c r="R440" s="24" t="str">
        <f>IF(I440&lt;=0,"Sin PIM",IF(L440/I440&gt;=Config!$B$5,"Ejecutado",IF(K440/I440&gt;=Config!$B$6,"Mayormente comprometido",IF(K440&gt;0.005,"Parcialmente comprometido",IF(J440&gt;0.005,"Solo certificado","Sin certificar")))))</f>
        <v>Mayormente comprometido</v>
      </c>
      <c r="S440" s="24" t="str">
        <f>IF(R440="Sin certificar","Disponible",IF(R440="Solo certificado","Posible",IF(R440="Parcialmente comprometido","Parcial",IF(R440="Mayormente comprometido","Difícil",IF(R440="Ejecutado","No usar","Sin PIM")))))</f>
        <v>Difícil</v>
      </c>
      <c r="T440" s="26">
        <f>IF(OR(I440&lt;=0,R440="Ejecutado"),0,MAX(0,I440-K440))</f>
        <v>149692.68999999994</v>
      </c>
      <c r="U440" s="24" t="s">
        <v>1424</v>
      </c>
      <c r="V440" s="24" t="s">
        <v>69</v>
      </c>
      <c r="W440" s="24" t="s">
        <v>69</v>
      </c>
      <c r="X440" s="24" t="s">
        <v>69</v>
      </c>
      <c r="Y440" s="24" t="s">
        <v>69</v>
      </c>
      <c r="Z440" s="24" t="s">
        <v>63</v>
      </c>
      <c r="AA440" s="24" t="s">
        <v>63</v>
      </c>
      <c r="AB440" s="24" t="s">
        <v>63</v>
      </c>
      <c r="AC440" s="24" t="s">
        <v>63</v>
      </c>
    </row>
    <row r="441" spans="1:29">
      <c r="A441" s="24" t="s">
        <v>54</v>
      </c>
      <c r="B441" s="24" t="s">
        <v>968</v>
      </c>
      <c r="C441" s="24" t="s">
        <v>1411</v>
      </c>
      <c r="D441" s="24" t="s">
        <v>63</v>
      </c>
      <c r="E441" s="24" t="s">
        <v>63</v>
      </c>
      <c r="F441" s="24" t="s">
        <v>1412</v>
      </c>
      <c r="G441" s="24" t="s">
        <v>1425</v>
      </c>
      <c r="H441" s="27" t="s">
        <v>1414</v>
      </c>
      <c r="I441" s="25">
        <v>84425</v>
      </c>
      <c r="J441" s="25">
        <v>79219.88</v>
      </c>
      <c r="K441" s="25">
        <v>79219.88</v>
      </c>
      <c r="L441" s="25">
        <v>79219.88</v>
      </c>
      <c r="M441" s="26">
        <f>I441-J441</f>
        <v>5205.119999999995</v>
      </c>
      <c r="N441" s="26">
        <f>J441-K441</f>
        <v>0.0</v>
      </c>
      <c r="O441" s="26">
        <f>I441-L441</f>
        <v>5205.119999999995</v>
      </c>
      <c r="P441" s="28">
        <f>IF(I441&gt;0,L441/I441,0)</f>
        <v>0.9383462244595796</v>
      </c>
      <c r="Q441" s="28">
        <f>IF(I441&gt;0,K441/I441,0)</f>
        <v>0.9383462244595796</v>
      </c>
      <c r="R441" s="24" t="str">
        <f>IF(I441&lt;=0,"Sin PIM",IF(L441/I441&gt;=Config!$B$5,"Ejecutado",IF(K441/I441&gt;=Config!$B$6,"Mayormente comprometido",IF(K441&gt;0.005,"Parcialmente comprometido",IF(J441&gt;0.005,"Solo certificado","Sin certificar")))))</f>
        <v>Ejecutado</v>
      </c>
      <c r="S441" s="24" t="str">
        <f>IF(R441="Sin certificar","Disponible",IF(R441="Solo certificado","Posible",IF(R441="Parcialmente comprometido","Parcial",IF(R441="Mayormente comprometido","Difícil",IF(R441="Ejecutado","No usar","Sin PIM")))))</f>
        <v>No usar</v>
      </c>
      <c r="T441" s="26">
        <f>IF(OR(I441&lt;=0,R441="Ejecutado"),0,MAX(0,I441-K441))</f>
        <v>0.0</v>
      </c>
      <c r="U441" s="24" t="s">
        <v>994</v>
      </c>
      <c r="V441" s="24" t="s">
        <v>69</v>
      </c>
      <c r="W441" s="24" t="s">
        <v>69</v>
      </c>
      <c r="X441" s="24" t="s">
        <v>69</v>
      </c>
      <c r="Y441" s="24" t="s">
        <v>69</v>
      </c>
      <c r="Z441" s="24" t="s">
        <v>63</v>
      </c>
      <c r="AA441" s="24" t="s">
        <v>63</v>
      </c>
      <c r="AB441" s="24" t="s">
        <v>63</v>
      </c>
      <c r="AC441" s="24" t="s">
        <v>63</v>
      </c>
    </row>
    <row r="442" spans="1:29">
      <c r="A442" s="24" t="s">
        <v>54</v>
      </c>
      <c r="B442" s="24" t="s">
        <v>55</v>
      </c>
      <c r="C442" s="24" t="s">
        <v>56</v>
      </c>
      <c r="D442" s="24" t="s">
        <v>1426</v>
      </c>
      <c r="E442" s="24" t="s">
        <v>58</v>
      </c>
      <c r="F442" s="24" t="s">
        <v>1427</v>
      </c>
      <c r="G442" s="24" t="s">
        <v>1428</v>
      </c>
      <c r="H442" s="27" t="s">
        <v>1429</v>
      </c>
      <c r="I442" s="25">
        <v>282553</v>
      </c>
      <c r="J442" s="25">
        <v>282553</v>
      </c>
      <c r="K442" s="25">
        <v>282553</v>
      </c>
      <c r="L442" s="25">
        <v>0</v>
      </c>
      <c r="M442" s="26">
        <f>I442-J442</f>
        <v>0.0</v>
      </c>
      <c r="N442" s="26">
        <f>J442-K442</f>
        <v>0.0</v>
      </c>
      <c r="O442" s="26">
        <f>I442-L442</f>
        <v>282553.0</v>
      </c>
      <c r="P442" s="28">
        <f>IF(I442&gt;0,L442/I442,0)</f>
        <v>0.0</v>
      </c>
      <c r="Q442" s="28">
        <f>IF(I442&gt;0,K442/I442,0)</f>
        <v>1.0</v>
      </c>
      <c r="R442" s="24" t="str">
        <f>IF(I442&lt;=0,"Sin PIM",IF(L442/I442&gt;=Config!$B$5,"Ejecutado",IF(K442/I442&gt;=Config!$B$6,"Mayormente comprometido",IF(K442&gt;0.005,"Parcialmente comprometido",IF(J442&gt;0.005,"Solo certificado","Sin certificar")))))</f>
        <v>Mayormente comprometido</v>
      </c>
      <c r="S442" s="24" t="str">
        <f>IF(R442="Sin certificar","Disponible",IF(R442="Solo certificado","Posible",IF(R442="Parcialmente comprometido","Parcial",IF(R442="Mayormente comprometido","Difícil",IF(R442="Ejecutado","No usar","Sin PIM")))))</f>
        <v>Difícil</v>
      </c>
      <c r="T442" s="26">
        <f>IF(OR(I442&lt;=0,R442="Ejecutado"),0,MAX(0,I442-K442))</f>
        <v>0.0</v>
      </c>
      <c r="U442" s="24" t="s">
        <v>123</v>
      </c>
      <c r="V442" s="25">
        <v>50000</v>
      </c>
      <c r="W442" s="25">
        <v>0</v>
      </c>
      <c r="X442" s="25">
        <v>0</v>
      </c>
      <c r="Y442" s="25">
        <v>1000000</v>
      </c>
      <c r="Z442" s="24" t="s">
        <v>63</v>
      </c>
      <c r="AA442" s="24" t="s">
        <v>63</v>
      </c>
      <c r="AB442" s="24" t="s">
        <v>1430</v>
      </c>
      <c r="AC442" s="24" t="s">
        <v>101</v>
      </c>
    </row>
    <row r="443" spans="1:29">
      <c r="A443" s="24" t="s">
        <v>54</v>
      </c>
      <c r="B443" s="24" t="s">
        <v>968</v>
      </c>
      <c r="C443" s="24" t="s">
        <v>1283</v>
      </c>
      <c r="D443" s="24" t="s">
        <v>63</v>
      </c>
      <c r="E443" s="24" t="s">
        <v>71</v>
      </c>
      <c r="F443" s="24" t="s">
        <v>1431</v>
      </c>
      <c r="G443" s="24" t="s">
        <v>1432</v>
      </c>
      <c r="H443" s="27" t="s">
        <v>1433</v>
      </c>
      <c r="I443" s="25">
        <v>271707</v>
      </c>
      <c r="J443" s="25">
        <v>271705.69</v>
      </c>
      <c r="K443" s="25">
        <v>271705.69</v>
      </c>
      <c r="L443" s="25">
        <v>270842.66</v>
      </c>
      <c r="M443" s="26">
        <f>I443-J443</f>
        <v>1.3099999999976717</v>
      </c>
      <c r="N443" s="26">
        <f>J443-K443</f>
        <v>0.0</v>
      </c>
      <c r="O443" s="26">
        <f>I443-L443</f>
        <v>864.3400000000256</v>
      </c>
      <c r="P443" s="28">
        <f>IF(I443&gt;0,L443/I443,0)</f>
        <v>0.9968188526611386</v>
      </c>
      <c r="Q443" s="28">
        <f>IF(I443&gt;0,K443/I443,0)</f>
        <v>0.9999951786299212</v>
      </c>
      <c r="R443" s="24" t="str">
        <f>IF(I443&lt;=0,"Sin PIM",IF(L443/I443&gt;=Config!$B$5,"Ejecutado",IF(K443/I443&gt;=Config!$B$6,"Mayormente comprometido",IF(K443&gt;0.005,"Parcialmente comprometido",IF(J443&gt;0.005,"Solo certificado","Sin certificar")))))</f>
        <v>Ejecutado</v>
      </c>
      <c r="S443" s="24" t="str">
        <f>IF(R443="Sin certificar","Disponible",IF(R443="Solo certificado","Posible",IF(R443="Parcialmente comprometido","Parcial",IF(R443="Mayormente comprometido","Difícil",IF(R443="Ejecutado","No usar","Sin PIM")))))</f>
        <v>No usar</v>
      </c>
      <c r="T443" s="26">
        <f>IF(OR(I443&lt;=0,R443="Ejecutado"),0,MAX(0,I443-K443))</f>
        <v>0.0</v>
      </c>
      <c r="U443" s="24" t="s">
        <v>1434</v>
      </c>
      <c r="V443" s="25">
        <v>267733</v>
      </c>
      <c r="W443" s="25">
        <v>20886</v>
      </c>
      <c r="X443" s="25">
        <v>0</v>
      </c>
      <c r="Y443" s="25">
        <v>0</v>
      </c>
      <c r="Z443" s="24" t="s">
        <v>63</v>
      </c>
      <c r="AA443" s="24" t="s">
        <v>63</v>
      </c>
      <c r="AB443" s="24" t="s">
        <v>1435</v>
      </c>
      <c r="AC443" s="24" t="s">
        <v>643</v>
      </c>
    </row>
    <row r="444" spans="1:29">
      <c r="A444" s="24" t="s">
        <v>54</v>
      </c>
      <c r="B444" s="24" t="s">
        <v>55</v>
      </c>
      <c r="C444" s="24" t="s">
        <v>56</v>
      </c>
      <c r="D444" s="24" t="s">
        <v>1426</v>
      </c>
      <c r="E444" s="24" t="s">
        <v>71</v>
      </c>
      <c r="F444" s="24" t="s">
        <v>1436</v>
      </c>
      <c r="G444" s="24" t="s">
        <v>1437</v>
      </c>
      <c r="H444" s="27" t="s">
        <v>1438</v>
      </c>
      <c r="I444" s="25">
        <v>218556</v>
      </c>
      <c r="J444" s="25">
        <v>0</v>
      </c>
      <c r="K444" s="25">
        <v>0</v>
      </c>
      <c r="L444" s="25">
        <v>0</v>
      </c>
      <c r="M444" s="26">
        <f>I444-J444</f>
        <v>218556.0</v>
      </c>
      <c r="N444" s="26">
        <f>J444-K444</f>
        <v>0.0</v>
      </c>
      <c r="O444" s="26">
        <f>I444-L444</f>
        <v>218556.0</v>
      </c>
      <c r="P444" s="28">
        <f>IF(I444&gt;0,L444/I444,0)</f>
        <v>0.0</v>
      </c>
      <c r="Q444" s="28">
        <f>IF(I444&gt;0,K444/I444,0)</f>
        <v>0.0</v>
      </c>
      <c r="R444" s="24" t="str">
        <f>IF(I444&lt;=0,"Sin PIM",IF(L444/I444&gt;=Config!$B$5,"Ejecutado",IF(K444/I444&gt;=Config!$B$6,"Mayormente comprometido",IF(K444&gt;0.005,"Parcialmente comprometido",IF(J444&gt;0.005,"Solo certificado","Sin certificar")))))</f>
        <v>Sin certificar</v>
      </c>
      <c r="S444" s="24" t="str">
        <f>IF(R444="Sin certificar","Disponible",IF(R444="Solo certificado","Posible",IF(R444="Parcialmente comprometido","Parcial",IF(R444="Mayormente comprometido","Difícil",IF(R444="Ejecutado","No usar","Sin PIM")))))</f>
        <v>Disponible</v>
      </c>
      <c r="T444" s="26">
        <f>IF(OR(I444&lt;=0,R444="Ejecutado"),0,MAX(0,I444-K444))</f>
        <v>218556.0</v>
      </c>
      <c r="U444" s="24" t="s">
        <v>105</v>
      </c>
      <c r="V444" s="24" t="s">
        <v>69</v>
      </c>
      <c r="W444" s="24" t="s">
        <v>69</v>
      </c>
      <c r="X444" s="24" t="s">
        <v>69</v>
      </c>
      <c r="Y444" s="24" t="s">
        <v>69</v>
      </c>
      <c r="Z444" s="24" t="s">
        <v>63</v>
      </c>
      <c r="AA444" s="24" t="s">
        <v>63</v>
      </c>
      <c r="AB444" s="24" t="s">
        <v>1439</v>
      </c>
      <c r="AC444" s="24" t="s">
        <v>89</v>
      </c>
    </row>
    <row r="445" spans="1:29">
      <c r="A445" s="24" t="s">
        <v>54</v>
      </c>
      <c r="B445" s="24" t="s">
        <v>1440</v>
      </c>
      <c r="C445" s="24" t="s">
        <v>1441</v>
      </c>
      <c r="D445" s="24" t="s">
        <v>63</v>
      </c>
      <c r="E445" s="24" t="s">
        <v>58</v>
      </c>
      <c r="F445" s="24" t="s">
        <v>1442</v>
      </c>
      <c r="G445" s="24" t="s">
        <v>1443</v>
      </c>
      <c r="H445" s="27" t="s">
        <v>1444</v>
      </c>
      <c r="I445" s="25">
        <v>100000</v>
      </c>
      <c r="J445" s="25">
        <v>0</v>
      </c>
      <c r="K445" s="25">
        <v>0</v>
      </c>
      <c r="L445" s="25">
        <v>0</v>
      </c>
      <c r="M445" s="26">
        <f>I445-J445</f>
        <v>100000.0</v>
      </c>
      <c r="N445" s="26">
        <f>J445-K445</f>
        <v>0.0</v>
      </c>
      <c r="O445" s="26">
        <f>I445-L445</f>
        <v>100000.0</v>
      </c>
      <c r="P445" s="28">
        <f>IF(I445&gt;0,L445/I445,0)</f>
        <v>0.0</v>
      </c>
      <c r="Q445" s="28">
        <f>IF(I445&gt;0,K445/I445,0)</f>
        <v>0.0</v>
      </c>
      <c r="R445" s="24" t="str">
        <f>IF(I445&lt;=0,"Sin PIM",IF(L445/I445&gt;=Config!$B$5,"Ejecutado",IF(K445/I445&gt;=Config!$B$6,"Mayormente comprometido",IF(K445&gt;0.005,"Parcialmente comprometido",IF(J445&gt;0.005,"Solo certificado","Sin certificar")))))</f>
        <v>Sin certificar</v>
      </c>
      <c r="S445" s="24" t="str">
        <f>IF(R445="Sin certificar","Disponible",IF(R445="Solo certificado","Posible",IF(R445="Parcialmente comprometido","Parcial",IF(R445="Mayormente comprometido","Difícil",IF(R445="Ejecutado","No usar","Sin PIM")))))</f>
        <v>Disponible</v>
      </c>
      <c r="T445" s="26">
        <f>IF(OR(I445&lt;=0,R445="Ejecutado"),0,MAX(0,I445-K445))</f>
        <v>100000.0</v>
      </c>
      <c r="U445" s="24" t="s">
        <v>123</v>
      </c>
      <c r="V445" s="25">
        <v>100000</v>
      </c>
      <c r="W445" s="25">
        <v>0</v>
      </c>
      <c r="X445" s="25">
        <v>3681052</v>
      </c>
      <c r="Y445" s="25">
        <v>4156140</v>
      </c>
      <c r="Z445" s="24" t="s">
        <v>63</v>
      </c>
      <c r="AA445" s="24" t="s">
        <v>63</v>
      </c>
      <c r="AB445" s="24" t="s">
        <v>63</v>
      </c>
      <c r="AC445" s="24" t="s">
        <v>63</v>
      </c>
    </row>
    <row r="446" spans="1:29">
      <c r="A446" s="24" t="s">
        <v>54</v>
      </c>
      <c r="B446" s="24" t="s">
        <v>1440</v>
      </c>
      <c r="C446" s="24" t="s">
        <v>1441</v>
      </c>
      <c r="D446" s="24" t="s">
        <v>63</v>
      </c>
      <c r="E446" s="24" t="s">
        <v>71</v>
      </c>
      <c r="F446" s="24" t="s">
        <v>1445</v>
      </c>
      <c r="G446" s="24" t="s">
        <v>1446</v>
      </c>
      <c r="H446" s="27" t="s">
        <v>1447</v>
      </c>
      <c r="I446" s="25">
        <v>20166</v>
      </c>
      <c r="J446" s="25">
        <v>19362</v>
      </c>
      <c r="K446" s="25">
        <v>19362</v>
      </c>
      <c r="L446" s="25">
        <v>18148.25</v>
      </c>
      <c r="M446" s="26">
        <f>I446-J446</f>
        <v>804.0</v>
      </c>
      <c r="N446" s="26">
        <f>J446-K446</f>
        <v>0.0</v>
      </c>
      <c r="O446" s="26">
        <f>I446-L446</f>
        <v>2017.75</v>
      </c>
      <c r="P446" s="28">
        <f>IF(I446&gt;0,L446/I446,0)</f>
        <v>0.8999429733214321</v>
      </c>
      <c r="Q446" s="28">
        <f>IF(I446&gt;0,K446/I446,0)</f>
        <v>0.9601309134186254</v>
      </c>
      <c r="R446" s="24" t="str">
        <f>IF(I446&lt;=0,"Sin PIM",IF(L446/I446&gt;=Config!$B$5,"Ejecutado",IF(K446/I446&gt;=Config!$B$6,"Mayormente comprometido",IF(K446&gt;0.005,"Parcialmente comprometido",IF(J446&gt;0.005,"Solo certificado","Sin certificar")))))</f>
        <v>Mayormente comprometido</v>
      </c>
      <c r="S446" s="24" t="str">
        <f>IF(R446="Sin certificar","Disponible",IF(R446="Solo certificado","Posible",IF(R446="Parcialmente comprometido","Parcial",IF(R446="Mayormente comprometido","Difícil",IF(R446="Ejecutado","No usar","Sin PIM")))))</f>
        <v>Difícil</v>
      </c>
      <c r="T446" s="26">
        <f>IF(OR(I446&lt;=0,R446="Ejecutado"),0,MAX(0,I446-K446))</f>
        <v>804.0</v>
      </c>
      <c r="U446" s="24" t="s">
        <v>96</v>
      </c>
      <c r="V446" s="25">
        <v>20166</v>
      </c>
      <c r="W446" s="25">
        <v>0</v>
      </c>
      <c r="X446" s="25">
        <v>0</v>
      </c>
      <c r="Y446" s="25">
        <v>0</v>
      </c>
      <c r="Z446" s="24" t="s">
        <v>63</v>
      </c>
      <c r="AA446" s="24" t="s">
        <v>63</v>
      </c>
      <c r="AB446" s="24" t="s">
        <v>63</v>
      </c>
      <c r="AC446" s="24" t="s">
        <v>129</v>
      </c>
    </row>
    <row r="447" spans="1:29">
      <c r="A447" s="24" t="s">
        <v>1448</v>
      </c>
      <c r="B447" s="24" t="s">
        <v>1449</v>
      </c>
      <c r="C447" s="24" t="s">
        <v>1450</v>
      </c>
      <c r="D447" s="24" t="s">
        <v>63</v>
      </c>
      <c r="E447" s="24" t="s">
        <v>1189</v>
      </c>
      <c r="F447" s="24" t="s">
        <v>1451</v>
      </c>
      <c r="G447" s="24" t="s">
        <v>1237</v>
      </c>
      <c r="H447" s="27" t="s">
        <v>1452</v>
      </c>
      <c r="I447" s="25">
        <v>2417454</v>
      </c>
      <c r="J447" s="25">
        <v>1739634.6</v>
      </c>
      <c r="K447" s="25">
        <v>1715134.6</v>
      </c>
      <c r="L447" s="25">
        <v>1492104.3</v>
      </c>
      <c r="M447" s="26">
        <f>I447-J447</f>
        <v>677819.3999999999</v>
      </c>
      <c r="N447" s="26">
        <f>J447-K447</f>
        <v>24500.0</v>
      </c>
      <c r="O447" s="26">
        <f>I447-L447</f>
        <v>925349.7</v>
      </c>
      <c r="P447" s="28">
        <f>IF(I447&gt;0,L447/I447,0)</f>
        <v>0.6172213824957993</v>
      </c>
      <c r="Q447" s="28">
        <f>IF(I447&gt;0,K447/I447,0)</f>
        <v>0.7094797253639573</v>
      </c>
      <c r="R447" s="24" t="str">
        <f>IF(I447&lt;=0,"Sin PIM",IF(L447/I447&gt;=Config!$B$5,"Ejecutado",IF(K447/I447&gt;=Config!$B$6,"Mayormente comprometido",IF(K447&gt;0.005,"Parcialmente comprometido",IF(J447&gt;0.005,"Solo certificado","Sin certificar")))))</f>
        <v>Mayormente comprometido</v>
      </c>
      <c r="S447" s="24" t="str">
        <f>IF(R447="Sin certificar","Disponible",IF(R447="Solo certificado","Posible",IF(R447="Parcialmente comprometido","Parcial",IF(R447="Mayormente comprometido","Difícil",IF(R447="Ejecutado","No usar","Sin PIM")))))</f>
        <v>Difícil</v>
      </c>
      <c r="T447" s="26">
        <f>IF(OR(I447&lt;=0,R447="Ejecutado"),0,MAX(0,I447-K447))</f>
        <v>702319.3999999999</v>
      </c>
      <c r="U447" s="24" t="s">
        <v>408</v>
      </c>
      <c r="V447" s="25">
        <v>1050000</v>
      </c>
      <c r="W447" s="25">
        <v>2062045</v>
      </c>
      <c r="X447" s="25">
        <v>1715201</v>
      </c>
      <c r="Y447" s="25">
        <v>0</v>
      </c>
      <c r="Z447" s="24" t="s">
        <v>63</v>
      </c>
      <c r="AA447" s="24" t="s">
        <v>63</v>
      </c>
      <c r="AB447" s="24" t="s">
        <v>63</v>
      </c>
      <c r="AC447" s="24" t="s">
        <v>63</v>
      </c>
    </row>
    <row r="448" spans="1:29">
      <c r="A448" s="24" t="s">
        <v>1448</v>
      </c>
      <c r="B448" s="24" t="s">
        <v>1449</v>
      </c>
      <c r="C448" s="24" t="s">
        <v>1450</v>
      </c>
      <c r="D448" s="24" t="s">
        <v>63</v>
      </c>
      <c r="E448" s="24" t="s">
        <v>1202</v>
      </c>
      <c r="F448" s="24" t="s">
        <v>1453</v>
      </c>
      <c r="G448" s="24" t="s">
        <v>1454</v>
      </c>
      <c r="H448" s="27" t="s">
        <v>1455</v>
      </c>
      <c r="I448" s="25">
        <v>119950</v>
      </c>
      <c r="J448" s="25">
        <v>114291.22</v>
      </c>
      <c r="K448" s="25">
        <v>114291.22</v>
      </c>
      <c r="L448" s="25">
        <v>70291.22</v>
      </c>
      <c r="M448" s="26">
        <f>I448-J448</f>
        <v>5658.779999999999</v>
      </c>
      <c r="N448" s="26">
        <f>J448-K448</f>
        <v>0.0</v>
      </c>
      <c r="O448" s="26">
        <f>I448-L448</f>
        <v>49658.78</v>
      </c>
      <c r="P448" s="28">
        <f>IF(I448&gt;0,L448/I448,0)</f>
        <v>0.5860043351396416</v>
      </c>
      <c r="Q448" s="28">
        <f>IF(I448&gt;0,K448/I448,0)</f>
        <v>0.9528238432680284</v>
      </c>
      <c r="R448" s="24" t="str">
        <f>IF(I448&lt;=0,"Sin PIM",IF(L448/I448&gt;=Config!$B$5,"Ejecutado",IF(K448/I448&gt;=Config!$B$6,"Mayormente comprometido",IF(K448&gt;0.005,"Parcialmente comprometido",IF(J448&gt;0.005,"Solo certificado","Sin certificar")))))</f>
        <v>Mayormente comprometido</v>
      </c>
      <c r="S448" s="24" t="str">
        <f>IF(R448="Sin certificar","Disponible",IF(R448="Solo certificado","Posible",IF(R448="Parcialmente comprometido","Parcial",IF(R448="Mayormente comprometido","Difícil",IF(R448="Ejecutado","No usar","Sin PIM")))))</f>
        <v>Difícil</v>
      </c>
      <c r="T448" s="26">
        <f>IF(OR(I448&lt;=0,R448="Ejecutado"),0,MAX(0,I448-K448))</f>
        <v>5658.779999999999</v>
      </c>
      <c r="U448" s="24" t="s">
        <v>105</v>
      </c>
      <c r="V448" s="25">
        <v>287404</v>
      </c>
      <c r="W448" s="25">
        <v>77681</v>
      </c>
      <c r="X448" s="25">
        <v>0</v>
      </c>
      <c r="Y448" s="25">
        <v>0</v>
      </c>
      <c r="Z448" s="24" t="s">
        <v>63</v>
      </c>
      <c r="AA448" s="24" t="s">
        <v>63</v>
      </c>
      <c r="AB448" s="24" t="s">
        <v>63</v>
      </c>
      <c r="AC448" s="24" t="s">
        <v>63</v>
      </c>
    </row>
    <row r="449" spans="1:29">
      <c r="A449" s="24" t="s">
        <v>1448</v>
      </c>
      <c r="B449" s="24" t="s">
        <v>1449</v>
      </c>
      <c r="C449" s="24" t="s">
        <v>1450</v>
      </c>
      <c r="D449" s="24" t="s">
        <v>63</v>
      </c>
      <c r="E449" s="24" t="s">
        <v>1189</v>
      </c>
      <c r="F449" s="24" t="s">
        <v>1456</v>
      </c>
      <c r="G449" s="24" t="s">
        <v>143</v>
      </c>
      <c r="H449" s="27" t="s">
        <v>1457</v>
      </c>
      <c r="I449" s="25">
        <v>45000</v>
      </c>
      <c r="J449" s="25">
        <v>0</v>
      </c>
      <c r="K449" s="25">
        <v>0</v>
      </c>
      <c r="L449" s="25">
        <v>0</v>
      </c>
      <c r="M449" s="26">
        <f>I449-J449</f>
        <v>45000.0</v>
      </c>
      <c r="N449" s="26">
        <f>J449-K449</f>
        <v>0.0</v>
      </c>
      <c r="O449" s="26">
        <f>I449-L449</f>
        <v>45000.0</v>
      </c>
      <c r="P449" s="28">
        <f>IF(I449&gt;0,L449/I449,0)</f>
        <v>0.0</v>
      </c>
      <c r="Q449" s="28">
        <f>IF(I449&gt;0,K449/I449,0)</f>
        <v>0.0</v>
      </c>
      <c r="R449" s="24" t="str">
        <f>IF(I449&lt;=0,"Sin PIM",IF(L449/I449&gt;=Config!$B$5,"Ejecutado",IF(K449/I449&gt;=Config!$B$6,"Mayormente comprometido",IF(K449&gt;0.005,"Parcialmente comprometido",IF(J449&gt;0.005,"Solo certificado","Sin certificar")))))</f>
        <v>Sin certificar</v>
      </c>
      <c r="S449" s="24" t="str">
        <f>IF(R449="Sin certificar","Disponible",IF(R449="Solo certificado","Posible",IF(R449="Parcialmente comprometido","Parcial",IF(R449="Mayormente comprometido","Difícil",IF(R449="Ejecutado","No usar","Sin PIM")))))</f>
        <v>Disponible</v>
      </c>
      <c r="T449" s="26">
        <f>IF(OR(I449&lt;=0,R449="Ejecutado"),0,MAX(0,I449-K449))</f>
        <v>45000.0</v>
      </c>
      <c r="U449" s="24" t="s">
        <v>123</v>
      </c>
      <c r="V449" s="24" t="s">
        <v>69</v>
      </c>
      <c r="W449" s="24" t="s">
        <v>69</v>
      </c>
      <c r="X449" s="24" t="s">
        <v>69</v>
      </c>
      <c r="Y449" s="24" t="s">
        <v>69</v>
      </c>
      <c r="Z449" s="24" t="s">
        <v>63</v>
      </c>
      <c r="AA449" s="24" t="s">
        <v>63</v>
      </c>
      <c r="AB449" s="24" t="s">
        <v>63</v>
      </c>
      <c r="AC449" s="24" t="s">
        <v>63</v>
      </c>
    </row>
    <row r="450" spans="1:29">
      <c r="A450" s="24" t="s">
        <v>1448</v>
      </c>
      <c r="B450" s="24" t="s">
        <v>1449</v>
      </c>
      <c r="C450" s="24" t="s">
        <v>1450</v>
      </c>
      <c r="D450" s="24" t="s">
        <v>63</v>
      </c>
      <c r="E450" s="24" t="s">
        <v>1202</v>
      </c>
      <c r="F450" s="24" t="s">
        <v>1453</v>
      </c>
      <c r="G450" s="24" t="s">
        <v>1458</v>
      </c>
      <c r="H450" s="27" t="s">
        <v>1455</v>
      </c>
      <c r="I450" s="25">
        <v>0</v>
      </c>
      <c r="J450" s="25">
        <v>0</v>
      </c>
      <c r="K450" s="25">
        <v>0</v>
      </c>
      <c r="L450" s="25">
        <v>0</v>
      </c>
      <c r="M450" s="26">
        <f>I450-J450</f>
        <v>0.0</v>
      </c>
      <c r="N450" s="26">
        <f>J450-K450</f>
        <v>0.0</v>
      </c>
      <c r="O450" s="26">
        <f>I450-L450</f>
        <v>0.0</v>
      </c>
      <c r="P450" s="28">
        <f>IF(I450&gt;0,L450/I450,0)</f>
        <v>0</v>
      </c>
      <c r="Q450" s="28">
        <f>IF(I450&gt;0,K450/I450,0)</f>
        <v>0</v>
      </c>
      <c r="R450" s="24" t="str">
        <f>IF(I450&lt;=0,"Sin PIM",IF(L450/I450&gt;=Config!$B$5,"Ejecutado",IF(K450/I450&gt;=Config!$B$6,"Mayormente comprometido",IF(K450&gt;0.005,"Parcialmente comprometido",IF(J450&gt;0.005,"Solo certificado","Sin certificar")))))</f>
        <v>Sin PIM</v>
      </c>
      <c r="S450" s="24" t="str">
        <f>IF(R450="Sin certificar","Disponible",IF(R450="Solo certificado","Posible",IF(R450="Parcialmente comprometido","Parcial",IF(R450="Mayormente comprometido","Difícil",IF(R450="Ejecutado","No usar","Sin PIM")))))</f>
        <v>Sin PIM</v>
      </c>
      <c r="T450" s="26">
        <f>IF(OR(I450&lt;=0,R450="Ejecutado"),0,MAX(0,I450-K450))</f>
        <v>0.0</v>
      </c>
      <c r="U450" s="24" t="s">
        <v>105</v>
      </c>
      <c r="V450" s="25">
        <v>287404</v>
      </c>
      <c r="W450" s="25">
        <v>77681</v>
      </c>
      <c r="X450" s="25">
        <v>0</v>
      </c>
      <c r="Y450" s="25">
        <v>0</v>
      </c>
      <c r="Z450" s="24" t="s">
        <v>63</v>
      </c>
      <c r="AA450" s="24" t="s">
        <v>63</v>
      </c>
      <c r="AB450" s="24" t="s">
        <v>63</v>
      </c>
      <c r="AC450" s="24" t="s">
        <v>63</v>
      </c>
    </row>
    <row r="451" spans="1:29">
      <c r="A451" s="24" t="s">
        <v>1459</v>
      </c>
      <c r="B451" s="24" t="s">
        <v>1460</v>
      </c>
      <c r="C451" s="24" t="s">
        <v>1461</v>
      </c>
      <c r="D451" s="24" t="s">
        <v>63</v>
      </c>
      <c r="E451" s="24" t="s">
        <v>996</v>
      </c>
      <c r="F451" s="24" t="s">
        <v>1462</v>
      </c>
      <c r="G451" s="24" t="s">
        <v>1403</v>
      </c>
      <c r="H451" s="27" t="s">
        <v>1463</v>
      </c>
      <c r="I451" s="25">
        <v>7885949</v>
      </c>
      <c r="J451" s="25">
        <v>7535969.87</v>
      </c>
      <c r="K451" s="25">
        <v>7379288.14</v>
      </c>
      <c r="L451" s="25">
        <v>6423232.3</v>
      </c>
      <c r="M451" s="26">
        <f>I451-J451</f>
        <v>349979.1299999999</v>
      </c>
      <c r="N451" s="26">
        <f>J451-K451</f>
        <v>156681.73000000045</v>
      </c>
      <c r="O451" s="26">
        <f>I451-L451</f>
        <v>1462716.7000000002</v>
      </c>
      <c r="P451" s="28">
        <f>IF(I451&gt;0,L451/I451,0)</f>
        <v>0.8145160842404636</v>
      </c>
      <c r="Q451" s="28">
        <f>IF(I451&gt;0,K451/I451,0)</f>
        <v>0.9357514409489587</v>
      </c>
      <c r="R451" s="24" t="str">
        <f>IF(I451&lt;=0,"Sin PIM",IF(L451/I451&gt;=Config!$B$5,"Ejecutado",IF(K451/I451&gt;=Config!$B$6,"Mayormente comprometido",IF(K451&gt;0.005,"Parcialmente comprometido",IF(J451&gt;0.005,"Solo certificado","Sin certificar")))))</f>
        <v>Mayormente comprometido</v>
      </c>
      <c r="S451" s="24" t="str">
        <f>IF(R451="Sin certificar","Disponible",IF(R451="Solo certificado","Posible",IF(R451="Parcialmente comprometido","Parcial",IF(R451="Mayormente comprometido","Difícil",IF(R451="Ejecutado","No usar","Sin PIM")))))</f>
        <v>Difícil</v>
      </c>
      <c r="T451" s="26">
        <f>IF(OR(I451&lt;=0,R451="Ejecutado"),0,MAX(0,I451-K451))</f>
        <v>506660.86000000034</v>
      </c>
      <c r="U451" s="24" t="s">
        <v>100</v>
      </c>
      <c r="V451" s="25">
        <v>2780000</v>
      </c>
      <c r="W451" s="25">
        <v>108325</v>
      </c>
      <c r="X451" s="25">
        <v>0</v>
      </c>
      <c r="Y451" s="25">
        <v>0</v>
      </c>
      <c r="Z451" s="24" t="s">
        <v>63</v>
      </c>
      <c r="AA451" s="24" t="s">
        <v>63</v>
      </c>
      <c r="AB451" s="24" t="s">
        <v>63</v>
      </c>
      <c r="AC451" s="24" t="s">
        <v>63</v>
      </c>
    </row>
    <row r="452" spans="1:29">
      <c r="A452" s="24" t="s">
        <v>1459</v>
      </c>
      <c r="B452" s="24" t="s">
        <v>1460</v>
      </c>
      <c r="C452" s="24" t="s">
        <v>1461</v>
      </c>
      <c r="D452" s="24" t="s">
        <v>63</v>
      </c>
      <c r="E452" s="24" t="s">
        <v>996</v>
      </c>
      <c r="F452" s="24" t="s">
        <v>1464</v>
      </c>
      <c r="G452" s="24" t="s">
        <v>1465</v>
      </c>
      <c r="H452" s="27" t="s">
        <v>1466</v>
      </c>
      <c r="I452" s="25">
        <v>7723291</v>
      </c>
      <c r="J452" s="25">
        <v>7122044.049999999</v>
      </c>
      <c r="K452" s="25">
        <v>7007426.799999999</v>
      </c>
      <c r="L452" s="25">
        <v>5496208.600000001</v>
      </c>
      <c r="M452" s="26">
        <f>I452-J452</f>
        <v>601246.9500000011</v>
      </c>
      <c r="N452" s="26">
        <f>J452-K452</f>
        <v>114617.25</v>
      </c>
      <c r="O452" s="26">
        <f>I452-L452</f>
        <v>2227082.3999999994</v>
      </c>
      <c r="P452" s="28">
        <f>IF(I452&gt;0,L452/I452,0)</f>
        <v>0.7116407500377754</v>
      </c>
      <c r="Q452" s="28">
        <f>IF(I452&gt;0,K452/I452,0)</f>
        <v>0.9073109895768525</v>
      </c>
      <c r="R452" s="24" t="str">
        <f>IF(I452&lt;=0,"Sin PIM",IF(L452/I452&gt;=Config!$B$5,"Ejecutado",IF(K452/I452&gt;=Config!$B$6,"Mayormente comprometido",IF(K452&gt;0.005,"Parcialmente comprometido",IF(J452&gt;0.005,"Solo certificado","Sin certificar")))))</f>
        <v>Mayormente comprometido</v>
      </c>
      <c r="S452" s="24" t="str">
        <f>IF(R452="Sin certificar","Disponible",IF(R452="Solo certificado","Posible",IF(R452="Parcialmente comprometido","Parcial",IF(R452="Mayormente comprometido","Difícil",IF(R452="Ejecutado","No usar","Sin PIM")))))</f>
        <v>Difícil</v>
      </c>
      <c r="T452" s="26">
        <f>IF(OR(I452&lt;=0,R452="Ejecutado"),0,MAX(0,I452-K452))</f>
        <v>715864.2000000011</v>
      </c>
      <c r="U452" s="24" t="s">
        <v>75</v>
      </c>
      <c r="V452" s="25">
        <v>4665000</v>
      </c>
      <c r="W452" s="25">
        <v>62456</v>
      </c>
      <c r="X452" s="25">
        <v>0</v>
      </c>
      <c r="Y452" s="25">
        <v>0</v>
      </c>
      <c r="Z452" s="24" t="s">
        <v>63</v>
      </c>
      <c r="AA452" s="24" t="s">
        <v>63</v>
      </c>
      <c r="AB452" s="24" t="s">
        <v>63</v>
      </c>
      <c r="AC452" s="24" t="s">
        <v>63</v>
      </c>
    </row>
    <row r="453" spans="1:29">
      <c r="A453" s="24" t="s">
        <v>1459</v>
      </c>
      <c r="B453" s="24" t="s">
        <v>1460</v>
      </c>
      <c r="C453" s="24" t="s">
        <v>1461</v>
      </c>
      <c r="D453" s="24" t="s">
        <v>63</v>
      </c>
      <c r="E453" s="24" t="s">
        <v>996</v>
      </c>
      <c r="F453" s="24" t="s">
        <v>1467</v>
      </c>
      <c r="G453" s="24" t="s">
        <v>1231</v>
      </c>
      <c r="H453" s="27" t="s">
        <v>1468</v>
      </c>
      <c r="I453" s="25">
        <v>5062649</v>
      </c>
      <c r="J453" s="25">
        <v>4785961.130000002</v>
      </c>
      <c r="K453" s="25">
        <v>4783784.110000001</v>
      </c>
      <c r="L453" s="25">
        <v>4676286.710000001</v>
      </c>
      <c r="M453" s="26">
        <f>I453-J453</f>
        <v>276687.86999999825</v>
      </c>
      <c r="N453" s="26">
        <f>J453-K453</f>
        <v>2177.0200000004843</v>
      </c>
      <c r="O453" s="26">
        <f>I453-L453</f>
        <v>386362.2899999991</v>
      </c>
      <c r="P453" s="28">
        <f>IF(I453&gt;0,L453/I453,0)</f>
        <v>0.9236837691098081</v>
      </c>
      <c r="Q453" s="28">
        <f>IF(I453&gt;0,K453/I453,0)</f>
        <v>0.9449171984864053</v>
      </c>
      <c r="R453" s="24" t="str">
        <f>IF(I453&lt;=0,"Sin PIM",IF(L453/I453&gt;=Config!$B$5,"Ejecutado",IF(K453/I453&gt;=Config!$B$6,"Mayormente comprometido",IF(K453&gt;0.005,"Parcialmente comprometido",IF(J453&gt;0.005,"Solo certificado","Sin certificar")))))</f>
        <v>Ejecutado</v>
      </c>
      <c r="S453" s="24" t="str">
        <f>IF(R453="Sin certificar","Disponible",IF(R453="Solo certificado","Posible",IF(R453="Parcialmente comprometido","Parcial",IF(R453="Mayormente comprometido","Difícil",IF(R453="Ejecutado","No usar","Sin PIM")))))</f>
        <v>No usar</v>
      </c>
      <c r="T453" s="26">
        <f>IF(OR(I453&lt;=0,R453="Ejecutado"),0,MAX(0,I453-K453))</f>
        <v>0.0</v>
      </c>
      <c r="U453" s="24" t="s">
        <v>148</v>
      </c>
      <c r="V453" s="25">
        <v>1750000</v>
      </c>
      <c r="W453" s="25">
        <v>0</v>
      </c>
      <c r="X453" s="25">
        <v>0</v>
      </c>
      <c r="Y453" s="25">
        <v>0</v>
      </c>
      <c r="Z453" s="24" t="s">
        <v>63</v>
      </c>
      <c r="AA453" s="24" t="s">
        <v>63</v>
      </c>
      <c r="AB453" s="24" t="s">
        <v>63</v>
      </c>
      <c r="AC453" s="24" t="s">
        <v>63</v>
      </c>
    </row>
    <row r="454" spans="1:29">
      <c r="A454" s="24" t="s">
        <v>1459</v>
      </c>
      <c r="B454" s="24" t="s">
        <v>1460</v>
      </c>
      <c r="C454" s="24" t="s">
        <v>1461</v>
      </c>
      <c r="D454" s="24" t="s">
        <v>63</v>
      </c>
      <c r="E454" s="24" t="s">
        <v>996</v>
      </c>
      <c r="F454" s="24" t="s">
        <v>1469</v>
      </c>
      <c r="G454" s="24" t="s">
        <v>1470</v>
      </c>
      <c r="H454" s="27" t="s">
        <v>1471</v>
      </c>
      <c r="I454" s="25">
        <v>4860569</v>
      </c>
      <c r="J454" s="25">
        <v>4504302.750000001</v>
      </c>
      <c r="K454" s="25">
        <v>4486134.29</v>
      </c>
      <c r="L454" s="25">
        <v>4364263.45</v>
      </c>
      <c r="M454" s="26">
        <f>I454-J454</f>
        <v>356266.24999999907</v>
      </c>
      <c r="N454" s="26">
        <f>J454-K454</f>
        <v>18168.460000000894</v>
      </c>
      <c r="O454" s="26">
        <f>I454-L454</f>
        <v>496305.5499999998</v>
      </c>
      <c r="P454" s="28">
        <f>IF(I454&gt;0,L454/I454,0)</f>
        <v>0.8978914711425762</v>
      </c>
      <c r="Q454" s="28">
        <f>IF(I454&gt;0,K454/I454,0)</f>
        <v>0.922964840124685</v>
      </c>
      <c r="R454" s="24" t="str">
        <f>IF(I454&lt;=0,"Sin PIM",IF(L454/I454&gt;=Config!$B$5,"Ejecutado",IF(K454/I454&gt;=Config!$B$6,"Mayormente comprometido",IF(K454&gt;0.005,"Parcialmente comprometido",IF(J454&gt;0.005,"Solo certificado","Sin certificar")))))</f>
        <v>Mayormente comprometido</v>
      </c>
      <c r="S454" s="24" t="str">
        <f>IF(R454="Sin certificar","Disponible",IF(R454="Solo certificado","Posible",IF(R454="Parcialmente comprometido","Parcial",IF(R454="Mayormente comprometido","Difícil",IF(R454="Ejecutado","No usar","Sin PIM")))))</f>
        <v>Difícil</v>
      </c>
      <c r="T454" s="26">
        <f>IF(OR(I454&lt;=0,R454="Ejecutado"),0,MAX(0,I454-K454))</f>
        <v>374434.70999999996</v>
      </c>
      <c r="U454" s="24" t="s">
        <v>75</v>
      </c>
      <c r="V454" s="25">
        <v>1580000</v>
      </c>
      <c r="W454" s="25">
        <v>285490</v>
      </c>
      <c r="X454" s="25">
        <v>0</v>
      </c>
      <c r="Y454" s="25">
        <v>0</v>
      </c>
      <c r="Z454" s="24" t="s">
        <v>63</v>
      </c>
      <c r="AA454" s="24" t="s">
        <v>63</v>
      </c>
      <c r="AB454" s="24" t="s">
        <v>63</v>
      </c>
      <c r="AC454" s="24" t="s">
        <v>63</v>
      </c>
    </row>
    <row r="455" spans="1:29">
      <c r="A455" s="24" t="s">
        <v>1459</v>
      </c>
      <c r="B455" s="24" t="s">
        <v>1460</v>
      </c>
      <c r="C455" s="24" t="s">
        <v>1461</v>
      </c>
      <c r="D455" s="24" t="s">
        <v>63</v>
      </c>
      <c r="E455" s="24" t="s">
        <v>996</v>
      </c>
      <c r="F455" s="24" t="s">
        <v>1472</v>
      </c>
      <c r="G455" s="24" t="s">
        <v>319</v>
      </c>
      <c r="H455" s="27" t="s">
        <v>1473</v>
      </c>
      <c r="I455" s="25">
        <v>4471000</v>
      </c>
      <c r="J455" s="25">
        <v>4168004.45</v>
      </c>
      <c r="K455" s="25">
        <v>2982616.97</v>
      </c>
      <c r="L455" s="25">
        <v>1249313.7</v>
      </c>
      <c r="M455" s="26">
        <f>I455-J455</f>
        <v>302995.5499999998</v>
      </c>
      <c r="N455" s="26">
        <f>J455-K455</f>
        <v>1185387.48</v>
      </c>
      <c r="O455" s="26">
        <f>I455-L455</f>
        <v>3221686.3</v>
      </c>
      <c r="P455" s="28">
        <f>IF(I455&gt;0,L455/I455,0)</f>
        <v>0.2794260120778349</v>
      </c>
      <c r="Q455" s="28">
        <f>IF(I455&gt;0,K455/I455,0)</f>
        <v>0.6671028785506599</v>
      </c>
      <c r="R455" s="24" t="str">
        <f>IF(I455&lt;=0,"Sin PIM",IF(L455/I455&gt;=Config!$B$5,"Ejecutado",IF(K455/I455&gt;=Config!$B$6,"Mayormente comprometido",IF(K455&gt;0.005,"Parcialmente comprometido",IF(J455&gt;0.005,"Solo certificado","Sin certificar")))))</f>
        <v>Mayormente comprometido</v>
      </c>
      <c r="S455" s="24" t="str">
        <f>IF(R455="Sin certificar","Disponible",IF(R455="Solo certificado","Posible",IF(R455="Parcialmente comprometido","Parcial",IF(R455="Mayormente comprometido","Difícil",IF(R455="Ejecutado","No usar","Sin PIM")))))</f>
        <v>Difícil</v>
      </c>
      <c r="T455" s="26">
        <f>IF(OR(I455&lt;=0,R455="Ejecutado"),0,MAX(0,I455-K455))</f>
        <v>1488383.0299999998</v>
      </c>
      <c r="U455" s="24" t="s">
        <v>100</v>
      </c>
      <c r="V455" s="25">
        <v>5730000</v>
      </c>
      <c r="W455" s="25">
        <v>7379001</v>
      </c>
      <c r="X455" s="25">
        <v>1300000</v>
      </c>
      <c r="Y455" s="25">
        <v>1500000</v>
      </c>
      <c r="Z455" s="24" t="s">
        <v>63</v>
      </c>
      <c r="AA455" s="24" t="s">
        <v>63</v>
      </c>
      <c r="AB455" s="24" t="s">
        <v>63</v>
      </c>
      <c r="AC455" s="24" t="s">
        <v>63</v>
      </c>
    </row>
    <row r="456" spans="1:29">
      <c r="A456" s="24" t="s">
        <v>1459</v>
      </c>
      <c r="B456" s="24" t="s">
        <v>1460</v>
      </c>
      <c r="C456" s="24" t="s">
        <v>1461</v>
      </c>
      <c r="D456" s="24" t="s">
        <v>63</v>
      </c>
      <c r="E456" s="24" t="s">
        <v>996</v>
      </c>
      <c r="F456" s="24" t="s">
        <v>1469</v>
      </c>
      <c r="G456" s="24" t="s">
        <v>1474</v>
      </c>
      <c r="H456" s="27" t="s">
        <v>1471</v>
      </c>
      <c r="I456" s="25">
        <v>3664997</v>
      </c>
      <c r="J456" s="25">
        <v>3273867.98</v>
      </c>
      <c r="K456" s="25">
        <v>3271679.72</v>
      </c>
      <c r="L456" s="25">
        <v>3096526.68</v>
      </c>
      <c r="M456" s="26">
        <f>I456-J456</f>
        <v>391129.02</v>
      </c>
      <c r="N456" s="26">
        <f>J456-K456</f>
        <v>2188.2599999997765</v>
      </c>
      <c r="O456" s="26">
        <f>I456-L456</f>
        <v>568470.3200000003</v>
      </c>
      <c r="P456" s="28">
        <f>IF(I456&gt;0,L456/I456,0)</f>
        <v>0.8448920094613992</v>
      </c>
      <c r="Q456" s="28">
        <f>IF(I456&gt;0,K456/I456,0)</f>
        <v>0.8926827825507089</v>
      </c>
      <c r="R456" s="24" t="str">
        <f>IF(I456&lt;=0,"Sin PIM",IF(L456/I456&gt;=Config!$B$5,"Ejecutado",IF(K456/I456&gt;=Config!$B$6,"Mayormente comprometido",IF(K456&gt;0.005,"Parcialmente comprometido",IF(J456&gt;0.005,"Solo certificado","Sin certificar")))))</f>
        <v>Mayormente comprometido</v>
      </c>
      <c r="S456" s="24" t="str">
        <f>IF(R456="Sin certificar","Disponible",IF(R456="Solo certificado","Posible",IF(R456="Parcialmente comprometido","Parcial",IF(R456="Mayormente comprometido","Difícil",IF(R456="Ejecutado","No usar","Sin PIM")))))</f>
        <v>Difícil</v>
      </c>
      <c r="T456" s="26">
        <f>IF(OR(I456&lt;=0,R456="Ejecutado"),0,MAX(0,I456-K456))</f>
        <v>393317.2799999998</v>
      </c>
      <c r="U456" s="24" t="s">
        <v>75</v>
      </c>
      <c r="V456" s="25">
        <v>1580000</v>
      </c>
      <c r="W456" s="25">
        <v>285490</v>
      </c>
      <c r="X456" s="25">
        <v>0</v>
      </c>
      <c r="Y456" s="25">
        <v>0</v>
      </c>
      <c r="Z456" s="24" t="s">
        <v>63</v>
      </c>
      <c r="AA456" s="24" t="s">
        <v>63</v>
      </c>
      <c r="AB456" s="24" t="s">
        <v>63</v>
      </c>
      <c r="AC456" s="24" t="s">
        <v>63</v>
      </c>
    </row>
    <row r="457" spans="1:29">
      <c r="A457" s="24" t="s">
        <v>1459</v>
      </c>
      <c r="B457" s="24" t="s">
        <v>1460</v>
      </c>
      <c r="C457" s="24" t="s">
        <v>1461</v>
      </c>
      <c r="D457" s="24" t="s">
        <v>63</v>
      </c>
      <c r="E457" s="24" t="s">
        <v>996</v>
      </c>
      <c r="F457" s="24" t="s">
        <v>1472</v>
      </c>
      <c r="G457" s="24" t="s">
        <v>419</v>
      </c>
      <c r="H457" s="27" t="s">
        <v>1473</v>
      </c>
      <c r="I457" s="25">
        <v>1999000</v>
      </c>
      <c r="J457" s="25">
        <v>1989475.51</v>
      </c>
      <c r="K457" s="25">
        <v>1234750.52</v>
      </c>
      <c r="L457" s="25">
        <v>706719.2200000001</v>
      </c>
      <c r="M457" s="26">
        <f>I457-J457</f>
        <v>9524.48999999999</v>
      </c>
      <c r="N457" s="26">
        <f>J457-K457</f>
        <v>754724.99</v>
      </c>
      <c r="O457" s="26">
        <f>I457-L457</f>
        <v>1292280.7799999998</v>
      </c>
      <c r="P457" s="28">
        <f>IF(I457&gt;0,L457/I457,0)</f>
        <v>0.3535363781890946</v>
      </c>
      <c r="Q457" s="28">
        <f>IF(I457&gt;0,K457/I457,0)</f>
        <v>0.6176841020510255</v>
      </c>
      <c r="R457" s="24" t="str">
        <f>IF(I457&lt;=0,"Sin PIM",IF(L457/I457&gt;=Config!$B$5,"Ejecutado",IF(K457/I457&gt;=Config!$B$6,"Mayormente comprometido",IF(K457&gt;0.005,"Parcialmente comprometido",IF(J457&gt;0.005,"Solo certificado","Sin certificar")))))</f>
        <v>Mayormente comprometido</v>
      </c>
      <c r="S457" s="24" t="str">
        <f>IF(R457="Sin certificar","Disponible",IF(R457="Solo certificado","Posible",IF(R457="Parcialmente comprometido","Parcial",IF(R457="Mayormente comprometido","Difícil",IF(R457="Ejecutado","No usar","Sin PIM")))))</f>
        <v>Difícil</v>
      </c>
      <c r="T457" s="26">
        <f>IF(OR(I457&lt;=0,R457="Ejecutado"),0,MAX(0,I457-K457))</f>
        <v>764249.48</v>
      </c>
      <c r="U457" s="24" t="s">
        <v>75</v>
      </c>
      <c r="V457" s="25">
        <v>5730000</v>
      </c>
      <c r="W457" s="25">
        <v>7379001</v>
      </c>
      <c r="X457" s="25">
        <v>1300000</v>
      </c>
      <c r="Y457" s="25">
        <v>1500000</v>
      </c>
      <c r="Z457" s="24" t="s">
        <v>63</v>
      </c>
      <c r="AA457" s="24" t="s">
        <v>63</v>
      </c>
      <c r="AB457" s="24" t="s">
        <v>63</v>
      </c>
      <c r="AC457" s="24" t="s">
        <v>63</v>
      </c>
    </row>
    <row r="458" spans="1:29">
      <c r="A458" s="24" t="s">
        <v>1459</v>
      </c>
      <c r="B458" s="24" t="s">
        <v>1460</v>
      </c>
      <c r="C458" s="24" t="s">
        <v>1461</v>
      </c>
      <c r="D458" s="24" t="s">
        <v>63</v>
      </c>
      <c r="E458" s="24" t="s">
        <v>996</v>
      </c>
      <c r="F458" s="24" t="s">
        <v>1475</v>
      </c>
      <c r="G458" s="24" t="s">
        <v>1237</v>
      </c>
      <c r="H458" s="27" t="s">
        <v>1476</v>
      </c>
      <c r="I458" s="25">
        <v>1998145</v>
      </c>
      <c r="J458" s="25">
        <v>1935732.31</v>
      </c>
      <c r="K458" s="25">
        <v>1932385.9</v>
      </c>
      <c r="L458" s="25">
        <v>1849231.35</v>
      </c>
      <c r="M458" s="26">
        <f>I458-J458</f>
        <v>62412.689999999944</v>
      </c>
      <c r="N458" s="26">
        <f>J458-K458</f>
        <v>3346.410000000149</v>
      </c>
      <c r="O458" s="26">
        <f>I458-L458</f>
        <v>148913.6499999999</v>
      </c>
      <c r="P458" s="28">
        <f>IF(I458&gt;0,L458/I458,0)</f>
        <v>0.9254740521834002</v>
      </c>
      <c r="Q458" s="28">
        <f>IF(I458&gt;0,K458/I458,0)</f>
        <v>0.9670899259062781</v>
      </c>
      <c r="R458" s="24" t="str">
        <f>IF(I458&lt;=0,"Sin PIM",IF(L458/I458&gt;=Config!$B$5,"Ejecutado",IF(K458/I458&gt;=Config!$B$6,"Mayormente comprometido",IF(K458&gt;0.005,"Parcialmente comprometido",IF(J458&gt;0.005,"Solo certificado","Sin certificar")))))</f>
        <v>Ejecutado</v>
      </c>
      <c r="S458" s="24" t="str">
        <f>IF(R458="Sin certificar","Disponible",IF(R458="Solo certificado","Posible",IF(R458="Parcialmente comprometido","Parcial",IF(R458="Mayormente comprometido","Difícil",IF(R458="Ejecutado","No usar","Sin PIM")))))</f>
        <v>No usar</v>
      </c>
      <c r="T458" s="26">
        <f>IF(OR(I458&lt;=0,R458="Ejecutado"),0,MAX(0,I458-K458))</f>
        <v>0.0</v>
      </c>
      <c r="U458" s="24" t="s">
        <v>100</v>
      </c>
      <c r="V458" s="25">
        <v>1850000</v>
      </c>
      <c r="W458" s="25">
        <v>0</v>
      </c>
      <c r="X458" s="25">
        <v>0</v>
      </c>
      <c r="Y458" s="25">
        <v>0</v>
      </c>
      <c r="Z458" s="24" t="s">
        <v>63</v>
      </c>
      <c r="AA458" s="24" t="s">
        <v>63</v>
      </c>
      <c r="AB458" s="24" t="s">
        <v>63</v>
      </c>
      <c r="AC458" s="24" t="s">
        <v>63</v>
      </c>
    </row>
    <row r="459" spans="1:29">
      <c r="A459" s="24" t="s">
        <v>1459</v>
      </c>
      <c r="B459" s="24" t="s">
        <v>1460</v>
      </c>
      <c r="C459" s="24" t="s">
        <v>1461</v>
      </c>
      <c r="D459" s="24" t="s">
        <v>63</v>
      </c>
      <c r="E459" s="24" t="s">
        <v>996</v>
      </c>
      <c r="F459" s="24" t="s">
        <v>1467</v>
      </c>
      <c r="G459" s="24" t="s">
        <v>690</v>
      </c>
      <c r="H459" s="27" t="s">
        <v>1468</v>
      </c>
      <c r="I459" s="25">
        <v>1888290</v>
      </c>
      <c r="J459" s="25">
        <v>1816163.81</v>
      </c>
      <c r="K459" s="25">
        <v>1815895.06</v>
      </c>
      <c r="L459" s="25">
        <v>1807695.78</v>
      </c>
      <c r="M459" s="26">
        <f>I459-J459</f>
        <v>72126.18999999994</v>
      </c>
      <c r="N459" s="26">
        <f>J459-K459</f>
        <v>268.75</v>
      </c>
      <c r="O459" s="26">
        <f>I459-L459</f>
        <v>80594.21999999997</v>
      </c>
      <c r="P459" s="28">
        <f>IF(I459&gt;0,L459/I459,0)</f>
        <v>0.9573189393578317</v>
      </c>
      <c r="Q459" s="28">
        <f>IF(I459&gt;0,K459/I459,0)</f>
        <v>0.9616611113759009</v>
      </c>
      <c r="R459" s="24" t="str">
        <f>IF(I459&lt;=0,"Sin PIM",IF(L459/I459&gt;=Config!$B$5,"Ejecutado",IF(K459/I459&gt;=Config!$B$6,"Mayormente comprometido",IF(K459&gt;0.005,"Parcialmente comprometido",IF(J459&gt;0.005,"Solo certificado","Sin certificar")))))</f>
        <v>Ejecutado</v>
      </c>
      <c r="S459" s="24" t="str">
        <f>IF(R459="Sin certificar","Disponible",IF(R459="Solo certificado","Posible",IF(R459="Parcialmente comprometido","Parcial",IF(R459="Mayormente comprometido","Difícil",IF(R459="Ejecutado","No usar","Sin PIM")))))</f>
        <v>No usar</v>
      </c>
      <c r="T459" s="26">
        <f>IF(OR(I459&lt;=0,R459="Ejecutado"),0,MAX(0,I459-K459))</f>
        <v>0.0</v>
      </c>
      <c r="U459" s="24" t="s">
        <v>75</v>
      </c>
      <c r="V459" s="25">
        <v>1750000</v>
      </c>
      <c r="W459" s="25">
        <v>0</v>
      </c>
      <c r="X459" s="25">
        <v>0</v>
      </c>
      <c r="Y459" s="25">
        <v>0</v>
      </c>
      <c r="Z459" s="24" t="s">
        <v>63</v>
      </c>
      <c r="AA459" s="24" t="s">
        <v>63</v>
      </c>
      <c r="AB459" s="24" t="s">
        <v>63</v>
      </c>
      <c r="AC459" s="24" t="s">
        <v>63</v>
      </c>
    </row>
    <row r="460" spans="1:29">
      <c r="A460" s="24" t="s">
        <v>1459</v>
      </c>
      <c r="B460" s="24" t="s">
        <v>1460</v>
      </c>
      <c r="C460" s="24" t="s">
        <v>1461</v>
      </c>
      <c r="D460" s="24" t="s">
        <v>63</v>
      </c>
      <c r="E460" s="24" t="s">
        <v>996</v>
      </c>
      <c r="F460" s="24" t="s">
        <v>1472</v>
      </c>
      <c r="G460" s="24" t="s">
        <v>1477</v>
      </c>
      <c r="H460" s="27" t="s">
        <v>1473</v>
      </c>
      <c r="I460" s="25">
        <v>1733600</v>
      </c>
      <c r="J460" s="25">
        <v>1432971.51</v>
      </c>
      <c r="K460" s="25">
        <v>1297461.51</v>
      </c>
      <c r="L460" s="25">
        <v>1216702.31</v>
      </c>
      <c r="M460" s="26">
        <f>I460-J460</f>
        <v>300628.48999999976</v>
      </c>
      <c r="N460" s="26">
        <f>J460-K460</f>
        <v>135510.00000000023</v>
      </c>
      <c r="O460" s="26">
        <f>I460-L460</f>
        <v>516897.68999999994</v>
      </c>
      <c r="P460" s="28">
        <f>IF(I460&gt;0,L460/I460,0)</f>
        <v>0.7018356656668205</v>
      </c>
      <c r="Q460" s="28">
        <f>IF(I460&gt;0,K460/I460,0)</f>
        <v>0.7484203449469312</v>
      </c>
      <c r="R460" s="24" t="str">
        <f>IF(I460&lt;=0,"Sin PIM",IF(L460/I460&gt;=Config!$B$5,"Ejecutado",IF(K460/I460&gt;=Config!$B$6,"Mayormente comprometido",IF(K460&gt;0.005,"Parcialmente comprometido",IF(J460&gt;0.005,"Solo certificado","Sin certificar")))))</f>
        <v>Mayormente comprometido</v>
      </c>
      <c r="S460" s="24" t="str">
        <f>IF(R460="Sin certificar","Disponible",IF(R460="Solo certificado","Posible",IF(R460="Parcialmente comprometido","Parcial",IF(R460="Mayormente comprometido","Difícil",IF(R460="Ejecutado","No usar","Sin PIM")))))</f>
        <v>Difícil</v>
      </c>
      <c r="T460" s="26">
        <f>IF(OR(I460&lt;=0,R460="Ejecutado"),0,MAX(0,I460-K460))</f>
        <v>436138.49</v>
      </c>
      <c r="U460" s="24" t="s">
        <v>75</v>
      </c>
      <c r="V460" s="25">
        <v>5730000</v>
      </c>
      <c r="W460" s="25">
        <v>7379001</v>
      </c>
      <c r="X460" s="25">
        <v>1300000</v>
      </c>
      <c r="Y460" s="25">
        <v>1500000</v>
      </c>
      <c r="Z460" s="24" t="s">
        <v>63</v>
      </c>
      <c r="AA460" s="24" t="s">
        <v>63</v>
      </c>
      <c r="AB460" s="24" t="s">
        <v>63</v>
      </c>
      <c r="AC460" s="24" t="s">
        <v>63</v>
      </c>
    </row>
    <row r="461" spans="1:29">
      <c r="A461" s="24" t="s">
        <v>1459</v>
      </c>
      <c r="B461" s="24" t="s">
        <v>1460</v>
      </c>
      <c r="C461" s="24" t="s">
        <v>1461</v>
      </c>
      <c r="D461" s="24" t="s">
        <v>63</v>
      </c>
      <c r="E461" s="24" t="s">
        <v>996</v>
      </c>
      <c r="F461" s="24" t="s">
        <v>1472</v>
      </c>
      <c r="G461" s="24" t="s">
        <v>699</v>
      </c>
      <c r="H461" s="27" t="s">
        <v>1473</v>
      </c>
      <c r="I461" s="25">
        <v>681232</v>
      </c>
      <c r="J461" s="25">
        <v>500567.77</v>
      </c>
      <c r="K461" s="25">
        <v>231819.3</v>
      </c>
      <c r="L461" s="25">
        <v>87757.47</v>
      </c>
      <c r="M461" s="26">
        <f>I461-J461</f>
        <v>180664.22999999998</v>
      </c>
      <c r="N461" s="26">
        <f>J461-K461</f>
        <v>268748.47000000003</v>
      </c>
      <c r="O461" s="26">
        <f>I461-L461</f>
        <v>593474.53</v>
      </c>
      <c r="P461" s="28">
        <f>IF(I461&gt;0,L461/I461,0)</f>
        <v>0.12882170831669681</v>
      </c>
      <c r="Q461" s="28">
        <f>IF(I461&gt;0,K461/I461,0)</f>
        <v>0.34029420226883056</v>
      </c>
      <c r="R461" s="24" t="str">
        <f>IF(I461&lt;=0,"Sin PIM",IF(L461/I461&gt;=Config!$B$5,"Ejecutado",IF(K461/I461&gt;=Config!$B$6,"Mayormente comprometido",IF(K461&gt;0.005,"Parcialmente comprometido",IF(J461&gt;0.005,"Solo certificado","Sin certificar")))))</f>
        <v>Parcialmente comprometido</v>
      </c>
      <c r="S461" s="24" t="str">
        <f>IF(R461="Sin certificar","Disponible",IF(R461="Solo certificado","Posible",IF(R461="Parcialmente comprometido","Parcial",IF(R461="Mayormente comprometido","Difícil",IF(R461="Ejecutado","No usar","Sin PIM")))))</f>
        <v>Parcial</v>
      </c>
      <c r="T461" s="26">
        <f>IF(OR(I461&lt;=0,R461="Ejecutado"),0,MAX(0,I461-K461))</f>
        <v>449412.7</v>
      </c>
      <c r="U461" s="24" t="s">
        <v>1478</v>
      </c>
      <c r="V461" s="25">
        <v>5730000</v>
      </c>
      <c r="W461" s="25">
        <v>7379001</v>
      </c>
      <c r="X461" s="25">
        <v>1300000</v>
      </c>
      <c r="Y461" s="25">
        <v>1500000</v>
      </c>
      <c r="Z461" s="24" t="s">
        <v>63</v>
      </c>
      <c r="AA461" s="24" t="s">
        <v>63</v>
      </c>
      <c r="AB461" s="24" t="s">
        <v>63</v>
      </c>
      <c r="AC461" s="24" t="s">
        <v>63</v>
      </c>
    </row>
    <row r="462" spans="1:29">
      <c r="A462" s="24" t="s">
        <v>1459</v>
      </c>
      <c r="B462" s="24" t="s">
        <v>1460</v>
      </c>
      <c r="C462" s="24" t="s">
        <v>1461</v>
      </c>
      <c r="D462" s="24" t="s">
        <v>63</v>
      </c>
      <c r="E462" s="24" t="s">
        <v>996</v>
      </c>
      <c r="F462" s="24" t="s">
        <v>1412</v>
      </c>
      <c r="G462" s="24" t="s">
        <v>337</v>
      </c>
      <c r="H462" s="27" t="s">
        <v>1479</v>
      </c>
      <c r="I462" s="25">
        <v>390300</v>
      </c>
      <c r="J462" s="25">
        <v>369779.36</v>
      </c>
      <c r="K462" s="25">
        <v>250120.7</v>
      </c>
      <c r="L462" s="25">
        <v>221110.7</v>
      </c>
      <c r="M462" s="26">
        <f>I462-J462</f>
        <v>20520.640000000014</v>
      </c>
      <c r="N462" s="26">
        <f>J462-K462</f>
        <v>119658.65999999997</v>
      </c>
      <c r="O462" s="26">
        <f>I462-L462</f>
        <v>169189.30000000002</v>
      </c>
      <c r="P462" s="28">
        <f>IF(I462&gt;0,L462/I462,0)</f>
        <v>0.566514732257238</v>
      </c>
      <c r="Q462" s="28">
        <f>IF(I462&gt;0,K462/I462,0)</f>
        <v>0.6408421726876762</v>
      </c>
      <c r="R462" s="24" t="str">
        <f>IF(I462&lt;=0,"Sin PIM",IF(L462/I462&gt;=Config!$B$5,"Ejecutado",IF(K462/I462&gt;=Config!$B$6,"Mayormente comprometido",IF(K462&gt;0.005,"Parcialmente comprometido",IF(J462&gt;0.005,"Solo certificado","Sin certificar")))))</f>
        <v>Mayormente comprometido</v>
      </c>
      <c r="S462" s="24" t="str">
        <f>IF(R462="Sin certificar","Disponible",IF(R462="Solo certificado","Posible",IF(R462="Parcialmente comprometido","Parcial",IF(R462="Mayormente comprometido","Difícil",IF(R462="Ejecutado","No usar","Sin PIM")))))</f>
        <v>Difícil</v>
      </c>
      <c r="T462" s="26">
        <f>IF(OR(I462&lt;=0,R462="Ejecutado"),0,MAX(0,I462-K462))</f>
        <v>140179.3</v>
      </c>
      <c r="U462" s="24" t="s">
        <v>994</v>
      </c>
      <c r="V462" s="24" t="s">
        <v>69</v>
      </c>
      <c r="W462" s="24" t="s">
        <v>69</v>
      </c>
      <c r="X462" s="24" t="s">
        <v>69</v>
      </c>
      <c r="Y462" s="24" t="s">
        <v>69</v>
      </c>
      <c r="Z462" s="24" t="s">
        <v>63</v>
      </c>
      <c r="AA462" s="24" t="s">
        <v>63</v>
      </c>
      <c r="AB462" s="24" t="s">
        <v>63</v>
      </c>
      <c r="AC462" s="24" t="s">
        <v>63</v>
      </c>
    </row>
    <row r="463" spans="1:29">
      <c r="A463" s="24" t="s">
        <v>1459</v>
      </c>
      <c r="B463" s="24" t="s">
        <v>1460</v>
      </c>
      <c r="C463" s="24" t="s">
        <v>1461</v>
      </c>
      <c r="D463" s="24" t="s">
        <v>63</v>
      </c>
      <c r="E463" s="24" t="s">
        <v>996</v>
      </c>
      <c r="F463" s="24" t="s">
        <v>1469</v>
      </c>
      <c r="G463" s="24" t="s">
        <v>316</v>
      </c>
      <c r="H463" s="27" t="s">
        <v>1471</v>
      </c>
      <c r="I463" s="25">
        <v>318683</v>
      </c>
      <c r="J463" s="25">
        <v>303987.53</v>
      </c>
      <c r="K463" s="25">
        <v>303987.53</v>
      </c>
      <c r="L463" s="25">
        <v>288256.93</v>
      </c>
      <c r="M463" s="26">
        <f>I463-J463</f>
        <v>14695.469999999972</v>
      </c>
      <c r="N463" s="26">
        <f>J463-K463</f>
        <v>0.0</v>
      </c>
      <c r="O463" s="26">
        <f>I463-L463</f>
        <v>30426.070000000007</v>
      </c>
      <c r="P463" s="28">
        <f>IF(I463&gt;0,L463/I463,0)</f>
        <v>0.9045255943994502</v>
      </c>
      <c r="Q463" s="28">
        <f>IF(I463&gt;0,K463/I463,0)</f>
        <v>0.9538868719071931</v>
      </c>
      <c r="R463" s="24" t="str">
        <f>IF(I463&lt;=0,"Sin PIM",IF(L463/I463&gt;=Config!$B$5,"Ejecutado",IF(K463/I463&gt;=Config!$B$6,"Mayormente comprometido",IF(K463&gt;0.005,"Parcialmente comprometido",IF(J463&gt;0.005,"Solo certificado","Sin certificar")))))</f>
        <v>Ejecutado</v>
      </c>
      <c r="S463" s="24" t="str">
        <f>IF(R463="Sin certificar","Disponible",IF(R463="Solo certificado","Posible",IF(R463="Parcialmente comprometido","Parcial",IF(R463="Mayormente comprometido","Difícil",IF(R463="Ejecutado","No usar","Sin PIM")))))</f>
        <v>No usar</v>
      </c>
      <c r="T463" s="26">
        <f>IF(OR(I463&lt;=0,R463="Ejecutado"),0,MAX(0,I463-K463))</f>
        <v>0.0</v>
      </c>
      <c r="U463" s="24" t="s">
        <v>133</v>
      </c>
      <c r="V463" s="25">
        <v>1580000</v>
      </c>
      <c r="W463" s="25">
        <v>285490</v>
      </c>
      <c r="X463" s="25">
        <v>0</v>
      </c>
      <c r="Y463" s="25">
        <v>0</v>
      </c>
      <c r="Z463" s="24" t="s">
        <v>63</v>
      </c>
      <c r="AA463" s="24" t="s">
        <v>63</v>
      </c>
      <c r="AB463" s="24" t="s">
        <v>63</v>
      </c>
      <c r="AC463" s="24" t="s">
        <v>63</v>
      </c>
    </row>
    <row r="464" spans="1:29">
      <c r="A464" s="24" t="s">
        <v>1459</v>
      </c>
      <c r="B464" s="24" t="s">
        <v>1460</v>
      </c>
      <c r="C464" s="24" t="s">
        <v>1461</v>
      </c>
      <c r="D464" s="24" t="s">
        <v>63</v>
      </c>
      <c r="E464" s="24" t="s">
        <v>996</v>
      </c>
      <c r="F464" s="24" t="s">
        <v>1464</v>
      </c>
      <c r="G464" s="24" t="s">
        <v>1480</v>
      </c>
      <c r="H464" s="27" t="s">
        <v>1466</v>
      </c>
      <c r="I464" s="25">
        <v>304784</v>
      </c>
      <c r="J464" s="25">
        <v>301167.4</v>
      </c>
      <c r="K464" s="25">
        <v>300662.36</v>
      </c>
      <c r="L464" s="25">
        <v>299374.49</v>
      </c>
      <c r="M464" s="26">
        <f>I464-J464</f>
        <v>3616.5999999999767</v>
      </c>
      <c r="N464" s="26">
        <f>J464-K464</f>
        <v>505.04000000003725</v>
      </c>
      <c r="O464" s="26">
        <f>I464-L464</f>
        <v>5409.510000000009</v>
      </c>
      <c r="P464" s="28">
        <f>IF(I464&gt;0,L464/I464,0)</f>
        <v>0.9822513320909234</v>
      </c>
      <c r="Q464" s="28">
        <f>IF(I464&gt;0,K464/I464,0)</f>
        <v>0.9864768491784345</v>
      </c>
      <c r="R464" s="24" t="str">
        <f>IF(I464&lt;=0,"Sin PIM",IF(L464/I464&gt;=Config!$B$5,"Ejecutado",IF(K464/I464&gt;=Config!$B$6,"Mayormente comprometido",IF(K464&gt;0.005,"Parcialmente comprometido",IF(J464&gt;0.005,"Solo certificado","Sin certificar")))))</f>
        <v>Ejecutado</v>
      </c>
      <c r="S464" s="24" t="str">
        <f>IF(R464="Sin certificar","Disponible",IF(R464="Solo certificado","Posible",IF(R464="Parcialmente comprometido","Parcial",IF(R464="Mayormente comprometido","Difícil",IF(R464="Ejecutado","No usar","Sin PIM")))))</f>
        <v>No usar</v>
      </c>
      <c r="T464" s="26">
        <f>IF(OR(I464&lt;=0,R464="Ejecutado"),0,MAX(0,I464-K464))</f>
        <v>0.0</v>
      </c>
      <c r="U464" s="24" t="s">
        <v>133</v>
      </c>
      <c r="V464" s="25">
        <v>4665000</v>
      </c>
      <c r="W464" s="25">
        <v>62456</v>
      </c>
      <c r="X464" s="25">
        <v>0</v>
      </c>
      <c r="Y464" s="25">
        <v>0</v>
      </c>
      <c r="Z464" s="24" t="s">
        <v>63</v>
      </c>
      <c r="AA464" s="24" t="s">
        <v>63</v>
      </c>
      <c r="AB464" s="24" t="s">
        <v>63</v>
      </c>
      <c r="AC464" s="24" t="s">
        <v>63</v>
      </c>
    </row>
    <row r="465" spans="1:29">
      <c r="A465" s="24" t="s">
        <v>1459</v>
      </c>
      <c r="B465" s="24" t="s">
        <v>1460</v>
      </c>
      <c r="C465" s="24" t="s">
        <v>1461</v>
      </c>
      <c r="D465" s="24" t="s">
        <v>63</v>
      </c>
      <c r="E465" s="24" t="s">
        <v>996</v>
      </c>
      <c r="F465" s="24" t="s">
        <v>1481</v>
      </c>
      <c r="G465" s="24" t="s">
        <v>705</v>
      </c>
      <c r="H465" s="27" t="s">
        <v>1482</v>
      </c>
      <c r="I465" s="25">
        <v>300185</v>
      </c>
      <c r="J465" s="25">
        <v>113445.37</v>
      </c>
      <c r="K465" s="25">
        <v>33151.37</v>
      </c>
      <c r="L465" s="25">
        <v>12801.37</v>
      </c>
      <c r="M465" s="26">
        <f>I465-J465</f>
        <v>186739.63</v>
      </c>
      <c r="N465" s="26">
        <f>J465-K465</f>
        <v>80294.0</v>
      </c>
      <c r="O465" s="26">
        <f>I465-L465</f>
        <v>287383.63</v>
      </c>
      <c r="P465" s="28">
        <f>IF(I465&gt;0,L465/I465,0)</f>
        <v>0.04264493562303246</v>
      </c>
      <c r="Q465" s="28">
        <f>IF(I465&gt;0,K465/I465,0)</f>
        <v>0.11043646418042206</v>
      </c>
      <c r="R465" s="24" t="str">
        <f>IF(I465&lt;=0,"Sin PIM",IF(L465/I465&gt;=Config!$B$5,"Ejecutado",IF(K465/I465&gt;=Config!$B$6,"Mayormente comprometido",IF(K465&gt;0.005,"Parcialmente comprometido",IF(J465&gt;0.005,"Solo certificado","Sin certificar")))))</f>
        <v>Parcialmente comprometido</v>
      </c>
      <c r="S465" s="24" t="str">
        <f>IF(R465="Sin certificar","Disponible",IF(R465="Solo certificado","Posible",IF(R465="Parcialmente comprometido","Parcial",IF(R465="Mayormente comprometido","Difícil",IF(R465="Ejecutado","No usar","Sin PIM")))))</f>
        <v>Parcial</v>
      </c>
      <c r="T465" s="26">
        <f>IF(OR(I465&lt;=0,R465="Ejecutado"),0,MAX(0,I465-K465))</f>
        <v>267033.63</v>
      </c>
      <c r="U465" s="24" t="s">
        <v>79</v>
      </c>
      <c r="V465" s="25">
        <v>6500000</v>
      </c>
      <c r="W465" s="25">
        <v>4715948</v>
      </c>
      <c r="X465" s="25">
        <v>5327000</v>
      </c>
      <c r="Y465" s="25">
        <v>7815000</v>
      </c>
      <c r="Z465" s="24" t="s">
        <v>63</v>
      </c>
      <c r="AA465" s="24" t="s">
        <v>63</v>
      </c>
      <c r="AB465" s="24" t="s">
        <v>63</v>
      </c>
      <c r="AC465" s="24" t="s">
        <v>63</v>
      </c>
    </row>
    <row r="466" spans="1:29">
      <c r="A466" s="24" t="s">
        <v>1459</v>
      </c>
      <c r="B466" s="24" t="s">
        <v>1460</v>
      </c>
      <c r="C466" s="24" t="s">
        <v>1461</v>
      </c>
      <c r="D466" s="24" t="s">
        <v>63</v>
      </c>
      <c r="E466" s="24" t="s">
        <v>996</v>
      </c>
      <c r="F466" s="24" t="s">
        <v>1481</v>
      </c>
      <c r="G466" s="24" t="s">
        <v>702</v>
      </c>
      <c r="H466" s="27" t="s">
        <v>1482</v>
      </c>
      <c r="I466" s="25">
        <v>292185</v>
      </c>
      <c r="J466" s="25">
        <v>72896.23000000001</v>
      </c>
      <c r="K466" s="25">
        <v>29490.23</v>
      </c>
      <c r="L466" s="25">
        <v>12396.83</v>
      </c>
      <c r="M466" s="26">
        <f>I466-J466</f>
        <v>219288.77</v>
      </c>
      <c r="N466" s="26">
        <f>J466-K466</f>
        <v>43406.00000000001</v>
      </c>
      <c r="O466" s="26">
        <f>I466-L466</f>
        <v>279788.17</v>
      </c>
      <c r="P466" s="28">
        <f>IF(I466&gt;0,L466/I466,0)</f>
        <v>0.04242801649639783</v>
      </c>
      <c r="Q466" s="28">
        <f>IF(I466&gt;0,K466/I466,0)</f>
        <v>0.1009299929838972</v>
      </c>
      <c r="R466" s="24" t="str">
        <f>IF(I466&lt;=0,"Sin PIM",IF(L466/I466&gt;=Config!$B$5,"Ejecutado",IF(K466/I466&gt;=Config!$B$6,"Mayormente comprometido",IF(K466&gt;0.005,"Parcialmente comprometido",IF(J466&gt;0.005,"Solo certificado","Sin certificar")))))</f>
        <v>Parcialmente comprometido</v>
      </c>
      <c r="S466" s="24" t="str">
        <f>IF(R466="Sin certificar","Disponible",IF(R466="Solo certificado","Posible",IF(R466="Parcialmente comprometido","Parcial",IF(R466="Mayormente comprometido","Difícil",IF(R466="Ejecutado","No usar","Sin PIM")))))</f>
        <v>Parcial</v>
      </c>
      <c r="T466" s="26">
        <f>IF(OR(I466&lt;=0,R466="Ejecutado"),0,MAX(0,I466-K466))</f>
        <v>262694.77</v>
      </c>
      <c r="U466" s="24" t="s">
        <v>75</v>
      </c>
      <c r="V466" s="25">
        <v>6500000</v>
      </c>
      <c r="W466" s="25">
        <v>4715948</v>
      </c>
      <c r="X466" s="25">
        <v>5327000</v>
      </c>
      <c r="Y466" s="25">
        <v>7815000</v>
      </c>
      <c r="Z466" s="24" t="s">
        <v>63</v>
      </c>
      <c r="AA466" s="24" t="s">
        <v>63</v>
      </c>
      <c r="AB466" s="24" t="s">
        <v>63</v>
      </c>
      <c r="AC466" s="24" t="s">
        <v>63</v>
      </c>
    </row>
    <row r="467" spans="1:29">
      <c r="A467" s="24" t="s">
        <v>1459</v>
      </c>
      <c r="B467" s="24" t="s">
        <v>1460</v>
      </c>
      <c r="C467" s="24" t="s">
        <v>1461</v>
      </c>
      <c r="D467" s="24" t="s">
        <v>63</v>
      </c>
      <c r="E467" s="24" t="s">
        <v>996</v>
      </c>
      <c r="F467" s="24" t="s">
        <v>1483</v>
      </c>
      <c r="G467" s="24" t="s">
        <v>1458</v>
      </c>
      <c r="H467" s="27" t="s">
        <v>1484</v>
      </c>
      <c r="I467" s="25">
        <v>267289</v>
      </c>
      <c r="J467" s="25">
        <v>267284.07</v>
      </c>
      <c r="K467" s="25">
        <v>267284.07</v>
      </c>
      <c r="L467" s="25">
        <v>245284.07</v>
      </c>
      <c r="M467" s="26">
        <f>I467-J467</f>
        <v>4.929999999993015</v>
      </c>
      <c r="N467" s="26">
        <f>J467-K467</f>
        <v>0.0</v>
      </c>
      <c r="O467" s="26">
        <f>I467-L467</f>
        <v>22004.929999999993</v>
      </c>
      <c r="P467" s="28">
        <f>IF(I467&gt;0,L467/I467,0)</f>
        <v>0.9176736416388254</v>
      </c>
      <c r="Q467" s="28">
        <f>IF(I467&gt;0,K467/I467,0)</f>
        <v>0.9999815555447474</v>
      </c>
      <c r="R467" s="24" t="str">
        <f>IF(I467&lt;=0,"Sin PIM",IF(L467/I467&gt;=Config!$B$5,"Ejecutado",IF(K467/I467&gt;=Config!$B$6,"Mayormente comprometido",IF(K467&gt;0.005,"Parcialmente comprometido",IF(J467&gt;0.005,"Solo certificado","Sin certificar")))))</f>
        <v>Ejecutado</v>
      </c>
      <c r="S467" s="24" t="str">
        <f>IF(R467="Sin certificar","Disponible",IF(R467="Solo certificado","Posible",IF(R467="Parcialmente comprometido","Parcial",IF(R467="Mayormente comprometido","Difícil",IF(R467="Ejecutado","No usar","Sin PIM")))))</f>
        <v>No usar</v>
      </c>
      <c r="T467" s="26">
        <f>IF(OR(I467&lt;=0,R467="Ejecutado"),0,MAX(0,I467-K467))</f>
        <v>0.0</v>
      </c>
      <c r="U467" s="24" t="s">
        <v>123</v>
      </c>
      <c r="V467" s="25">
        <v>7834316</v>
      </c>
      <c r="W467" s="25">
        <v>8107762</v>
      </c>
      <c r="X467" s="25">
        <v>700000</v>
      </c>
      <c r="Y467" s="25">
        <v>900000</v>
      </c>
      <c r="Z467" s="24" t="s">
        <v>63</v>
      </c>
      <c r="AA467" s="24" t="s">
        <v>63</v>
      </c>
      <c r="AB467" s="24" t="s">
        <v>63</v>
      </c>
      <c r="AC467" s="24" t="s">
        <v>63</v>
      </c>
    </row>
    <row r="468" spans="1:29">
      <c r="A468" s="24" t="s">
        <v>1459</v>
      </c>
      <c r="B468" s="24" t="s">
        <v>1460</v>
      </c>
      <c r="C468" s="24" t="s">
        <v>1461</v>
      </c>
      <c r="D468" s="24" t="s">
        <v>63</v>
      </c>
      <c r="E468" s="24" t="s">
        <v>996</v>
      </c>
      <c r="F468" s="24" t="s">
        <v>1481</v>
      </c>
      <c r="G468" s="24" t="s">
        <v>1485</v>
      </c>
      <c r="H468" s="27" t="s">
        <v>1482</v>
      </c>
      <c r="I468" s="25">
        <v>262883</v>
      </c>
      <c r="J468" s="25">
        <v>262882.9</v>
      </c>
      <c r="K468" s="25">
        <v>262822.9</v>
      </c>
      <c r="L468" s="25">
        <v>262822.9</v>
      </c>
      <c r="M468" s="26">
        <f>I468-J468</f>
        <v>0.09999999997671694</v>
      </c>
      <c r="N468" s="26">
        <f>J468-K468</f>
        <v>60.0</v>
      </c>
      <c r="O468" s="26">
        <f>I468-L468</f>
        <v>60.09999999997672</v>
      </c>
      <c r="P468" s="28">
        <f>IF(I468&gt;0,L468/I468,0)</f>
        <v>0.9997713811847857</v>
      </c>
      <c r="Q468" s="28">
        <f>IF(I468&gt;0,K468/I468,0)</f>
        <v>0.9997713811847857</v>
      </c>
      <c r="R468" s="24" t="str">
        <f>IF(I468&lt;=0,"Sin PIM",IF(L468/I468&gt;=Config!$B$5,"Ejecutado",IF(K468/I468&gt;=Config!$B$6,"Mayormente comprometido",IF(K468&gt;0.005,"Parcialmente comprometido",IF(J468&gt;0.005,"Solo certificado","Sin certificar")))))</f>
        <v>Ejecutado</v>
      </c>
      <c r="S468" s="24" t="str">
        <f>IF(R468="Sin certificar","Disponible",IF(R468="Solo certificado","Posible",IF(R468="Parcialmente comprometido","Parcial",IF(R468="Mayormente comprometido","Difícil",IF(R468="Ejecutado","No usar","Sin PIM")))))</f>
        <v>No usar</v>
      </c>
      <c r="T468" s="26">
        <f>IF(OR(I468&lt;=0,R468="Ejecutado"),0,MAX(0,I468-K468))</f>
        <v>0.0</v>
      </c>
      <c r="U468" s="24" t="s">
        <v>123</v>
      </c>
      <c r="V468" s="25">
        <v>6500000</v>
      </c>
      <c r="W468" s="25">
        <v>4715948</v>
      </c>
      <c r="X468" s="25">
        <v>5327000</v>
      </c>
      <c r="Y468" s="25">
        <v>7815000</v>
      </c>
      <c r="Z468" s="24" t="s">
        <v>63</v>
      </c>
      <c r="AA468" s="24" t="s">
        <v>63</v>
      </c>
      <c r="AB468" s="24" t="s">
        <v>63</v>
      </c>
      <c r="AC468" s="24" t="s">
        <v>63</v>
      </c>
    </row>
    <row r="469" spans="1:29">
      <c r="A469" s="24" t="s">
        <v>1459</v>
      </c>
      <c r="B469" s="24" t="s">
        <v>1460</v>
      </c>
      <c r="C469" s="24" t="s">
        <v>1461</v>
      </c>
      <c r="D469" s="24" t="s">
        <v>63</v>
      </c>
      <c r="E469" s="24" t="s">
        <v>996</v>
      </c>
      <c r="F469" s="24" t="s">
        <v>1412</v>
      </c>
      <c r="G469" s="24" t="s">
        <v>306</v>
      </c>
      <c r="H469" s="27" t="s">
        <v>1479</v>
      </c>
      <c r="I469" s="25">
        <v>230000</v>
      </c>
      <c r="J469" s="25">
        <v>210073.85</v>
      </c>
      <c r="K469" s="25">
        <v>209443.15</v>
      </c>
      <c r="L469" s="25">
        <v>192936.75</v>
      </c>
      <c r="M469" s="26">
        <f>I469-J469</f>
        <v>19926.149999999994</v>
      </c>
      <c r="N469" s="26">
        <f>J469-K469</f>
        <v>630.7000000000116</v>
      </c>
      <c r="O469" s="26">
        <f>I469-L469</f>
        <v>37063.25</v>
      </c>
      <c r="P469" s="28">
        <f>IF(I469&gt;0,L469/I469,0)</f>
        <v>0.8388554347826087</v>
      </c>
      <c r="Q469" s="28">
        <f>IF(I469&gt;0,K469/I469,0)</f>
        <v>0.9106223913043479</v>
      </c>
      <c r="R469" s="24" t="str">
        <f>IF(I469&lt;=0,"Sin PIM",IF(L469/I469&gt;=Config!$B$5,"Ejecutado",IF(K469/I469&gt;=Config!$B$6,"Mayormente comprometido",IF(K469&gt;0.005,"Parcialmente comprometido",IF(J469&gt;0.005,"Solo certificado","Sin certificar")))))</f>
        <v>Mayormente comprometido</v>
      </c>
      <c r="S469" s="24" t="str">
        <f>IF(R469="Sin certificar","Disponible",IF(R469="Solo certificado","Posible",IF(R469="Parcialmente comprometido","Parcial",IF(R469="Mayormente comprometido","Difícil",IF(R469="Ejecutado","No usar","Sin PIM")))))</f>
        <v>Difícil</v>
      </c>
      <c r="T469" s="26">
        <f>IF(OR(I469&lt;=0,R469="Ejecutado"),0,MAX(0,I469-K469))</f>
        <v>20556.850000000006</v>
      </c>
      <c r="U469" s="24" t="s">
        <v>994</v>
      </c>
      <c r="V469" s="24" t="s">
        <v>69</v>
      </c>
      <c r="W469" s="24" t="s">
        <v>69</v>
      </c>
      <c r="X469" s="24" t="s">
        <v>69</v>
      </c>
      <c r="Y469" s="24" t="s">
        <v>69</v>
      </c>
      <c r="Z469" s="24" t="s">
        <v>63</v>
      </c>
      <c r="AA469" s="24" t="s">
        <v>63</v>
      </c>
      <c r="AB469" s="24" t="s">
        <v>63</v>
      </c>
      <c r="AC469" s="24" t="s">
        <v>63</v>
      </c>
    </row>
    <row r="470" spans="1:29">
      <c r="A470" s="24" t="s">
        <v>1459</v>
      </c>
      <c r="B470" s="24" t="s">
        <v>1460</v>
      </c>
      <c r="C470" s="24" t="s">
        <v>1461</v>
      </c>
      <c r="D470" s="24" t="s">
        <v>63</v>
      </c>
      <c r="E470" s="24" t="s">
        <v>996</v>
      </c>
      <c r="F470" s="24" t="s">
        <v>1467</v>
      </c>
      <c r="G470" s="24" t="s">
        <v>158</v>
      </c>
      <c r="H470" s="27" t="s">
        <v>1468</v>
      </c>
      <c r="I470" s="25">
        <v>190283</v>
      </c>
      <c r="J470" s="25">
        <v>190281.56</v>
      </c>
      <c r="K470" s="25">
        <v>190281.56</v>
      </c>
      <c r="L470" s="25">
        <v>190281.56</v>
      </c>
      <c r="M470" s="26">
        <f>I470-J470</f>
        <v>1.4400000000023283</v>
      </c>
      <c r="N470" s="26">
        <f>J470-K470</f>
        <v>0.0</v>
      </c>
      <c r="O470" s="26">
        <f>I470-L470</f>
        <v>1.4400000000023283</v>
      </c>
      <c r="P470" s="28">
        <f>IF(I470&gt;0,L470/I470,0)</f>
        <v>0.9999924323244851</v>
      </c>
      <c r="Q470" s="28">
        <f>IF(I470&gt;0,K470/I470,0)</f>
        <v>0.9999924323244851</v>
      </c>
      <c r="R470" s="24" t="str">
        <f>IF(I470&lt;=0,"Sin PIM",IF(L470/I470&gt;=Config!$B$5,"Ejecutado",IF(K470/I470&gt;=Config!$B$6,"Mayormente comprometido",IF(K470&gt;0.005,"Parcialmente comprometido",IF(J470&gt;0.005,"Solo certificado","Sin certificar")))))</f>
        <v>Ejecutado</v>
      </c>
      <c r="S470" s="24" t="str">
        <f>IF(R470="Sin certificar","Disponible",IF(R470="Solo certificado","Posible",IF(R470="Parcialmente comprometido","Parcial",IF(R470="Mayormente comprometido","Difícil",IF(R470="Ejecutado","No usar","Sin PIM")))))</f>
        <v>No usar</v>
      </c>
      <c r="T470" s="26">
        <f>IF(OR(I470&lt;=0,R470="Ejecutado"),0,MAX(0,I470-K470))</f>
        <v>0.0</v>
      </c>
      <c r="U470" s="24" t="s">
        <v>105</v>
      </c>
      <c r="V470" s="25">
        <v>1750000</v>
      </c>
      <c r="W470" s="25">
        <v>0</v>
      </c>
      <c r="X470" s="25">
        <v>0</v>
      </c>
      <c r="Y470" s="25">
        <v>0</v>
      </c>
      <c r="Z470" s="24" t="s">
        <v>63</v>
      </c>
      <c r="AA470" s="24" t="s">
        <v>63</v>
      </c>
      <c r="AB470" s="24" t="s">
        <v>63</v>
      </c>
      <c r="AC470" s="24" t="s">
        <v>63</v>
      </c>
    </row>
    <row r="471" spans="1:29">
      <c r="A471" s="24" t="s">
        <v>1459</v>
      </c>
      <c r="B471" s="24" t="s">
        <v>1460</v>
      </c>
      <c r="C471" s="24" t="s">
        <v>1461</v>
      </c>
      <c r="D471" s="24" t="s">
        <v>63</v>
      </c>
      <c r="E471" s="24" t="s">
        <v>996</v>
      </c>
      <c r="F471" s="24" t="s">
        <v>1464</v>
      </c>
      <c r="G471" s="24" t="s">
        <v>693</v>
      </c>
      <c r="H471" s="27" t="s">
        <v>1466</v>
      </c>
      <c r="I471" s="25">
        <v>176980</v>
      </c>
      <c r="J471" s="25">
        <v>174789.06</v>
      </c>
      <c r="K471" s="25">
        <v>174789.06</v>
      </c>
      <c r="L471" s="25">
        <v>171789.06</v>
      </c>
      <c r="M471" s="26">
        <f>I471-J471</f>
        <v>2190.9400000000023</v>
      </c>
      <c r="N471" s="26">
        <f>J471-K471</f>
        <v>0.0</v>
      </c>
      <c r="O471" s="26">
        <f>I471-L471</f>
        <v>5190.940000000002</v>
      </c>
      <c r="P471" s="28">
        <f>IF(I471&gt;0,L471/I471,0)</f>
        <v>0.9706693411684936</v>
      </c>
      <c r="Q471" s="28">
        <f>IF(I471&gt;0,K471/I471,0)</f>
        <v>0.9876204090857724</v>
      </c>
      <c r="R471" s="24" t="str">
        <f>IF(I471&lt;=0,"Sin PIM",IF(L471/I471&gt;=Config!$B$5,"Ejecutado",IF(K471/I471&gt;=Config!$B$6,"Mayormente comprometido",IF(K471&gt;0.005,"Parcialmente comprometido",IF(J471&gt;0.005,"Solo certificado","Sin certificar")))))</f>
        <v>Ejecutado</v>
      </c>
      <c r="S471" s="24" t="str">
        <f>IF(R471="Sin certificar","Disponible",IF(R471="Solo certificado","Posible",IF(R471="Parcialmente comprometido","Parcial",IF(R471="Mayormente comprometido","Difícil",IF(R471="Ejecutado","No usar","Sin PIM")))))</f>
        <v>No usar</v>
      </c>
      <c r="T471" s="26">
        <f>IF(OR(I471&lt;=0,R471="Ejecutado"),0,MAX(0,I471-K471))</f>
        <v>0.0</v>
      </c>
      <c r="U471" s="24" t="s">
        <v>96</v>
      </c>
      <c r="V471" s="25">
        <v>4665000</v>
      </c>
      <c r="W471" s="25">
        <v>62456</v>
      </c>
      <c r="X471" s="25">
        <v>0</v>
      </c>
      <c r="Y471" s="25">
        <v>0</v>
      </c>
      <c r="Z471" s="24" t="s">
        <v>63</v>
      </c>
      <c r="AA471" s="24" t="s">
        <v>63</v>
      </c>
      <c r="AB471" s="24" t="s">
        <v>63</v>
      </c>
      <c r="AC471" s="24" t="s">
        <v>63</v>
      </c>
    </row>
    <row r="472" spans="1:29">
      <c r="A472" s="24" t="s">
        <v>1459</v>
      </c>
      <c r="B472" s="24" t="s">
        <v>1460</v>
      </c>
      <c r="C472" s="24" t="s">
        <v>1461</v>
      </c>
      <c r="D472" s="24" t="s">
        <v>63</v>
      </c>
      <c r="E472" s="24" t="s">
        <v>996</v>
      </c>
      <c r="F472" s="24" t="s">
        <v>1475</v>
      </c>
      <c r="G472" s="24" t="s">
        <v>161</v>
      </c>
      <c r="H472" s="27" t="s">
        <v>1476</v>
      </c>
      <c r="I472" s="25">
        <v>154443</v>
      </c>
      <c r="J472" s="25">
        <v>109916.88</v>
      </c>
      <c r="K472" s="25">
        <v>92420.89</v>
      </c>
      <c r="L472" s="25">
        <v>90449.34999999999</v>
      </c>
      <c r="M472" s="26">
        <f>I472-J472</f>
        <v>44526.12000000001</v>
      </c>
      <c r="N472" s="26">
        <f>J472-K472</f>
        <v>17495.98999999999</v>
      </c>
      <c r="O472" s="26">
        <f>I472-L472</f>
        <v>63993.65000000001</v>
      </c>
      <c r="P472" s="28">
        <f>IF(I472&gt;0,L472/I472,0)</f>
        <v>0.5856487506717688</v>
      </c>
      <c r="Q472" s="28">
        <f>IF(I472&gt;0,K472/I472,0)</f>
        <v>0.5984142369676839</v>
      </c>
      <c r="R472" s="24" t="str">
        <f>IF(I472&lt;=0,"Sin PIM",IF(L472/I472&gt;=Config!$B$5,"Ejecutado",IF(K472/I472&gt;=Config!$B$6,"Mayormente comprometido",IF(K472&gt;0.005,"Parcialmente comprometido",IF(J472&gt;0.005,"Solo certificado","Sin certificar")))))</f>
        <v>Mayormente comprometido</v>
      </c>
      <c r="S472" s="24" t="str">
        <f>IF(R472="Sin certificar","Disponible",IF(R472="Solo certificado","Posible",IF(R472="Parcialmente comprometido","Parcial",IF(R472="Mayormente comprometido","Difícil",IF(R472="Ejecutado","No usar","Sin PIM")))))</f>
        <v>Difícil</v>
      </c>
      <c r="T472" s="26">
        <f>IF(OR(I472&lt;=0,R472="Ejecutado"),0,MAX(0,I472-K472))</f>
        <v>62022.11</v>
      </c>
      <c r="U472" s="24" t="s">
        <v>96</v>
      </c>
      <c r="V472" s="25">
        <v>1850000</v>
      </c>
      <c r="W472" s="25">
        <v>0</v>
      </c>
      <c r="X472" s="25">
        <v>0</v>
      </c>
      <c r="Y472" s="25">
        <v>0</v>
      </c>
      <c r="Z472" s="24" t="s">
        <v>63</v>
      </c>
      <c r="AA472" s="24" t="s">
        <v>63</v>
      </c>
      <c r="AB472" s="24" t="s">
        <v>63</v>
      </c>
      <c r="AC472" s="24" t="s">
        <v>63</v>
      </c>
    </row>
    <row r="473" spans="1:29">
      <c r="A473" s="24" t="s">
        <v>1459</v>
      </c>
      <c r="B473" s="24" t="s">
        <v>1460</v>
      </c>
      <c r="C473" s="24" t="s">
        <v>1461</v>
      </c>
      <c r="D473" s="24" t="s">
        <v>63</v>
      </c>
      <c r="E473" s="24" t="s">
        <v>996</v>
      </c>
      <c r="F473" s="24" t="s">
        <v>1486</v>
      </c>
      <c r="G473" s="24" t="s">
        <v>971</v>
      </c>
      <c r="H473" s="27" t="s">
        <v>1487</v>
      </c>
      <c r="I473" s="25">
        <v>152639</v>
      </c>
      <c r="J473" s="25">
        <v>152604.55</v>
      </c>
      <c r="K473" s="25">
        <v>152604.55</v>
      </c>
      <c r="L473" s="25">
        <v>152604.55</v>
      </c>
      <c r="M473" s="26">
        <f>I473-J473</f>
        <v>34.45000000001164</v>
      </c>
      <c r="N473" s="26">
        <f>J473-K473</f>
        <v>0.0</v>
      </c>
      <c r="O473" s="26">
        <f>I473-L473</f>
        <v>34.45000000001164</v>
      </c>
      <c r="P473" s="28">
        <f>IF(I473&gt;0,L473/I473,0)</f>
        <v>0.9997743040769397</v>
      </c>
      <c r="Q473" s="28">
        <f>IF(I473&gt;0,K473/I473,0)</f>
        <v>0.9997743040769397</v>
      </c>
      <c r="R473" s="24" t="str">
        <f>IF(I473&lt;=0,"Sin PIM",IF(L473/I473&gt;=Config!$B$5,"Ejecutado",IF(K473/I473&gt;=Config!$B$6,"Mayormente comprometido",IF(K473&gt;0.005,"Parcialmente comprometido",IF(J473&gt;0.005,"Solo certificado","Sin certificar")))))</f>
        <v>Ejecutado</v>
      </c>
      <c r="S473" s="24" t="str">
        <f>IF(R473="Sin certificar","Disponible",IF(R473="Solo certificado","Posible",IF(R473="Parcialmente comprometido","Parcial",IF(R473="Mayormente comprometido","Difícil",IF(R473="Ejecutado","No usar","Sin PIM")))))</f>
        <v>No usar</v>
      </c>
      <c r="T473" s="26">
        <f>IF(OR(I473&lt;=0,R473="Ejecutado"),0,MAX(0,I473-K473))</f>
        <v>0.0</v>
      </c>
      <c r="U473" s="24" t="s">
        <v>123</v>
      </c>
      <c r="V473" s="24" t="s">
        <v>69</v>
      </c>
      <c r="W473" s="24" t="s">
        <v>69</v>
      </c>
      <c r="X473" s="24" t="s">
        <v>69</v>
      </c>
      <c r="Y473" s="24" t="s">
        <v>69</v>
      </c>
      <c r="Z473" s="24" t="s">
        <v>63</v>
      </c>
      <c r="AA473" s="24" t="s">
        <v>63</v>
      </c>
      <c r="AB473" s="24" t="s">
        <v>63</v>
      </c>
      <c r="AC473" s="24" t="s">
        <v>63</v>
      </c>
    </row>
    <row r="474" spans="1:29">
      <c r="A474" s="24" t="s">
        <v>1459</v>
      </c>
      <c r="B474" s="24" t="s">
        <v>1460</v>
      </c>
      <c r="C474" s="24" t="s">
        <v>1461</v>
      </c>
      <c r="D474" s="24" t="s">
        <v>63</v>
      </c>
      <c r="E474" s="24" t="s">
        <v>996</v>
      </c>
      <c r="F474" s="24" t="s">
        <v>1475</v>
      </c>
      <c r="G474" s="24" t="s">
        <v>1227</v>
      </c>
      <c r="H474" s="27" t="s">
        <v>1476</v>
      </c>
      <c r="I474" s="25">
        <v>150000</v>
      </c>
      <c r="J474" s="25">
        <v>149949.14</v>
      </c>
      <c r="K474" s="25">
        <v>149949.14</v>
      </c>
      <c r="L474" s="25">
        <v>148925.24</v>
      </c>
      <c r="M474" s="26">
        <f>I474-J474</f>
        <v>50.85999999998603</v>
      </c>
      <c r="N474" s="26">
        <f>J474-K474</f>
        <v>0.0</v>
      </c>
      <c r="O474" s="26">
        <f>I474-L474</f>
        <v>1074.7600000000093</v>
      </c>
      <c r="P474" s="28">
        <f>IF(I474&gt;0,L474/I474,0)</f>
        <v>0.9928349333333333</v>
      </c>
      <c r="Q474" s="28">
        <f>IF(I474&gt;0,K474/I474,0)</f>
        <v>0.9996609333333334</v>
      </c>
      <c r="R474" s="24" t="str">
        <f>IF(I474&lt;=0,"Sin PIM",IF(L474/I474&gt;=Config!$B$5,"Ejecutado",IF(K474/I474&gt;=Config!$B$6,"Mayormente comprometido",IF(K474&gt;0.005,"Parcialmente comprometido",IF(J474&gt;0.005,"Solo certificado","Sin certificar")))))</f>
        <v>Ejecutado</v>
      </c>
      <c r="S474" s="24" t="str">
        <f>IF(R474="Sin certificar","Disponible",IF(R474="Solo certificado","Posible",IF(R474="Parcialmente comprometido","Parcial",IF(R474="Mayormente comprometido","Difícil",IF(R474="Ejecutado","No usar","Sin PIM")))))</f>
        <v>No usar</v>
      </c>
      <c r="T474" s="26">
        <f>IF(OR(I474&lt;=0,R474="Ejecutado"),0,MAX(0,I474-K474))</f>
        <v>0.0</v>
      </c>
      <c r="U474" s="24" t="s">
        <v>196</v>
      </c>
      <c r="V474" s="25">
        <v>1850000</v>
      </c>
      <c r="W474" s="25">
        <v>0</v>
      </c>
      <c r="X474" s="25">
        <v>0</v>
      </c>
      <c r="Y474" s="25">
        <v>0</v>
      </c>
      <c r="Z474" s="24" t="s">
        <v>63</v>
      </c>
      <c r="AA474" s="24" t="s">
        <v>63</v>
      </c>
      <c r="AB474" s="24" t="s">
        <v>63</v>
      </c>
      <c r="AC474" s="24" t="s">
        <v>63</v>
      </c>
    </row>
    <row r="475" spans="1:29">
      <c r="A475" s="24" t="s">
        <v>1459</v>
      </c>
      <c r="B475" s="24" t="s">
        <v>1460</v>
      </c>
      <c r="C475" s="24" t="s">
        <v>1461</v>
      </c>
      <c r="D475" s="24" t="s">
        <v>63</v>
      </c>
      <c r="E475" s="24" t="s">
        <v>996</v>
      </c>
      <c r="F475" s="24" t="s">
        <v>1488</v>
      </c>
      <c r="G475" s="24" t="s">
        <v>334</v>
      </c>
      <c r="H475" s="27" t="s">
        <v>1489</v>
      </c>
      <c r="I475" s="25">
        <v>150000</v>
      </c>
      <c r="J475" s="25">
        <v>149147</v>
      </c>
      <c r="K475" s="25">
        <v>107750.4</v>
      </c>
      <c r="L475" s="25">
        <v>88700.39999999999</v>
      </c>
      <c r="M475" s="26">
        <f>I475-J475</f>
        <v>853.0</v>
      </c>
      <c r="N475" s="26">
        <f>J475-K475</f>
        <v>41396.600000000006</v>
      </c>
      <c r="O475" s="26">
        <f>I475-L475</f>
        <v>61299.600000000006</v>
      </c>
      <c r="P475" s="28">
        <f>IF(I475&gt;0,L475/I475,0)</f>
        <v>0.591336</v>
      </c>
      <c r="Q475" s="28">
        <f>IF(I475&gt;0,K475/I475,0)</f>
        <v>0.718336</v>
      </c>
      <c r="R475" s="24" t="str">
        <f>IF(I475&lt;=0,"Sin PIM",IF(L475/I475&gt;=Config!$B$5,"Ejecutado",IF(K475/I475&gt;=Config!$B$6,"Mayormente comprometido",IF(K475&gt;0.005,"Parcialmente comprometido",IF(J475&gt;0.005,"Solo certificado","Sin certificar")))))</f>
        <v>Mayormente comprometido</v>
      </c>
      <c r="S475" s="24" t="str">
        <f>IF(R475="Sin certificar","Disponible",IF(R475="Solo certificado","Posible",IF(R475="Parcialmente comprometido","Parcial",IF(R475="Mayormente comprometido","Difícil",IF(R475="Ejecutado","No usar","Sin PIM")))))</f>
        <v>Difícil</v>
      </c>
      <c r="T475" s="26">
        <f>IF(OR(I475&lt;=0,R475="Ejecutado"),0,MAX(0,I475-K475))</f>
        <v>42249.600000000006</v>
      </c>
      <c r="U475" s="24" t="s">
        <v>123</v>
      </c>
      <c r="V475" s="25">
        <v>150000</v>
      </c>
      <c r="W475" s="25">
        <v>414813</v>
      </c>
      <c r="X475" s="25">
        <v>900000</v>
      </c>
      <c r="Y475" s="25">
        <v>1046334</v>
      </c>
      <c r="Z475" s="24" t="s">
        <v>63</v>
      </c>
      <c r="AA475" s="24" t="s">
        <v>63</v>
      </c>
      <c r="AB475" s="24" t="s">
        <v>63</v>
      </c>
      <c r="AC475" s="24" t="s">
        <v>63</v>
      </c>
    </row>
    <row r="476" spans="1:29">
      <c r="A476" s="24" t="s">
        <v>1459</v>
      </c>
      <c r="B476" s="24" t="s">
        <v>1460</v>
      </c>
      <c r="C476" s="24" t="s">
        <v>1461</v>
      </c>
      <c r="D476" s="24" t="s">
        <v>63</v>
      </c>
      <c r="E476" s="24" t="s">
        <v>996</v>
      </c>
      <c r="F476" s="24" t="s">
        <v>1469</v>
      </c>
      <c r="G476" s="24" t="s">
        <v>328</v>
      </c>
      <c r="H476" s="27" t="s">
        <v>1471</v>
      </c>
      <c r="I476" s="25">
        <v>69000</v>
      </c>
      <c r="J476" s="25">
        <v>43756.53999999999</v>
      </c>
      <c r="K476" s="25">
        <v>43756.53999999999</v>
      </c>
      <c r="L476" s="25">
        <v>40656.53999999999</v>
      </c>
      <c r="M476" s="26">
        <f>I476-J476</f>
        <v>25243.460000000006</v>
      </c>
      <c r="N476" s="26">
        <f>J476-K476</f>
        <v>0.0</v>
      </c>
      <c r="O476" s="26">
        <f>I476-L476</f>
        <v>28343.460000000006</v>
      </c>
      <c r="P476" s="28">
        <f>IF(I476&gt;0,L476/I476,0)</f>
        <v>0.5892252173913043</v>
      </c>
      <c r="Q476" s="28">
        <f>IF(I476&gt;0,K476/I476,0)</f>
        <v>0.6341527536231883</v>
      </c>
      <c r="R476" s="24" t="str">
        <f>IF(I476&lt;=0,"Sin PIM",IF(L476/I476&gt;=Config!$B$5,"Ejecutado",IF(K476/I476&gt;=Config!$B$6,"Mayormente comprometido",IF(K476&gt;0.005,"Parcialmente comprometido",IF(J476&gt;0.005,"Solo certificado","Sin certificar")))))</f>
        <v>Mayormente comprometido</v>
      </c>
      <c r="S476" s="24" t="str">
        <f>IF(R476="Sin certificar","Disponible",IF(R476="Solo certificado","Posible",IF(R476="Parcialmente comprometido","Parcial",IF(R476="Mayormente comprometido","Difícil",IF(R476="Ejecutado","No usar","Sin PIM")))))</f>
        <v>Difícil</v>
      </c>
      <c r="T476" s="26">
        <f>IF(OR(I476&lt;=0,R476="Ejecutado"),0,MAX(0,I476-K476))</f>
        <v>25243.460000000006</v>
      </c>
      <c r="U476" s="24" t="s">
        <v>96</v>
      </c>
      <c r="V476" s="25">
        <v>1580000</v>
      </c>
      <c r="W476" s="25">
        <v>285490</v>
      </c>
      <c r="X476" s="25">
        <v>0</v>
      </c>
      <c r="Y476" s="25">
        <v>0</v>
      </c>
      <c r="Z476" s="24" t="s">
        <v>63</v>
      </c>
      <c r="AA476" s="24" t="s">
        <v>63</v>
      </c>
      <c r="AB476" s="24" t="s">
        <v>63</v>
      </c>
      <c r="AC476" s="24" t="s">
        <v>63</v>
      </c>
    </row>
    <row r="477" spans="1:29">
      <c r="A477" s="24" t="s">
        <v>1459</v>
      </c>
      <c r="B477" s="24" t="s">
        <v>1460</v>
      </c>
      <c r="C477" s="24" t="s">
        <v>1461</v>
      </c>
      <c r="D477" s="24" t="s">
        <v>63</v>
      </c>
      <c r="E477" s="24" t="s">
        <v>996</v>
      </c>
      <c r="F477" s="24" t="s">
        <v>1412</v>
      </c>
      <c r="G477" s="24" t="s">
        <v>60</v>
      </c>
      <c r="H477" s="27" t="s">
        <v>1479</v>
      </c>
      <c r="I477" s="25">
        <v>57914</v>
      </c>
      <c r="J477" s="25">
        <v>15000</v>
      </c>
      <c r="K477" s="25">
        <v>15000</v>
      </c>
      <c r="L477" s="25">
        <v>10000</v>
      </c>
      <c r="M477" s="26">
        <f>I477-J477</f>
        <v>42914.0</v>
      </c>
      <c r="N477" s="26">
        <f>J477-K477</f>
        <v>0.0</v>
      </c>
      <c r="O477" s="26">
        <f>I477-L477</f>
        <v>47914.0</v>
      </c>
      <c r="P477" s="28">
        <f>IF(I477&gt;0,L477/I477,0)</f>
        <v>0.17266982076872603</v>
      </c>
      <c r="Q477" s="28">
        <f>IF(I477&gt;0,K477/I477,0)</f>
        <v>0.2590047311530891</v>
      </c>
      <c r="R477" s="24" t="str">
        <f>IF(I477&lt;=0,"Sin PIM",IF(L477/I477&gt;=Config!$B$5,"Ejecutado",IF(K477/I477&gt;=Config!$B$6,"Mayormente comprometido",IF(K477&gt;0.005,"Parcialmente comprometido",IF(J477&gt;0.005,"Solo certificado","Sin certificar")))))</f>
        <v>Parcialmente comprometido</v>
      </c>
      <c r="S477" s="24" t="str">
        <f>IF(R477="Sin certificar","Disponible",IF(R477="Solo certificado","Posible",IF(R477="Parcialmente comprometido","Parcial",IF(R477="Mayormente comprometido","Difícil",IF(R477="Ejecutado","No usar","Sin PIM")))))</f>
        <v>Parcial</v>
      </c>
      <c r="T477" s="26">
        <f>IF(OR(I477&lt;=0,R477="Ejecutado"),0,MAX(0,I477-K477))</f>
        <v>42914.0</v>
      </c>
      <c r="U477" s="24" t="s">
        <v>994</v>
      </c>
      <c r="V477" s="24" t="s">
        <v>69</v>
      </c>
      <c r="W477" s="24" t="s">
        <v>69</v>
      </c>
      <c r="X477" s="24" t="s">
        <v>69</v>
      </c>
      <c r="Y477" s="24" t="s">
        <v>69</v>
      </c>
      <c r="Z477" s="24" t="s">
        <v>63</v>
      </c>
      <c r="AA477" s="24" t="s">
        <v>63</v>
      </c>
      <c r="AB477" s="24" t="s">
        <v>63</v>
      </c>
      <c r="AC477" s="24" t="s">
        <v>63</v>
      </c>
    </row>
    <row r="478" spans="1:29">
      <c r="A478" s="24" t="s">
        <v>1459</v>
      </c>
      <c r="B478" s="24" t="s">
        <v>1460</v>
      </c>
      <c r="C478" s="24" t="s">
        <v>1461</v>
      </c>
      <c r="D478" s="24" t="s">
        <v>63</v>
      </c>
      <c r="E478" s="24" t="s">
        <v>996</v>
      </c>
      <c r="F478" s="24" t="s">
        <v>1467</v>
      </c>
      <c r="G478" s="24" t="s">
        <v>156</v>
      </c>
      <c r="H478" s="27" t="s">
        <v>1468</v>
      </c>
      <c r="I478" s="25">
        <v>49820</v>
      </c>
      <c r="J478" s="25">
        <v>49819.22</v>
      </c>
      <c r="K478" s="25">
        <v>49819.22</v>
      </c>
      <c r="L478" s="25">
        <v>49819.22</v>
      </c>
      <c r="M478" s="26">
        <f>I478-J478</f>
        <v>0.7799999999988358</v>
      </c>
      <c r="N478" s="26">
        <f>J478-K478</f>
        <v>0.0</v>
      </c>
      <c r="O478" s="26">
        <f>I478-L478</f>
        <v>0.7799999999988358</v>
      </c>
      <c r="P478" s="28">
        <f>IF(I478&gt;0,L478/I478,0)</f>
        <v>0.9999843436370935</v>
      </c>
      <c r="Q478" s="28">
        <f>IF(I478&gt;0,K478/I478,0)</f>
        <v>0.9999843436370935</v>
      </c>
      <c r="R478" s="24" t="str">
        <f>IF(I478&lt;=0,"Sin PIM",IF(L478/I478&gt;=Config!$B$5,"Ejecutado",IF(K478/I478&gt;=Config!$B$6,"Mayormente comprometido",IF(K478&gt;0.005,"Parcialmente comprometido",IF(J478&gt;0.005,"Solo certificado","Sin certificar")))))</f>
        <v>Ejecutado</v>
      </c>
      <c r="S478" s="24" t="str">
        <f>IF(R478="Sin certificar","Disponible",IF(R478="Solo certificado","Posible",IF(R478="Parcialmente comprometido","Parcial",IF(R478="Mayormente comprometido","Difícil",IF(R478="Ejecutado","No usar","Sin PIM")))))</f>
        <v>No usar</v>
      </c>
      <c r="T478" s="26">
        <f>IF(OR(I478&lt;=0,R478="Ejecutado"),0,MAX(0,I478-K478))</f>
        <v>0.0</v>
      </c>
      <c r="U478" s="24" t="s">
        <v>133</v>
      </c>
      <c r="V478" s="25">
        <v>1750000</v>
      </c>
      <c r="W478" s="25">
        <v>0</v>
      </c>
      <c r="X478" s="25">
        <v>0</v>
      </c>
      <c r="Y478" s="25">
        <v>0</v>
      </c>
      <c r="Z478" s="24" t="s">
        <v>63</v>
      </c>
      <c r="AA478" s="24" t="s">
        <v>63</v>
      </c>
      <c r="AB478" s="24" t="s">
        <v>63</v>
      </c>
      <c r="AC478" s="24" t="s">
        <v>63</v>
      </c>
    </row>
    <row r="479" spans="1:29">
      <c r="A479" s="24" t="s">
        <v>1459</v>
      </c>
      <c r="B479" s="24" t="s">
        <v>1460</v>
      </c>
      <c r="C479" s="24" t="s">
        <v>1461</v>
      </c>
      <c r="D479" s="24" t="s">
        <v>63</v>
      </c>
      <c r="E479" s="24" t="s">
        <v>996</v>
      </c>
      <c r="F479" s="24" t="s">
        <v>1469</v>
      </c>
      <c r="G479" s="24" t="s">
        <v>1241</v>
      </c>
      <c r="H479" s="27" t="s">
        <v>1471</v>
      </c>
      <c r="I479" s="25">
        <v>45545</v>
      </c>
      <c r="J479" s="25">
        <v>41539.48</v>
      </c>
      <c r="K479" s="25">
        <v>41538.98</v>
      </c>
      <c r="L479" s="25">
        <v>36436.48</v>
      </c>
      <c r="M479" s="26">
        <f>I479-J479</f>
        <v>4005.520000000004</v>
      </c>
      <c r="N479" s="26">
        <f>J479-K479</f>
        <v>0.5</v>
      </c>
      <c r="O479" s="26">
        <f>I479-L479</f>
        <v>9108.520000000004</v>
      </c>
      <c r="P479" s="28">
        <f>IF(I479&gt;0,L479/I479,0)</f>
        <v>0.8000105390273355</v>
      </c>
      <c r="Q479" s="28">
        <f>IF(I479&gt;0,K479/I479,0)</f>
        <v>0.9120425952354813</v>
      </c>
      <c r="R479" s="24" t="str">
        <f>IF(I479&lt;=0,"Sin PIM",IF(L479/I479&gt;=Config!$B$5,"Ejecutado",IF(K479/I479&gt;=Config!$B$6,"Mayormente comprometido",IF(K479&gt;0.005,"Parcialmente comprometido",IF(J479&gt;0.005,"Solo certificado","Sin certificar")))))</f>
        <v>Mayormente comprometido</v>
      </c>
      <c r="S479" s="24" t="str">
        <f>IF(R479="Sin certificar","Disponible",IF(R479="Solo certificado","Posible",IF(R479="Parcialmente comprometido","Parcial",IF(R479="Mayormente comprometido","Difícil",IF(R479="Ejecutado","No usar","Sin PIM")))))</f>
        <v>Difícil</v>
      </c>
      <c r="T479" s="26">
        <f>IF(OR(I479&lt;=0,R479="Ejecutado"),0,MAX(0,I479-K479))</f>
        <v>4006.020000000004</v>
      </c>
      <c r="U479" s="24" t="s">
        <v>133</v>
      </c>
      <c r="V479" s="25">
        <v>1580000</v>
      </c>
      <c r="W479" s="25">
        <v>285490</v>
      </c>
      <c r="X479" s="25">
        <v>0</v>
      </c>
      <c r="Y479" s="25">
        <v>0</v>
      </c>
      <c r="Z479" s="24" t="s">
        <v>63</v>
      </c>
      <c r="AA479" s="24" t="s">
        <v>63</v>
      </c>
      <c r="AB479" s="24" t="s">
        <v>63</v>
      </c>
      <c r="AC479" s="24" t="s">
        <v>63</v>
      </c>
    </row>
    <row r="480" spans="1:29">
      <c r="A480" s="24" t="s">
        <v>1459</v>
      </c>
      <c r="B480" s="24" t="s">
        <v>1460</v>
      </c>
      <c r="C480" s="24" t="s">
        <v>1461</v>
      </c>
      <c r="D480" s="24" t="s">
        <v>63</v>
      </c>
      <c r="E480" s="24" t="s">
        <v>996</v>
      </c>
      <c r="F480" s="24" t="s">
        <v>1467</v>
      </c>
      <c r="G480" s="24" t="s">
        <v>431</v>
      </c>
      <c r="H480" s="27" t="s">
        <v>1468</v>
      </c>
      <c r="I480" s="25">
        <v>41248</v>
      </c>
      <c r="J480" s="25">
        <v>27287.93</v>
      </c>
      <c r="K480" s="25">
        <v>27287.93</v>
      </c>
      <c r="L480" s="25">
        <v>27287.93</v>
      </c>
      <c r="M480" s="26">
        <f>I480-J480</f>
        <v>13960.07</v>
      </c>
      <c r="N480" s="26">
        <f>J480-K480</f>
        <v>0.0</v>
      </c>
      <c r="O480" s="26">
        <f>I480-L480</f>
        <v>13960.07</v>
      </c>
      <c r="P480" s="28">
        <f>IF(I480&gt;0,L480/I480,0)</f>
        <v>0.661557651280062</v>
      </c>
      <c r="Q480" s="28">
        <f>IF(I480&gt;0,K480/I480,0)</f>
        <v>0.661557651280062</v>
      </c>
      <c r="R480" s="24" t="str">
        <f>IF(I480&lt;=0,"Sin PIM",IF(L480/I480&gt;=Config!$B$5,"Ejecutado",IF(K480/I480&gt;=Config!$B$6,"Mayormente comprometido",IF(K480&gt;0.005,"Parcialmente comprometido",IF(J480&gt;0.005,"Solo certificado","Sin certificar")))))</f>
        <v>Mayormente comprometido</v>
      </c>
      <c r="S480" s="24" t="str">
        <f>IF(R480="Sin certificar","Disponible",IF(R480="Solo certificado","Posible",IF(R480="Parcialmente comprometido","Parcial",IF(R480="Mayormente comprometido","Difícil",IF(R480="Ejecutado","No usar","Sin PIM")))))</f>
        <v>Difícil</v>
      </c>
      <c r="T480" s="26">
        <f>IF(OR(I480&lt;=0,R480="Ejecutado"),0,MAX(0,I480-K480))</f>
        <v>13960.07</v>
      </c>
      <c r="U480" s="24" t="s">
        <v>133</v>
      </c>
      <c r="V480" s="25">
        <v>1750000</v>
      </c>
      <c r="W480" s="25">
        <v>0</v>
      </c>
      <c r="X480" s="25">
        <v>0</v>
      </c>
      <c r="Y480" s="25">
        <v>0</v>
      </c>
      <c r="Z480" s="24" t="s">
        <v>63</v>
      </c>
      <c r="AA480" s="24" t="s">
        <v>63</v>
      </c>
      <c r="AB480" s="24" t="s">
        <v>63</v>
      </c>
      <c r="AC480" s="24" t="s">
        <v>63</v>
      </c>
    </row>
    <row r="481" spans="1:29">
      <c r="A481" s="24" t="s">
        <v>1459</v>
      </c>
      <c r="B481" s="24" t="s">
        <v>1460</v>
      </c>
      <c r="C481" s="24" t="s">
        <v>1461</v>
      </c>
      <c r="D481" s="24" t="s">
        <v>63</v>
      </c>
      <c r="E481" s="24" t="s">
        <v>996</v>
      </c>
      <c r="F481" s="24" t="s">
        <v>1490</v>
      </c>
      <c r="G481" s="24" t="s">
        <v>453</v>
      </c>
      <c r="H481" s="27" t="s">
        <v>1491</v>
      </c>
      <c r="I481" s="25">
        <v>32000</v>
      </c>
      <c r="J481" s="25">
        <v>31660.63</v>
      </c>
      <c r="K481" s="25">
        <v>31233.95</v>
      </c>
      <c r="L481" s="25">
        <v>31233.95</v>
      </c>
      <c r="M481" s="26">
        <f>I481-J481</f>
        <v>339.3700000000026</v>
      </c>
      <c r="N481" s="26">
        <f>J481-K481</f>
        <v>426.6800000000003</v>
      </c>
      <c r="O481" s="26">
        <f>I481-L481</f>
        <v>766.0500000000029</v>
      </c>
      <c r="P481" s="28">
        <f>IF(I481&gt;0,L481/I481,0)</f>
        <v>0.9760609374999999</v>
      </c>
      <c r="Q481" s="28">
        <f>IF(I481&gt;0,K481/I481,0)</f>
        <v>0.9760609374999999</v>
      </c>
      <c r="R481" s="24" t="str">
        <f>IF(I481&lt;=0,"Sin PIM",IF(L481/I481&gt;=Config!$B$5,"Ejecutado",IF(K481/I481&gt;=Config!$B$6,"Mayormente comprometido",IF(K481&gt;0.005,"Parcialmente comprometido",IF(J481&gt;0.005,"Solo certificado","Sin certificar")))))</f>
        <v>Ejecutado</v>
      </c>
      <c r="S481" s="24" t="str">
        <f>IF(R481="Sin certificar","Disponible",IF(R481="Solo certificado","Posible",IF(R481="Parcialmente comprometido","Parcial",IF(R481="Mayormente comprometido","Difícil",IF(R481="Ejecutado","No usar","Sin PIM")))))</f>
        <v>No usar</v>
      </c>
      <c r="T481" s="26">
        <f>IF(OR(I481&lt;=0,R481="Ejecutado"),0,MAX(0,I481-K481))</f>
        <v>0.0</v>
      </c>
      <c r="U481" s="24" t="s">
        <v>96</v>
      </c>
      <c r="V481" s="25">
        <v>20000</v>
      </c>
      <c r="W481" s="25">
        <v>0</v>
      </c>
      <c r="X481" s="25">
        <v>0</v>
      </c>
      <c r="Y481" s="25">
        <v>0</v>
      </c>
      <c r="Z481" s="24" t="s">
        <v>63</v>
      </c>
      <c r="AA481" s="24" t="s">
        <v>63</v>
      </c>
      <c r="AB481" s="24" t="s">
        <v>63</v>
      </c>
      <c r="AC481" s="24" t="s">
        <v>63</v>
      </c>
    </row>
    <row r="482" spans="1:29">
      <c r="A482" s="24" t="s">
        <v>1459</v>
      </c>
      <c r="B482" s="24" t="s">
        <v>1460</v>
      </c>
      <c r="C482" s="24" t="s">
        <v>1461</v>
      </c>
      <c r="D482" s="24" t="s">
        <v>63</v>
      </c>
      <c r="E482" s="24" t="s">
        <v>996</v>
      </c>
      <c r="F482" s="24" t="s">
        <v>1469</v>
      </c>
      <c r="G482" s="24" t="s">
        <v>84</v>
      </c>
      <c r="H482" s="27" t="s">
        <v>1471</v>
      </c>
      <c r="I482" s="25">
        <v>21135</v>
      </c>
      <c r="J482" s="25">
        <v>20274</v>
      </c>
      <c r="K482" s="25">
        <v>20274</v>
      </c>
      <c r="L482" s="25">
        <v>20274</v>
      </c>
      <c r="M482" s="26">
        <f>I482-J482</f>
        <v>861.0</v>
      </c>
      <c r="N482" s="26">
        <f>J482-K482</f>
        <v>0.0</v>
      </c>
      <c r="O482" s="26">
        <f>I482-L482</f>
        <v>861.0</v>
      </c>
      <c r="P482" s="28">
        <f>IF(I482&gt;0,L482/I482,0)</f>
        <v>0.9592618878637331</v>
      </c>
      <c r="Q482" s="28">
        <f>IF(I482&gt;0,K482/I482,0)</f>
        <v>0.9592618878637331</v>
      </c>
      <c r="R482" s="24" t="str">
        <f>IF(I482&lt;=0,"Sin PIM",IF(L482/I482&gt;=Config!$B$5,"Ejecutado",IF(K482/I482&gt;=Config!$B$6,"Mayormente comprometido",IF(K482&gt;0.005,"Parcialmente comprometido",IF(J482&gt;0.005,"Solo certificado","Sin certificar")))))</f>
        <v>Ejecutado</v>
      </c>
      <c r="S482" s="24" t="str">
        <f>IF(R482="Sin certificar","Disponible",IF(R482="Solo certificado","Posible",IF(R482="Parcialmente comprometido","Parcial",IF(R482="Mayormente comprometido","Difícil",IF(R482="Ejecutado","No usar","Sin PIM")))))</f>
        <v>No usar</v>
      </c>
      <c r="T482" s="26">
        <f>IF(OR(I482&lt;=0,R482="Ejecutado"),0,MAX(0,I482-K482))</f>
        <v>0.0</v>
      </c>
      <c r="U482" s="24" t="s">
        <v>133</v>
      </c>
      <c r="V482" s="25">
        <v>1580000</v>
      </c>
      <c r="W482" s="25">
        <v>285490</v>
      </c>
      <c r="X482" s="25">
        <v>0</v>
      </c>
      <c r="Y482" s="25">
        <v>0</v>
      </c>
      <c r="Z482" s="24" t="s">
        <v>63</v>
      </c>
      <c r="AA482" s="24" t="s">
        <v>63</v>
      </c>
      <c r="AB482" s="24" t="s">
        <v>63</v>
      </c>
      <c r="AC482" s="24" t="s">
        <v>63</v>
      </c>
    </row>
    <row r="483" spans="1:29">
      <c r="A483" s="24" t="s">
        <v>1459</v>
      </c>
      <c r="B483" s="24" t="s">
        <v>1460</v>
      </c>
      <c r="C483" s="24" t="s">
        <v>1461</v>
      </c>
      <c r="D483" s="24" t="s">
        <v>63</v>
      </c>
      <c r="E483" s="24" t="s">
        <v>996</v>
      </c>
      <c r="F483" s="24" t="s">
        <v>1462</v>
      </c>
      <c r="G483" s="24" t="s">
        <v>331</v>
      </c>
      <c r="H483" s="27" t="s">
        <v>1463</v>
      </c>
      <c r="I483" s="25">
        <v>5726</v>
      </c>
      <c r="J483" s="25">
        <v>5726</v>
      </c>
      <c r="K483" s="25">
        <v>5104.8</v>
      </c>
      <c r="L483" s="25">
        <v>5104.8</v>
      </c>
      <c r="M483" s="26">
        <f>I483-J483</f>
        <v>0.0</v>
      </c>
      <c r="N483" s="26">
        <f>J483-K483</f>
        <v>621.1999999999998</v>
      </c>
      <c r="O483" s="26">
        <f>I483-L483</f>
        <v>621.1999999999998</v>
      </c>
      <c r="P483" s="28">
        <f>IF(I483&gt;0,L483/I483,0)</f>
        <v>0.8915123995808593</v>
      </c>
      <c r="Q483" s="28">
        <f>IF(I483&gt;0,K483/I483,0)</f>
        <v>0.8915123995808593</v>
      </c>
      <c r="R483" s="24" t="str">
        <f>IF(I483&lt;=0,"Sin PIM",IF(L483/I483&gt;=Config!$B$5,"Ejecutado",IF(K483/I483&gt;=Config!$B$6,"Mayormente comprometido",IF(K483&gt;0.005,"Parcialmente comprometido",IF(J483&gt;0.005,"Solo certificado","Sin certificar")))))</f>
        <v>Mayormente comprometido</v>
      </c>
      <c r="S483" s="24" t="str">
        <f>IF(R483="Sin certificar","Disponible",IF(R483="Solo certificado","Posible",IF(R483="Parcialmente comprometido","Parcial",IF(R483="Mayormente comprometido","Difícil",IF(R483="Ejecutado","No usar","Sin PIM")))))</f>
        <v>Difícil</v>
      </c>
      <c r="T483" s="26">
        <f>IF(OR(I483&lt;=0,R483="Ejecutado"),0,MAX(0,I483-K483))</f>
        <v>621.1999999999998</v>
      </c>
      <c r="U483" s="24" t="s">
        <v>196</v>
      </c>
      <c r="V483" s="25">
        <v>2780000</v>
      </c>
      <c r="W483" s="25">
        <v>108325</v>
      </c>
      <c r="X483" s="25">
        <v>0</v>
      </c>
      <c r="Y483" s="25">
        <v>0</v>
      </c>
      <c r="Z483" s="24" t="s">
        <v>63</v>
      </c>
      <c r="AA483" s="24" t="s">
        <v>63</v>
      </c>
      <c r="AB483" s="24" t="s">
        <v>63</v>
      </c>
      <c r="AC483" s="24" t="s">
        <v>63</v>
      </c>
    </row>
    <row r="484" spans="1:29">
      <c r="A484" s="24" t="s">
        <v>1459</v>
      </c>
      <c r="B484" s="24" t="s">
        <v>1460</v>
      </c>
      <c r="C484" s="24" t="s">
        <v>1461</v>
      </c>
      <c r="D484" s="24" t="s">
        <v>63</v>
      </c>
      <c r="E484" s="24" t="s">
        <v>996</v>
      </c>
      <c r="F484" s="24" t="s">
        <v>1472</v>
      </c>
      <c r="G484" s="24" t="s">
        <v>696</v>
      </c>
      <c r="H484" s="27" t="s">
        <v>1473</v>
      </c>
      <c r="I484" s="25">
        <v>2400</v>
      </c>
      <c r="J484" s="25">
        <v>2400</v>
      </c>
      <c r="K484" s="25">
        <v>2400</v>
      </c>
      <c r="L484" s="25">
        <v>2400</v>
      </c>
      <c r="M484" s="26">
        <f>I484-J484</f>
        <v>0.0</v>
      </c>
      <c r="N484" s="26">
        <f>J484-K484</f>
        <v>0.0</v>
      </c>
      <c r="O484" s="26">
        <f>I484-L484</f>
        <v>0.0</v>
      </c>
      <c r="P484" s="28">
        <f>IF(I484&gt;0,L484/I484,0)</f>
        <v>1.0</v>
      </c>
      <c r="Q484" s="28">
        <f>IF(I484&gt;0,K484/I484,0)</f>
        <v>1.0</v>
      </c>
      <c r="R484" s="24" t="str">
        <f>IF(I484&lt;=0,"Sin PIM",IF(L484/I484&gt;=Config!$B$5,"Ejecutado",IF(K484/I484&gt;=Config!$B$6,"Mayormente comprometido",IF(K484&gt;0.005,"Parcialmente comprometido",IF(J484&gt;0.005,"Solo certificado","Sin certificar")))))</f>
        <v>Ejecutado</v>
      </c>
      <c r="S484" s="24" t="str">
        <f>IF(R484="Sin certificar","Disponible",IF(R484="Solo certificado","Posible",IF(R484="Parcialmente comprometido","Parcial",IF(R484="Mayormente comprometido","Difícil",IF(R484="Ejecutado","No usar","Sin PIM")))))</f>
        <v>No usar</v>
      </c>
      <c r="T484" s="26">
        <f>IF(OR(I484&lt;=0,R484="Ejecutado"),0,MAX(0,I484-K484))</f>
        <v>0.0</v>
      </c>
      <c r="U484" s="24" t="s">
        <v>123</v>
      </c>
      <c r="V484" s="25">
        <v>5730000</v>
      </c>
      <c r="W484" s="25">
        <v>7379001</v>
      </c>
      <c r="X484" s="25">
        <v>1300000</v>
      </c>
      <c r="Y484" s="25">
        <v>1500000</v>
      </c>
      <c r="Z484" s="24" t="s">
        <v>63</v>
      </c>
      <c r="AA484" s="24" t="s">
        <v>63</v>
      </c>
      <c r="AB484" s="24" t="s">
        <v>63</v>
      </c>
      <c r="AC484" s="24" t="s">
        <v>63</v>
      </c>
    </row>
    <row r="485" spans="1:29">
      <c r="A485" s="24" t="s">
        <v>1459</v>
      </c>
      <c r="B485" s="24" t="s">
        <v>1460</v>
      </c>
      <c r="C485" s="24" t="s">
        <v>1461</v>
      </c>
      <c r="D485" s="24" t="s">
        <v>63</v>
      </c>
      <c r="E485" s="24" t="s">
        <v>996</v>
      </c>
      <c r="F485" s="24" t="s">
        <v>1490</v>
      </c>
      <c r="G485" s="24" t="s">
        <v>422</v>
      </c>
      <c r="H485" s="27" t="s">
        <v>1491</v>
      </c>
      <c r="I485" s="25">
        <v>2081</v>
      </c>
      <c r="J485" s="25">
        <v>2080.85</v>
      </c>
      <c r="K485" s="25">
        <v>2080.85</v>
      </c>
      <c r="L485" s="25">
        <v>2080.85</v>
      </c>
      <c r="M485" s="26">
        <f>I485-J485</f>
        <v>0.15000000000009095</v>
      </c>
      <c r="N485" s="26">
        <f>J485-K485</f>
        <v>0.0</v>
      </c>
      <c r="O485" s="26">
        <f>I485-L485</f>
        <v>0.15000000000009095</v>
      </c>
      <c r="P485" s="28">
        <f>IF(I485&gt;0,L485/I485,0)</f>
        <v>0.9999279192695819</v>
      </c>
      <c r="Q485" s="28">
        <f>IF(I485&gt;0,K485/I485,0)</f>
        <v>0.9999279192695819</v>
      </c>
      <c r="R485" s="24" t="str">
        <f>IF(I485&lt;=0,"Sin PIM",IF(L485/I485&gt;=Config!$B$5,"Ejecutado",IF(K485/I485&gt;=Config!$B$6,"Mayormente comprometido",IF(K485&gt;0.005,"Parcialmente comprometido",IF(J485&gt;0.005,"Solo certificado","Sin certificar")))))</f>
        <v>Ejecutado</v>
      </c>
      <c r="S485" s="24" t="str">
        <f>IF(R485="Sin certificar","Disponible",IF(R485="Solo certificado","Posible",IF(R485="Parcialmente comprometido","Parcial",IF(R485="Mayormente comprometido","Difícil",IF(R485="Ejecutado","No usar","Sin PIM")))))</f>
        <v>No usar</v>
      </c>
      <c r="T485" s="26">
        <f>IF(OR(I485&lt;=0,R485="Ejecutado"),0,MAX(0,I485-K485))</f>
        <v>0.0</v>
      </c>
      <c r="U485" s="24" t="s">
        <v>133</v>
      </c>
      <c r="V485" s="25">
        <v>20000</v>
      </c>
      <c r="W485" s="25">
        <v>0</v>
      </c>
      <c r="X485" s="25">
        <v>0</v>
      </c>
      <c r="Y485" s="25">
        <v>0</v>
      </c>
      <c r="Z485" s="24" t="s">
        <v>63</v>
      </c>
      <c r="AA485" s="24" t="s">
        <v>63</v>
      </c>
      <c r="AB485" s="24" t="s">
        <v>63</v>
      </c>
      <c r="AC485" s="24" t="s">
        <v>63</v>
      </c>
    </row>
    <row r="486" spans="1:29">
      <c r="A486" s="24" t="s">
        <v>1459</v>
      </c>
      <c r="B486" s="24" t="s">
        <v>1460</v>
      </c>
      <c r="C486" s="24" t="s">
        <v>1461</v>
      </c>
      <c r="D486" s="24" t="s">
        <v>63</v>
      </c>
      <c r="E486" s="24" t="s">
        <v>996</v>
      </c>
      <c r="F486" s="24" t="s">
        <v>1467</v>
      </c>
      <c r="G486" s="24" t="s">
        <v>310</v>
      </c>
      <c r="H486" s="27" t="s">
        <v>1468</v>
      </c>
      <c r="I486" s="25">
        <v>1097</v>
      </c>
      <c r="J486" s="25">
        <v>1096.07</v>
      </c>
      <c r="K486" s="25">
        <v>1096.07</v>
      </c>
      <c r="L486" s="25">
        <v>1096.07</v>
      </c>
      <c r="M486" s="26">
        <f>I486-J486</f>
        <v>0.9300000000000637</v>
      </c>
      <c r="N486" s="26">
        <f>J486-K486</f>
        <v>0.0</v>
      </c>
      <c r="O486" s="26">
        <f>I486-L486</f>
        <v>0.9300000000000637</v>
      </c>
      <c r="P486" s="28">
        <f>IF(I486&gt;0,L486/I486,0)</f>
        <v>0.9991522333637192</v>
      </c>
      <c r="Q486" s="28">
        <f>IF(I486&gt;0,K486/I486,0)</f>
        <v>0.9991522333637192</v>
      </c>
      <c r="R486" s="24" t="str">
        <f>IF(I486&lt;=0,"Sin PIM",IF(L486/I486&gt;=Config!$B$5,"Ejecutado",IF(K486/I486&gt;=Config!$B$6,"Mayormente comprometido",IF(K486&gt;0.005,"Parcialmente comprometido",IF(J486&gt;0.005,"Solo certificado","Sin certificar")))))</f>
        <v>Ejecutado</v>
      </c>
      <c r="S486" s="24" t="str">
        <f>IF(R486="Sin certificar","Disponible",IF(R486="Solo certificado","Posible",IF(R486="Parcialmente comprometido","Parcial",IF(R486="Mayormente comprometido","Difícil",IF(R486="Ejecutado","No usar","Sin PIM")))))</f>
        <v>No usar</v>
      </c>
      <c r="T486" s="26">
        <f>IF(OR(I486&lt;=0,R486="Ejecutado"),0,MAX(0,I486-K486))</f>
        <v>0.0</v>
      </c>
      <c r="U486" s="24" t="s">
        <v>133</v>
      </c>
      <c r="V486" s="25">
        <v>1750000</v>
      </c>
      <c r="W486" s="25">
        <v>0</v>
      </c>
      <c r="X486" s="25">
        <v>0</v>
      </c>
      <c r="Y486" s="25">
        <v>0</v>
      </c>
      <c r="Z486" s="24" t="s">
        <v>63</v>
      </c>
      <c r="AA486" s="24" t="s">
        <v>63</v>
      </c>
      <c r="AB486" s="24" t="s">
        <v>63</v>
      </c>
      <c r="AC486" s="24" t="s">
        <v>63</v>
      </c>
    </row>
    <row r="487" spans="1:29">
      <c r="A487" s="24" t="s">
        <v>1459</v>
      </c>
      <c r="B487" s="24" t="s">
        <v>1460</v>
      </c>
      <c r="C487" s="24" t="s">
        <v>1461</v>
      </c>
      <c r="D487" s="24" t="s">
        <v>63</v>
      </c>
      <c r="E487" s="24" t="s">
        <v>996</v>
      </c>
      <c r="F487" s="24" t="s">
        <v>1492</v>
      </c>
      <c r="G487" s="24" t="s">
        <v>1493</v>
      </c>
      <c r="H487" s="27" t="s">
        <v>1494</v>
      </c>
      <c r="I487" s="25">
        <v>0</v>
      </c>
      <c r="J487" s="25">
        <v>0</v>
      </c>
      <c r="K487" s="25">
        <v>0</v>
      </c>
      <c r="L487" s="25">
        <v>0</v>
      </c>
      <c r="M487" s="26">
        <f>I487-J487</f>
        <v>0.0</v>
      </c>
      <c r="N487" s="26">
        <f>J487-K487</f>
        <v>0.0</v>
      </c>
      <c r="O487" s="26">
        <f>I487-L487</f>
        <v>0.0</v>
      </c>
      <c r="P487" s="28">
        <f>IF(I487&gt;0,L487/I487,0)</f>
        <v>0</v>
      </c>
      <c r="Q487" s="28">
        <f>IF(I487&gt;0,K487/I487,0)</f>
        <v>0</v>
      </c>
      <c r="R487" s="24" t="str">
        <f>IF(I487&lt;=0,"Sin PIM",IF(L487/I487&gt;=Config!$B$5,"Ejecutado",IF(K487/I487&gt;=Config!$B$6,"Mayormente comprometido",IF(K487&gt;0.005,"Parcialmente comprometido",IF(J487&gt;0.005,"Solo certificado","Sin certificar")))))</f>
        <v>Sin PIM</v>
      </c>
      <c r="S487" s="24" t="str">
        <f>IF(R487="Sin certificar","Disponible",IF(R487="Solo certificado","Posible",IF(R487="Parcialmente comprometido","Parcial",IF(R487="Mayormente comprometido","Difícil",IF(R487="Ejecutado","No usar","Sin PIM")))))</f>
        <v>Sin PIM</v>
      </c>
      <c r="T487" s="26">
        <f>IF(OR(I487&lt;=0,R487="Ejecutado"),0,MAX(0,I487-K487))</f>
        <v>0.0</v>
      </c>
      <c r="U487" s="24" t="s">
        <v>133</v>
      </c>
      <c r="V487" s="25">
        <v>1315000</v>
      </c>
      <c r="W487" s="25">
        <v>0</v>
      </c>
      <c r="X487" s="25">
        <v>0</v>
      </c>
      <c r="Y487" s="25">
        <v>0</v>
      </c>
      <c r="Z487" s="24" t="s">
        <v>63</v>
      </c>
      <c r="AA487" s="24" t="s">
        <v>63</v>
      </c>
      <c r="AB487" s="24" t="s">
        <v>63</v>
      </c>
      <c r="AC487" s="24" t="s">
        <v>63</v>
      </c>
    </row>
    <row r="488" spans="1:29">
      <c r="A488" s="24" t="s">
        <v>1459</v>
      </c>
      <c r="B488" s="24" t="s">
        <v>1460</v>
      </c>
      <c r="C488" s="24" t="s">
        <v>1461</v>
      </c>
      <c r="D488" s="24" t="s">
        <v>63</v>
      </c>
      <c r="E488" s="24" t="s">
        <v>996</v>
      </c>
      <c r="F488" s="24" t="s">
        <v>1492</v>
      </c>
      <c r="G488" s="24" t="s">
        <v>1495</v>
      </c>
      <c r="H488" s="27" t="s">
        <v>1494</v>
      </c>
      <c r="I488" s="25">
        <v>0</v>
      </c>
      <c r="J488" s="25">
        <v>0</v>
      </c>
      <c r="K488" s="25">
        <v>0</v>
      </c>
      <c r="L488" s="25">
        <v>0</v>
      </c>
      <c r="M488" s="26">
        <f>I488-J488</f>
        <v>0.0</v>
      </c>
      <c r="N488" s="26">
        <f>J488-K488</f>
        <v>0.0</v>
      </c>
      <c r="O488" s="26">
        <f>I488-L488</f>
        <v>0.0</v>
      </c>
      <c r="P488" s="28">
        <f>IF(I488&gt;0,L488/I488,0)</f>
        <v>0</v>
      </c>
      <c r="Q488" s="28">
        <f>IF(I488&gt;0,K488/I488,0)</f>
        <v>0</v>
      </c>
      <c r="R488" s="24" t="str">
        <f>IF(I488&lt;=0,"Sin PIM",IF(L488/I488&gt;=Config!$B$5,"Ejecutado",IF(K488/I488&gt;=Config!$B$6,"Mayormente comprometido",IF(K488&gt;0.005,"Parcialmente comprometido",IF(J488&gt;0.005,"Solo certificado","Sin certificar")))))</f>
        <v>Sin PIM</v>
      </c>
      <c r="S488" s="24" t="str">
        <f>IF(R488="Sin certificar","Disponible",IF(R488="Solo certificado","Posible",IF(R488="Parcialmente comprometido","Parcial",IF(R488="Mayormente comprometido","Difícil",IF(R488="Ejecutado","No usar","Sin PIM")))))</f>
        <v>Sin PIM</v>
      </c>
      <c r="T488" s="26">
        <f>IF(OR(I488&lt;=0,R488="Ejecutado"),0,MAX(0,I488-K488))</f>
        <v>0.0</v>
      </c>
      <c r="U488" s="24" t="s">
        <v>133</v>
      </c>
      <c r="V488" s="25">
        <v>1315000</v>
      </c>
      <c r="W488" s="25">
        <v>0</v>
      </c>
      <c r="X488" s="25">
        <v>0</v>
      </c>
      <c r="Y488" s="25">
        <v>0</v>
      </c>
      <c r="Z488" s="24" t="s">
        <v>63</v>
      </c>
      <c r="AA488" s="24" t="s">
        <v>63</v>
      </c>
      <c r="AB488" s="24" t="s">
        <v>63</v>
      </c>
      <c r="AC488" s="24" t="s">
        <v>63</v>
      </c>
    </row>
    <row r="489" spans="1:29">
      <c r="A489" s="24" t="s">
        <v>1459</v>
      </c>
      <c r="B489" s="24" t="s">
        <v>1460</v>
      </c>
      <c r="C489" s="24" t="s">
        <v>1461</v>
      </c>
      <c r="D489" s="24" t="s">
        <v>63</v>
      </c>
      <c r="E489" s="24" t="s">
        <v>271</v>
      </c>
      <c r="F489" s="24" t="s">
        <v>1496</v>
      </c>
      <c r="G489" s="24" t="s">
        <v>1497</v>
      </c>
      <c r="H489" s="27" t="s">
        <v>1498</v>
      </c>
      <c r="I489" s="25">
        <v>0</v>
      </c>
      <c r="J489" s="25">
        <v>0</v>
      </c>
      <c r="K489" s="25">
        <v>0</v>
      </c>
      <c r="L489" s="25">
        <v>0</v>
      </c>
      <c r="M489" s="26">
        <f>I489-J489</f>
        <v>0.0</v>
      </c>
      <c r="N489" s="26">
        <f>J489-K489</f>
        <v>0.0</v>
      </c>
      <c r="O489" s="26">
        <f>I489-L489</f>
        <v>0.0</v>
      </c>
      <c r="P489" s="28">
        <f>IF(I489&gt;0,L489/I489,0)</f>
        <v>0</v>
      </c>
      <c r="Q489" s="28">
        <f>IF(I489&gt;0,K489/I489,0)</f>
        <v>0</v>
      </c>
      <c r="R489" s="24" t="str">
        <f>IF(I489&lt;=0,"Sin PIM",IF(L489/I489&gt;=Config!$B$5,"Ejecutado",IF(K489/I489&gt;=Config!$B$6,"Mayormente comprometido",IF(K489&gt;0.005,"Parcialmente comprometido",IF(J489&gt;0.005,"Solo certificado","Sin certificar")))))</f>
        <v>Sin PIM</v>
      </c>
      <c r="S489" s="24" t="str">
        <f>IF(R489="Sin certificar","Disponible",IF(R489="Solo certificado","Posible",IF(R489="Parcialmente comprometido","Parcial",IF(R489="Mayormente comprometido","Difícil",IF(R489="Ejecutado","No usar","Sin PIM")))))</f>
        <v>Sin PIM</v>
      </c>
      <c r="T489" s="26">
        <f>IF(OR(I489&lt;=0,R489="Ejecutado"),0,MAX(0,I489-K489))</f>
        <v>0.0</v>
      </c>
      <c r="U489" s="24" t="s">
        <v>105</v>
      </c>
      <c r="V489" s="25">
        <v>50000</v>
      </c>
      <c r="W489" s="25">
        <v>27160</v>
      </c>
      <c r="X489" s="25">
        <v>200000</v>
      </c>
      <c r="Y489" s="25">
        <v>200000</v>
      </c>
      <c r="Z489" s="24" t="s">
        <v>63</v>
      </c>
      <c r="AA489" s="24" t="s">
        <v>63</v>
      </c>
      <c r="AB489" s="24" t="s">
        <v>63</v>
      </c>
      <c r="AC489" s="24" t="s">
        <v>63</v>
      </c>
    </row>
    <row r="490" spans="1:29">
      <c r="A490" s="24" t="s">
        <v>1459</v>
      </c>
      <c r="B490" s="24" t="s">
        <v>1460</v>
      </c>
      <c r="C490" s="24" t="s">
        <v>1461</v>
      </c>
      <c r="D490" s="24" t="s">
        <v>63</v>
      </c>
      <c r="E490" s="24" t="s">
        <v>996</v>
      </c>
      <c r="F490" s="24" t="s">
        <v>1483</v>
      </c>
      <c r="G490" s="24" t="s">
        <v>1454</v>
      </c>
      <c r="H490" s="27" t="s">
        <v>1484</v>
      </c>
      <c r="I490" s="25">
        <v>0</v>
      </c>
      <c r="J490" s="25">
        <v>0</v>
      </c>
      <c r="K490" s="25">
        <v>0</v>
      </c>
      <c r="L490" s="25">
        <v>0</v>
      </c>
      <c r="M490" s="26">
        <f>I490-J490</f>
        <v>0.0</v>
      </c>
      <c r="N490" s="26">
        <f>J490-K490</f>
        <v>0.0</v>
      </c>
      <c r="O490" s="26">
        <f>I490-L490</f>
        <v>0.0</v>
      </c>
      <c r="P490" s="28">
        <f>IF(I490&gt;0,L490/I490,0)</f>
        <v>0</v>
      </c>
      <c r="Q490" s="28">
        <f>IF(I490&gt;0,K490/I490,0)</f>
        <v>0</v>
      </c>
      <c r="R490" s="24" t="str">
        <f>IF(I490&lt;=0,"Sin PIM",IF(L490/I490&gt;=Config!$B$5,"Ejecutado",IF(K490/I490&gt;=Config!$B$6,"Mayormente comprometido",IF(K490&gt;0.005,"Parcialmente comprometido",IF(J490&gt;0.005,"Solo certificado","Sin certificar")))))</f>
        <v>Sin PIM</v>
      </c>
      <c r="S490" s="24" t="str">
        <f>IF(R490="Sin certificar","Disponible",IF(R490="Solo certificado","Posible",IF(R490="Parcialmente comprometido","Parcial",IF(R490="Mayormente comprometido","Difícil",IF(R490="Ejecutado","No usar","Sin PIM")))))</f>
        <v>Sin PIM</v>
      </c>
      <c r="T490" s="26">
        <f>IF(OR(I490&lt;=0,R490="Ejecutado"),0,MAX(0,I490-K490))</f>
        <v>0.0</v>
      </c>
      <c r="U490" s="24" t="s">
        <v>133</v>
      </c>
      <c r="V490" s="25">
        <v>7834316</v>
      </c>
      <c r="W490" s="25">
        <v>8107762</v>
      </c>
      <c r="X490" s="25">
        <v>700000</v>
      </c>
      <c r="Y490" s="25">
        <v>900000</v>
      </c>
      <c r="Z490" s="24" t="s">
        <v>63</v>
      </c>
      <c r="AA490" s="24" t="s">
        <v>63</v>
      </c>
      <c r="AB490" s="24" t="s">
        <v>63</v>
      </c>
      <c r="AC490" s="24" t="s">
        <v>63</v>
      </c>
    </row>
    <row r="491" spans="1:29">
      <c r="A491" s="24" t="s">
        <v>1459</v>
      </c>
      <c r="B491" s="24" t="s">
        <v>1460</v>
      </c>
      <c r="C491" s="24" t="s">
        <v>1461</v>
      </c>
      <c r="D491" s="24" t="s">
        <v>63</v>
      </c>
      <c r="E491" s="24" t="s">
        <v>996</v>
      </c>
      <c r="F491" s="24" t="s">
        <v>1481</v>
      </c>
      <c r="G491" s="24" t="s">
        <v>1499</v>
      </c>
      <c r="H491" s="27" t="s">
        <v>1482</v>
      </c>
      <c r="I491" s="25">
        <v>0</v>
      </c>
      <c r="J491" s="25">
        <v>0</v>
      </c>
      <c r="K491" s="25">
        <v>0</v>
      </c>
      <c r="L491" s="25">
        <v>0</v>
      </c>
      <c r="M491" s="26">
        <f>I491-J491</f>
        <v>0.0</v>
      </c>
      <c r="N491" s="26">
        <f>J491-K491</f>
        <v>0.0</v>
      </c>
      <c r="O491" s="26">
        <f>I491-L491</f>
        <v>0.0</v>
      </c>
      <c r="P491" s="28">
        <f>IF(I491&gt;0,L491/I491,0)</f>
        <v>0</v>
      </c>
      <c r="Q491" s="28">
        <f>IF(I491&gt;0,K491/I491,0)</f>
        <v>0</v>
      </c>
      <c r="R491" s="24" t="str">
        <f>IF(I491&lt;=0,"Sin PIM",IF(L491/I491&gt;=Config!$B$5,"Ejecutado",IF(K491/I491&gt;=Config!$B$6,"Mayormente comprometido",IF(K491&gt;0.005,"Parcialmente comprometido",IF(J491&gt;0.005,"Solo certificado","Sin certificar")))))</f>
        <v>Sin PIM</v>
      </c>
      <c r="S491" s="24" t="str">
        <f>IF(R491="Sin certificar","Disponible",IF(R491="Solo certificado","Posible",IF(R491="Parcialmente comprometido","Parcial",IF(R491="Mayormente comprometido","Difícil",IF(R491="Ejecutado","No usar","Sin PIM")))))</f>
        <v>Sin PIM</v>
      </c>
      <c r="T491" s="26">
        <f>IF(OR(I491&lt;=0,R491="Ejecutado"),0,MAX(0,I491-K491))</f>
        <v>0.0</v>
      </c>
      <c r="U491" s="24" t="s">
        <v>133</v>
      </c>
      <c r="V491" s="25">
        <v>6500000</v>
      </c>
      <c r="W491" s="25">
        <v>4715948</v>
      </c>
      <c r="X491" s="25">
        <v>5327000</v>
      </c>
      <c r="Y491" s="25">
        <v>7815000</v>
      </c>
      <c r="Z491" s="24" t="s">
        <v>63</v>
      </c>
      <c r="AA491" s="24" t="s">
        <v>63</v>
      </c>
      <c r="AB491" s="24" t="s">
        <v>63</v>
      </c>
      <c r="AC491" s="24" t="s">
        <v>63</v>
      </c>
    </row>
    <row r="492" spans="1:29">
      <c r="A492" s="24" t="s">
        <v>1500</v>
      </c>
      <c r="B492" s="24" t="s">
        <v>1501</v>
      </c>
      <c r="C492" s="24" t="s">
        <v>1502</v>
      </c>
      <c r="D492" s="24" t="s">
        <v>63</v>
      </c>
      <c r="E492" s="24" t="s">
        <v>996</v>
      </c>
      <c r="F492" s="24" t="s">
        <v>1503</v>
      </c>
      <c r="G492" s="24" t="s">
        <v>1227</v>
      </c>
      <c r="H492" s="27" t="s">
        <v>1504</v>
      </c>
      <c r="I492" s="25">
        <v>10473026</v>
      </c>
      <c r="J492" s="25">
        <v>10363410.32</v>
      </c>
      <c r="K492" s="25">
        <v>9431699.599999998</v>
      </c>
      <c r="L492" s="25">
        <v>8610776.949999999</v>
      </c>
      <c r="M492" s="26">
        <f>I492-J492</f>
        <v>109615.6799999997</v>
      </c>
      <c r="N492" s="26">
        <f>J492-K492</f>
        <v>931710.7200000025</v>
      </c>
      <c r="O492" s="26">
        <f>I492-L492</f>
        <v>1862249.0500000007</v>
      </c>
      <c r="P492" s="28">
        <f>IF(I492&gt;0,L492/I492,0)</f>
        <v>0.8221861523116623</v>
      </c>
      <c r="Q492" s="28">
        <f>IF(I492&gt;0,K492/I492,0)</f>
        <v>0.9005706278204597</v>
      </c>
      <c r="R492" s="24" t="str">
        <f>IF(I492&lt;=0,"Sin PIM",IF(L492/I492&gt;=Config!$B$5,"Ejecutado",IF(K492/I492&gt;=Config!$B$6,"Mayormente comprometido",IF(K492&gt;0.005,"Parcialmente comprometido",IF(J492&gt;0.005,"Solo certificado","Sin certificar")))))</f>
        <v>Mayormente comprometido</v>
      </c>
      <c r="S492" s="24" t="str">
        <f>IF(R492="Sin certificar","Disponible",IF(R492="Solo certificado","Posible",IF(R492="Parcialmente comprometido","Parcial",IF(R492="Mayormente comprometido","Difícil",IF(R492="Ejecutado","No usar","Sin PIM")))))</f>
        <v>Difícil</v>
      </c>
      <c r="T492" s="26">
        <f>IF(OR(I492&lt;=0,R492="Ejecutado"),0,MAX(0,I492-K492))</f>
        <v>1041326.4000000022</v>
      </c>
      <c r="U492" s="24" t="s">
        <v>408</v>
      </c>
      <c r="V492" s="25">
        <v>3820398</v>
      </c>
      <c r="W492" s="25">
        <v>9531185</v>
      </c>
      <c r="X492" s="25">
        <v>1200000</v>
      </c>
      <c r="Y492" s="25">
        <v>610419</v>
      </c>
      <c r="Z492" s="24" t="s">
        <v>63</v>
      </c>
      <c r="AA492" s="24" t="s">
        <v>63</v>
      </c>
      <c r="AB492" s="24" t="s">
        <v>63</v>
      </c>
      <c r="AC492" s="24" t="s">
        <v>63</v>
      </c>
    </row>
    <row r="493" spans="1:29">
      <c r="A493" s="24" t="s">
        <v>1500</v>
      </c>
      <c r="B493" s="24" t="s">
        <v>1501</v>
      </c>
      <c r="C493" s="24" t="s">
        <v>1502</v>
      </c>
      <c r="D493" s="24" t="s">
        <v>63</v>
      </c>
      <c r="E493" s="24" t="s">
        <v>996</v>
      </c>
      <c r="F493" s="24" t="s">
        <v>1505</v>
      </c>
      <c r="G493" s="24" t="s">
        <v>1237</v>
      </c>
      <c r="H493" s="27" t="s">
        <v>1506</v>
      </c>
      <c r="I493" s="25">
        <v>5701948</v>
      </c>
      <c r="J493" s="25">
        <v>5519793</v>
      </c>
      <c r="K493" s="25">
        <v>4676613.660000001</v>
      </c>
      <c r="L493" s="25">
        <v>2802264.63</v>
      </c>
      <c r="M493" s="26">
        <f>I493-J493</f>
        <v>182155.0</v>
      </c>
      <c r="N493" s="26">
        <f>J493-K493</f>
        <v>843179.3399999989</v>
      </c>
      <c r="O493" s="26">
        <f>I493-L493</f>
        <v>2899683.37</v>
      </c>
      <c r="P493" s="28">
        <f>IF(I493&gt;0,L493/I493,0)</f>
        <v>0.49145741595679227</v>
      </c>
      <c r="Q493" s="28">
        <f>IF(I493&gt;0,K493/I493,0)</f>
        <v>0.8201782373322242</v>
      </c>
      <c r="R493" s="24" t="str">
        <f>IF(I493&lt;=0,"Sin PIM",IF(L493/I493&gt;=Config!$B$5,"Ejecutado",IF(K493/I493&gt;=Config!$B$6,"Mayormente comprometido",IF(K493&gt;0.005,"Parcialmente comprometido",IF(J493&gt;0.005,"Solo certificado","Sin certificar")))))</f>
        <v>Mayormente comprometido</v>
      </c>
      <c r="S493" s="24" t="str">
        <f>IF(R493="Sin certificar","Disponible",IF(R493="Solo certificado","Posible",IF(R493="Parcialmente comprometido","Parcial",IF(R493="Mayormente comprometido","Difícil",IF(R493="Ejecutado","No usar","Sin PIM")))))</f>
        <v>Difícil</v>
      </c>
      <c r="T493" s="26">
        <f>IF(OR(I493&lt;=0,R493="Ejecutado"),0,MAX(0,I493-K493))</f>
        <v>1025334.3399999989</v>
      </c>
      <c r="U493" s="24" t="s">
        <v>1507</v>
      </c>
      <c r="V493" s="25">
        <v>5141948</v>
      </c>
      <c r="W493" s="25">
        <v>7818572</v>
      </c>
      <c r="X493" s="25">
        <v>2825581</v>
      </c>
      <c r="Y493" s="25">
        <v>9181810</v>
      </c>
      <c r="Z493" s="24" t="s">
        <v>63</v>
      </c>
      <c r="AA493" s="24" t="s">
        <v>63</v>
      </c>
      <c r="AB493" s="24" t="s">
        <v>63</v>
      </c>
      <c r="AC493" s="24" t="s">
        <v>63</v>
      </c>
    </row>
    <row r="494" spans="1:29">
      <c r="A494" s="24" t="s">
        <v>1500</v>
      </c>
      <c r="B494" s="24" t="s">
        <v>1501</v>
      </c>
      <c r="C494" s="24" t="s">
        <v>1502</v>
      </c>
      <c r="D494" s="24" t="s">
        <v>63</v>
      </c>
      <c r="E494" s="24" t="s">
        <v>996</v>
      </c>
      <c r="F494" s="24" t="s">
        <v>1508</v>
      </c>
      <c r="G494" s="24" t="s">
        <v>1470</v>
      </c>
      <c r="H494" s="27" t="s">
        <v>1509</v>
      </c>
      <c r="I494" s="25">
        <v>2603149</v>
      </c>
      <c r="J494" s="25">
        <v>2600805.44</v>
      </c>
      <c r="K494" s="25">
        <v>2600730.439999999</v>
      </c>
      <c r="L494" s="25">
        <v>2578514.239999999</v>
      </c>
      <c r="M494" s="26">
        <f>I494-J494</f>
        <v>2343.560000000056</v>
      </c>
      <c r="N494" s="26">
        <f>J494-K494</f>
        <v>75.00000000046566</v>
      </c>
      <c r="O494" s="26">
        <f>I494-L494</f>
        <v>24634.760000000708</v>
      </c>
      <c r="P494" s="28">
        <f>IF(I494&gt;0,L494/I494,0)</f>
        <v>0.9905365539967168</v>
      </c>
      <c r="Q494" s="28">
        <f>IF(I494&gt;0,K494/I494,0)</f>
        <v>0.9990709098864489</v>
      </c>
      <c r="R494" s="24" t="str">
        <f>IF(I494&lt;=0,"Sin PIM",IF(L494/I494&gt;=Config!$B$5,"Ejecutado",IF(K494/I494&gt;=Config!$B$6,"Mayormente comprometido",IF(K494&gt;0.005,"Parcialmente comprometido",IF(J494&gt;0.005,"Solo certificado","Sin certificar")))))</f>
        <v>Ejecutado</v>
      </c>
      <c r="S494" s="24" t="str">
        <f>IF(R494="Sin certificar","Disponible",IF(R494="Solo certificado","Posible",IF(R494="Parcialmente comprometido","Parcial",IF(R494="Mayormente comprometido","Difícil",IF(R494="Ejecutado","No usar","Sin PIM")))))</f>
        <v>No usar</v>
      </c>
      <c r="T494" s="26">
        <f>IF(OR(I494&lt;=0,R494="Ejecutado"),0,MAX(0,I494-K494))</f>
        <v>0.0</v>
      </c>
      <c r="U494" s="24" t="s">
        <v>1510</v>
      </c>
      <c r="V494" s="25">
        <v>6632458</v>
      </c>
      <c r="W494" s="25">
        <v>451100</v>
      </c>
      <c r="X494" s="25">
        <v>500000</v>
      </c>
      <c r="Y494" s="25">
        <v>500000</v>
      </c>
      <c r="Z494" s="24" t="s">
        <v>63</v>
      </c>
      <c r="AA494" s="24" t="s">
        <v>63</v>
      </c>
      <c r="AB494" s="24" t="s">
        <v>63</v>
      </c>
      <c r="AC494" s="24" t="s">
        <v>63</v>
      </c>
    </row>
    <row r="495" spans="1:29">
      <c r="A495" s="24" t="s">
        <v>1500</v>
      </c>
      <c r="B495" s="24" t="s">
        <v>1501</v>
      </c>
      <c r="C495" s="24" t="s">
        <v>1502</v>
      </c>
      <c r="D495" s="24" t="s">
        <v>63</v>
      </c>
      <c r="E495" s="24" t="s">
        <v>996</v>
      </c>
      <c r="F495" s="24" t="s">
        <v>1508</v>
      </c>
      <c r="G495" s="24" t="s">
        <v>453</v>
      </c>
      <c r="H495" s="27" t="s">
        <v>1509</v>
      </c>
      <c r="I495" s="25">
        <v>1279289</v>
      </c>
      <c r="J495" s="25">
        <v>1150930.2</v>
      </c>
      <c r="K495" s="25">
        <v>1150636.74</v>
      </c>
      <c r="L495" s="25">
        <v>1137774.01</v>
      </c>
      <c r="M495" s="26">
        <f>I495-J495</f>
        <v>128358.80000000005</v>
      </c>
      <c r="N495" s="26">
        <f>J495-K495</f>
        <v>293.45999999996275</v>
      </c>
      <c r="O495" s="26">
        <f>I495-L495</f>
        <v>141514.99</v>
      </c>
      <c r="P495" s="28">
        <f>IF(I495&gt;0,L495/I495,0)</f>
        <v>0.8893799680916509</v>
      </c>
      <c r="Q495" s="28">
        <f>IF(I495&gt;0,K495/I495,0)</f>
        <v>0.899434560916259</v>
      </c>
      <c r="R495" s="24" t="str">
        <f>IF(I495&lt;=0,"Sin PIM",IF(L495/I495&gt;=Config!$B$5,"Ejecutado",IF(K495/I495&gt;=Config!$B$6,"Mayormente comprometido",IF(K495&gt;0.005,"Parcialmente comprometido",IF(J495&gt;0.005,"Solo certificado","Sin certificar")))))</f>
        <v>Mayormente comprometido</v>
      </c>
      <c r="S495" s="24" t="str">
        <f>IF(R495="Sin certificar","Disponible",IF(R495="Solo certificado","Posible",IF(R495="Parcialmente comprometido","Parcial",IF(R495="Mayormente comprometido","Difícil",IF(R495="Ejecutado","No usar","Sin PIM")))))</f>
        <v>Difícil</v>
      </c>
      <c r="T495" s="26">
        <f>IF(OR(I495&lt;=0,R495="Ejecutado"),0,MAX(0,I495-K495))</f>
        <v>128652.26000000001</v>
      </c>
      <c r="U495" s="24" t="s">
        <v>96</v>
      </c>
      <c r="V495" s="25">
        <v>6632458</v>
      </c>
      <c r="W495" s="25">
        <v>451100</v>
      </c>
      <c r="X495" s="25">
        <v>500000</v>
      </c>
      <c r="Y495" s="25">
        <v>500000</v>
      </c>
      <c r="Z495" s="24" t="s">
        <v>63</v>
      </c>
      <c r="AA495" s="24" t="s">
        <v>63</v>
      </c>
      <c r="AB495" s="24" t="s">
        <v>63</v>
      </c>
      <c r="AC495" s="24" t="s">
        <v>63</v>
      </c>
    </row>
    <row r="496" spans="1:29">
      <c r="A496" s="24" t="s">
        <v>1500</v>
      </c>
      <c r="B496" s="24" t="s">
        <v>1501</v>
      </c>
      <c r="C496" s="24" t="s">
        <v>1502</v>
      </c>
      <c r="D496" s="24" t="s">
        <v>63</v>
      </c>
      <c r="E496" s="24" t="s">
        <v>996</v>
      </c>
      <c r="F496" s="24" t="s">
        <v>1511</v>
      </c>
      <c r="G496" s="24" t="s">
        <v>60</v>
      </c>
      <c r="H496" s="27" t="s">
        <v>1512</v>
      </c>
      <c r="I496" s="25">
        <v>30000</v>
      </c>
      <c r="J496" s="25">
        <v>0</v>
      </c>
      <c r="K496" s="25">
        <v>0</v>
      </c>
      <c r="L496" s="25">
        <v>0</v>
      </c>
      <c r="M496" s="26">
        <f>I496-J496</f>
        <v>30000.0</v>
      </c>
      <c r="N496" s="26">
        <f>J496-K496</f>
        <v>0.0</v>
      </c>
      <c r="O496" s="26">
        <f>I496-L496</f>
        <v>30000.0</v>
      </c>
      <c r="P496" s="28">
        <f>IF(I496&gt;0,L496/I496,0)</f>
        <v>0.0</v>
      </c>
      <c r="Q496" s="28">
        <f>IF(I496&gt;0,K496/I496,0)</f>
        <v>0.0</v>
      </c>
      <c r="R496" s="24" t="str">
        <f>IF(I496&lt;=0,"Sin PIM",IF(L496/I496&gt;=Config!$B$5,"Ejecutado",IF(K496/I496&gt;=Config!$B$6,"Mayormente comprometido",IF(K496&gt;0.005,"Parcialmente comprometido",IF(J496&gt;0.005,"Solo certificado","Sin certificar")))))</f>
        <v>Sin certificar</v>
      </c>
      <c r="S496" s="24" t="str">
        <f>IF(R496="Sin certificar","Disponible",IF(R496="Solo certificado","Posible",IF(R496="Parcialmente comprometido","Parcial",IF(R496="Mayormente comprometido","Difícil",IF(R496="Ejecutado","No usar","Sin PIM")))))</f>
        <v>Disponible</v>
      </c>
      <c r="T496" s="26">
        <f>IF(OR(I496&lt;=0,R496="Ejecutado"),0,MAX(0,I496-K496))</f>
        <v>30000.0</v>
      </c>
      <c r="U496" s="24" t="s">
        <v>105</v>
      </c>
      <c r="V496" s="25">
        <v>2215165</v>
      </c>
      <c r="W496" s="25">
        <v>30192</v>
      </c>
      <c r="X496" s="25">
        <v>745055</v>
      </c>
      <c r="Y496" s="25">
        <v>1459918</v>
      </c>
      <c r="Z496" s="24" t="s">
        <v>63</v>
      </c>
      <c r="AA496" s="24" t="s">
        <v>63</v>
      </c>
      <c r="AB496" s="24" t="s">
        <v>63</v>
      </c>
      <c r="AC496" s="24" t="s">
        <v>63</v>
      </c>
    </row>
    <row r="497" spans="1:29">
      <c r="A497" s="24" t="s">
        <v>1500</v>
      </c>
      <c r="B497" s="24" t="s">
        <v>1501</v>
      </c>
      <c r="C497" s="24" t="s">
        <v>1502</v>
      </c>
      <c r="D497" s="24" t="s">
        <v>63</v>
      </c>
      <c r="E497" s="24" t="s">
        <v>996</v>
      </c>
      <c r="F497" s="24" t="s">
        <v>1513</v>
      </c>
      <c r="G497" s="24" t="s">
        <v>1403</v>
      </c>
      <c r="H497" s="27" t="s">
        <v>1514</v>
      </c>
      <c r="I497" s="25">
        <v>0</v>
      </c>
      <c r="J497" s="25">
        <v>0</v>
      </c>
      <c r="K497" s="25">
        <v>0</v>
      </c>
      <c r="L497" s="25">
        <v>0</v>
      </c>
      <c r="M497" s="26">
        <f>I497-J497</f>
        <v>0.0</v>
      </c>
      <c r="N497" s="26">
        <f>J497-K497</f>
        <v>0.0</v>
      </c>
      <c r="O497" s="26">
        <f>I497-L497</f>
        <v>0.0</v>
      </c>
      <c r="P497" s="28">
        <f>IF(I497&gt;0,L497/I497,0)</f>
        <v>0</v>
      </c>
      <c r="Q497" s="28">
        <f>IF(I497&gt;0,K497/I497,0)</f>
        <v>0</v>
      </c>
      <c r="R497" s="24" t="str">
        <f>IF(I497&lt;=0,"Sin PIM",IF(L497/I497&gt;=Config!$B$5,"Ejecutado",IF(K497/I497&gt;=Config!$B$6,"Mayormente comprometido",IF(K497&gt;0.005,"Parcialmente comprometido",IF(J497&gt;0.005,"Solo certificado","Sin certificar")))))</f>
        <v>Sin PIM</v>
      </c>
      <c r="S497" s="24" t="str">
        <f>IF(R497="Sin certificar","Disponible",IF(R497="Solo certificado","Posible",IF(R497="Parcialmente comprometido","Parcial",IF(R497="Mayormente comprometido","Difícil",IF(R497="Ejecutado","No usar","Sin PIM")))))</f>
        <v>Sin PIM</v>
      </c>
      <c r="T497" s="26">
        <f>IF(OR(I497&lt;=0,R497="Ejecutado"),0,MAX(0,I497-K497))</f>
        <v>0.0</v>
      </c>
      <c r="U497" s="24" t="s">
        <v>96</v>
      </c>
      <c r="V497" s="25">
        <v>500000</v>
      </c>
      <c r="W497" s="25">
        <v>0</v>
      </c>
      <c r="X497" s="25">
        <v>0</v>
      </c>
      <c r="Y497" s="25">
        <v>0</v>
      </c>
      <c r="Z497" s="24" t="s">
        <v>63</v>
      </c>
      <c r="AA497" s="24" t="s">
        <v>63</v>
      </c>
      <c r="AB497" s="24" t="s">
        <v>63</v>
      </c>
      <c r="AC497" s="24" t="s">
        <v>63</v>
      </c>
    </row>
    <row r="498" spans="1:29">
      <c r="A498" s="24" t="s">
        <v>1515</v>
      </c>
      <c r="B498" s="24" t="s">
        <v>1516</v>
      </c>
      <c r="C498" s="24" t="s">
        <v>1517</v>
      </c>
      <c r="D498" s="24" t="s">
        <v>63</v>
      </c>
      <c r="E498" s="24" t="s">
        <v>996</v>
      </c>
      <c r="F498" s="24" t="s">
        <v>1518</v>
      </c>
      <c r="G498" s="24" t="s">
        <v>156</v>
      </c>
      <c r="H498" s="27" t="s">
        <v>1519</v>
      </c>
      <c r="I498" s="25">
        <v>7439155</v>
      </c>
      <c r="J498" s="25">
        <v>6108586.439999999</v>
      </c>
      <c r="K498" s="25">
        <v>5908247.67</v>
      </c>
      <c r="L498" s="25">
        <v>5504731.600000001</v>
      </c>
      <c r="M498" s="26">
        <f>I498-J498</f>
        <v>1330568.5600000015</v>
      </c>
      <c r="N498" s="26">
        <f>J498-K498</f>
        <v>200338.76999999862</v>
      </c>
      <c r="O498" s="26">
        <f>I498-L498</f>
        <v>1934423.3999999994</v>
      </c>
      <c r="P498" s="28">
        <f>IF(I498&gt;0,L498/I498,0)</f>
        <v>0.7399673215573543</v>
      </c>
      <c r="Q498" s="28">
        <f>IF(I498&gt;0,K498/I498,0)</f>
        <v>0.794209513042812</v>
      </c>
      <c r="R498" s="24" t="str">
        <f>IF(I498&lt;=0,"Sin PIM",IF(L498/I498&gt;=Config!$B$5,"Ejecutado",IF(K498/I498&gt;=Config!$B$6,"Mayormente comprometido",IF(K498&gt;0.005,"Parcialmente comprometido",IF(J498&gt;0.005,"Solo certificado","Sin certificar")))))</f>
        <v>Mayormente comprometido</v>
      </c>
      <c r="S498" s="24" t="str">
        <f>IF(R498="Sin certificar","Disponible",IF(R498="Solo certificado","Posible",IF(R498="Parcialmente comprometido","Parcial",IF(R498="Mayormente comprometido","Difícil",IF(R498="Ejecutado","No usar","Sin PIM")))))</f>
        <v>Difícil</v>
      </c>
      <c r="T498" s="26">
        <f>IF(OR(I498&lt;=0,R498="Ejecutado"),0,MAX(0,I498-K498))</f>
        <v>1530907.33</v>
      </c>
      <c r="U498" s="24" t="s">
        <v>408</v>
      </c>
      <c r="V498" s="25">
        <v>500000</v>
      </c>
      <c r="W498" s="25">
        <v>4356339</v>
      </c>
      <c r="X498" s="25">
        <v>4468789</v>
      </c>
      <c r="Y498" s="25">
        <v>15297612</v>
      </c>
      <c r="Z498" s="24" t="s">
        <v>63</v>
      </c>
      <c r="AA498" s="24" t="s">
        <v>63</v>
      </c>
      <c r="AB498" s="24" t="s">
        <v>63</v>
      </c>
      <c r="AC498" s="24" t="s">
        <v>63</v>
      </c>
    </row>
    <row r="499" spans="1:29">
      <c r="A499" s="24" t="s">
        <v>1515</v>
      </c>
      <c r="B499" s="24" t="s">
        <v>1516</v>
      </c>
      <c r="C499" s="24" t="s">
        <v>1517</v>
      </c>
      <c r="D499" s="24" t="s">
        <v>63</v>
      </c>
      <c r="E499" s="24" t="s">
        <v>996</v>
      </c>
      <c r="F499" s="24" t="s">
        <v>1520</v>
      </c>
      <c r="G499" s="24" t="s">
        <v>1403</v>
      </c>
      <c r="H499" s="27" t="s">
        <v>1521</v>
      </c>
      <c r="I499" s="25">
        <v>4417847</v>
      </c>
      <c r="J499" s="25">
        <v>4295083.77</v>
      </c>
      <c r="K499" s="25">
        <v>4147709.42</v>
      </c>
      <c r="L499" s="25">
        <v>3703840.530000001</v>
      </c>
      <c r="M499" s="26">
        <f>I499-J499</f>
        <v>122763.23000000045</v>
      </c>
      <c r="N499" s="26">
        <f>J499-K499</f>
        <v>147374.34999999963</v>
      </c>
      <c r="O499" s="26">
        <f>I499-L499</f>
        <v>714006.4699999993</v>
      </c>
      <c r="P499" s="28">
        <f>IF(I499&gt;0,L499/I499,0)</f>
        <v>0.8383813495578277</v>
      </c>
      <c r="Q499" s="28">
        <f>IF(I499&gt;0,K499/I499,0)</f>
        <v>0.9388531155560615</v>
      </c>
      <c r="R499" s="24" t="str">
        <f>IF(I499&lt;=0,"Sin PIM",IF(L499/I499&gt;=Config!$B$5,"Ejecutado",IF(K499/I499&gt;=Config!$B$6,"Mayormente comprometido",IF(K499&gt;0.005,"Parcialmente comprometido",IF(J499&gt;0.005,"Solo certificado","Sin certificar")))))</f>
        <v>Mayormente comprometido</v>
      </c>
      <c r="S499" s="24" t="str">
        <f>IF(R499="Sin certificar","Disponible",IF(R499="Solo certificado","Posible",IF(R499="Parcialmente comprometido","Parcial",IF(R499="Mayormente comprometido","Difícil",IF(R499="Ejecutado","No usar","Sin PIM")))))</f>
        <v>Difícil</v>
      </c>
      <c r="T499" s="26">
        <f>IF(OR(I499&lt;=0,R499="Ejecutado"),0,MAX(0,I499-K499))</f>
        <v>270137.5800000001</v>
      </c>
      <c r="U499" s="24" t="s">
        <v>206</v>
      </c>
      <c r="V499" s="25">
        <v>8534000</v>
      </c>
      <c r="W499" s="25">
        <v>7018517</v>
      </c>
      <c r="X499" s="25">
        <v>6966429</v>
      </c>
      <c r="Y499" s="25">
        <v>5165856</v>
      </c>
      <c r="Z499" s="24" t="s">
        <v>63</v>
      </c>
      <c r="AA499" s="24" t="s">
        <v>63</v>
      </c>
      <c r="AB499" s="24" t="s">
        <v>63</v>
      </c>
      <c r="AC499" s="24" t="s">
        <v>63</v>
      </c>
    </row>
    <row r="500" spans="1:29">
      <c r="A500" s="24" t="s">
        <v>1515</v>
      </c>
      <c r="B500" s="24" t="s">
        <v>1516</v>
      </c>
      <c r="C500" s="24" t="s">
        <v>1517</v>
      </c>
      <c r="D500" s="24" t="s">
        <v>63</v>
      </c>
      <c r="E500" s="24" t="s">
        <v>996</v>
      </c>
      <c r="F500" s="24" t="s">
        <v>1522</v>
      </c>
      <c r="G500" s="24" t="s">
        <v>331</v>
      </c>
      <c r="H500" s="27" t="s">
        <v>1523</v>
      </c>
      <c r="I500" s="25">
        <v>2000000</v>
      </c>
      <c r="J500" s="25">
        <v>1999999.53</v>
      </c>
      <c r="K500" s="25">
        <v>1984655.58</v>
      </c>
      <c r="L500" s="25">
        <v>1956578.22</v>
      </c>
      <c r="M500" s="26">
        <f>I500-J500</f>
        <v>0.4699999999720603</v>
      </c>
      <c r="N500" s="26">
        <f>J500-K500</f>
        <v>15343.949999999953</v>
      </c>
      <c r="O500" s="26">
        <f>I500-L500</f>
        <v>43421.779999999795</v>
      </c>
      <c r="P500" s="28">
        <f>IF(I500&gt;0,L500/I500,0)</f>
        <v>0.9782891100000001</v>
      </c>
      <c r="Q500" s="28">
        <f>IF(I500&gt;0,K500/I500,0)</f>
        <v>0.99232779</v>
      </c>
      <c r="R500" s="24" t="str">
        <f>IF(I500&lt;=0,"Sin PIM",IF(L500/I500&gt;=Config!$B$5,"Ejecutado",IF(K500/I500&gt;=Config!$B$6,"Mayormente comprometido",IF(K500&gt;0.005,"Parcialmente comprometido",IF(J500&gt;0.005,"Solo certificado","Sin certificar")))))</f>
        <v>Ejecutado</v>
      </c>
      <c r="S500" s="24" t="str">
        <f>IF(R500="Sin certificar","Disponible",IF(R500="Solo certificado","Posible",IF(R500="Parcialmente comprometido","Parcial",IF(R500="Mayormente comprometido","Difícil",IF(R500="Ejecutado","No usar","Sin PIM")))))</f>
        <v>No usar</v>
      </c>
      <c r="T500" s="26">
        <f>IF(OR(I500&lt;=0,R500="Ejecutado"),0,MAX(0,I500-K500))</f>
        <v>0.0</v>
      </c>
      <c r="U500" s="24" t="s">
        <v>1524</v>
      </c>
      <c r="V500" s="25">
        <v>2000000</v>
      </c>
      <c r="W500" s="25">
        <v>37016</v>
      </c>
      <c r="X500" s="25">
        <v>0</v>
      </c>
      <c r="Y500" s="25">
        <v>0</v>
      </c>
      <c r="Z500" s="24" t="s">
        <v>63</v>
      </c>
      <c r="AA500" s="24" t="s">
        <v>63</v>
      </c>
      <c r="AB500" s="24" t="s">
        <v>63</v>
      </c>
      <c r="AC500" s="24" t="s">
        <v>63</v>
      </c>
    </row>
    <row r="501" spans="1:29">
      <c r="A501" s="24" t="s">
        <v>1515</v>
      </c>
      <c r="B501" s="24" t="s">
        <v>1516</v>
      </c>
      <c r="C501" s="24" t="s">
        <v>1517</v>
      </c>
      <c r="D501" s="24" t="s">
        <v>63</v>
      </c>
      <c r="E501" s="24" t="s">
        <v>996</v>
      </c>
      <c r="F501" s="24" t="s">
        <v>1525</v>
      </c>
      <c r="G501" s="24" t="s">
        <v>406</v>
      </c>
      <c r="H501" s="27" t="s">
        <v>1526</v>
      </c>
      <c r="I501" s="25">
        <v>431850</v>
      </c>
      <c r="J501" s="25">
        <v>0</v>
      </c>
      <c r="K501" s="25">
        <v>0</v>
      </c>
      <c r="L501" s="25">
        <v>0</v>
      </c>
      <c r="M501" s="26">
        <f>I501-J501</f>
        <v>431850.0</v>
      </c>
      <c r="N501" s="26">
        <f>J501-K501</f>
        <v>0.0</v>
      </c>
      <c r="O501" s="26">
        <f>I501-L501</f>
        <v>431850.0</v>
      </c>
      <c r="P501" s="28">
        <f>IF(I501&gt;0,L501/I501,0)</f>
        <v>0.0</v>
      </c>
      <c r="Q501" s="28">
        <f>IF(I501&gt;0,K501/I501,0)</f>
        <v>0.0</v>
      </c>
      <c r="R501" s="24" t="str">
        <f>IF(I501&lt;=0,"Sin PIM",IF(L501/I501&gt;=Config!$B$5,"Ejecutado",IF(K501/I501&gt;=Config!$B$6,"Mayormente comprometido",IF(K501&gt;0.005,"Parcialmente comprometido",IF(J501&gt;0.005,"Solo certificado","Sin certificar")))))</f>
        <v>Sin certificar</v>
      </c>
      <c r="S501" s="24" t="str">
        <f>IF(R501="Sin certificar","Disponible",IF(R501="Solo certificado","Posible",IF(R501="Parcialmente comprometido","Parcial",IF(R501="Mayormente comprometido","Difícil",IF(R501="Ejecutado","No usar","Sin PIM")))))</f>
        <v>Disponible</v>
      </c>
      <c r="T501" s="26">
        <f>IF(OR(I501&lt;=0,R501="Ejecutado"),0,MAX(0,I501-K501))</f>
        <v>431850.0</v>
      </c>
      <c r="U501" s="24" t="s">
        <v>1527</v>
      </c>
      <c r="V501" s="25">
        <v>500000</v>
      </c>
      <c r="W501" s="25">
        <v>0</v>
      </c>
      <c r="X501" s="25">
        <v>0</v>
      </c>
      <c r="Y501" s="25">
        <v>0</v>
      </c>
      <c r="Z501" s="24" t="s">
        <v>63</v>
      </c>
      <c r="AA501" s="24" t="s">
        <v>63</v>
      </c>
      <c r="AB501" s="24" t="s">
        <v>63</v>
      </c>
      <c r="AC501" s="24" t="s">
        <v>63</v>
      </c>
    </row>
    <row r="502" spans="1:29">
      <c r="A502" s="24" t="s">
        <v>1515</v>
      </c>
      <c r="B502" s="24" t="s">
        <v>1516</v>
      </c>
      <c r="C502" s="24" t="s">
        <v>1517</v>
      </c>
      <c r="D502" s="24" t="s">
        <v>63</v>
      </c>
      <c r="E502" s="24" t="s">
        <v>271</v>
      </c>
      <c r="F502" s="24" t="s">
        <v>1412</v>
      </c>
      <c r="G502" s="24" t="s">
        <v>693</v>
      </c>
      <c r="H502" s="27" t="s">
        <v>1479</v>
      </c>
      <c r="I502" s="25">
        <v>133500</v>
      </c>
      <c r="J502" s="25">
        <v>69851.5</v>
      </c>
      <c r="K502" s="25">
        <v>69851.5</v>
      </c>
      <c r="L502" s="25">
        <v>35800.5</v>
      </c>
      <c r="M502" s="26">
        <f>I502-J502</f>
        <v>63648.5</v>
      </c>
      <c r="N502" s="26">
        <f>J502-K502</f>
        <v>0.0</v>
      </c>
      <c r="O502" s="26">
        <f>I502-L502</f>
        <v>97699.5</v>
      </c>
      <c r="P502" s="28">
        <f>IF(I502&gt;0,L502/I502,0)</f>
        <v>0.26816853932584267</v>
      </c>
      <c r="Q502" s="28">
        <f>IF(I502&gt;0,K502/I502,0)</f>
        <v>0.5232322097378277</v>
      </c>
      <c r="R502" s="24" t="str">
        <f>IF(I502&lt;=0,"Sin PIM",IF(L502/I502&gt;=Config!$B$5,"Ejecutado",IF(K502/I502&gt;=Config!$B$6,"Mayormente comprometido",IF(K502&gt;0.005,"Parcialmente comprometido",IF(J502&gt;0.005,"Solo certificado","Sin certificar")))))</f>
        <v>Mayormente comprometido</v>
      </c>
      <c r="S502" s="24" t="str">
        <f>IF(R502="Sin certificar","Disponible",IF(R502="Solo certificado","Posible",IF(R502="Parcialmente comprometido","Parcial",IF(R502="Mayormente comprometido","Difícil",IF(R502="Ejecutado","No usar","Sin PIM")))))</f>
        <v>Difícil</v>
      </c>
      <c r="T502" s="26">
        <f>IF(OR(I502&lt;=0,R502="Ejecutado"),0,MAX(0,I502-K502))</f>
        <v>63648.5</v>
      </c>
      <c r="U502" s="24" t="s">
        <v>994</v>
      </c>
      <c r="V502" s="24" t="s">
        <v>69</v>
      </c>
      <c r="W502" s="24" t="s">
        <v>69</v>
      </c>
      <c r="X502" s="24" t="s">
        <v>69</v>
      </c>
      <c r="Y502" s="24" t="s">
        <v>69</v>
      </c>
      <c r="Z502" s="24" t="s">
        <v>63</v>
      </c>
      <c r="AA502" s="24" t="s">
        <v>63</v>
      </c>
      <c r="AB502" s="24" t="s">
        <v>63</v>
      </c>
      <c r="AC502" s="24" t="s">
        <v>63</v>
      </c>
    </row>
    <row r="503" spans="1:29">
      <c r="A503" s="24" t="s">
        <v>1515</v>
      </c>
      <c r="B503" s="24" t="s">
        <v>1516</v>
      </c>
      <c r="C503" s="24" t="s">
        <v>1517</v>
      </c>
      <c r="D503" s="24" t="s">
        <v>63</v>
      </c>
      <c r="E503" s="24" t="s">
        <v>996</v>
      </c>
      <c r="F503" s="24" t="s">
        <v>1525</v>
      </c>
      <c r="G503" s="24" t="s">
        <v>1465</v>
      </c>
      <c r="H503" s="27" t="s">
        <v>1526</v>
      </c>
      <c r="I503" s="25">
        <v>68150</v>
      </c>
      <c r="J503" s="25">
        <v>39550</v>
      </c>
      <c r="K503" s="25">
        <v>39550</v>
      </c>
      <c r="L503" s="25">
        <v>35550</v>
      </c>
      <c r="M503" s="26">
        <f>I503-J503</f>
        <v>28600.0</v>
      </c>
      <c r="N503" s="26">
        <f>J503-K503</f>
        <v>0.0</v>
      </c>
      <c r="O503" s="26">
        <f>I503-L503</f>
        <v>32600.0</v>
      </c>
      <c r="P503" s="28">
        <f>IF(I503&gt;0,L503/I503,0)</f>
        <v>0.5216434336023478</v>
      </c>
      <c r="Q503" s="28">
        <f>IF(I503&gt;0,K503/I503,0)</f>
        <v>0.5803374908290535</v>
      </c>
      <c r="R503" s="24" t="str">
        <f>IF(I503&lt;=0,"Sin PIM",IF(L503/I503&gt;=Config!$B$5,"Ejecutado",IF(K503/I503&gt;=Config!$B$6,"Mayormente comprometido",IF(K503&gt;0.005,"Parcialmente comprometido",IF(J503&gt;0.005,"Solo certificado","Sin certificar")))))</f>
        <v>Mayormente comprometido</v>
      </c>
      <c r="S503" s="24" t="str">
        <f>IF(R503="Sin certificar","Disponible",IF(R503="Solo certificado","Posible",IF(R503="Parcialmente comprometido","Parcial",IF(R503="Mayormente comprometido","Difícil",IF(R503="Ejecutado","No usar","Sin PIM")))))</f>
        <v>Difícil</v>
      </c>
      <c r="T503" s="26">
        <f>IF(OR(I503&lt;=0,R503="Ejecutado"),0,MAX(0,I503-K503))</f>
        <v>28600.0</v>
      </c>
      <c r="U503" s="24" t="s">
        <v>123</v>
      </c>
      <c r="V503" s="25">
        <v>500000</v>
      </c>
      <c r="W503" s="25">
        <v>0</v>
      </c>
      <c r="X503" s="25">
        <v>0</v>
      </c>
      <c r="Y503" s="25">
        <v>0</v>
      </c>
      <c r="Z503" s="24" t="s">
        <v>63</v>
      </c>
      <c r="AA503" s="24" t="s">
        <v>63</v>
      </c>
      <c r="AB503" s="24" t="s">
        <v>63</v>
      </c>
      <c r="AC503" s="24" t="s">
        <v>63</v>
      </c>
    </row>
    <row r="504" spans="1:29">
      <c r="A504" s="24" t="s">
        <v>1515</v>
      </c>
      <c r="B504" s="24" t="s">
        <v>1516</v>
      </c>
      <c r="C504" s="24" t="s">
        <v>1517</v>
      </c>
      <c r="D504" s="24" t="s">
        <v>63</v>
      </c>
      <c r="E504" s="24" t="s">
        <v>996</v>
      </c>
      <c r="F504" s="24" t="s">
        <v>1528</v>
      </c>
      <c r="G504" s="24" t="s">
        <v>422</v>
      </c>
      <c r="H504" s="27" t="s">
        <v>1529</v>
      </c>
      <c r="I504" s="25">
        <v>40000</v>
      </c>
      <c r="J504" s="25">
        <v>0</v>
      </c>
      <c r="K504" s="25">
        <v>0</v>
      </c>
      <c r="L504" s="25">
        <v>0</v>
      </c>
      <c r="M504" s="26">
        <f>I504-J504</f>
        <v>40000.0</v>
      </c>
      <c r="N504" s="26">
        <f>J504-K504</f>
        <v>0.0</v>
      </c>
      <c r="O504" s="26">
        <f>I504-L504</f>
        <v>40000.0</v>
      </c>
      <c r="P504" s="28">
        <f>IF(I504&gt;0,L504/I504,0)</f>
        <v>0.0</v>
      </c>
      <c r="Q504" s="28">
        <f>IF(I504&gt;0,K504/I504,0)</f>
        <v>0.0</v>
      </c>
      <c r="R504" s="24" t="str">
        <f>IF(I504&lt;=0,"Sin PIM",IF(L504/I504&gt;=Config!$B$5,"Ejecutado",IF(K504/I504&gt;=Config!$B$6,"Mayormente comprometido",IF(K504&gt;0.005,"Parcialmente comprometido",IF(J504&gt;0.005,"Solo certificado","Sin certificar")))))</f>
        <v>Sin certificar</v>
      </c>
      <c r="S504" s="24" t="str">
        <f>IF(R504="Sin certificar","Disponible",IF(R504="Solo certificado","Posible",IF(R504="Parcialmente comprometido","Parcial",IF(R504="Mayormente comprometido","Difícil",IF(R504="Ejecutado","No usar","Sin PIM")))))</f>
        <v>Disponible</v>
      </c>
      <c r="T504" s="26">
        <f>IF(OR(I504&lt;=0,R504="Ejecutado"),0,MAX(0,I504-K504))</f>
        <v>40000.0</v>
      </c>
      <c r="U504" s="24" t="s">
        <v>105</v>
      </c>
      <c r="V504" s="24" t="s">
        <v>69</v>
      </c>
      <c r="W504" s="24" t="s">
        <v>69</v>
      </c>
      <c r="X504" s="24" t="s">
        <v>69</v>
      </c>
      <c r="Y504" s="24" t="s">
        <v>69</v>
      </c>
      <c r="Z504" s="24" t="s">
        <v>63</v>
      </c>
      <c r="AA504" s="24" t="s">
        <v>63</v>
      </c>
      <c r="AB504" s="24" t="s">
        <v>63</v>
      </c>
      <c r="AC504" s="24" t="s">
        <v>63</v>
      </c>
    </row>
    <row r="505" spans="1:29">
      <c r="A505" s="24" t="s">
        <v>1515</v>
      </c>
      <c r="B505" s="24" t="s">
        <v>1516</v>
      </c>
      <c r="C505" s="24" t="s">
        <v>1517</v>
      </c>
      <c r="D505" s="24" t="s">
        <v>63</v>
      </c>
      <c r="E505" s="24" t="s">
        <v>996</v>
      </c>
      <c r="F505" s="24" t="s">
        <v>1530</v>
      </c>
      <c r="G505" s="24" t="s">
        <v>316</v>
      </c>
      <c r="H505" s="27" t="s">
        <v>1531</v>
      </c>
      <c r="I505" s="25">
        <v>30892</v>
      </c>
      <c r="J505" s="25">
        <v>30000</v>
      </c>
      <c r="K505" s="25">
        <v>30000</v>
      </c>
      <c r="L505" s="25">
        <v>0</v>
      </c>
      <c r="M505" s="26">
        <f>I505-J505</f>
        <v>892.0</v>
      </c>
      <c r="N505" s="26">
        <f>J505-K505</f>
        <v>0.0</v>
      </c>
      <c r="O505" s="26">
        <f>I505-L505</f>
        <v>30892.0</v>
      </c>
      <c r="P505" s="28">
        <f>IF(I505&gt;0,L505/I505,0)</f>
        <v>0.0</v>
      </c>
      <c r="Q505" s="28">
        <f>IF(I505&gt;0,K505/I505,0)</f>
        <v>0.9711252104104623</v>
      </c>
      <c r="R505" s="24" t="str">
        <f>IF(I505&lt;=0,"Sin PIM",IF(L505/I505&gt;=Config!$B$5,"Ejecutado",IF(K505/I505&gt;=Config!$B$6,"Mayormente comprometido",IF(K505&gt;0.005,"Parcialmente comprometido",IF(J505&gt;0.005,"Solo certificado","Sin certificar")))))</f>
        <v>Mayormente comprometido</v>
      </c>
      <c r="S505" s="24" t="str">
        <f>IF(R505="Sin certificar","Disponible",IF(R505="Solo certificado","Posible",IF(R505="Parcialmente comprometido","Parcial",IF(R505="Mayormente comprometido","Difícil",IF(R505="Ejecutado","No usar","Sin PIM")))))</f>
        <v>Difícil</v>
      </c>
      <c r="T505" s="26">
        <f>IF(OR(I505&lt;=0,R505="Ejecutado"),0,MAX(0,I505-K505))</f>
        <v>892.0</v>
      </c>
      <c r="U505" s="24" t="s">
        <v>105</v>
      </c>
      <c r="V505" s="25">
        <v>770194</v>
      </c>
      <c r="W505" s="25">
        <v>0</v>
      </c>
      <c r="X505" s="25">
        <v>0</v>
      </c>
      <c r="Y505" s="25">
        <v>0</v>
      </c>
      <c r="Z505" s="24" t="s">
        <v>63</v>
      </c>
      <c r="AA505" s="24" t="s">
        <v>63</v>
      </c>
      <c r="AB505" s="24" t="s">
        <v>63</v>
      </c>
      <c r="AC505" s="24" t="s">
        <v>63</v>
      </c>
    </row>
    <row r="506" spans="1:29">
      <c r="A506" s="24" t="s">
        <v>1515</v>
      </c>
      <c r="B506" s="24" t="s">
        <v>1516</v>
      </c>
      <c r="C506" s="24" t="s">
        <v>1517</v>
      </c>
      <c r="D506" s="24" t="s">
        <v>63</v>
      </c>
      <c r="E506" s="24" t="s">
        <v>271</v>
      </c>
      <c r="F506" s="24" t="s">
        <v>1532</v>
      </c>
      <c r="G506" s="24" t="s">
        <v>84</v>
      </c>
      <c r="H506" s="27" t="s">
        <v>1533</v>
      </c>
      <c r="I506" s="25">
        <v>20000</v>
      </c>
      <c r="J506" s="25">
        <v>20000</v>
      </c>
      <c r="K506" s="25">
        <v>17500</v>
      </c>
      <c r="L506" s="25">
        <v>0</v>
      </c>
      <c r="M506" s="26">
        <f>I506-J506</f>
        <v>0.0</v>
      </c>
      <c r="N506" s="26">
        <f>J506-K506</f>
        <v>2500.0</v>
      </c>
      <c r="O506" s="26">
        <f>I506-L506</f>
        <v>20000.0</v>
      </c>
      <c r="P506" s="28">
        <f>IF(I506&gt;0,L506/I506,0)</f>
        <v>0.0</v>
      </c>
      <c r="Q506" s="28">
        <f>IF(I506&gt;0,K506/I506,0)</f>
        <v>0.875</v>
      </c>
      <c r="R506" s="24" t="str">
        <f>IF(I506&lt;=0,"Sin PIM",IF(L506/I506&gt;=Config!$B$5,"Ejecutado",IF(K506/I506&gt;=Config!$B$6,"Mayormente comprometido",IF(K506&gt;0.005,"Parcialmente comprometido",IF(J506&gt;0.005,"Solo certificado","Sin certificar")))))</f>
        <v>Mayormente comprometido</v>
      </c>
      <c r="S506" s="24" t="str">
        <f>IF(R506="Sin certificar","Disponible",IF(R506="Solo certificado","Posible",IF(R506="Parcialmente comprometido","Parcial",IF(R506="Mayormente comprometido","Difícil",IF(R506="Ejecutado","No usar","Sin PIM")))))</f>
        <v>Difícil</v>
      </c>
      <c r="T506" s="26">
        <f>IF(OR(I506&lt;=0,R506="Ejecutado"),0,MAX(0,I506-K506))</f>
        <v>2500.0</v>
      </c>
      <c r="U506" s="24" t="s">
        <v>123</v>
      </c>
      <c r="V506" s="25">
        <v>20000</v>
      </c>
      <c r="W506" s="25">
        <v>0</v>
      </c>
      <c r="X506" s="25">
        <v>0</v>
      </c>
      <c r="Y506" s="25">
        <v>0</v>
      </c>
      <c r="Z506" s="24" t="s">
        <v>63</v>
      </c>
      <c r="AA506" s="24" t="s">
        <v>63</v>
      </c>
      <c r="AB506" s="24" t="s">
        <v>63</v>
      </c>
      <c r="AC506" s="24" t="s">
        <v>63</v>
      </c>
    </row>
    <row r="507" spans="1:29">
      <c r="A507" s="24" t="s">
        <v>1515</v>
      </c>
      <c r="B507" s="24" t="s">
        <v>1516</v>
      </c>
      <c r="C507" s="24" t="s">
        <v>1517</v>
      </c>
      <c r="D507" s="24" t="s">
        <v>63</v>
      </c>
      <c r="E507" s="24" t="s">
        <v>996</v>
      </c>
      <c r="F507" s="24" t="s">
        <v>1518</v>
      </c>
      <c r="G507" s="24" t="s">
        <v>1495</v>
      </c>
      <c r="H507" s="27" t="s">
        <v>1519</v>
      </c>
      <c r="I507" s="25">
        <v>0</v>
      </c>
      <c r="J507" s="25">
        <v>0</v>
      </c>
      <c r="K507" s="25">
        <v>0</v>
      </c>
      <c r="L507" s="25">
        <v>0</v>
      </c>
      <c r="M507" s="26">
        <f>I507-J507</f>
        <v>0.0</v>
      </c>
      <c r="N507" s="26">
        <f>J507-K507</f>
        <v>0.0</v>
      </c>
      <c r="O507" s="26">
        <f>I507-L507</f>
        <v>0.0</v>
      </c>
      <c r="P507" s="28">
        <f>IF(I507&gt;0,L507/I507,0)</f>
        <v>0</v>
      </c>
      <c r="Q507" s="28">
        <f>IF(I507&gt;0,K507/I507,0)</f>
        <v>0</v>
      </c>
      <c r="R507" s="24" t="str">
        <f>IF(I507&lt;=0,"Sin PIM",IF(L507/I507&gt;=Config!$B$5,"Ejecutado",IF(K507/I507&gt;=Config!$B$6,"Mayormente comprometido",IF(K507&gt;0.005,"Parcialmente comprometido",IF(J507&gt;0.005,"Solo certificado","Sin certificar")))))</f>
        <v>Sin PIM</v>
      </c>
      <c r="S507" s="24" t="str">
        <f>IF(R507="Sin certificar","Disponible",IF(R507="Solo certificado","Posible",IF(R507="Parcialmente comprometido","Parcial",IF(R507="Mayormente comprometido","Difícil",IF(R507="Ejecutado","No usar","Sin PIM")))))</f>
        <v>Sin PIM</v>
      </c>
      <c r="T507" s="26">
        <f>IF(OR(I507&lt;=0,R507="Ejecutado"),0,MAX(0,I507-K507))</f>
        <v>0.0</v>
      </c>
      <c r="U507" s="24" t="s">
        <v>232</v>
      </c>
      <c r="V507" s="25">
        <v>500000</v>
      </c>
      <c r="W507" s="25">
        <v>4356339</v>
      </c>
      <c r="X507" s="25">
        <v>4468789</v>
      </c>
      <c r="Y507" s="25">
        <v>15297612</v>
      </c>
      <c r="Z507" s="24" t="s">
        <v>63</v>
      </c>
      <c r="AA507" s="24" t="s">
        <v>63</v>
      </c>
      <c r="AB507" s="24" t="s">
        <v>63</v>
      </c>
      <c r="AC507" s="24" t="s">
        <v>63</v>
      </c>
    </row>
    <row r="508" spans="1:29">
      <c r="A508" s="24" t="s">
        <v>1534</v>
      </c>
      <c r="B508" s="24" t="s">
        <v>1535</v>
      </c>
      <c r="C508" s="24" t="s">
        <v>1536</v>
      </c>
      <c r="D508" s="24" t="s">
        <v>63</v>
      </c>
      <c r="E508" s="24" t="s">
        <v>71</v>
      </c>
      <c r="F508" s="24" t="s">
        <v>942</v>
      </c>
      <c r="G508" s="24" t="s">
        <v>247</v>
      </c>
      <c r="H508" s="27" t="s">
        <v>944</v>
      </c>
      <c r="I508" s="25">
        <v>32592</v>
      </c>
      <c r="J508" s="25">
        <v>0</v>
      </c>
      <c r="K508" s="25">
        <v>0</v>
      </c>
      <c r="L508" s="25">
        <v>0</v>
      </c>
      <c r="M508" s="26">
        <f>I508-J508</f>
        <v>32592.0</v>
      </c>
      <c r="N508" s="26">
        <f>J508-K508</f>
        <v>0.0</v>
      </c>
      <c r="O508" s="26">
        <f>I508-L508</f>
        <v>32592.0</v>
      </c>
      <c r="P508" s="28">
        <f>IF(I508&gt;0,L508/I508,0)</f>
        <v>0.0</v>
      </c>
      <c r="Q508" s="28">
        <f>IF(I508&gt;0,K508/I508,0)</f>
        <v>0.0</v>
      </c>
      <c r="R508" s="24" t="str">
        <f>IF(I508&lt;=0,"Sin PIM",IF(L508/I508&gt;=Config!$B$5,"Ejecutado",IF(K508/I508&gt;=Config!$B$6,"Mayormente comprometido",IF(K508&gt;0.005,"Parcialmente comprometido",IF(J508&gt;0.005,"Solo certificado","Sin certificar")))))</f>
        <v>Sin certificar</v>
      </c>
      <c r="S508" s="24" t="str">
        <f>IF(R508="Sin certificar","Disponible",IF(R508="Solo certificado","Posible",IF(R508="Parcialmente comprometido","Parcial",IF(R508="Mayormente comprometido","Difícil",IF(R508="Ejecutado","No usar","Sin PIM")))))</f>
        <v>Disponible</v>
      </c>
      <c r="T508" s="26">
        <f>IF(OR(I508&lt;=0,R508="Ejecutado"),0,MAX(0,I508-K508))</f>
        <v>32592.0</v>
      </c>
      <c r="U508" s="24" t="s">
        <v>75</v>
      </c>
      <c r="V508" s="25">
        <v>154969</v>
      </c>
      <c r="W508" s="25">
        <v>0</v>
      </c>
      <c r="X508" s="25">
        <v>0</v>
      </c>
      <c r="Y508" s="25">
        <v>0</v>
      </c>
      <c r="Z508" s="24" t="s">
        <v>63</v>
      </c>
      <c r="AA508" s="24" t="s">
        <v>63</v>
      </c>
      <c r="AB508" s="24" t="s">
        <v>63</v>
      </c>
      <c r="AC508" s="24" t="s">
        <v>63</v>
      </c>
    </row>
    <row r="509" spans="1:29">
      <c r="A509" s="24" t="s">
        <v>1537</v>
      </c>
      <c r="B509" s="24" t="s">
        <v>1538</v>
      </c>
      <c r="C509" s="24" t="s">
        <v>1539</v>
      </c>
      <c r="D509" s="24" t="s">
        <v>63</v>
      </c>
      <c r="E509" s="24" t="s">
        <v>58</v>
      </c>
      <c r="F509" s="24" t="s">
        <v>1540</v>
      </c>
      <c r="G509" s="24" t="s">
        <v>377</v>
      </c>
      <c r="H509" s="27" t="s">
        <v>1541</v>
      </c>
      <c r="I509" s="25">
        <v>41800</v>
      </c>
      <c r="J509" s="25">
        <v>41500</v>
      </c>
      <c r="K509" s="25">
        <v>41500</v>
      </c>
      <c r="L509" s="25">
        <v>41500</v>
      </c>
      <c r="M509" s="26">
        <f>I509-J509</f>
        <v>300.0</v>
      </c>
      <c r="N509" s="26">
        <f>J509-K509</f>
        <v>0.0</v>
      </c>
      <c r="O509" s="26">
        <f>I509-L509</f>
        <v>300.0</v>
      </c>
      <c r="P509" s="28">
        <f>IF(I509&gt;0,L509/I509,0)</f>
        <v>0.992822966507177</v>
      </c>
      <c r="Q509" s="28">
        <f>IF(I509&gt;0,K509/I509,0)</f>
        <v>0.992822966507177</v>
      </c>
      <c r="R509" s="24" t="str">
        <f>IF(I509&lt;=0,"Sin PIM",IF(L509/I509&gt;=Config!$B$5,"Ejecutado",IF(K509/I509&gt;=Config!$B$6,"Mayormente comprometido",IF(K509&gt;0.005,"Parcialmente comprometido",IF(J509&gt;0.005,"Solo certificado","Sin certificar")))))</f>
        <v>Ejecutado</v>
      </c>
      <c r="S509" s="24" t="str">
        <f>IF(R509="Sin certificar","Disponible",IF(R509="Solo certificado","Posible",IF(R509="Parcialmente comprometido","Parcial",IF(R509="Mayormente comprometido","Difícil",IF(R509="Ejecutado","No usar","Sin PIM")))))</f>
        <v>No usar</v>
      </c>
      <c r="T509" s="26">
        <f>IF(OR(I509&lt;=0,R509="Ejecutado"),0,MAX(0,I509-K509))</f>
        <v>0.0</v>
      </c>
      <c r="U509" s="24" t="s">
        <v>990</v>
      </c>
      <c r="V509" s="25">
        <v>43800</v>
      </c>
      <c r="W509" s="25">
        <v>0</v>
      </c>
      <c r="X509" s="25">
        <v>0</v>
      </c>
      <c r="Y509" s="25">
        <v>0</v>
      </c>
      <c r="Z509" s="24" t="s">
        <v>63</v>
      </c>
      <c r="AA509" s="24" t="s">
        <v>63</v>
      </c>
      <c r="AB509" s="24" t="s">
        <v>63</v>
      </c>
      <c r="AC509" s="24" t="s">
        <v>63</v>
      </c>
    </row>
  </sheetData>
  <autoFilter ref="A4:AC509"/>
  <conditionalFormatting sqref="S5:S50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41"/>
  <sheetViews>
    <sheetView workbookViewId="0"/>
  </sheetViews>
  <sheetFormatPr defaultRowHeight="15"/>
  <cols>
    <col min="1" max="1" width="100.7109375" customWidth="1"/>
    <col min="2" max="5" width="20.7109375" customWidth="1"/>
  </cols>
  <sheetData>
    <row r="1" spans="1:5">
      <c r="A1" s="1" t="s">
        <v>2072</v>
      </c>
    </row>
    <row r="3" spans="1:5">
      <c r="A3" s="5" t="s">
        <v>2073</v>
      </c>
      <c r="B3" s="5" t="s">
        <v>2074</v>
      </c>
      <c r="C3" s="5" t="s">
        <v>2075</v>
      </c>
      <c r="D3" s="5" t="s">
        <v>2076</v>
      </c>
      <c r="E3" s="5" t="s">
        <v>2077</v>
      </c>
    </row>
    <row r="4" spans="1:5">
      <c r="A4" s="29" t="s">
        <v>2078</v>
      </c>
      <c r="B4" s="30">
        <f>SUM(Base!$I$5:$I$509)</f>
        <v>987989928.0</v>
      </c>
      <c r="C4" s="30">
        <v>987989928</v>
      </c>
      <c r="D4" s="30">
        <f>B4-C4</f>
        <v>0.0</v>
      </c>
      <c r="E4" s="29" t="str">
        <f>IF(ABS(D4)&lt;=0.5,"Conciliado","REVISAR")</f>
        <v>Conciliado</v>
      </c>
    </row>
    <row r="5" spans="1:5">
      <c r="A5" s="29" t="s">
        <v>2079</v>
      </c>
      <c r="B5" s="30">
        <f>'Gerencia de Infraestructura'!D334</f>
        <v>770705923.0</v>
      </c>
      <c r="C5" s="30">
        <v>770705923</v>
      </c>
      <c r="D5" s="30">
        <f>B5-C5</f>
        <v>0.0</v>
      </c>
      <c r="E5" s="29" t="str">
        <f>IF(ABS(D5)&lt;=0.5,"Conciliado","REVISAR")</f>
        <v>Conciliado</v>
      </c>
    </row>
    <row r="6" spans="1:5">
      <c r="A6" s="29" t="s">
        <v>2080</v>
      </c>
      <c r="B6" s="30">
        <f>'Gerencia de Infraestructura'!G334</f>
        <v>381711347.51000005</v>
      </c>
      <c r="C6" s="30">
        <v>381711347.51</v>
      </c>
      <c r="D6" s="30">
        <f>B6-C6</f>
        <v>5.960464477539063e-08</v>
      </c>
      <c r="E6" s="29" t="str">
        <f>IF(ABS(D6)&lt;=0.5,"Conciliado","REVISAR")</f>
        <v>Conciliado</v>
      </c>
    </row>
    <row r="7" spans="1:5">
      <c r="A7" s="29" t="s">
        <v>2081</v>
      </c>
      <c r="B7" s="30">
        <f>'Gerencias y Oficinas'!D179</f>
        <v>134200895.0</v>
      </c>
      <c r="C7" s="30">
        <v>134200895</v>
      </c>
      <c r="D7" s="30">
        <f>B7-C7</f>
        <v>0.0</v>
      </c>
      <c r="E7" s="29" t="str">
        <f>IF(ABS(D7)&lt;=0.5,"Conciliado","REVISAR")</f>
        <v>Conciliado</v>
      </c>
    </row>
    <row r="8" spans="1:5">
      <c r="A8" s="29" t="s">
        <v>2082</v>
      </c>
      <c r="B8" s="30">
        <f>'Gerencias y Oficinas'!G179</f>
        <v>51830188.09</v>
      </c>
      <c r="C8" s="30">
        <v>51830188.09</v>
      </c>
      <c r="D8" s="30">
        <f>B8-C8</f>
        <v>0.0</v>
      </c>
      <c r="E8" s="29" t="str">
        <f>IF(ABS(D8)&lt;=0.5,"Conciliado","REVISAR")</f>
        <v>Conciliado</v>
      </c>
    </row>
    <row r="9" spans="1:5">
      <c r="A9" s="29" t="s">
        <v>2083</v>
      </c>
      <c r="B9" s="30">
        <f>'Sin clasificar'!D11</f>
        <v>120166.0</v>
      </c>
      <c r="C9" s="30">
        <v>120166</v>
      </c>
      <c r="D9" s="30">
        <f>B9-C9</f>
        <v>0.0</v>
      </c>
      <c r="E9" s="29" t="str">
        <f>IF(ABS(D9)&lt;=0.5,"Conciliado","REVISAR")</f>
        <v>Conciliado</v>
      </c>
    </row>
    <row r="10" spans="1:5">
      <c r="A10" s="29" t="s">
        <v>2084</v>
      </c>
      <c r="B10" s="30">
        <f>'Sin clasificar'!G11</f>
        <v>18148.25</v>
      </c>
      <c r="C10" s="30">
        <v>18148.25</v>
      </c>
      <c r="D10" s="30">
        <f>B10-C10</f>
        <v>0.0</v>
      </c>
      <c r="E10" s="29" t="str">
        <f>IF(ABS(D10)&lt;=0.5,"Conciliado","REVISAR")</f>
        <v>Conciliado</v>
      </c>
    </row>
    <row r="11" spans="1:5">
      <c r="A11" s="29" t="s">
        <v>2085</v>
      </c>
      <c r="B11" s="30">
        <f>'UE 002'!D13</f>
        <v>2582404.0</v>
      </c>
      <c r="C11" s="30">
        <v>2582404</v>
      </c>
      <c r="D11" s="30">
        <f>B11-C11</f>
        <v>0.0</v>
      </c>
      <c r="E11" s="29" t="str">
        <f>IF(ABS(D11)&lt;=0.5,"Conciliado","REVISAR")</f>
        <v>Conciliado</v>
      </c>
    </row>
    <row r="12" spans="1:5">
      <c r="A12" s="29" t="s">
        <v>2086</v>
      </c>
      <c r="B12" s="30">
        <f>'UE 002'!G13</f>
        <v>1562395.52</v>
      </c>
      <c r="C12" s="30">
        <v>1562395.52</v>
      </c>
      <c r="D12" s="30">
        <f>B12-C12</f>
        <v>0.0</v>
      </c>
      <c r="E12" s="29" t="str">
        <f>IF(ABS(D12)&lt;=0.5,"Conciliado","REVISAR")</f>
        <v>Conciliado</v>
      </c>
    </row>
    <row r="13" spans="1:5">
      <c r="A13" s="29" t="s">
        <v>2087</v>
      </c>
      <c r="B13" s="30">
        <f>'UE 003'!D50</f>
        <v>45637342.0</v>
      </c>
      <c r="C13" s="30">
        <v>45637342</v>
      </c>
      <c r="D13" s="30">
        <f>B13-C13</f>
        <v>0.0</v>
      </c>
      <c r="E13" s="29" t="str">
        <f>IF(ABS(D13)&lt;=0.5,"Conciliado","REVISAR")</f>
        <v>Conciliado</v>
      </c>
    </row>
    <row r="14" spans="1:5">
      <c r="A14" s="29" t="s">
        <v>2088</v>
      </c>
      <c r="B14" s="30">
        <f>'UE 003'!G50</f>
        <v>33578061.609999985</v>
      </c>
      <c r="C14" s="30">
        <v>33578061.61</v>
      </c>
      <c r="D14" s="30">
        <f>B14-C14</f>
        <v>-1.4901161193847656e-08</v>
      </c>
      <c r="E14" s="29" t="str">
        <f>IF(ABS(D14)&lt;=0.5,"Conciliado","REVISAR")</f>
        <v>Conciliado</v>
      </c>
    </row>
    <row r="15" spans="1:5">
      <c r="A15" s="29" t="s">
        <v>2089</v>
      </c>
      <c r="B15" s="30">
        <f>'UE 005'!D14</f>
        <v>20087412.0</v>
      </c>
      <c r="C15" s="30">
        <v>20087412</v>
      </c>
      <c r="D15" s="30">
        <f>B15-C15</f>
        <v>0.0</v>
      </c>
      <c r="E15" s="29" t="str">
        <f>IF(ABS(D15)&lt;=0.5,"Conciliado","REVISAR")</f>
        <v>Conciliado</v>
      </c>
    </row>
    <row r="16" spans="1:5">
      <c r="A16" s="29" t="s">
        <v>2090</v>
      </c>
      <c r="B16" s="30">
        <f>'UE 005'!G14</f>
        <v>15129329.829999996</v>
      </c>
      <c r="C16" s="30">
        <v>15129329.83</v>
      </c>
      <c r="D16" s="30">
        <f>B16-C16</f>
        <v>-1.862645149230957e-09</v>
      </c>
      <c r="E16" s="29" t="str">
        <f>IF(ABS(D16)&lt;=0.5,"Conciliado","REVISAR")</f>
        <v>Conciliado</v>
      </c>
    </row>
    <row r="17" spans="1:5">
      <c r="A17" s="29" t="s">
        <v>2091</v>
      </c>
      <c r="B17" s="30">
        <f>'UE 100'!D19</f>
        <v>14581394.0</v>
      </c>
      <c r="C17" s="30">
        <v>14581394</v>
      </c>
      <c r="D17" s="30">
        <f>B17-C17</f>
        <v>0.0</v>
      </c>
      <c r="E17" s="29" t="str">
        <f>IF(ABS(D17)&lt;=0.5,"Conciliado","REVISAR")</f>
        <v>Conciliado</v>
      </c>
    </row>
    <row r="18" spans="1:5">
      <c r="A18" s="29" t="s">
        <v>2092</v>
      </c>
      <c r="B18" s="30">
        <f>'UE 100'!G19</f>
        <v>11236500.850000001</v>
      </c>
      <c r="C18" s="30">
        <v>11236500.85</v>
      </c>
      <c r="D18" s="30">
        <f>B18-C18</f>
        <v>0.0</v>
      </c>
      <c r="E18" s="29" t="str">
        <f>IF(ABS(D18)&lt;=0.5,"Conciliado","REVISAR")</f>
        <v>Conciliado</v>
      </c>
    </row>
    <row r="19" spans="1:5">
      <c r="A19" s="29" t="s">
        <v>2093</v>
      </c>
      <c r="B19" s="30">
        <f>'UE 302'!D9</f>
        <v>32592.0</v>
      </c>
      <c r="C19" s="30">
        <v>32592</v>
      </c>
      <c r="D19" s="30">
        <f>B19-C19</f>
        <v>0.0</v>
      </c>
      <c r="E19" s="29" t="str">
        <f>IF(ABS(D19)&lt;=0.5,"Conciliado","REVISAR")</f>
        <v>Conciliado</v>
      </c>
    </row>
    <row r="20" spans="1:5">
      <c r="A20" s="29" t="s">
        <v>2094</v>
      </c>
      <c r="B20" s="30">
        <f>'UE 302'!G9</f>
        <v>0.0</v>
      </c>
      <c r="C20" s="30">
        <v>0</v>
      </c>
      <c r="D20" s="30">
        <f>B20-C20</f>
        <v>0.0</v>
      </c>
      <c r="E20" s="29" t="str">
        <f>IF(ABS(D20)&lt;=0.5,"Conciliado","REVISAR")</f>
        <v>Conciliado</v>
      </c>
    </row>
    <row r="21" spans="1:5">
      <c r="A21" s="29" t="s">
        <v>2095</v>
      </c>
      <c r="B21" s="30">
        <f>'UE 413'!D9</f>
        <v>41800.0</v>
      </c>
      <c r="C21" s="30">
        <v>41800</v>
      </c>
      <c r="D21" s="30">
        <f>B21-C21</f>
        <v>0.0</v>
      </c>
      <c r="E21" s="29" t="str">
        <f>IF(ABS(D21)&lt;=0.5,"Conciliado","REVISAR")</f>
        <v>Conciliado</v>
      </c>
    </row>
    <row r="22" spans="1:5">
      <c r="A22" s="29" t="s">
        <v>2096</v>
      </c>
      <c r="B22" s="30">
        <f>'UE 413'!G9</f>
        <v>41500.0</v>
      </c>
      <c r="C22" s="30">
        <v>41500</v>
      </c>
      <c r="D22" s="30">
        <f>B22-C22</f>
        <v>0.0</v>
      </c>
      <c r="E22" s="29" t="str">
        <f>IF(ABS(D22)&lt;=0.5,"Conciliado","REVISAR")</f>
        <v>Conciliado</v>
      </c>
    </row>
    <row r="23" spans="1:5">
      <c r="A23" s="29" t="s">
        <v>2097</v>
      </c>
      <c r="B23" s="30">
        <f>987989928.0</f>
        <v>987989928.0</v>
      </c>
      <c r="C23" s="30">
        <v>987989928</v>
      </c>
      <c r="D23" s="30">
        <f>B23-C23</f>
        <v>0.0</v>
      </c>
      <c r="E23" s="29" t="str">
        <f>IF(ABS(D23)&lt;=1000,"Conciliado","REVISAR")</f>
        <v>Conciliado</v>
      </c>
    </row>
    <row r="24" spans="1:5">
      <c r="A24" s="29" t="s">
        <v>2098</v>
      </c>
      <c r="B24" s="30">
        <f>SUM('Rubro por CUI'!D5:D460)</f>
        <v>987989928.0</v>
      </c>
      <c r="C24" s="30">
        <v>987989928</v>
      </c>
      <c r="D24" s="30">
        <f>B24-C24</f>
        <v>0.0</v>
      </c>
      <c r="E24" s="29" t="str">
        <f>IF(ABS(D24)&lt;=0.5,"Conciliado","REVISAR")</f>
        <v>Conciliado</v>
      </c>
    </row>
    <row r="26" spans="1:5">
      <c r="A26" s="4" t="s">
        <v>2099</v>
      </c>
    </row>
    <row r="27" spans="1:5">
      <c r="A27" s="29" t="s">
        <v>2100</v>
      </c>
      <c r="B27" s="29">
        <v>2</v>
      </c>
    </row>
    <row r="28" spans="1:5">
      <c r="A28" s="29" t="s">
        <v>2101</v>
      </c>
      <c r="B28" s="29">
        <v>159</v>
      </c>
    </row>
    <row r="29" spans="1:5">
      <c r="A29" s="29" t="s">
        <v>2102</v>
      </c>
      <c r="B29" s="29">
        <v>4</v>
      </c>
    </row>
    <row r="30" spans="1:5">
      <c r="A30" s="29" t="s">
        <v>2103</v>
      </c>
      <c r="B30" s="29">
        <v>0</v>
      </c>
    </row>
    <row r="31" spans="1:5">
      <c r="A31" s="29" t="s">
        <v>2104</v>
      </c>
      <c r="B31" s="29">
        <v>0</v>
      </c>
    </row>
    <row r="32" spans="1:5">
      <c r="A32" s="29" t="s">
        <v>2105</v>
      </c>
      <c r="B32" s="29">
        <v>0</v>
      </c>
    </row>
    <row r="34" spans="1:1">
      <c r="A34" s="4" t="s">
        <v>2106</v>
      </c>
    </row>
    <row r="35" spans="1:1">
      <c r="A35" s="31" t="s">
        <v>2107</v>
      </c>
    </row>
    <row r="36" spans="1:1">
      <c r="A36" s="31" t="s">
        <v>1589</v>
      </c>
    </row>
    <row r="37" spans="1:1">
      <c r="A37" s="31" t="s">
        <v>2108</v>
      </c>
    </row>
    <row r="39" spans="1:1">
      <c r="A39" s="4" t="s">
        <v>2109</v>
      </c>
    </row>
    <row r="40" spans="1:1">
      <c r="A40" s="24" t="s">
        <v>2110</v>
      </c>
    </row>
    <row r="41" spans="1:1">
      <c r="A41" s="24" t="s">
        <v>2111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58.7109375" customWidth="1"/>
    <col min="2" max="2" width="52.7109375" customWidth="1"/>
    <col min="3" max="3" width="110.7109375" customWidth="1"/>
  </cols>
  <sheetData>
    <row r="1" spans="1:3">
      <c r="A1" s="1" t="s">
        <v>0</v>
      </c>
    </row>
    <row r="3" spans="1:3">
      <c r="A3" s="5" t="s">
        <v>1</v>
      </c>
      <c r="B3" s="5" t="s">
        <v>2</v>
      </c>
      <c r="C3" s="5" t="s">
        <v>3</v>
      </c>
    </row>
    <row r="5" spans="1:3">
      <c r="A5" s="24" t="s">
        <v>4</v>
      </c>
      <c r="B5" s="32">
        <v>0.9</v>
      </c>
      <c r="C5" s="24" t="s">
        <v>5</v>
      </c>
    </row>
    <row r="6" spans="1:3">
      <c r="A6" s="24" t="s">
        <v>6</v>
      </c>
      <c r="B6" s="32">
        <v>0.5</v>
      </c>
      <c r="C6" s="24" t="s">
        <v>7</v>
      </c>
    </row>
    <row r="8" spans="1:3">
      <c r="A8" s="4" t="s">
        <v>8</v>
      </c>
    </row>
    <row r="9" spans="1:3">
      <c r="A9" s="24" t="s">
        <v>9</v>
      </c>
      <c r="B9" s="24" t="s">
        <v>10</v>
      </c>
    </row>
    <row r="10" spans="1:3">
      <c r="A10" s="24" t="s">
        <v>11</v>
      </c>
      <c r="B10" s="24" t="s">
        <v>12</v>
      </c>
    </row>
    <row r="11" spans="1:3">
      <c r="A11" s="24" t="s">
        <v>13</v>
      </c>
      <c r="B11" s="24" t="s">
        <v>10</v>
      </c>
    </row>
    <row r="12" spans="1:3">
      <c r="A12" s="24" t="s">
        <v>14</v>
      </c>
      <c r="B12" s="24" t="s">
        <v>15</v>
      </c>
    </row>
    <row r="13" spans="1:3">
      <c r="A13" s="24" t="s">
        <v>16</v>
      </c>
      <c r="B13" s="24" t="s">
        <v>17</v>
      </c>
    </row>
    <row r="14" spans="1:3">
      <c r="A14" s="24" t="s">
        <v>18</v>
      </c>
      <c r="B14" s="24" t="s">
        <v>17</v>
      </c>
    </row>
    <row r="16" spans="1:3">
      <c r="A16" s="4" t="s">
        <v>19</v>
      </c>
    </row>
    <row r="17" spans="1:3">
      <c r="A17" s="24" t="s">
        <v>20</v>
      </c>
      <c r="B17" s="24" t="s">
        <v>21</v>
      </c>
      <c r="C17" s="24"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21"/>
  <sheetViews>
    <sheetView workbookViewId="0"/>
  </sheetViews>
  <sheetFormatPr defaultRowHeight="15"/>
  <cols>
    <col min="1" max="1" width="160.7109375" customWidth="1"/>
  </cols>
  <sheetData>
    <row r="1" spans="1:1">
      <c r="A1" s="1" t="s">
        <v>2112</v>
      </c>
    </row>
    <row r="3" spans="1:1">
      <c r="A3" s="4" t="s">
        <v>2113</v>
      </c>
    </row>
    <row r="4" spans="1:1">
      <c r="A4" s="24" t="s">
        <v>2114</v>
      </c>
    </row>
    <row r="5" spans="1:1">
      <c r="A5" s="24" t="s">
        <v>2115</v>
      </c>
    </row>
    <row r="6" spans="1:1">
      <c r="A6" s="24" t="s">
        <v>2116</v>
      </c>
    </row>
    <row r="7" spans="1:1">
      <c r="A7" s="24" t="s">
        <v>2117</v>
      </c>
    </row>
    <row r="8" spans="1:1">
      <c r="A8" s="24" t="s">
        <v>2118</v>
      </c>
    </row>
    <row r="9" spans="1:1">
      <c r="A9" s="24" t="s">
        <v>2119</v>
      </c>
    </row>
    <row r="10" spans="1:1">
      <c r="A10" s="24" t="s">
        <v>2120</v>
      </c>
    </row>
    <row r="11" spans="1:1">
      <c r="A11" s="24" t="s">
        <v>2121</v>
      </c>
    </row>
    <row r="12" spans="1:1">
      <c r="A12" s="24"/>
    </row>
    <row r="13" spans="1:1">
      <c r="A13" s="4" t="s">
        <v>2122</v>
      </c>
    </row>
    <row r="14" spans="1:1">
      <c r="A14" s="24" t="s">
        <v>2123</v>
      </c>
    </row>
    <row r="15" spans="1:1">
      <c r="A15" s="24" t="s">
        <v>2124</v>
      </c>
    </row>
    <row r="16" spans="1:1">
      <c r="A16" s="24"/>
    </row>
    <row r="17" spans="1:1">
      <c r="A17" s="24" t="s">
        <v>2125</v>
      </c>
    </row>
    <row r="18" spans="1:1">
      <c r="A18" s="24" t="s">
        <v>2126</v>
      </c>
    </row>
    <row r="19" spans="1:1">
      <c r="A19" s="24" t="s">
        <v>2127</v>
      </c>
    </row>
    <row r="20" spans="1:1">
      <c r="A20" s="24" t="s">
        <v>2128</v>
      </c>
    </row>
    <row r="21" spans="1:1">
      <c r="A21" s="24" t="s">
        <v>2129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Resumen</vt:lpstr>
      <vt:lpstr>Gerencia de Infraestructura</vt:lpstr>
      <vt:lpstr>Gerencias y Oficinas</vt:lpstr>
      <vt:lpstr>Sin clasificar</vt:lpstr>
      <vt:lpstr>UE 002</vt:lpstr>
      <vt:lpstr>UE 003</vt:lpstr>
      <vt:lpstr>UE 005</vt:lpstr>
      <vt:lpstr>UE 100</vt:lpstr>
      <vt:lpstr>UE 302</vt:lpstr>
      <vt:lpstr>UE 413</vt:lpstr>
      <vt:lpstr>Saldo al expediente</vt:lpstr>
      <vt:lpstr>Rubro por CUI</vt:lpstr>
      <vt:lpstr>Base</vt:lpstr>
      <vt:lpstr>Control</vt:lpstr>
      <vt:lpstr>Config</vt:lpstr>
      <vt:lpstr>Reglas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2026-10-08T04:35:51Z</dcterms:created>
  <dcterms:modified xsi:type="dcterms:W3CDTF">2026-10-08T04:35:51Z</dcterms:modified>
</cp:coreProperties>
</file>